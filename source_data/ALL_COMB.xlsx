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avid/Documents/CAREER/AIA/02 - Data Analysis/SDO_Data_Analysis/Data/"/>
    </mc:Choice>
  </mc:AlternateContent>
  <xr:revisionPtr revIDLastSave="0" documentId="13_ncr:1_{79FC34D2-F50E-7645-B3FA-507AE0D0C298}" xr6:coauthVersionLast="47" xr6:coauthVersionMax="47" xr10:uidLastSave="{00000000-0000-0000-0000-000000000000}"/>
  <bookViews>
    <workbookView xWindow="0" yWindow="600" windowWidth="35840" windowHeight="21040" xr2:uid="{00000000-000D-0000-FFFF-FFFF00000000}"/>
  </bookViews>
  <sheets>
    <sheet name="README" sheetId="9" r:id="rId1"/>
    <sheet name="CountyHousingProf" sheetId="5" r:id="rId2"/>
    <sheet name="CountyPopHousing" sheetId="4" r:id="rId3"/>
    <sheet name="Lookups" sheetId="2" r:id="rId4"/>
    <sheet name="COMB_RAW_DATA" sheetId="6" r:id="rId5"/>
    <sheet name="COUNTY_PIVOT" sheetId="12" r:id="rId6"/>
    <sheet name="County Population Strata" sheetId="13" r:id="rId7"/>
    <sheet name="REGION_PIVOT" sheetId="8" r:id="rId8"/>
    <sheet name="PLOTS" sheetId="14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43" i="12" l="1"/>
  <c r="AX143" i="12"/>
  <c r="AI143" i="12"/>
  <c r="BJ143" i="12"/>
  <c r="BO148" i="12"/>
  <c r="AI74" i="12"/>
  <c r="AX5" i="12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X55" i="14"/>
  <c r="X56" i="14"/>
  <c r="X57" i="14"/>
  <c r="X58" i="14"/>
  <c r="X59" i="14"/>
  <c r="X60" i="14"/>
  <c r="X61" i="14"/>
  <c r="X62" i="14"/>
  <c r="X63" i="14"/>
  <c r="X64" i="14"/>
  <c r="X65" i="14"/>
  <c r="X66" i="14"/>
  <c r="X3" i="14"/>
  <c r="BH89" i="12"/>
  <c r="BH79" i="12"/>
  <c r="BH115" i="12"/>
  <c r="BH131" i="12"/>
  <c r="BH137" i="12"/>
  <c r="BO79" i="12"/>
  <c r="BO80" i="12" s="1"/>
  <c r="BO78" i="12"/>
  <c r="BQ89" i="12" s="1"/>
  <c r="BG85" i="12"/>
  <c r="BO75" i="12"/>
  <c r="V4" i="13"/>
  <c r="V5" i="13"/>
  <c r="V6" i="13"/>
  <c r="V3" i="13"/>
  <c r="U3" i="13"/>
  <c r="U4" i="13"/>
  <c r="M3" i="14"/>
  <c r="B2" i="14"/>
  <c r="AI5" i="12"/>
  <c r="F2" i="14"/>
  <c r="BK154" i="12"/>
  <c r="G1" i="14"/>
  <c r="C1" i="14"/>
  <c r="G2" i="14" a="1"/>
  <c r="G2" i="14" s="1"/>
  <c r="D2" i="14"/>
  <c r="E2" i="14"/>
  <c r="C2" i="14"/>
  <c r="BJ154" i="12"/>
  <c r="BL138" i="12"/>
  <c r="BL137" i="12"/>
  <c r="BL136" i="12"/>
  <c r="BL135" i="12"/>
  <c r="BL134" i="12"/>
  <c r="BL133" i="12"/>
  <c r="BL132" i="12"/>
  <c r="BL131" i="12"/>
  <c r="BL130" i="12"/>
  <c r="BL129" i="12"/>
  <c r="BL128" i="12"/>
  <c r="BL127" i="12"/>
  <c r="BL126" i="12"/>
  <c r="BL125" i="12"/>
  <c r="BL124" i="12"/>
  <c r="BL123" i="12"/>
  <c r="BL122" i="12"/>
  <c r="BL121" i="12"/>
  <c r="BL120" i="12"/>
  <c r="BL119" i="12"/>
  <c r="BL118" i="12"/>
  <c r="BL117" i="12"/>
  <c r="BL116" i="12"/>
  <c r="BL115" i="12"/>
  <c r="BL114" i="12"/>
  <c r="BL113" i="12"/>
  <c r="BL112" i="12"/>
  <c r="BL111" i="12"/>
  <c r="BL110" i="12"/>
  <c r="BL109" i="12"/>
  <c r="BL108" i="12"/>
  <c r="BL107" i="12"/>
  <c r="BL106" i="12"/>
  <c r="BL105" i="12"/>
  <c r="BL104" i="12"/>
  <c r="BL103" i="12"/>
  <c r="BL102" i="12"/>
  <c r="BL101" i="12"/>
  <c r="BL100" i="12"/>
  <c r="BL99" i="12"/>
  <c r="BL98" i="12"/>
  <c r="BL97" i="12"/>
  <c r="BL96" i="12"/>
  <c r="BL95" i="12"/>
  <c r="BL94" i="12"/>
  <c r="BL93" i="12"/>
  <c r="BL92" i="12"/>
  <c r="BL91" i="12"/>
  <c r="BL90" i="12"/>
  <c r="BL89" i="12"/>
  <c r="BL88" i="12"/>
  <c r="BL87" i="12"/>
  <c r="BL86" i="12"/>
  <c r="BL84" i="12"/>
  <c r="BL83" i="12"/>
  <c r="BL82" i="12"/>
  <c r="BL81" i="12"/>
  <c r="BL80" i="12"/>
  <c r="BL79" i="12"/>
  <c r="BL78" i="12"/>
  <c r="BL77" i="12"/>
  <c r="BL76" i="12"/>
  <c r="BL75" i="12"/>
  <c r="BL74" i="12"/>
  <c r="BL144" i="12"/>
  <c r="BL145" i="12"/>
  <c r="BL146" i="12"/>
  <c r="BL147" i="12"/>
  <c r="BL148" i="12"/>
  <c r="BL149" i="12"/>
  <c r="BL150" i="12"/>
  <c r="BL151" i="12"/>
  <c r="BL152" i="12"/>
  <c r="BL153" i="12"/>
  <c r="BL155" i="12"/>
  <c r="BL156" i="12"/>
  <c r="BL157" i="12"/>
  <c r="BL158" i="12"/>
  <c r="BL159" i="12"/>
  <c r="BL160" i="12"/>
  <c r="BL161" i="12"/>
  <c r="BL162" i="12"/>
  <c r="BL163" i="12"/>
  <c r="BL164" i="12"/>
  <c r="BL165" i="12"/>
  <c r="BL166" i="12"/>
  <c r="BL167" i="12"/>
  <c r="BL168" i="12"/>
  <c r="BL169" i="12"/>
  <c r="BL170" i="12"/>
  <c r="BL171" i="12"/>
  <c r="BL172" i="12"/>
  <c r="BL173" i="12"/>
  <c r="BL174" i="12"/>
  <c r="BL175" i="12"/>
  <c r="BL176" i="12"/>
  <c r="BL177" i="12"/>
  <c r="BL178" i="12"/>
  <c r="BL179" i="12"/>
  <c r="BL180" i="12"/>
  <c r="BL181" i="12"/>
  <c r="BL182" i="12"/>
  <c r="BL183" i="12"/>
  <c r="BL184" i="12"/>
  <c r="BL185" i="12"/>
  <c r="BL186" i="12"/>
  <c r="BL187" i="12"/>
  <c r="BL188" i="12"/>
  <c r="BL189" i="12"/>
  <c r="BL190" i="12"/>
  <c r="BL191" i="12"/>
  <c r="BL192" i="12"/>
  <c r="BL193" i="12"/>
  <c r="BL194" i="12"/>
  <c r="BL195" i="12"/>
  <c r="BL196" i="12"/>
  <c r="BL197" i="12"/>
  <c r="BL198" i="12"/>
  <c r="BL199" i="12"/>
  <c r="BL200" i="12"/>
  <c r="BL201" i="12"/>
  <c r="BL202" i="12"/>
  <c r="BL203" i="12"/>
  <c r="BL204" i="12"/>
  <c r="BL205" i="12"/>
  <c r="BL206" i="12"/>
  <c r="BL207" i="12"/>
  <c r="BL143" i="12"/>
  <c r="BQ88" i="12" l="1"/>
  <c r="BQ90" i="12"/>
  <c r="BQ82" i="12"/>
  <c r="BQ81" i="12"/>
  <c r="BQ80" i="12"/>
  <c r="BQ98" i="12"/>
  <c r="BQ134" i="12"/>
  <c r="BQ79" i="12"/>
  <c r="BQ78" i="12"/>
  <c r="BQ77" i="12"/>
  <c r="BQ76" i="12"/>
  <c r="BQ75" i="12"/>
  <c r="BQ119" i="12"/>
  <c r="BQ136" i="12"/>
  <c r="BQ135" i="12"/>
  <c r="BQ132" i="12"/>
  <c r="BQ121" i="12"/>
  <c r="BQ110" i="12"/>
  <c r="BQ91" i="12"/>
  <c r="BQ131" i="12"/>
  <c r="BQ120" i="12"/>
  <c r="BQ114" i="12"/>
  <c r="BQ113" i="12"/>
  <c r="BQ112" i="12"/>
  <c r="BQ111" i="12"/>
  <c r="BQ109" i="12"/>
  <c r="BQ138" i="12"/>
  <c r="BQ102" i="12"/>
  <c r="BQ137" i="12"/>
  <c r="BQ100" i="12"/>
  <c r="BQ99" i="12"/>
  <c r="BQ130" i="12"/>
  <c r="BQ97" i="12"/>
  <c r="BQ129" i="12"/>
  <c r="BQ96" i="12"/>
  <c r="BQ128" i="12"/>
  <c r="BQ95" i="12"/>
  <c r="BQ116" i="12"/>
  <c r="BQ93" i="12"/>
  <c r="BQ118" i="12"/>
  <c r="BQ94" i="12"/>
  <c r="BQ115" i="12"/>
  <c r="BQ92" i="12"/>
  <c r="BQ74" i="12"/>
  <c r="BQ126" i="12"/>
  <c r="BQ106" i="12"/>
  <c r="BQ124" i="12"/>
  <c r="BQ104" i="12"/>
  <c r="BQ84" i="12"/>
  <c r="BQ127" i="12"/>
  <c r="BQ108" i="12"/>
  <c r="BQ87" i="12"/>
  <c r="BQ86" i="12"/>
  <c r="BQ123" i="12"/>
  <c r="BQ103" i="12"/>
  <c r="BQ83" i="12"/>
  <c r="BQ125" i="12"/>
  <c r="BQ107" i="12"/>
  <c r="BQ85" i="12"/>
  <c r="BQ122" i="12"/>
  <c r="BQ105" i="12"/>
  <c r="BQ133" i="12"/>
  <c r="BQ117" i="12"/>
  <c r="BQ101" i="12"/>
  <c r="U6" i="13"/>
  <c r="U5" i="13"/>
  <c r="N67" i="13"/>
  <c r="AH208" i="12"/>
  <c r="AH139" i="12"/>
  <c r="AZ167" i="12"/>
  <c r="AI144" i="12"/>
  <c r="AJ144" i="12"/>
  <c r="AK144" i="12"/>
  <c r="AL144" i="12"/>
  <c r="AM144" i="12"/>
  <c r="AN144" i="12"/>
  <c r="AO144" i="12"/>
  <c r="AP144" i="12"/>
  <c r="BD144" i="12" s="1"/>
  <c r="AQ144" i="12"/>
  <c r="AR144" i="12"/>
  <c r="AS144" i="12"/>
  <c r="AT144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BH145" i="12" s="1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I147" i="12"/>
  <c r="AJ147" i="12"/>
  <c r="AK147" i="12"/>
  <c r="AL147" i="12"/>
  <c r="AZ147" i="12" s="1"/>
  <c r="AM147" i="12"/>
  <c r="AN147" i="12"/>
  <c r="AO147" i="12"/>
  <c r="AP147" i="12"/>
  <c r="AQ147" i="12"/>
  <c r="AR147" i="12"/>
  <c r="AS147" i="12"/>
  <c r="AT147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I151" i="12"/>
  <c r="AX151" i="12" s="1"/>
  <c r="AJ151" i="12"/>
  <c r="AK151" i="12"/>
  <c r="BA151" i="12" s="1"/>
  <c r="AL151" i="12"/>
  <c r="AZ151" i="12" s="1"/>
  <c r="AM151" i="12"/>
  <c r="AN151" i="12"/>
  <c r="AO151" i="12"/>
  <c r="AP151" i="12"/>
  <c r="AQ151" i="12"/>
  <c r="AR151" i="12"/>
  <c r="AS151" i="12"/>
  <c r="AT151" i="12"/>
  <c r="AI152" i="12"/>
  <c r="AJ152" i="12"/>
  <c r="AK152" i="12"/>
  <c r="AL152" i="12"/>
  <c r="BB152" i="12" s="1"/>
  <c r="AM152" i="12"/>
  <c r="AN152" i="12"/>
  <c r="AO152" i="12"/>
  <c r="BD152" i="12" s="1"/>
  <c r="AP152" i="12"/>
  <c r="BE152" i="12" s="1"/>
  <c r="AQ152" i="12"/>
  <c r="AR152" i="12"/>
  <c r="AS152" i="12"/>
  <c r="AT152" i="12"/>
  <c r="AI153" i="12"/>
  <c r="AJ153" i="12"/>
  <c r="AK153" i="12"/>
  <c r="AL153" i="12"/>
  <c r="AM153" i="12"/>
  <c r="AN153" i="12"/>
  <c r="AO153" i="12"/>
  <c r="AP153" i="12"/>
  <c r="AQ153" i="12"/>
  <c r="AR153" i="12"/>
  <c r="BH153" i="12" s="1"/>
  <c r="AS153" i="12"/>
  <c r="AT153" i="12"/>
  <c r="AI154" i="12"/>
  <c r="AI208" i="12" s="1"/>
  <c r="AJ154" i="12"/>
  <c r="AJ208" i="12" s="1"/>
  <c r="AK154" i="12"/>
  <c r="AL154" i="12"/>
  <c r="AM154" i="12"/>
  <c r="AN154" i="12"/>
  <c r="AO154" i="12"/>
  <c r="AP154" i="12"/>
  <c r="AQ154" i="12"/>
  <c r="AR154" i="12"/>
  <c r="AS154" i="12"/>
  <c r="AS208" i="12" s="1"/>
  <c r="AT154" i="12"/>
  <c r="AT208" i="12" s="1"/>
  <c r="AI155" i="12"/>
  <c r="AJ155" i="12"/>
  <c r="AK155" i="12"/>
  <c r="AL155" i="12"/>
  <c r="AM155" i="12"/>
  <c r="AN155" i="12"/>
  <c r="AO155" i="12"/>
  <c r="BE155" i="12" s="1"/>
  <c r="AP155" i="12"/>
  <c r="AQ155" i="12"/>
  <c r="AR155" i="12"/>
  <c r="AS155" i="12"/>
  <c r="AT155" i="12"/>
  <c r="AI156" i="12"/>
  <c r="AJ156" i="12"/>
  <c r="AK156" i="12"/>
  <c r="AL156" i="12"/>
  <c r="AM156" i="12"/>
  <c r="AN156" i="12"/>
  <c r="AO156" i="12"/>
  <c r="AP156" i="12"/>
  <c r="BD156" i="12" s="1"/>
  <c r="AQ156" i="12"/>
  <c r="AR156" i="12"/>
  <c r="AS156" i="12"/>
  <c r="AT156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BH157" i="12" s="1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I159" i="12"/>
  <c r="AJ159" i="12"/>
  <c r="AK159" i="12"/>
  <c r="AL159" i="12"/>
  <c r="AZ159" i="12" s="1"/>
  <c r="AM159" i="12"/>
  <c r="AN159" i="12"/>
  <c r="AO159" i="12"/>
  <c r="AP159" i="12"/>
  <c r="AQ159" i="12"/>
  <c r="AR159" i="12"/>
  <c r="AS159" i="12"/>
  <c r="AT159" i="12"/>
  <c r="AI160" i="12"/>
  <c r="AJ160" i="12"/>
  <c r="AK160" i="12"/>
  <c r="AL160" i="12"/>
  <c r="AM160" i="12"/>
  <c r="AN160" i="12"/>
  <c r="AO160" i="12"/>
  <c r="AP160" i="12"/>
  <c r="BD160" i="12" s="1"/>
  <c r="AQ160" i="12"/>
  <c r="AR160" i="12"/>
  <c r="AS160" i="12"/>
  <c r="AT160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BH161" i="12" s="1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I163" i="12"/>
  <c r="AJ163" i="12"/>
  <c r="AK163" i="12"/>
  <c r="AL163" i="12"/>
  <c r="AZ163" i="12" s="1"/>
  <c r="AM163" i="12"/>
  <c r="AN163" i="12"/>
  <c r="AO163" i="12"/>
  <c r="AP163" i="12"/>
  <c r="AQ163" i="12"/>
  <c r="AR163" i="12"/>
  <c r="AS163" i="12"/>
  <c r="AT163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I167" i="12"/>
  <c r="AX167" i="12" s="1"/>
  <c r="AJ167" i="12"/>
  <c r="AK167" i="12"/>
  <c r="AL167" i="12"/>
  <c r="AM167" i="12"/>
  <c r="AN167" i="12"/>
  <c r="AO167" i="12"/>
  <c r="AP167" i="12"/>
  <c r="AQ167" i="12"/>
  <c r="AR167" i="12"/>
  <c r="AS167" i="12"/>
  <c r="AT167" i="12"/>
  <c r="AI168" i="12"/>
  <c r="AJ168" i="12"/>
  <c r="AK168" i="12"/>
  <c r="AL168" i="12"/>
  <c r="AM168" i="12"/>
  <c r="AN168" i="12"/>
  <c r="AO168" i="12"/>
  <c r="BD168" i="12" s="1"/>
  <c r="AP168" i="12"/>
  <c r="BE168" i="12" s="1"/>
  <c r="AQ168" i="12"/>
  <c r="AR168" i="12"/>
  <c r="AS168" i="12"/>
  <c r="AT168" i="12"/>
  <c r="AI169" i="12"/>
  <c r="AJ169" i="12"/>
  <c r="AK169" i="12"/>
  <c r="AL169" i="12"/>
  <c r="AM169" i="12"/>
  <c r="AN169" i="12"/>
  <c r="AO169" i="12"/>
  <c r="AP169" i="12"/>
  <c r="BF169" i="12" s="1"/>
  <c r="AQ169" i="12"/>
  <c r="AR169" i="12"/>
  <c r="AS169" i="12"/>
  <c r="AT169" i="12"/>
  <c r="AI170" i="12"/>
  <c r="AX170" i="12" s="1"/>
  <c r="AJ170" i="12"/>
  <c r="AK170" i="12"/>
  <c r="AL170" i="12"/>
  <c r="AM170" i="12"/>
  <c r="AN170" i="12"/>
  <c r="AO170" i="12"/>
  <c r="AP170" i="12"/>
  <c r="AQ170" i="12"/>
  <c r="AR170" i="12"/>
  <c r="AS170" i="12"/>
  <c r="AT170" i="12"/>
  <c r="AI171" i="12"/>
  <c r="AJ171" i="12"/>
  <c r="AK171" i="12"/>
  <c r="AL171" i="12"/>
  <c r="AZ171" i="12" s="1"/>
  <c r="AM171" i="12"/>
  <c r="AN171" i="12"/>
  <c r="AO171" i="12"/>
  <c r="AP171" i="12"/>
  <c r="AQ171" i="12"/>
  <c r="AR171" i="12"/>
  <c r="AS171" i="12"/>
  <c r="AT171" i="12"/>
  <c r="AI172" i="12"/>
  <c r="AJ172" i="12"/>
  <c r="AK172" i="12"/>
  <c r="AL172" i="12"/>
  <c r="AM172" i="12"/>
  <c r="AN172" i="12"/>
  <c r="AO172" i="12"/>
  <c r="AP172" i="12"/>
  <c r="BD172" i="12" s="1"/>
  <c r="AQ172" i="12"/>
  <c r="AR172" i="12"/>
  <c r="AS172" i="12"/>
  <c r="AT172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BH173" i="12" s="1"/>
  <c r="AT173" i="12"/>
  <c r="AI174" i="12"/>
  <c r="AJ174" i="12"/>
  <c r="AK174" i="12"/>
  <c r="AY174" i="12" s="1"/>
  <c r="AL174" i="12"/>
  <c r="AM174" i="12"/>
  <c r="AN174" i="12"/>
  <c r="AO174" i="12"/>
  <c r="AP174" i="12"/>
  <c r="AQ174" i="12"/>
  <c r="AR174" i="12"/>
  <c r="AS174" i="12"/>
  <c r="AT174" i="12"/>
  <c r="AI175" i="12"/>
  <c r="AJ175" i="12"/>
  <c r="AK175" i="12"/>
  <c r="AL175" i="12"/>
  <c r="AZ175" i="12" s="1"/>
  <c r="AM175" i="12"/>
  <c r="AN175" i="12"/>
  <c r="AO175" i="12"/>
  <c r="AP175" i="12"/>
  <c r="AQ175" i="12"/>
  <c r="AR175" i="12"/>
  <c r="AS175" i="12"/>
  <c r="AT175" i="12"/>
  <c r="AI176" i="12"/>
  <c r="AJ176" i="12"/>
  <c r="AK176" i="12"/>
  <c r="AL176" i="12"/>
  <c r="AM176" i="12"/>
  <c r="AN176" i="12"/>
  <c r="AO176" i="12"/>
  <c r="AP176" i="12"/>
  <c r="BD176" i="12" s="1"/>
  <c r="AQ176" i="12"/>
  <c r="BG176" i="12" s="1"/>
  <c r="AR176" i="12"/>
  <c r="AS176" i="12"/>
  <c r="AT176" i="12"/>
  <c r="AI177" i="12"/>
  <c r="AJ177" i="12"/>
  <c r="AK177" i="12"/>
  <c r="AL177" i="12"/>
  <c r="AZ177" i="12" s="1"/>
  <c r="AM177" i="12"/>
  <c r="AN177" i="12"/>
  <c r="AO177" i="12"/>
  <c r="AP177" i="12"/>
  <c r="AQ177" i="12"/>
  <c r="AR177" i="12"/>
  <c r="AS177" i="12"/>
  <c r="AT177" i="12"/>
  <c r="BH177" i="12" s="1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I179" i="12"/>
  <c r="AJ179" i="12"/>
  <c r="AK179" i="12"/>
  <c r="AL179" i="12"/>
  <c r="AZ179" i="12" s="1"/>
  <c r="AM179" i="12"/>
  <c r="AN179" i="12"/>
  <c r="AO179" i="12"/>
  <c r="AP179" i="12"/>
  <c r="AQ179" i="12"/>
  <c r="BF179" i="12" s="1"/>
  <c r="AR179" i="12"/>
  <c r="AS179" i="12"/>
  <c r="AT179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I183" i="12"/>
  <c r="AX183" i="12" s="1"/>
  <c r="AJ183" i="12"/>
  <c r="AK183" i="12"/>
  <c r="AL183" i="12"/>
  <c r="AM183" i="12"/>
  <c r="AN183" i="12"/>
  <c r="AO183" i="12"/>
  <c r="AP183" i="12"/>
  <c r="AQ183" i="12"/>
  <c r="AR183" i="12"/>
  <c r="AS183" i="12"/>
  <c r="AT183" i="12"/>
  <c r="AI184" i="12"/>
  <c r="AJ184" i="12"/>
  <c r="AK184" i="12"/>
  <c r="AL184" i="12"/>
  <c r="AM184" i="12"/>
  <c r="AN184" i="12"/>
  <c r="AO184" i="12"/>
  <c r="AP184" i="12"/>
  <c r="BD184" i="12" s="1"/>
  <c r="AQ184" i="12"/>
  <c r="AR184" i="12"/>
  <c r="AS184" i="12"/>
  <c r="AT184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BH185" i="12" s="1"/>
  <c r="AI186" i="12"/>
  <c r="AX186" i="12" s="1"/>
  <c r="AJ186" i="12"/>
  <c r="AK186" i="12"/>
  <c r="AL186" i="12"/>
  <c r="AM186" i="12"/>
  <c r="AN186" i="12"/>
  <c r="AO186" i="12"/>
  <c r="AP186" i="12"/>
  <c r="AQ186" i="12"/>
  <c r="AR186" i="12"/>
  <c r="AS186" i="12"/>
  <c r="AT186" i="12"/>
  <c r="AI187" i="12"/>
  <c r="AJ187" i="12"/>
  <c r="AK187" i="12"/>
  <c r="AL187" i="12"/>
  <c r="AZ187" i="12" s="1"/>
  <c r="AM187" i="12"/>
  <c r="AN187" i="12"/>
  <c r="AO187" i="12"/>
  <c r="AP187" i="12"/>
  <c r="AQ187" i="12"/>
  <c r="AR187" i="12"/>
  <c r="AS187" i="12"/>
  <c r="AT187" i="12"/>
  <c r="AI188" i="12"/>
  <c r="AJ188" i="12"/>
  <c r="AK188" i="12"/>
  <c r="AL188" i="12"/>
  <c r="BB188" i="12" s="1"/>
  <c r="AM188" i="12"/>
  <c r="BC188" i="12" s="1"/>
  <c r="AN188" i="12"/>
  <c r="AO188" i="12"/>
  <c r="AP188" i="12"/>
  <c r="BD188" i="12" s="1"/>
  <c r="AQ188" i="12"/>
  <c r="BG188" i="12" s="1"/>
  <c r="AR188" i="12"/>
  <c r="BH188" i="12" s="1"/>
  <c r="AS188" i="12"/>
  <c r="AT188" i="12"/>
  <c r="AI189" i="12"/>
  <c r="AX189" i="12" s="1"/>
  <c r="AJ189" i="12"/>
  <c r="AK189" i="12"/>
  <c r="AL189" i="12"/>
  <c r="AM189" i="12"/>
  <c r="AN189" i="12"/>
  <c r="AO189" i="12"/>
  <c r="AP189" i="12"/>
  <c r="AQ189" i="12"/>
  <c r="BG189" i="12" s="1"/>
  <c r="AR189" i="12"/>
  <c r="AS189" i="12"/>
  <c r="AT189" i="12"/>
  <c r="BH189" i="12" s="1"/>
  <c r="AI190" i="12"/>
  <c r="AJ190" i="12"/>
  <c r="AK190" i="12"/>
  <c r="BA190" i="12" s="1"/>
  <c r="AL190" i="12"/>
  <c r="AM190" i="12"/>
  <c r="AN190" i="12"/>
  <c r="AO190" i="12"/>
  <c r="AP190" i="12"/>
  <c r="AQ190" i="12"/>
  <c r="AR190" i="12"/>
  <c r="AS190" i="12"/>
  <c r="AT190" i="12"/>
  <c r="AI191" i="12"/>
  <c r="AJ191" i="12"/>
  <c r="AK191" i="12"/>
  <c r="BA191" i="12" s="1"/>
  <c r="AL191" i="12"/>
  <c r="AZ191" i="12" s="1"/>
  <c r="AM191" i="12"/>
  <c r="AN191" i="12"/>
  <c r="AO191" i="12"/>
  <c r="BE191" i="12" s="1"/>
  <c r="AP191" i="12"/>
  <c r="AQ191" i="12"/>
  <c r="AR191" i="12"/>
  <c r="AS191" i="12"/>
  <c r="AT191" i="12"/>
  <c r="AI192" i="12"/>
  <c r="AJ192" i="12"/>
  <c r="AK192" i="12"/>
  <c r="AL192" i="12"/>
  <c r="AM192" i="12"/>
  <c r="BC192" i="12" s="1"/>
  <c r="AN192" i="12"/>
  <c r="AO192" i="12"/>
  <c r="AP192" i="12"/>
  <c r="AQ192" i="12"/>
  <c r="AR192" i="12"/>
  <c r="AS192" i="12"/>
  <c r="AT192" i="12"/>
  <c r="AI193" i="12"/>
  <c r="AJ193" i="12"/>
  <c r="AK193" i="12"/>
  <c r="AL193" i="12"/>
  <c r="AM193" i="12"/>
  <c r="AN193" i="12"/>
  <c r="AO193" i="12"/>
  <c r="AP193" i="12"/>
  <c r="AQ193" i="12"/>
  <c r="BG193" i="12" s="1"/>
  <c r="AR193" i="12"/>
  <c r="AS193" i="12"/>
  <c r="AT193" i="12"/>
  <c r="BH193" i="12" s="1"/>
  <c r="AI194" i="12"/>
  <c r="AJ194" i="12"/>
  <c r="AK194" i="12"/>
  <c r="BA194" i="12" s="1"/>
  <c r="AL194" i="12"/>
  <c r="AM194" i="12"/>
  <c r="AN194" i="12"/>
  <c r="AO194" i="12"/>
  <c r="AP194" i="12"/>
  <c r="AQ194" i="12"/>
  <c r="AR194" i="12"/>
  <c r="AS194" i="12"/>
  <c r="AT194" i="12"/>
  <c r="AI195" i="12"/>
  <c r="AJ195" i="12"/>
  <c r="AK195" i="12"/>
  <c r="AL195" i="12"/>
  <c r="AM195" i="12"/>
  <c r="AN195" i="12"/>
  <c r="AO195" i="12"/>
  <c r="BE195" i="12" s="1"/>
  <c r="AP195" i="12"/>
  <c r="AQ195" i="12"/>
  <c r="AR195" i="12"/>
  <c r="AS195" i="12"/>
  <c r="AT195" i="12"/>
  <c r="AI196" i="12"/>
  <c r="AJ196" i="12"/>
  <c r="AK196" i="12"/>
  <c r="AL196" i="12"/>
  <c r="AM196" i="12"/>
  <c r="BC196" i="12" s="1"/>
  <c r="AN196" i="12"/>
  <c r="AO196" i="12"/>
  <c r="AP196" i="12"/>
  <c r="AQ196" i="12"/>
  <c r="AR196" i="12"/>
  <c r="AS196" i="12"/>
  <c r="AT196" i="12"/>
  <c r="AI197" i="12"/>
  <c r="AJ197" i="12"/>
  <c r="AK197" i="12"/>
  <c r="AL197" i="12"/>
  <c r="AM197" i="12"/>
  <c r="AN197" i="12"/>
  <c r="AO197" i="12"/>
  <c r="AP197" i="12"/>
  <c r="AQ197" i="12"/>
  <c r="BG197" i="12" s="1"/>
  <c r="AR197" i="12"/>
  <c r="AS197" i="12"/>
  <c r="AT197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I199" i="12"/>
  <c r="AX199" i="12" s="1"/>
  <c r="AJ199" i="12"/>
  <c r="AK199" i="12"/>
  <c r="AL199" i="12"/>
  <c r="AZ199" i="12" s="1"/>
  <c r="AM199" i="12"/>
  <c r="AN199" i="12"/>
  <c r="AO199" i="12"/>
  <c r="AP199" i="12"/>
  <c r="AQ199" i="12"/>
  <c r="AR199" i="12"/>
  <c r="AS199" i="12"/>
  <c r="AT199" i="12"/>
  <c r="AI200" i="12"/>
  <c r="AJ200" i="12"/>
  <c r="AK200" i="12"/>
  <c r="AL200" i="12"/>
  <c r="BB200" i="12" s="1"/>
  <c r="AM200" i="12"/>
  <c r="BC200" i="12" s="1"/>
  <c r="AN200" i="12"/>
  <c r="BD200" i="12" s="1"/>
  <c r="AO200" i="12"/>
  <c r="AP200" i="12"/>
  <c r="BF200" i="12" s="1"/>
  <c r="AQ200" i="12"/>
  <c r="AR200" i="12"/>
  <c r="AS200" i="12"/>
  <c r="AT200" i="12"/>
  <c r="AI201" i="12"/>
  <c r="AJ201" i="12"/>
  <c r="AK201" i="12"/>
  <c r="AL201" i="12"/>
  <c r="AM201" i="12"/>
  <c r="AN201" i="12"/>
  <c r="AO201" i="12"/>
  <c r="AP201" i="12"/>
  <c r="AQ201" i="12"/>
  <c r="BG201" i="12" s="1"/>
  <c r="AR201" i="12"/>
  <c r="AS201" i="12"/>
  <c r="AT201" i="12"/>
  <c r="BH201" i="12" s="1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I203" i="12"/>
  <c r="AY203" i="12" s="1"/>
  <c r="AJ203" i="12"/>
  <c r="AZ203" i="12" s="1"/>
  <c r="AK203" i="12"/>
  <c r="BA203" i="12" s="1"/>
  <c r="AL203" i="12"/>
  <c r="BB203" i="12" s="1"/>
  <c r="AM203" i="12"/>
  <c r="AN203" i="12"/>
  <c r="AO203" i="12"/>
  <c r="BE203" i="12" s="1"/>
  <c r="AP203" i="12"/>
  <c r="AQ203" i="12"/>
  <c r="AR203" i="12"/>
  <c r="AS203" i="12"/>
  <c r="AT203" i="12"/>
  <c r="AI204" i="12"/>
  <c r="AJ204" i="12"/>
  <c r="AK204" i="12"/>
  <c r="AL204" i="12"/>
  <c r="AM204" i="12"/>
  <c r="BC204" i="12" s="1"/>
  <c r="AN204" i="12"/>
  <c r="AO204" i="12"/>
  <c r="AP204" i="12"/>
  <c r="BD204" i="12" s="1"/>
  <c r="AQ204" i="12"/>
  <c r="AR204" i="12"/>
  <c r="AS204" i="12"/>
  <c r="AT204" i="12"/>
  <c r="AI205" i="12"/>
  <c r="AJ205" i="12"/>
  <c r="AK205" i="12"/>
  <c r="AL205" i="12"/>
  <c r="AM205" i="12"/>
  <c r="AN205" i="12"/>
  <c r="AO205" i="12"/>
  <c r="AP205" i="12"/>
  <c r="AQ205" i="12"/>
  <c r="BG205" i="12" s="1"/>
  <c r="AR205" i="12"/>
  <c r="AS205" i="12"/>
  <c r="AT205" i="12"/>
  <c r="BH205" i="12" s="1"/>
  <c r="AI206" i="12"/>
  <c r="AJ206" i="12"/>
  <c r="AK206" i="12"/>
  <c r="BA206" i="12" s="1"/>
  <c r="AL206" i="12"/>
  <c r="AM206" i="12"/>
  <c r="AN206" i="12"/>
  <c r="AO206" i="12"/>
  <c r="AP206" i="12"/>
  <c r="AQ206" i="12"/>
  <c r="AR206" i="12"/>
  <c r="AS206" i="12"/>
  <c r="AT206" i="12"/>
  <c r="AI207" i="12"/>
  <c r="AJ207" i="12"/>
  <c r="AK207" i="12"/>
  <c r="AL207" i="12"/>
  <c r="AZ207" i="12" s="1"/>
  <c r="AM207" i="12"/>
  <c r="AN207" i="12"/>
  <c r="AO207" i="12"/>
  <c r="BE207" i="12" s="1"/>
  <c r="AP207" i="12"/>
  <c r="AQ207" i="12"/>
  <c r="AR207" i="12"/>
  <c r="AS207" i="12"/>
  <c r="AT207" i="12"/>
  <c r="AJ143" i="12"/>
  <c r="AK143" i="12"/>
  <c r="AL143" i="12"/>
  <c r="AM143" i="12"/>
  <c r="AN143" i="12"/>
  <c r="BD143" i="12" s="1"/>
  <c r="AO143" i="12"/>
  <c r="AP143" i="12"/>
  <c r="AQ143" i="12"/>
  <c r="BG143" i="12" s="1"/>
  <c r="AR143" i="12"/>
  <c r="BH143" i="12" s="1"/>
  <c r="AS143" i="12"/>
  <c r="AT143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S208" i="12"/>
  <c r="T3" i="13"/>
  <c r="T4" i="13"/>
  <c r="T5" i="13"/>
  <c r="T6" i="13"/>
  <c r="BE78" i="12"/>
  <c r="AJ74" i="12"/>
  <c r="AK74" i="12"/>
  <c r="AL74" i="12"/>
  <c r="AM74" i="12"/>
  <c r="AN74" i="12"/>
  <c r="BD74" i="12" s="1"/>
  <c r="AO74" i="12"/>
  <c r="AP74" i="12"/>
  <c r="AQ74" i="12"/>
  <c r="BG74" i="12" s="1"/>
  <c r="AR74" i="12"/>
  <c r="AS74" i="12"/>
  <c r="AT74" i="12"/>
  <c r="AJ75" i="12"/>
  <c r="AK75" i="12"/>
  <c r="AL75" i="12"/>
  <c r="AM75" i="12"/>
  <c r="AN75" i="12"/>
  <c r="BD75" i="12" s="1"/>
  <c r="AO75" i="12"/>
  <c r="AP75" i="12"/>
  <c r="AQ75" i="12"/>
  <c r="AR75" i="12"/>
  <c r="AS75" i="12"/>
  <c r="AT75" i="12"/>
  <c r="AJ76" i="12"/>
  <c r="AK76" i="12"/>
  <c r="AL76" i="12"/>
  <c r="AM76" i="12"/>
  <c r="AN76" i="12"/>
  <c r="AO76" i="12"/>
  <c r="AP76" i="12"/>
  <c r="AQ76" i="12"/>
  <c r="AR76" i="12"/>
  <c r="AS76" i="12"/>
  <c r="AT76" i="12"/>
  <c r="AJ77" i="12"/>
  <c r="AK77" i="12"/>
  <c r="AL77" i="12"/>
  <c r="AM77" i="12"/>
  <c r="AN77" i="12"/>
  <c r="AO77" i="12"/>
  <c r="AP77" i="12"/>
  <c r="AQ77" i="12"/>
  <c r="AR77" i="12"/>
  <c r="AS77" i="12"/>
  <c r="AT77" i="12"/>
  <c r="AJ78" i="12"/>
  <c r="AK78" i="12"/>
  <c r="AL78" i="12"/>
  <c r="AM78" i="12"/>
  <c r="AN78" i="12"/>
  <c r="BD78" i="12" s="1"/>
  <c r="AO78" i="12"/>
  <c r="AP78" i="12"/>
  <c r="AQ78" i="12"/>
  <c r="AR78" i="12"/>
  <c r="BF78" i="12" s="1"/>
  <c r="AS78" i="12"/>
  <c r="AT78" i="12"/>
  <c r="AJ79" i="12"/>
  <c r="AK79" i="12"/>
  <c r="AL79" i="12"/>
  <c r="AM79" i="12"/>
  <c r="AN79" i="12"/>
  <c r="AO79" i="12"/>
  <c r="AP79" i="12"/>
  <c r="AQ79" i="12"/>
  <c r="AR79" i="12"/>
  <c r="AS79" i="12"/>
  <c r="AT79" i="12"/>
  <c r="AJ80" i="12"/>
  <c r="AK80" i="12"/>
  <c r="AL80" i="12"/>
  <c r="BB80" i="12" s="1"/>
  <c r="AM80" i="12"/>
  <c r="AN80" i="12"/>
  <c r="AO80" i="12"/>
  <c r="AP80" i="12"/>
  <c r="AQ80" i="12"/>
  <c r="AR80" i="12"/>
  <c r="AS80" i="12"/>
  <c r="AT80" i="12"/>
  <c r="AJ81" i="12"/>
  <c r="AK81" i="12"/>
  <c r="AL81" i="12"/>
  <c r="AM81" i="12"/>
  <c r="AN81" i="12"/>
  <c r="AO81" i="12"/>
  <c r="AP81" i="12"/>
  <c r="AQ81" i="12"/>
  <c r="BG81" i="12" s="1"/>
  <c r="AR81" i="12"/>
  <c r="AS81" i="12"/>
  <c r="AT81" i="12"/>
  <c r="AJ82" i="12"/>
  <c r="AK82" i="12"/>
  <c r="BA82" i="12" s="1"/>
  <c r="AL82" i="12"/>
  <c r="AM82" i="12"/>
  <c r="AN82" i="12"/>
  <c r="BB82" i="12" s="1"/>
  <c r="AO82" i="12"/>
  <c r="AP82" i="12"/>
  <c r="AQ82" i="12"/>
  <c r="BG82" i="12" s="1"/>
  <c r="AR82" i="12"/>
  <c r="AS82" i="12"/>
  <c r="AT82" i="12"/>
  <c r="AJ83" i="12"/>
  <c r="AK83" i="12"/>
  <c r="AL83" i="12"/>
  <c r="AM83" i="12"/>
  <c r="AN83" i="12"/>
  <c r="BD83" i="12" s="1"/>
  <c r="AO83" i="12"/>
  <c r="AP83" i="12"/>
  <c r="AQ83" i="12"/>
  <c r="AR83" i="12"/>
  <c r="AS83" i="12"/>
  <c r="AT83" i="12"/>
  <c r="AJ84" i="12"/>
  <c r="AK84" i="12"/>
  <c r="AL84" i="12"/>
  <c r="AM84" i="12"/>
  <c r="AN84" i="12"/>
  <c r="AO84" i="12"/>
  <c r="AP84" i="12"/>
  <c r="AQ84" i="12"/>
  <c r="AR84" i="12"/>
  <c r="AS84" i="12"/>
  <c r="AT84" i="12"/>
  <c r="AJ85" i="12"/>
  <c r="AK85" i="12"/>
  <c r="AL85" i="12"/>
  <c r="AL139" i="12" s="1"/>
  <c r="AM85" i="12"/>
  <c r="AM139" i="12" s="1"/>
  <c r="AN85" i="12"/>
  <c r="AN139" i="12" s="1"/>
  <c r="AO85" i="12"/>
  <c r="AO139" i="12" s="1"/>
  <c r="AP85" i="12"/>
  <c r="AP139" i="12" s="1"/>
  <c r="AQ85" i="12"/>
  <c r="AQ139" i="12" s="1"/>
  <c r="AR85" i="12"/>
  <c r="AR139" i="12" s="1"/>
  <c r="AS85" i="12"/>
  <c r="AS139" i="12" s="1"/>
  <c r="AT85" i="12"/>
  <c r="AT139" i="12" s="1"/>
  <c r="AJ86" i="12"/>
  <c r="AK86" i="12"/>
  <c r="AL86" i="12"/>
  <c r="AM86" i="12"/>
  <c r="AN86" i="12"/>
  <c r="AO86" i="12"/>
  <c r="AP86" i="12"/>
  <c r="AQ86" i="12"/>
  <c r="AR86" i="12"/>
  <c r="AS86" i="12"/>
  <c r="AT86" i="12"/>
  <c r="AJ87" i="12"/>
  <c r="AK87" i="12"/>
  <c r="BA87" i="12" s="1"/>
  <c r="AL87" i="12"/>
  <c r="AM87" i="12"/>
  <c r="AN87" i="12"/>
  <c r="AO87" i="12"/>
  <c r="BE87" i="12" s="1"/>
  <c r="AP87" i="12"/>
  <c r="AQ87" i="12"/>
  <c r="AR87" i="12"/>
  <c r="AS87" i="12"/>
  <c r="AT87" i="12"/>
  <c r="AJ88" i="12"/>
  <c r="AK88" i="12"/>
  <c r="AL88" i="12"/>
  <c r="AM88" i="12"/>
  <c r="AN88" i="12"/>
  <c r="AO88" i="12"/>
  <c r="AP88" i="12"/>
  <c r="AQ88" i="12"/>
  <c r="AR88" i="12"/>
  <c r="AS88" i="12"/>
  <c r="AT88" i="12"/>
  <c r="AJ89" i="12"/>
  <c r="AK89" i="12"/>
  <c r="AL89" i="12"/>
  <c r="AZ89" i="12" s="1"/>
  <c r="AM89" i="12"/>
  <c r="AN89" i="12"/>
  <c r="AO89" i="12"/>
  <c r="AP89" i="12"/>
  <c r="AQ89" i="12"/>
  <c r="AR89" i="12"/>
  <c r="AS89" i="12"/>
  <c r="AT89" i="12"/>
  <c r="AJ90" i="12"/>
  <c r="AK90" i="12"/>
  <c r="AL90" i="12"/>
  <c r="AM90" i="12"/>
  <c r="AN90" i="12"/>
  <c r="AO90" i="12"/>
  <c r="AP90" i="12"/>
  <c r="AQ90" i="12"/>
  <c r="BG90" i="12" s="1"/>
  <c r="AR90" i="12"/>
  <c r="AS90" i="12"/>
  <c r="AT90" i="12"/>
  <c r="AJ91" i="12"/>
  <c r="AK91" i="12"/>
  <c r="AL91" i="12"/>
  <c r="AM91" i="12"/>
  <c r="AN91" i="12"/>
  <c r="AO91" i="12"/>
  <c r="AP91" i="12"/>
  <c r="AQ91" i="12"/>
  <c r="AR91" i="12"/>
  <c r="AS91" i="12"/>
  <c r="AT91" i="12"/>
  <c r="AJ92" i="12"/>
  <c r="AK92" i="12"/>
  <c r="AL92" i="12"/>
  <c r="AM92" i="12"/>
  <c r="AN92" i="12"/>
  <c r="AO92" i="12"/>
  <c r="AP92" i="12"/>
  <c r="AQ92" i="12"/>
  <c r="AR92" i="12"/>
  <c r="AS92" i="12"/>
  <c r="AT92" i="12"/>
  <c r="AJ93" i="12"/>
  <c r="AK93" i="12"/>
  <c r="AL93" i="12"/>
  <c r="AM93" i="12"/>
  <c r="AN93" i="12"/>
  <c r="AO93" i="12"/>
  <c r="AP93" i="12"/>
  <c r="AQ93" i="12"/>
  <c r="AR93" i="12"/>
  <c r="AS93" i="12"/>
  <c r="AT93" i="12"/>
  <c r="AJ94" i="12"/>
  <c r="AK94" i="12"/>
  <c r="AL94" i="12"/>
  <c r="AZ94" i="12" s="1"/>
  <c r="AM94" i="12"/>
  <c r="BA94" i="12" s="1"/>
  <c r="AN94" i="12"/>
  <c r="BD94" i="12" s="1"/>
  <c r="AO94" i="12"/>
  <c r="AP94" i="12"/>
  <c r="AQ94" i="12"/>
  <c r="AR94" i="12"/>
  <c r="AS94" i="12"/>
  <c r="AT94" i="12"/>
  <c r="AJ95" i="12"/>
  <c r="AK95" i="12"/>
  <c r="AL95" i="12"/>
  <c r="AM95" i="12"/>
  <c r="AN95" i="12"/>
  <c r="AO95" i="12"/>
  <c r="AP95" i="12"/>
  <c r="AQ95" i="12"/>
  <c r="AR95" i="12"/>
  <c r="AS95" i="12"/>
  <c r="AT95" i="12"/>
  <c r="AJ96" i="12"/>
  <c r="AK96" i="12"/>
  <c r="AL96" i="12"/>
  <c r="BB96" i="12" s="1"/>
  <c r="AM96" i="12"/>
  <c r="AN96" i="12"/>
  <c r="AO96" i="12"/>
  <c r="BC96" i="12" s="1"/>
  <c r="AP96" i="12"/>
  <c r="AQ96" i="12"/>
  <c r="AR96" i="12"/>
  <c r="AS96" i="12"/>
  <c r="AT96" i="12"/>
  <c r="AJ97" i="12"/>
  <c r="AK97" i="12"/>
  <c r="AL97" i="12"/>
  <c r="AM97" i="12"/>
  <c r="BC97" i="12" s="1"/>
  <c r="AN97" i="12"/>
  <c r="AO97" i="12"/>
  <c r="AP97" i="12"/>
  <c r="AQ97" i="12"/>
  <c r="BG97" i="12" s="1"/>
  <c r="AR97" i="12"/>
  <c r="AS97" i="12"/>
  <c r="AT97" i="12"/>
  <c r="AJ98" i="12"/>
  <c r="AK98" i="12"/>
  <c r="AL98" i="12"/>
  <c r="AM98" i="12"/>
  <c r="AN98" i="12"/>
  <c r="AO98" i="12"/>
  <c r="AP98" i="12"/>
  <c r="AQ98" i="12"/>
  <c r="BG98" i="12" s="1"/>
  <c r="AR98" i="12"/>
  <c r="AS98" i="12"/>
  <c r="AT98" i="12"/>
  <c r="AJ99" i="12"/>
  <c r="AK99" i="12"/>
  <c r="BA99" i="12" s="1"/>
  <c r="AL99" i="12"/>
  <c r="AM99" i="12"/>
  <c r="AN99" i="12"/>
  <c r="BB99" i="12" s="1"/>
  <c r="AO99" i="12"/>
  <c r="AP99" i="12"/>
  <c r="AQ99" i="12"/>
  <c r="AR99" i="12"/>
  <c r="AS99" i="12"/>
  <c r="AT99" i="12"/>
  <c r="AJ100" i="12"/>
  <c r="AK100" i="12"/>
  <c r="BA100" i="12" s="1"/>
  <c r="AL100" i="12"/>
  <c r="AM100" i="12"/>
  <c r="AN100" i="12"/>
  <c r="AO100" i="12"/>
  <c r="AP100" i="12"/>
  <c r="AQ100" i="12"/>
  <c r="AR100" i="12"/>
  <c r="AS100" i="12"/>
  <c r="AT100" i="12"/>
  <c r="AJ101" i="12"/>
  <c r="AZ101" i="12" s="1"/>
  <c r="AK101" i="12"/>
  <c r="BA101" i="12" s="1"/>
  <c r="AL101" i="12"/>
  <c r="BB101" i="12" s="1"/>
  <c r="AM101" i="12"/>
  <c r="AN101" i="12"/>
  <c r="AO101" i="12"/>
  <c r="AP101" i="12"/>
  <c r="AQ101" i="12"/>
  <c r="AR101" i="12"/>
  <c r="AS101" i="12"/>
  <c r="AT101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J103" i="12"/>
  <c r="AK103" i="12"/>
  <c r="BA103" i="12" s="1"/>
  <c r="AL103" i="12"/>
  <c r="AM103" i="12"/>
  <c r="AN103" i="12"/>
  <c r="AO103" i="12"/>
  <c r="AP103" i="12"/>
  <c r="AQ103" i="12"/>
  <c r="AR103" i="12"/>
  <c r="AS103" i="12"/>
  <c r="AT103" i="12"/>
  <c r="AJ104" i="12"/>
  <c r="AK104" i="12"/>
  <c r="AL104" i="12"/>
  <c r="AM104" i="12"/>
  <c r="AN104" i="12"/>
  <c r="AO104" i="12"/>
  <c r="AP104" i="12"/>
  <c r="BF104" i="12" s="1"/>
  <c r="AQ104" i="12"/>
  <c r="AR104" i="12"/>
  <c r="AS104" i="12"/>
  <c r="AT104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J106" i="12"/>
  <c r="AZ106" i="12" s="1"/>
  <c r="AK106" i="12"/>
  <c r="AL106" i="12"/>
  <c r="AM106" i="12"/>
  <c r="AN106" i="12"/>
  <c r="BD106" i="12" s="1"/>
  <c r="AO106" i="12"/>
  <c r="AP106" i="12"/>
  <c r="AQ106" i="12"/>
  <c r="BE106" i="12" s="1"/>
  <c r="AR106" i="12"/>
  <c r="AS106" i="12"/>
  <c r="AT106" i="12"/>
  <c r="AJ107" i="12"/>
  <c r="AK107" i="12"/>
  <c r="AL107" i="12"/>
  <c r="AM107" i="12"/>
  <c r="AN107" i="12"/>
  <c r="BD107" i="12" s="1"/>
  <c r="AO107" i="12"/>
  <c r="AP107" i="12"/>
  <c r="AQ107" i="12"/>
  <c r="AR107" i="12"/>
  <c r="AS107" i="12"/>
  <c r="AT107" i="12"/>
  <c r="AJ108" i="12"/>
  <c r="AK108" i="12"/>
  <c r="BA108" i="12" s="1"/>
  <c r="AL108" i="12"/>
  <c r="AM108" i="12"/>
  <c r="AN108" i="12"/>
  <c r="AO108" i="12"/>
  <c r="AP108" i="12"/>
  <c r="AQ108" i="12"/>
  <c r="AR108" i="12"/>
  <c r="AS108" i="12"/>
  <c r="AT108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J112" i="12"/>
  <c r="AK112" i="12"/>
  <c r="AL112" i="12"/>
  <c r="AM112" i="12"/>
  <c r="AN112" i="12"/>
  <c r="AO112" i="12"/>
  <c r="AP112" i="12"/>
  <c r="AQ112" i="12"/>
  <c r="BG112" i="12" s="1"/>
  <c r="AR112" i="12"/>
  <c r="AS112" i="12"/>
  <c r="AT112" i="12"/>
  <c r="AJ113" i="12"/>
  <c r="AK113" i="12"/>
  <c r="AL113" i="12"/>
  <c r="AM113" i="12"/>
  <c r="BC113" i="12" s="1"/>
  <c r="AN113" i="12"/>
  <c r="AO113" i="12"/>
  <c r="AP113" i="12"/>
  <c r="AQ113" i="12"/>
  <c r="AR113" i="12"/>
  <c r="AS113" i="12"/>
  <c r="AT113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J115" i="12"/>
  <c r="AK115" i="12"/>
  <c r="BA115" i="12" s="1"/>
  <c r="AL115" i="12"/>
  <c r="AM115" i="12"/>
  <c r="AN115" i="12"/>
  <c r="AO115" i="12"/>
  <c r="AP115" i="12"/>
  <c r="AQ115" i="12"/>
  <c r="AR115" i="12"/>
  <c r="AS115" i="12"/>
  <c r="AT115" i="12"/>
  <c r="AJ116" i="12"/>
  <c r="AK116" i="12"/>
  <c r="BA116" i="12" s="1"/>
  <c r="AL116" i="12"/>
  <c r="AM116" i="12"/>
  <c r="AN116" i="12"/>
  <c r="AO116" i="12"/>
  <c r="AP116" i="12"/>
  <c r="AQ116" i="12"/>
  <c r="AR116" i="12"/>
  <c r="AS116" i="12"/>
  <c r="AT116" i="12"/>
  <c r="AJ117" i="12"/>
  <c r="AK117" i="12"/>
  <c r="AL117" i="12"/>
  <c r="AM117" i="12"/>
  <c r="AN117" i="12"/>
  <c r="AO117" i="12"/>
  <c r="AP117" i="12"/>
  <c r="BF117" i="12" s="1"/>
  <c r="AQ117" i="12"/>
  <c r="AR117" i="12"/>
  <c r="AS117" i="12"/>
  <c r="AT117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J119" i="12"/>
  <c r="AZ119" i="12" s="1"/>
  <c r="AK119" i="12"/>
  <c r="AL119" i="12"/>
  <c r="AM119" i="12"/>
  <c r="AN119" i="12"/>
  <c r="AO119" i="12"/>
  <c r="AP119" i="12"/>
  <c r="AQ119" i="12"/>
  <c r="AR119" i="12"/>
  <c r="BF119" i="12" s="1"/>
  <c r="AS119" i="12"/>
  <c r="AT119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J126" i="12"/>
  <c r="AK126" i="12"/>
  <c r="AL126" i="12"/>
  <c r="AM126" i="12"/>
  <c r="AN126" i="12"/>
  <c r="AO126" i="12"/>
  <c r="AP126" i="12"/>
  <c r="AQ126" i="12"/>
  <c r="AR126" i="12"/>
  <c r="BH126" i="12" s="1"/>
  <c r="AS126" i="12"/>
  <c r="AT126" i="12"/>
  <c r="AJ127" i="12"/>
  <c r="AZ127" i="12" s="1"/>
  <c r="AK127" i="12"/>
  <c r="AL127" i="12"/>
  <c r="AM127" i="12"/>
  <c r="AN127" i="12"/>
  <c r="AO127" i="12"/>
  <c r="AP127" i="12"/>
  <c r="AQ127" i="12"/>
  <c r="AR127" i="12"/>
  <c r="AS127" i="12"/>
  <c r="AT127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J129" i="12"/>
  <c r="AK129" i="12"/>
  <c r="AL129" i="12"/>
  <c r="BB129" i="12" s="1"/>
  <c r="AM129" i="12"/>
  <c r="AN129" i="12"/>
  <c r="AO129" i="12"/>
  <c r="AP129" i="12"/>
  <c r="AQ129" i="12"/>
  <c r="AR129" i="12"/>
  <c r="AS129" i="12"/>
  <c r="AT129" i="12"/>
  <c r="AJ130" i="12"/>
  <c r="AK130" i="12"/>
  <c r="AL130" i="12"/>
  <c r="AM130" i="12"/>
  <c r="BC130" i="12" s="1"/>
  <c r="AN130" i="12"/>
  <c r="AO130" i="12"/>
  <c r="AP130" i="12"/>
  <c r="AQ130" i="12"/>
  <c r="AR130" i="12"/>
  <c r="AS130" i="12"/>
  <c r="AT130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J133" i="12"/>
  <c r="AK133" i="12"/>
  <c r="AL133" i="12"/>
  <c r="AM133" i="12"/>
  <c r="AN133" i="12"/>
  <c r="AO133" i="12"/>
  <c r="BE133" i="12" s="1"/>
  <c r="AP133" i="12"/>
  <c r="AQ133" i="12"/>
  <c r="AR133" i="12"/>
  <c r="AS133" i="12"/>
  <c r="AT133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J136" i="12"/>
  <c r="AK136" i="12"/>
  <c r="AL136" i="12"/>
  <c r="AM136" i="12"/>
  <c r="AN136" i="12"/>
  <c r="AO136" i="12"/>
  <c r="BE136" i="12" s="1"/>
  <c r="AP136" i="12"/>
  <c r="AQ136" i="12"/>
  <c r="AR136" i="12"/>
  <c r="AS136" i="12"/>
  <c r="AT136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J138" i="12"/>
  <c r="AK138" i="12"/>
  <c r="AL138" i="12"/>
  <c r="AM138" i="12"/>
  <c r="AN138" i="12"/>
  <c r="BD138" i="12" s="1"/>
  <c r="AO138" i="12"/>
  <c r="AP138" i="12"/>
  <c r="AQ138" i="12"/>
  <c r="BG138" i="12" s="1"/>
  <c r="AR138" i="12"/>
  <c r="AS138" i="12"/>
  <c r="AT138" i="12"/>
  <c r="AI85" i="12"/>
  <c r="AI86" i="12"/>
  <c r="AI87" i="12"/>
  <c r="AI88" i="12"/>
  <c r="AY88" i="12" s="1"/>
  <c r="AI89" i="12"/>
  <c r="AY89" i="12" s="1"/>
  <c r="AI90" i="12"/>
  <c r="AX90" i="12" s="1"/>
  <c r="AI91" i="12"/>
  <c r="AX91" i="12" s="1"/>
  <c r="AI92" i="12"/>
  <c r="AI93" i="12"/>
  <c r="AX93" i="12" s="1"/>
  <c r="AI94" i="12"/>
  <c r="AY94" i="12" s="1"/>
  <c r="AI95" i="12"/>
  <c r="AI96" i="12"/>
  <c r="AX96" i="12" s="1"/>
  <c r="AI97" i="12"/>
  <c r="AI98" i="12"/>
  <c r="AX98" i="12" s="1"/>
  <c r="AI99" i="12"/>
  <c r="AI100" i="12"/>
  <c r="AI101" i="12"/>
  <c r="AX101" i="12" s="1"/>
  <c r="AI102" i="12"/>
  <c r="AI103" i="12"/>
  <c r="AI104" i="12"/>
  <c r="AI105" i="12"/>
  <c r="AI106" i="12"/>
  <c r="AX106" i="12" s="1"/>
  <c r="AI107" i="12"/>
  <c r="AX107" i="12" s="1"/>
  <c r="AI108" i="12"/>
  <c r="AI109" i="12"/>
  <c r="AI110" i="12"/>
  <c r="AI111" i="12"/>
  <c r="AI112" i="12"/>
  <c r="AI113" i="12"/>
  <c r="AX113" i="12" s="1"/>
  <c r="AI114" i="12"/>
  <c r="AI115" i="12"/>
  <c r="AI116" i="12"/>
  <c r="AI117" i="12"/>
  <c r="AY117" i="12" s="1"/>
  <c r="AI118" i="12"/>
  <c r="AI119" i="12"/>
  <c r="AI120" i="12"/>
  <c r="AX120" i="12" s="1"/>
  <c r="AI121" i="12"/>
  <c r="AX121" i="12" s="1"/>
  <c r="AI122" i="12"/>
  <c r="AX122" i="12" s="1"/>
  <c r="AI123" i="12"/>
  <c r="AX123" i="12" s="1"/>
  <c r="AI124" i="12"/>
  <c r="AI125" i="12"/>
  <c r="AX125" i="12" s="1"/>
  <c r="AI126" i="12"/>
  <c r="AI127" i="12"/>
  <c r="AI128" i="12"/>
  <c r="AI129" i="12"/>
  <c r="AI130" i="12"/>
  <c r="AX130" i="12" s="1"/>
  <c r="AI131" i="12"/>
  <c r="AI132" i="12"/>
  <c r="AI133" i="12"/>
  <c r="AI134" i="12"/>
  <c r="AX134" i="12" s="1"/>
  <c r="AI135" i="12"/>
  <c r="AI136" i="12"/>
  <c r="AI137" i="12"/>
  <c r="AX137" i="12" s="1"/>
  <c r="AI138" i="12"/>
  <c r="AX138" i="12" s="1"/>
  <c r="AI75" i="12"/>
  <c r="AY75" i="12" s="1"/>
  <c r="AI76" i="12"/>
  <c r="AI77" i="12"/>
  <c r="AI78" i="12"/>
  <c r="AI79" i="12"/>
  <c r="AI80" i="12"/>
  <c r="AI81" i="12"/>
  <c r="AI82" i="12"/>
  <c r="AX82" i="12" s="1"/>
  <c r="AI83" i="12"/>
  <c r="AI84" i="12"/>
  <c r="AY74" i="12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I16" i="12"/>
  <c r="AJ5" i="12"/>
  <c r="AK5" i="12"/>
  <c r="AL5" i="12"/>
  <c r="AM5" i="12"/>
  <c r="AN5" i="12"/>
  <c r="AO5" i="12"/>
  <c r="BE5" i="12" s="1"/>
  <c r="AP5" i="12"/>
  <c r="AQ5" i="12"/>
  <c r="AR5" i="12"/>
  <c r="BH5" i="12" s="1"/>
  <c r="AS5" i="12"/>
  <c r="AT5" i="12"/>
  <c r="AJ6" i="12"/>
  <c r="AK6" i="12"/>
  <c r="AL6" i="12"/>
  <c r="AM6" i="12"/>
  <c r="AN6" i="12"/>
  <c r="AO6" i="12"/>
  <c r="AP6" i="12"/>
  <c r="AQ6" i="12"/>
  <c r="AR6" i="12"/>
  <c r="AS6" i="12"/>
  <c r="AT6" i="12"/>
  <c r="AJ7" i="12"/>
  <c r="AK7" i="12"/>
  <c r="AL7" i="12"/>
  <c r="AM7" i="12"/>
  <c r="AN7" i="12"/>
  <c r="AO7" i="12"/>
  <c r="AP7" i="12"/>
  <c r="AQ7" i="12"/>
  <c r="AR7" i="12"/>
  <c r="AS7" i="12"/>
  <c r="AT7" i="12"/>
  <c r="AJ8" i="12"/>
  <c r="AK8" i="12"/>
  <c r="AL8" i="12"/>
  <c r="AM8" i="12"/>
  <c r="AN8" i="12"/>
  <c r="AO8" i="12"/>
  <c r="AP8" i="12"/>
  <c r="AQ8" i="12"/>
  <c r="AR8" i="12"/>
  <c r="AS8" i="12"/>
  <c r="AT8" i="12"/>
  <c r="AJ9" i="12"/>
  <c r="AK9" i="12"/>
  <c r="AL9" i="12"/>
  <c r="AM9" i="12"/>
  <c r="AN9" i="12"/>
  <c r="AO9" i="12"/>
  <c r="AP9" i="12"/>
  <c r="AQ9" i="12"/>
  <c r="AR9" i="12"/>
  <c r="AS9" i="12"/>
  <c r="AT9" i="12"/>
  <c r="AJ10" i="12"/>
  <c r="AK10" i="12"/>
  <c r="AL10" i="12"/>
  <c r="AM10" i="12"/>
  <c r="AN10" i="12"/>
  <c r="AO10" i="12"/>
  <c r="AP10" i="12"/>
  <c r="AQ10" i="12"/>
  <c r="AR10" i="12"/>
  <c r="AS10" i="12"/>
  <c r="AT10" i="12"/>
  <c r="AJ11" i="12"/>
  <c r="AK11" i="12"/>
  <c r="AL11" i="12"/>
  <c r="AM11" i="12"/>
  <c r="AN11" i="12"/>
  <c r="AO11" i="12"/>
  <c r="AP11" i="12"/>
  <c r="AQ11" i="12"/>
  <c r="AR11" i="12"/>
  <c r="AS11" i="12"/>
  <c r="AT11" i="12"/>
  <c r="AJ12" i="12"/>
  <c r="AK12" i="12"/>
  <c r="AL12" i="12"/>
  <c r="AM12" i="12"/>
  <c r="AN12" i="12"/>
  <c r="AO12" i="12"/>
  <c r="AP12" i="12"/>
  <c r="AQ12" i="12"/>
  <c r="AR12" i="12"/>
  <c r="AS12" i="12"/>
  <c r="AT12" i="12"/>
  <c r="AJ13" i="12"/>
  <c r="AK13" i="12"/>
  <c r="AL13" i="12"/>
  <c r="AM13" i="12"/>
  <c r="AN13" i="12"/>
  <c r="AO13" i="12"/>
  <c r="AP13" i="12"/>
  <c r="AQ13" i="12"/>
  <c r="AR13" i="12"/>
  <c r="AS13" i="12"/>
  <c r="AT13" i="12"/>
  <c r="AJ14" i="12"/>
  <c r="AK14" i="12"/>
  <c r="AL14" i="12"/>
  <c r="AM14" i="12"/>
  <c r="AN14" i="12"/>
  <c r="AO14" i="12"/>
  <c r="AP14" i="12"/>
  <c r="AQ14" i="12"/>
  <c r="AR14" i="12"/>
  <c r="AS14" i="12"/>
  <c r="AT14" i="12"/>
  <c r="AJ15" i="12"/>
  <c r="AK15" i="12"/>
  <c r="AL15" i="12"/>
  <c r="AM15" i="12"/>
  <c r="AN15" i="12"/>
  <c r="AO15" i="12"/>
  <c r="AP15" i="12"/>
  <c r="AQ15" i="12"/>
  <c r="AR15" i="12"/>
  <c r="AS15" i="12"/>
  <c r="AT15" i="12"/>
  <c r="AJ16" i="12"/>
  <c r="AK16" i="12"/>
  <c r="AL16" i="12"/>
  <c r="AM16" i="12"/>
  <c r="AN16" i="12"/>
  <c r="AO16" i="12"/>
  <c r="AP16" i="12"/>
  <c r="AQ16" i="12"/>
  <c r="AR16" i="12"/>
  <c r="AS16" i="12"/>
  <c r="AT16" i="12"/>
  <c r="AJ17" i="12"/>
  <c r="AK17" i="12"/>
  <c r="AL17" i="12"/>
  <c r="AM17" i="12"/>
  <c r="AN17" i="12"/>
  <c r="AO17" i="12"/>
  <c r="AP17" i="12"/>
  <c r="AQ17" i="12"/>
  <c r="AR17" i="12"/>
  <c r="AS17" i="12"/>
  <c r="AT17" i="12"/>
  <c r="AJ18" i="12"/>
  <c r="AK18" i="12"/>
  <c r="AL18" i="12"/>
  <c r="AM18" i="12"/>
  <c r="AN18" i="12"/>
  <c r="AO18" i="12"/>
  <c r="AP18" i="12"/>
  <c r="AQ18" i="12"/>
  <c r="AR18" i="12"/>
  <c r="AS18" i="12"/>
  <c r="AT18" i="12"/>
  <c r="AJ19" i="12"/>
  <c r="AK19" i="12"/>
  <c r="AL19" i="12"/>
  <c r="AM19" i="12"/>
  <c r="AN19" i="12"/>
  <c r="AO19" i="12"/>
  <c r="AP19" i="12"/>
  <c r="AQ19" i="12"/>
  <c r="AR19" i="12"/>
  <c r="AS19" i="12"/>
  <c r="AT19" i="12"/>
  <c r="AJ20" i="12"/>
  <c r="AK20" i="12"/>
  <c r="AL20" i="12"/>
  <c r="AM20" i="12"/>
  <c r="AN20" i="12"/>
  <c r="AO20" i="12"/>
  <c r="AP20" i="12"/>
  <c r="AQ20" i="12"/>
  <c r="AR20" i="12"/>
  <c r="AS20" i="12"/>
  <c r="AT20" i="12"/>
  <c r="AJ21" i="12"/>
  <c r="AK21" i="12"/>
  <c r="AL21" i="12"/>
  <c r="AM21" i="12"/>
  <c r="AN21" i="12"/>
  <c r="AO21" i="12"/>
  <c r="AP21" i="12"/>
  <c r="AQ21" i="12"/>
  <c r="AR21" i="12"/>
  <c r="AS21" i="12"/>
  <c r="AT21" i="12"/>
  <c r="AJ22" i="12"/>
  <c r="AK22" i="12"/>
  <c r="AL22" i="12"/>
  <c r="AM22" i="12"/>
  <c r="AN22" i="12"/>
  <c r="AO22" i="12"/>
  <c r="AP22" i="12"/>
  <c r="AQ22" i="12"/>
  <c r="AR22" i="12"/>
  <c r="AS22" i="12"/>
  <c r="AT22" i="12"/>
  <c r="AJ23" i="12"/>
  <c r="AK23" i="12"/>
  <c r="AL23" i="12"/>
  <c r="AM23" i="12"/>
  <c r="AN23" i="12"/>
  <c r="AO23" i="12"/>
  <c r="AP23" i="12"/>
  <c r="AQ23" i="12"/>
  <c r="AR23" i="12"/>
  <c r="AS23" i="12"/>
  <c r="AT23" i="12"/>
  <c r="AJ24" i="12"/>
  <c r="AK24" i="12"/>
  <c r="AL24" i="12"/>
  <c r="AM24" i="12"/>
  <c r="BA24" i="12" s="1"/>
  <c r="AN24" i="12"/>
  <c r="AO24" i="12"/>
  <c r="AP24" i="12"/>
  <c r="AQ24" i="12"/>
  <c r="AR24" i="12"/>
  <c r="AS24" i="12"/>
  <c r="AT24" i="12"/>
  <c r="AJ25" i="12"/>
  <c r="AK25" i="12"/>
  <c r="AL25" i="12"/>
  <c r="AM25" i="12"/>
  <c r="AN25" i="12"/>
  <c r="AO25" i="12"/>
  <c r="AP25" i="12"/>
  <c r="AQ25" i="12"/>
  <c r="AR25" i="12"/>
  <c r="BF25" i="12" s="1"/>
  <c r="AS25" i="12"/>
  <c r="AT25" i="12"/>
  <c r="AJ26" i="12"/>
  <c r="AK26" i="12"/>
  <c r="AL26" i="12"/>
  <c r="AM26" i="12"/>
  <c r="AN26" i="12"/>
  <c r="AO26" i="12"/>
  <c r="AP26" i="12"/>
  <c r="AQ26" i="12"/>
  <c r="AR26" i="12"/>
  <c r="AS26" i="12"/>
  <c r="AT26" i="12"/>
  <c r="AJ27" i="12"/>
  <c r="AK27" i="12"/>
  <c r="AL27" i="12"/>
  <c r="AM27" i="12"/>
  <c r="AN27" i="12"/>
  <c r="AO27" i="12"/>
  <c r="AP27" i="12"/>
  <c r="AQ27" i="12"/>
  <c r="AR27" i="12"/>
  <c r="AS27" i="12"/>
  <c r="AT27" i="12"/>
  <c r="AJ28" i="12"/>
  <c r="AK28" i="12"/>
  <c r="AL28" i="12"/>
  <c r="AM28" i="12"/>
  <c r="AN28" i="12"/>
  <c r="AO28" i="12"/>
  <c r="AP28" i="12"/>
  <c r="AQ28" i="12"/>
  <c r="AR28" i="12"/>
  <c r="AS28" i="12"/>
  <c r="AT28" i="12"/>
  <c r="AJ29" i="12"/>
  <c r="AK29" i="12"/>
  <c r="AL29" i="12"/>
  <c r="AM29" i="12"/>
  <c r="AN29" i="12"/>
  <c r="AO29" i="12"/>
  <c r="AP29" i="12"/>
  <c r="AQ29" i="12"/>
  <c r="AR29" i="12"/>
  <c r="AS29" i="12"/>
  <c r="AT29" i="12"/>
  <c r="AJ30" i="12"/>
  <c r="AK30" i="12"/>
  <c r="AL30" i="12"/>
  <c r="AM30" i="12"/>
  <c r="AN30" i="12"/>
  <c r="AO30" i="12"/>
  <c r="AP30" i="12"/>
  <c r="AQ30" i="12"/>
  <c r="AR30" i="12"/>
  <c r="AS30" i="12"/>
  <c r="AT30" i="12"/>
  <c r="AJ31" i="12"/>
  <c r="AK31" i="12"/>
  <c r="AL31" i="12"/>
  <c r="AM31" i="12"/>
  <c r="AN31" i="12"/>
  <c r="AO31" i="12"/>
  <c r="AP31" i="12"/>
  <c r="AQ31" i="12"/>
  <c r="AR31" i="12"/>
  <c r="AS31" i="12"/>
  <c r="AT31" i="12"/>
  <c r="AJ32" i="12"/>
  <c r="AK32" i="12"/>
  <c r="AL32" i="12"/>
  <c r="AM32" i="12"/>
  <c r="AN32" i="12"/>
  <c r="AO32" i="12"/>
  <c r="AP32" i="12"/>
  <c r="AQ32" i="12"/>
  <c r="AR32" i="12"/>
  <c r="AS32" i="12"/>
  <c r="AT32" i="12"/>
  <c r="AJ33" i="12"/>
  <c r="AK33" i="12"/>
  <c r="AL33" i="12"/>
  <c r="AM33" i="12"/>
  <c r="AN33" i="12"/>
  <c r="AO33" i="12"/>
  <c r="AP33" i="12"/>
  <c r="AQ33" i="12"/>
  <c r="AR33" i="12"/>
  <c r="AS33" i="12"/>
  <c r="AT33" i="12"/>
  <c r="AJ34" i="12"/>
  <c r="AK34" i="12"/>
  <c r="AL34" i="12"/>
  <c r="AM34" i="12"/>
  <c r="AN34" i="12"/>
  <c r="AO34" i="12"/>
  <c r="AP34" i="12"/>
  <c r="AQ34" i="12"/>
  <c r="AR34" i="12"/>
  <c r="AS34" i="12"/>
  <c r="AT34" i="12"/>
  <c r="AJ35" i="12"/>
  <c r="AK35" i="12"/>
  <c r="AL35" i="12"/>
  <c r="AM35" i="12"/>
  <c r="AN35" i="12"/>
  <c r="AO35" i="12"/>
  <c r="AP35" i="12"/>
  <c r="AQ35" i="12"/>
  <c r="AR35" i="12"/>
  <c r="AS35" i="12"/>
  <c r="AT35" i="12"/>
  <c r="AJ36" i="12"/>
  <c r="AK36" i="12"/>
  <c r="AL36" i="12"/>
  <c r="AM36" i="12"/>
  <c r="AN36" i="12"/>
  <c r="AO36" i="12"/>
  <c r="AP36" i="12"/>
  <c r="AQ36" i="12"/>
  <c r="AR36" i="12"/>
  <c r="AS36" i="12"/>
  <c r="AT36" i="12"/>
  <c r="AJ37" i="12"/>
  <c r="AK37" i="12"/>
  <c r="AL37" i="12"/>
  <c r="AM37" i="12"/>
  <c r="AN37" i="12"/>
  <c r="BB37" i="12" s="1"/>
  <c r="AO37" i="12"/>
  <c r="AP37" i="12"/>
  <c r="AQ37" i="12"/>
  <c r="AR37" i="12"/>
  <c r="AS37" i="12"/>
  <c r="AT37" i="12"/>
  <c r="AJ38" i="12"/>
  <c r="AK38" i="12"/>
  <c r="AL38" i="12"/>
  <c r="AM38" i="12"/>
  <c r="AN38" i="12"/>
  <c r="AO38" i="12"/>
  <c r="AP38" i="12"/>
  <c r="AQ38" i="12"/>
  <c r="AR38" i="12"/>
  <c r="AS38" i="12"/>
  <c r="BG38" i="12" s="1"/>
  <c r="AT38" i="12"/>
  <c r="AJ39" i="12"/>
  <c r="AK39" i="12"/>
  <c r="AL39" i="12"/>
  <c r="AM39" i="12"/>
  <c r="AN39" i="12"/>
  <c r="AO39" i="12"/>
  <c r="AP39" i="12"/>
  <c r="AQ39" i="12"/>
  <c r="AR39" i="12"/>
  <c r="AS39" i="12"/>
  <c r="AT39" i="12"/>
  <c r="AJ40" i="12"/>
  <c r="AK40" i="12"/>
  <c r="AL40" i="12"/>
  <c r="AM40" i="12"/>
  <c r="AN40" i="12"/>
  <c r="AO40" i="12"/>
  <c r="AP40" i="12"/>
  <c r="AQ40" i="12"/>
  <c r="AR40" i="12"/>
  <c r="AS40" i="12"/>
  <c r="AT40" i="12"/>
  <c r="AJ41" i="12"/>
  <c r="AK41" i="12"/>
  <c r="AL41" i="12"/>
  <c r="AM41" i="12"/>
  <c r="AN41" i="12"/>
  <c r="AO41" i="12"/>
  <c r="AP41" i="12"/>
  <c r="AQ41" i="12"/>
  <c r="AR41" i="12"/>
  <c r="BF41" i="12" s="1"/>
  <c r="AS41" i="12"/>
  <c r="AT41" i="12"/>
  <c r="AJ42" i="12"/>
  <c r="AK42" i="12"/>
  <c r="AL42" i="12"/>
  <c r="AM42" i="12"/>
  <c r="AN42" i="12"/>
  <c r="AO42" i="12"/>
  <c r="AP42" i="12"/>
  <c r="AQ42" i="12"/>
  <c r="AR42" i="12"/>
  <c r="AS42" i="12"/>
  <c r="AT42" i="12"/>
  <c r="AJ43" i="12"/>
  <c r="AK43" i="12"/>
  <c r="AL43" i="12"/>
  <c r="AM43" i="12"/>
  <c r="AN43" i="12"/>
  <c r="AO43" i="12"/>
  <c r="AP43" i="12"/>
  <c r="AQ43" i="12"/>
  <c r="AR43" i="12"/>
  <c r="AS43" i="12"/>
  <c r="AT43" i="12"/>
  <c r="AJ44" i="12"/>
  <c r="AK44" i="12"/>
  <c r="AL44" i="12"/>
  <c r="AM44" i="12"/>
  <c r="AN44" i="12"/>
  <c r="AO44" i="12"/>
  <c r="AP44" i="12"/>
  <c r="AQ44" i="12"/>
  <c r="AR44" i="12"/>
  <c r="AS44" i="12"/>
  <c r="AT44" i="12"/>
  <c r="AJ45" i="12"/>
  <c r="AK45" i="12"/>
  <c r="AL45" i="12"/>
  <c r="AM45" i="12"/>
  <c r="AN45" i="12"/>
  <c r="AO45" i="12"/>
  <c r="AP45" i="12"/>
  <c r="AQ45" i="12"/>
  <c r="AR45" i="12"/>
  <c r="AS45" i="12"/>
  <c r="AT45" i="12"/>
  <c r="AJ46" i="12"/>
  <c r="AK46" i="12"/>
  <c r="AL46" i="12"/>
  <c r="AM46" i="12"/>
  <c r="AN46" i="12"/>
  <c r="AO46" i="12"/>
  <c r="AP46" i="12"/>
  <c r="AQ46" i="12"/>
  <c r="AR46" i="12"/>
  <c r="AS46" i="12"/>
  <c r="AT46" i="12"/>
  <c r="AJ47" i="12"/>
  <c r="AK47" i="12"/>
  <c r="AL47" i="12"/>
  <c r="AM47" i="12"/>
  <c r="AN47" i="12"/>
  <c r="AO47" i="12"/>
  <c r="AP47" i="12"/>
  <c r="AQ47" i="12"/>
  <c r="AR47" i="12"/>
  <c r="AS47" i="12"/>
  <c r="AT47" i="12"/>
  <c r="AJ48" i="12"/>
  <c r="AK48" i="12"/>
  <c r="AL48" i="12"/>
  <c r="AM48" i="12"/>
  <c r="AN48" i="12"/>
  <c r="AO48" i="12"/>
  <c r="AP48" i="12"/>
  <c r="AQ48" i="12"/>
  <c r="AR48" i="12"/>
  <c r="AS48" i="12"/>
  <c r="AT48" i="12"/>
  <c r="AJ49" i="12"/>
  <c r="AK49" i="12"/>
  <c r="AL49" i="12"/>
  <c r="AM49" i="12"/>
  <c r="AN49" i="12"/>
  <c r="AO49" i="12"/>
  <c r="AP49" i="12"/>
  <c r="AQ49" i="12"/>
  <c r="AR49" i="12"/>
  <c r="AS49" i="12"/>
  <c r="AT49" i="12"/>
  <c r="AJ50" i="12"/>
  <c r="AK50" i="12"/>
  <c r="AL50" i="12"/>
  <c r="AM50" i="12"/>
  <c r="AN50" i="12"/>
  <c r="AO50" i="12"/>
  <c r="BC50" i="12" s="1"/>
  <c r="AP50" i="12"/>
  <c r="AQ50" i="12"/>
  <c r="AR50" i="12"/>
  <c r="AS50" i="12"/>
  <c r="AT50" i="12"/>
  <c r="AJ51" i="12"/>
  <c r="AK51" i="12"/>
  <c r="AL51" i="12"/>
  <c r="AM51" i="12"/>
  <c r="AN51" i="12"/>
  <c r="AO51" i="12"/>
  <c r="AP51" i="12"/>
  <c r="AQ51" i="12"/>
  <c r="AR51" i="12"/>
  <c r="AS51" i="12"/>
  <c r="AT51" i="12"/>
  <c r="BH51" i="12" s="1"/>
  <c r="AJ52" i="12"/>
  <c r="AK52" i="12"/>
  <c r="AL52" i="12"/>
  <c r="AM52" i="12"/>
  <c r="AN52" i="12"/>
  <c r="AO52" i="12"/>
  <c r="AP52" i="12"/>
  <c r="AQ52" i="12"/>
  <c r="AR52" i="12"/>
  <c r="AS52" i="12"/>
  <c r="AT52" i="12"/>
  <c r="AJ53" i="12"/>
  <c r="AK53" i="12"/>
  <c r="AL53" i="12"/>
  <c r="AM53" i="12"/>
  <c r="AN53" i="12"/>
  <c r="AO53" i="12"/>
  <c r="AP53" i="12"/>
  <c r="AQ53" i="12"/>
  <c r="AR53" i="12"/>
  <c r="AS53" i="12"/>
  <c r="AT53" i="12"/>
  <c r="AJ54" i="12"/>
  <c r="AK54" i="12"/>
  <c r="AL54" i="12"/>
  <c r="AM54" i="12"/>
  <c r="AN54" i="12"/>
  <c r="AO54" i="12"/>
  <c r="AP54" i="12"/>
  <c r="AQ54" i="12"/>
  <c r="AR54" i="12"/>
  <c r="AS54" i="12"/>
  <c r="AT54" i="12"/>
  <c r="AJ55" i="12"/>
  <c r="AK55" i="12"/>
  <c r="AL55" i="12"/>
  <c r="AM55" i="12"/>
  <c r="AN55" i="12"/>
  <c r="AO55" i="12"/>
  <c r="AP55" i="12"/>
  <c r="AQ55" i="12"/>
  <c r="AR55" i="12"/>
  <c r="AS55" i="12"/>
  <c r="AT55" i="12"/>
  <c r="AJ56" i="12"/>
  <c r="AK56" i="12"/>
  <c r="AL56" i="12"/>
  <c r="AM56" i="12"/>
  <c r="BA56" i="12" s="1"/>
  <c r="AN56" i="12"/>
  <c r="AO56" i="12"/>
  <c r="AP56" i="12"/>
  <c r="AQ56" i="12"/>
  <c r="AR56" i="12"/>
  <c r="AS56" i="12"/>
  <c r="AT56" i="12"/>
  <c r="AJ57" i="12"/>
  <c r="AK57" i="12"/>
  <c r="AL57" i="12"/>
  <c r="AM57" i="12"/>
  <c r="AN57" i="12"/>
  <c r="AO57" i="12"/>
  <c r="AP57" i="12"/>
  <c r="AQ57" i="12"/>
  <c r="AR57" i="12"/>
  <c r="AS57" i="12"/>
  <c r="AT57" i="12"/>
  <c r="AJ58" i="12"/>
  <c r="AK58" i="12"/>
  <c r="AL58" i="12"/>
  <c r="AM58" i="12"/>
  <c r="AN58" i="12"/>
  <c r="AO58" i="12"/>
  <c r="AP58" i="12"/>
  <c r="AQ58" i="12"/>
  <c r="AR58" i="12"/>
  <c r="AS58" i="12"/>
  <c r="AT58" i="12"/>
  <c r="AJ59" i="12"/>
  <c r="AK59" i="12"/>
  <c r="AL59" i="12"/>
  <c r="AM59" i="12"/>
  <c r="AN59" i="12"/>
  <c r="AO59" i="12"/>
  <c r="AP59" i="12"/>
  <c r="AQ59" i="12"/>
  <c r="AR59" i="12"/>
  <c r="AS59" i="12"/>
  <c r="AT59" i="12"/>
  <c r="AJ60" i="12"/>
  <c r="AK60" i="12"/>
  <c r="AL60" i="12"/>
  <c r="AM60" i="12"/>
  <c r="AN60" i="12"/>
  <c r="AO60" i="12"/>
  <c r="AP60" i="12"/>
  <c r="AQ60" i="12"/>
  <c r="AR60" i="12"/>
  <c r="AS60" i="12"/>
  <c r="AT60" i="12"/>
  <c r="AJ61" i="12"/>
  <c r="AK61" i="12"/>
  <c r="AL61" i="12"/>
  <c r="AM61" i="12"/>
  <c r="AN61" i="12"/>
  <c r="AO61" i="12"/>
  <c r="AP61" i="12"/>
  <c r="AQ61" i="12"/>
  <c r="AR61" i="12"/>
  <c r="AS61" i="12"/>
  <c r="AT61" i="12"/>
  <c r="AJ62" i="12"/>
  <c r="AK62" i="12"/>
  <c r="AL62" i="12"/>
  <c r="AM62" i="12"/>
  <c r="AN62" i="12"/>
  <c r="AO62" i="12"/>
  <c r="AP62" i="12"/>
  <c r="AQ62" i="12"/>
  <c r="AR62" i="12"/>
  <c r="AS62" i="12"/>
  <c r="AT62" i="12"/>
  <c r="AJ63" i="12"/>
  <c r="AK63" i="12"/>
  <c r="AL63" i="12"/>
  <c r="AM63" i="12"/>
  <c r="AN63" i="12"/>
  <c r="AO63" i="12"/>
  <c r="AP63" i="12"/>
  <c r="BD63" i="12" s="1"/>
  <c r="AQ63" i="12"/>
  <c r="AR63" i="12"/>
  <c r="AS63" i="12"/>
  <c r="AT63" i="12"/>
  <c r="AJ64" i="12"/>
  <c r="AK64" i="12"/>
  <c r="AL64" i="12"/>
  <c r="AM64" i="12"/>
  <c r="AN64" i="12"/>
  <c r="AO64" i="12"/>
  <c r="AP64" i="12"/>
  <c r="AQ64" i="12"/>
  <c r="AR64" i="12"/>
  <c r="AS64" i="12"/>
  <c r="AT64" i="12"/>
  <c r="AJ65" i="12"/>
  <c r="AK65" i="12"/>
  <c r="AL65" i="12"/>
  <c r="AM65" i="12"/>
  <c r="AN65" i="12"/>
  <c r="AO65" i="12"/>
  <c r="AP65" i="12"/>
  <c r="AQ65" i="12"/>
  <c r="AR65" i="12"/>
  <c r="AS65" i="12"/>
  <c r="AT65" i="12"/>
  <c r="AJ66" i="12"/>
  <c r="AK66" i="12"/>
  <c r="AL66" i="12"/>
  <c r="AM66" i="12"/>
  <c r="AN66" i="12"/>
  <c r="AO66" i="12"/>
  <c r="AP66" i="12"/>
  <c r="AQ66" i="12"/>
  <c r="AR66" i="12"/>
  <c r="AS66" i="12"/>
  <c r="AT66" i="12"/>
  <c r="AJ67" i="12"/>
  <c r="AK67" i="12"/>
  <c r="AL67" i="12"/>
  <c r="AM67" i="12"/>
  <c r="AN67" i="12"/>
  <c r="AO67" i="12"/>
  <c r="AP67" i="12"/>
  <c r="AQ67" i="12"/>
  <c r="AR67" i="12"/>
  <c r="AS67" i="12"/>
  <c r="AT67" i="12"/>
  <c r="AJ68" i="12"/>
  <c r="AK68" i="12"/>
  <c r="AL68" i="12"/>
  <c r="AM68" i="12"/>
  <c r="AN68" i="12"/>
  <c r="AO68" i="12"/>
  <c r="AP68" i="12"/>
  <c r="AQ68" i="12"/>
  <c r="AR68" i="12"/>
  <c r="AS68" i="12"/>
  <c r="AT68" i="12"/>
  <c r="AJ69" i="12"/>
  <c r="AK69" i="12"/>
  <c r="AL69" i="12"/>
  <c r="AM69" i="12"/>
  <c r="AN69" i="12"/>
  <c r="AO69" i="12"/>
  <c r="AP69" i="12"/>
  <c r="AQ69" i="12"/>
  <c r="AR69" i="12"/>
  <c r="AS69" i="12"/>
  <c r="AT69" i="12"/>
  <c r="AI17" i="12"/>
  <c r="AI18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59" i="12"/>
  <c r="AI60" i="12"/>
  <c r="AI61" i="12"/>
  <c r="AI62" i="12"/>
  <c r="AI63" i="12"/>
  <c r="AI64" i="12"/>
  <c r="AI65" i="12"/>
  <c r="AI66" i="12"/>
  <c r="AI67" i="12"/>
  <c r="AI68" i="12"/>
  <c r="AI69" i="12"/>
  <c r="AI6" i="12"/>
  <c r="AI7" i="12"/>
  <c r="AI8" i="12"/>
  <c r="AY8" i="12" s="1"/>
  <c r="AI9" i="12"/>
  <c r="AI10" i="12"/>
  <c r="AI11" i="12"/>
  <c r="AI12" i="12"/>
  <c r="AI13" i="12"/>
  <c r="AI14" i="12"/>
  <c r="AI15" i="12"/>
  <c r="AH64" i="12"/>
  <c r="AH65" i="12"/>
  <c r="AH66" i="12"/>
  <c r="AH67" i="12"/>
  <c r="AH68" i="12"/>
  <c r="AH69" i="12"/>
  <c r="AH6" i="12"/>
  <c r="AH7" i="12"/>
  <c r="AH8" i="12"/>
  <c r="AH9" i="12"/>
  <c r="AH10" i="12"/>
  <c r="AH11" i="12"/>
  <c r="AH12" i="12"/>
  <c r="AH13" i="12"/>
  <c r="AH14" i="12"/>
  <c r="AH15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5" i="12"/>
  <c r="AI7" i="8"/>
  <c r="N2" i="6"/>
  <c r="C2" i="2"/>
  <c r="AI9" i="8"/>
  <c r="AI8" i="8"/>
  <c r="AI10" i="8"/>
  <c r="AI11" i="8"/>
  <c r="AI12" i="8"/>
  <c r="AI13" i="8"/>
  <c r="AI14" i="8"/>
  <c r="AI15" i="8"/>
  <c r="AI16" i="8"/>
  <c r="AI17" i="8"/>
  <c r="AI18" i="8"/>
  <c r="AI19" i="8"/>
  <c r="AI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U9" i="8"/>
  <c r="AT9" i="8"/>
  <c r="AS9" i="8"/>
  <c r="AR9" i="8"/>
  <c r="AQ9" i="8"/>
  <c r="AP9" i="8"/>
  <c r="AO9" i="8"/>
  <c r="AN9" i="8"/>
  <c r="AM9" i="8"/>
  <c r="AL9" i="8"/>
  <c r="AK9" i="8"/>
  <c r="AJ9" i="8"/>
  <c r="AU8" i="8"/>
  <c r="AT8" i="8"/>
  <c r="AS8" i="8"/>
  <c r="AR8" i="8"/>
  <c r="AQ8" i="8"/>
  <c r="AP8" i="8"/>
  <c r="AO8" i="8"/>
  <c r="AN8" i="8"/>
  <c r="AM8" i="8"/>
  <c r="AL8" i="8"/>
  <c r="AK8" i="8"/>
  <c r="AJ8" i="8"/>
  <c r="AU7" i="8"/>
  <c r="AT7" i="8"/>
  <c r="AS7" i="8"/>
  <c r="AR7" i="8"/>
  <c r="AQ7" i="8"/>
  <c r="AP7" i="8"/>
  <c r="AO7" i="8"/>
  <c r="AN7" i="8"/>
  <c r="AM7" i="8"/>
  <c r="AL7" i="8"/>
  <c r="AK7" i="8"/>
  <c r="AJ7" i="8"/>
  <c r="BI26" i="8"/>
  <c r="BJ26" i="8"/>
  <c r="BK26" i="8"/>
  <c r="BA27" i="8"/>
  <c r="BB27" i="8"/>
  <c r="BC27" i="8"/>
  <c r="BA28" i="8"/>
  <c r="BB28" i="8"/>
  <c r="BC28" i="8"/>
  <c r="BD28" i="8"/>
  <c r="BE28" i="8"/>
  <c r="BF28" i="8"/>
  <c r="BG28" i="8"/>
  <c r="BH28" i="8"/>
  <c r="BE29" i="8"/>
  <c r="BF29" i="8"/>
  <c r="BG29" i="8"/>
  <c r="BH29" i="8"/>
  <c r="BI29" i="8"/>
  <c r="BJ29" i="8"/>
  <c r="BK29" i="8"/>
  <c r="BA30" i="8"/>
  <c r="BB30" i="8"/>
  <c r="BI30" i="8"/>
  <c r="BJ30" i="8"/>
  <c r="BK30" i="8"/>
  <c r="BC31" i="8"/>
  <c r="BD31" i="8"/>
  <c r="BE31" i="8"/>
  <c r="BF31" i="8"/>
  <c r="BG31" i="8"/>
  <c r="BA32" i="8"/>
  <c r="BB32" i="8"/>
  <c r="BC32" i="8"/>
  <c r="BD32" i="8"/>
  <c r="BH32" i="8"/>
  <c r="BI32" i="8"/>
  <c r="BJ32" i="8"/>
  <c r="BK32" i="8"/>
  <c r="BA33" i="8"/>
  <c r="BE33" i="8"/>
  <c r="BF33" i="8"/>
  <c r="BG33" i="8"/>
  <c r="BB34" i="8"/>
  <c r="BC34" i="8"/>
  <c r="BD34" i="8"/>
  <c r="BE34" i="8"/>
  <c r="BF34" i="8"/>
  <c r="BJ34" i="8"/>
  <c r="BK34" i="8"/>
  <c r="BE37" i="8"/>
  <c r="BI38" i="8"/>
  <c r="BJ38" i="8"/>
  <c r="AZ27" i="8"/>
  <c r="AZ28" i="8"/>
  <c r="AZ29" i="8"/>
  <c r="AZ30" i="8"/>
  <c r="AY37" i="8"/>
  <c r="AY36" i="8"/>
  <c r="AY35" i="8"/>
  <c r="AY34" i="8"/>
  <c r="AY29" i="8"/>
  <c r="AY28" i="8"/>
  <c r="AY27" i="8"/>
  <c r="AJ26" i="8"/>
  <c r="AZ26" i="8" s="1"/>
  <c r="AK26" i="8"/>
  <c r="BA26" i="8" s="1"/>
  <c r="AL26" i="8"/>
  <c r="BB26" i="8" s="1"/>
  <c r="AM26" i="8"/>
  <c r="BC26" i="8" s="1"/>
  <c r="AN26" i="8"/>
  <c r="BD26" i="8" s="1"/>
  <c r="AO26" i="8"/>
  <c r="BE26" i="8" s="1"/>
  <c r="AP26" i="8"/>
  <c r="BF26" i="8" s="1"/>
  <c r="AQ26" i="8"/>
  <c r="BG26" i="8" s="1"/>
  <c r="AR26" i="8"/>
  <c r="AS26" i="8"/>
  <c r="AT26" i="8"/>
  <c r="AU26" i="8"/>
  <c r="AJ27" i="8"/>
  <c r="AK27" i="8"/>
  <c r="AL27" i="8"/>
  <c r="AM27" i="8"/>
  <c r="AN27" i="8"/>
  <c r="BD27" i="8" s="1"/>
  <c r="AO27" i="8"/>
  <c r="BE27" i="8" s="1"/>
  <c r="AP27" i="8"/>
  <c r="BF27" i="8" s="1"/>
  <c r="AQ27" i="8"/>
  <c r="BG27" i="8" s="1"/>
  <c r="AR27" i="8"/>
  <c r="BH27" i="8" s="1"/>
  <c r="AS27" i="8"/>
  <c r="BI27" i="8" s="1"/>
  <c r="AT27" i="8"/>
  <c r="BJ27" i="8" s="1"/>
  <c r="AU27" i="8"/>
  <c r="BK27" i="8" s="1"/>
  <c r="AJ28" i="8"/>
  <c r="AK28" i="8"/>
  <c r="AL28" i="8"/>
  <c r="AM28" i="8"/>
  <c r="AN28" i="8"/>
  <c r="AO28" i="8"/>
  <c r="AP28" i="8"/>
  <c r="AQ28" i="8"/>
  <c r="AR28" i="8"/>
  <c r="AS28" i="8"/>
  <c r="BI28" i="8" s="1"/>
  <c r="AT28" i="8"/>
  <c r="BJ28" i="8" s="1"/>
  <c r="AU28" i="8"/>
  <c r="BK28" i="8" s="1"/>
  <c r="AJ29" i="8"/>
  <c r="AK29" i="8"/>
  <c r="BA29" i="8" s="1"/>
  <c r="AL29" i="8"/>
  <c r="BB29" i="8" s="1"/>
  <c r="AM29" i="8"/>
  <c r="BC29" i="8" s="1"/>
  <c r="AN29" i="8"/>
  <c r="AO29" i="8"/>
  <c r="AP29" i="8"/>
  <c r="AQ29" i="8"/>
  <c r="AR29" i="8"/>
  <c r="AS29" i="8"/>
  <c r="AT29" i="8"/>
  <c r="AU29" i="8"/>
  <c r="AJ30" i="8"/>
  <c r="AK30" i="8"/>
  <c r="AL30" i="8"/>
  <c r="AM30" i="8"/>
  <c r="BC30" i="8" s="1"/>
  <c r="AN30" i="8"/>
  <c r="BD30" i="8" s="1"/>
  <c r="AO30" i="8"/>
  <c r="BE30" i="8" s="1"/>
  <c r="AP30" i="8"/>
  <c r="BF30" i="8" s="1"/>
  <c r="AQ30" i="8"/>
  <c r="BG30" i="8" s="1"/>
  <c r="AR30" i="8"/>
  <c r="AS30" i="8"/>
  <c r="AT30" i="8"/>
  <c r="AU30" i="8"/>
  <c r="AJ31" i="8"/>
  <c r="AZ31" i="8" s="1"/>
  <c r="AK31" i="8"/>
  <c r="BA31" i="8" s="1"/>
  <c r="AL31" i="8"/>
  <c r="BB31" i="8" s="1"/>
  <c r="AM31" i="8"/>
  <c r="AN31" i="8"/>
  <c r="AO31" i="8"/>
  <c r="AP31" i="8"/>
  <c r="AQ31" i="8"/>
  <c r="AR31" i="8"/>
  <c r="BH31" i="8" s="1"/>
  <c r="AS31" i="8"/>
  <c r="BI31" i="8" s="1"/>
  <c r="AT31" i="8"/>
  <c r="BJ31" i="8" s="1"/>
  <c r="AU31" i="8"/>
  <c r="BK31" i="8" s="1"/>
  <c r="AJ32" i="8"/>
  <c r="AZ32" i="8" s="1"/>
  <c r="AK32" i="8"/>
  <c r="AL32" i="8"/>
  <c r="AM32" i="8"/>
  <c r="AN32" i="8"/>
  <c r="AO32" i="8"/>
  <c r="BE32" i="8" s="1"/>
  <c r="AP32" i="8"/>
  <c r="BF32" i="8" s="1"/>
  <c r="AQ32" i="8"/>
  <c r="BG32" i="8" s="1"/>
  <c r="AR32" i="8"/>
  <c r="AS32" i="8"/>
  <c r="AT32" i="8"/>
  <c r="AU32" i="8"/>
  <c r="AJ33" i="8"/>
  <c r="AZ33" i="8" s="1"/>
  <c r="AK33" i="8"/>
  <c r="AL33" i="8"/>
  <c r="BB33" i="8" s="1"/>
  <c r="AM33" i="8"/>
  <c r="BC33" i="8" s="1"/>
  <c r="AN33" i="8"/>
  <c r="BD33" i="8" s="1"/>
  <c r="AO33" i="8"/>
  <c r="AP33" i="8"/>
  <c r="AQ33" i="8"/>
  <c r="AR33" i="8"/>
  <c r="BH33" i="8" s="1"/>
  <c r="AS33" i="8"/>
  <c r="BI33" i="8" s="1"/>
  <c r="AT33" i="8"/>
  <c r="BJ33" i="8" s="1"/>
  <c r="AU33" i="8"/>
  <c r="BK33" i="8" s="1"/>
  <c r="AJ34" i="8"/>
  <c r="AZ34" i="8" s="1"/>
  <c r="AK34" i="8"/>
  <c r="BA34" i="8" s="1"/>
  <c r="AL34" i="8"/>
  <c r="AM34" i="8"/>
  <c r="AN34" i="8"/>
  <c r="AO34" i="8"/>
  <c r="AP34" i="8"/>
  <c r="AQ34" i="8"/>
  <c r="BG34" i="8" s="1"/>
  <c r="AR34" i="8"/>
  <c r="BH34" i="8" s="1"/>
  <c r="AS34" i="8"/>
  <c r="BI34" i="8" s="1"/>
  <c r="AT34" i="8"/>
  <c r="AU34" i="8"/>
  <c r="AJ35" i="8"/>
  <c r="AZ35" i="8" s="1"/>
  <c r="AK35" i="8"/>
  <c r="BA35" i="8" s="1"/>
  <c r="AL35" i="8"/>
  <c r="BB35" i="8" s="1"/>
  <c r="AM35" i="8"/>
  <c r="BC35" i="8" s="1"/>
  <c r="AN35" i="8"/>
  <c r="BD35" i="8" s="1"/>
  <c r="AO35" i="8"/>
  <c r="BE35" i="8" s="1"/>
  <c r="AP35" i="8"/>
  <c r="BF35" i="8" s="1"/>
  <c r="AQ35" i="8"/>
  <c r="BG35" i="8" s="1"/>
  <c r="AR35" i="8"/>
  <c r="BH35" i="8" s="1"/>
  <c r="AS35" i="8"/>
  <c r="BI35" i="8" s="1"/>
  <c r="AT35" i="8"/>
  <c r="BJ35" i="8" s="1"/>
  <c r="AU35" i="8"/>
  <c r="BK35" i="8" s="1"/>
  <c r="AJ36" i="8"/>
  <c r="AK36" i="8"/>
  <c r="BA36" i="8" s="1"/>
  <c r="AL36" i="8"/>
  <c r="BB36" i="8" s="1"/>
  <c r="AM36" i="8"/>
  <c r="BC36" i="8" s="1"/>
  <c r="AN36" i="8"/>
  <c r="BD36" i="8" s="1"/>
  <c r="AO36" i="8"/>
  <c r="BE36" i="8" s="1"/>
  <c r="AP36" i="8"/>
  <c r="BF36" i="8" s="1"/>
  <c r="AQ36" i="8"/>
  <c r="BG36" i="8" s="1"/>
  <c r="AR36" i="8"/>
  <c r="BH36" i="8" s="1"/>
  <c r="AS36" i="8"/>
  <c r="BI36" i="8" s="1"/>
  <c r="AT36" i="8"/>
  <c r="BJ36" i="8" s="1"/>
  <c r="AU36" i="8"/>
  <c r="BK36" i="8" s="1"/>
  <c r="AJ37" i="8"/>
  <c r="AZ37" i="8" s="1"/>
  <c r="AK37" i="8"/>
  <c r="BA37" i="8" s="1"/>
  <c r="AL37" i="8"/>
  <c r="BB37" i="8" s="1"/>
  <c r="AM37" i="8"/>
  <c r="BD37" i="8" s="1"/>
  <c r="AN37" i="8"/>
  <c r="AO37" i="8"/>
  <c r="AP37" i="8"/>
  <c r="BF37" i="8" s="1"/>
  <c r="AQ37" i="8"/>
  <c r="BG37" i="8" s="1"/>
  <c r="AR37" i="8"/>
  <c r="BH37" i="8" s="1"/>
  <c r="AS37" i="8"/>
  <c r="BI37" i="8" s="1"/>
  <c r="AT37" i="8"/>
  <c r="BJ37" i="8" s="1"/>
  <c r="AU37" i="8"/>
  <c r="BK37" i="8" s="1"/>
  <c r="AJ38" i="8"/>
  <c r="AZ38" i="8" s="1"/>
  <c r="AK38" i="8"/>
  <c r="BA38" i="8" s="1"/>
  <c r="AL38" i="8"/>
  <c r="BB38" i="8" s="1"/>
  <c r="AM38" i="8"/>
  <c r="BC38" i="8" s="1"/>
  <c r="AN38" i="8"/>
  <c r="BD38" i="8" s="1"/>
  <c r="AO38" i="8"/>
  <c r="BE38" i="8" s="1"/>
  <c r="AP38" i="8"/>
  <c r="BF38" i="8" s="1"/>
  <c r="AQ38" i="8"/>
  <c r="BG38" i="8" s="1"/>
  <c r="AR38" i="8"/>
  <c r="AS38" i="8"/>
  <c r="AT38" i="8"/>
  <c r="AU38" i="8"/>
  <c r="BK38" i="8" s="1"/>
  <c r="AJ39" i="8"/>
  <c r="AK39" i="8"/>
  <c r="BA39" i="8" s="1"/>
  <c r="AL39" i="8"/>
  <c r="BB39" i="8" s="1"/>
  <c r="AM39" i="8"/>
  <c r="BC39" i="8" s="1"/>
  <c r="AN39" i="8"/>
  <c r="BD39" i="8" s="1"/>
  <c r="AO39" i="8"/>
  <c r="BE39" i="8" s="1"/>
  <c r="AP39" i="8"/>
  <c r="BF39" i="8" s="1"/>
  <c r="AQ39" i="8"/>
  <c r="BG39" i="8" s="1"/>
  <c r="AR39" i="8"/>
  <c r="BH39" i="8" s="1"/>
  <c r="AS39" i="8"/>
  <c r="BI39" i="8" s="1"/>
  <c r="AT39" i="8"/>
  <c r="BJ39" i="8" s="1"/>
  <c r="AU39" i="8"/>
  <c r="BK39" i="8" s="1"/>
  <c r="AI27" i="8"/>
  <c r="AI28" i="8"/>
  <c r="AI29" i="8"/>
  <c r="AI30" i="8"/>
  <c r="AY30" i="8" s="1"/>
  <c r="AI31" i="8"/>
  <c r="AY31" i="8" s="1"/>
  <c r="AI32" i="8"/>
  <c r="AY32" i="8" s="1"/>
  <c r="AI33" i="8"/>
  <c r="AY33" i="8" s="1"/>
  <c r="AI34" i="8"/>
  <c r="AI35" i="8"/>
  <c r="AI36" i="8"/>
  <c r="AZ36" i="8" s="1"/>
  <c r="AI37" i="8"/>
  <c r="AI38" i="8"/>
  <c r="AY38" i="8" s="1"/>
  <c r="AI39" i="8"/>
  <c r="AZ39" i="8" s="1"/>
  <c r="AI26" i="8"/>
  <c r="AY26" i="8" s="1"/>
  <c r="N7" i="6"/>
  <c r="B1" i="2"/>
  <c r="A1" i="2" a="1"/>
  <c r="N30" i="6" s="1"/>
  <c r="BC18" i="12" l="1"/>
  <c r="BE12" i="12"/>
  <c r="BG6" i="12"/>
  <c r="AY24" i="12"/>
  <c r="AY21" i="12"/>
  <c r="BR74" i="12"/>
  <c r="BO76" i="12" s="1"/>
  <c r="R4" i="14"/>
  <c r="R6" i="14"/>
  <c r="R5" i="14"/>
  <c r="R3" i="14"/>
  <c r="BF188" i="12"/>
  <c r="BF133" i="12"/>
  <c r="BA132" i="12"/>
  <c r="BD123" i="12"/>
  <c r="BG114" i="12"/>
  <c r="BB113" i="12"/>
  <c r="BE104" i="12"/>
  <c r="BB97" i="12"/>
  <c r="BC94" i="12"/>
  <c r="BE88" i="12"/>
  <c r="BB81" i="12"/>
  <c r="AX89" i="12"/>
  <c r="BA200" i="12"/>
  <c r="BA180" i="12"/>
  <c r="BE165" i="12"/>
  <c r="BA148" i="12"/>
  <c r="BE188" i="12"/>
  <c r="BD136" i="12"/>
  <c r="AZ132" i="12"/>
  <c r="BF130" i="12"/>
  <c r="BA129" i="12"/>
  <c r="BG127" i="12"/>
  <c r="BB126" i="12"/>
  <c r="BH124" i="12"/>
  <c r="BC123" i="12"/>
  <c r="BD120" i="12"/>
  <c r="BE117" i="12"/>
  <c r="AZ116" i="12"/>
  <c r="BF114" i="12"/>
  <c r="BA113" i="12"/>
  <c r="BG111" i="12"/>
  <c r="BB110" i="12"/>
  <c r="BH108" i="12"/>
  <c r="BC107" i="12"/>
  <c r="BD104" i="12"/>
  <c r="BE101" i="12"/>
  <c r="AZ100" i="12"/>
  <c r="BF98" i="12"/>
  <c r="BA97" i="12"/>
  <c r="BG95" i="12"/>
  <c r="BB94" i="12"/>
  <c r="BH92" i="12"/>
  <c r="BC91" i="12"/>
  <c r="BD88" i="12"/>
  <c r="AZ84" i="12"/>
  <c r="BF82" i="12"/>
  <c r="BA81" i="12"/>
  <c r="BG79" i="12"/>
  <c r="BB78" i="12"/>
  <c r="BH76" i="12"/>
  <c r="BC75" i="12"/>
  <c r="AY138" i="12"/>
  <c r="AX135" i="12"/>
  <c r="AY119" i="12"/>
  <c r="AY103" i="12"/>
  <c r="AY87" i="12"/>
  <c r="BG124" i="12"/>
  <c r="AZ113" i="12"/>
  <c r="BD101" i="12"/>
  <c r="BF95" i="12"/>
  <c r="BG92" i="12"/>
  <c r="BB91" i="12"/>
  <c r="BF79" i="12"/>
  <c r="BC133" i="12"/>
  <c r="BD130" i="12"/>
  <c r="BA123" i="12"/>
  <c r="BG121" i="12"/>
  <c r="BB120" i="12"/>
  <c r="BD114" i="12"/>
  <c r="BE111" i="12"/>
  <c r="BB104" i="12"/>
  <c r="BH102" i="12"/>
  <c r="BC101" i="12"/>
  <c r="BA91" i="12"/>
  <c r="AX74" i="12"/>
  <c r="AY37" i="12"/>
  <c r="AY133" i="12"/>
  <c r="BF137" i="12"/>
  <c r="BA136" i="12"/>
  <c r="BG134" i="12"/>
  <c r="BB133" i="12"/>
  <c r="BF131" i="12"/>
  <c r="BD127" i="12"/>
  <c r="BE124" i="12"/>
  <c r="AZ123" i="12"/>
  <c r="BF121" i="12"/>
  <c r="BA120" i="12"/>
  <c r="BG118" i="12"/>
  <c r="BB117" i="12"/>
  <c r="BD111" i="12"/>
  <c r="BE108" i="12"/>
  <c r="AZ107" i="12"/>
  <c r="BF105" i="12"/>
  <c r="BA104" i="12"/>
  <c r="BG102" i="12"/>
  <c r="BH99" i="12"/>
  <c r="BC98" i="12"/>
  <c r="BD95" i="12"/>
  <c r="BE92" i="12"/>
  <c r="AZ91" i="12"/>
  <c r="BF89" i="12"/>
  <c r="BA88" i="12"/>
  <c r="BG86" i="12"/>
  <c r="BH83" i="12"/>
  <c r="BC82" i="12"/>
  <c r="BD79" i="12"/>
  <c r="BE76" i="12"/>
  <c r="AZ75" i="12"/>
  <c r="AZ120" i="12"/>
  <c r="BH112" i="12"/>
  <c r="BB206" i="12"/>
  <c r="BF191" i="12"/>
  <c r="AX177" i="12"/>
  <c r="AX157" i="12"/>
  <c r="BF168" i="12"/>
  <c r="BE131" i="12"/>
  <c r="AZ130" i="12"/>
  <c r="BF128" i="12"/>
  <c r="BC121" i="12"/>
  <c r="BG119" i="12"/>
  <c r="BD118" i="12"/>
  <c r="BA111" i="12"/>
  <c r="BG109" i="12"/>
  <c r="BB108" i="12"/>
  <c r="BE99" i="12"/>
  <c r="AZ98" i="12"/>
  <c r="BB92" i="12"/>
  <c r="BH90" i="12"/>
  <c r="BC89" i="12"/>
  <c r="BE83" i="12"/>
  <c r="AZ82" i="12"/>
  <c r="AZ76" i="12"/>
  <c r="BH74" i="12"/>
  <c r="BE200" i="12"/>
  <c r="AY64" i="12"/>
  <c r="BF138" i="12"/>
  <c r="BC128" i="12"/>
  <c r="BC125" i="12"/>
  <c r="BE119" i="12"/>
  <c r="AZ118" i="12"/>
  <c r="BH116" i="12"/>
  <c r="BC109" i="12"/>
  <c r="AZ108" i="12"/>
  <c r="BF90" i="12"/>
  <c r="BF74" i="12"/>
  <c r="BD207" i="12"/>
  <c r="AZ206" i="12"/>
  <c r="BH204" i="12"/>
  <c r="BD203" i="12"/>
  <c r="AZ202" i="12"/>
  <c r="BH200" i="12"/>
  <c r="BD199" i="12"/>
  <c r="AZ198" i="12"/>
  <c r="BH196" i="12"/>
  <c r="BD195" i="12"/>
  <c r="AZ194" i="12"/>
  <c r="BH192" i="12"/>
  <c r="BD191" i="12"/>
  <c r="AZ190" i="12"/>
  <c r="BD187" i="12"/>
  <c r="AZ186" i="12"/>
  <c r="BH184" i="12"/>
  <c r="BD183" i="12"/>
  <c r="AZ182" i="12"/>
  <c r="BH180" i="12"/>
  <c r="BD179" i="12"/>
  <c r="BD175" i="12"/>
  <c r="AZ174" i="12"/>
  <c r="BH172" i="12"/>
  <c r="BD171" i="12"/>
  <c r="AZ170" i="12"/>
  <c r="AZ158" i="12"/>
  <c r="BH156" i="12"/>
  <c r="BD155" i="12"/>
  <c r="BD14" i="12"/>
  <c r="BE11" i="12"/>
  <c r="AZ10" i="12"/>
  <c r="AY127" i="12"/>
  <c r="BE138" i="12"/>
  <c r="BB128" i="12"/>
  <c r="BG116" i="12"/>
  <c r="BH97" i="12"/>
  <c r="BE90" i="12"/>
  <c r="BH81" i="12"/>
  <c r="BC80" i="12"/>
  <c r="BE74" i="12"/>
  <c r="AY206" i="12"/>
  <c r="BC203" i="12"/>
  <c r="BE172" i="12"/>
  <c r="BA171" i="12"/>
  <c r="BE156" i="12"/>
  <c r="BA155" i="12"/>
  <c r="BB191" i="12"/>
  <c r="BF152" i="12"/>
  <c r="BF107" i="12"/>
  <c r="BA106" i="12"/>
  <c r="BG104" i="12"/>
  <c r="BF81" i="12"/>
  <c r="BA80" i="12"/>
  <c r="BC74" i="12"/>
  <c r="AY101" i="12"/>
  <c r="AZ138" i="12"/>
  <c r="BF136" i="12"/>
  <c r="BA135" i="12"/>
  <c r="BG133" i="12"/>
  <c r="BH130" i="12"/>
  <c r="BD126" i="12"/>
  <c r="BG117" i="12"/>
  <c r="BB116" i="12"/>
  <c r="BH114" i="12"/>
  <c r="BD110" i="12"/>
  <c r="BE107" i="12"/>
  <c r="BH98" i="12"/>
  <c r="AZ90" i="12"/>
  <c r="BF88" i="12"/>
  <c r="BH82" i="12"/>
  <c r="BC81" i="12"/>
  <c r="AZ80" i="12"/>
  <c r="BE75" i="12"/>
  <c r="AZ74" i="12"/>
  <c r="AZ183" i="12"/>
  <c r="BH169" i="12"/>
  <c r="AZ155" i="12"/>
  <c r="AZ135" i="12"/>
  <c r="BC126" i="12"/>
  <c r="BC110" i="12"/>
  <c r="AZ103" i="12"/>
  <c r="AY90" i="12"/>
  <c r="AZ87" i="12"/>
  <c r="AY187" i="12"/>
  <c r="BG185" i="12"/>
  <c r="BC184" i="12"/>
  <c r="BG181" i="12"/>
  <c r="BC180" i="12"/>
  <c r="BG177" i="12"/>
  <c r="BC176" i="12"/>
  <c r="BG173" i="12"/>
  <c r="BC172" i="12"/>
  <c r="BG169" i="12"/>
  <c r="BC168" i="12"/>
  <c r="BG165" i="12"/>
  <c r="BC164" i="12"/>
  <c r="BG161" i="12"/>
  <c r="BC160" i="12"/>
  <c r="BG157" i="12"/>
  <c r="BC156" i="12"/>
  <c r="BG153" i="12"/>
  <c r="BC152" i="12"/>
  <c r="BG149" i="12"/>
  <c r="BC148" i="12"/>
  <c r="BG145" i="12"/>
  <c r="BC144" i="12"/>
  <c r="AY183" i="12"/>
  <c r="AZ111" i="12"/>
  <c r="BF181" i="12"/>
  <c r="BF153" i="12"/>
  <c r="AZ148" i="12"/>
  <c r="BE109" i="12"/>
  <c r="BF205" i="12"/>
  <c r="BB192" i="12"/>
  <c r="BB180" i="12"/>
  <c r="BF173" i="12"/>
  <c r="BF165" i="12"/>
  <c r="BH206" i="12"/>
  <c r="BH198" i="12"/>
  <c r="BH190" i="12"/>
  <c r="AZ180" i="12"/>
  <c r="BH170" i="12"/>
  <c r="BD161" i="12"/>
  <c r="BD153" i="12"/>
  <c r="AX203" i="12"/>
  <c r="AZ86" i="12"/>
  <c r="AX200" i="12"/>
  <c r="BC185" i="12"/>
  <c r="AX160" i="12"/>
  <c r="BB125" i="12"/>
  <c r="BA112" i="12"/>
  <c r="BC90" i="12"/>
  <c r="BB77" i="12"/>
  <c r="BE182" i="12"/>
  <c r="BG60" i="12"/>
  <c r="AZ14" i="12"/>
  <c r="BG101" i="12"/>
  <c r="BE91" i="12"/>
  <c r="AZ77" i="12"/>
  <c r="AY197" i="12"/>
  <c r="BC194" i="12"/>
  <c r="BD182" i="12"/>
  <c r="BH179" i="12"/>
  <c r="BG175" i="12"/>
  <c r="BD162" i="12"/>
  <c r="AY161" i="12"/>
  <c r="AY167" i="12"/>
  <c r="BB164" i="12"/>
  <c r="BE197" i="12"/>
  <c r="BD205" i="12"/>
  <c r="AZ196" i="12"/>
  <c r="AZ188" i="12"/>
  <c r="BD177" i="12"/>
  <c r="BD169" i="12"/>
  <c r="AZ160" i="12"/>
  <c r="BB112" i="12"/>
  <c r="AZ102" i="12"/>
  <c r="BG126" i="12"/>
  <c r="BB109" i="12"/>
  <c r="AZ96" i="12"/>
  <c r="AZ83" i="12"/>
  <c r="BF194" i="12"/>
  <c r="AZ125" i="12"/>
  <c r="BG67" i="12"/>
  <c r="BB66" i="12"/>
  <c r="AZ56" i="12"/>
  <c r="BB50" i="12"/>
  <c r="BE41" i="12"/>
  <c r="BF38" i="12"/>
  <c r="BA37" i="12"/>
  <c r="BG19" i="12"/>
  <c r="BC15" i="12"/>
  <c r="BD12" i="12"/>
  <c r="BB84" i="12"/>
  <c r="AY135" i="12"/>
  <c r="AY98" i="12"/>
  <c r="BE89" i="12"/>
  <c r="BF201" i="12"/>
  <c r="BB176" i="12"/>
  <c r="BB144" i="12"/>
  <c r="BD77" i="12"/>
  <c r="BD197" i="12"/>
  <c r="BD189" i="12"/>
  <c r="AZ184" i="12"/>
  <c r="AZ176" i="12"/>
  <c r="AZ168" i="12"/>
  <c r="BD157" i="12"/>
  <c r="BH150" i="12"/>
  <c r="AZ144" i="12"/>
  <c r="BH110" i="12"/>
  <c r="BC93" i="12"/>
  <c r="BC77" i="12"/>
  <c r="BG182" i="12"/>
  <c r="AZ131" i="12"/>
  <c r="BE116" i="12"/>
  <c r="BG94" i="12"/>
  <c r="BB161" i="12"/>
  <c r="BA77" i="12"/>
  <c r="BF47" i="12"/>
  <c r="AZ33" i="12"/>
  <c r="AY56" i="12"/>
  <c r="AY40" i="12"/>
  <c r="AY105" i="12"/>
  <c r="BG130" i="12"/>
  <c r="BE120" i="12"/>
  <c r="BF101" i="12"/>
  <c r="BD91" i="12"/>
  <c r="BA84" i="12"/>
  <c r="AY106" i="12"/>
  <c r="AX187" i="12"/>
  <c r="BG172" i="12"/>
  <c r="AY151" i="12"/>
  <c r="BC118" i="12"/>
  <c r="BF185" i="12"/>
  <c r="BB148" i="12"/>
  <c r="AZ200" i="12"/>
  <c r="BD193" i="12"/>
  <c r="BD185" i="12"/>
  <c r="BH174" i="12"/>
  <c r="BD165" i="12"/>
  <c r="AZ156" i="12"/>
  <c r="BH94" i="12"/>
  <c r="BA83" i="12"/>
  <c r="BC161" i="12"/>
  <c r="AY148" i="12"/>
  <c r="BF129" i="12"/>
  <c r="AZ115" i="12"/>
  <c r="BD103" i="12"/>
  <c r="BB93" i="12"/>
  <c r="BG78" i="12"/>
  <c r="BA46" i="12"/>
  <c r="AY136" i="12"/>
  <c r="AY104" i="12"/>
  <c r="BB74" i="12"/>
  <c r="BE187" i="12"/>
  <c r="BA178" i="12"/>
  <c r="BE175" i="12"/>
  <c r="BA174" i="12"/>
  <c r="BE171" i="12"/>
  <c r="BE159" i="12"/>
  <c r="BA158" i="12"/>
  <c r="AY199" i="12"/>
  <c r="AY186" i="12"/>
  <c r="BF172" i="12"/>
  <c r="BB121" i="12"/>
  <c r="BB196" i="12"/>
  <c r="BB184" i="12"/>
  <c r="BB172" i="12"/>
  <c r="BB160" i="12"/>
  <c r="BF145" i="12"/>
  <c r="BH129" i="12"/>
  <c r="BH146" i="12"/>
  <c r="BC197" i="12"/>
  <c r="AX180" i="12"/>
  <c r="BE132" i="12"/>
  <c r="BD119" i="12"/>
  <c r="BE97" i="12"/>
  <c r="BH88" i="12"/>
  <c r="BA161" i="12"/>
  <c r="AZ65" i="12"/>
  <c r="BG28" i="12"/>
  <c r="BF15" i="12"/>
  <c r="BD133" i="12"/>
  <c r="BB123" i="12"/>
  <c r="BH121" i="12"/>
  <c r="BE114" i="12"/>
  <c r="BC104" i="12"/>
  <c r="AX116" i="12"/>
  <c r="AY122" i="12"/>
  <c r="AZ150" i="12"/>
  <c r="BH148" i="12"/>
  <c r="BD147" i="12"/>
  <c r="AZ146" i="12"/>
  <c r="BH144" i="12"/>
  <c r="BE194" i="12"/>
  <c r="AY134" i="12"/>
  <c r="AX118" i="12"/>
  <c r="AY102" i="12"/>
  <c r="AY86" i="12"/>
  <c r="AY78" i="12"/>
  <c r="AX105" i="12"/>
  <c r="BG131" i="12"/>
  <c r="BG204" i="12"/>
  <c r="AX202" i="12"/>
  <c r="BG192" i="12"/>
  <c r="BC187" i="12"/>
  <c r="BF176" i="12"/>
  <c r="BB175" i="12"/>
  <c r="AX174" i="12"/>
  <c r="BG168" i="12"/>
  <c r="BC167" i="12"/>
  <c r="BG164" i="12"/>
  <c r="BC163" i="12"/>
  <c r="BG152" i="12"/>
  <c r="BC151" i="12"/>
  <c r="AX150" i="12"/>
  <c r="BG148" i="12"/>
  <c r="BC147" i="12"/>
  <c r="AX146" i="12"/>
  <c r="BF144" i="12"/>
  <c r="BG156" i="12"/>
  <c r="BB204" i="12"/>
  <c r="BF189" i="12"/>
  <c r="BF157" i="12"/>
  <c r="BH202" i="12"/>
  <c r="BD181" i="12"/>
  <c r="AZ164" i="12"/>
  <c r="BD145" i="12"/>
  <c r="BF84" i="12"/>
  <c r="BG146" i="12"/>
  <c r="BC122" i="12"/>
  <c r="BE84" i="12"/>
  <c r="AY26" i="12"/>
  <c r="AY52" i="12"/>
  <c r="AX104" i="12"/>
  <c r="AY113" i="12"/>
  <c r="BB151" i="12"/>
  <c r="BE148" i="12"/>
  <c r="AY170" i="12"/>
  <c r="BF156" i="12"/>
  <c r="BC143" i="12"/>
  <c r="BF197" i="12"/>
  <c r="BF177" i="12"/>
  <c r="BB168" i="12"/>
  <c r="BF161" i="12"/>
  <c r="BF149" i="12"/>
  <c r="BD128" i="12"/>
  <c r="BA86" i="12"/>
  <c r="BA143" i="12"/>
  <c r="AZ204" i="12"/>
  <c r="BH194" i="12"/>
  <c r="BH186" i="12"/>
  <c r="BH178" i="12"/>
  <c r="AZ172" i="12"/>
  <c r="BH166" i="12"/>
  <c r="BH158" i="12"/>
  <c r="BD149" i="12"/>
  <c r="BF116" i="12"/>
  <c r="BE103" i="12"/>
  <c r="BD90" i="12"/>
  <c r="BG194" i="12"/>
  <c r="BG166" i="12"/>
  <c r="BD135" i="12"/>
  <c r="BH123" i="12"/>
  <c r="BF113" i="12"/>
  <c r="AZ99" i="12"/>
  <c r="BD87" i="12"/>
  <c r="BH75" i="12"/>
  <c r="BB165" i="12"/>
  <c r="AY10" i="12"/>
  <c r="AX68" i="12"/>
  <c r="AY36" i="12"/>
  <c r="AX84" i="12"/>
  <c r="AY132" i="12"/>
  <c r="AX100" i="12"/>
  <c r="BE137" i="12"/>
  <c r="AZ136" i="12"/>
  <c r="BF134" i="12"/>
  <c r="BA133" i="12"/>
  <c r="BB130" i="12"/>
  <c r="BH128" i="12"/>
  <c r="BC127" i="12"/>
  <c r="BD124" i="12"/>
  <c r="BE121" i="12"/>
  <c r="BC111" i="12"/>
  <c r="BF102" i="12"/>
  <c r="BG99" i="12"/>
  <c r="BD92" i="12"/>
  <c r="BG83" i="12"/>
  <c r="BD76" i="12"/>
  <c r="AX103" i="12"/>
  <c r="BG139" i="12"/>
  <c r="BE128" i="12"/>
  <c r="BF109" i="12"/>
  <c r="BH100" i="12"/>
  <c r="BD109" i="12"/>
  <c r="BF193" i="12"/>
  <c r="BB156" i="12"/>
  <c r="BA137" i="12"/>
  <c r="AY137" i="12"/>
  <c r="BB83" i="12"/>
  <c r="BD201" i="12"/>
  <c r="AZ192" i="12"/>
  <c r="BH182" i="12"/>
  <c r="BD173" i="12"/>
  <c r="BH162" i="12"/>
  <c r="AZ152" i="12"/>
  <c r="BE135" i="12"/>
  <c r="BG113" i="12"/>
  <c r="BF100" i="12"/>
  <c r="BH78" i="12"/>
  <c r="BC165" i="12"/>
  <c r="BC138" i="12"/>
  <c r="BA128" i="12"/>
  <c r="BG110" i="12"/>
  <c r="BE100" i="12"/>
  <c r="BH91" i="12"/>
  <c r="BB197" i="12"/>
  <c r="AX108" i="12"/>
  <c r="BC8" i="12"/>
  <c r="AY68" i="12"/>
  <c r="AY20" i="12"/>
  <c r="AX51" i="12"/>
  <c r="AX35" i="12"/>
  <c r="AX19" i="12"/>
  <c r="AY83" i="12"/>
  <c r="AY115" i="12"/>
  <c r="AX99" i="12"/>
  <c r="BE134" i="12"/>
  <c r="AZ133" i="12"/>
  <c r="BA130" i="12"/>
  <c r="BG128" i="12"/>
  <c r="BB127" i="12"/>
  <c r="BH125" i="12"/>
  <c r="BC124" i="12"/>
  <c r="BE118" i="12"/>
  <c r="BB111" i="12"/>
  <c r="BH109" i="12"/>
  <c r="BE102" i="12"/>
  <c r="BF99" i="12"/>
  <c r="BC92" i="12"/>
  <c r="BF83" i="12"/>
  <c r="BH77" i="12"/>
  <c r="BC76" i="12"/>
  <c r="AX102" i="12"/>
  <c r="AY120" i="12"/>
  <c r="BF85" i="12"/>
  <c r="BF139" i="12" s="1"/>
  <c r="BD180" i="12"/>
  <c r="BH165" i="12"/>
  <c r="BD164" i="12"/>
  <c r="BH149" i="12"/>
  <c r="BD148" i="12"/>
  <c r="BC129" i="12"/>
  <c r="BE129" i="12"/>
  <c r="AZ109" i="12"/>
  <c r="BA109" i="12"/>
  <c r="BB100" i="12"/>
  <c r="BC100" i="12"/>
  <c r="BD100" i="12"/>
  <c r="BG202" i="12"/>
  <c r="BC189" i="12"/>
  <c r="AY176" i="12"/>
  <c r="BG162" i="12"/>
  <c r="BC149" i="12"/>
  <c r="AZ93" i="12"/>
  <c r="BF206" i="12"/>
  <c r="BB193" i="12"/>
  <c r="BF170" i="12"/>
  <c r="BB149" i="12"/>
  <c r="BA145" i="12"/>
  <c r="BB145" i="12"/>
  <c r="BE206" i="12"/>
  <c r="BA181" i="12"/>
  <c r="BE166" i="12"/>
  <c r="BE150" i="12"/>
  <c r="BD178" i="12"/>
  <c r="BD158" i="12"/>
  <c r="BB138" i="12"/>
  <c r="BF111" i="12"/>
  <c r="BA78" i="12"/>
  <c r="AX205" i="12"/>
  <c r="AY189" i="12"/>
  <c r="BC206" i="12"/>
  <c r="BC136" i="12"/>
  <c r="BE130" i="12"/>
  <c r="AZ129" i="12"/>
  <c r="BF127" i="12"/>
  <c r="BA126" i="12"/>
  <c r="BC120" i="12"/>
  <c r="BD117" i="12"/>
  <c r="BA110" i="12"/>
  <c r="BG108" i="12"/>
  <c r="BB107" i="12"/>
  <c r="BH105" i="12"/>
  <c r="BE98" i="12"/>
  <c r="AZ97" i="12"/>
  <c r="BC88" i="12"/>
  <c r="BE82" i="12"/>
  <c r="AZ81" i="12"/>
  <c r="BG76" i="12"/>
  <c r="BB75" i="12"/>
  <c r="BA138" i="12"/>
  <c r="BH133" i="12"/>
  <c r="AY108" i="12"/>
  <c r="AY93" i="12"/>
  <c r="AY82" i="12"/>
  <c r="AZ78" i="12"/>
  <c r="AY143" i="12"/>
  <c r="BF207" i="12"/>
  <c r="BF195" i="12"/>
  <c r="BB190" i="12"/>
  <c r="BF175" i="12"/>
  <c r="BB174" i="12"/>
  <c r="BF159" i="12"/>
  <c r="BB158" i="12"/>
  <c r="AX176" i="12"/>
  <c r="BE94" i="12"/>
  <c r="BE113" i="12"/>
  <c r="BA93" i="12"/>
  <c r="BC193" i="12"/>
  <c r="BG178" i="12"/>
  <c r="BC132" i="12"/>
  <c r="BH104" i="12"/>
  <c r="BB205" i="12"/>
  <c r="BB189" i="12"/>
  <c r="BB173" i="12"/>
  <c r="BB157" i="12"/>
  <c r="BE190" i="12"/>
  <c r="BE174" i="12"/>
  <c r="BH195" i="12"/>
  <c r="AZ185" i="12"/>
  <c r="AZ173" i="12"/>
  <c r="AZ153" i="12"/>
  <c r="BG207" i="12"/>
  <c r="AX193" i="12"/>
  <c r="AX20" i="12"/>
  <c r="BG137" i="12"/>
  <c r="BB136" i="12"/>
  <c r="BH134" i="12"/>
  <c r="BE127" i="12"/>
  <c r="AZ126" i="12"/>
  <c r="BF124" i="12"/>
  <c r="BH118" i="12"/>
  <c r="BC117" i="12"/>
  <c r="AZ110" i="12"/>
  <c r="BF108" i="12"/>
  <c r="BA107" i="12"/>
  <c r="BG105" i="12"/>
  <c r="BD98" i="12"/>
  <c r="BE95" i="12"/>
  <c r="BF92" i="12"/>
  <c r="BG89" i="12"/>
  <c r="BB88" i="12"/>
  <c r="BH86" i="12"/>
  <c r="BD82" i="12"/>
  <c r="BE79" i="12"/>
  <c r="BF76" i="12"/>
  <c r="BA75" i="12"/>
  <c r="BF126" i="12"/>
  <c r="BH107" i="12"/>
  <c r="BB89" i="12"/>
  <c r="BE85" i="12"/>
  <c r="BE139" i="12" s="1"/>
  <c r="BH175" i="12"/>
  <c r="BG123" i="12"/>
  <c r="AX115" i="12"/>
  <c r="BG198" i="12"/>
  <c r="AX188" i="12"/>
  <c r="AY188" i="12"/>
  <c r="BC177" i="12"/>
  <c r="BC153" i="12"/>
  <c r="BF186" i="12"/>
  <c r="BF174" i="12"/>
  <c r="BA205" i="12"/>
  <c r="BA177" i="12"/>
  <c r="BE162" i="12"/>
  <c r="BH207" i="12"/>
  <c r="BH183" i="12"/>
  <c r="BH171" i="12"/>
  <c r="BH159" i="12"/>
  <c r="BD150" i="12"/>
  <c r="AZ145" i="12"/>
  <c r="BC158" i="12"/>
  <c r="BC13" i="12"/>
  <c r="BD10" i="12"/>
  <c r="AI139" i="12"/>
  <c r="AY85" i="12"/>
  <c r="AY139" i="12" s="1"/>
  <c r="BC114" i="12"/>
  <c r="AX133" i="12"/>
  <c r="BE126" i="12"/>
  <c r="AY123" i="12"/>
  <c r="BG107" i="12"/>
  <c r="BA89" i="12"/>
  <c r="BD85" i="12"/>
  <c r="BD139" i="12" s="1"/>
  <c r="BD194" i="12"/>
  <c r="AZ161" i="12"/>
  <c r="AR208" i="12"/>
  <c r="BH208" i="12"/>
  <c r="AX92" i="12"/>
  <c r="AY92" i="12"/>
  <c r="BB122" i="12"/>
  <c r="AZ112" i="12"/>
  <c r="BF91" i="12"/>
  <c r="BC201" i="12"/>
  <c r="BG186" i="12"/>
  <c r="BG170" i="12"/>
  <c r="BG150" i="12"/>
  <c r="BC84" i="12"/>
  <c r="BF123" i="12"/>
  <c r="BF202" i="12"/>
  <c r="BB185" i="12"/>
  <c r="AZ122" i="12"/>
  <c r="BE198" i="12"/>
  <c r="AX148" i="12"/>
  <c r="AZ201" i="12"/>
  <c r="AZ181" i="12"/>
  <c r="BH163" i="12"/>
  <c r="BD154" i="12"/>
  <c r="BD208" i="12" s="1"/>
  <c r="AN208" i="12"/>
  <c r="AY116" i="12"/>
  <c r="AY100" i="12"/>
  <c r="BF118" i="12"/>
  <c r="BA117" i="12"/>
  <c r="BG115" i="12"/>
  <c r="BB114" i="12"/>
  <c r="BD108" i="12"/>
  <c r="BE105" i="12"/>
  <c r="AZ104" i="12"/>
  <c r="BB98" i="12"/>
  <c r="BH96" i="12"/>
  <c r="BC95" i="12"/>
  <c r="AZ88" i="12"/>
  <c r="BF86" i="12"/>
  <c r="AK139" i="12"/>
  <c r="BA85" i="12"/>
  <c r="BA139" i="12" s="1"/>
  <c r="BH80" i="12"/>
  <c r="BC79" i="12"/>
  <c r="AX132" i="12"/>
  <c r="AZ137" i="12"/>
  <c r="AY130" i="12"/>
  <c r="BC85" i="12"/>
  <c r="BC139" i="12" s="1"/>
  <c r="BG9" i="12"/>
  <c r="BG190" i="12"/>
  <c r="AX152" i="12"/>
  <c r="AY152" i="12"/>
  <c r="BB135" i="12"/>
  <c r="BB153" i="12"/>
  <c r="BA201" i="12"/>
  <c r="BE154" i="12"/>
  <c r="BE208" i="12" s="1"/>
  <c r="AZ193" i="12"/>
  <c r="AZ165" i="12"/>
  <c r="BH147" i="12"/>
  <c r="BC178" i="12"/>
  <c r="AY131" i="12"/>
  <c r="AY99" i="12"/>
  <c r="BD137" i="12"/>
  <c r="BD121" i="12"/>
  <c r="AZ117" i="12"/>
  <c r="BF115" i="12"/>
  <c r="BA114" i="12"/>
  <c r="BC108" i="12"/>
  <c r="BD105" i="12"/>
  <c r="BA98" i="12"/>
  <c r="BG96" i="12"/>
  <c r="BB95" i="12"/>
  <c r="BH93" i="12"/>
  <c r="BD89" i="12"/>
  <c r="BE86" i="12"/>
  <c r="AJ139" i="12"/>
  <c r="AZ85" i="12"/>
  <c r="AZ139" i="12" s="1"/>
  <c r="BG80" i="12"/>
  <c r="BB79" i="12"/>
  <c r="AX131" i="12"/>
  <c r="AX88" i="12"/>
  <c r="BA96" i="12"/>
  <c r="BB85" i="12"/>
  <c r="BB139" i="12" s="1"/>
  <c r="AY200" i="12"/>
  <c r="BB8" i="12"/>
  <c r="BD132" i="12"/>
  <c r="BA119" i="12"/>
  <c r="BB119" i="12"/>
  <c r="BC119" i="12"/>
  <c r="BH101" i="12"/>
  <c r="BC205" i="12"/>
  <c r="BC169" i="12"/>
  <c r="BC157" i="12"/>
  <c r="BF198" i="12"/>
  <c r="BB177" i="12"/>
  <c r="BE146" i="12"/>
  <c r="BF146" i="12"/>
  <c r="BD116" i="12"/>
  <c r="BA197" i="12"/>
  <c r="BA169" i="12"/>
  <c r="BA157" i="12"/>
  <c r="AZ205" i="12"/>
  <c r="BH187" i="12"/>
  <c r="BH167" i="12"/>
  <c r="BH151" i="12"/>
  <c r="BG159" i="12"/>
  <c r="BG56" i="12"/>
  <c r="BF8" i="12"/>
  <c r="BA7" i="12"/>
  <c r="AY114" i="12"/>
  <c r="AX114" i="12"/>
  <c r="BH138" i="12"/>
  <c r="BC137" i="12"/>
  <c r="BD134" i="12"/>
  <c r="BA127" i="12"/>
  <c r="BG125" i="12"/>
  <c r="BB124" i="12"/>
  <c r="BH122" i="12"/>
  <c r="BE115" i="12"/>
  <c r="AZ114" i="12"/>
  <c r="BF112" i="12"/>
  <c r="BH106" i="12"/>
  <c r="BC105" i="12"/>
  <c r="BD102" i="12"/>
  <c r="BF96" i="12"/>
  <c r="BA95" i="12"/>
  <c r="BG93" i="12"/>
  <c r="BD86" i="12"/>
  <c r="BF80" i="12"/>
  <c r="BA79" i="12"/>
  <c r="BG77" i="12"/>
  <c r="AX87" i="12"/>
  <c r="BH136" i="12"/>
  <c r="BA118" i="12"/>
  <c r="BD99" i="12"/>
  <c r="BD80" i="12"/>
  <c r="AY173" i="12"/>
  <c r="AX76" i="12"/>
  <c r="AY76" i="12"/>
  <c r="BF120" i="12"/>
  <c r="BG120" i="12"/>
  <c r="BH120" i="12"/>
  <c r="BC103" i="12"/>
  <c r="BD84" i="12"/>
  <c r="BC135" i="12"/>
  <c r="AZ143" i="12"/>
  <c r="BC173" i="12"/>
  <c r="AX164" i="12"/>
  <c r="AY164" i="12"/>
  <c r="AX156" i="12"/>
  <c r="AY156" i="12"/>
  <c r="BB181" i="12"/>
  <c r="BF158" i="12"/>
  <c r="BE178" i="12"/>
  <c r="BA153" i="12"/>
  <c r="AY177" i="12"/>
  <c r="BH203" i="12"/>
  <c r="BD186" i="12"/>
  <c r="BD166" i="12"/>
  <c r="BD146" i="12"/>
  <c r="BC190" i="12"/>
  <c r="AY81" i="12"/>
  <c r="AX81" i="12"/>
  <c r="AY129" i="12"/>
  <c r="AX129" i="12"/>
  <c r="AY97" i="12"/>
  <c r="AX97" i="12"/>
  <c r="BB137" i="12"/>
  <c r="BH135" i="12"/>
  <c r="BC134" i="12"/>
  <c r="BD131" i="12"/>
  <c r="BF125" i="12"/>
  <c r="BA124" i="12"/>
  <c r="BG122" i="12"/>
  <c r="BH119" i="12"/>
  <c r="BD115" i="12"/>
  <c r="BE112" i="12"/>
  <c r="BG106" i="12"/>
  <c r="BB105" i="12"/>
  <c r="BH103" i="12"/>
  <c r="BC102" i="12"/>
  <c r="BE96" i="12"/>
  <c r="AZ95" i="12"/>
  <c r="BF93" i="12"/>
  <c r="BA92" i="12"/>
  <c r="BH87" i="12"/>
  <c r="BE80" i="12"/>
  <c r="AZ79" i="12"/>
  <c r="BF77" i="12"/>
  <c r="AX86" i="12"/>
  <c r="BG136" i="12"/>
  <c r="AY110" i="12"/>
  <c r="BC99" i="12"/>
  <c r="AY96" i="12"/>
  <c r="AY84" i="12"/>
  <c r="BH191" i="12"/>
  <c r="AX173" i="12"/>
  <c r="AY157" i="12"/>
  <c r="AX109" i="12"/>
  <c r="AY109" i="12"/>
  <c r="AY124" i="12"/>
  <c r="AX124" i="12"/>
  <c r="BB87" i="12"/>
  <c r="BG206" i="12"/>
  <c r="AX196" i="12"/>
  <c r="AY196" i="12"/>
  <c r="AX184" i="12"/>
  <c r="AY184" i="12"/>
  <c r="AX172" i="12"/>
  <c r="AY172" i="12"/>
  <c r="BG158" i="12"/>
  <c r="BB103" i="12"/>
  <c r="BB201" i="12"/>
  <c r="BF190" i="12"/>
  <c r="BF178" i="12"/>
  <c r="BF162" i="12"/>
  <c r="AP208" i="12"/>
  <c r="BF154" i="12"/>
  <c r="BF208" i="12" s="1"/>
  <c r="BE123" i="12"/>
  <c r="BA185" i="12"/>
  <c r="BA173" i="12"/>
  <c r="BE158" i="12"/>
  <c r="BF97" i="12"/>
  <c r="BD206" i="12"/>
  <c r="BD198" i="12"/>
  <c r="BD170" i="12"/>
  <c r="AZ149" i="12"/>
  <c r="AX32" i="12"/>
  <c r="AY80" i="12"/>
  <c r="AX80" i="12"/>
  <c r="AX128" i="12"/>
  <c r="AY128" i="12"/>
  <c r="AY112" i="12"/>
  <c r="AX112" i="12"/>
  <c r="BG135" i="12"/>
  <c r="BB134" i="12"/>
  <c r="BH132" i="12"/>
  <c r="BC131" i="12"/>
  <c r="BE125" i="12"/>
  <c r="AZ124" i="12"/>
  <c r="BF122" i="12"/>
  <c r="BA121" i="12"/>
  <c r="BB118" i="12"/>
  <c r="BC115" i="12"/>
  <c r="BD112" i="12"/>
  <c r="BF106" i="12"/>
  <c r="BA105" i="12"/>
  <c r="BG103" i="12"/>
  <c r="BD96" i="12"/>
  <c r="BE93" i="12"/>
  <c r="AZ92" i="12"/>
  <c r="BG87" i="12"/>
  <c r="BH84" i="12"/>
  <c r="BC83" i="12"/>
  <c r="BE77" i="12"/>
  <c r="AX119" i="12"/>
  <c r="AX85" i="12"/>
  <c r="AX139" i="12" s="1"/>
  <c r="BA125" i="12"/>
  <c r="AY118" i="12"/>
  <c r="BC106" i="12"/>
  <c r="BF87" i="12"/>
  <c r="BB76" i="12"/>
  <c r="BG191" i="12"/>
  <c r="AY180" i="12"/>
  <c r="AY144" i="12"/>
  <c r="AX144" i="12"/>
  <c r="BF182" i="12"/>
  <c r="BB169" i="12"/>
  <c r="BB132" i="12"/>
  <c r="BE202" i="12"/>
  <c r="BA193" i="12"/>
  <c r="BE186" i="12"/>
  <c r="BE170" i="12"/>
  <c r="AZ197" i="12"/>
  <c r="BC116" i="12"/>
  <c r="BH139" i="12"/>
  <c r="BH199" i="12"/>
  <c r="AZ189" i="12"/>
  <c r="AZ169" i="12"/>
  <c r="BH155" i="12"/>
  <c r="AZ61" i="12"/>
  <c r="AY79" i="12"/>
  <c r="AX79" i="12"/>
  <c r="AX127" i="12"/>
  <c r="AX111" i="12"/>
  <c r="AY111" i="12"/>
  <c r="AY95" i="12"/>
  <c r="AX95" i="12"/>
  <c r="BF135" i="12"/>
  <c r="BA134" i="12"/>
  <c r="BG132" i="12"/>
  <c r="BB131" i="12"/>
  <c r="BD125" i="12"/>
  <c r="BE122" i="12"/>
  <c r="AY121" i="12"/>
  <c r="BB115" i="12"/>
  <c r="BH113" i="12"/>
  <c r="BC112" i="12"/>
  <c r="AZ105" i="12"/>
  <c r="BF103" i="12"/>
  <c r="BA102" i="12"/>
  <c r="BG100" i="12"/>
  <c r="BD93" i="12"/>
  <c r="BH117" i="12"/>
  <c r="BB106" i="12"/>
  <c r="BA76" i="12"/>
  <c r="AY77" i="12"/>
  <c r="AX77" i="12"/>
  <c r="BC87" i="12"/>
  <c r="AZ128" i="12"/>
  <c r="AX204" i="12"/>
  <c r="AY204" i="12"/>
  <c r="AY192" i="12"/>
  <c r="AX192" i="12"/>
  <c r="BC181" i="12"/>
  <c r="BG174" i="12"/>
  <c r="AX168" i="12"/>
  <c r="AY168" i="12"/>
  <c r="AY160" i="12"/>
  <c r="AQ208" i="12"/>
  <c r="BG154" i="12"/>
  <c r="BG208" i="12" s="1"/>
  <c r="BC145" i="12"/>
  <c r="BA122" i="12"/>
  <c r="BF166" i="12"/>
  <c r="BF150" i="12"/>
  <c r="BA189" i="12"/>
  <c r="BA165" i="12"/>
  <c r="BA149" i="12"/>
  <c r="BD202" i="12"/>
  <c r="BD190" i="12"/>
  <c r="BD174" i="12"/>
  <c r="AZ157" i="12"/>
  <c r="AX136" i="12"/>
  <c r="BC174" i="12"/>
  <c r="AX48" i="12"/>
  <c r="AX28" i="12"/>
  <c r="AX78" i="12"/>
  <c r="AX126" i="12"/>
  <c r="AY126" i="12"/>
  <c r="AX110" i="12"/>
  <c r="AX94" i="12"/>
  <c r="AZ134" i="12"/>
  <c r="BF132" i="12"/>
  <c r="BA131" i="12"/>
  <c r="BG129" i="12"/>
  <c r="BD122" i="12"/>
  <c r="AX117" i="12"/>
  <c r="AX83" i="12"/>
  <c r="AY125" i="12"/>
  <c r="BF94" i="12"/>
  <c r="AY91" i="12"/>
  <c r="BB143" i="12"/>
  <c r="BE205" i="12"/>
  <c r="BA204" i="12"/>
  <c r="BE201" i="12"/>
  <c r="BA196" i="12"/>
  <c r="BE193" i="12"/>
  <c r="BA192" i="12"/>
  <c r="BE189" i="12"/>
  <c r="BA188" i="12"/>
  <c r="BE185" i="12"/>
  <c r="BA184" i="12"/>
  <c r="BE181" i="12"/>
  <c r="BE177" i="12"/>
  <c r="BA176" i="12"/>
  <c r="BE173" i="12"/>
  <c r="BA172" i="12"/>
  <c r="BE169" i="12"/>
  <c r="BA168" i="12"/>
  <c r="BA164" i="12"/>
  <c r="BE161" i="12"/>
  <c r="BA160" i="12"/>
  <c r="BE157" i="12"/>
  <c r="BA156" i="12"/>
  <c r="BE153" i="12"/>
  <c r="BA152" i="12"/>
  <c r="BE149" i="12"/>
  <c r="BE145" i="12"/>
  <c r="BA144" i="12"/>
  <c r="BC86" i="12"/>
  <c r="BG88" i="12"/>
  <c r="BA74" i="12"/>
  <c r="BG203" i="12"/>
  <c r="BC202" i="12"/>
  <c r="AX201" i="12"/>
  <c r="AY201" i="12"/>
  <c r="BG199" i="12"/>
  <c r="BC198" i="12"/>
  <c r="AX197" i="12"/>
  <c r="BG195" i="12"/>
  <c r="BG187" i="12"/>
  <c r="BC186" i="12"/>
  <c r="AX185" i="12"/>
  <c r="AY185" i="12"/>
  <c r="BG183" i="12"/>
  <c r="BC182" i="12"/>
  <c r="AX181" i="12"/>
  <c r="BG179" i="12"/>
  <c r="BG171" i="12"/>
  <c r="BC170" i="12"/>
  <c r="AX169" i="12"/>
  <c r="AY169" i="12"/>
  <c r="BG167" i="12"/>
  <c r="BC166" i="12"/>
  <c r="AX165" i="12"/>
  <c r="AY165" i="12"/>
  <c r="BG163" i="12"/>
  <c r="BC162" i="12"/>
  <c r="AX161" i="12"/>
  <c r="BG155" i="12"/>
  <c r="BC154" i="12"/>
  <c r="BC208" i="12" s="1"/>
  <c r="AM208" i="12"/>
  <c r="AX153" i="12"/>
  <c r="AY153" i="12"/>
  <c r="BG151" i="12"/>
  <c r="BC150" i="12"/>
  <c r="AX149" i="12"/>
  <c r="AY149" i="12"/>
  <c r="BG147" i="12"/>
  <c r="BC146" i="12"/>
  <c r="AX145" i="12"/>
  <c r="AY205" i="12"/>
  <c r="BA199" i="12"/>
  <c r="BF184" i="12"/>
  <c r="BB102" i="12"/>
  <c r="BB86" i="12"/>
  <c r="AZ121" i="12"/>
  <c r="BF203" i="12"/>
  <c r="BB202" i="12"/>
  <c r="BF199" i="12"/>
  <c r="BB198" i="12"/>
  <c r="BB194" i="12"/>
  <c r="BF187" i="12"/>
  <c r="BB186" i="12"/>
  <c r="BF183" i="12"/>
  <c r="BB182" i="12"/>
  <c r="BB178" i="12"/>
  <c r="BF171" i="12"/>
  <c r="BB170" i="12"/>
  <c r="BF167" i="12"/>
  <c r="BB166" i="12"/>
  <c r="BF163" i="12"/>
  <c r="BB162" i="12"/>
  <c r="BF155" i="12"/>
  <c r="BB154" i="12"/>
  <c r="BB208" i="12" s="1"/>
  <c r="AL208" i="12"/>
  <c r="BF151" i="12"/>
  <c r="BB150" i="12"/>
  <c r="BF147" i="12"/>
  <c r="BB146" i="12"/>
  <c r="AY202" i="12"/>
  <c r="BE184" i="12"/>
  <c r="BC155" i="12"/>
  <c r="BG84" i="12"/>
  <c r="BB90" i="12"/>
  <c r="BG75" i="12"/>
  <c r="BA202" i="12"/>
  <c r="BE199" i="12"/>
  <c r="BA198" i="12"/>
  <c r="BA186" i="12"/>
  <c r="BE183" i="12"/>
  <c r="BA182" i="12"/>
  <c r="BE179" i="12"/>
  <c r="BA170" i="12"/>
  <c r="BE167" i="12"/>
  <c r="BA166" i="12"/>
  <c r="BE163" i="12"/>
  <c r="BA162" i="12"/>
  <c r="BA154" i="12"/>
  <c r="BA208" i="12" s="1"/>
  <c r="AK208" i="12"/>
  <c r="BE151" i="12"/>
  <c r="BA150" i="12"/>
  <c r="BE147" i="12"/>
  <c r="BA146" i="12"/>
  <c r="BB155" i="12"/>
  <c r="BF110" i="12"/>
  <c r="BA90" i="12"/>
  <c r="BF75" i="12"/>
  <c r="AZ178" i="12"/>
  <c r="BH176" i="12"/>
  <c r="BH168" i="12"/>
  <c r="BD167" i="12"/>
  <c r="AZ166" i="12"/>
  <c r="BH164" i="12"/>
  <c r="BD163" i="12"/>
  <c r="AZ162" i="12"/>
  <c r="BH160" i="12"/>
  <c r="BD159" i="12"/>
  <c r="BH152" i="12"/>
  <c r="BD151" i="12"/>
  <c r="BB187" i="12"/>
  <c r="BE110" i="12"/>
  <c r="BG91" i="12"/>
  <c r="BC207" i="12"/>
  <c r="AX206" i="12"/>
  <c r="BG200" i="12"/>
  <c r="BC199" i="12"/>
  <c r="AX198" i="12"/>
  <c r="AY198" i="12"/>
  <c r="BG196" i="12"/>
  <c r="BC195" i="12"/>
  <c r="AX194" i="12"/>
  <c r="AY194" i="12"/>
  <c r="BC191" i="12"/>
  <c r="AX190" i="12"/>
  <c r="BG184" i="12"/>
  <c r="BC183" i="12"/>
  <c r="AX182" i="12"/>
  <c r="AY182" i="12"/>
  <c r="BG180" i="12"/>
  <c r="BC179" i="12"/>
  <c r="AX178" i="12"/>
  <c r="AY178" i="12"/>
  <c r="BA175" i="12"/>
  <c r="BC175" i="12"/>
  <c r="AX166" i="12"/>
  <c r="AY166" i="12"/>
  <c r="AX162" i="12"/>
  <c r="AY162" i="12"/>
  <c r="BF160" i="12"/>
  <c r="BG160" i="12"/>
  <c r="BA159" i="12"/>
  <c r="BB159" i="12"/>
  <c r="BC159" i="12"/>
  <c r="AX158" i="12"/>
  <c r="AY158" i="12"/>
  <c r="BF204" i="12"/>
  <c r="AY193" i="12"/>
  <c r="BA187" i="12"/>
  <c r="BC171" i="12"/>
  <c r="BA167" i="12"/>
  <c r="BE81" i="12"/>
  <c r="AY107" i="12"/>
  <c r="BE143" i="12"/>
  <c r="BF143" i="12"/>
  <c r="BB199" i="12"/>
  <c r="BE196" i="12"/>
  <c r="BF196" i="12"/>
  <c r="AZ195" i="12"/>
  <c r="BA195" i="12"/>
  <c r="BB195" i="12"/>
  <c r="BD192" i="12"/>
  <c r="BE192" i="12"/>
  <c r="BB183" i="12"/>
  <c r="BE180" i="12"/>
  <c r="BB167" i="12"/>
  <c r="BE164" i="12"/>
  <c r="BE204" i="12"/>
  <c r="AY190" i="12"/>
  <c r="BB171" i="12"/>
  <c r="AZ154" i="12"/>
  <c r="AZ208" i="12" s="1"/>
  <c r="BH67" i="12"/>
  <c r="BG54" i="12"/>
  <c r="BD47" i="12"/>
  <c r="AZ43" i="12"/>
  <c r="BH35" i="12"/>
  <c r="BE28" i="12"/>
  <c r="AZ27" i="12"/>
  <c r="BB21" i="12"/>
  <c r="BH19" i="12"/>
  <c r="BB18" i="12"/>
  <c r="BD15" i="12"/>
  <c r="AZ11" i="12"/>
  <c r="BD129" i="12"/>
  <c r="BD113" i="12"/>
  <c r="BD97" i="12"/>
  <c r="BD81" i="12"/>
  <c r="BB207" i="12"/>
  <c r="AY154" i="12"/>
  <c r="AY208" i="12" s="1"/>
  <c r="AZ59" i="12"/>
  <c r="BE44" i="12"/>
  <c r="BH64" i="12"/>
  <c r="BC63" i="12"/>
  <c r="BE57" i="12"/>
  <c r="BF54" i="12"/>
  <c r="BG51" i="12"/>
  <c r="BC47" i="12"/>
  <c r="BD44" i="12"/>
  <c r="BG35" i="12"/>
  <c r="BB34" i="12"/>
  <c r="BC31" i="12"/>
  <c r="BD28" i="12"/>
  <c r="AZ24" i="12"/>
  <c r="BF22" i="12"/>
  <c r="BA21" i="12"/>
  <c r="BH16" i="12"/>
  <c r="AZ8" i="12"/>
  <c r="BF6" i="12"/>
  <c r="AX75" i="12"/>
  <c r="BH197" i="12"/>
  <c r="BD196" i="12"/>
  <c r="BH181" i="12"/>
  <c r="BA207" i="12"/>
  <c r="BF192" i="12"/>
  <c r="AY181" i="12"/>
  <c r="AX154" i="12"/>
  <c r="AX208" i="12" s="1"/>
  <c r="AY145" i="12"/>
  <c r="AX39" i="12"/>
  <c r="AX23" i="12"/>
  <c r="AY6" i="12"/>
  <c r="AY54" i="12"/>
  <c r="AY38" i="12"/>
  <c r="AY22" i="12"/>
  <c r="BH127" i="12"/>
  <c r="BH111" i="12"/>
  <c r="BH95" i="12"/>
  <c r="BC78" i="12"/>
  <c r="AX207" i="12"/>
  <c r="AY207" i="12"/>
  <c r="AX195" i="12"/>
  <c r="AY195" i="12"/>
  <c r="AX191" i="12"/>
  <c r="AY191" i="12"/>
  <c r="AX179" i="12"/>
  <c r="AY179" i="12"/>
  <c r="AX175" i="12"/>
  <c r="AY175" i="12"/>
  <c r="AX171" i="12"/>
  <c r="AY171" i="12"/>
  <c r="AX163" i="12"/>
  <c r="AY163" i="12"/>
  <c r="AX159" i="12"/>
  <c r="AY159" i="12"/>
  <c r="AX155" i="12"/>
  <c r="AY155" i="12"/>
  <c r="AX147" i="12"/>
  <c r="AY147" i="12"/>
  <c r="BA183" i="12"/>
  <c r="BG144" i="12"/>
  <c r="BE176" i="12"/>
  <c r="BE160" i="12"/>
  <c r="AY146" i="12"/>
  <c r="BE144" i="12"/>
  <c r="AO208" i="12"/>
  <c r="BB179" i="12"/>
  <c r="BB163" i="12"/>
  <c r="BB147" i="12"/>
  <c r="BF180" i="12"/>
  <c r="BA179" i="12"/>
  <c r="BF164" i="12"/>
  <c r="BA163" i="12"/>
  <c r="BF148" i="12"/>
  <c r="BA147" i="12"/>
  <c r="AY150" i="12"/>
  <c r="BC66" i="12"/>
  <c r="BE60" i="12"/>
  <c r="BA40" i="12"/>
  <c r="BD31" i="12"/>
  <c r="BG22" i="12"/>
  <c r="BC37" i="12"/>
  <c r="BA69" i="12"/>
  <c r="BD60" i="12"/>
  <c r="AZ40" i="12"/>
  <c r="BH32" i="12"/>
  <c r="AZ69" i="12"/>
  <c r="BF67" i="12"/>
  <c r="BA66" i="12"/>
  <c r="BG64" i="12"/>
  <c r="BB63" i="12"/>
  <c r="BH61" i="12"/>
  <c r="BC60" i="12"/>
  <c r="BD57" i="12"/>
  <c r="BE54" i="12"/>
  <c r="AZ53" i="12"/>
  <c r="BF51" i="12"/>
  <c r="BA50" i="12"/>
  <c r="BG48" i="12"/>
  <c r="BB47" i="12"/>
  <c r="BH45" i="12"/>
  <c r="BC44" i="12"/>
  <c r="BD41" i="12"/>
  <c r="BE38" i="12"/>
  <c r="AZ37" i="12"/>
  <c r="BF35" i="12"/>
  <c r="BA34" i="12"/>
  <c r="BG32" i="12"/>
  <c r="BB31" i="12"/>
  <c r="BH29" i="12"/>
  <c r="BC28" i="12"/>
  <c r="BD25" i="12"/>
  <c r="BE22" i="12"/>
  <c r="AZ21" i="12"/>
  <c r="BF19" i="12"/>
  <c r="BA18" i="12"/>
  <c r="BG16" i="12"/>
  <c r="BB15" i="12"/>
  <c r="BH13" i="12"/>
  <c r="BC12" i="12"/>
  <c r="BD9" i="12"/>
  <c r="BE6" i="12"/>
  <c r="AZ5" i="12"/>
  <c r="BB69" i="12"/>
  <c r="BA11" i="12"/>
  <c r="BF60" i="12"/>
  <c r="BF28" i="12"/>
  <c r="BE15" i="12"/>
  <c r="BB56" i="12"/>
  <c r="BA43" i="12"/>
  <c r="AY25" i="12"/>
  <c r="AX9" i="12"/>
  <c r="BE18" i="12"/>
  <c r="AX65" i="12"/>
  <c r="AY65" i="12"/>
  <c r="AY49" i="12"/>
  <c r="AY33" i="12"/>
  <c r="AY17" i="12"/>
  <c r="AX33" i="12"/>
  <c r="AX10" i="12"/>
  <c r="BE47" i="12"/>
  <c r="BC52" i="12"/>
  <c r="BE46" i="12"/>
  <c r="BA42" i="12"/>
  <c r="BC39" i="12"/>
  <c r="BH37" i="12"/>
  <c r="BD36" i="12"/>
  <c r="BE33" i="12"/>
  <c r="AZ32" i="12"/>
  <c r="BF30" i="12"/>
  <c r="BA29" i="12"/>
  <c r="BG27" i="12"/>
  <c r="BB26" i="12"/>
  <c r="BH24" i="12"/>
  <c r="BC23" i="12"/>
  <c r="BH21" i="12"/>
  <c r="BD20" i="12"/>
  <c r="BE17" i="12"/>
  <c r="AX16" i="12"/>
  <c r="BA13" i="12"/>
  <c r="AX14" i="12"/>
  <c r="AY14" i="12"/>
  <c r="BC68" i="12"/>
  <c r="BD33" i="12"/>
  <c r="BF27" i="12"/>
  <c r="BB23" i="12"/>
  <c r="BF11" i="12"/>
  <c r="BG8" i="12"/>
  <c r="AX62" i="12"/>
  <c r="AX46" i="12"/>
  <c r="AX30" i="12"/>
  <c r="BA8" i="12"/>
  <c r="AX11" i="12"/>
  <c r="AY11" i="12"/>
  <c r="AY59" i="12"/>
  <c r="AY43" i="12"/>
  <c r="AY27" i="12"/>
  <c r="BE66" i="12"/>
  <c r="BE63" i="12"/>
  <c r="BA59" i="12"/>
  <c r="BG57" i="12"/>
  <c r="BH54" i="12"/>
  <c r="BD50" i="12"/>
  <c r="AZ46" i="12"/>
  <c r="BG44" i="12"/>
  <c r="BB40" i="12"/>
  <c r="BH38" i="12"/>
  <c r="BE31" i="12"/>
  <c r="BA27" i="12"/>
  <c r="BG25" i="12"/>
  <c r="BH22" i="12"/>
  <c r="BD21" i="12"/>
  <c r="AX54" i="12"/>
  <c r="AX38" i="12"/>
  <c r="AX22" i="12"/>
  <c r="AY69" i="12"/>
  <c r="AY53" i="12"/>
  <c r="BE67" i="12"/>
  <c r="AZ66" i="12"/>
  <c r="BF64" i="12"/>
  <c r="BA63" i="12"/>
  <c r="BG61" i="12"/>
  <c r="BB60" i="12"/>
  <c r="BA47" i="12"/>
  <c r="BG45" i="12"/>
  <c r="BB44" i="12"/>
  <c r="BE19" i="12"/>
  <c r="BA10" i="12"/>
  <c r="AZ29" i="12"/>
  <c r="AX53" i="12"/>
  <c r="BH23" i="12"/>
  <c r="BD19" i="12"/>
  <c r="BE16" i="12"/>
  <c r="BG5" i="12"/>
  <c r="AX52" i="12"/>
  <c r="AX36" i="12"/>
  <c r="AX67" i="12"/>
  <c r="AY67" i="12"/>
  <c r="AY51" i="12"/>
  <c r="AY35" i="12"/>
  <c r="AY19" i="12"/>
  <c r="BH14" i="12"/>
  <c r="BC56" i="12"/>
  <c r="BD37" i="12"/>
  <c r="BG33" i="12"/>
  <c r="BB32" i="12"/>
  <c r="BH30" i="12"/>
  <c r="BC29" i="12"/>
  <c r="BD26" i="12"/>
  <c r="BE23" i="12"/>
  <c r="AZ22" i="12"/>
  <c r="BF20" i="12"/>
  <c r="BA19" i="12"/>
  <c r="BG17" i="12"/>
  <c r="BB16" i="12"/>
  <c r="BE7" i="12"/>
  <c r="AZ6" i="12"/>
  <c r="AX49" i="12"/>
  <c r="AX17" i="12"/>
  <c r="AX64" i="12"/>
  <c r="AY48" i="12"/>
  <c r="AY32" i="12"/>
  <c r="BE36" i="12"/>
  <c r="AZ35" i="12"/>
  <c r="BF33" i="12"/>
  <c r="BA32" i="12"/>
  <c r="BG30" i="12"/>
  <c r="BB29" i="12"/>
  <c r="BH27" i="12"/>
  <c r="BC26" i="12"/>
  <c r="BD23" i="12"/>
  <c r="BE20" i="12"/>
  <c r="AZ19" i="12"/>
  <c r="BF17" i="12"/>
  <c r="BA16" i="12"/>
  <c r="BG14" i="12"/>
  <c r="BB13" i="12"/>
  <c r="BH11" i="12"/>
  <c r="BC10" i="12"/>
  <c r="BD7" i="12"/>
  <c r="BE14" i="12"/>
  <c r="AY62" i="12"/>
  <c r="AY46" i="12"/>
  <c r="AY30" i="12"/>
  <c r="BH69" i="12"/>
  <c r="BD65" i="12"/>
  <c r="BE62" i="12"/>
  <c r="BF59" i="12"/>
  <c r="BA58" i="12"/>
  <c r="BB55" i="12"/>
  <c r="BH53" i="12"/>
  <c r="BD49" i="12"/>
  <c r="AZ45" i="12"/>
  <c r="BF43" i="12"/>
  <c r="BD18" i="12"/>
  <c r="AY13" i="12"/>
  <c r="AY61" i="12"/>
  <c r="AY45" i="12"/>
  <c r="AY29" i="12"/>
  <c r="BG69" i="12"/>
  <c r="BB68" i="12"/>
  <c r="BH66" i="12"/>
  <c r="BC65" i="12"/>
  <c r="BD62" i="12"/>
  <c r="BE59" i="12"/>
  <c r="AZ58" i="12"/>
  <c r="BF56" i="12"/>
  <c r="BA55" i="12"/>
  <c r="BG53" i="12"/>
  <c r="BB52" i="12"/>
  <c r="BH50" i="12"/>
  <c r="BD46" i="12"/>
  <c r="BE43" i="12"/>
  <c r="AZ42" i="12"/>
  <c r="BF40" i="12"/>
  <c r="BA39" i="12"/>
  <c r="BH18" i="12"/>
  <c r="BC17" i="12"/>
  <c r="AZ13" i="12"/>
  <c r="BB7" i="12"/>
  <c r="BC24" i="12"/>
  <c r="AX61" i="12"/>
  <c r="AX45" i="12"/>
  <c r="AX29" i="12"/>
  <c r="BF69" i="12"/>
  <c r="BA68" i="12"/>
  <c r="BG66" i="12"/>
  <c r="BB65" i="12"/>
  <c r="BH63" i="12"/>
  <c r="BC62" i="12"/>
  <c r="BD59" i="12"/>
  <c r="BE56" i="12"/>
  <c r="AZ55" i="12"/>
  <c r="BF53" i="12"/>
  <c r="BA52" i="12"/>
  <c r="BG50" i="12"/>
  <c r="BB49" i="12"/>
  <c r="BH47" i="12"/>
  <c r="BC46" i="12"/>
  <c r="BD43" i="12"/>
  <c r="BE40" i="12"/>
  <c r="AZ39" i="12"/>
  <c r="BF37" i="12"/>
  <c r="BA36" i="12"/>
  <c r="BG34" i="12"/>
  <c r="BB33" i="12"/>
  <c r="BH31" i="12"/>
  <c r="BC30" i="12"/>
  <c r="BD27" i="12"/>
  <c r="BE24" i="12"/>
  <c r="AZ23" i="12"/>
  <c r="BF21" i="12"/>
  <c r="BA20" i="12"/>
  <c r="BG18" i="12"/>
  <c r="BB17" i="12"/>
  <c r="BH15" i="12"/>
  <c r="BC14" i="12"/>
  <c r="BD11" i="12"/>
  <c r="BH9" i="12"/>
  <c r="BE8" i="12"/>
  <c r="AZ7" i="12"/>
  <c r="BF5" i="12"/>
  <c r="BG12" i="12"/>
  <c r="BH6" i="12"/>
  <c r="BH41" i="12"/>
  <c r="BB24" i="12"/>
  <c r="BC5" i="12"/>
  <c r="BF12" i="12"/>
  <c r="BG41" i="12"/>
  <c r="BD17" i="12"/>
  <c r="AX43" i="12"/>
  <c r="AX26" i="12"/>
  <c r="AX25" i="12"/>
  <c r="AX8" i="12"/>
  <c r="BF57" i="12"/>
  <c r="BB53" i="12"/>
  <c r="BH48" i="12"/>
  <c r="BC34" i="12"/>
  <c r="BE25" i="12"/>
  <c r="BF9" i="12"/>
  <c r="BB5" i="12"/>
  <c r="AX59" i="12"/>
  <c r="AX27" i="12"/>
  <c r="AY16" i="12"/>
  <c r="AX56" i="12"/>
  <c r="AX40" i="12"/>
  <c r="AX24" i="12"/>
  <c r="BA53" i="12"/>
  <c r="BE9" i="12"/>
  <c r="AY39" i="8"/>
  <c r="BC37" i="8"/>
  <c r="BH26" i="8"/>
  <c r="BD29" i="8"/>
  <c r="BH30" i="8"/>
  <c r="BH38" i="8"/>
  <c r="AX69" i="12"/>
  <c r="AX37" i="12"/>
  <c r="AX21" i="12"/>
  <c r="BH58" i="12"/>
  <c r="BC57" i="12"/>
  <c r="BD54" i="12"/>
  <c r="BE51" i="12"/>
  <c r="AZ50" i="12"/>
  <c r="BF48" i="12"/>
  <c r="BH42" i="12"/>
  <c r="BC41" i="12"/>
  <c r="BD38" i="12"/>
  <c r="BE35" i="12"/>
  <c r="AZ34" i="12"/>
  <c r="BF32" i="12"/>
  <c r="BA31" i="12"/>
  <c r="BG29" i="12"/>
  <c r="BB28" i="12"/>
  <c r="BH26" i="12"/>
  <c r="BC25" i="12"/>
  <c r="BD22" i="12"/>
  <c r="AZ18" i="12"/>
  <c r="BF16" i="12"/>
  <c r="BA15" i="12"/>
  <c r="BG13" i="12"/>
  <c r="BB12" i="12"/>
  <c r="BH10" i="12"/>
  <c r="BC9" i="12"/>
  <c r="BD6" i="12"/>
  <c r="BG58" i="12"/>
  <c r="BC54" i="12"/>
  <c r="AZ47" i="12"/>
  <c r="BG42" i="12"/>
  <c r="BH39" i="12"/>
  <c r="BC38" i="12"/>
  <c r="BD35" i="12"/>
  <c r="BE32" i="12"/>
  <c r="AZ31" i="12"/>
  <c r="BF29" i="12"/>
  <c r="BA28" i="12"/>
  <c r="BG26" i="12"/>
  <c r="BB25" i="12"/>
  <c r="BC22" i="12"/>
  <c r="AZ15" i="12"/>
  <c r="BF13" i="12"/>
  <c r="BA12" i="12"/>
  <c r="BG10" i="12"/>
  <c r="BB9" i="12"/>
  <c r="BH7" i="12"/>
  <c r="BC6" i="12"/>
  <c r="BD67" i="12"/>
  <c r="AZ63" i="12"/>
  <c r="BB57" i="12"/>
  <c r="BD51" i="12"/>
  <c r="BA44" i="12"/>
  <c r="AX66" i="12"/>
  <c r="BH68" i="12"/>
  <c r="BC67" i="12"/>
  <c r="BD64" i="12"/>
  <c r="AZ60" i="12"/>
  <c r="BF58" i="12"/>
  <c r="BA57" i="12"/>
  <c r="BG55" i="12"/>
  <c r="BB54" i="12"/>
  <c r="BH52" i="12"/>
  <c r="BC51" i="12"/>
  <c r="BD48" i="12"/>
  <c r="BE45" i="12"/>
  <c r="AZ44" i="12"/>
  <c r="BF42" i="12"/>
  <c r="BA41" i="12"/>
  <c r="BG39" i="12"/>
  <c r="BB38" i="12"/>
  <c r="BH36" i="12"/>
  <c r="BC35" i="12"/>
  <c r="BD32" i="12"/>
  <c r="BE29" i="12"/>
  <c r="AZ28" i="12"/>
  <c r="BF26" i="12"/>
  <c r="BA25" i="12"/>
  <c r="BG23" i="12"/>
  <c r="BB22" i="12"/>
  <c r="BH20" i="12"/>
  <c r="BC19" i="12"/>
  <c r="BD16" i="12"/>
  <c r="BE13" i="12"/>
  <c r="AZ12" i="12"/>
  <c r="BF10" i="12"/>
  <c r="BA9" i="12"/>
  <c r="BG7" i="12"/>
  <c r="BB6" i="12"/>
  <c r="BE64" i="12"/>
  <c r="BA60" i="12"/>
  <c r="BH55" i="12"/>
  <c r="BE48" i="12"/>
  <c r="BF45" i="12"/>
  <c r="BB41" i="12"/>
  <c r="BE61" i="12"/>
  <c r="AX50" i="12"/>
  <c r="AX18" i="12"/>
  <c r="AY50" i="12"/>
  <c r="AY34" i="12"/>
  <c r="AY18" i="12"/>
  <c r="BG68" i="12"/>
  <c r="BB67" i="12"/>
  <c r="BC64" i="12"/>
  <c r="BD61" i="12"/>
  <c r="BE58" i="12"/>
  <c r="AX57" i="12"/>
  <c r="AY57" i="12"/>
  <c r="AZ57" i="12"/>
  <c r="BF55" i="12"/>
  <c r="BA54" i="12"/>
  <c r="BF61" i="12"/>
  <c r="AX34" i="12"/>
  <c r="AY66" i="12"/>
  <c r="BH65" i="12"/>
  <c r="BF39" i="12"/>
  <c r="BE26" i="12"/>
  <c r="BG65" i="12"/>
  <c r="BC45" i="12"/>
  <c r="AZ38" i="12"/>
  <c r="AX15" i="12"/>
  <c r="AY5" i="12"/>
  <c r="BE68" i="12"/>
  <c r="AZ67" i="12"/>
  <c r="BF65" i="12"/>
  <c r="BA64" i="12"/>
  <c r="BG62" i="12"/>
  <c r="BB61" i="12"/>
  <c r="BH59" i="12"/>
  <c r="BC58" i="12"/>
  <c r="BD55" i="12"/>
  <c r="BE52" i="12"/>
  <c r="AZ51" i="12"/>
  <c r="BF49" i="12"/>
  <c r="BA48" i="12"/>
  <c r="BG46" i="12"/>
  <c r="BB45" i="12"/>
  <c r="BH43" i="12"/>
  <c r="BC42" i="12"/>
  <c r="BD39" i="12"/>
  <c r="BB11" i="12"/>
  <c r="BF63" i="12"/>
  <c r="BE50" i="12"/>
  <c r="BB27" i="12"/>
  <c r="BD45" i="12"/>
  <c r="BH33" i="12"/>
  <c r="BF23" i="12"/>
  <c r="BH17" i="12"/>
  <c r="BF68" i="12"/>
  <c r="BD58" i="12"/>
  <c r="BA51" i="12"/>
  <c r="BA35" i="12"/>
  <c r="AX63" i="12"/>
  <c r="AX47" i="12"/>
  <c r="AX31" i="12"/>
  <c r="AY15" i="12"/>
  <c r="AY63" i="12"/>
  <c r="AY47" i="12"/>
  <c r="AY31" i="12"/>
  <c r="BD68" i="12"/>
  <c r="BE65" i="12"/>
  <c r="AZ64" i="12"/>
  <c r="BF62" i="12"/>
  <c r="BA61" i="12"/>
  <c r="BG59" i="12"/>
  <c r="BB58" i="12"/>
  <c r="BH56" i="12"/>
  <c r="BC55" i="12"/>
  <c r="BD52" i="12"/>
  <c r="BE49" i="12"/>
  <c r="AZ48" i="12"/>
  <c r="BF46" i="12"/>
  <c r="BA45" i="12"/>
  <c r="BG43" i="12"/>
  <c r="BB42" i="12"/>
  <c r="BH40" i="12"/>
  <c r="AX55" i="12"/>
  <c r="BC36" i="12"/>
  <c r="BF31" i="12"/>
  <c r="BH49" i="12"/>
  <c r="BG36" i="12"/>
  <c r="BF7" i="12"/>
  <c r="BB64" i="12"/>
  <c r="AZ54" i="12"/>
  <c r="BD42" i="12"/>
  <c r="BF36" i="12"/>
  <c r="AX13" i="12"/>
  <c r="AX7" i="12"/>
  <c r="BB59" i="12"/>
  <c r="BG40" i="12"/>
  <c r="BE42" i="12"/>
  <c r="BG20" i="12"/>
  <c r="BA67" i="12"/>
  <c r="BE55" i="12"/>
  <c r="BE39" i="12"/>
  <c r="AX12" i="12"/>
  <c r="BC49" i="12"/>
  <c r="BG37" i="12"/>
  <c r="BB36" i="12"/>
  <c r="BH34" i="12"/>
  <c r="BC33" i="12"/>
  <c r="BD30" i="12"/>
  <c r="BE27" i="12"/>
  <c r="AZ26" i="12"/>
  <c r="BF24" i="12"/>
  <c r="BA23" i="12"/>
  <c r="BG21" i="12"/>
  <c r="BB20" i="12"/>
  <c r="BC40" i="12"/>
  <c r="AZ17" i="12"/>
  <c r="BA6" i="12"/>
  <c r="BC61" i="12"/>
  <c r="BH46" i="12"/>
  <c r="AX60" i="12"/>
  <c r="AX44" i="12"/>
  <c r="AY12" i="12"/>
  <c r="AY60" i="12"/>
  <c r="AY44" i="12"/>
  <c r="AY28" i="12"/>
  <c r="BA14" i="12"/>
  <c r="BA26" i="12"/>
  <c r="BG52" i="12"/>
  <c r="BC32" i="12"/>
  <c r="BG49" i="12"/>
  <c r="BE69" i="12"/>
  <c r="AZ68" i="12"/>
  <c r="BF66" i="12"/>
  <c r="BA65" i="12"/>
  <c r="BG63" i="12"/>
  <c r="BB62" i="12"/>
  <c r="BH60" i="12"/>
  <c r="BC59" i="12"/>
  <c r="BD56" i="12"/>
  <c r="BE53" i="12"/>
  <c r="AZ52" i="12"/>
  <c r="BF50" i="12"/>
  <c r="BA49" i="12"/>
  <c r="BG47" i="12"/>
  <c r="BB46" i="12"/>
  <c r="BH44" i="12"/>
  <c r="BC43" i="12"/>
  <c r="BD40" i="12"/>
  <c r="BE37" i="12"/>
  <c r="AZ36" i="12"/>
  <c r="BF34" i="12"/>
  <c r="BA33" i="12"/>
  <c r="BG31" i="12"/>
  <c r="BB30" i="12"/>
  <c r="BH28" i="12"/>
  <c r="BC27" i="12"/>
  <c r="BD24" i="12"/>
  <c r="BE21" i="12"/>
  <c r="AZ20" i="12"/>
  <c r="BF18" i="12"/>
  <c r="BA17" i="12"/>
  <c r="BG15" i="12"/>
  <c r="BB14" i="12"/>
  <c r="BH12" i="12"/>
  <c r="BC11" i="12"/>
  <c r="BD8" i="12"/>
  <c r="BD66" i="12"/>
  <c r="AZ49" i="12"/>
  <c r="BF44" i="12"/>
  <c r="BE30" i="12"/>
  <c r="BH25" i="12"/>
  <c r="BC21" i="12"/>
  <c r="AX41" i="12"/>
  <c r="AY41" i="12"/>
  <c r="AZ41" i="12"/>
  <c r="BB48" i="12"/>
  <c r="AX58" i="12"/>
  <c r="AX42" i="12"/>
  <c r="AY58" i="12"/>
  <c r="AY42" i="12"/>
  <c r="BA62" i="12"/>
  <c r="BD53" i="12"/>
  <c r="BA30" i="12"/>
  <c r="BC48" i="12"/>
  <c r="BB35" i="12"/>
  <c r="BA22" i="12"/>
  <c r="BF52" i="12"/>
  <c r="AZ62" i="12"/>
  <c r="BH57" i="12"/>
  <c r="BC53" i="12"/>
  <c r="BB39" i="12"/>
  <c r="BE34" i="12"/>
  <c r="AZ30" i="12"/>
  <c r="BB51" i="12"/>
  <c r="BA38" i="12"/>
  <c r="BD29" i="12"/>
  <c r="BB19" i="12"/>
  <c r="BH62" i="12"/>
  <c r="BD69" i="12"/>
  <c r="BD34" i="12"/>
  <c r="BC20" i="12"/>
  <c r="BC16" i="12"/>
  <c r="AX6" i="12"/>
  <c r="AY7" i="12"/>
  <c r="AY55" i="12"/>
  <c r="AY39" i="12"/>
  <c r="AY23" i="12"/>
  <c r="BA5" i="12"/>
  <c r="BC69" i="12"/>
  <c r="BB43" i="12"/>
  <c r="BG24" i="12"/>
  <c r="BD5" i="12"/>
  <c r="BD13" i="12"/>
  <c r="BE10" i="12"/>
  <c r="AZ9" i="12"/>
  <c r="AZ25" i="12"/>
  <c r="AY9" i="12"/>
  <c r="BF14" i="12"/>
  <c r="BG11" i="12"/>
  <c r="BB10" i="12"/>
  <c r="BH8" i="12"/>
  <c r="BC7" i="12"/>
  <c r="AZ16" i="12"/>
  <c r="N543" i="6"/>
  <c r="N287" i="6"/>
  <c r="N644" i="6"/>
  <c r="N129" i="6"/>
  <c r="N720" i="6"/>
  <c r="N530" i="6"/>
  <c r="N833" i="6"/>
  <c r="N611" i="6"/>
  <c r="N174" i="6"/>
  <c r="N832" i="6"/>
  <c r="N687" i="6"/>
  <c r="N388" i="6"/>
  <c r="N243" i="6"/>
  <c r="N788" i="6"/>
  <c r="N643" i="6"/>
  <c r="N319" i="6"/>
  <c r="N236" i="6"/>
  <c r="N642" i="6"/>
  <c r="N463" i="6"/>
  <c r="N240" i="6"/>
  <c r="N756" i="6"/>
  <c r="N432" i="6"/>
  <c r="N355" i="6"/>
  <c r="N798" i="6"/>
  <c r="N431" i="6"/>
  <c r="N93" i="6"/>
  <c r="N686" i="6"/>
  <c r="N387" i="6"/>
  <c r="N82" i="6"/>
  <c r="N753" i="6"/>
  <c r="N531" i="6"/>
  <c r="N318" i="6"/>
  <c r="N162" i="6"/>
  <c r="N564" i="6"/>
  <c r="N639" i="6"/>
  <c r="N528" i="6"/>
  <c r="N340" i="6"/>
  <c r="N272" i="6"/>
  <c r="N638" i="6"/>
  <c r="N382" i="6"/>
  <c r="N271" i="6"/>
  <c r="N226" i="6"/>
  <c r="N192" i="6"/>
  <c r="N158" i="6"/>
  <c r="N113" i="6"/>
  <c r="N77" i="6"/>
  <c r="N32" i="6"/>
  <c r="N466" i="6"/>
  <c r="N94" i="6"/>
  <c r="N542" i="6"/>
  <c r="N286" i="6"/>
  <c r="N430" i="6"/>
  <c r="N641" i="6"/>
  <c r="N308" i="6"/>
  <c r="N126" i="6"/>
  <c r="N751" i="6"/>
  <c r="N529" i="6"/>
  <c r="N307" i="6"/>
  <c r="N160" i="6"/>
  <c r="N673" i="6"/>
  <c r="N417" i="6"/>
  <c r="N78" i="6"/>
  <c r="N450" i="6"/>
  <c r="N671" i="6"/>
  <c r="N415" i="6"/>
  <c r="N270" i="6"/>
  <c r="N225" i="6"/>
  <c r="N191" i="6"/>
  <c r="N157" i="6"/>
  <c r="N112" i="6"/>
  <c r="N66" i="6"/>
  <c r="N31" i="6"/>
  <c r="N799" i="6"/>
  <c r="N398" i="6"/>
  <c r="N130" i="6"/>
  <c r="N576" i="6"/>
  <c r="N47" i="6"/>
  <c r="N609" i="6"/>
  <c r="N276" i="6"/>
  <c r="N719" i="6"/>
  <c r="N352" i="6"/>
  <c r="N45" i="6"/>
  <c r="N607" i="6"/>
  <c r="N351" i="6"/>
  <c r="N80" i="6"/>
  <c r="N708" i="6"/>
  <c r="N563" i="6"/>
  <c r="N350" i="6"/>
  <c r="N125" i="6"/>
  <c r="N596" i="6"/>
  <c r="N383" i="6"/>
  <c r="N238" i="6"/>
  <c r="N706" i="6"/>
  <c r="N561" i="6"/>
  <c r="N816" i="6"/>
  <c r="N526" i="6"/>
  <c r="N772" i="6"/>
  <c r="N482" i="6"/>
  <c r="N303" i="6"/>
  <c r="N111" i="6"/>
  <c r="N65" i="6"/>
  <c r="A1" i="2"/>
  <c r="N3" i="6"/>
  <c r="N19" i="6"/>
  <c r="N35" i="6"/>
  <c r="N51" i="6"/>
  <c r="N67" i="6"/>
  <c r="N83" i="6"/>
  <c r="N99" i="6"/>
  <c r="N115" i="6"/>
  <c r="N131" i="6"/>
  <c r="N147" i="6"/>
  <c r="N163" i="6"/>
  <c r="N179" i="6"/>
  <c r="N195" i="6"/>
  <c r="N211" i="6"/>
  <c r="N227" i="6"/>
  <c r="N245" i="6"/>
  <c r="N261" i="6"/>
  <c r="N277" i="6"/>
  <c r="N293" i="6"/>
  <c r="N309" i="6"/>
  <c r="N325" i="6"/>
  <c r="N341" i="6"/>
  <c r="N357" i="6"/>
  <c r="N373" i="6"/>
  <c r="N389" i="6"/>
  <c r="N405" i="6"/>
  <c r="N421" i="6"/>
  <c r="N437" i="6"/>
  <c r="N453" i="6"/>
  <c r="N469" i="6"/>
  <c r="N485" i="6"/>
  <c r="N501" i="6"/>
  <c r="N517" i="6"/>
  <c r="N533" i="6"/>
  <c r="N549" i="6"/>
  <c r="N565" i="6"/>
  <c r="N581" i="6"/>
  <c r="N597" i="6"/>
  <c r="N613" i="6"/>
  <c r="N629" i="6"/>
  <c r="N645" i="6"/>
  <c r="N661" i="6"/>
  <c r="N677" i="6"/>
  <c r="N693" i="6"/>
  <c r="N709" i="6"/>
  <c r="N725" i="6"/>
  <c r="N741" i="6"/>
  <c r="N757" i="6"/>
  <c r="N773" i="6"/>
  <c r="N789" i="6"/>
  <c r="N805" i="6"/>
  <c r="N821" i="6"/>
  <c r="N837" i="6"/>
  <c r="N487" i="6"/>
  <c r="N535" i="6"/>
  <c r="N583" i="6"/>
  <c r="N631" i="6"/>
  <c r="N679" i="6"/>
  <c r="N727" i="6"/>
  <c r="N775" i="6"/>
  <c r="N823" i="6"/>
  <c r="N520" i="6"/>
  <c r="N616" i="6"/>
  <c r="N712" i="6"/>
  <c r="N776" i="6"/>
  <c r="N840" i="6"/>
  <c r="N569" i="6"/>
  <c r="N745" i="6"/>
  <c r="N794" i="6"/>
  <c r="N620" i="6"/>
  <c r="N764" i="6"/>
  <c r="N91" i="6"/>
  <c r="N171" i="6"/>
  <c r="N285" i="6"/>
  <c r="N413" i="6"/>
  <c r="N509" i="6"/>
  <c r="N621" i="6"/>
  <c r="N749" i="6"/>
  <c r="N845" i="6"/>
  <c r="N60" i="6"/>
  <c r="N4" i="6"/>
  <c r="N20" i="6"/>
  <c r="N36" i="6"/>
  <c r="N52" i="6"/>
  <c r="N68" i="6"/>
  <c r="N84" i="6"/>
  <c r="N100" i="6"/>
  <c r="N116" i="6"/>
  <c r="N132" i="6"/>
  <c r="N148" i="6"/>
  <c r="N164" i="6"/>
  <c r="N180" i="6"/>
  <c r="N196" i="6"/>
  <c r="N212" i="6"/>
  <c r="N228" i="6"/>
  <c r="N246" i="6"/>
  <c r="N262" i="6"/>
  <c r="N278" i="6"/>
  <c r="N294" i="6"/>
  <c r="N310" i="6"/>
  <c r="N326" i="6"/>
  <c r="N342" i="6"/>
  <c r="N358" i="6"/>
  <c r="N374" i="6"/>
  <c r="N390" i="6"/>
  <c r="N406" i="6"/>
  <c r="N422" i="6"/>
  <c r="N438" i="6"/>
  <c r="N454" i="6"/>
  <c r="N470" i="6"/>
  <c r="N486" i="6"/>
  <c r="N502" i="6"/>
  <c r="N518" i="6"/>
  <c r="N534" i="6"/>
  <c r="N550" i="6"/>
  <c r="N566" i="6"/>
  <c r="N582" i="6"/>
  <c r="N598" i="6"/>
  <c r="N614" i="6"/>
  <c r="N630" i="6"/>
  <c r="N646" i="6"/>
  <c r="N662" i="6"/>
  <c r="N678" i="6"/>
  <c r="N694" i="6"/>
  <c r="N710" i="6"/>
  <c r="N726" i="6"/>
  <c r="N742" i="6"/>
  <c r="N758" i="6"/>
  <c r="N774" i="6"/>
  <c r="N790" i="6"/>
  <c r="N806" i="6"/>
  <c r="N822" i="6"/>
  <c r="N838" i="6"/>
  <c r="N471" i="6"/>
  <c r="N567" i="6"/>
  <c r="N615" i="6"/>
  <c r="N663" i="6"/>
  <c r="N711" i="6"/>
  <c r="N743" i="6"/>
  <c r="N791" i="6"/>
  <c r="N839" i="6"/>
  <c r="N504" i="6"/>
  <c r="N632" i="6"/>
  <c r="N696" i="6"/>
  <c r="N760" i="6"/>
  <c r="N824" i="6"/>
  <c r="N521" i="6"/>
  <c r="N617" i="6"/>
  <c r="N681" i="6"/>
  <c r="N761" i="6"/>
  <c r="N825" i="6"/>
  <c r="N810" i="6"/>
  <c r="N827" i="6"/>
  <c r="N716" i="6"/>
  <c r="N812" i="6"/>
  <c r="N11" i="6"/>
  <c r="N123" i="6"/>
  <c r="N253" i="6"/>
  <c r="N349" i="6"/>
  <c r="N461" i="6"/>
  <c r="N557" i="6"/>
  <c r="N669" i="6"/>
  <c r="N781" i="6"/>
  <c r="N28" i="6"/>
  <c r="N124" i="6"/>
  <c r="N5" i="6"/>
  <c r="N21" i="6"/>
  <c r="N37" i="6"/>
  <c r="N53" i="6"/>
  <c r="N69" i="6"/>
  <c r="N85" i="6"/>
  <c r="N101" i="6"/>
  <c r="N117" i="6"/>
  <c r="N133" i="6"/>
  <c r="N149" i="6"/>
  <c r="N165" i="6"/>
  <c r="N181" i="6"/>
  <c r="N197" i="6"/>
  <c r="N213" i="6"/>
  <c r="N229" i="6"/>
  <c r="N247" i="6"/>
  <c r="N263" i="6"/>
  <c r="N279" i="6"/>
  <c r="N295" i="6"/>
  <c r="N311" i="6"/>
  <c r="N327" i="6"/>
  <c r="N343" i="6"/>
  <c r="N359" i="6"/>
  <c r="N375" i="6"/>
  <c r="N391" i="6"/>
  <c r="N407" i="6"/>
  <c r="N423" i="6"/>
  <c r="N439" i="6"/>
  <c r="N455" i="6"/>
  <c r="N503" i="6"/>
  <c r="N519" i="6"/>
  <c r="N551" i="6"/>
  <c r="N599" i="6"/>
  <c r="N647" i="6"/>
  <c r="N695" i="6"/>
  <c r="N759" i="6"/>
  <c r="N807" i="6"/>
  <c r="N488" i="6"/>
  <c r="N568" i="6"/>
  <c r="N600" i="6"/>
  <c r="N664" i="6"/>
  <c r="N728" i="6"/>
  <c r="N792" i="6"/>
  <c r="N505" i="6"/>
  <c r="N649" i="6"/>
  <c r="N713" i="6"/>
  <c r="N777" i="6"/>
  <c r="N841" i="6"/>
  <c r="N795" i="6"/>
  <c r="N668" i="6"/>
  <c r="N796" i="6"/>
  <c r="N59" i="6"/>
  <c r="N155" i="6"/>
  <c r="N269" i="6"/>
  <c r="N381" i="6"/>
  <c r="N493" i="6"/>
  <c r="N589" i="6"/>
  <c r="N685" i="6"/>
  <c r="N797" i="6"/>
  <c r="N6" i="6"/>
  <c r="N22" i="6"/>
  <c r="N38" i="6"/>
  <c r="N54" i="6"/>
  <c r="N70" i="6"/>
  <c r="N86" i="6"/>
  <c r="N102" i="6"/>
  <c r="N118" i="6"/>
  <c r="N134" i="6"/>
  <c r="N150" i="6"/>
  <c r="N166" i="6"/>
  <c r="N182" i="6"/>
  <c r="N198" i="6"/>
  <c r="N214" i="6"/>
  <c r="N230" i="6"/>
  <c r="N248" i="6"/>
  <c r="N264" i="6"/>
  <c r="N280" i="6"/>
  <c r="N296" i="6"/>
  <c r="N312" i="6"/>
  <c r="N328" i="6"/>
  <c r="N344" i="6"/>
  <c r="N360" i="6"/>
  <c r="N376" i="6"/>
  <c r="N392" i="6"/>
  <c r="N408" i="6"/>
  <c r="N424" i="6"/>
  <c r="N440" i="6"/>
  <c r="N456" i="6"/>
  <c r="N472" i="6"/>
  <c r="N536" i="6"/>
  <c r="N552" i="6"/>
  <c r="N584" i="6"/>
  <c r="N648" i="6"/>
  <c r="N680" i="6"/>
  <c r="N744" i="6"/>
  <c r="N808" i="6"/>
  <c r="N553" i="6"/>
  <c r="N665" i="6"/>
  <c r="N729" i="6"/>
  <c r="N809" i="6"/>
  <c r="N826" i="6"/>
  <c r="N636" i="6"/>
  <c r="N780" i="6"/>
  <c r="N75" i="6"/>
  <c r="N139" i="6"/>
  <c r="N237" i="6"/>
  <c r="N333" i="6"/>
  <c r="N429" i="6"/>
  <c r="N541" i="6"/>
  <c r="N637" i="6"/>
  <c r="N765" i="6"/>
  <c r="N76" i="6"/>
  <c r="N23" i="6"/>
  <c r="N39" i="6"/>
  <c r="N55" i="6"/>
  <c r="N71" i="6"/>
  <c r="N87" i="6"/>
  <c r="N103" i="6"/>
  <c r="N119" i="6"/>
  <c r="N135" i="6"/>
  <c r="N151" i="6"/>
  <c r="N167" i="6"/>
  <c r="N183" i="6"/>
  <c r="N199" i="6"/>
  <c r="N215" i="6"/>
  <c r="N231" i="6"/>
  <c r="N249" i="6"/>
  <c r="N265" i="6"/>
  <c r="N281" i="6"/>
  <c r="N297" i="6"/>
  <c r="N313" i="6"/>
  <c r="N329" i="6"/>
  <c r="N345" i="6"/>
  <c r="N361" i="6"/>
  <c r="N377" i="6"/>
  <c r="N393" i="6"/>
  <c r="N409" i="6"/>
  <c r="N425" i="6"/>
  <c r="N441" i="6"/>
  <c r="N457" i="6"/>
  <c r="N473" i="6"/>
  <c r="N489" i="6"/>
  <c r="N537" i="6"/>
  <c r="N585" i="6"/>
  <c r="N601" i="6"/>
  <c r="N633" i="6"/>
  <c r="N697" i="6"/>
  <c r="N793" i="6"/>
  <c r="N842" i="6"/>
  <c r="N652" i="6"/>
  <c r="N844" i="6"/>
  <c r="N43" i="6"/>
  <c r="N219" i="6"/>
  <c r="N397" i="6"/>
  <c r="N525" i="6"/>
  <c r="N653" i="6"/>
  <c r="N813" i="6"/>
  <c r="N92" i="6"/>
  <c r="N8" i="6"/>
  <c r="N24" i="6"/>
  <c r="N40" i="6"/>
  <c r="N56" i="6"/>
  <c r="N72" i="6"/>
  <c r="N88" i="6"/>
  <c r="N104" i="6"/>
  <c r="N120" i="6"/>
  <c r="N136" i="6"/>
  <c r="N152" i="6"/>
  <c r="N168" i="6"/>
  <c r="N184" i="6"/>
  <c r="N200" i="6"/>
  <c r="N216" i="6"/>
  <c r="N232" i="6"/>
  <c r="N250" i="6"/>
  <c r="N266" i="6"/>
  <c r="N282" i="6"/>
  <c r="N298" i="6"/>
  <c r="N314" i="6"/>
  <c r="N330" i="6"/>
  <c r="N346" i="6"/>
  <c r="N362" i="6"/>
  <c r="N378" i="6"/>
  <c r="N394" i="6"/>
  <c r="N410" i="6"/>
  <c r="N426" i="6"/>
  <c r="N442" i="6"/>
  <c r="N458" i="6"/>
  <c r="N474" i="6"/>
  <c r="N490" i="6"/>
  <c r="N506" i="6"/>
  <c r="N522" i="6"/>
  <c r="N538" i="6"/>
  <c r="N554" i="6"/>
  <c r="N570" i="6"/>
  <c r="N586" i="6"/>
  <c r="N602" i="6"/>
  <c r="N618" i="6"/>
  <c r="N634" i="6"/>
  <c r="N650" i="6"/>
  <c r="N666" i="6"/>
  <c r="N682" i="6"/>
  <c r="N698" i="6"/>
  <c r="N714" i="6"/>
  <c r="N730" i="6"/>
  <c r="N746" i="6"/>
  <c r="N762" i="6"/>
  <c r="N778" i="6"/>
  <c r="N811" i="6"/>
  <c r="N700" i="6"/>
  <c r="N828" i="6"/>
  <c r="N107" i="6"/>
  <c r="N203" i="6"/>
  <c r="N317" i="6"/>
  <c r="N445" i="6"/>
  <c r="N573" i="6"/>
  <c r="N701" i="6"/>
  <c r="N829" i="6"/>
  <c r="N12" i="6"/>
  <c r="N9" i="6"/>
  <c r="N25" i="6"/>
  <c r="N41" i="6"/>
  <c r="N57" i="6"/>
  <c r="N73" i="6"/>
  <c r="N89" i="6"/>
  <c r="N105" i="6"/>
  <c r="N121" i="6"/>
  <c r="N137" i="6"/>
  <c r="N153" i="6"/>
  <c r="N169" i="6"/>
  <c r="N185" i="6"/>
  <c r="N201" i="6"/>
  <c r="N217" i="6"/>
  <c r="N233" i="6"/>
  <c r="N251" i="6"/>
  <c r="N267" i="6"/>
  <c r="N283" i="6"/>
  <c r="N299" i="6"/>
  <c r="N315" i="6"/>
  <c r="N331" i="6"/>
  <c r="N347" i="6"/>
  <c r="N363" i="6"/>
  <c r="N379" i="6"/>
  <c r="N395" i="6"/>
  <c r="N411" i="6"/>
  <c r="N427" i="6"/>
  <c r="N443" i="6"/>
  <c r="N459" i="6"/>
  <c r="N475" i="6"/>
  <c r="N491" i="6"/>
  <c r="N507" i="6"/>
  <c r="N523" i="6"/>
  <c r="N539" i="6"/>
  <c r="N555" i="6"/>
  <c r="N571" i="6"/>
  <c r="N587" i="6"/>
  <c r="N603" i="6"/>
  <c r="N619" i="6"/>
  <c r="N635" i="6"/>
  <c r="N651" i="6"/>
  <c r="N667" i="6"/>
  <c r="N683" i="6"/>
  <c r="N699" i="6"/>
  <c r="N715" i="6"/>
  <c r="N731" i="6"/>
  <c r="N747" i="6"/>
  <c r="N763" i="6"/>
  <c r="N779" i="6"/>
  <c r="N843" i="6"/>
  <c r="N732" i="6"/>
  <c r="N27" i="6"/>
  <c r="N187" i="6"/>
  <c r="N301" i="6"/>
  <c r="N477" i="6"/>
  <c r="N605" i="6"/>
  <c r="N733" i="6"/>
  <c r="N10" i="6"/>
  <c r="N26" i="6"/>
  <c r="N42" i="6"/>
  <c r="N58" i="6"/>
  <c r="N74" i="6"/>
  <c r="N90" i="6"/>
  <c r="N106" i="6"/>
  <c r="N122" i="6"/>
  <c r="N138" i="6"/>
  <c r="N154" i="6"/>
  <c r="N170" i="6"/>
  <c r="N186" i="6"/>
  <c r="N202" i="6"/>
  <c r="N218" i="6"/>
  <c r="N234" i="6"/>
  <c r="N252" i="6"/>
  <c r="N268" i="6"/>
  <c r="N284" i="6"/>
  <c r="N300" i="6"/>
  <c r="N316" i="6"/>
  <c r="N332" i="6"/>
  <c r="N348" i="6"/>
  <c r="N364" i="6"/>
  <c r="N380" i="6"/>
  <c r="N396" i="6"/>
  <c r="N412" i="6"/>
  <c r="N428" i="6"/>
  <c r="N444" i="6"/>
  <c r="N460" i="6"/>
  <c r="N476" i="6"/>
  <c r="N492" i="6"/>
  <c r="N508" i="6"/>
  <c r="N524" i="6"/>
  <c r="N540" i="6"/>
  <c r="N556" i="6"/>
  <c r="N572" i="6"/>
  <c r="N588" i="6"/>
  <c r="N604" i="6"/>
  <c r="N684" i="6"/>
  <c r="N748" i="6"/>
  <c r="N365" i="6"/>
  <c r="N717" i="6"/>
  <c r="N108" i="6"/>
  <c r="N140" i="6"/>
  <c r="N670" i="6"/>
  <c r="N448" i="6"/>
  <c r="N337" i="6"/>
  <c r="N515" i="6"/>
  <c r="N223" i="6"/>
  <c r="N29" i="6"/>
  <c r="N500" i="6"/>
  <c r="N321" i="6"/>
  <c r="N755" i="6"/>
  <c r="N354" i="6"/>
  <c r="N831" i="6"/>
  <c r="N464" i="6"/>
  <c r="N128" i="6"/>
  <c r="N608" i="6"/>
  <c r="N241" i="6"/>
  <c r="N786" i="6"/>
  <c r="N496" i="6"/>
  <c r="N274" i="6"/>
  <c r="N44" i="6"/>
  <c r="N674" i="6"/>
  <c r="N452" i="6"/>
  <c r="N273" i="6"/>
  <c r="N34" i="6"/>
  <c r="N818" i="6"/>
  <c r="N562" i="6"/>
  <c r="N306" i="6"/>
  <c r="N114" i="6"/>
  <c r="N817" i="6"/>
  <c r="N595" i="6"/>
  <c r="N305" i="6"/>
  <c r="N628" i="6"/>
  <c r="N372" i="6"/>
  <c r="N738" i="6"/>
  <c r="N516" i="6"/>
  <c r="N260" i="6"/>
  <c r="N814" i="6"/>
  <c r="N660" i="6"/>
  <c r="N404" i="6"/>
  <c r="N145" i="6"/>
  <c r="N688" i="6"/>
  <c r="N208" i="6"/>
  <c r="N465" i="6"/>
  <c r="N235" i="6"/>
  <c r="N575" i="6"/>
  <c r="N242" i="6"/>
  <c r="N830" i="6"/>
  <c r="N497" i="6"/>
  <c r="N205" i="6"/>
  <c r="N752" i="6"/>
  <c r="N462" i="6"/>
  <c r="N161" i="6"/>
  <c r="N819" i="6"/>
  <c r="N640" i="6"/>
  <c r="N384" i="6"/>
  <c r="N194" i="6"/>
  <c r="N784" i="6"/>
  <c r="N451" i="6"/>
  <c r="N193" i="6"/>
  <c r="N783" i="6"/>
  <c r="N484" i="6"/>
  <c r="N483" i="6"/>
  <c r="N558" i="6"/>
  <c r="N259" i="6"/>
  <c r="N64" i="6"/>
  <c r="N702" i="6"/>
  <c r="N514" i="6"/>
  <c r="N335" i="6"/>
  <c r="N109" i="6"/>
  <c r="N803" i="6"/>
  <c r="N624" i="6"/>
  <c r="N513" i="6"/>
  <c r="N368" i="6"/>
  <c r="N334" i="6"/>
  <c r="N291" i="6"/>
  <c r="N257" i="6"/>
  <c r="N221" i="6"/>
  <c r="N178" i="6"/>
  <c r="N144" i="6"/>
  <c r="N98" i="6"/>
  <c r="N62" i="6"/>
  <c r="N17" i="6"/>
  <c r="N577" i="6"/>
  <c r="N244" i="6"/>
  <c r="N721" i="6"/>
  <c r="N320" i="6"/>
  <c r="N754" i="6"/>
  <c r="N353" i="6"/>
  <c r="N46" i="6"/>
  <c r="N574" i="6"/>
  <c r="N275" i="6"/>
  <c r="N820" i="6"/>
  <c r="N385" i="6"/>
  <c r="N606" i="6"/>
  <c r="N418" i="6"/>
  <c r="N239" i="6"/>
  <c r="N750" i="6"/>
  <c r="N494" i="6"/>
  <c r="N159" i="6"/>
  <c r="N740" i="6"/>
  <c r="N527" i="6"/>
  <c r="N739" i="6"/>
  <c r="N449" i="6"/>
  <c r="N627" i="6"/>
  <c r="N156" i="6"/>
  <c r="N592" i="6"/>
  <c r="N302" i="6"/>
  <c r="N110" i="6"/>
  <c r="N659" i="6"/>
  <c r="N480" i="6"/>
  <c r="N258" i="6"/>
  <c r="N18" i="6"/>
  <c r="N658" i="6"/>
  <c r="N479" i="6"/>
  <c r="N768" i="6"/>
  <c r="N580" i="6"/>
  <c r="N401" i="6"/>
  <c r="N220" i="6"/>
  <c r="N143" i="6"/>
  <c r="N16" i="6"/>
  <c r="N722" i="6"/>
  <c r="N13" i="6"/>
  <c r="N610" i="6"/>
  <c r="N173" i="6"/>
  <c r="N498" i="6"/>
  <c r="N172" i="6"/>
  <c r="N787" i="6"/>
  <c r="N386" i="6"/>
  <c r="N81" i="6"/>
  <c r="N675" i="6"/>
  <c r="N33" i="6"/>
  <c r="N672" i="6"/>
  <c r="N339" i="6"/>
  <c r="N705" i="6"/>
  <c r="N594" i="6"/>
  <c r="N338" i="6"/>
  <c r="N815" i="6"/>
  <c r="N593" i="6"/>
  <c r="N414" i="6"/>
  <c r="N224" i="6"/>
  <c r="N771" i="6"/>
  <c r="N703" i="6"/>
  <c r="N481" i="6"/>
  <c r="N370" i="6"/>
  <c r="N189" i="6"/>
  <c r="N770" i="6"/>
  <c r="N625" i="6"/>
  <c r="N548" i="6"/>
  <c r="N403" i="6"/>
  <c r="N292" i="6"/>
  <c r="N188" i="6"/>
  <c r="N769" i="6"/>
  <c r="N692" i="6"/>
  <c r="N547" i="6"/>
  <c r="N402" i="6"/>
  <c r="N802" i="6"/>
  <c r="N691" i="6"/>
  <c r="N623" i="6"/>
  <c r="N512" i="6"/>
  <c r="N435" i="6"/>
  <c r="N324" i="6"/>
  <c r="N290" i="6"/>
  <c r="N177" i="6"/>
  <c r="N97" i="6"/>
  <c r="N835" i="6"/>
  <c r="N724" i="6"/>
  <c r="N656" i="6"/>
  <c r="N579" i="6"/>
  <c r="N511" i="6"/>
  <c r="N434" i="6"/>
  <c r="N323" i="6"/>
  <c r="N255" i="6"/>
  <c r="N176" i="6"/>
  <c r="N142" i="6"/>
  <c r="N50" i="6"/>
  <c r="N15" i="6"/>
  <c r="N654" i="6"/>
  <c r="N48" i="6"/>
  <c r="N499" i="6"/>
  <c r="N207" i="6"/>
  <c r="N532" i="6"/>
  <c r="N206" i="6"/>
  <c r="N676" i="6"/>
  <c r="N420" i="6"/>
  <c r="N127" i="6"/>
  <c r="N718" i="6"/>
  <c r="N419" i="6"/>
  <c r="N204" i="6"/>
  <c r="N785" i="6"/>
  <c r="N495" i="6"/>
  <c r="N79" i="6"/>
  <c r="N707" i="6"/>
  <c r="N416" i="6"/>
  <c r="N782" i="6"/>
  <c r="N560" i="6"/>
  <c r="N304" i="6"/>
  <c r="N704" i="6"/>
  <c r="N559" i="6"/>
  <c r="N371" i="6"/>
  <c r="N190" i="6"/>
  <c r="N737" i="6"/>
  <c r="N626" i="6"/>
  <c r="N447" i="6"/>
  <c r="N336" i="6"/>
  <c r="N146" i="6"/>
  <c r="N804" i="6"/>
  <c r="N736" i="6"/>
  <c r="N591" i="6"/>
  <c r="N446" i="6"/>
  <c r="N369" i="6"/>
  <c r="N222" i="6"/>
  <c r="N63" i="6"/>
  <c r="N846" i="6"/>
  <c r="N735" i="6"/>
  <c r="N590" i="6"/>
  <c r="N436" i="6"/>
  <c r="N836" i="6"/>
  <c r="N734" i="6"/>
  <c r="N657" i="6"/>
  <c r="N546" i="6"/>
  <c r="N478" i="6"/>
  <c r="N367" i="6"/>
  <c r="N256" i="6"/>
  <c r="N61" i="6"/>
  <c r="N801" i="6"/>
  <c r="N767" i="6"/>
  <c r="N690" i="6"/>
  <c r="N622" i="6"/>
  <c r="N545" i="6"/>
  <c r="N468" i="6"/>
  <c r="N400" i="6"/>
  <c r="N366" i="6"/>
  <c r="N289" i="6"/>
  <c r="N210" i="6"/>
  <c r="N96" i="6"/>
  <c r="N834" i="6"/>
  <c r="N800" i="6"/>
  <c r="N766" i="6"/>
  <c r="N723" i="6"/>
  <c r="N689" i="6"/>
  <c r="N655" i="6"/>
  <c r="N612" i="6"/>
  <c r="N578" i="6"/>
  <c r="N544" i="6"/>
  <c r="N510" i="6"/>
  <c r="N467" i="6"/>
  <c r="N433" i="6"/>
  <c r="N399" i="6"/>
  <c r="N356" i="6"/>
  <c r="N322" i="6"/>
  <c r="N288" i="6"/>
  <c r="N254" i="6"/>
  <c r="N209" i="6"/>
  <c r="N175" i="6"/>
  <c r="N141" i="6"/>
  <c r="N95" i="6"/>
  <c r="N49" i="6"/>
  <c r="N14" i="6"/>
  <c r="B53" i="2"/>
  <c r="B37" i="2"/>
  <c r="B21" i="2"/>
  <c r="B5" i="2"/>
  <c r="B50" i="2"/>
  <c r="B18" i="2"/>
  <c r="B49" i="2"/>
  <c r="B33" i="2"/>
  <c r="B48" i="2"/>
  <c r="B16" i="2"/>
  <c r="B47" i="2"/>
  <c r="B15" i="2"/>
  <c r="B62" i="2"/>
  <c r="B30" i="2"/>
  <c r="B61" i="2"/>
  <c r="B13" i="2"/>
  <c r="B44" i="2"/>
  <c r="B12" i="2"/>
  <c r="B43" i="2"/>
  <c r="B11" i="2"/>
  <c r="B42" i="2"/>
  <c r="B10" i="2"/>
  <c r="B52" i="2"/>
  <c r="B36" i="2"/>
  <c r="B20" i="2"/>
  <c r="B4" i="2"/>
  <c r="B66" i="2"/>
  <c r="B34" i="2"/>
  <c r="B65" i="2"/>
  <c r="B17" i="2"/>
  <c r="B64" i="2"/>
  <c r="B32" i="2"/>
  <c r="B63" i="2"/>
  <c r="B31" i="2"/>
  <c r="B46" i="2"/>
  <c r="B14" i="2"/>
  <c r="B45" i="2"/>
  <c r="B29" i="2"/>
  <c r="B60" i="2"/>
  <c r="B28" i="2"/>
  <c r="B59" i="2"/>
  <c r="B27" i="2"/>
  <c r="B58" i="2"/>
  <c r="B26" i="2"/>
  <c r="B57" i="2"/>
  <c r="B41" i="2"/>
  <c r="B25" i="2"/>
  <c r="B9" i="2"/>
  <c r="B56" i="2"/>
  <c r="B40" i="2"/>
  <c r="B24" i="2"/>
  <c r="B8" i="2"/>
  <c r="B55" i="2"/>
  <c r="B39" i="2"/>
  <c r="B23" i="2"/>
  <c r="B7" i="2"/>
  <c r="B54" i="2"/>
  <c r="B38" i="2"/>
  <c r="B22" i="2"/>
  <c r="B6" i="2"/>
  <c r="B2" i="2"/>
  <c r="B51" i="2"/>
  <c r="B35" i="2"/>
  <c r="B19" i="2"/>
  <c r="B3" i="2"/>
  <c r="BS74" i="12" l="1"/>
  <c r="BO77" i="12" s="1"/>
  <c r="BI76" i="12"/>
  <c r="BI119" i="12"/>
  <c r="BK119" i="12" s="1"/>
  <c r="F24" i="14" s="1"/>
  <c r="BI129" i="12"/>
  <c r="BK129" i="12" s="1"/>
  <c r="F26" i="14" s="1"/>
  <c r="BI112" i="12"/>
  <c r="BK112" i="12" s="1"/>
  <c r="F50" i="14" s="1"/>
  <c r="BI108" i="12"/>
  <c r="BK108" i="12" s="1"/>
  <c r="F19" i="14" s="1"/>
  <c r="BI80" i="12"/>
  <c r="BK80" i="12" s="1"/>
  <c r="F11" i="14" s="1"/>
  <c r="BI134" i="12"/>
  <c r="BK134" i="12" s="1"/>
  <c r="F27" i="14" s="1"/>
  <c r="BI128" i="12"/>
  <c r="BK128" i="12" s="1"/>
  <c r="F60" i="14" s="1"/>
  <c r="BI87" i="12"/>
  <c r="BK87" i="12" s="1"/>
  <c r="F36" i="14" s="1"/>
  <c r="BI101" i="12"/>
  <c r="BK101" i="12" s="1"/>
  <c r="F42" i="14" s="1"/>
  <c r="BI123" i="12"/>
  <c r="BK123" i="12" s="1"/>
  <c r="F56" i="14" s="1"/>
  <c r="BI130" i="12"/>
  <c r="BK130" i="12" s="1"/>
  <c r="F61" i="14" s="1"/>
  <c r="BI135" i="12"/>
  <c r="BK135" i="12" s="1"/>
  <c r="F28" i="14" s="1"/>
  <c r="BI93" i="12"/>
  <c r="BK93" i="12" s="1"/>
  <c r="F7" i="14" s="1"/>
  <c r="BI100" i="12"/>
  <c r="BK100" i="12" s="1"/>
  <c r="F41" i="14" s="1"/>
  <c r="BI110" i="12"/>
  <c r="BK110" i="12" s="1"/>
  <c r="F9" i="14" s="1"/>
  <c r="BI155" i="12"/>
  <c r="BK155" i="12" s="1"/>
  <c r="BI133" i="12"/>
  <c r="BK133" i="12" s="1"/>
  <c r="F64" i="14" s="1"/>
  <c r="BI115" i="12"/>
  <c r="BK115" i="12" s="1"/>
  <c r="F51" i="14" s="1"/>
  <c r="BI81" i="12"/>
  <c r="BK81" i="12" s="1"/>
  <c r="F12" i="14" s="1"/>
  <c r="BI83" i="12"/>
  <c r="BK83" i="12" s="1"/>
  <c r="F33" i="14" s="1"/>
  <c r="BI103" i="12"/>
  <c r="BK103" i="12" s="1"/>
  <c r="F44" i="14" s="1"/>
  <c r="BI97" i="12"/>
  <c r="BK97" i="12" s="1"/>
  <c r="F17" i="14" s="1"/>
  <c r="BO147" i="12"/>
  <c r="BI186" i="12" s="1"/>
  <c r="BK186" i="12" s="1"/>
  <c r="BI175" i="12"/>
  <c r="BK175" i="12" s="1"/>
  <c r="BI202" i="12"/>
  <c r="BK202" i="12" s="1"/>
  <c r="BI180" i="12"/>
  <c r="BK180" i="12" s="1"/>
  <c r="BI116" i="12"/>
  <c r="BK116" i="12" s="1"/>
  <c r="F52" i="14" s="1"/>
  <c r="BI88" i="12"/>
  <c r="BK88" i="12" s="1"/>
  <c r="F37" i="14" s="1"/>
  <c r="BI124" i="12"/>
  <c r="BK124" i="12" s="1"/>
  <c r="F57" i="14" s="1"/>
  <c r="BI164" i="12"/>
  <c r="BK164" i="12" s="1"/>
  <c r="BI96" i="12"/>
  <c r="BK96" i="12" s="1"/>
  <c r="F16" i="14" s="1"/>
  <c r="BI137" i="12"/>
  <c r="BK137" i="12" s="1"/>
  <c r="F10" i="14" s="1"/>
  <c r="BI204" i="12"/>
  <c r="BK204" i="12" s="1"/>
  <c r="BI98" i="12"/>
  <c r="BK98" i="12" s="1"/>
  <c r="F18" i="14" s="1"/>
  <c r="BI136" i="12"/>
  <c r="BK136" i="12" s="1"/>
  <c r="F65" i="14" s="1"/>
  <c r="BI102" i="12"/>
  <c r="BK102" i="12" s="1"/>
  <c r="F43" i="14" s="1"/>
  <c r="BI79" i="12"/>
  <c r="BK79" i="12" s="1"/>
  <c r="F32" i="14" s="1"/>
  <c r="BI117" i="12"/>
  <c r="BK117" i="12" s="1"/>
  <c r="F22" i="14" s="1"/>
  <c r="BI138" i="12"/>
  <c r="BK138" i="12" s="1"/>
  <c r="F66" i="14" s="1"/>
  <c r="BI107" i="12"/>
  <c r="BK107" i="12" s="1"/>
  <c r="F47" i="14" s="1"/>
  <c r="BI125" i="12"/>
  <c r="BK125" i="12" s="1"/>
  <c r="F58" i="14" s="1"/>
  <c r="AX70" i="12"/>
  <c r="AH70" i="12"/>
  <c r="BK76" i="12" l="1"/>
  <c r="F3" i="14" s="1"/>
  <c r="D3" i="14"/>
  <c r="BJ88" i="12"/>
  <c r="E37" i="14" s="1"/>
  <c r="BJ116" i="12"/>
  <c r="E52" i="14" s="1"/>
  <c r="BJ186" i="12"/>
  <c r="BJ107" i="12"/>
  <c r="E47" i="14" s="1"/>
  <c r="BJ128" i="12"/>
  <c r="E60" i="14" s="1"/>
  <c r="BJ129" i="12"/>
  <c r="E26" i="14" s="1"/>
  <c r="BI114" i="12"/>
  <c r="BK114" i="12" s="1"/>
  <c r="F21" i="14" s="1"/>
  <c r="BJ103" i="12"/>
  <c r="E44" i="14" s="1"/>
  <c r="BJ133" i="12"/>
  <c r="E64" i="14" s="1"/>
  <c r="BJ110" i="12"/>
  <c r="E9" i="14" s="1"/>
  <c r="BJ135" i="12"/>
  <c r="E28" i="14" s="1"/>
  <c r="BJ101" i="12"/>
  <c r="E42" i="14" s="1"/>
  <c r="BI203" i="12"/>
  <c r="BK203" i="12" s="1"/>
  <c r="BJ98" i="12"/>
  <c r="E18" i="14" s="1"/>
  <c r="BJ96" i="12"/>
  <c r="E16" i="14" s="1"/>
  <c r="BJ204" i="12"/>
  <c r="BI91" i="12"/>
  <c r="BK91" i="12" s="1"/>
  <c r="F4" i="14" s="1"/>
  <c r="BI113" i="12"/>
  <c r="BK113" i="12" s="1"/>
  <c r="F20" i="14" s="1"/>
  <c r="BI132" i="12"/>
  <c r="BK132" i="12" s="1"/>
  <c r="F63" i="14" s="1"/>
  <c r="BI131" i="12"/>
  <c r="BK131" i="12" s="1"/>
  <c r="F62" i="14" s="1"/>
  <c r="BI187" i="12"/>
  <c r="BK187" i="12" s="1"/>
  <c r="BI106" i="12"/>
  <c r="BK106" i="12" s="1"/>
  <c r="F46" i="14" s="1"/>
  <c r="BI104" i="12"/>
  <c r="BK104" i="12" s="1"/>
  <c r="F45" i="14" s="1"/>
  <c r="BI178" i="12"/>
  <c r="BK178" i="12" s="1"/>
  <c r="BJ164" i="12"/>
  <c r="BI159" i="12"/>
  <c r="BK159" i="12" s="1"/>
  <c r="BJ83" i="12"/>
  <c r="E33" i="14" s="1"/>
  <c r="BI84" i="12"/>
  <c r="BK84" i="12" s="1"/>
  <c r="F34" i="14" s="1"/>
  <c r="BI196" i="12"/>
  <c r="BK196" i="12" s="1"/>
  <c r="BI190" i="12"/>
  <c r="BK190" i="12" s="1"/>
  <c r="BI165" i="12"/>
  <c r="BK165" i="12" s="1"/>
  <c r="BJ87" i="12"/>
  <c r="E36" i="14" s="1"/>
  <c r="BJ134" i="12"/>
  <c r="E27" i="14" s="1"/>
  <c r="BJ119" i="12"/>
  <c r="E24" i="14" s="1"/>
  <c r="BJ125" i="12"/>
  <c r="E58" i="14" s="1"/>
  <c r="BI188" i="12"/>
  <c r="BK188" i="12" s="1"/>
  <c r="BI205" i="12"/>
  <c r="BK205" i="12" s="1"/>
  <c r="BI193" i="12"/>
  <c r="BK193" i="12" s="1"/>
  <c r="BI201" i="12"/>
  <c r="BK201" i="12" s="1"/>
  <c r="BK143" i="12"/>
  <c r="BI189" i="12"/>
  <c r="BK189" i="12" s="1"/>
  <c r="BI173" i="12"/>
  <c r="BK173" i="12" s="1"/>
  <c r="BI185" i="12"/>
  <c r="BK185" i="12" s="1"/>
  <c r="BI177" i="12"/>
  <c r="BK177" i="12" s="1"/>
  <c r="BI153" i="12"/>
  <c r="BK153" i="12" s="1"/>
  <c r="BI161" i="12"/>
  <c r="BK161" i="12" s="1"/>
  <c r="BI157" i="12"/>
  <c r="BK157" i="12" s="1"/>
  <c r="BI145" i="12"/>
  <c r="BK145" i="12" s="1"/>
  <c r="BJ97" i="12"/>
  <c r="E17" i="14" s="1"/>
  <c r="BJ81" i="12"/>
  <c r="E12" i="14" s="1"/>
  <c r="BJ100" i="12"/>
  <c r="E41" i="14" s="1"/>
  <c r="BJ130" i="12"/>
  <c r="E61" i="14" s="1"/>
  <c r="BJ76" i="12"/>
  <c r="E3" i="14" s="1"/>
  <c r="BI75" i="12"/>
  <c r="BK75" i="12" s="1"/>
  <c r="F29" i="14" s="1"/>
  <c r="BJ80" i="12"/>
  <c r="E11" i="14" s="1"/>
  <c r="BJ117" i="12"/>
  <c r="E22" i="14" s="1"/>
  <c r="BI149" i="12"/>
  <c r="BK149" i="12" s="1"/>
  <c r="BJ137" i="12"/>
  <c r="E10" i="14" s="1"/>
  <c r="BI198" i="12"/>
  <c r="BK198" i="12" s="1"/>
  <c r="BI152" i="12"/>
  <c r="BK152" i="12" s="1"/>
  <c r="BI127" i="12"/>
  <c r="BK127" i="12" s="1"/>
  <c r="F59" i="14" s="1"/>
  <c r="BJ175" i="12"/>
  <c r="BJ124" i="12"/>
  <c r="E57" i="14" s="1"/>
  <c r="BI82" i="12"/>
  <c r="BK82" i="12" s="1"/>
  <c r="F13" i="14" s="1"/>
  <c r="BI207" i="12"/>
  <c r="BK207" i="12" s="1"/>
  <c r="BI148" i="12"/>
  <c r="BK148" i="12" s="1"/>
  <c r="BI158" i="12"/>
  <c r="BK158" i="12" s="1"/>
  <c r="BI191" i="12"/>
  <c r="BK191" i="12" s="1"/>
  <c r="BJ138" i="12"/>
  <c r="E66" i="14" s="1"/>
  <c r="BI166" i="12"/>
  <c r="BK166" i="12" s="1"/>
  <c r="BI182" i="12"/>
  <c r="BK182" i="12" s="1"/>
  <c r="BJ79" i="12"/>
  <c r="E32" i="14" s="1"/>
  <c r="BI74" i="12"/>
  <c r="BK74" i="12" s="1"/>
  <c r="F6" i="14" s="1"/>
  <c r="BI184" i="12"/>
  <c r="BK184" i="12" s="1"/>
  <c r="BI183" i="12"/>
  <c r="BK183" i="12" s="1"/>
  <c r="BI195" i="12"/>
  <c r="BK195" i="12" s="1"/>
  <c r="BI85" i="12"/>
  <c r="BI126" i="12"/>
  <c r="BK126" i="12" s="1"/>
  <c r="F25" i="14" s="1"/>
  <c r="BI122" i="12"/>
  <c r="BK122" i="12" s="1"/>
  <c r="F55" i="14" s="1"/>
  <c r="BI163" i="12"/>
  <c r="BK163" i="12" s="1"/>
  <c r="BI78" i="12"/>
  <c r="BK78" i="12" s="1"/>
  <c r="F31" i="14" s="1"/>
  <c r="BI169" i="12"/>
  <c r="BK169" i="12" s="1"/>
  <c r="BI147" i="12"/>
  <c r="BK147" i="12" s="1"/>
  <c r="BI150" i="12"/>
  <c r="BK150" i="12" s="1"/>
  <c r="BI118" i="12"/>
  <c r="BK118" i="12" s="1"/>
  <c r="F23" i="14" s="1"/>
  <c r="BI120" i="12"/>
  <c r="BK120" i="12" s="1"/>
  <c r="F53" i="14" s="1"/>
  <c r="BJ115" i="12"/>
  <c r="E51" i="14" s="1"/>
  <c r="BJ108" i="12"/>
  <c r="E19" i="14" s="1"/>
  <c r="BJ202" i="12"/>
  <c r="BI179" i="12"/>
  <c r="BK179" i="12" s="1"/>
  <c r="BJ102" i="12"/>
  <c r="E43" i="14" s="1"/>
  <c r="BI176" i="12"/>
  <c r="BK176" i="12" s="1"/>
  <c r="BI171" i="12"/>
  <c r="BK171" i="12" s="1"/>
  <c r="BI144" i="12"/>
  <c r="BK144" i="12" s="1"/>
  <c r="BI167" i="12"/>
  <c r="BK167" i="12" s="1"/>
  <c r="BI77" i="12"/>
  <c r="BK77" i="12" s="1"/>
  <c r="F30" i="14" s="1"/>
  <c r="BI121" i="12"/>
  <c r="BK121" i="12" s="1"/>
  <c r="F54" i="14" s="1"/>
  <c r="BI192" i="12"/>
  <c r="BK192" i="12" s="1"/>
  <c r="BI146" i="12"/>
  <c r="BK146" i="12" s="1"/>
  <c r="BI197" i="12"/>
  <c r="BK197" i="12" s="1"/>
  <c r="BI111" i="12"/>
  <c r="BK111" i="12" s="1"/>
  <c r="F49" i="14" s="1"/>
  <c r="BJ180" i="12"/>
  <c r="BJ93" i="12"/>
  <c r="E7" i="14" s="1"/>
  <c r="BJ123" i="12"/>
  <c r="E56" i="14" s="1"/>
  <c r="BJ112" i="12"/>
  <c r="E50" i="14" s="1"/>
  <c r="BI99" i="12"/>
  <c r="BK99" i="12" s="1"/>
  <c r="F40" i="14" s="1"/>
  <c r="BJ136" i="12"/>
  <c r="E65" i="14" s="1"/>
  <c r="BI168" i="12"/>
  <c r="BK168" i="12" s="1"/>
  <c r="BI172" i="12"/>
  <c r="BK172" i="12" s="1"/>
  <c r="BI156" i="12"/>
  <c r="BK156" i="12" s="1"/>
  <c r="BI194" i="12"/>
  <c r="BK194" i="12" s="1"/>
  <c r="BI94" i="12"/>
  <c r="BK94" i="12" s="1"/>
  <c r="F15" i="14" s="1"/>
  <c r="BI181" i="12"/>
  <c r="BK181" i="12" s="1"/>
  <c r="BI162" i="12"/>
  <c r="BK162" i="12" s="1"/>
  <c r="BI92" i="12"/>
  <c r="BK92" i="12" s="1"/>
  <c r="F39" i="14" s="1"/>
  <c r="BI109" i="12"/>
  <c r="BK109" i="12" s="1"/>
  <c r="F48" i="14" s="1"/>
  <c r="BJ155" i="12"/>
  <c r="BI89" i="12"/>
  <c r="BK89" i="12" s="1"/>
  <c r="F38" i="14" s="1"/>
  <c r="BI199" i="12"/>
  <c r="BK199" i="12" s="1"/>
  <c r="BI200" i="12"/>
  <c r="BK200" i="12" s="1"/>
  <c r="BI206" i="12"/>
  <c r="BK206" i="12" s="1"/>
  <c r="BI160" i="12"/>
  <c r="BK160" i="12" s="1"/>
  <c r="BI151" i="12"/>
  <c r="BK151" i="12" s="1"/>
  <c r="BI86" i="12"/>
  <c r="BK86" i="12" s="1"/>
  <c r="F35" i="14" s="1"/>
  <c r="BI170" i="12"/>
  <c r="BK170" i="12" s="1"/>
  <c r="BI174" i="12"/>
  <c r="BK174" i="12" s="1"/>
  <c r="BI105" i="12"/>
  <c r="BK105" i="12" s="1"/>
  <c r="F8" i="14" s="1"/>
  <c r="BI90" i="12"/>
  <c r="BK90" i="12" s="1"/>
  <c r="F14" i="14" s="1"/>
  <c r="BI95" i="12"/>
  <c r="BK95" i="12" s="1"/>
  <c r="F5" i="14" s="1"/>
  <c r="P4" i="14" l="1"/>
  <c r="P6" i="14"/>
  <c r="P5" i="14"/>
  <c r="P3" i="14"/>
  <c r="BJ85" i="12"/>
  <c r="BK85" i="12"/>
  <c r="BJ163" i="12"/>
  <c r="BJ148" i="12"/>
  <c r="BJ177" i="12"/>
  <c r="BJ122" i="12"/>
  <c r="E55" i="14" s="1"/>
  <c r="BJ207" i="12"/>
  <c r="BJ75" i="12"/>
  <c r="E29" i="14" s="1"/>
  <c r="BJ185" i="12"/>
  <c r="BJ165" i="12"/>
  <c r="BJ91" i="12"/>
  <c r="E4" i="14" s="1"/>
  <c r="BJ89" i="12"/>
  <c r="E38" i="14" s="1"/>
  <c r="BJ176" i="12"/>
  <c r="BJ82" i="12"/>
  <c r="E13" i="14" s="1"/>
  <c r="BJ173" i="12"/>
  <c r="BJ190" i="12"/>
  <c r="BJ109" i="12"/>
  <c r="E48" i="14" s="1"/>
  <c r="BJ179" i="12"/>
  <c r="BJ189" i="12"/>
  <c r="BJ196" i="12"/>
  <c r="BJ114" i="12"/>
  <c r="E21" i="14" s="1"/>
  <c r="BJ92" i="12"/>
  <c r="E39" i="14" s="1"/>
  <c r="BJ84" i="12"/>
  <c r="E34" i="14" s="1"/>
  <c r="BJ126" i="12"/>
  <c r="E25" i="14" s="1"/>
  <c r="BJ183" i="12"/>
  <c r="BJ201" i="12"/>
  <c r="BJ184" i="12"/>
  <c r="BJ193" i="12"/>
  <c r="BJ105" i="12"/>
  <c r="E8" i="14" s="1"/>
  <c r="BJ94" i="12"/>
  <c r="E15" i="14" s="1"/>
  <c r="BJ111" i="12"/>
  <c r="E49" i="14" s="1"/>
  <c r="BJ74" i="12"/>
  <c r="BJ127" i="12"/>
  <c r="E59" i="14" s="1"/>
  <c r="BJ205" i="12"/>
  <c r="BJ159" i="12"/>
  <c r="BJ203" i="12"/>
  <c r="BJ198" i="12"/>
  <c r="BJ178" i="12"/>
  <c r="BJ90" i="12"/>
  <c r="E14" i="14" s="1"/>
  <c r="BJ181" i="12"/>
  <c r="BJ197" i="12"/>
  <c r="BJ152" i="12"/>
  <c r="BJ188" i="12"/>
  <c r="BJ170" i="12"/>
  <c r="BJ146" i="12"/>
  <c r="BJ166" i="12"/>
  <c r="BJ104" i="12"/>
  <c r="E45" i="14" s="1"/>
  <c r="BJ150" i="12"/>
  <c r="BJ149" i="12"/>
  <c r="BJ145" i="12"/>
  <c r="BJ106" i="12"/>
  <c r="E46" i="14" s="1"/>
  <c r="BJ157" i="12"/>
  <c r="BJ187" i="12"/>
  <c r="BJ174" i="12"/>
  <c r="BJ194" i="12"/>
  <c r="BJ156" i="12"/>
  <c r="BJ86" i="12"/>
  <c r="E35" i="14" s="1"/>
  <c r="BJ172" i="12"/>
  <c r="BJ192" i="12"/>
  <c r="BJ120" i="12"/>
  <c r="E53" i="14" s="1"/>
  <c r="BJ182" i="12"/>
  <c r="BJ118" i="12"/>
  <c r="E23" i="14" s="1"/>
  <c r="BJ206" i="12"/>
  <c r="BJ167" i="12"/>
  <c r="BJ147" i="12"/>
  <c r="BJ200" i="12"/>
  <c r="BJ99" i="12"/>
  <c r="E40" i="14" s="1"/>
  <c r="BJ144" i="12"/>
  <c r="BJ169" i="12"/>
  <c r="BJ191" i="12"/>
  <c r="BJ161" i="12"/>
  <c r="BJ131" i="12"/>
  <c r="E62" i="14" s="1"/>
  <c r="BJ113" i="12"/>
  <c r="E20" i="14" s="1"/>
  <c r="BJ195" i="12"/>
  <c r="BJ95" i="12"/>
  <c r="E5" i="14" s="1"/>
  <c r="BJ162" i="12"/>
  <c r="BJ151" i="12"/>
  <c r="BJ168" i="12"/>
  <c r="BJ121" i="12"/>
  <c r="E54" i="14" s="1"/>
  <c r="BJ160" i="12"/>
  <c r="BJ77" i="12"/>
  <c r="E30" i="14" s="1"/>
  <c r="BJ199" i="12"/>
  <c r="BJ171" i="12"/>
  <c r="BJ78" i="12"/>
  <c r="E31" i="14" s="1"/>
  <c r="BJ158" i="12"/>
  <c r="BJ153" i="12"/>
  <c r="BJ132" i="12"/>
  <c r="E63" i="14" s="1"/>
  <c r="O3" i="14" l="1"/>
  <c r="E6" i="14"/>
  <c r="O4" i="14" s="1"/>
  <c r="Q6" i="14"/>
  <c r="O5" i="14"/>
  <c r="Q5" i="14"/>
  <c r="O6" i="14"/>
  <c r="Q4" i="14"/>
  <c r="Q3" i="14"/>
  <c r="M4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<sst xmlns="http://schemas.openxmlformats.org/spreadsheetml/2006/main" count="3188" uniqueCount="311">
  <si>
    <t>Household Population</t>
  </si>
  <si>
    <t>000</t>
  </si>
  <si>
    <t>COLORADO STATE</t>
  </si>
  <si>
    <t>001</t>
  </si>
  <si>
    <t>ADAMS COUNTY</t>
  </si>
  <si>
    <t>003</t>
  </si>
  <si>
    <t>ALAMOSA COUNTY</t>
  </si>
  <si>
    <t>005</t>
  </si>
  <si>
    <t>ARAPAHOE COUNTY</t>
  </si>
  <si>
    <t>007</t>
  </si>
  <si>
    <t>ARCHULETA COUNTY</t>
  </si>
  <si>
    <t>009</t>
  </si>
  <si>
    <t>BACA COUNTY</t>
  </si>
  <si>
    <t>011</t>
  </si>
  <si>
    <t>BENT COUNTY</t>
  </si>
  <si>
    <t>013</t>
  </si>
  <si>
    <t>BOULDER COUNTY</t>
  </si>
  <si>
    <t>014</t>
  </si>
  <si>
    <t>BROOMFIELD COUNTY</t>
  </si>
  <si>
    <t>015</t>
  </si>
  <si>
    <t>CHAFFEE COUNTY</t>
  </si>
  <si>
    <t>017</t>
  </si>
  <si>
    <t>CHEYENNE COUNTY</t>
  </si>
  <si>
    <t>019</t>
  </si>
  <si>
    <t>CLEAR CREEK COUNTY</t>
  </si>
  <si>
    <t>021</t>
  </si>
  <si>
    <t>CONEJOS COUNTY</t>
  </si>
  <si>
    <t>023</t>
  </si>
  <si>
    <t>COSTILLA COUNTY</t>
  </si>
  <si>
    <t>025</t>
  </si>
  <si>
    <t>CROWLEY COUNTY</t>
  </si>
  <si>
    <t>027</t>
  </si>
  <si>
    <t>CUSTER COUNTY</t>
  </si>
  <si>
    <t>029</t>
  </si>
  <si>
    <t>DELTA COUNTY</t>
  </si>
  <si>
    <t>031</t>
  </si>
  <si>
    <t>DENVER COUNTY</t>
  </si>
  <si>
    <t>033</t>
  </si>
  <si>
    <t>DOLORES COUNTY</t>
  </si>
  <si>
    <t>035</t>
  </si>
  <si>
    <t>DOUGLAS COUNTY</t>
  </si>
  <si>
    <t>037</t>
  </si>
  <si>
    <t>EAGLE COUNTY</t>
  </si>
  <si>
    <t>039</t>
  </si>
  <si>
    <t>ELBERT COUNTY</t>
  </si>
  <si>
    <t>041</t>
  </si>
  <si>
    <t>EL PASO COUNTY</t>
  </si>
  <si>
    <t>043</t>
  </si>
  <si>
    <t>FREMONT COUNTY</t>
  </si>
  <si>
    <t>045</t>
  </si>
  <si>
    <t>GARFIELD COUNTY</t>
  </si>
  <si>
    <t>047</t>
  </si>
  <si>
    <t>GILPIN COUNTY</t>
  </si>
  <si>
    <t>049</t>
  </si>
  <si>
    <t>GRAND COUNTY</t>
  </si>
  <si>
    <t>051</t>
  </si>
  <si>
    <t>GUNNISON COUNTY</t>
  </si>
  <si>
    <t>053</t>
  </si>
  <si>
    <t>HINSDALE COUNTY</t>
  </si>
  <si>
    <t>055</t>
  </si>
  <si>
    <t>HUERFANO COUNTY</t>
  </si>
  <si>
    <t>057</t>
  </si>
  <si>
    <t>JACKSON COUNTY</t>
  </si>
  <si>
    <t>059</t>
  </si>
  <si>
    <t>JEFFERSON COUNTY</t>
  </si>
  <si>
    <t>061</t>
  </si>
  <si>
    <t>KIOWA COUNTY</t>
  </si>
  <si>
    <t>063</t>
  </si>
  <si>
    <t>KIT CARSON COUNTY</t>
  </si>
  <si>
    <t>065</t>
  </si>
  <si>
    <t>LAKE COUNTY</t>
  </si>
  <si>
    <t>067</t>
  </si>
  <si>
    <t>LA PLATA COUNTY</t>
  </si>
  <si>
    <t>069</t>
  </si>
  <si>
    <t>LARIMER COUNTY</t>
  </si>
  <si>
    <t>071</t>
  </si>
  <si>
    <t>LAS ANIMAS COUNTY</t>
  </si>
  <si>
    <t>073</t>
  </si>
  <si>
    <t>LINCOLN COUNTY</t>
  </si>
  <si>
    <t>075</t>
  </si>
  <si>
    <t>LOGAN COUNTY</t>
  </si>
  <si>
    <t>077</t>
  </si>
  <si>
    <t>MESA COUNTY</t>
  </si>
  <si>
    <t>079</t>
  </si>
  <si>
    <t>MINERAL COUNTY</t>
  </si>
  <si>
    <t>081</t>
  </si>
  <si>
    <t>MOFFAT COUNTY</t>
  </si>
  <si>
    <t>083</t>
  </si>
  <si>
    <t>MONTEZUMA COUNTY</t>
  </si>
  <si>
    <t>085</t>
  </si>
  <si>
    <t>MONTROSE COUNTY</t>
  </si>
  <si>
    <t>087</t>
  </si>
  <si>
    <t>MORGAN COUNTY</t>
  </si>
  <si>
    <t>089</t>
  </si>
  <si>
    <t>OTERO COUNTY</t>
  </si>
  <si>
    <t>091</t>
  </si>
  <si>
    <t>OURAY COUNTY</t>
  </si>
  <si>
    <t>093</t>
  </si>
  <si>
    <t>PARK COUNTY</t>
  </si>
  <si>
    <t>095</t>
  </si>
  <si>
    <t>PHILLIPS COUNTY</t>
  </si>
  <si>
    <t>097</t>
  </si>
  <si>
    <t>PITKIN COUNTY</t>
  </si>
  <si>
    <t>099</t>
  </si>
  <si>
    <t>PROWERS COUNTY</t>
  </si>
  <si>
    <t>101</t>
  </si>
  <si>
    <t>PUEBLO COUNTY</t>
  </si>
  <si>
    <t>103</t>
  </si>
  <si>
    <t>RIO BLANCO COUNTY</t>
  </si>
  <si>
    <t>105</t>
  </si>
  <si>
    <t>RIO GRANDE COUNTY</t>
  </si>
  <si>
    <t>107</t>
  </si>
  <si>
    <t>ROUTT COUNTY</t>
  </si>
  <si>
    <t>109</t>
  </si>
  <si>
    <t>SAGUACHE COUNTY</t>
  </si>
  <si>
    <t>111</t>
  </si>
  <si>
    <t>SAN JUAN COUNTY</t>
  </si>
  <si>
    <t>113</t>
  </si>
  <si>
    <t>SAN MIGUEL COUNTY</t>
  </si>
  <si>
    <t>115</t>
  </si>
  <si>
    <t>SEDGWICK COUNTY</t>
  </si>
  <si>
    <t>117</t>
  </si>
  <si>
    <t>SUMMIT COUNTY</t>
  </si>
  <si>
    <t>119</t>
  </si>
  <si>
    <t>TELLER COUNTY</t>
  </si>
  <si>
    <t>121</t>
  </si>
  <si>
    <t>WASHINGTON COUNTY</t>
  </si>
  <si>
    <t>123</t>
  </si>
  <si>
    <t>WELD COUNTY</t>
  </si>
  <si>
    <t>125</t>
  </si>
  <si>
    <t>YUMA COUNTY</t>
  </si>
  <si>
    <t>Vintage 2022 prepared October 2023.</t>
  </si>
  <si>
    <t>County FIPS</t>
  </si>
  <si>
    <t>County</t>
  </si>
  <si>
    <t>Year</t>
  </si>
  <si>
    <t>Total Population</t>
  </si>
  <si>
    <t>Group Quarters Population</t>
  </si>
  <si>
    <t>Household Size</t>
  </si>
  <si>
    <t>Total Housing Units</t>
  </si>
  <si>
    <t>Occupied Housing Units</t>
  </si>
  <si>
    <t>Vacant Housing Units</t>
  </si>
  <si>
    <t>Vacancy Percent</t>
  </si>
  <si>
    <t>Household Population to Total Housing Units Ratio</t>
  </si>
  <si>
    <t>Colorado State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</si>
  <si>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</si>
  <si>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</si>
  <si>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</si>
  <si>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</si>
  <si>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</si>
  <si>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</si>
  <si>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</si>
  <si>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</si>
  <si>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</si>
  <si>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</si>
  <si>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</si>
  <si>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</si>
  <si>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</si>
  <si>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</si>
  <si>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</si>
  <si>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</si>
  <si>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</si>
  <si>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</si>
  <si>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</si>
  <si>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</si>
  <si>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</si>
  <si>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</si>
  <si>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</si>
  <si>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</si>
  <si>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</si>
  <si>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</si>
  <si>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</si>
  <si>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</si>
  <si>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</si>
  <si>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Jackson County</t>
  </si>
  <si>
    <t>Jefferson County</t>
  </si>
  <si>
    <t>Kiowa County</t>
  </si>
  <si>
    <t>Kit Carson County</t>
  </si>
  <si>
    <t>Lake County</t>
  </si>
  <si>
    <t>La Plata County</t>
  </si>
  <si>
    <t>Larimer County</t>
  </si>
  <si>
    <t>Las Animas County</t>
  </si>
  <si>
    <t>Lincoln County</t>
  </si>
  <si>
    <t>Logan County</t>
  </si>
  <si>
    <t>Mesa County</t>
  </si>
  <si>
    <t>Mineral County</t>
  </si>
  <si>
    <t>Moffat County</t>
  </si>
  <si>
    <t>Montezuma County</t>
  </si>
  <si>
    <t>Montrose County</t>
  </si>
  <si>
    <t>Morgan County</t>
  </si>
  <si>
    <t>Otero County</t>
  </si>
  <si>
    <t>Ouray County</t>
  </si>
  <si>
    <t>Park County</t>
  </si>
  <si>
    <t>Phillips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</si>
  <si>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</si>
  <si>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</si>
  <si>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</si>
  <si>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</si>
  <si>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</si>
  <si>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</si>
  <si>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</si>
  <si>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</si>
  <si>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</si>
  <si>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</si>
  <si>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</si>
  <si>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</si>
  <si>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Washington County</t>
  </si>
  <si>
    <t>Weld County</t>
  </si>
  <si>
    <t>Yuma County</t>
  </si>
  <si>
    <t>countyfips</t>
  </si>
  <si>
    <t>name</t>
  </si>
  <si>
    <t>year</t>
  </si>
  <si>
    <t>totalpopulation</t>
  </si>
  <si>
    <t>births</t>
  </si>
  <si>
    <t>naturalincrease</t>
  </si>
  <si>
    <t>netmigration</t>
  </si>
  <si>
    <t>deaths</t>
  </si>
  <si>
    <t>totalhousingunits</t>
  </si>
  <si>
    <t>households</t>
  </si>
  <si>
    <t>householdsize</t>
  </si>
  <si>
    <t>householdpopulation</t>
  </si>
  <si>
    <t>censusbuildingpermits</t>
  </si>
  <si>
    <t>vacancyrate</t>
  </si>
  <si>
    <t>vacanthousingunits</t>
  </si>
  <si>
    <t>hhldpoptothuratio</t>
  </si>
  <si>
    <t>Row Labels</t>
  </si>
  <si>
    <t>Grand Total</t>
  </si>
  <si>
    <t>Column Labels</t>
  </si>
  <si>
    <t>Dataset</t>
  </si>
  <si>
    <t xml:space="preserve">County Population and Housing Timeseries, 2010 to Current Year </t>
  </si>
  <si>
    <t>Source</t>
  </si>
  <si>
    <t>link</t>
  </si>
  <si>
    <t>Page Name</t>
  </si>
  <si>
    <t>CountyPopHousing</t>
  </si>
  <si>
    <t>County Population Profiles, 1985 to Current Year</t>
  </si>
  <si>
    <t>CountingHousingProf</t>
  </si>
  <si>
    <t>region</t>
  </si>
  <si>
    <t>Region</t>
  </si>
  <si>
    <t>area (sq. mi)</t>
  </si>
  <si>
    <t>Asbolute Population</t>
  </si>
  <si>
    <t>Relative Population</t>
  </si>
  <si>
    <t>Change in Relative Population</t>
  </si>
  <si>
    <t>Absolute Population</t>
  </si>
  <si>
    <t>Relative Population (% of total)</t>
  </si>
  <si>
    <t>Density (pers/sq mi)</t>
  </si>
  <si>
    <t>Sum of Density (pers/sq mi)</t>
  </si>
  <si>
    <t>Population Density (people/sq mi)</t>
  </si>
  <si>
    <t>Change in Population (3-year rolling avg, 2010 baseline)</t>
  </si>
  <si>
    <t>CY 10-12</t>
  </si>
  <si>
    <t>CY 11-13</t>
  </si>
  <si>
    <t>CY 12-14</t>
  </si>
  <si>
    <t>CY 13-15</t>
  </si>
  <si>
    <t>CY 14-16</t>
  </si>
  <si>
    <t>CY 15-17</t>
  </si>
  <si>
    <t>CY 16-18</t>
  </si>
  <si>
    <t>CY 18-20</t>
  </si>
  <si>
    <t>CY 19-21</t>
  </si>
  <si>
    <t>CY 20-22</t>
  </si>
  <si>
    <t>CY 17-19</t>
  </si>
  <si>
    <t>Statistically Significant</t>
  </si>
  <si>
    <t>Change in Population Density (% change year-on-year, 2010 baseline)</t>
  </si>
  <si>
    <t>Change in Absolute Population (2010 baseline)</t>
  </si>
  <si>
    <t>Strata</t>
  </si>
  <si>
    <t>Large</t>
  </si>
  <si>
    <t>Medium</t>
  </si>
  <si>
    <t>Small</t>
  </si>
  <si>
    <t>Tiny</t>
  </si>
  <si>
    <t>Total</t>
  </si>
  <si>
    <t>Stratum</t>
  </si>
  <si>
    <t>n</t>
  </si>
  <si>
    <t>Sum</t>
  </si>
  <si>
    <t>Normalized Weight</t>
  </si>
  <si>
    <t>2022 Data</t>
  </si>
  <si>
    <t>Change in Absolute Housing Units (2010 baseline)</t>
  </si>
  <si>
    <t>Change in Housing (3-year rolling avg, 2010 baseline)</t>
  </si>
  <si>
    <t>Mean</t>
  </si>
  <si>
    <t>Std Dev</t>
  </si>
  <si>
    <t>CY 20-22 - Std Devs</t>
  </si>
  <si>
    <t>Population</t>
  </si>
  <si>
    <t>&gt;1% Dev</t>
  </si>
  <si>
    <t>&lt;- 1% Dev</t>
  </si>
  <si>
    <t>Significant Neg Deviance (Rolling Housing)</t>
  </si>
  <si>
    <t>Significant Pos Deviance (Rolling Housing)</t>
  </si>
  <si>
    <t>Significant Neg Deviance (Rolling Population)</t>
  </si>
  <si>
    <t>Significant Pos Deviance (Rolling Population)</t>
  </si>
  <si>
    <t>Change in Population Density (3-year rolling avg, 2010 baseline)</t>
  </si>
  <si>
    <t>Population Density (individual/sq. mi.)</t>
  </si>
  <si>
    <t>Notes</t>
  </si>
  <si>
    <t>--</t>
  </si>
  <si>
    <t>high_pop-high_house</t>
  </si>
  <si>
    <t>high_house</t>
  </si>
  <si>
    <t>low_pop</t>
  </si>
  <si>
    <t>low_house</t>
  </si>
  <si>
    <t>high_pop</t>
  </si>
  <si>
    <t>low_pop-low_house</t>
  </si>
  <si>
    <t>Stratum Definition</t>
  </si>
  <si>
    <t>Any county that comprises &gt;10% of state's population</t>
  </si>
  <si>
    <t>Any county that comprises &lt;3.5% of state's population</t>
  </si>
  <si>
    <t>Any county that comprises 3.5-6% of state's population</t>
  </si>
  <si>
    <t>Any county that comprises 6-10% of state's population</t>
  </si>
  <si>
    <t>Rel. Population</t>
  </si>
  <si>
    <t>Abs. Population</t>
  </si>
  <si>
    <t>Excel Std Dev</t>
  </si>
  <si>
    <t>Mean sq</t>
  </si>
  <si>
    <t>Var</t>
  </si>
  <si>
    <t>Variance</t>
  </si>
  <si>
    <t>Manual Std. Dev</t>
  </si>
  <si>
    <t>Large County</t>
  </si>
  <si>
    <t>Medium County</t>
  </si>
  <si>
    <t>Small County</t>
  </si>
  <si>
    <t>Tiny County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</si>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</sst>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0.0000000"/>
    <numFmt numFmtId="166" formatCode="_(* #,##0.0_);_(* \(#,##0.0\);_(* &quot;-&quot;??_);_(@_)"/>
    <numFmt numFmtId="167" formatCode="_(* #,##0_);_(* \(#,##0\);_(* &quot;-&quot;??_);_(@_)"/>
    <numFmt numFmtId="168" formatCode="0.0%"/>
    <numFmt numFmtId="169" formatCode="0.000000"/>
  </numFmts>
  <fonts count="6" x14ac:knownFonts="1"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wrapText="1"/>
    </xf>
    <xf numFmtId="3" fontId="1" fillId="0" borderId="0" xfId="1" applyNumberFormat="1" applyAlignment="1">
      <alignment wrapText="1"/>
    </xf>
    <xf numFmtId="2" fontId="1" fillId="0" borderId="0" xfId="1" applyNumberFormat="1" applyAlignment="1">
      <alignment wrapText="1"/>
    </xf>
    <xf numFmtId="0" fontId="1" fillId="0" borderId="1" xfId="1" applyBorder="1" applyAlignment="1">
      <alignment horizontal="left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horizontal="center" wrapText="1"/>
    </xf>
    <xf numFmtId="3" fontId="1" fillId="0" borderId="1" xfId="1" applyNumberFormat="1" applyBorder="1" applyAlignment="1">
      <alignment horizontal="center" wrapText="1"/>
    </xf>
    <xf numFmtId="2" fontId="1" fillId="0" borderId="1" xfId="1" applyNumberFormat="1" applyBorder="1" applyAlignment="1">
      <alignment horizontal="center" wrapText="1"/>
    </xf>
    <xf numFmtId="0" fontId="1" fillId="0" borderId="0" xfId="1"/>
    <xf numFmtId="0" fontId="1" fillId="0" borderId="0" xfId="1" applyAlignment="1">
      <alignment horizontal="center"/>
    </xf>
    <xf numFmtId="3" fontId="1" fillId="0" borderId="0" xfId="1" applyNumberFormat="1"/>
    <xf numFmtId="2" fontId="1" fillId="0" borderId="0" xfId="1" applyNumberFormat="1"/>
    <xf numFmtId="0" fontId="1" fillId="0" borderId="0" xfId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2" xfId="0" applyFont="1" applyFill="1" applyBorder="1"/>
    <xf numFmtId="0" fontId="4" fillId="0" borderId="0" xfId="4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/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2" fontId="3" fillId="2" borderId="3" xfId="0" applyNumberFormat="1" applyFont="1" applyFill="1" applyBorder="1"/>
    <xf numFmtId="166" fontId="0" fillId="0" borderId="0" xfId="2" applyNumberFormat="1" applyFont="1"/>
    <xf numFmtId="167" fontId="0" fillId="0" borderId="0" xfId="2" applyNumberFormat="1" applyFont="1"/>
    <xf numFmtId="167" fontId="3" fillId="2" borderId="3" xfId="2" applyNumberFormat="1" applyFont="1" applyFill="1" applyBorder="1"/>
    <xf numFmtId="9" fontId="0" fillId="0" borderId="0" xfId="3" applyFont="1"/>
    <xf numFmtId="168" fontId="0" fillId="0" borderId="0" xfId="3" applyNumberFormat="1" applyFont="1"/>
    <xf numFmtId="9" fontId="3" fillId="2" borderId="3" xfId="3" applyFont="1" applyFill="1" applyBorder="1"/>
    <xf numFmtId="168" fontId="3" fillId="2" borderId="3" xfId="3" applyNumberFormat="1" applyFont="1" applyFill="1" applyBorder="1"/>
    <xf numFmtId="10" fontId="0" fillId="0" borderId="0" xfId="3" applyNumberFormat="1" applyFont="1"/>
    <xf numFmtId="0" fontId="3" fillId="2" borderId="0" xfId="0" applyFont="1" applyFill="1"/>
    <xf numFmtId="168" fontId="3" fillId="2" borderId="0" xfId="3" applyNumberFormat="1" applyFont="1" applyFill="1" applyBorder="1"/>
    <xf numFmtId="167" fontId="3" fillId="2" borderId="0" xfId="2" applyNumberFormat="1" applyFont="1" applyFill="1" applyBorder="1"/>
    <xf numFmtId="0" fontId="3" fillId="0" borderId="0" xfId="0" applyFont="1"/>
    <xf numFmtId="10" fontId="0" fillId="0" borderId="0" xfId="0" applyNumberFormat="1"/>
    <xf numFmtId="0" fontId="3" fillId="2" borderId="0" xfId="0" quotePrefix="1" applyFont="1" applyFill="1"/>
    <xf numFmtId="10" fontId="0" fillId="0" borderId="4" xfId="3" applyNumberFormat="1" applyFont="1" applyBorder="1"/>
    <xf numFmtId="0" fontId="0" fillId="0" borderId="4" xfId="0" applyBorder="1"/>
    <xf numFmtId="10" fontId="0" fillId="0" borderId="5" xfId="3" applyNumberFormat="1" applyFont="1" applyBorder="1"/>
    <xf numFmtId="0" fontId="0" fillId="0" borderId="5" xfId="0" applyBorder="1"/>
    <xf numFmtId="10" fontId="0" fillId="0" borderId="6" xfId="3" applyNumberFormat="1" applyFont="1" applyBorder="1"/>
    <xf numFmtId="0" fontId="0" fillId="0" borderId="6" xfId="0" applyBorder="1"/>
    <xf numFmtId="2" fontId="0" fillId="0" borderId="4" xfId="3" applyNumberFormat="1" applyFont="1" applyBorder="1"/>
    <xf numFmtId="2" fontId="0" fillId="0" borderId="5" xfId="3" applyNumberFormat="1" applyFont="1" applyBorder="1"/>
    <xf numFmtId="2" fontId="0" fillId="0" borderId="6" xfId="3" applyNumberFormat="1" applyFont="1" applyBorder="1"/>
    <xf numFmtId="0" fontId="0" fillId="0" borderId="0" xfId="0" applyAlignment="1">
      <alignment horizontal="center" vertical="center" wrapText="1"/>
    </xf>
    <xf numFmtId="10" fontId="0" fillId="0" borderId="0" xfId="3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0" fillId="3" borderId="0" xfId="0" applyFill="1"/>
    <xf numFmtId="164" fontId="0" fillId="3" borderId="0" xfId="0" applyNumberFormat="1" applyFill="1"/>
    <xf numFmtId="10" fontId="0" fillId="3" borderId="0" xfId="3" applyNumberFormat="1" applyFont="1" applyFill="1" applyAlignment="1">
      <alignment horizontal="center" vertical="center" wrapText="1"/>
    </xf>
    <xf numFmtId="2" fontId="0" fillId="3" borderId="0" xfId="0" applyNumberFormat="1" applyFill="1"/>
    <xf numFmtId="0" fontId="0" fillId="3" borderId="0" xfId="0" applyFill="1" applyAlignment="1">
      <alignment horizontal="center" vertical="center" wrapText="1"/>
    </xf>
    <xf numFmtId="0" fontId="0" fillId="0" borderId="0" xfId="0" quotePrefix="1"/>
    <xf numFmtId="167" fontId="3" fillId="2" borderId="3" xfId="3" applyNumberFormat="1" applyFont="1" applyFill="1" applyBorder="1"/>
    <xf numFmtId="169" fontId="5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5">
    <cellStyle name="Comma" xfId="2" builtinId="3"/>
    <cellStyle name="Hyperlink" xfId="4" builtinId="8"/>
    <cellStyle name="Normal" xfId="0" builtinId="0"/>
    <cellStyle name="Normal 2" xfId="1" xr:uid="{B638D91C-5CEA-3E45-BDD5-5C5D031B2DA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Population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COUNTY_PIVOT!$AH$139:$AT$139</c:f>
              <c:numCache>
                <c:formatCode>0.0%</c:formatCode>
                <c:ptCount val="13"/>
                <c:pt idx="0">
                  <c:v>0</c:v>
                </c:pt>
                <c:pt idx="1">
                  <c:v>1.4498254768201378E-2</c:v>
                </c:pt>
                <c:pt idx="2">
                  <c:v>1.3878845402789821E-2</c:v>
                </c:pt>
                <c:pt idx="3">
                  <c:v>1.4672946959782947E-2</c:v>
                </c:pt>
                <c:pt idx="4">
                  <c:v>1.4565301487435787E-2</c:v>
                </c:pt>
                <c:pt idx="5">
                  <c:v>1.8501380511644825E-2</c:v>
                </c:pt>
                <c:pt idx="6">
                  <c:v>1.5245674636295637E-2</c:v>
                </c:pt>
                <c:pt idx="7">
                  <c:v>1.2651296261902466E-2</c:v>
                </c:pt>
                <c:pt idx="8">
                  <c:v>1.3808873081376702E-2</c:v>
                </c:pt>
                <c:pt idx="9">
                  <c:v>1.0216293646968634E-2</c:v>
                </c:pt>
                <c:pt idx="10">
                  <c:v>8.6618636843234995E-3</c:v>
                </c:pt>
                <c:pt idx="11">
                  <c:v>4.5711152262634617E-3</c:v>
                </c:pt>
                <c:pt idx="12">
                  <c:v>4.7685210838843261E-3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D-8C4A-9E8D-3A939A7407D8}"/>
            </c:ext>
          </c:extLst>
        </c:ser>
        <c:ser>
          <c:idx val="1"/>
          <c:order val="1"/>
          <c:tx>
            <c:v>Housing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COUNTY_PIVOT!$AH$208:$AT$208</c:f>
              <c:numCache>
                <c:formatCode>0.0%</c:formatCode>
                <c:ptCount val="13"/>
                <c:pt idx="0">
                  <c:v>0</c:v>
                </c:pt>
                <c:pt idx="1">
                  <c:v>5.4501731487501459E-3</c:v>
                </c:pt>
                <c:pt idx="2">
                  <c:v>5.9716662630842979E-3</c:v>
                </c:pt>
                <c:pt idx="3">
                  <c:v>1.0404853327069741E-2</c:v>
                </c:pt>
                <c:pt idx="4">
                  <c:v>1.2038983289960401E-2</c:v>
                </c:pt>
                <c:pt idx="5">
                  <c:v>1.2887340212367796E-2</c:v>
                </c:pt>
                <c:pt idx="6">
                  <c:v>1.2652826285471928E-2</c:v>
                </c:pt>
                <c:pt idx="7">
                  <c:v>1.5935100557040446E-2</c:v>
                </c:pt>
                <c:pt idx="8">
                  <c:v>1.7435569959346309E-2</c:v>
                </c:pt>
                <c:pt idx="9">
                  <c:v>1.7464656191456294E-2</c:v>
                </c:pt>
                <c:pt idx="10">
                  <c:v>1.6392376746304817E-2</c:v>
                </c:pt>
                <c:pt idx="11">
                  <c:v>1.6523014355635624E-2</c:v>
                </c:pt>
                <c:pt idx="12">
                  <c:v>2.2096711707548265E-2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D-8C4A-9E8D-3A939A740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442879"/>
        <c:axId val="766962767"/>
      </c:lineChart>
      <c:catAx>
        <c:axId val="767442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962767"/>
        <c:crosses val="autoZero"/>
        <c:auto val="1"/>
        <c:lblAlgn val="ctr"/>
        <c:lblOffset val="100"/>
        <c:noMultiLvlLbl val="0"/>
      </c:catAx>
      <c:valAx>
        <c:axId val="7669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4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REGION_PIVOT!$S$7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REGION_PIVOT!$T$7:$AF$7</c:f>
              <c:numCache>
                <c:formatCode>_(* #,##0_);_(* \(#,##0\);_(* "-"??_);_(@_)</c:formatCode>
                <c:ptCount val="13"/>
                <c:pt idx="0">
                  <c:v>50.815492947970995</c:v>
                </c:pt>
                <c:pt idx="1">
                  <c:v>50.921573890591269</c:v>
                </c:pt>
                <c:pt idx="2">
                  <c:v>50.724733984733703</c:v>
                </c:pt>
                <c:pt idx="3">
                  <c:v>50.747570470290086</c:v>
                </c:pt>
                <c:pt idx="4">
                  <c:v>50.671384832313244</c:v>
                </c:pt>
                <c:pt idx="5">
                  <c:v>50.733219125346722</c:v>
                </c:pt>
                <c:pt idx="6">
                  <c:v>50.694947712616646</c:v>
                </c:pt>
                <c:pt idx="7">
                  <c:v>50.777276416572583</c:v>
                </c:pt>
                <c:pt idx="8">
                  <c:v>51.116442765134828</c:v>
                </c:pt>
                <c:pt idx="9">
                  <c:v>51.256026059095831</c:v>
                </c:pt>
                <c:pt idx="10">
                  <c:v>51.009702187761619</c:v>
                </c:pt>
                <c:pt idx="11">
                  <c:v>50.753068132621053</c:v>
                </c:pt>
                <c:pt idx="12">
                  <c:v>50.651013530954565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6-EA46-952B-B749B5917D3E}"/>
            </c:ext>
          </c:extLst>
        </c:ser>
        <c:ser>
          <c:idx val="1"/>
          <c:order val="1"/>
          <c:tx>
            <c:strRef>
              <c:f>REGION_PIVOT!$S$8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REGION_PIVOT!$T$8:$AF$8</c:f>
              <c:numCache>
                <c:formatCode>_(* #,##0_);_(* \(#,##0\);_(* "-"??_);_(@_)</c:formatCode>
                <c:ptCount val="13"/>
                <c:pt idx="0">
                  <c:v>177.53308665345537</c:v>
                </c:pt>
                <c:pt idx="1">
                  <c:v>180.4749129122763</c:v>
                </c:pt>
                <c:pt idx="2">
                  <c:v>183.88913668860582</c:v>
                </c:pt>
                <c:pt idx="3">
                  <c:v>187.41020054462609</c:v>
                </c:pt>
                <c:pt idx="4">
                  <c:v>191.91932304650533</c:v>
                </c:pt>
                <c:pt idx="5">
                  <c:v>197.66906447171459</c:v>
                </c:pt>
                <c:pt idx="6">
                  <c:v>202.23463874649832</c:v>
                </c:pt>
                <c:pt idx="7">
                  <c:v>206.66874293769433</c:v>
                </c:pt>
                <c:pt idx="8">
                  <c:v>211.27726900205994</c:v>
                </c:pt>
                <c:pt idx="9">
                  <c:v>215.88107922781722</c:v>
                </c:pt>
                <c:pt idx="10">
                  <c:v>219.33076815451557</c:v>
                </c:pt>
                <c:pt idx="11">
                  <c:v>222.51844051424001</c:v>
                </c:pt>
                <c:pt idx="12">
                  <c:v>226.64089589433499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6-EA46-952B-B749B5917D3E}"/>
            </c:ext>
          </c:extLst>
        </c:ser>
        <c:ser>
          <c:idx val="2"/>
          <c:order val="2"/>
          <c:tx>
            <c:strRef>
              <c:f>REGION_PIVOT!$S$9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REGION_PIVOT!$T$9:$AF$9</c:f>
              <c:numCache>
                <c:formatCode>_(* #,##0_);_(* \(#,##0\);_(* "-"??_);_(@_)</c:formatCode>
                <c:ptCount val="13"/>
                <c:pt idx="0">
                  <c:v>7446.6843514214688</c:v>
                </c:pt>
                <c:pt idx="1">
                  <c:v>7623.0752058020907</c:v>
                </c:pt>
                <c:pt idx="2">
                  <c:v>7789.4472295687719</c:v>
                </c:pt>
                <c:pt idx="3">
                  <c:v>7948.7739316163415</c:v>
                </c:pt>
                <c:pt idx="4">
                  <c:v>8125.1819071177015</c:v>
                </c:pt>
                <c:pt idx="5">
                  <c:v>8373.7837951015372</c:v>
                </c:pt>
                <c:pt idx="6">
                  <c:v>8528.449098638026</c:v>
                </c:pt>
                <c:pt idx="7">
                  <c:v>8652.7408619620837</c:v>
                </c:pt>
                <c:pt idx="8">
                  <c:v>8791.8309440805333</c:v>
                </c:pt>
                <c:pt idx="9">
                  <c:v>8899.5491214479862</c:v>
                </c:pt>
                <c:pt idx="10">
                  <c:v>9020.5811730685327</c:v>
                </c:pt>
                <c:pt idx="11">
                  <c:v>9019.4760958103525</c:v>
                </c:pt>
                <c:pt idx="12">
                  <c:v>9059.8856706664756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6-EA46-952B-B749B5917D3E}"/>
            </c:ext>
          </c:extLst>
        </c:ser>
        <c:ser>
          <c:idx val="3"/>
          <c:order val="3"/>
          <c:tx>
            <c:strRef>
              <c:f>REGION_PIVOT!$S$10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REGION_PIVOT!$T$10:$AF$10</c:f>
              <c:numCache>
                <c:formatCode>_(* #,##0_);_(* \(#,##0\);_(* "-"??_);_(@_)</c:formatCode>
                <c:ptCount val="13"/>
                <c:pt idx="0">
                  <c:v>1037.0799731721438</c:v>
                </c:pt>
                <c:pt idx="1">
                  <c:v>1048.6343369551334</c:v>
                </c:pt>
                <c:pt idx="2">
                  <c:v>1060.7099801187512</c:v>
                </c:pt>
                <c:pt idx="3">
                  <c:v>1072.3030564910189</c:v>
                </c:pt>
                <c:pt idx="4">
                  <c:v>1084.6176221772241</c:v>
                </c:pt>
                <c:pt idx="5">
                  <c:v>1098.1905127748828</c:v>
                </c:pt>
                <c:pt idx="6">
                  <c:v>1114.7344974198313</c:v>
                </c:pt>
                <c:pt idx="7">
                  <c:v>1127.1758898594737</c:v>
                </c:pt>
                <c:pt idx="8">
                  <c:v>1139.2226106617893</c:v>
                </c:pt>
                <c:pt idx="9">
                  <c:v>1146.7322510105575</c:v>
                </c:pt>
                <c:pt idx="10">
                  <c:v>1150.6748990630283</c:v>
                </c:pt>
                <c:pt idx="11">
                  <c:v>1150.4289591809668</c:v>
                </c:pt>
                <c:pt idx="12">
                  <c:v>1145.7095325371276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6-EA46-952B-B749B5917D3E}"/>
            </c:ext>
          </c:extLst>
        </c:ser>
        <c:ser>
          <c:idx val="4"/>
          <c:order val="4"/>
          <c:tx>
            <c:strRef>
              <c:f>REGION_PIVOT!$S$11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REGION_PIVOT!$T$11:$AF$11</c:f>
              <c:numCache>
                <c:formatCode>_(* #,##0_);_(* \(#,##0\);_(* "-"??_);_(@_)</c:formatCode>
                <c:ptCount val="13"/>
                <c:pt idx="0">
                  <c:v>19.466166647679717</c:v>
                </c:pt>
                <c:pt idx="1">
                  <c:v>19.382729802843002</c:v>
                </c:pt>
                <c:pt idx="2">
                  <c:v>19.352618241186363</c:v>
                </c:pt>
                <c:pt idx="3">
                  <c:v>19.396158597337472</c:v>
                </c:pt>
                <c:pt idx="4">
                  <c:v>19.452383503141427</c:v>
                </c:pt>
                <c:pt idx="5">
                  <c:v>19.670459220097957</c:v>
                </c:pt>
                <c:pt idx="6">
                  <c:v>19.844378180103856</c:v>
                </c:pt>
                <c:pt idx="7">
                  <c:v>20.077056520419376</c:v>
                </c:pt>
                <c:pt idx="8">
                  <c:v>20.261977308801409</c:v>
                </c:pt>
                <c:pt idx="9">
                  <c:v>20.381885302613483</c:v>
                </c:pt>
                <c:pt idx="10">
                  <c:v>20.616988792498837</c:v>
                </c:pt>
                <c:pt idx="11">
                  <c:v>20.9628974684667</c:v>
                </c:pt>
                <c:pt idx="12">
                  <c:v>21.369835681545222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E6-EA46-952B-B749B5917D3E}"/>
            </c:ext>
          </c:extLst>
        </c:ser>
        <c:ser>
          <c:idx val="5"/>
          <c:order val="5"/>
          <c:tx>
            <c:strRef>
              <c:f>REGION_PIVOT!$S$12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REGION_PIVOT!$T$12:$AF$12</c:f>
              <c:numCache>
                <c:formatCode>_(* #,##0_);_(* \(#,##0\);_(* "-"??_);_(@_)</c:formatCode>
                <c:ptCount val="13"/>
                <c:pt idx="0">
                  <c:v>36.259808795243387</c:v>
                </c:pt>
                <c:pt idx="1">
                  <c:v>36.102938697156191</c:v>
                </c:pt>
                <c:pt idx="2">
                  <c:v>35.706000573355666</c:v>
                </c:pt>
                <c:pt idx="3">
                  <c:v>35.565997874177107</c:v>
                </c:pt>
                <c:pt idx="4">
                  <c:v>35.392092096018658</c:v>
                </c:pt>
                <c:pt idx="5">
                  <c:v>35.40545873695774</c:v>
                </c:pt>
                <c:pt idx="6">
                  <c:v>35.244603517753873</c:v>
                </c:pt>
                <c:pt idx="7">
                  <c:v>35.39494480168684</c:v>
                </c:pt>
                <c:pt idx="8">
                  <c:v>35.443115946005015</c:v>
                </c:pt>
                <c:pt idx="9">
                  <c:v>35.465944720934978</c:v>
                </c:pt>
                <c:pt idx="10">
                  <c:v>34.872009971130112</c:v>
                </c:pt>
                <c:pt idx="11">
                  <c:v>34.712924592080761</c:v>
                </c:pt>
                <c:pt idx="12">
                  <c:v>34.300658082249335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E6-EA46-952B-B749B5917D3E}"/>
            </c:ext>
          </c:extLst>
        </c:ser>
        <c:ser>
          <c:idx val="6"/>
          <c:order val="6"/>
          <c:tx>
            <c:strRef>
              <c:f>REGION_PIVOT!$S$13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REGION_PIVOT!$T$13:$AF$13</c:f>
              <c:numCache>
                <c:formatCode>_(* #,##0_);_(* \(#,##0\);_(* "-"??_);_(@_)</c:formatCode>
                <c:ptCount val="13"/>
                <c:pt idx="0">
                  <c:v>66.546226796897486</c:v>
                </c:pt>
                <c:pt idx="1">
                  <c:v>66.688918836600919</c:v>
                </c:pt>
                <c:pt idx="2">
                  <c:v>66.892943419685665</c:v>
                </c:pt>
                <c:pt idx="3">
                  <c:v>66.992243728017286</c:v>
                </c:pt>
                <c:pt idx="4">
                  <c:v>67.11824664027003</c:v>
                </c:pt>
                <c:pt idx="5">
                  <c:v>67.778301630944981</c:v>
                </c:pt>
                <c:pt idx="6">
                  <c:v>68.477158842942799</c:v>
                </c:pt>
                <c:pt idx="7">
                  <c:v>69.071709008373773</c:v>
                </c:pt>
                <c:pt idx="8">
                  <c:v>69.546097456159742</c:v>
                </c:pt>
                <c:pt idx="9">
                  <c:v>69.879462776987367</c:v>
                </c:pt>
                <c:pt idx="10">
                  <c:v>70.224093258844192</c:v>
                </c:pt>
                <c:pt idx="11">
                  <c:v>70.625049545847119</c:v>
                </c:pt>
                <c:pt idx="12">
                  <c:v>70.671361874522802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E6-EA46-952B-B749B5917D3E}"/>
            </c:ext>
          </c:extLst>
        </c:ser>
        <c:ser>
          <c:idx val="7"/>
          <c:order val="7"/>
          <c:tx>
            <c:strRef>
              <c:f>REGION_PIVOT!$S$14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REGION_PIVOT!$T$14:$AF$14</c:f>
              <c:numCache>
                <c:formatCode>_(* #,##0_);_(* \(#,##0\);_(* "-"??_);_(@_)</c:formatCode>
                <c:ptCount val="13"/>
                <c:pt idx="0">
                  <c:v>46.573479942557441</c:v>
                </c:pt>
                <c:pt idx="1">
                  <c:v>46.537550422238951</c:v>
                </c:pt>
                <c:pt idx="2">
                  <c:v>46.553769695260115</c:v>
                </c:pt>
                <c:pt idx="3">
                  <c:v>46.613076889742331</c:v>
                </c:pt>
                <c:pt idx="4">
                  <c:v>46.636419430873367</c:v>
                </c:pt>
                <c:pt idx="5">
                  <c:v>46.680966845312213</c:v>
                </c:pt>
                <c:pt idx="6">
                  <c:v>46.653752159374832</c:v>
                </c:pt>
                <c:pt idx="7">
                  <c:v>46.72797647006535</c:v>
                </c:pt>
                <c:pt idx="8">
                  <c:v>46.830691315082596</c:v>
                </c:pt>
                <c:pt idx="9">
                  <c:v>46.826133854623727</c:v>
                </c:pt>
                <c:pt idx="10">
                  <c:v>46.90586453825037</c:v>
                </c:pt>
                <c:pt idx="11">
                  <c:v>47.336591925992046</c:v>
                </c:pt>
                <c:pt idx="12">
                  <c:v>47.282337554124936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E6-EA46-952B-B749B5917D3E}"/>
            </c:ext>
          </c:extLst>
        </c:ser>
        <c:ser>
          <c:idx val="8"/>
          <c:order val="8"/>
          <c:tx>
            <c:strRef>
              <c:f>REGION_PIVOT!$S$15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REGION_PIVOT!$T$15:$AF$15</c:f>
              <c:numCache>
                <c:formatCode>_(* #,##0_);_(* \(#,##0\);_(* "-"??_);_(@_)</c:formatCode>
                <c:ptCount val="13"/>
                <c:pt idx="0">
                  <c:v>55.43206006474017</c:v>
                </c:pt>
                <c:pt idx="1">
                  <c:v>55.557973329065753</c:v>
                </c:pt>
                <c:pt idx="2">
                  <c:v>55.879840343636275</c:v>
                </c:pt>
                <c:pt idx="3">
                  <c:v>56.371242490928914</c:v>
                </c:pt>
                <c:pt idx="4">
                  <c:v>56.546954512460083</c:v>
                </c:pt>
                <c:pt idx="5">
                  <c:v>57.062477477948008</c:v>
                </c:pt>
                <c:pt idx="6">
                  <c:v>57.680339680214892</c:v>
                </c:pt>
                <c:pt idx="7">
                  <c:v>58.0750024482859</c:v>
                </c:pt>
                <c:pt idx="8">
                  <c:v>58.726662662759431</c:v>
                </c:pt>
                <c:pt idx="9">
                  <c:v>58.77225417783459</c:v>
                </c:pt>
                <c:pt idx="10">
                  <c:v>59.124557199824174</c:v>
                </c:pt>
                <c:pt idx="11">
                  <c:v>59.997741938191439</c:v>
                </c:pt>
                <c:pt idx="12">
                  <c:v>60.689688624065887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E6-EA46-952B-B749B5917D3E}"/>
            </c:ext>
          </c:extLst>
        </c:ser>
        <c:ser>
          <c:idx val="9"/>
          <c:order val="9"/>
          <c:tx>
            <c:strRef>
              <c:f>REGION_PIVOT!$S$16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REGION_PIVOT!$T$16:$AF$16</c:f>
              <c:numCache>
                <c:formatCode>_(* #,##0_);_(* \(#,##0\);_(* "-"??_);_(@_)</c:formatCode>
                <c:ptCount val="13"/>
                <c:pt idx="0">
                  <c:v>64.5529074340715</c:v>
                </c:pt>
                <c:pt idx="1">
                  <c:v>64.216355813473541</c:v>
                </c:pt>
                <c:pt idx="2">
                  <c:v>64.51945526282887</c:v>
                </c:pt>
                <c:pt idx="3">
                  <c:v>64.562959786266362</c:v>
                </c:pt>
                <c:pt idx="4">
                  <c:v>64.418539914997041</c:v>
                </c:pt>
                <c:pt idx="5">
                  <c:v>64.620211120490552</c:v>
                </c:pt>
                <c:pt idx="6">
                  <c:v>65.599354782470144</c:v>
                </c:pt>
                <c:pt idx="7">
                  <c:v>66.003301374989945</c:v>
                </c:pt>
                <c:pt idx="8">
                  <c:v>66.613612124355299</c:v>
                </c:pt>
                <c:pt idx="9">
                  <c:v>67.308247627759272</c:v>
                </c:pt>
                <c:pt idx="10">
                  <c:v>67.208078095665712</c:v>
                </c:pt>
                <c:pt idx="11">
                  <c:v>68.128057772534618</c:v>
                </c:pt>
                <c:pt idx="12">
                  <c:v>68.538981049038341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AE6-EA46-952B-B749B5917D3E}"/>
            </c:ext>
          </c:extLst>
        </c:ser>
        <c:ser>
          <c:idx val="10"/>
          <c:order val="10"/>
          <c:tx>
            <c:strRef>
              <c:f>REGION_PIVOT!$S$17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REGION_PIVOT!$T$17:$AF$17</c:f>
              <c:numCache>
                <c:formatCode>_(* #,##0_);_(* \(#,##0\);_(* "-"??_);_(@_)</c:formatCode>
                <c:ptCount val="13"/>
                <c:pt idx="0">
                  <c:v>77.841245278340821</c:v>
                </c:pt>
                <c:pt idx="1">
                  <c:v>78.102432015239259</c:v>
                </c:pt>
                <c:pt idx="2">
                  <c:v>78.132060522078319</c:v>
                </c:pt>
                <c:pt idx="3">
                  <c:v>78.264995271058723</c:v>
                </c:pt>
                <c:pt idx="4">
                  <c:v>78.323758714902823</c:v>
                </c:pt>
                <c:pt idx="5">
                  <c:v>78.78255992029186</c:v>
                </c:pt>
                <c:pt idx="6">
                  <c:v>79.578132684287382</c:v>
                </c:pt>
                <c:pt idx="7">
                  <c:v>80.421728552270352</c:v>
                </c:pt>
                <c:pt idx="8">
                  <c:v>81.377730937156599</c:v>
                </c:pt>
                <c:pt idx="9">
                  <c:v>82.04625328872703</c:v>
                </c:pt>
                <c:pt idx="10">
                  <c:v>82.836799628532731</c:v>
                </c:pt>
                <c:pt idx="11">
                  <c:v>83.443050149073187</c:v>
                </c:pt>
                <c:pt idx="12">
                  <c:v>83.825155372363056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AE6-EA46-952B-B749B5917D3E}"/>
            </c:ext>
          </c:extLst>
        </c:ser>
        <c:ser>
          <c:idx val="11"/>
          <c:order val="11"/>
          <c:tx>
            <c:strRef>
              <c:f>REGION_PIVOT!$S$18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REGION_PIVOT!$T$18:$AF$18</c:f>
              <c:numCache>
                <c:formatCode>_(* #,##0_);_(* \(#,##0\);_(* "-"??_);_(@_)</c:formatCode>
                <c:ptCount val="13"/>
                <c:pt idx="0">
                  <c:v>102.41759630459023</c:v>
                </c:pt>
                <c:pt idx="1">
                  <c:v>102.47302192585002</c:v>
                </c:pt>
                <c:pt idx="2">
                  <c:v>103.09965000177654</c:v>
                </c:pt>
                <c:pt idx="3">
                  <c:v>104.06182765088766</c:v>
                </c:pt>
                <c:pt idx="4">
                  <c:v>105.36676803009713</c:v>
                </c:pt>
                <c:pt idx="5">
                  <c:v>107.03865368204686</c:v>
                </c:pt>
                <c:pt idx="6">
                  <c:v>108.1109529851669</c:v>
                </c:pt>
                <c:pt idx="7">
                  <c:v>109.04529121249578</c:v>
                </c:pt>
                <c:pt idx="8">
                  <c:v>109.31600744772612</c:v>
                </c:pt>
                <c:pt idx="9">
                  <c:v>109.66841792236696</c:v>
                </c:pt>
                <c:pt idx="10">
                  <c:v>109.97514214026759</c:v>
                </c:pt>
                <c:pt idx="11">
                  <c:v>110.06930387451482</c:v>
                </c:pt>
                <c:pt idx="12">
                  <c:v>108.5330239856354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E6-EA46-952B-B749B5917D3E}"/>
            </c:ext>
          </c:extLst>
        </c:ser>
        <c:ser>
          <c:idx val="12"/>
          <c:order val="12"/>
          <c:tx>
            <c:strRef>
              <c:f>REGION_PIVOT!$S$19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REGION_PIVOT!$T$19:$AF$19</c:f>
              <c:numCache>
                <c:formatCode>_(* #,##0_);_(* \(#,##0\);_(* "-"??_);_(@_)</c:formatCode>
                <c:ptCount val="13"/>
                <c:pt idx="0">
                  <c:v>72.875710477640737</c:v>
                </c:pt>
                <c:pt idx="1">
                  <c:v>73.111573596961492</c:v>
                </c:pt>
                <c:pt idx="2">
                  <c:v>72.885189692231819</c:v>
                </c:pt>
                <c:pt idx="3">
                  <c:v>72.955772721774011</c:v>
                </c:pt>
                <c:pt idx="4">
                  <c:v>73.023398073373613</c:v>
                </c:pt>
                <c:pt idx="5">
                  <c:v>73.35964401655481</c:v>
                </c:pt>
                <c:pt idx="6">
                  <c:v>74.077290989155969</c:v>
                </c:pt>
                <c:pt idx="7">
                  <c:v>75.03622436529578</c:v>
                </c:pt>
                <c:pt idx="8">
                  <c:v>75.611352300232227</c:v>
                </c:pt>
                <c:pt idx="9">
                  <c:v>76.659936262567527</c:v>
                </c:pt>
                <c:pt idx="10">
                  <c:v>76.800438256382975</c:v>
                </c:pt>
                <c:pt idx="11">
                  <c:v>77.727319086795063</c:v>
                </c:pt>
                <c:pt idx="12">
                  <c:v>78.675443562841991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AE6-EA46-952B-B749B5917D3E}"/>
            </c:ext>
          </c:extLst>
        </c:ser>
        <c:ser>
          <c:idx val="13"/>
          <c:order val="13"/>
          <c:tx>
            <c:strRef>
              <c:f>REGION_PIVOT!$S$20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REGION_PIVOT!$T$20:$AF$20</c:f>
              <c:numCache>
                <c:formatCode>_(* #,##0_);_(* \(#,##0\);_(* "-"??_);_(@_)</c:formatCode>
                <c:ptCount val="13"/>
                <c:pt idx="0">
                  <c:v>7.4070713512048805</c:v>
                </c:pt>
                <c:pt idx="1">
                  <c:v>7.3999402683209379</c:v>
                </c:pt>
                <c:pt idx="2">
                  <c:v>7.3926001906597962</c:v>
                </c:pt>
                <c:pt idx="3">
                  <c:v>7.3842146339034764</c:v>
                </c:pt>
                <c:pt idx="4">
                  <c:v>7.3680816193244727</c:v>
                </c:pt>
                <c:pt idx="5">
                  <c:v>7.3532040890362138</c:v>
                </c:pt>
                <c:pt idx="6">
                  <c:v>7.3435595115248642</c:v>
                </c:pt>
                <c:pt idx="7">
                  <c:v>7.3349619287362442</c:v>
                </c:pt>
                <c:pt idx="8">
                  <c:v>7.3297138196838265</c:v>
                </c:pt>
                <c:pt idx="9">
                  <c:v>7.324256715854208</c:v>
                </c:pt>
                <c:pt idx="10">
                  <c:v>7.3244384293354923</c:v>
                </c:pt>
                <c:pt idx="11">
                  <c:v>7.3654423276103476</c:v>
                </c:pt>
                <c:pt idx="12">
                  <c:v>7.4564960090540922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6-EA46-952B-B749B5917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402672"/>
        <c:axId val="562366448"/>
      </c:lineChart>
      <c:catAx>
        <c:axId val="56240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6448"/>
        <c:crosses val="autoZero"/>
        <c:auto val="1"/>
        <c:lblAlgn val="ctr"/>
        <c:lblOffset val="100"/>
        <c:noMultiLvlLbl val="0"/>
      </c:catAx>
      <c:valAx>
        <c:axId val="5623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REGION_PIVOT!$S$26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REGION_PIVOT!$T$26:$AF$26</c:f>
              <c:numCache>
                <c:formatCode>_(* #,##0_);_(* \(#,##0\);_(* "-"??_);_(@_)</c:formatCode>
                <c:ptCount val="13"/>
                <c:pt idx="0">
                  <c:v>29122</c:v>
                </c:pt>
                <c:pt idx="1">
                  <c:v>29172</c:v>
                </c:pt>
                <c:pt idx="2">
                  <c:v>29229</c:v>
                </c:pt>
                <c:pt idx="3">
                  <c:v>29303</c:v>
                </c:pt>
                <c:pt idx="4">
                  <c:v>29383</c:v>
                </c:pt>
                <c:pt idx="5">
                  <c:v>29493</c:v>
                </c:pt>
                <c:pt idx="6">
                  <c:v>29568</c:v>
                </c:pt>
                <c:pt idx="7">
                  <c:v>29638</c:v>
                </c:pt>
                <c:pt idx="8">
                  <c:v>29781</c:v>
                </c:pt>
                <c:pt idx="9">
                  <c:v>29990</c:v>
                </c:pt>
                <c:pt idx="10">
                  <c:v>30150</c:v>
                </c:pt>
                <c:pt idx="11">
                  <c:v>30305</c:v>
                </c:pt>
                <c:pt idx="12">
                  <c:v>30560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8-1E4A-A7A6-D23982D69D87}"/>
            </c:ext>
          </c:extLst>
        </c:ser>
        <c:ser>
          <c:idx val="1"/>
          <c:order val="1"/>
          <c:tx>
            <c:strRef>
              <c:f>REGION_PIVOT!$S$27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REGION_PIVOT!$T$27:$AF$27</c:f>
              <c:numCache>
                <c:formatCode>_(* #,##0_);_(* \(#,##0\);_(* "-"??_);_(@_)</c:formatCode>
                <c:ptCount val="13"/>
                <c:pt idx="0">
                  <c:v>229711</c:v>
                </c:pt>
                <c:pt idx="1">
                  <c:v>231927</c:v>
                </c:pt>
                <c:pt idx="2">
                  <c:v>234380</c:v>
                </c:pt>
                <c:pt idx="3">
                  <c:v>237824</c:v>
                </c:pt>
                <c:pt idx="4">
                  <c:v>242034</c:v>
                </c:pt>
                <c:pt idx="5">
                  <c:v>247119</c:v>
                </c:pt>
                <c:pt idx="6">
                  <c:v>252440</c:v>
                </c:pt>
                <c:pt idx="7">
                  <c:v>259283</c:v>
                </c:pt>
                <c:pt idx="8">
                  <c:v>266003</c:v>
                </c:pt>
                <c:pt idx="9">
                  <c:v>273682</c:v>
                </c:pt>
                <c:pt idx="10">
                  <c:v>280355</c:v>
                </c:pt>
                <c:pt idx="11">
                  <c:v>287033</c:v>
                </c:pt>
                <c:pt idx="12">
                  <c:v>295314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8-1E4A-A7A6-D23982D69D87}"/>
            </c:ext>
          </c:extLst>
        </c:ser>
        <c:ser>
          <c:idx val="2"/>
          <c:order val="2"/>
          <c:tx>
            <c:strRef>
              <c:f>REGION_PIVOT!$S$28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REGION_PIVOT!$T$28:$AF$28</c:f>
              <c:numCache>
                <c:formatCode>_(* #,##0_);_(* \(#,##0\);_(* "-"??_);_(@_)</c:formatCode>
                <c:ptCount val="13"/>
                <c:pt idx="0">
                  <c:v>955926</c:v>
                </c:pt>
                <c:pt idx="1">
                  <c:v>961340</c:v>
                </c:pt>
                <c:pt idx="2">
                  <c:v>967223</c:v>
                </c:pt>
                <c:pt idx="3">
                  <c:v>980761</c:v>
                </c:pt>
                <c:pt idx="4">
                  <c:v>996405</c:v>
                </c:pt>
                <c:pt idx="5">
                  <c:v>1011790</c:v>
                </c:pt>
                <c:pt idx="6">
                  <c:v>1027740</c:v>
                </c:pt>
                <c:pt idx="7">
                  <c:v>1048165</c:v>
                </c:pt>
                <c:pt idx="8">
                  <c:v>1072231</c:v>
                </c:pt>
                <c:pt idx="9">
                  <c:v>1094623</c:v>
                </c:pt>
                <c:pt idx="10">
                  <c:v>1116013</c:v>
                </c:pt>
                <c:pt idx="11">
                  <c:v>1135106</c:v>
                </c:pt>
                <c:pt idx="12">
                  <c:v>1161763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8-1E4A-A7A6-D23982D69D87}"/>
            </c:ext>
          </c:extLst>
        </c:ser>
        <c:ser>
          <c:idx val="3"/>
          <c:order val="3"/>
          <c:tx>
            <c:strRef>
              <c:f>REGION_PIVOT!$S$29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REGION_PIVOT!$T$29:$AF$29</c:f>
              <c:numCache>
                <c:formatCode>_(* #,##0_);_(* \(#,##0\);_(* "-"??_);_(@_)</c:formatCode>
                <c:ptCount val="13"/>
                <c:pt idx="0">
                  <c:v>510346</c:v>
                </c:pt>
                <c:pt idx="1">
                  <c:v>512995</c:v>
                </c:pt>
                <c:pt idx="2">
                  <c:v>516486</c:v>
                </c:pt>
                <c:pt idx="3">
                  <c:v>520899</c:v>
                </c:pt>
                <c:pt idx="4">
                  <c:v>526226</c:v>
                </c:pt>
                <c:pt idx="5">
                  <c:v>532837</c:v>
                </c:pt>
                <c:pt idx="6">
                  <c:v>538380</c:v>
                </c:pt>
                <c:pt idx="7">
                  <c:v>545153</c:v>
                </c:pt>
                <c:pt idx="8">
                  <c:v>551434</c:v>
                </c:pt>
                <c:pt idx="9">
                  <c:v>558459</c:v>
                </c:pt>
                <c:pt idx="10">
                  <c:v>564807</c:v>
                </c:pt>
                <c:pt idx="11">
                  <c:v>574426</c:v>
                </c:pt>
                <c:pt idx="12">
                  <c:v>586730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D8-1E4A-A7A6-D23982D69D87}"/>
            </c:ext>
          </c:extLst>
        </c:ser>
        <c:ser>
          <c:idx val="4"/>
          <c:order val="4"/>
          <c:tx>
            <c:strRef>
              <c:f>REGION_PIVOT!$S$30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REGION_PIVOT!$T$30:$AF$30</c:f>
              <c:numCache>
                <c:formatCode>_(* #,##0_);_(* \(#,##0\);_(* "-"??_);_(@_)</c:formatCode>
                <c:ptCount val="13"/>
                <c:pt idx="0">
                  <c:v>15436</c:v>
                </c:pt>
                <c:pt idx="1">
                  <c:v>15447</c:v>
                </c:pt>
                <c:pt idx="2">
                  <c:v>15454</c:v>
                </c:pt>
                <c:pt idx="3">
                  <c:v>15492</c:v>
                </c:pt>
                <c:pt idx="4">
                  <c:v>15574</c:v>
                </c:pt>
                <c:pt idx="5">
                  <c:v>15672</c:v>
                </c:pt>
                <c:pt idx="6">
                  <c:v>15815</c:v>
                </c:pt>
                <c:pt idx="7">
                  <c:v>15920</c:v>
                </c:pt>
                <c:pt idx="8">
                  <c:v>16102</c:v>
                </c:pt>
                <c:pt idx="9">
                  <c:v>16335</c:v>
                </c:pt>
                <c:pt idx="10">
                  <c:v>16558</c:v>
                </c:pt>
                <c:pt idx="11">
                  <c:v>16874</c:v>
                </c:pt>
                <c:pt idx="12">
                  <c:v>17314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D8-1E4A-A7A6-D23982D69D87}"/>
            </c:ext>
          </c:extLst>
        </c:ser>
        <c:ser>
          <c:idx val="5"/>
          <c:order val="5"/>
          <c:tx>
            <c:strRef>
              <c:f>REGION_PIVOT!$S$31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REGION_PIVOT!$T$31:$AF$31</c:f>
              <c:numCache>
                <c:formatCode>_(* #,##0_);_(* \(#,##0\);_(* "-"??_);_(@_)</c:formatCode>
                <c:ptCount val="13"/>
                <c:pt idx="0">
                  <c:v>20382</c:v>
                </c:pt>
                <c:pt idx="1">
                  <c:v>20404</c:v>
                </c:pt>
                <c:pt idx="2">
                  <c:v>20420</c:v>
                </c:pt>
                <c:pt idx="3">
                  <c:v>20433</c:v>
                </c:pt>
                <c:pt idx="4">
                  <c:v>20451</c:v>
                </c:pt>
                <c:pt idx="5">
                  <c:v>20453</c:v>
                </c:pt>
                <c:pt idx="6">
                  <c:v>20471</c:v>
                </c:pt>
                <c:pt idx="7">
                  <c:v>20485</c:v>
                </c:pt>
                <c:pt idx="8">
                  <c:v>20483</c:v>
                </c:pt>
                <c:pt idx="9">
                  <c:v>20487</c:v>
                </c:pt>
                <c:pt idx="10">
                  <c:v>20512</c:v>
                </c:pt>
                <c:pt idx="11">
                  <c:v>20572</c:v>
                </c:pt>
                <c:pt idx="12">
                  <c:v>20647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D8-1E4A-A7A6-D23982D69D87}"/>
            </c:ext>
          </c:extLst>
        </c:ser>
        <c:ser>
          <c:idx val="6"/>
          <c:order val="6"/>
          <c:tx>
            <c:strRef>
              <c:f>REGION_PIVOT!$S$32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REGION_PIVOT!$T$32:$AF$32</c:f>
              <c:numCache>
                <c:formatCode>_(* #,##0_);_(* \(#,##0\);_(* "-"??_);_(@_)</c:formatCode>
                <c:ptCount val="13"/>
                <c:pt idx="0">
                  <c:v>69614</c:v>
                </c:pt>
                <c:pt idx="1">
                  <c:v>69825</c:v>
                </c:pt>
                <c:pt idx="2">
                  <c:v>69927</c:v>
                </c:pt>
                <c:pt idx="3">
                  <c:v>70176</c:v>
                </c:pt>
                <c:pt idx="4">
                  <c:v>70410</c:v>
                </c:pt>
                <c:pt idx="5">
                  <c:v>70455</c:v>
                </c:pt>
                <c:pt idx="6">
                  <c:v>70696</c:v>
                </c:pt>
                <c:pt idx="7">
                  <c:v>70831</c:v>
                </c:pt>
                <c:pt idx="8">
                  <c:v>71066</c:v>
                </c:pt>
                <c:pt idx="9">
                  <c:v>71576</c:v>
                </c:pt>
                <c:pt idx="10">
                  <c:v>72144</c:v>
                </c:pt>
                <c:pt idx="11">
                  <c:v>73047</c:v>
                </c:pt>
                <c:pt idx="12">
                  <c:v>73971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D8-1E4A-A7A6-D23982D69D87}"/>
            </c:ext>
          </c:extLst>
        </c:ser>
        <c:ser>
          <c:idx val="7"/>
          <c:order val="7"/>
          <c:tx>
            <c:strRef>
              <c:f>REGION_PIVOT!$S$33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REGION_PIVOT!$T$33:$AF$33</c:f>
              <c:numCache>
                <c:formatCode>_(* #,##0_);_(* \(#,##0\);_(* "-"??_);_(@_)</c:formatCode>
                <c:ptCount val="13"/>
                <c:pt idx="0">
                  <c:v>23206</c:v>
                </c:pt>
                <c:pt idx="1">
                  <c:v>23389</c:v>
                </c:pt>
                <c:pt idx="2">
                  <c:v>23511</c:v>
                </c:pt>
                <c:pt idx="3">
                  <c:v>23671</c:v>
                </c:pt>
                <c:pt idx="4">
                  <c:v>23795</c:v>
                </c:pt>
                <c:pt idx="5">
                  <c:v>23929</c:v>
                </c:pt>
                <c:pt idx="6">
                  <c:v>24042</c:v>
                </c:pt>
                <c:pt idx="7">
                  <c:v>24211</c:v>
                </c:pt>
                <c:pt idx="8">
                  <c:v>24476</c:v>
                </c:pt>
                <c:pt idx="9">
                  <c:v>24763</c:v>
                </c:pt>
                <c:pt idx="10">
                  <c:v>25019</c:v>
                </c:pt>
                <c:pt idx="11">
                  <c:v>25290</c:v>
                </c:pt>
                <c:pt idx="12">
                  <c:v>25611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D8-1E4A-A7A6-D23982D69D87}"/>
            </c:ext>
          </c:extLst>
        </c:ser>
        <c:ser>
          <c:idx val="8"/>
          <c:order val="8"/>
          <c:tx>
            <c:strRef>
              <c:f>REGION_PIVOT!$S$34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REGION_PIVOT!$T$34:$AF$34</c:f>
              <c:numCache>
                <c:formatCode>_(* #,##0_);_(* \(#,##0\);_(* "-"??_);_(@_)</c:formatCode>
                <c:ptCount val="13"/>
                <c:pt idx="0">
                  <c:v>48403</c:v>
                </c:pt>
                <c:pt idx="1">
                  <c:v>48623</c:v>
                </c:pt>
                <c:pt idx="2">
                  <c:v>48809</c:v>
                </c:pt>
                <c:pt idx="3">
                  <c:v>48995</c:v>
                </c:pt>
                <c:pt idx="4">
                  <c:v>49288</c:v>
                </c:pt>
                <c:pt idx="5">
                  <c:v>49634</c:v>
                </c:pt>
                <c:pt idx="6">
                  <c:v>50042</c:v>
                </c:pt>
                <c:pt idx="7">
                  <c:v>50409</c:v>
                </c:pt>
                <c:pt idx="8">
                  <c:v>51164</c:v>
                </c:pt>
                <c:pt idx="9">
                  <c:v>51711</c:v>
                </c:pt>
                <c:pt idx="10">
                  <c:v>52226</c:v>
                </c:pt>
                <c:pt idx="11">
                  <c:v>52673</c:v>
                </c:pt>
                <c:pt idx="12">
                  <c:v>53335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D8-1E4A-A7A6-D23982D69D87}"/>
            </c:ext>
          </c:extLst>
        </c:ser>
        <c:ser>
          <c:idx val="9"/>
          <c:order val="9"/>
          <c:tx>
            <c:strRef>
              <c:f>REGION_PIVOT!$S$35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REGION_PIVOT!$T$35:$AF$35</c:f>
              <c:numCache>
                <c:formatCode>_(* #,##0_);_(* \(#,##0\);_(* "-"??_);_(@_)</c:formatCode>
                <c:ptCount val="13"/>
                <c:pt idx="0">
                  <c:v>53731</c:v>
                </c:pt>
                <c:pt idx="1">
                  <c:v>53902</c:v>
                </c:pt>
                <c:pt idx="2">
                  <c:v>54069</c:v>
                </c:pt>
                <c:pt idx="3">
                  <c:v>54196</c:v>
                </c:pt>
                <c:pt idx="4">
                  <c:v>54380</c:v>
                </c:pt>
                <c:pt idx="5">
                  <c:v>54668</c:v>
                </c:pt>
                <c:pt idx="6">
                  <c:v>54904</c:v>
                </c:pt>
                <c:pt idx="7">
                  <c:v>55269</c:v>
                </c:pt>
                <c:pt idx="8">
                  <c:v>55854</c:v>
                </c:pt>
                <c:pt idx="9">
                  <c:v>56467</c:v>
                </c:pt>
                <c:pt idx="10">
                  <c:v>57265</c:v>
                </c:pt>
                <c:pt idx="11">
                  <c:v>57944</c:v>
                </c:pt>
                <c:pt idx="12">
                  <c:v>59014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D8-1E4A-A7A6-D23982D69D87}"/>
            </c:ext>
          </c:extLst>
        </c:ser>
        <c:ser>
          <c:idx val="10"/>
          <c:order val="10"/>
          <c:tx>
            <c:strRef>
              <c:f>REGION_PIVOT!$S$36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REGION_PIVOT!$T$36:$AF$36</c:f>
              <c:numCache>
                <c:formatCode>_(* #,##0_);_(* \(#,##0\);_(* "-"??_);_(@_)</c:formatCode>
                <c:ptCount val="13"/>
                <c:pt idx="0">
                  <c:v>110611</c:v>
                </c:pt>
                <c:pt idx="1">
                  <c:v>110970</c:v>
                </c:pt>
                <c:pt idx="2">
                  <c:v>111257</c:v>
                </c:pt>
                <c:pt idx="3">
                  <c:v>111727</c:v>
                </c:pt>
                <c:pt idx="4">
                  <c:v>112173</c:v>
                </c:pt>
                <c:pt idx="5">
                  <c:v>112812</c:v>
                </c:pt>
                <c:pt idx="6">
                  <c:v>113346</c:v>
                </c:pt>
                <c:pt idx="7">
                  <c:v>114117</c:v>
                </c:pt>
                <c:pt idx="8">
                  <c:v>115047</c:v>
                </c:pt>
                <c:pt idx="9">
                  <c:v>116188</c:v>
                </c:pt>
                <c:pt idx="10">
                  <c:v>117805</c:v>
                </c:pt>
                <c:pt idx="11">
                  <c:v>119447</c:v>
                </c:pt>
                <c:pt idx="12">
                  <c:v>121622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D8-1E4A-A7A6-D23982D69D87}"/>
            </c:ext>
          </c:extLst>
        </c:ser>
        <c:ser>
          <c:idx val="11"/>
          <c:order val="11"/>
          <c:tx>
            <c:strRef>
              <c:f>REGION_PIVOT!$S$37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REGION_PIVOT!$T$37:$AF$37</c:f>
              <c:numCache>
                <c:formatCode>_(* #,##0_);_(* \(#,##0\);_(* "-"??_);_(@_)</c:formatCode>
                <c:ptCount val="13"/>
                <c:pt idx="0">
                  <c:v>89695</c:v>
                </c:pt>
                <c:pt idx="1">
                  <c:v>89937</c:v>
                </c:pt>
                <c:pt idx="2">
                  <c:v>90193</c:v>
                </c:pt>
                <c:pt idx="3">
                  <c:v>90422</c:v>
                </c:pt>
                <c:pt idx="4">
                  <c:v>90786</c:v>
                </c:pt>
                <c:pt idx="5">
                  <c:v>91260</c:v>
                </c:pt>
                <c:pt idx="6">
                  <c:v>91674</c:v>
                </c:pt>
                <c:pt idx="7">
                  <c:v>92526</c:v>
                </c:pt>
                <c:pt idx="8">
                  <c:v>93345</c:v>
                </c:pt>
                <c:pt idx="9">
                  <c:v>94527</c:v>
                </c:pt>
                <c:pt idx="10">
                  <c:v>95774</c:v>
                </c:pt>
                <c:pt idx="11">
                  <c:v>96568</c:v>
                </c:pt>
                <c:pt idx="12">
                  <c:v>98468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D8-1E4A-A7A6-D23982D69D87}"/>
            </c:ext>
          </c:extLst>
        </c:ser>
        <c:ser>
          <c:idx val="12"/>
          <c:order val="12"/>
          <c:tx>
            <c:strRef>
              <c:f>REGION_PIVOT!$S$38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REGION_PIVOT!$T$38:$AF$38</c:f>
              <c:numCache>
                <c:formatCode>_(* #,##0_);_(* \(#,##0\);_(* "-"??_);_(@_)</c:formatCode>
                <c:ptCount val="13"/>
                <c:pt idx="0">
                  <c:v>37342</c:v>
                </c:pt>
                <c:pt idx="1">
                  <c:v>37522</c:v>
                </c:pt>
                <c:pt idx="2">
                  <c:v>37633</c:v>
                </c:pt>
                <c:pt idx="3">
                  <c:v>37757</c:v>
                </c:pt>
                <c:pt idx="4">
                  <c:v>37842</c:v>
                </c:pt>
                <c:pt idx="5">
                  <c:v>38006</c:v>
                </c:pt>
                <c:pt idx="6">
                  <c:v>38215</c:v>
                </c:pt>
                <c:pt idx="7">
                  <c:v>38576</c:v>
                </c:pt>
                <c:pt idx="8">
                  <c:v>38987</c:v>
                </c:pt>
                <c:pt idx="9">
                  <c:v>39330</c:v>
                </c:pt>
                <c:pt idx="10">
                  <c:v>39775</c:v>
                </c:pt>
                <c:pt idx="11">
                  <c:v>40404</c:v>
                </c:pt>
                <c:pt idx="12">
                  <c:v>41435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D8-1E4A-A7A6-D23982D69D87}"/>
            </c:ext>
          </c:extLst>
        </c:ser>
        <c:ser>
          <c:idx val="13"/>
          <c:order val="13"/>
          <c:tx>
            <c:strRef>
              <c:f>REGION_PIVOT!$S$39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REGION_PIVOT!$T$39:$AF$39</c:f>
              <c:numCache>
                <c:formatCode>_(* #,##0_);_(* \(#,##0\);_(* "-"??_);_(@_)</c:formatCode>
                <c:ptCount val="13"/>
                <c:pt idx="0">
                  <c:v>12093</c:v>
                </c:pt>
                <c:pt idx="1">
                  <c:v>12186</c:v>
                </c:pt>
                <c:pt idx="2">
                  <c:v>12291</c:v>
                </c:pt>
                <c:pt idx="3">
                  <c:v>12438</c:v>
                </c:pt>
                <c:pt idx="4">
                  <c:v>12484</c:v>
                </c:pt>
                <c:pt idx="5">
                  <c:v>12502</c:v>
                </c:pt>
                <c:pt idx="6">
                  <c:v>12533</c:v>
                </c:pt>
                <c:pt idx="7">
                  <c:v>12569</c:v>
                </c:pt>
                <c:pt idx="8">
                  <c:v>12626</c:v>
                </c:pt>
                <c:pt idx="9">
                  <c:v>12701</c:v>
                </c:pt>
                <c:pt idx="10">
                  <c:v>12775</c:v>
                </c:pt>
                <c:pt idx="11">
                  <c:v>12816</c:v>
                </c:pt>
                <c:pt idx="12">
                  <c:v>12902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FD8-1E4A-A7A6-D23982D69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402672"/>
        <c:axId val="562366448"/>
      </c:lineChart>
      <c:catAx>
        <c:axId val="56240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6448"/>
        <c:crosses val="autoZero"/>
        <c:auto val="1"/>
        <c:lblAlgn val="ctr"/>
        <c:lblOffset val="100"/>
        <c:noMultiLvlLbl val="0"/>
      </c:catAx>
      <c:valAx>
        <c:axId val="5623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Large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PLOTS!$D$3:$D$5</c:f>
              <c:numCache>
                <c:formatCode>0.00</c:formatCode>
                <c:ptCount val="3"/>
                <c:pt idx="0">
                  <c:v>-0.18873227394953571</c:v>
                </c:pt>
                <c:pt idx="1">
                  <c:v>-0.18357867541143846</c:v>
                </c:pt>
                <c:pt idx="2">
                  <c:v>0.220694133989326</c:v>
                </c:pt>
              </c:numCache>
            </c:numRef>
          </c:xVal>
          <c:yVal>
            <c:numRef>
              <c:f>PLOTS!$H$3:$H$5</c:f>
              <c:numCache>
                <c:formatCode>0.00</c:formatCode>
                <c:ptCount val="3"/>
                <c:pt idx="0">
                  <c:v>0.17380413143503393</c:v>
                </c:pt>
                <c:pt idx="1">
                  <c:v>1.0400644114162461</c:v>
                </c:pt>
                <c:pt idx="2">
                  <c:v>1.1713415025153684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5-8541-B4F6-52B355FC873F}"/>
            </c:ext>
          </c:extLst>
        </c:ser>
        <c:ser>
          <c:idx val="1"/>
          <c:order val="1"/>
          <c:tx>
            <c:v>Medium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PLOTS!$D$6:$D$10</c:f>
              <c:numCache>
                <c:formatCode>0.00</c:formatCode>
                <c:ptCount val="5"/>
                <c:pt idx="0">
                  <c:v>0.2342507626087364</c:v>
                </c:pt>
                <c:pt idx="1">
                  <c:v>1.3720255533543821</c:v>
                </c:pt>
                <c:pt idx="2">
                  <c:v>-0.54006012896784239</c:v>
                </c:pt>
                <c:pt idx="3">
                  <c:v>0.39352279341554691</c:v>
                </c:pt>
                <c:pt idx="4">
                  <c:v>1.7287361846770255</c:v>
                </c:pt>
              </c:numCache>
            </c:numRef>
          </c:xVal>
          <c:yVal>
            <c:numRef>
              <c:f>PLOTS!$H$6:$H$10</c:f>
              <c:numCache>
                <c:formatCode>0.00</c:formatCode>
                <c:ptCount val="5"/>
                <c:pt idx="0">
                  <c:v>1.2116055992001791</c:v>
                </c:pt>
                <c:pt idx="1">
                  <c:v>2.2858346961322678</c:v>
                </c:pt>
                <c:pt idx="2">
                  <c:v>-0.25792231776273122</c:v>
                </c:pt>
                <c:pt idx="3">
                  <c:v>0.70762765049419418</c:v>
                </c:pt>
                <c:pt idx="4">
                  <c:v>2.5742216368251265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5-8541-B4F6-52B355FC873F}"/>
            </c:ext>
          </c:extLst>
        </c:ser>
        <c:ser>
          <c:idx val="2"/>
          <c:order val="2"/>
          <c:tx>
            <c:v>Small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PLOTS!$D$11:$D$28</c:f>
              <c:numCache>
                <c:formatCode>0.00</c:formatCode>
                <c:ptCount val="18"/>
                <c:pt idx="0">
                  <c:v>-0.36854154027278119</c:v>
                </c:pt>
                <c:pt idx="1">
                  <c:v>0.85439525316924225</c:v>
                </c:pt>
                <c:pt idx="2">
                  <c:v>0.78414878587188586</c:v>
                </c:pt>
                <c:pt idx="3">
                  <c:v>-6.6328351652898687E-3</c:v>
                </c:pt>
                <c:pt idx="4">
                  <c:v>-6.1588632045765222E-2</c:v>
                </c:pt>
                <c:pt idx="5">
                  <c:v>1.6725142785313971</c:v>
                </c:pt>
                <c:pt idx="6">
                  <c:v>0.31114523825570367</c:v>
                </c:pt>
                <c:pt idx="7">
                  <c:v>0.39244476807753093</c:v>
                </c:pt>
                <c:pt idx="8">
                  <c:v>0.17689862830313974</c:v>
                </c:pt>
                <c:pt idx="9">
                  <c:v>-1.0458520614483018</c:v>
                </c:pt>
                <c:pt idx="10">
                  <c:v>0.25177745644570182</c:v>
                </c:pt>
                <c:pt idx="11">
                  <c:v>0.40175606447157791</c:v>
                </c:pt>
                <c:pt idx="12">
                  <c:v>0.44941796667034467</c:v>
                </c:pt>
                <c:pt idx="13">
                  <c:v>-0.13283133784926418</c:v>
                </c:pt>
                <c:pt idx="14">
                  <c:v>-6.8039729869746044E-4</c:v>
                </c:pt>
                <c:pt idx="15">
                  <c:v>0.21910517938839175</c:v>
                </c:pt>
                <c:pt idx="16">
                  <c:v>-0.73340345003252738</c:v>
                </c:pt>
                <c:pt idx="17">
                  <c:v>-0.1020678290769009</c:v>
                </c:pt>
              </c:numCache>
            </c:numRef>
          </c:xVal>
          <c:yVal>
            <c:numRef>
              <c:f>PLOTS!$H$11:$H$28</c:f>
              <c:numCache>
                <c:formatCode>0.00</c:formatCode>
                <c:ptCount val="18"/>
                <c:pt idx="0">
                  <c:v>-0.19760146590037689</c:v>
                </c:pt>
                <c:pt idx="1">
                  <c:v>1.7684280933879071</c:v>
                </c:pt>
                <c:pt idx="2">
                  <c:v>2.3273321176734951</c:v>
                </c:pt>
                <c:pt idx="3">
                  <c:v>-0.50569368824193017</c:v>
                </c:pt>
                <c:pt idx="4">
                  <c:v>0.5414645936243464</c:v>
                </c:pt>
                <c:pt idx="5">
                  <c:v>1.9521759029548957</c:v>
                </c:pt>
                <c:pt idx="6">
                  <c:v>-0.47732452945193926</c:v>
                </c:pt>
                <c:pt idx="7">
                  <c:v>0.4306441009244204</c:v>
                </c:pt>
                <c:pt idx="8">
                  <c:v>-0.1182775647805665</c:v>
                </c:pt>
                <c:pt idx="9">
                  <c:v>-1.1548250790036734</c:v>
                </c:pt>
                <c:pt idx="10">
                  <c:v>0.51175355347970797</c:v>
                </c:pt>
                <c:pt idx="11">
                  <c:v>-1.0249535333986781</c:v>
                </c:pt>
                <c:pt idx="12">
                  <c:v>0.57831715069016387</c:v>
                </c:pt>
                <c:pt idx="13">
                  <c:v>0.11570452188847165</c:v>
                </c:pt>
                <c:pt idx="14">
                  <c:v>-0.15364508919989164</c:v>
                </c:pt>
                <c:pt idx="15">
                  <c:v>0.26448644932104592</c:v>
                </c:pt>
                <c:pt idx="16">
                  <c:v>-0.17453174344480055</c:v>
                </c:pt>
                <c:pt idx="17">
                  <c:v>-0.26703812999407561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5-8541-B4F6-52B355FC873F}"/>
            </c:ext>
          </c:extLst>
        </c:ser>
        <c:ser>
          <c:idx val="3"/>
          <c:order val="3"/>
          <c:tx>
            <c:v>Tiny County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PLOTS!$D$29:$D$66</c:f>
              <c:numCache>
                <c:formatCode>0.00</c:formatCode>
                <c:ptCount val="38"/>
                <c:pt idx="0">
                  <c:v>0.2082699451068544</c:v>
                </c:pt>
                <c:pt idx="1">
                  <c:v>1.1309367368789456</c:v>
                </c:pt>
                <c:pt idx="2">
                  <c:v>-1.1683505087618162</c:v>
                </c:pt>
                <c:pt idx="3">
                  <c:v>-2.5936861729905063</c:v>
                </c:pt>
                <c:pt idx="4">
                  <c:v>-1.0086071280933033</c:v>
                </c:pt>
                <c:pt idx="5">
                  <c:v>-0.38888320800008069</c:v>
                </c:pt>
                <c:pt idx="6">
                  <c:v>-0.19739082477490844</c:v>
                </c:pt>
                <c:pt idx="7">
                  <c:v>0.49793751306339096</c:v>
                </c:pt>
                <c:pt idx="8">
                  <c:v>-1.1675216843184157</c:v>
                </c:pt>
                <c:pt idx="9">
                  <c:v>3.1262090659035104</c:v>
                </c:pt>
                <c:pt idx="10">
                  <c:v>1.0612484715904984</c:v>
                </c:pt>
                <c:pt idx="11">
                  <c:v>0.32206076566627945</c:v>
                </c:pt>
                <c:pt idx="12">
                  <c:v>0.25635886969757166</c:v>
                </c:pt>
                <c:pt idx="13">
                  <c:v>0.19207327062568494</c:v>
                </c:pt>
                <c:pt idx="14">
                  <c:v>-0.83710595751932004</c:v>
                </c:pt>
                <c:pt idx="15">
                  <c:v>0.85694737637044294</c:v>
                </c:pt>
                <c:pt idx="16">
                  <c:v>-1.400845416266348</c:v>
                </c:pt>
                <c:pt idx="17">
                  <c:v>-0.71049512432254669</c:v>
                </c:pt>
                <c:pt idx="18">
                  <c:v>-0.95909791560150381</c:v>
                </c:pt>
                <c:pt idx="19">
                  <c:v>-0.94342604993802504</c:v>
                </c:pt>
                <c:pt idx="20">
                  <c:v>-0.83433351023374724</c:v>
                </c:pt>
                <c:pt idx="21">
                  <c:v>-0.80370727433504963</c:v>
                </c:pt>
                <c:pt idx="22">
                  <c:v>2.2337512472202707</c:v>
                </c:pt>
                <c:pt idx="23">
                  <c:v>-0.62229477286947688</c:v>
                </c:pt>
                <c:pt idx="24">
                  <c:v>-0.8335297912599674</c:v>
                </c:pt>
                <c:pt idx="25">
                  <c:v>0.70412768336652298</c:v>
                </c:pt>
                <c:pt idx="26">
                  <c:v>0.25821865944516398</c:v>
                </c:pt>
                <c:pt idx="27">
                  <c:v>-0.72261897118556473</c:v>
                </c:pt>
                <c:pt idx="28">
                  <c:v>-1.0319962388384816</c:v>
                </c:pt>
                <c:pt idx="29">
                  <c:v>-0.58809272531991363</c:v>
                </c:pt>
                <c:pt idx="30">
                  <c:v>-0.15467460928441315</c:v>
                </c:pt>
                <c:pt idx="31">
                  <c:v>-0.81364072851098967</c:v>
                </c:pt>
                <c:pt idx="32">
                  <c:v>0.67969457547052525</c:v>
                </c:pt>
                <c:pt idx="33">
                  <c:v>2.8591778148265763</c:v>
                </c:pt>
                <c:pt idx="34">
                  <c:v>-0.65009284675620305</c:v>
                </c:pt>
                <c:pt idx="35">
                  <c:v>-1.3499362120066765</c:v>
                </c:pt>
                <c:pt idx="36">
                  <c:v>-0.22230219278134394</c:v>
                </c:pt>
                <c:pt idx="37">
                  <c:v>-0.48324601697522424</c:v>
                </c:pt>
              </c:numCache>
            </c:numRef>
          </c:xVal>
          <c:yVal>
            <c:numRef>
              <c:f>PLOTS!$H$29:$H$66</c:f>
              <c:numCache>
                <c:formatCode>0.00</c:formatCode>
                <c:ptCount val="38"/>
                <c:pt idx="0">
                  <c:v>-0.21165816751011737</c:v>
                </c:pt>
                <c:pt idx="1">
                  <c:v>0.44664490377943439</c:v>
                </c:pt>
                <c:pt idx="2">
                  <c:v>-1.1778852521245691</c:v>
                </c:pt>
                <c:pt idx="3">
                  <c:v>-0.77117453270468117</c:v>
                </c:pt>
                <c:pt idx="4">
                  <c:v>0.24761378524256447</c:v>
                </c:pt>
                <c:pt idx="5">
                  <c:v>0.14519413222722549</c:v>
                </c:pt>
                <c:pt idx="6">
                  <c:v>-7.9953623584404637E-2</c:v>
                </c:pt>
                <c:pt idx="7">
                  <c:v>-0.61006018530782691</c:v>
                </c:pt>
                <c:pt idx="8">
                  <c:v>-0.73294250438286346</c:v>
                </c:pt>
                <c:pt idx="9">
                  <c:v>1.8208707733188367</c:v>
                </c:pt>
                <c:pt idx="10">
                  <c:v>-0.29597244122830607</c:v>
                </c:pt>
                <c:pt idx="11">
                  <c:v>-0.62108798980519453</c:v>
                </c:pt>
                <c:pt idx="12">
                  <c:v>0.60502421147020835</c:v>
                </c:pt>
                <c:pt idx="13">
                  <c:v>0.89768669766349929</c:v>
                </c:pt>
                <c:pt idx="14">
                  <c:v>-0.35634033625290124</c:v>
                </c:pt>
                <c:pt idx="15">
                  <c:v>-0.81890459645472458</c:v>
                </c:pt>
                <c:pt idx="16">
                  <c:v>-0.9944391590548769</c:v>
                </c:pt>
                <c:pt idx="17">
                  <c:v>-0.74159626852217608</c:v>
                </c:pt>
                <c:pt idx="18">
                  <c:v>-1.1975016505495324</c:v>
                </c:pt>
                <c:pt idx="19">
                  <c:v>-9.6492712934525465E-2</c:v>
                </c:pt>
                <c:pt idx="20">
                  <c:v>-0.80702905421794413</c:v>
                </c:pt>
                <c:pt idx="21">
                  <c:v>-0.79822693916219967</c:v>
                </c:pt>
                <c:pt idx="22">
                  <c:v>1.6322266592219914</c:v>
                </c:pt>
                <c:pt idx="23">
                  <c:v>-0.99160219271674865</c:v>
                </c:pt>
                <c:pt idx="24">
                  <c:v>-1.2736289349535219</c:v>
                </c:pt>
                <c:pt idx="25">
                  <c:v>1.1002971405472886</c:v>
                </c:pt>
                <c:pt idx="26">
                  <c:v>-8.5532151665237825E-4</c:v>
                </c:pt>
                <c:pt idx="27">
                  <c:v>-1.1090742482535154</c:v>
                </c:pt>
                <c:pt idx="28">
                  <c:v>-0.49172399698896901</c:v>
                </c:pt>
                <c:pt idx="29">
                  <c:v>-1.1229013056701829</c:v>
                </c:pt>
                <c:pt idx="30">
                  <c:v>-1.0961714651878809</c:v>
                </c:pt>
                <c:pt idx="31">
                  <c:v>-0.82869446657480661</c:v>
                </c:pt>
                <c:pt idx="32">
                  <c:v>0.96448651962366316</c:v>
                </c:pt>
                <c:pt idx="33">
                  <c:v>4.2594485906325134E-2</c:v>
                </c:pt>
                <c:pt idx="34">
                  <c:v>-0.25996023807866719</c:v>
                </c:pt>
                <c:pt idx="35">
                  <c:v>-1.3519181877933655</c:v>
                </c:pt>
                <c:pt idx="36">
                  <c:v>-1.058394918195422</c:v>
                </c:pt>
                <c:pt idx="37">
                  <c:v>-1.3294415900587431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5-8541-B4F6-52B355FC8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293151"/>
        <c:axId val="526262432"/>
      </c:scatterChart>
      <c:valAx>
        <c:axId val="821293151"/>
        <c:scaling>
          <c:orientation val="minMax"/>
          <c:min val="-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Deviations</a:t>
                </a:r>
                <a:r>
                  <a:rPr lang="en-US" baseline="0"/>
                  <a:t> from Mean Population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8073171319455296"/>
              <c:y val="0.942884425467263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62432"/>
        <c:crosses val="autoZero"/>
        <c:crossBetween val="midCat"/>
      </c:valAx>
      <c:valAx>
        <c:axId val="526262432"/>
        <c:scaling>
          <c:orientation val="minMax"/>
          <c:min val="-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Standard Deviations from Mean Housing Units</a:t>
                </a:r>
              </a:p>
            </c:rich>
          </c:tx>
          <c:layout>
            <c:manualLayout>
              <c:xMode val="edge"/>
              <c:yMode val="edge"/>
              <c:x val="6.5956976523886606E-3"/>
              <c:y val="0.3458716505327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93151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2409</xdr:colOff>
      <xdr:row>147</xdr:row>
      <xdr:rowOff>197341</xdr:rowOff>
    </xdr:from>
    <xdr:to>
      <xdr:col>69</xdr:col>
      <xdr:colOff>759671</xdr:colOff>
      <xdr:row>161</xdr:row>
      <xdr:rowOff>49158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B9C8C-4C20-9EE8-2CC4-2FF77F053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563028</xdr:colOff>
      <xdr:row>5</xdr:row>
      <xdr:rowOff>121782</xdr:rowOff>
    </xdr:from>
    <xdr:to>
      <xdr:col>27</xdr:col>
      <xdr:colOff>358959</xdr:colOff>
      <xdr:row>18</xdr:row>
      <xdr:rowOff>178973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CEA079-47DC-EAAF-AC6B-475161EB7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26</xdr:col>
      <xdr:colOff>748431</xdr:colOff>
      <xdr:row>35</xdr:row>
      <xdr:rowOff>57191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7250E9-8F28-7948-BFB7-958ACDCF4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23020</xdr:colOff>
      <xdr:row>11</xdr:row>
      <xdr:rowOff>50800</xdr:rowOff>
    </xdr:from>
    <xdr:to>
      <xdr:col>19</xdr:col>
      <xdr:colOff>371041</xdr:colOff>
      <xdr:row>54</xdr:row>
      <xdr:rowOff>163120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12D95C-0AD4-1568-E800-E58A8470B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0.36993</cdr:x>
      <cdr:y>0.33858</cdr:y>
    </cdr:from>
    <cdr:to>
      <cdr:x>0.64197</cdr:x>
      <cdr:y>0.60764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F89DF21-CA94-DF46-D2CB-865F8B52F257}"/>
            </a:ext>
          </a:extLst>
        </cdr:cNvPr>
        <cdr:cNvSpPr/>
      </cdr:nvSpPr>
      <cdr:spPr>
        <a:xfrm xmlns:a="http://schemas.openxmlformats.org/drawingml/2006/main">
          <a:off x="3556489" y="3144322"/>
          <a:ext cx="2615377" cy="24987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chemeClr val="tx1"/>
          </a:solidFill>
          <a:prstDash val="dashDot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0.23542</cdr:x>
      <cdr:y>0.20785</cdr:y>
    </cdr:from>
    <cdr:to>
      <cdr:x>0.77609</cdr:x>
      <cdr:y>0.74261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9751DE8-2D08-5993-A448-333CC879FACB}"/>
            </a:ext>
          </a:extLst>
        </cdr:cNvPr>
        <cdr:cNvSpPr>
          <a:spLocks xmlns:a="http://schemas.openxmlformats.org/drawingml/2006/main" noChangeAspect="1"/>
        </cdr:cNvSpPr>
      </cdr:nvSpPr>
      <cdr:spPr>
        <a:xfrm xmlns:a="http://schemas.openxmlformats.org/drawingml/2006/main">
          <a:off x="2259335" y="1997379"/>
          <a:ext cx="5188795" cy="51389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8575">
          <a:solidFill>
            <a:schemeClr val="tx1"/>
          </a:solidFill>
          <a:prstDash val="dashDot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0.03616</cdr:x>
      <cdr:y>0.01752</cdr:y>
    </cdr:from>
    <cdr:to>
      <cdr:x>0.1711</cdr:x>
      <cdr:y>0.14925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5936D06E-9369-19C8-937E-578981EB7E3B}"/>
            </a:ext>
          </a:extLst>
        </cdr:cNvPr>
        <cdr:cNvSpPr txBox="1"/>
      </cdr:nvSpPr>
      <cdr:spPr>
        <a:xfrm xmlns:a="http://schemas.openxmlformats.org/drawingml/2006/main">
          <a:off x="347991" y="163245"/>
          <a:ext cx="1298539" cy="1227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600" b="1">
              <a:latin typeface="Helvetica" pitchFamily="2" charset="0"/>
            </a:rPr>
            <a:t>1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30.507623726851" createdVersion="8" refreshedVersion="8" minRefreshableVersion="3" recordCount="845" xr:uid="{506FF3D3-4F4A-FD40-8B65-89455C5EA4A4}">
  <cacheSource type="worksheet">
    <worksheetSource ref="A1:AA846" sheet="COMB_RAW_DATA"/>
  </cacheSource>
  <cacheFields count="27">
    <cacheField name="County FIPS" numFmtId="0">
      <sharedItems containsSemiMixedTypes="0" containsString="0" containsNumber="1" containsInteger="1" minValue="0" maxValue="125"/>
    </cacheField>
    <cacheField name="Region" numFmtId="0">
      <sharedItems containsSemiMixedTypes="0" containsString="0" containsNumber="1" containsInteger="1" minValue="0" maxValue="14" count="15">
        <n v="3"/>
        <n v="8"/>
        <n v="9"/>
        <n v="6"/>
        <n v="13"/>
        <n v="5"/>
        <n v="0"/>
        <n v="10"/>
        <n v="12"/>
        <n v="4"/>
        <n v="11"/>
        <n v="14"/>
        <n v="2"/>
        <n v="1"/>
        <n v="7"/>
      </sharedItems>
    </cacheField>
    <cacheField name="County" numFmtId="0">
      <sharedItems count="65">
        <s v="Adams County"/>
        <s v="Alamosa County"/>
        <s v="Arapahoe County"/>
        <s v="Archuleta County"/>
        <s v="Baca County"/>
        <s v="Bent County"/>
        <s v="Boulder County"/>
        <s v="Broomfield County"/>
        <s v="Chaffee County"/>
        <s v="Cheyenne County"/>
        <s v="Clear Creek County"/>
        <s v="Colorado State"/>
        <s v="Conejos County"/>
        <s v="Costilla County"/>
        <s v="Crowley County"/>
        <s v="Custer County"/>
        <s v="Delta County"/>
        <s v="Denver County"/>
        <s v="Dolores County"/>
        <s v="Douglas County"/>
        <s v="Eagle County"/>
        <s v="El Paso County"/>
        <s v="Elbert County"/>
        <s v="Fremont County"/>
        <s v="Garfield County"/>
        <s v="Gilpin County"/>
        <s v="Grand County"/>
        <s v="Gunnison County"/>
        <s v="Hinsdale County"/>
        <s v="Huerfano County"/>
        <s v="Jackson County"/>
        <s v="Jefferson County"/>
        <s v="Kiowa County"/>
        <s v="Kit Carson County"/>
        <s v="La Plata County"/>
        <s v="Lake County"/>
        <s v="Larimer County"/>
        <s v="Las Animas County"/>
        <s v="Lincoln County"/>
        <s v="Logan County"/>
        <s v="Mesa County"/>
        <s v="Mineral County"/>
        <s v="Moffat County"/>
        <s v="Montezuma County"/>
        <s v="Montrose County"/>
        <s v="Morgan County"/>
        <s v="Otero County"/>
        <s v="Ouray County"/>
        <s v="Park County"/>
        <s v="Phillips County"/>
        <s v="Pitkin County"/>
        <s v="Prowers County"/>
        <s v="Pueblo County"/>
        <s v="Rio Blanco County"/>
        <s v="Rio Grande County"/>
        <s v="Routt County"/>
        <s v="Saguache County"/>
        <s v="San Juan County"/>
        <s v="San Miguel County"/>
        <s v="Sedgwick County"/>
        <s v="Summit County"/>
        <s v="Teller County"/>
        <s v="Washington County"/>
        <s v="Weld County"/>
        <s v="Yuma County"/>
      </sharedItems>
    </cacheField>
    <cacheField name="Year" numFmtId="0">
      <sharedItems containsSemiMixedTypes="0" containsString="0" containsNumber="1" containsInteger="1" minValue="2010" maxValue="2022" count="13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Total Population" numFmtId="0">
      <sharedItems containsSemiMixedTypes="0" containsString="0" containsNumber="1" containsInteger="1" minValue="696" maxValue="5838736"/>
    </cacheField>
    <cacheField name="Household Population" numFmtId="0">
      <sharedItems containsSemiMixedTypes="0" containsString="0" containsNumber="1" containsInteger="1" minValue="696" maxValue="5715606"/>
    </cacheField>
    <cacheField name="Group Quarters Population" numFmtId="0">
      <sharedItems containsSemiMixedTypes="0" containsString="0" containsNumber="1" containsInteger="1" minValue="0" maxValue="128333"/>
    </cacheField>
    <cacheField name="Household Size" numFmtId="0">
      <sharedItems containsString="0" containsBlank="1" containsNumber="1" minValue="1.92" maxValue="3.04"/>
    </cacheField>
    <cacheField name="Total Housing Units" numFmtId="0">
      <sharedItems containsSemiMixedTypes="0" containsString="0" containsNumber="1" containsInteger="1" minValue="720" maxValue="2598686"/>
    </cacheField>
    <cacheField name="Occupied Housing Units" numFmtId="0">
      <sharedItems containsString="0" containsBlank="1" containsNumber="1" containsInteger="1" minValue="312" maxValue="2242111"/>
    </cacheField>
    <cacheField name="Vacant Housing Units" numFmtId="0">
      <sharedItems containsString="0" containsBlank="1" containsNumber="1" containsInteger="1" minValue="85" maxValue="233763"/>
    </cacheField>
    <cacheField name="Vacancy Percent" numFmtId="0">
      <sharedItems containsString="0" containsBlank="1" containsNumber="1" minValue="0.74" maxValue="73.55"/>
    </cacheField>
    <cacheField name="Household Population to Total Housing Units Ratio" numFmtId="0">
      <sharedItems containsSemiMixedTypes="0" containsString="0" containsNumber="1" minValue="0.57363770300000005" maxValue="2.8486986440000002"/>
    </cacheField>
    <cacheField name="Density (pers/sq mi)" numFmtId="0">
      <sharedItems containsSemiMixedTypes="0" containsString="0" containsNumber="1" minValue="0.69257132683491351" maxValue="4609.6942053192861"/>
    </cacheField>
    <cacheField name="totalpopulation" numFmtId="0">
      <sharedItems containsString="0" containsBlank="1" containsNumber="1" containsInteger="1" minValue="711" maxValue="5838736"/>
    </cacheField>
    <cacheField name="births" numFmtId="0">
      <sharedItems containsString="0" containsBlank="1" containsNumber="1" containsInteger="1" minValue="2" maxValue="62809"/>
    </cacheField>
    <cacheField name="naturalincrease" numFmtId="0">
      <sharedItems containsString="0" containsBlank="1" containsNumber="1" containsInteger="1" minValue="-896" maxValue="20660"/>
    </cacheField>
    <cacheField name="netmigration" numFmtId="0">
      <sharedItems containsString="0" containsBlank="1" containsNumber="1" containsInteger="1" minValue="-9562" maxValue="29011"/>
    </cacheField>
    <cacheField name="deaths" numFmtId="0">
      <sharedItems containsString="0" containsBlank="1" containsNumber="1" containsInteger="1" minValue="5" maxValue="49681"/>
    </cacheField>
    <cacheField name="totalhousingunits" numFmtId="0">
      <sharedItems containsString="0" containsBlank="1" containsNumber="1" containsInteger="1" minValue="737" maxValue="2598686"/>
    </cacheField>
    <cacheField name="households" numFmtId="0">
      <sharedItems containsNonDate="0" containsString="0" containsBlank="1" count="1">
        <m/>
      </sharedItems>
    </cacheField>
    <cacheField name="householdsize" numFmtId="0">
      <sharedItems containsNonDate="0" containsString="0" containsBlank="1"/>
    </cacheField>
    <cacheField name="householdpopulation" numFmtId="0">
      <sharedItems containsString="0" containsBlank="1" containsNumber="1" containsInteger="1" minValue="711" maxValue="5715606"/>
    </cacheField>
    <cacheField name="censusbuildingpermits" numFmtId="0">
      <sharedItems containsString="0" containsBlank="1" containsNumber="1" containsInteger="1" minValue="0" maxValue="56524"/>
    </cacheField>
    <cacheField name="vacancyrate" numFmtId="0">
      <sharedItems containsNonDate="0" containsString="0" containsBlank="1" count="1">
        <m/>
      </sharedItems>
    </cacheField>
    <cacheField name="vacanthousingunits" numFmtId="0">
      <sharedItems containsNonDate="0" containsString="0" containsBlank="1" count="1">
        <m/>
      </sharedItems>
    </cacheField>
    <cacheField name="hhldpoptothuratio" numFmtId="0">
      <sharedItems containsString="0" containsBlank="1" containsNumber="1" minValue="0.57363770300000005" maxValue="2.754885524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5">
  <r>
    <n v="1"/>
    <x v="0"/>
    <x v="0"/>
    <x v="0"/>
    <n v="443711"/>
    <n v="439684"/>
    <n v="4027"/>
    <n v="2.85"/>
    <n v="163435"/>
    <n v="154505"/>
    <n v="8930"/>
    <n v="5.46"/>
    <n v="2.6902683019999998"/>
    <n v="375.29793874599295"/>
    <m/>
    <m/>
    <m/>
    <m/>
    <m/>
    <m/>
    <x v="0"/>
    <m/>
    <m/>
    <m/>
    <x v="0"/>
    <x v="0"/>
    <m/>
  </r>
  <r>
    <n v="1"/>
    <x v="0"/>
    <x v="0"/>
    <x v="1"/>
    <n v="452181"/>
    <n v="448120"/>
    <n v="4061"/>
    <n v="2.85"/>
    <n v="164593"/>
    <n v="157248"/>
    <n v="7345"/>
    <n v="4.46"/>
    <n v="2.722594521"/>
    <n v="382.46200170854866"/>
    <m/>
    <m/>
    <m/>
    <m/>
    <m/>
    <m/>
    <x v="0"/>
    <m/>
    <m/>
    <m/>
    <x v="0"/>
    <x v="0"/>
    <m/>
  </r>
  <r>
    <n v="1"/>
    <x v="0"/>
    <x v="0"/>
    <x v="2"/>
    <n v="460468"/>
    <n v="456411"/>
    <n v="4057"/>
    <n v="2.85"/>
    <n v="165858"/>
    <n v="159932"/>
    <n v="5926"/>
    <n v="3.57"/>
    <n v="2.7518178199999999"/>
    <n v="389.47128031193699"/>
    <m/>
    <m/>
    <m/>
    <m/>
    <m/>
    <m/>
    <x v="0"/>
    <m/>
    <m/>
    <m/>
    <x v="0"/>
    <x v="0"/>
    <m/>
  </r>
  <r>
    <n v="1"/>
    <x v="0"/>
    <x v="0"/>
    <x v="3"/>
    <n v="469878"/>
    <n v="465792"/>
    <n v="4086"/>
    <n v="2.86"/>
    <n v="167459"/>
    <n v="162991"/>
    <n v="4468"/>
    <n v="2.67"/>
    <n v="2.7815286129999999"/>
    <n v="397.43041047458746"/>
    <m/>
    <m/>
    <m/>
    <m/>
    <m/>
    <m/>
    <x v="0"/>
    <m/>
    <m/>
    <m/>
    <x v="0"/>
    <x v="0"/>
    <m/>
  </r>
  <r>
    <n v="1"/>
    <x v="0"/>
    <x v="0"/>
    <x v="4"/>
    <n v="479901"/>
    <n v="475690"/>
    <n v="4211"/>
    <n v="2.86"/>
    <n v="169377"/>
    <n v="166221"/>
    <n v="3156"/>
    <n v="1.86"/>
    <n v="2.808468682"/>
    <n v="405.90802594964009"/>
    <m/>
    <m/>
    <m/>
    <m/>
    <m/>
    <m/>
    <x v="0"/>
    <m/>
    <m/>
    <m/>
    <x v="0"/>
    <x v="0"/>
    <m/>
  </r>
  <r>
    <n v="1"/>
    <x v="0"/>
    <x v="0"/>
    <x v="5"/>
    <n v="490351"/>
    <n v="486126"/>
    <n v="4225"/>
    <n v="2.87"/>
    <n v="171361"/>
    <n v="169630"/>
    <n v="1731"/>
    <n v="1.01"/>
    <n v="2.8368531930000001"/>
    <n v="414.74680492941667"/>
    <m/>
    <m/>
    <m/>
    <m/>
    <m/>
    <m/>
    <x v="0"/>
    <m/>
    <m/>
    <m/>
    <x v="0"/>
    <x v="0"/>
    <m/>
  </r>
  <r>
    <n v="1"/>
    <x v="0"/>
    <x v="0"/>
    <x v="6"/>
    <n v="497822"/>
    <n v="493406"/>
    <n v="4416"/>
    <n v="2.87"/>
    <n v="173204"/>
    <n v="171930"/>
    <n v="1274"/>
    <n v="0.74"/>
    <n v="2.8486986440000002"/>
    <n v="421.06589753782913"/>
    <m/>
    <m/>
    <m/>
    <m/>
    <m/>
    <m/>
    <x v="0"/>
    <m/>
    <m/>
    <m/>
    <x v="0"/>
    <x v="0"/>
    <m/>
  </r>
  <r>
    <n v="1"/>
    <x v="0"/>
    <x v="0"/>
    <x v="7"/>
    <n v="503706"/>
    <n v="499300"/>
    <n v="4406"/>
    <n v="2.87"/>
    <n v="176439"/>
    <n v="173741"/>
    <n v="2698"/>
    <n v="1.53"/>
    <n v="2.829873214"/>
    <n v="426.04267988395401"/>
    <m/>
    <m/>
    <m/>
    <m/>
    <m/>
    <m/>
    <x v="0"/>
    <m/>
    <m/>
    <m/>
    <x v="0"/>
    <x v="0"/>
    <m/>
  </r>
  <r>
    <n v="1"/>
    <x v="0"/>
    <x v="0"/>
    <x v="8"/>
    <n v="511422"/>
    <n v="506996"/>
    <n v="4426"/>
    <n v="2.88"/>
    <n v="180056"/>
    <n v="176173"/>
    <n v="3883"/>
    <n v="2.16"/>
    <n v="2.8157684280000002"/>
    <n v="432.56899745409333"/>
    <m/>
    <m/>
    <m/>
    <m/>
    <m/>
    <m/>
    <x v="0"/>
    <m/>
    <m/>
    <m/>
    <x v="0"/>
    <x v="0"/>
    <m/>
  </r>
  <r>
    <n v="1"/>
    <x v="0"/>
    <x v="0"/>
    <x v="9"/>
    <n v="516482"/>
    <n v="512038"/>
    <n v="4444"/>
    <n v="2.88"/>
    <n v="183751"/>
    <n v="177677"/>
    <n v="6074"/>
    <n v="3.31"/>
    <n v="2.7865861949999999"/>
    <n v="436.8488272758799"/>
    <m/>
    <m/>
    <m/>
    <m/>
    <m/>
    <m/>
    <x v="0"/>
    <m/>
    <m/>
    <m/>
    <x v="0"/>
    <x v="0"/>
    <m/>
  </r>
  <r>
    <n v="1"/>
    <x v="0"/>
    <x v="0"/>
    <x v="10"/>
    <n v="520433"/>
    <n v="515957"/>
    <n v="4476"/>
    <m/>
    <n v="187288"/>
    <m/>
    <m/>
    <m/>
    <n v="2.7548855240000001"/>
    <n v="440.1906469647887"/>
    <n v="520433"/>
    <n v="6805"/>
    <n v="3403"/>
    <n v="548"/>
    <n v="3402"/>
    <n v="187288"/>
    <x v="0"/>
    <m/>
    <n v="515957"/>
    <n v="4027"/>
    <x v="0"/>
    <x v="0"/>
    <n v="2.7548855240000001"/>
  </r>
  <r>
    <n v="1"/>
    <x v="0"/>
    <x v="0"/>
    <x v="11"/>
    <n v="523417"/>
    <n v="518896"/>
    <n v="4521"/>
    <m/>
    <n v="191198"/>
    <m/>
    <m/>
    <m/>
    <n v="2.7139196019999998"/>
    <n v="442.71456241700429"/>
    <n v="523417"/>
    <n v="6644"/>
    <n v="2686"/>
    <n v="298"/>
    <n v="3958"/>
    <n v="191198"/>
    <x v="0"/>
    <m/>
    <n v="518896"/>
    <n v="4687"/>
    <x v="0"/>
    <x v="0"/>
    <n v="2.7139196019999998"/>
  </r>
  <r>
    <n v="1"/>
    <x v="0"/>
    <x v="0"/>
    <x v="12"/>
    <n v="527501"/>
    <n v="522937"/>
    <n v="4564"/>
    <m/>
    <n v="196741"/>
    <m/>
    <m/>
    <m/>
    <n v="2.6579970620000002"/>
    <n v="446.16887565656481"/>
    <n v="527501"/>
    <n v="6838"/>
    <n v="2544"/>
    <n v="1540"/>
    <n v="4294"/>
    <n v="196741"/>
    <x v="0"/>
    <m/>
    <n v="522937"/>
    <n v="2811"/>
    <x v="0"/>
    <x v="0"/>
    <n v="2.6579970620000002"/>
  </r>
  <r>
    <n v="3"/>
    <x v="1"/>
    <x v="1"/>
    <x v="0"/>
    <n v="15474"/>
    <n v="14734"/>
    <n v="740"/>
    <n v="2.4500000000000002"/>
    <n v="6561"/>
    <n v="6007"/>
    <n v="554"/>
    <n v="8.44"/>
    <n v="2.245694254"/>
    <n v="21.396274940888539"/>
    <m/>
    <m/>
    <m/>
    <m/>
    <m/>
    <m/>
    <x v="0"/>
    <m/>
    <m/>
    <m/>
    <x v="0"/>
    <x v="0"/>
    <m/>
  </r>
  <r>
    <n v="3"/>
    <x v="1"/>
    <x v="1"/>
    <x v="1"/>
    <n v="15528"/>
    <n v="14788"/>
    <n v="740"/>
    <n v="2.4500000000000002"/>
    <n v="6591"/>
    <n v="6037"/>
    <n v="554"/>
    <n v="8.41"/>
    <n v="2.2436656049999999"/>
    <n v="21.470942050026963"/>
    <m/>
    <m/>
    <m/>
    <m/>
    <m/>
    <m/>
    <x v="0"/>
    <m/>
    <m/>
    <m/>
    <x v="0"/>
    <x v="0"/>
    <m/>
  </r>
  <r>
    <n v="3"/>
    <x v="1"/>
    <x v="1"/>
    <x v="2"/>
    <n v="15604"/>
    <n v="14864"/>
    <n v="740"/>
    <n v="2.4500000000000002"/>
    <n v="6636"/>
    <n v="6075"/>
    <n v="561"/>
    <n v="8.4499999999999993"/>
    <n v="2.2399035559999998"/>
    <n v="21.576029092518077"/>
    <m/>
    <m/>
    <m/>
    <m/>
    <m/>
    <m/>
    <x v="0"/>
    <m/>
    <m/>
    <m/>
    <x v="0"/>
    <x v="0"/>
    <m/>
  </r>
  <r>
    <n v="3"/>
    <x v="1"/>
    <x v="1"/>
    <x v="3"/>
    <n v="15709"/>
    <n v="14969"/>
    <n v="740"/>
    <n v="2.44"/>
    <n v="6700"/>
    <n v="6126"/>
    <n v="574"/>
    <n v="8.57"/>
    <n v="2.2341791039999999"/>
    <n v="21.721215138065016"/>
    <m/>
    <m/>
    <m/>
    <m/>
    <m/>
    <m/>
    <x v="0"/>
    <m/>
    <m/>
    <m/>
    <x v="0"/>
    <x v="0"/>
    <m/>
  </r>
  <r>
    <n v="3"/>
    <x v="1"/>
    <x v="1"/>
    <x v="4"/>
    <n v="15788"/>
    <n v="14923"/>
    <n v="865"/>
    <n v="2.44"/>
    <n v="6747"/>
    <n v="6115"/>
    <n v="632"/>
    <n v="9.3699999999999992"/>
    <n v="2.2117978360000001"/>
    <n v="21.830450353286043"/>
    <m/>
    <m/>
    <m/>
    <m/>
    <m/>
    <m/>
    <x v="0"/>
    <m/>
    <m/>
    <m/>
    <x v="0"/>
    <x v="0"/>
    <m/>
  </r>
  <r>
    <n v="3"/>
    <x v="1"/>
    <x v="1"/>
    <x v="5"/>
    <n v="15885"/>
    <n v="15020"/>
    <n v="865"/>
    <n v="2.44"/>
    <n v="6807"/>
    <n v="6163"/>
    <n v="644"/>
    <n v="9.4600000000000009"/>
    <n v="2.2065520790000002"/>
    <n v="21.964574604886547"/>
    <m/>
    <m/>
    <m/>
    <m/>
    <m/>
    <m/>
    <x v="0"/>
    <m/>
    <m/>
    <m/>
    <x v="0"/>
    <x v="0"/>
    <m/>
  </r>
  <r>
    <n v="3"/>
    <x v="1"/>
    <x v="1"/>
    <x v="6"/>
    <n v="15936"/>
    <n v="15071"/>
    <n v="865"/>
    <n v="2.4300000000000002"/>
    <n v="6835"/>
    <n v="6192"/>
    <n v="643"/>
    <n v="9.41"/>
    <n v="2.2049743959999999"/>
    <n v="22.035093541295058"/>
    <m/>
    <m/>
    <m/>
    <m/>
    <m/>
    <m/>
    <x v="0"/>
    <m/>
    <m/>
    <m/>
    <x v="0"/>
    <x v="0"/>
    <m/>
  </r>
  <r>
    <n v="3"/>
    <x v="1"/>
    <x v="1"/>
    <x v="7"/>
    <n v="16053"/>
    <n v="15188"/>
    <n v="865"/>
    <n v="2.4300000000000002"/>
    <n v="6908"/>
    <n v="6247"/>
    <n v="661"/>
    <n v="9.57"/>
    <n v="2.198610307"/>
    <n v="22.196872277761646"/>
    <m/>
    <m/>
    <m/>
    <m/>
    <m/>
    <m/>
    <x v="0"/>
    <m/>
    <m/>
    <m/>
    <x v="0"/>
    <x v="0"/>
    <m/>
  </r>
  <r>
    <n v="3"/>
    <x v="1"/>
    <x v="1"/>
    <x v="8"/>
    <n v="16184"/>
    <n v="15319"/>
    <n v="865"/>
    <n v="2.4300000000000002"/>
    <n v="6990"/>
    <n v="6310"/>
    <n v="680"/>
    <n v="9.73"/>
    <n v="2.1915593709999999"/>
    <n v="22.378009153634491"/>
    <m/>
    <m/>
    <m/>
    <m/>
    <m/>
    <m/>
    <x v="0"/>
    <m/>
    <m/>
    <m/>
    <x v="0"/>
    <x v="0"/>
    <m/>
  </r>
  <r>
    <n v="3"/>
    <x v="1"/>
    <x v="1"/>
    <x v="9"/>
    <n v="16247"/>
    <n v="15382"/>
    <n v="865"/>
    <n v="2.4300000000000002"/>
    <n v="7026"/>
    <n v="6343"/>
    <n v="683"/>
    <n v="9.7200000000000006"/>
    <n v="2.1892968970000002"/>
    <n v="22.46512078096265"/>
    <m/>
    <m/>
    <m/>
    <m/>
    <m/>
    <m/>
    <x v="0"/>
    <m/>
    <m/>
    <m/>
    <x v="0"/>
    <x v="0"/>
    <m/>
  </r>
  <r>
    <n v="3"/>
    <x v="1"/>
    <x v="1"/>
    <x v="10"/>
    <n v="16371"/>
    <n v="15411"/>
    <n v="960"/>
    <m/>
    <n v="7072"/>
    <m/>
    <m/>
    <m/>
    <n v="2.1791572399999999"/>
    <n v="22.636578587132366"/>
    <n v="16371"/>
    <n v="187"/>
    <n v="28"/>
    <n v="96"/>
    <n v="159"/>
    <n v="7072"/>
    <x v="0"/>
    <m/>
    <n v="15411"/>
    <n v="62"/>
    <x v="0"/>
    <x v="0"/>
    <n v="2.1791572399999999"/>
  </r>
  <r>
    <n v="3"/>
    <x v="1"/>
    <x v="1"/>
    <x v="11"/>
    <n v="16574"/>
    <n v="15590"/>
    <n v="984"/>
    <m/>
    <n v="7137"/>
    <m/>
    <m/>
    <m/>
    <n v="2.1843912009999999"/>
    <n v="22.917271608523112"/>
    <n v="16574"/>
    <n v="188"/>
    <n v="26"/>
    <n v="177"/>
    <n v="162"/>
    <n v="7137"/>
    <x v="0"/>
    <m/>
    <n v="15590"/>
    <n v="109"/>
    <x v="0"/>
    <x v="0"/>
    <n v="2.1843912009999999"/>
  </r>
  <r>
    <n v="3"/>
    <x v="1"/>
    <x v="1"/>
    <x v="12"/>
    <n v="16575"/>
    <n v="15609"/>
    <n v="966"/>
    <m/>
    <n v="7250"/>
    <m/>
    <m/>
    <m/>
    <n v="2.1529655170000002"/>
    <n v="22.918654332766415"/>
    <n v="16575"/>
    <n v="196"/>
    <n v="-11"/>
    <n v="12"/>
    <n v="207"/>
    <n v="7250"/>
    <x v="0"/>
    <m/>
    <n v="15609"/>
    <n v="102"/>
    <x v="0"/>
    <x v="0"/>
    <n v="2.1529655170000002"/>
  </r>
  <r>
    <n v="5"/>
    <x v="0"/>
    <x v="2"/>
    <x v="0"/>
    <n v="574819"/>
    <n v="569899"/>
    <n v="4920"/>
    <n v="2.5299999999999998"/>
    <n v="239171"/>
    <n v="225108"/>
    <n v="14063"/>
    <n v="5.88"/>
    <n v="2.382809789"/>
    <n v="714.58460237938368"/>
    <m/>
    <m/>
    <m/>
    <m/>
    <m/>
    <m/>
    <x v="0"/>
    <m/>
    <m/>
    <m/>
    <x v="0"/>
    <x v="0"/>
    <m/>
  </r>
  <r>
    <n v="5"/>
    <x v="0"/>
    <x v="2"/>
    <x v="1"/>
    <n v="585817"/>
    <n v="580907"/>
    <n v="4910"/>
    <n v="2.54"/>
    <n v="240616"/>
    <n v="228868"/>
    <n v="11748"/>
    <n v="4.88"/>
    <n v="2.4142492600000001"/>
    <n v="728.25673474969233"/>
    <m/>
    <m/>
    <m/>
    <m/>
    <m/>
    <m/>
    <x v="0"/>
    <m/>
    <m/>
    <m/>
    <x v="0"/>
    <x v="0"/>
    <m/>
  </r>
  <r>
    <n v="5"/>
    <x v="0"/>
    <x v="2"/>
    <x v="2"/>
    <n v="596228"/>
    <n v="591240"/>
    <n v="4988"/>
    <n v="2.54"/>
    <n v="241137"/>
    <n v="232344"/>
    <n v="8793"/>
    <n v="3.65"/>
    <n v="2.4518841990000002"/>
    <n v="741.19913974217127"/>
    <m/>
    <m/>
    <m/>
    <m/>
    <m/>
    <m/>
    <x v="0"/>
    <m/>
    <m/>
    <m/>
    <x v="0"/>
    <x v="0"/>
    <m/>
  </r>
  <r>
    <n v="5"/>
    <x v="0"/>
    <x v="2"/>
    <x v="3"/>
    <n v="607861"/>
    <n v="602977"/>
    <n v="4884"/>
    <n v="2.5499999999999998"/>
    <n v="242604"/>
    <n v="236352"/>
    <n v="6252"/>
    <n v="2.58"/>
    <n v="2.4854371730000002"/>
    <n v="755.66067055357348"/>
    <m/>
    <m/>
    <m/>
    <m/>
    <m/>
    <m/>
    <x v="0"/>
    <m/>
    <m/>
    <m/>
    <x v="0"/>
    <x v="0"/>
    <m/>
  </r>
  <r>
    <n v="5"/>
    <x v="0"/>
    <x v="2"/>
    <x v="4"/>
    <n v="618310"/>
    <n v="613335"/>
    <n v="4975"/>
    <n v="2.56"/>
    <n v="245659"/>
    <n v="239801"/>
    <n v="5858"/>
    <n v="2.38"/>
    <n v="2.49669257"/>
    <n v="768.65031513780286"/>
    <m/>
    <m/>
    <m/>
    <m/>
    <m/>
    <m/>
    <x v="0"/>
    <m/>
    <m/>
    <m/>
    <x v="0"/>
    <x v="0"/>
    <m/>
  </r>
  <r>
    <n v="5"/>
    <x v="0"/>
    <x v="2"/>
    <x v="5"/>
    <n v="629965"/>
    <n v="625080"/>
    <n v="4885"/>
    <n v="2.56"/>
    <n v="247801"/>
    <n v="243773"/>
    <n v="4028"/>
    <n v="1.63"/>
    <n v="2.5225079799999999"/>
    <n v="783.13919518653427"/>
    <m/>
    <m/>
    <m/>
    <m/>
    <m/>
    <m/>
    <x v="0"/>
    <m/>
    <m/>
    <m/>
    <x v="0"/>
    <x v="0"/>
    <m/>
  </r>
  <r>
    <n v="5"/>
    <x v="0"/>
    <x v="2"/>
    <x v="6"/>
    <n v="637656"/>
    <n v="632707"/>
    <n v="4949"/>
    <n v="2.57"/>
    <n v="249881"/>
    <n v="246123"/>
    <n v="3758"/>
    <n v="1.5"/>
    <n v="2.5320332479999998"/>
    <n v="792.70023992740028"/>
    <m/>
    <m/>
    <m/>
    <m/>
    <m/>
    <m/>
    <x v="0"/>
    <m/>
    <m/>
    <m/>
    <x v="0"/>
    <x v="0"/>
    <m/>
  </r>
  <r>
    <n v="5"/>
    <x v="0"/>
    <x v="2"/>
    <x v="7"/>
    <n v="642976"/>
    <n v="637915"/>
    <n v="5061"/>
    <n v="2.58"/>
    <n v="254352"/>
    <n v="247523"/>
    <n v="6829"/>
    <n v="2.68"/>
    <n v="2.5080007229999999"/>
    <n v="799.31378277246677"/>
    <m/>
    <m/>
    <m/>
    <m/>
    <m/>
    <m/>
    <x v="0"/>
    <m/>
    <m/>
    <m/>
    <x v="0"/>
    <x v="0"/>
    <m/>
  </r>
  <r>
    <n v="5"/>
    <x v="0"/>
    <x v="2"/>
    <x v="8"/>
    <n v="650167"/>
    <n v="644993"/>
    <n v="5174"/>
    <n v="2.58"/>
    <n v="257003"/>
    <n v="249640"/>
    <n v="7363"/>
    <n v="2.86"/>
    <n v="2.5096710930000001"/>
    <n v="808.25325393766866"/>
    <m/>
    <m/>
    <m/>
    <m/>
    <m/>
    <m/>
    <x v="0"/>
    <m/>
    <m/>
    <m/>
    <x v="0"/>
    <x v="0"/>
    <m/>
  </r>
  <r>
    <n v="5"/>
    <x v="0"/>
    <x v="2"/>
    <x v="9"/>
    <n v="653804"/>
    <n v="648519"/>
    <n v="5285"/>
    <n v="2.59"/>
    <n v="259939"/>
    <n v="250374"/>
    <n v="9565"/>
    <n v="3.68"/>
    <n v="2.494889186"/>
    <n v="812.77458012704972"/>
    <m/>
    <m/>
    <m/>
    <m/>
    <m/>
    <m/>
    <x v="0"/>
    <m/>
    <m/>
    <m/>
    <x v="0"/>
    <x v="0"/>
    <m/>
  </r>
  <r>
    <n v="5"/>
    <x v="0"/>
    <x v="2"/>
    <x v="10"/>
    <n v="655212"/>
    <n v="649825"/>
    <n v="5387"/>
    <m/>
    <n v="263241"/>
    <m/>
    <m/>
    <m/>
    <n v="2.4685554299999999"/>
    <n v="814.52493131611993"/>
    <n v="655212"/>
    <n v="7580"/>
    <n v="2964"/>
    <n v="-1556"/>
    <n v="4616"/>
    <n v="263241"/>
    <x v="0"/>
    <m/>
    <n v="649825"/>
    <n v="4116"/>
    <x v="0"/>
    <x v="0"/>
    <n v="2.4685554299999999"/>
  </r>
  <r>
    <n v="5"/>
    <x v="0"/>
    <x v="2"/>
    <x v="11"/>
    <n v="656722"/>
    <n v="651475"/>
    <n v="5247"/>
    <m/>
    <n v="266515"/>
    <m/>
    <m/>
    <m/>
    <n v="2.4444215150000002"/>
    <n v="816.4020835146257"/>
    <n v="656722"/>
    <n v="7551"/>
    <n v="2814"/>
    <n v="-1304"/>
    <n v="4737"/>
    <n v="266515"/>
    <x v="0"/>
    <m/>
    <n v="651475"/>
    <n v="5519"/>
    <x v="0"/>
    <x v="0"/>
    <n v="2.4444215150000002"/>
  </r>
  <r>
    <n v="5"/>
    <x v="0"/>
    <x v="2"/>
    <x v="12"/>
    <n v="656015"/>
    <n v="650714"/>
    <n v="5301"/>
    <m/>
    <n v="270939"/>
    <m/>
    <m/>
    <m/>
    <n v="2.4016992749999999"/>
    <n v="815.52317847863651"/>
    <n v="656015"/>
    <n v="7612"/>
    <n v="2532"/>
    <n v="-3239"/>
    <n v="5080"/>
    <n v="270939"/>
    <x v="0"/>
    <m/>
    <n v="650714"/>
    <n v="4325"/>
    <x v="0"/>
    <x v="0"/>
    <n v="2.4016992749999999"/>
  </r>
  <r>
    <n v="7"/>
    <x v="2"/>
    <x v="3"/>
    <x v="0"/>
    <n v="12060"/>
    <n v="11931"/>
    <n v="129"/>
    <n v="2.27"/>
    <n v="8762"/>
    <n v="5257"/>
    <n v="3505"/>
    <n v="40"/>
    <n v="1.3616754170000001"/>
    <n v="8.9034572877677132"/>
    <m/>
    <m/>
    <m/>
    <m/>
    <m/>
    <m/>
    <x v="0"/>
    <m/>
    <m/>
    <m/>
    <x v="0"/>
    <x v="0"/>
    <m/>
  </r>
  <r>
    <n v="7"/>
    <x v="2"/>
    <x v="3"/>
    <x v="1"/>
    <n v="11955"/>
    <n v="11830"/>
    <n v="125"/>
    <n v="2.27"/>
    <n v="8781"/>
    <n v="5208"/>
    <n v="3573"/>
    <n v="40.69"/>
    <n v="1.3472269670000001"/>
    <n v="8.8259396248145112"/>
    <m/>
    <m/>
    <m/>
    <m/>
    <m/>
    <m/>
    <x v="0"/>
    <m/>
    <m/>
    <m/>
    <x v="0"/>
    <x v="0"/>
    <m/>
  </r>
  <r>
    <n v="7"/>
    <x v="2"/>
    <x v="3"/>
    <x v="2"/>
    <n v="11990"/>
    <n v="11869"/>
    <n v="121"/>
    <n v="2.27"/>
    <n v="8807"/>
    <n v="5220"/>
    <n v="3587"/>
    <n v="40.729999999999997"/>
    <n v="1.3476779830000001"/>
    <n v="8.8517788457989113"/>
    <m/>
    <m/>
    <m/>
    <m/>
    <m/>
    <m/>
    <x v="0"/>
    <m/>
    <m/>
    <m/>
    <x v="0"/>
    <x v="0"/>
    <m/>
  </r>
  <r>
    <n v="7"/>
    <x v="2"/>
    <x v="3"/>
    <x v="3"/>
    <n v="11995"/>
    <n v="11878"/>
    <n v="117"/>
    <n v="2.2799999999999998"/>
    <n v="8840"/>
    <n v="5219"/>
    <n v="3621"/>
    <n v="40.96"/>
    <n v="1.3436651580000001"/>
    <n v="8.8554701630823978"/>
    <m/>
    <m/>
    <m/>
    <m/>
    <m/>
    <m/>
    <x v="0"/>
    <m/>
    <m/>
    <m/>
    <x v="0"/>
    <x v="0"/>
    <m/>
  </r>
  <r>
    <n v="7"/>
    <x v="2"/>
    <x v="3"/>
    <x v="4"/>
    <n v="11931"/>
    <n v="11818"/>
    <n v="113"/>
    <n v="2.2799999999999998"/>
    <n v="8899"/>
    <n v="5187"/>
    <n v="3712"/>
    <n v="41.71"/>
    <n v="1.328014384"/>
    <n v="8.8082213018537789"/>
    <m/>
    <m/>
    <m/>
    <m/>
    <m/>
    <m/>
    <x v="0"/>
    <m/>
    <m/>
    <m/>
    <x v="0"/>
    <x v="0"/>
    <m/>
  </r>
  <r>
    <n v="7"/>
    <x v="2"/>
    <x v="3"/>
    <x v="5"/>
    <n v="12009"/>
    <n v="11900"/>
    <n v="109"/>
    <n v="2.2799999999999998"/>
    <n v="8952"/>
    <n v="5218"/>
    <n v="3734"/>
    <n v="41.71"/>
    <n v="1.3293118859999999"/>
    <n v="8.8658058514761571"/>
    <m/>
    <m/>
    <m/>
    <m/>
    <m/>
    <m/>
    <x v="0"/>
    <m/>
    <m/>
    <m/>
    <x v="0"/>
    <x v="0"/>
    <m/>
  </r>
  <r>
    <n v="7"/>
    <x v="2"/>
    <x v="3"/>
    <x v="6"/>
    <n v="12362"/>
    <n v="12257"/>
    <n v="105"/>
    <n v="2.2799999999999998"/>
    <n v="9033"/>
    <n v="5370"/>
    <n v="3663"/>
    <n v="40.549999999999997"/>
    <n v="1.356913539"/>
    <n v="9.1264128516902545"/>
    <m/>
    <m/>
    <m/>
    <m/>
    <m/>
    <m/>
    <x v="0"/>
    <m/>
    <m/>
    <m/>
    <x v="0"/>
    <x v="0"/>
    <m/>
  </r>
  <r>
    <n v="7"/>
    <x v="2"/>
    <x v="3"/>
    <x v="7"/>
    <n v="12758"/>
    <n v="12657"/>
    <n v="101"/>
    <n v="2.2799999999999998"/>
    <n v="9137"/>
    <n v="5540"/>
    <n v="3597"/>
    <n v="39.369999999999997"/>
    <n v="1.3852467989999999"/>
    <n v="9.4187651805423283"/>
    <m/>
    <m/>
    <m/>
    <m/>
    <m/>
    <m/>
    <x v="0"/>
    <m/>
    <m/>
    <m/>
    <x v="0"/>
    <x v="0"/>
    <m/>
  </r>
  <r>
    <n v="7"/>
    <x v="2"/>
    <x v="3"/>
    <x v="8"/>
    <n v="13034"/>
    <n v="12937"/>
    <n v="97"/>
    <n v="2.29"/>
    <n v="9277"/>
    <n v="5657"/>
    <n v="3620"/>
    <n v="39.020000000000003"/>
    <n v="1.3945240919999999"/>
    <n v="9.6225258945907441"/>
    <m/>
    <m/>
    <m/>
    <m/>
    <m/>
    <m/>
    <x v="0"/>
    <m/>
    <m/>
    <m/>
    <x v="0"/>
    <x v="0"/>
    <m/>
  </r>
  <r>
    <n v="7"/>
    <x v="2"/>
    <x v="3"/>
    <x v="9"/>
    <n v="13194"/>
    <n v="13101"/>
    <n v="93"/>
    <n v="2.29"/>
    <n v="9411"/>
    <n v="5723"/>
    <n v="3688"/>
    <n v="39.19"/>
    <n v="1.392094358"/>
    <n v="9.7406480476622885"/>
    <m/>
    <m/>
    <m/>
    <m/>
    <m/>
    <m/>
    <x v="0"/>
    <m/>
    <m/>
    <m/>
    <x v="0"/>
    <x v="0"/>
    <m/>
  </r>
  <r>
    <n v="7"/>
    <x v="2"/>
    <x v="3"/>
    <x v="10"/>
    <n v="13428"/>
    <n v="13330"/>
    <n v="98"/>
    <m/>
    <n v="9537"/>
    <m/>
    <m/>
    <m/>
    <n v="1.3977141660000001"/>
    <n v="9.9134016965294229"/>
    <n v="13428"/>
    <n v="102"/>
    <n v="-8"/>
    <n v="242"/>
    <n v="110"/>
    <n v="9537"/>
    <x v="0"/>
    <m/>
    <n v="13330"/>
    <n v="153"/>
    <x v="0"/>
    <x v="0"/>
    <n v="1.3977141660000001"/>
  </r>
  <r>
    <n v="7"/>
    <x v="2"/>
    <x v="3"/>
    <x v="11"/>
    <n v="13812"/>
    <n v="13720"/>
    <n v="92"/>
    <m/>
    <n v="9687"/>
    <m/>
    <m/>
    <m/>
    <n v="1.4163311649999999"/>
    <n v="10.196894863901132"/>
    <n v="13812"/>
    <n v="118"/>
    <n v="-4"/>
    <n v="388"/>
    <n v="122"/>
    <n v="9687"/>
    <x v="0"/>
    <m/>
    <n v="13720"/>
    <n v="193"/>
    <x v="0"/>
    <x v="0"/>
    <n v="1.4163311649999999"/>
  </r>
  <r>
    <n v="7"/>
    <x v="2"/>
    <x v="3"/>
    <x v="12"/>
    <n v="13986"/>
    <n v="13898"/>
    <n v="88"/>
    <m/>
    <n v="9879"/>
    <m/>
    <m/>
    <m/>
    <n v="1.406822553"/>
    <n v="10.325352705366438"/>
    <n v="13986"/>
    <n v="104"/>
    <n v="-48"/>
    <n v="222"/>
    <n v="152"/>
    <n v="9879"/>
    <x v="0"/>
    <m/>
    <n v="13898"/>
    <n v="164"/>
    <x v="0"/>
    <x v="0"/>
    <n v="1.406822553"/>
  </r>
  <r>
    <n v="9"/>
    <x v="3"/>
    <x v="4"/>
    <x v="0"/>
    <n v="3795"/>
    <n v="3713"/>
    <n v="82"/>
    <n v="2.52"/>
    <n v="1964"/>
    <n v="1475"/>
    <n v="489"/>
    <n v="24.9"/>
    <n v="1.890529532"/>
    <n v="1.4833025859103843"/>
    <m/>
    <m/>
    <m/>
    <m/>
    <m/>
    <m/>
    <x v="0"/>
    <m/>
    <m/>
    <m/>
    <x v="0"/>
    <x v="0"/>
    <m/>
  </r>
  <r>
    <n v="9"/>
    <x v="3"/>
    <x v="4"/>
    <x v="1"/>
    <n v="3767"/>
    <n v="3689"/>
    <n v="78"/>
    <n v="2.2200000000000002"/>
    <n v="1966"/>
    <n v="1661"/>
    <n v="305"/>
    <n v="15.54"/>
    <n v="1.8763987790000001"/>
    <n v="1.4723585879115726"/>
    <m/>
    <m/>
    <m/>
    <m/>
    <m/>
    <m/>
    <x v="0"/>
    <m/>
    <m/>
    <m/>
    <x v="0"/>
    <x v="0"/>
    <m/>
  </r>
  <r>
    <n v="9"/>
    <x v="3"/>
    <x v="4"/>
    <x v="2"/>
    <n v="3704"/>
    <n v="3631"/>
    <n v="73"/>
    <n v="2.2200000000000002"/>
    <n v="1968"/>
    <n v="1634"/>
    <n v="334"/>
    <n v="16.97"/>
    <n v="1.8450203249999999"/>
    <n v="1.447734592414246"/>
    <m/>
    <m/>
    <m/>
    <m/>
    <m/>
    <m/>
    <x v="0"/>
    <m/>
    <m/>
    <m/>
    <x v="0"/>
    <x v="0"/>
    <m/>
  </r>
  <r>
    <n v="9"/>
    <x v="3"/>
    <x v="4"/>
    <x v="3"/>
    <n v="3637"/>
    <n v="3568"/>
    <n v="69"/>
    <n v="2.1800000000000002"/>
    <n v="1968"/>
    <n v="1634"/>
    <n v="334"/>
    <n v="16.97"/>
    <n v="1.8130081300000001"/>
    <n v="1.4215471686313748"/>
    <m/>
    <m/>
    <m/>
    <m/>
    <m/>
    <m/>
    <x v="0"/>
    <m/>
    <m/>
    <m/>
    <x v="0"/>
    <x v="0"/>
    <m/>
  </r>
  <r>
    <n v="9"/>
    <x v="3"/>
    <x v="4"/>
    <x v="4"/>
    <n v="3564"/>
    <n v="3500"/>
    <n v="64"/>
    <n v="2.14"/>
    <n v="1968"/>
    <n v="1634"/>
    <n v="334"/>
    <n v="16.97"/>
    <n v="1.7784552849999999"/>
    <n v="1.393014602420187"/>
    <m/>
    <m/>
    <m/>
    <m/>
    <m/>
    <m/>
    <x v="0"/>
    <m/>
    <m/>
    <m/>
    <x v="0"/>
    <x v="0"/>
    <m/>
  </r>
  <r>
    <n v="9"/>
    <x v="3"/>
    <x v="4"/>
    <x v="5"/>
    <n v="3530"/>
    <n v="3470"/>
    <n v="60"/>
    <n v="2.12"/>
    <n v="1968"/>
    <n v="1634"/>
    <n v="334"/>
    <n v="16.97"/>
    <n v="1.7632113819999999"/>
    <n v="1.3797254619930583"/>
    <m/>
    <m/>
    <m/>
    <m/>
    <m/>
    <m/>
    <x v="0"/>
    <m/>
    <m/>
    <m/>
    <x v="0"/>
    <x v="0"/>
    <m/>
  </r>
  <r>
    <n v="9"/>
    <x v="3"/>
    <x v="4"/>
    <x v="6"/>
    <n v="3505"/>
    <n v="3450"/>
    <n v="55"/>
    <n v="2.11"/>
    <n v="1968"/>
    <n v="1634"/>
    <n v="334"/>
    <n v="16.97"/>
    <n v="1.7530487800000001"/>
    <n v="1.369954035208405"/>
    <m/>
    <m/>
    <m/>
    <m/>
    <m/>
    <m/>
    <x v="0"/>
    <m/>
    <m/>
    <m/>
    <x v="0"/>
    <x v="0"/>
    <m/>
  </r>
  <r>
    <n v="9"/>
    <x v="3"/>
    <x v="4"/>
    <x v="7"/>
    <n v="3523"/>
    <n v="3472"/>
    <n v="51"/>
    <n v="2.14"/>
    <n v="1969"/>
    <n v="1621"/>
    <n v="348"/>
    <n v="17.68"/>
    <n v="1.7633316400000001"/>
    <n v="1.3769894624933554"/>
    <m/>
    <m/>
    <m/>
    <m/>
    <m/>
    <m/>
    <x v="0"/>
    <m/>
    <m/>
    <m/>
    <x v="0"/>
    <x v="0"/>
    <m/>
  </r>
  <r>
    <n v="9"/>
    <x v="3"/>
    <x v="4"/>
    <x v="8"/>
    <n v="3550"/>
    <n v="3504"/>
    <n v="46"/>
    <n v="2.16"/>
    <n v="1969"/>
    <n v="1621"/>
    <n v="348"/>
    <n v="17.68"/>
    <n v="1.7795835449999999"/>
    <n v="1.3875426034207812"/>
    <m/>
    <m/>
    <m/>
    <m/>
    <m/>
    <m/>
    <x v="0"/>
    <m/>
    <m/>
    <m/>
    <x v="0"/>
    <x v="0"/>
    <m/>
  </r>
  <r>
    <n v="9"/>
    <x v="3"/>
    <x v="4"/>
    <x v="9"/>
    <n v="3565"/>
    <n v="3523"/>
    <n v="42"/>
    <n v="2.17"/>
    <n v="1969"/>
    <n v="1621"/>
    <n v="348"/>
    <n v="17.68"/>
    <n v="1.7892331130000001"/>
    <n v="1.393405459491573"/>
    <m/>
    <m/>
    <m/>
    <m/>
    <m/>
    <m/>
    <x v="0"/>
    <m/>
    <m/>
    <m/>
    <x v="0"/>
    <x v="0"/>
    <m/>
  </r>
  <r>
    <n v="9"/>
    <x v="3"/>
    <x v="4"/>
    <x v="10"/>
    <n v="3478"/>
    <n v="3424"/>
    <n v="54"/>
    <m/>
    <n v="1972"/>
    <m/>
    <m/>
    <m/>
    <n v="1.7363083159999999"/>
    <n v="1.3594008942809794"/>
    <n v="3478"/>
    <n v="40"/>
    <n v="-28"/>
    <n v="-59"/>
    <n v="68"/>
    <n v="1972"/>
    <x v="0"/>
    <m/>
    <n v="3424"/>
    <n v="2"/>
    <x v="0"/>
    <x v="0"/>
    <n v="1.7363083159999999"/>
  </r>
  <r>
    <n v="9"/>
    <x v="3"/>
    <x v="4"/>
    <x v="11"/>
    <n v="3491"/>
    <n v="3443"/>
    <n v="48"/>
    <m/>
    <n v="1977"/>
    <m/>
    <m/>
    <m/>
    <n v="1.7415275670000001"/>
    <n v="1.3644820362089991"/>
    <n v="3491"/>
    <n v="35"/>
    <n v="-34"/>
    <n v="47"/>
    <n v="69"/>
    <n v="1977"/>
    <x v="0"/>
    <m/>
    <n v="3443"/>
    <n v="3"/>
    <x v="0"/>
    <x v="0"/>
    <n v="1.7415275670000001"/>
  </r>
  <r>
    <n v="9"/>
    <x v="3"/>
    <x v="4"/>
    <x v="12"/>
    <n v="3431"/>
    <n v="3383"/>
    <n v="48"/>
    <m/>
    <n v="1981"/>
    <m/>
    <m/>
    <m/>
    <n v="1.707723372"/>
    <n v="1.3410306119258311"/>
    <n v="3431"/>
    <n v="34"/>
    <n v="-45"/>
    <n v="-15"/>
    <n v="79"/>
    <n v="1981"/>
    <x v="0"/>
    <m/>
    <n v="3383"/>
    <n v="26"/>
    <x v="0"/>
    <x v="0"/>
    <n v="1.707723372"/>
  </r>
  <r>
    <n v="11"/>
    <x v="3"/>
    <x v="5"/>
    <x v="0"/>
    <n v="6506"/>
    <n v="4298"/>
    <n v="2208"/>
    <n v="2.4900000000000002"/>
    <n v="2111"/>
    <n v="1728"/>
    <n v="383"/>
    <n v="18.14"/>
    <n v="2.0360018950000001"/>
    <n v="4.2217420363773224"/>
    <m/>
    <m/>
    <m/>
    <m/>
    <m/>
    <m/>
    <x v="0"/>
    <m/>
    <m/>
    <m/>
    <x v="0"/>
    <x v="0"/>
    <m/>
  </r>
  <r>
    <n v="11"/>
    <x v="3"/>
    <x v="5"/>
    <x v="1"/>
    <n v="6355"/>
    <n v="4241"/>
    <n v="2114"/>
    <n v="2.34"/>
    <n v="2116"/>
    <n v="1816"/>
    <n v="300"/>
    <n v="14.19"/>
    <n v="2.004253308"/>
    <n v="4.1237581680261117"/>
    <m/>
    <m/>
    <m/>
    <m/>
    <m/>
    <m/>
    <x v="0"/>
    <m/>
    <m/>
    <m/>
    <x v="0"/>
    <x v="0"/>
    <m/>
  </r>
  <r>
    <n v="11"/>
    <x v="3"/>
    <x v="5"/>
    <x v="2"/>
    <n v="5864"/>
    <n v="4178"/>
    <n v="1686"/>
    <n v="2.33"/>
    <n v="2118"/>
    <n v="1794"/>
    <n v="324"/>
    <n v="15.31"/>
    <n v="1.9726156749999999"/>
    <n v="3.8051483709370761"/>
    <m/>
    <m/>
    <m/>
    <m/>
    <m/>
    <m/>
    <x v="0"/>
    <m/>
    <m/>
    <m/>
    <x v="0"/>
    <x v="0"/>
    <m/>
  </r>
  <r>
    <n v="11"/>
    <x v="3"/>
    <x v="5"/>
    <x v="3"/>
    <n v="5800"/>
    <n v="4085"/>
    <n v="1715"/>
    <n v="2.3199999999999998"/>
    <n v="2122"/>
    <n v="1759"/>
    <n v="363"/>
    <n v="17.12"/>
    <n v="1.9250706879999999"/>
    <n v="3.7636187843511326"/>
    <m/>
    <m/>
    <m/>
    <m/>
    <m/>
    <m/>
    <x v="0"/>
    <m/>
    <m/>
    <m/>
    <x v="0"/>
    <x v="0"/>
    <m/>
  </r>
  <r>
    <n v="11"/>
    <x v="3"/>
    <x v="5"/>
    <x v="4"/>
    <n v="5851"/>
    <n v="3982"/>
    <n v="1869"/>
    <n v="2.3199999999999998"/>
    <n v="2124"/>
    <n v="1719"/>
    <n v="405"/>
    <n v="19.05"/>
    <n v="1.874764595"/>
    <n v="3.7967126736618066"/>
    <m/>
    <m/>
    <m/>
    <m/>
    <m/>
    <m/>
    <x v="0"/>
    <m/>
    <m/>
    <m/>
    <x v="0"/>
    <x v="0"/>
    <m/>
  </r>
  <r>
    <n v="11"/>
    <x v="3"/>
    <x v="5"/>
    <x v="5"/>
    <n v="5966"/>
    <n v="4059"/>
    <n v="1907"/>
    <n v="2.31"/>
    <n v="2124"/>
    <n v="1758"/>
    <n v="366"/>
    <n v="17.25"/>
    <n v="1.911016949"/>
    <n v="3.8713361495584238"/>
    <m/>
    <m/>
    <m/>
    <m/>
    <m/>
    <m/>
    <x v="0"/>
    <m/>
    <m/>
    <m/>
    <x v="0"/>
    <x v="0"/>
    <m/>
  </r>
  <r>
    <n v="11"/>
    <x v="3"/>
    <x v="5"/>
    <x v="6"/>
    <n v="5753"/>
    <n v="4018"/>
    <n v="1735"/>
    <n v="2.2999999999999998"/>
    <n v="2128"/>
    <n v="1745"/>
    <n v="383"/>
    <n v="18.010000000000002"/>
    <n v="1.888157895"/>
    <n v="3.7331204942020806"/>
    <m/>
    <m/>
    <m/>
    <m/>
    <m/>
    <m/>
    <x v="0"/>
    <m/>
    <m/>
    <m/>
    <x v="0"/>
    <x v="0"/>
    <m/>
  </r>
  <r>
    <n v="11"/>
    <x v="3"/>
    <x v="5"/>
    <x v="7"/>
    <n v="5968"/>
    <n v="4034"/>
    <n v="1934"/>
    <n v="2.2999999999999998"/>
    <n v="2130"/>
    <n v="1757"/>
    <n v="373"/>
    <n v="17.53"/>
    <n v="1.893896714"/>
    <n v="3.8726339491392348"/>
    <m/>
    <m/>
    <m/>
    <m/>
    <m/>
    <m/>
    <x v="0"/>
    <m/>
    <m/>
    <m/>
    <x v="0"/>
    <x v="0"/>
    <m/>
  </r>
  <r>
    <n v="11"/>
    <x v="3"/>
    <x v="5"/>
    <x v="8"/>
    <n v="5984"/>
    <n v="4052"/>
    <n v="1932"/>
    <n v="2.29"/>
    <n v="2133"/>
    <n v="1770"/>
    <n v="363"/>
    <n v="17.04"/>
    <n v="1.8996718239999999"/>
    <n v="3.8830163457857205"/>
    <m/>
    <m/>
    <m/>
    <m/>
    <m/>
    <m/>
    <x v="0"/>
    <m/>
    <m/>
    <m/>
    <x v="0"/>
    <x v="0"/>
    <m/>
  </r>
  <r>
    <n v="11"/>
    <x v="3"/>
    <x v="5"/>
    <x v="9"/>
    <n v="5980"/>
    <n v="4046"/>
    <n v="1934"/>
    <n v="2.2799999999999998"/>
    <n v="2135"/>
    <n v="1772"/>
    <n v="363"/>
    <n v="17"/>
    <n v="1.8950819670000001"/>
    <n v="3.880420746624099"/>
    <m/>
    <m/>
    <m/>
    <m/>
    <m/>
    <m/>
    <x v="0"/>
    <m/>
    <m/>
    <m/>
    <x v="0"/>
    <x v="0"/>
    <m/>
  </r>
  <r>
    <n v="11"/>
    <x v="3"/>
    <x v="5"/>
    <x v="10"/>
    <n v="5477"/>
    <n v="4071"/>
    <n v="1406"/>
    <m/>
    <n v="2136"/>
    <m/>
    <m/>
    <m/>
    <n v="1.905898876"/>
    <n v="3.5540241520501992"/>
    <n v="5477"/>
    <n v="43"/>
    <n v="-28"/>
    <n v="-475"/>
    <n v="71"/>
    <n v="2136"/>
    <x v="0"/>
    <m/>
    <n v="4071"/>
    <n v="5"/>
    <x v="0"/>
    <x v="0"/>
    <n v="1.905898876"/>
  </r>
  <r>
    <n v="11"/>
    <x v="3"/>
    <x v="5"/>
    <x v="11"/>
    <n v="5334"/>
    <n v="4166"/>
    <n v="1168"/>
    <m/>
    <n v="2143"/>
    <m/>
    <m/>
    <m/>
    <n v="1.944003733"/>
    <n v="3.4612314820222316"/>
    <n v="5334"/>
    <n v="36"/>
    <n v="-43"/>
    <n v="-100"/>
    <n v="79"/>
    <n v="2143"/>
    <x v="0"/>
    <m/>
    <n v="4166"/>
    <n v="8"/>
    <x v="0"/>
    <x v="0"/>
    <n v="1.944003733"/>
  </r>
  <r>
    <n v="11"/>
    <x v="3"/>
    <x v="5"/>
    <x v="12"/>
    <n v="5400"/>
    <n v="4105"/>
    <n v="1295"/>
    <m/>
    <n v="2171"/>
    <m/>
    <m/>
    <m/>
    <n v="1.890833717"/>
    <n v="3.5040588681889857"/>
    <n v="5400"/>
    <n v="41"/>
    <n v="-45"/>
    <n v="111"/>
    <n v="86"/>
    <n v="2171"/>
    <x v="0"/>
    <m/>
    <n v="4105"/>
    <n v="29"/>
    <x v="0"/>
    <x v="0"/>
    <n v="1.890833717"/>
  </r>
  <r>
    <n v="13"/>
    <x v="0"/>
    <x v="6"/>
    <x v="0"/>
    <n v="295605"/>
    <n v="286209"/>
    <n v="9396"/>
    <n v="2.39"/>
    <n v="127213"/>
    <n v="119568"/>
    <n v="7645"/>
    <n v="6.01"/>
    <n v="2.249840818"/>
    <n v="399.20727095937769"/>
    <m/>
    <m/>
    <m/>
    <m/>
    <m/>
    <m/>
    <x v="0"/>
    <m/>
    <m/>
    <m/>
    <x v="0"/>
    <x v="0"/>
    <m/>
  </r>
  <r>
    <n v="13"/>
    <x v="0"/>
    <x v="6"/>
    <x v="1"/>
    <n v="300526"/>
    <n v="290383"/>
    <n v="10143"/>
    <n v="2.39"/>
    <n v="127865"/>
    <n v="121382"/>
    <n v="6483"/>
    <n v="5.07"/>
    <n v="2.2710123960000002"/>
    <n v="405.85296024200517"/>
    <m/>
    <m/>
    <m/>
    <m/>
    <m/>
    <m/>
    <x v="0"/>
    <m/>
    <m/>
    <m/>
    <x v="0"/>
    <x v="0"/>
    <m/>
  </r>
  <r>
    <n v="13"/>
    <x v="0"/>
    <x v="6"/>
    <x v="2"/>
    <n v="305881"/>
    <n v="294996"/>
    <n v="10885"/>
    <n v="2.39"/>
    <n v="128405"/>
    <n v="123381"/>
    <n v="5024"/>
    <n v="3.91"/>
    <n v="2.2973871730000002"/>
    <n v="413.08475583405357"/>
    <m/>
    <m/>
    <m/>
    <m/>
    <m/>
    <m/>
    <x v="0"/>
    <m/>
    <m/>
    <m/>
    <x v="0"/>
    <x v="0"/>
    <m/>
  </r>
  <r>
    <n v="13"/>
    <x v="0"/>
    <x v="6"/>
    <x v="3"/>
    <n v="310896"/>
    <n v="299300"/>
    <n v="11596"/>
    <n v="2.39"/>
    <n v="129616"/>
    <n v="125254"/>
    <n v="4362"/>
    <n v="3.37"/>
    <n v="2.3091285030000002"/>
    <n v="419.85738980120999"/>
    <m/>
    <m/>
    <m/>
    <m/>
    <m/>
    <m/>
    <x v="0"/>
    <m/>
    <m/>
    <m/>
    <x v="0"/>
    <x v="0"/>
    <m/>
  </r>
  <r>
    <n v="13"/>
    <x v="0"/>
    <x v="6"/>
    <x v="4"/>
    <n v="314213"/>
    <n v="301907"/>
    <n v="12306"/>
    <n v="2.39"/>
    <n v="131002"/>
    <n v="126418"/>
    <n v="4584"/>
    <n v="3.5"/>
    <n v="2.304598403"/>
    <n v="424.33691659464131"/>
    <m/>
    <m/>
    <m/>
    <m/>
    <m/>
    <m/>
    <x v="0"/>
    <m/>
    <m/>
    <m/>
    <x v="0"/>
    <x v="0"/>
    <m/>
  </r>
  <r>
    <n v="13"/>
    <x v="0"/>
    <x v="6"/>
    <x v="5"/>
    <n v="320352"/>
    <n v="307247"/>
    <n v="13105"/>
    <n v="2.39"/>
    <n v="132127"/>
    <n v="128728"/>
    <n v="3399"/>
    <n v="2.57"/>
    <n v="2.3253914789999999"/>
    <n v="432.62748487467587"/>
    <m/>
    <m/>
    <m/>
    <m/>
    <m/>
    <m/>
    <x v="0"/>
    <m/>
    <m/>
    <m/>
    <x v="0"/>
    <x v="0"/>
    <m/>
  </r>
  <r>
    <n v="13"/>
    <x v="0"/>
    <x v="6"/>
    <x v="6"/>
    <n v="323957"/>
    <n v="310498"/>
    <n v="13459"/>
    <n v="2.39"/>
    <n v="133334"/>
    <n v="130165"/>
    <n v="3169"/>
    <n v="2.38"/>
    <n v="2.3287233559999998"/>
    <n v="437.49594857389798"/>
    <m/>
    <m/>
    <m/>
    <m/>
    <m/>
    <m/>
    <x v="0"/>
    <m/>
    <m/>
    <m/>
    <x v="0"/>
    <x v="0"/>
    <m/>
  </r>
  <r>
    <n v="13"/>
    <x v="0"/>
    <x v="6"/>
    <x v="7"/>
    <n v="325414"/>
    <n v="311468"/>
    <n v="13946"/>
    <n v="2.38"/>
    <n v="135024"/>
    <n v="130647"/>
    <n v="4377"/>
    <n v="3.24"/>
    <n v="2.3067602800000002"/>
    <n v="439.4635911840968"/>
    <m/>
    <m/>
    <m/>
    <m/>
    <m/>
    <m/>
    <x v="0"/>
    <m/>
    <m/>
    <m/>
    <x v="0"/>
    <x v="0"/>
    <m/>
  </r>
  <r>
    <n v="13"/>
    <x v="0"/>
    <x v="6"/>
    <x v="8"/>
    <n v="328055"/>
    <n v="313643"/>
    <n v="14412"/>
    <n v="2.38"/>
    <n v="136410"/>
    <n v="131636"/>
    <n v="4774"/>
    <n v="3.5"/>
    <n v="2.2992669160000001"/>
    <n v="443.03019662921349"/>
    <m/>
    <m/>
    <m/>
    <m/>
    <m/>
    <m/>
    <x v="0"/>
    <m/>
    <m/>
    <m/>
    <x v="0"/>
    <x v="0"/>
    <m/>
  </r>
  <r>
    <n v="13"/>
    <x v="0"/>
    <x v="6"/>
    <x v="9"/>
    <n v="328827"/>
    <n v="314030"/>
    <n v="14797"/>
    <n v="2.38"/>
    <n v="139591"/>
    <n v="131875"/>
    <n v="7716"/>
    <n v="5.53"/>
    <n v="2.2496436019999999"/>
    <n v="444.07276361279168"/>
    <m/>
    <m/>
    <m/>
    <m/>
    <m/>
    <m/>
    <x v="0"/>
    <m/>
    <m/>
    <m/>
    <x v="0"/>
    <x v="0"/>
    <m/>
  </r>
  <r>
    <n v="13"/>
    <x v="0"/>
    <x v="6"/>
    <x v="10"/>
    <n v="330923"/>
    <n v="315633"/>
    <n v="15290"/>
    <m/>
    <n v="141291"/>
    <m/>
    <m/>
    <m/>
    <n v="2.2339214809999999"/>
    <n v="446.90335998271388"/>
    <n v="330923"/>
    <n v="2507"/>
    <n v="467"/>
    <n v="1629"/>
    <n v="2040"/>
    <n v="141291"/>
    <x v="0"/>
    <m/>
    <n v="315633"/>
    <n v="1634"/>
    <x v="0"/>
    <x v="0"/>
    <n v="2.2339214809999999"/>
  </r>
  <r>
    <n v="13"/>
    <x v="0"/>
    <x v="6"/>
    <x v="11"/>
    <n v="327080"/>
    <n v="315126"/>
    <n v="11954"/>
    <m/>
    <n v="143362"/>
    <m/>
    <m/>
    <m/>
    <n v="2.1981138659999999"/>
    <n v="441.7134831460674"/>
    <n v="327080"/>
    <n v="2472"/>
    <n v="343"/>
    <n v="-4186"/>
    <n v="2129"/>
    <n v="143362"/>
    <x v="0"/>
    <m/>
    <n v="315126"/>
    <n v="1237"/>
    <x v="0"/>
    <x v="0"/>
    <n v="2.1981138659999999"/>
  </r>
  <r>
    <n v="13"/>
    <x v="0"/>
    <x v="6"/>
    <x v="12"/>
    <n v="327424"/>
    <n v="313031"/>
    <n v="14393"/>
    <m/>
    <n v="144094"/>
    <m/>
    <m/>
    <m/>
    <n v="2.1724082889999998"/>
    <n v="442.17804667242871"/>
    <n v="327424"/>
    <n v="2420"/>
    <n v="220"/>
    <n v="124"/>
    <n v="2200"/>
    <n v="144094"/>
    <x v="0"/>
    <m/>
    <n v="313031"/>
    <n v="1642"/>
    <x v="0"/>
    <x v="0"/>
    <n v="2.1724082889999998"/>
  </r>
  <r>
    <n v="14"/>
    <x v="0"/>
    <x v="7"/>
    <x v="0"/>
    <n v="56107"/>
    <n v="55825"/>
    <n v="282"/>
    <n v="2.6"/>
    <n v="22685"/>
    <n v="21498"/>
    <n v="1187"/>
    <n v="5.23"/>
    <n v="2.4608772320000001"/>
    <n v="1671.3434614238904"/>
    <m/>
    <m/>
    <m/>
    <m/>
    <m/>
    <m/>
    <x v="0"/>
    <m/>
    <m/>
    <m/>
    <x v="0"/>
    <x v="0"/>
    <m/>
  </r>
  <r>
    <n v="14"/>
    <x v="0"/>
    <x v="7"/>
    <x v="1"/>
    <n v="57584"/>
    <n v="57307"/>
    <n v="277"/>
    <n v="2.59"/>
    <n v="23056"/>
    <n v="22168"/>
    <n v="888"/>
    <n v="3.85"/>
    <n v="2.4855569050000001"/>
    <n v="1715.3410783437594"/>
    <m/>
    <m/>
    <m/>
    <m/>
    <m/>
    <m/>
    <x v="0"/>
    <m/>
    <m/>
    <m/>
    <x v="0"/>
    <x v="0"/>
    <m/>
  </r>
  <r>
    <n v="14"/>
    <x v="0"/>
    <x v="7"/>
    <x v="2"/>
    <n v="59271"/>
    <n v="59001"/>
    <n v="270"/>
    <n v="2.57"/>
    <n v="23426"/>
    <n v="22927"/>
    <n v="499"/>
    <n v="2.13"/>
    <n v="2.5186117989999999"/>
    <n v="1765.5942806076855"/>
    <m/>
    <m/>
    <m/>
    <m/>
    <m/>
    <m/>
    <x v="0"/>
    <m/>
    <m/>
    <m/>
    <x v="0"/>
    <x v="0"/>
    <m/>
  </r>
  <r>
    <n v="14"/>
    <x v="0"/>
    <x v="7"/>
    <x v="3"/>
    <n v="60669"/>
    <n v="60404"/>
    <n v="265"/>
    <n v="2.56"/>
    <n v="25541"/>
    <n v="23579"/>
    <n v="1962"/>
    <n v="7.68"/>
    <n v="2.3649817940000002"/>
    <n v="1807.2386058981233"/>
    <m/>
    <m/>
    <m/>
    <m/>
    <m/>
    <m/>
    <x v="0"/>
    <m/>
    <m/>
    <m/>
    <x v="0"/>
    <x v="0"/>
    <m/>
  </r>
  <r>
    <n v="14"/>
    <x v="0"/>
    <x v="7"/>
    <x v="4"/>
    <n v="62504"/>
    <n v="62245"/>
    <n v="259"/>
    <n v="2.5499999999999998"/>
    <n v="26564"/>
    <n v="24409"/>
    <n v="2155"/>
    <n v="8.11"/>
    <n v="2.3432088539999998"/>
    <n v="1861.9005064045277"/>
    <m/>
    <m/>
    <m/>
    <m/>
    <m/>
    <m/>
    <x v="0"/>
    <m/>
    <m/>
    <m/>
    <x v="0"/>
    <x v="0"/>
    <m/>
  </r>
  <r>
    <n v="14"/>
    <x v="0"/>
    <x v="7"/>
    <x v="5"/>
    <n v="65831"/>
    <n v="65577"/>
    <n v="254"/>
    <n v="2.54"/>
    <n v="27750"/>
    <n v="25834"/>
    <n v="1916"/>
    <n v="6.9"/>
    <n v="2.3631351349999998"/>
    <n v="1961.0068513553767"/>
    <m/>
    <m/>
    <m/>
    <m/>
    <m/>
    <m/>
    <x v="0"/>
    <m/>
    <m/>
    <m/>
    <x v="0"/>
    <x v="0"/>
    <m/>
  </r>
  <r>
    <n v="14"/>
    <x v="0"/>
    <x v="7"/>
    <x v="6"/>
    <n v="67707"/>
    <n v="67459"/>
    <n v="248"/>
    <n v="2.5299999999999998"/>
    <n v="28585"/>
    <n v="26698"/>
    <n v="1887"/>
    <n v="6.6"/>
    <n v="2.3599440270000001"/>
    <n v="2016.8900804289544"/>
    <m/>
    <m/>
    <m/>
    <m/>
    <m/>
    <m/>
    <x v="0"/>
    <m/>
    <m/>
    <m/>
    <x v="0"/>
    <x v="0"/>
    <m/>
  </r>
  <r>
    <n v="14"/>
    <x v="0"/>
    <x v="7"/>
    <x v="7"/>
    <n v="69655"/>
    <n v="69413"/>
    <n v="242"/>
    <n v="2.52"/>
    <n v="29498"/>
    <n v="27598"/>
    <n v="1900"/>
    <n v="6.44"/>
    <n v="2.3531425860000001"/>
    <n v="2074.9180816204944"/>
    <m/>
    <m/>
    <m/>
    <m/>
    <m/>
    <m/>
    <x v="0"/>
    <m/>
    <m/>
    <m/>
    <x v="0"/>
    <x v="0"/>
    <m/>
  </r>
  <r>
    <n v="14"/>
    <x v="0"/>
    <x v="7"/>
    <x v="8"/>
    <n v="71322"/>
    <n v="70723"/>
    <n v="599"/>
    <n v="2.5"/>
    <n v="30060"/>
    <n v="28250"/>
    <n v="1810"/>
    <n v="6.02"/>
    <n v="2.3527278780000001"/>
    <n v="2124.5755138516533"/>
    <m/>
    <m/>
    <m/>
    <m/>
    <m/>
    <m/>
    <x v="0"/>
    <m/>
    <m/>
    <m/>
    <x v="0"/>
    <x v="0"/>
    <m/>
  </r>
  <r>
    <n v="14"/>
    <x v="0"/>
    <x v="7"/>
    <x v="9"/>
    <n v="72669"/>
    <n v="72439"/>
    <n v="230"/>
    <n v="2.4900000000000002"/>
    <n v="30982"/>
    <n v="29071"/>
    <n v="1911"/>
    <n v="6.17"/>
    <n v="2.3380995420000001"/>
    <n v="2164.7006255585343"/>
    <m/>
    <m/>
    <m/>
    <m/>
    <m/>
    <m/>
    <x v="0"/>
    <m/>
    <m/>
    <m/>
    <x v="0"/>
    <x v="0"/>
    <m/>
  </r>
  <r>
    <n v="14"/>
    <x v="0"/>
    <x v="7"/>
    <x v="10"/>
    <n v="74494"/>
    <n v="74013"/>
    <n v="481"/>
    <m/>
    <n v="31463"/>
    <m/>
    <m/>
    <m/>
    <n v="2.3523821630000001"/>
    <n v="2219.0646410485551"/>
    <n v="74494"/>
    <n v="642"/>
    <n v="210"/>
    <n v="1615"/>
    <n v="432"/>
    <n v="31463"/>
    <x v="0"/>
    <m/>
    <n v="74013"/>
    <n v="427"/>
    <x v="0"/>
    <x v="0"/>
    <n v="2.3523821630000001"/>
  </r>
  <r>
    <n v="14"/>
    <x v="0"/>
    <x v="7"/>
    <x v="11"/>
    <n v="75415"/>
    <n v="74984"/>
    <n v="431"/>
    <m/>
    <n v="32231"/>
    <m/>
    <m/>
    <m/>
    <n v="2.3264558960000001"/>
    <n v="2246.4998510574919"/>
    <n v="75415"/>
    <n v="645"/>
    <n v="201"/>
    <n v="720"/>
    <n v="444"/>
    <n v="32231"/>
    <x v="0"/>
    <m/>
    <n v="74984"/>
    <n v="501"/>
    <x v="0"/>
    <x v="0"/>
    <n v="2.3264558960000001"/>
  </r>
  <r>
    <n v="14"/>
    <x v="0"/>
    <x v="7"/>
    <x v="12"/>
    <n v="76155"/>
    <n v="75704"/>
    <n v="451"/>
    <m/>
    <n v="33645"/>
    <m/>
    <m/>
    <m/>
    <n v="2.2500817359999998"/>
    <n v="2268.5433422698839"/>
    <n v="76155"/>
    <n v="635"/>
    <n v="145"/>
    <n v="595"/>
    <n v="490"/>
    <n v="33645"/>
    <x v="0"/>
    <m/>
    <n v="75704"/>
    <n v="538"/>
    <x v="0"/>
    <x v="0"/>
    <n v="2.2500817359999998"/>
  </r>
  <r>
    <n v="15"/>
    <x v="4"/>
    <x v="8"/>
    <x v="0"/>
    <n v="17797"/>
    <n v="16361"/>
    <n v="1436"/>
    <n v="2.15"/>
    <n v="10030"/>
    <n v="7595"/>
    <n v="2435"/>
    <n v="24.28"/>
    <n v="1.6312063809999999"/>
    <n v="17.549205222261666"/>
    <m/>
    <m/>
    <m/>
    <m/>
    <m/>
    <m/>
    <x v="0"/>
    <m/>
    <m/>
    <m/>
    <x v="0"/>
    <x v="0"/>
    <m/>
  </r>
  <r>
    <n v="15"/>
    <x v="4"/>
    <x v="8"/>
    <x v="1"/>
    <n v="17932"/>
    <n v="16449"/>
    <n v="1483"/>
    <n v="2.15"/>
    <n v="10058"/>
    <n v="7634"/>
    <n v="2424"/>
    <n v="24.1"/>
    <n v="1.6354145950000001"/>
    <n v="17.682325563049737"/>
    <m/>
    <m/>
    <m/>
    <m/>
    <m/>
    <m/>
    <x v="0"/>
    <m/>
    <m/>
    <m/>
    <x v="0"/>
    <x v="0"/>
    <m/>
  </r>
  <r>
    <n v="15"/>
    <x v="4"/>
    <x v="8"/>
    <x v="2"/>
    <n v="17967"/>
    <n v="16497"/>
    <n v="1470"/>
    <n v="2.16"/>
    <n v="10056"/>
    <n v="7654"/>
    <n v="2402"/>
    <n v="23.89"/>
    <n v="1.6405131260000001"/>
    <n v="17.716838243994793"/>
    <m/>
    <m/>
    <m/>
    <m/>
    <m/>
    <m/>
    <x v="0"/>
    <m/>
    <m/>
    <m/>
    <x v="0"/>
    <x v="0"/>
    <m/>
  </r>
  <r>
    <n v="15"/>
    <x v="4"/>
    <x v="8"/>
    <x v="3"/>
    <n v="18036"/>
    <n v="16720"/>
    <n v="1316"/>
    <n v="2.16"/>
    <n v="10085"/>
    <n v="7756"/>
    <n v="2329"/>
    <n v="23.09"/>
    <n v="1.6579077840000001"/>
    <n v="17.784877529286476"/>
    <m/>
    <m/>
    <m/>
    <m/>
    <m/>
    <m/>
    <x v="0"/>
    <m/>
    <m/>
    <m/>
    <x v="0"/>
    <x v="0"/>
    <m/>
  </r>
  <r>
    <n v="15"/>
    <x v="4"/>
    <x v="8"/>
    <x v="4"/>
    <n v="18066"/>
    <n v="16614"/>
    <n v="1452"/>
    <n v="2.16"/>
    <n v="10114"/>
    <n v="7705"/>
    <n v="2409"/>
    <n v="23.82"/>
    <n v="1.6426735219999999"/>
    <n v="17.814459827239379"/>
    <m/>
    <m/>
    <m/>
    <m/>
    <m/>
    <m/>
    <x v="0"/>
    <m/>
    <m/>
    <m/>
    <x v="0"/>
    <x v="0"/>
    <m/>
  </r>
  <r>
    <n v="15"/>
    <x v="4"/>
    <x v="8"/>
    <x v="5"/>
    <n v="18108"/>
    <n v="16713"/>
    <n v="1395"/>
    <n v="2.16"/>
    <n v="10183"/>
    <n v="7749"/>
    <n v="2434"/>
    <n v="23.9"/>
    <n v="1.641264853"/>
    <n v="17.855875044373448"/>
    <m/>
    <m/>
    <m/>
    <m/>
    <m/>
    <m/>
    <x v="0"/>
    <m/>
    <m/>
    <m/>
    <x v="0"/>
    <x v="0"/>
    <m/>
  </r>
  <r>
    <n v="15"/>
    <x v="4"/>
    <x v="8"/>
    <x v="6"/>
    <n v="18519"/>
    <n v="17076"/>
    <n v="1443"/>
    <n v="2.16"/>
    <n v="10286"/>
    <n v="7915"/>
    <n v="2371"/>
    <n v="23.05"/>
    <n v="1.660120552"/>
    <n v="18.261152526328246"/>
    <m/>
    <m/>
    <m/>
    <m/>
    <m/>
    <m/>
    <x v="0"/>
    <m/>
    <m/>
    <m/>
    <x v="0"/>
    <x v="0"/>
    <m/>
  </r>
  <r>
    <n v="15"/>
    <x v="4"/>
    <x v="8"/>
    <x v="7"/>
    <n v="18967"/>
    <n v="17546"/>
    <n v="1421"/>
    <n v="2.16"/>
    <n v="10484"/>
    <n v="8131"/>
    <n v="2353"/>
    <n v="22.44"/>
    <n v="1.6735978629999999"/>
    <n v="18.70291484242496"/>
    <m/>
    <m/>
    <m/>
    <m/>
    <m/>
    <m/>
    <x v="0"/>
    <m/>
    <m/>
    <m/>
    <x v="0"/>
    <x v="0"/>
    <m/>
  </r>
  <r>
    <n v="15"/>
    <x v="4"/>
    <x v="8"/>
    <x v="8"/>
    <n v="19250"/>
    <n v="17829"/>
    <n v="1421"/>
    <n v="2.16"/>
    <n v="10673"/>
    <n v="8260"/>
    <n v="2413"/>
    <n v="22.61"/>
    <n v="1.670476904"/>
    <n v="18.981974519780696"/>
    <m/>
    <m/>
    <m/>
    <m/>
    <m/>
    <m/>
    <x v="0"/>
    <m/>
    <m/>
    <m/>
    <x v="0"/>
    <x v="0"/>
    <m/>
  </r>
  <r>
    <n v="15"/>
    <x v="4"/>
    <x v="8"/>
    <x v="9"/>
    <n v="19391"/>
    <n v="17990"/>
    <n v="1401"/>
    <n v="2.16"/>
    <n v="10806"/>
    <n v="8332"/>
    <n v="2474"/>
    <n v="22.89"/>
    <n v="1.664815843"/>
    <n v="19.121011320159351"/>
    <m/>
    <m/>
    <m/>
    <m/>
    <m/>
    <m/>
    <x v="0"/>
    <m/>
    <m/>
    <m/>
    <x v="0"/>
    <x v="0"/>
    <m/>
  </r>
  <r>
    <n v="15"/>
    <x v="4"/>
    <x v="8"/>
    <x v="10"/>
    <n v="19478"/>
    <n v="18247"/>
    <n v="1231"/>
    <m/>
    <n v="10993"/>
    <m/>
    <m/>
    <m/>
    <n v="1.659874466"/>
    <n v="19.206799984222773"/>
    <n v="19478"/>
    <n v="135"/>
    <n v="-74"/>
    <n v="161"/>
    <n v="209"/>
    <n v="10993"/>
    <x v="0"/>
    <m/>
    <n v="18247"/>
    <n v="186"/>
    <x v="0"/>
    <x v="0"/>
    <n v="1.659874466"/>
  </r>
  <r>
    <n v="15"/>
    <x v="4"/>
    <x v="8"/>
    <x v="11"/>
    <n v="19737"/>
    <n v="18809"/>
    <n v="928"/>
    <m/>
    <n v="11322"/>
    <m/>
    <m/>
    <m/>
    <n v="1.661278926"/>
    <n v="19.462193823216186"/>
    <n v="19737"/>
    <n v="148"/>
    <n v="-25"/>
    <n v="284"/>
    <n v="173"/>
    <n v="11322"/>
    <x v="0"/>
    <m/>
    <n v="18809"/>
    <n v="349"/>
    <x v="0"/>
    <x v="0"/>
    <n v="1.661278926"/>
  </r>
  <r>
    <n v="15"/>
    <x v="4"/>
    <x v="8"/>
    <x v="12"/>
    <n v="20261"/>
    <n v="19071"/>
    <n v="1190"/>
    <m/>
    <n v="11903"/>
    <m/>
    <m/>
    <m/>
    <n v="1.602201126"/>
    <n v="19.978897960793596"/>
    <n v="20261"/>
    <n v="145"/>
    <n v="-41"/>
    <n v="565"/>
    <n v="186"/>
    <n v="11903"/>
    <x v="0"/>
    <m/>
    <n v="19071"/>
    <n v="277"/>
    <x v="0"/>
    <x v="0"/>
    <n v="1.602201126"/>
  </r>
  <r>
    <n v="17"/>
    <x v="5"/>
    <x v="9"/>
    <x v="0"/>
    <n v="1834"/>
    <n v="1792"/>
    <n v="42"/>
    <n v="2.5499999999999998"/>
    <n v="868"/>
    <n v="702"/>
    <n v="166"/>
    <n v="19.12"/>
    <n v="2.0645161289999998"/>
    <n v="1.0292384533363264"/>
    <m/>
    <m/>
    <m/>
    <m/>
    <m/>
    <m/>
    <x v="0"/>
    <m/>
    <m/>
    <m/>
    <x v="0"/>
    <x v="0"/>
    <m/>
  </r>
  <r>
    <n v="17"/>
    <x v="5"/>
    <x v="9"/>
    <x v="1"/>
    <n v="1832"/>
    <n v="1790"/>
    <n v="42"/>
    <n v="2.2799999999999998"/>
    <n v="869"/>
    <n v="784"/>
    <n v="85"/>
    <n v="9.76"/>
    <n v="2.0598388949999999"/>
    <n v="1.0281160558953926"/>
    <m/>
    <m/>
    <m/>
    <m/>
    <m/>
    <m/>
    <x v="0"/>
    <m/>
    <m/>
    <m/>
    <x v="0"/>
    <x v="0"/>
    <m/>
  </r>
  <r>
    <n v="17"/>
    <x v="5"/>
    <x v="9"/>
    <x v="2"/>
    <n v="1832"/>
    <n v="1790"/>
    <n v="42"/>
    <n v="2.29"/>
    <n v="869"/>
    <n v="783"/>
    <n v="86"/>
    <n v="9.89"/>
    <n v="2.0598388949999999"/>
    <n v="1.0281160558953926"/>
    <m/>
    <m/>
    <m/>
    <m/>
    <m/>
    <m/>
    <x v="0"/>
    <m/>
    <m/>
    <m/>
    <x v="0"/>
    <x v="0"/>
    <m/>
  </r>
  <r>
    <n v="17"/>
    <x v="5"/>
    <x v="9"/>
    <x v="3"/>
    <n v="1818"/>
    <n v="1776"/>
    <n v="42"/>
    <n v="2.29"/>
    <n v="878"/>
    <n v="776"/>
    <n v="102"/>
    <n v="11.64"/>
    <n v="2.0227790429999999"/>
    <n v="1.0202592738088556"/>
    <m/>
    <m/>
    <m/>
    <m/>
    <m/>
    <m/>
    <x v="0"/>
    <m/>
    <m/>
    <m/>
    <x v="0"/>
    <x v="0"/>
    <m/>
  </r>
  <r>
    <n v="17"/>
    <x v="5"/>
    <x v="9"/>
    <x v="4"/>
    <n v="1817"/>
    <n v="1775"/>
    <n v="42"/>
    <n v="2.29"/>
    <n v="879"/>
    <n v="774"/>
    <n v="105"/>
    <n v="11.94"/>
    <n v="2.019340159"/>
    <n v="1.0196980750883888"/>
    <m/>
    <m/>
    <m/>
    <m/>
    <m/>
    <m/>
    <x v="0"/>
    <m/>
    <m/>
    <m/>
    <x v="0"/>
    <x v="0"/>
    <m/>
  </r>
  <r>
    <n v="17"/>
    <x v="5"/>
    <x v="9"/>
    <x v="5"/>
    <n v="1806"/>
    <n v="1764"/>
    <n v="42"/>
    <n v="2.2999999999999998"/>
    <n v="886"/>
    <n v="768"/>
    <n v="118"/>
    <n v="13.3"/>
    <n v="1.9909706549999999"/>
    <n v="1.0135248891632527"/>
    <m/>
    <m/>
    <m/>
    <m/>
    <m/>
    <m/>
    <x v="0"/>
    <m/>
    <m/>
    <m/>
    <x v="0"/>
    <x v="0"/>
    <m/>
  </r>
  <r>
    <n v="17"/>
    <x v="5"/>
    <x v="9"/>
    <x v="6"/>
    <n v="1794"/>
    <n v="1752"/>
    <n v="42"/>
    <n v="2.2999999999999998"/>
    <n v="894"/>
    <n v="762"/>
    <n v="132"/>
    <n v="14.8"/>
    <n v="1.959731544"/>
    <n v="1.0067905045176497"/>
    <m/>
    <m/>
    <m/>
    <m/>
    <m/>
    <m/>
    <x v="0"/>
    <m/>
    <m/>
    <m/>
    <x v="0"/>
    <x v="0"/>
    <m/>
  </r>
  <r>
    <n v="17"/>
    <x v="5"/>
    <x v="9"/>
    <x v="7"/>
    <n v="1788"/>
    <n v="1746"/>
    <n v="42"/>
    <n v="2.2999999999999998"/>
    <n v="898"/>
    <n v="758"/>
    <n v="140"/>
    <n v="15.6"/>
    <n v="1.944320713"/>
    <n v="1.0034233121948481"/>
    <m/>
    <m/>
    <m/>
    <m/>
    <m/>
    <m/>
    <x v="0"/>
    <m/>
    <m/>
    <m/>
    <x v="0"/>
    <x v="0"/>
    <m/>
  </r>
  <r>
    <n v="17"/>
    <x v="5"/>
    <x v="9"/>
    <x v="8"/>
    <n v="1783"/>
    <n v="1741"/>
    <n v="42"/>
    <n v="2.31"/>
    <n v="901"/>
    <n v="755"/>
    <n v="146"/>
    <n v="16.23"/>
    <n v="1.9322974470000001"/>
    <n v="1.0006173185925136"/>
    <m/>
    <m/>
    <m/>
    <m/>
    <m/>
    <m/>
    <x v="0"/>
    <m/>
    <m/>
    <m/>
    <x v="0"/>
    <x v="0"/>
    <m/>
  </r>
  <r>
    <n v="17"/>
    <x v="5"/>
    <x v="9"/>
    <x v="9"/>
    <n v="1777"/>
    <n v="1735"/>
    <n v="42"/>
    <n v="2.31"/>
    <n v="905"/>
    <n v="751"/>
    <n v="154"/>
    <n v="17.02"/>
    <n v="1.917127072"/>
    <n v="0.9972501262697121"/>
    <m/>
    <m/>
    <m/>
    <m/>
    <m/>
    <m/>
    <x v="0"/>
    <m/>
    <m/>
    <m/>
    <x v="0"/>
    <x v="0"/>
    <m/>
  </r>
  <r>
    <n v="17"/>
    <x v="5"/>
    <x v="9"/>
    <x v="10"/>
    <n v="1744"/>
    <n v="1722"/>
    <n v="22"/>
    <m/>
    <n v="929"/>
    <m/>
    <m/>
    <m/>
    <n v="1.853606028"/>
    <n v="0.97873056849430373"/>
    <n v="1744"/>
    <n v="17"/>
    <n v="0"/>
    <n v="-33"/>
    <n v="17"/>
    <n v="929"/>
    <x v="0"/>
    <m/>
    <n v="1722"/>
    <n v="6"/>
    <x v="0"/>
    <x v="0"/>
    <n v="1.853606028"/>
  </r>
  <r>
    <n v="17"/>
    <x v="5"/>
    <x v="9"/>
    <x v="11"/>
    <n v="1716"/>
    <n v="1690"/>
    <n v="26"/>
    <m/>
    <n v="933"/>
    <m/>
    <m/>
    <m/>
    <n v="1.8113611999999999"/>
    <n v="0.96301700432123005"/>
    <n v="1716"/>
    <n v="21"/>
    <n v="-4"/>
    <n v="-24"/>
    <n v="25"/>
    <n v="933"/>
    <x v="0"/>
    <m/>
    <n v="1690"/>
    <n v="12"/>
    <x v="0"/>
    <x v="0"/>
    <n v="1.8113611999999999"/>
  </r>
  <r>
    <n v="17"/>
    <x v="5"/>
    <x v="9"/>
    <x v="12"/>
    <n v="1722"/>
    <n v="1698"/>
    <n v="24"/>
    <m/>
    <n v="945"/>
    <m/>
    <m/>
    <m/>
    <n v="1.7968253970000001"/>
    <n v="0.96638419664403163"/>
    <n v="1722"/>
    <n v="15"/>
    <n v="-14"/>
    <n v="20"/>
    <n v="29"/>
    <n v="945"/>
    <x v="0"/>
    <m/>
    <n v="1698"/>
    <n v="11"/>
    <x v="0"/>
    <x v="0"/>
    <n v="1.7968253970000001"/>
  </r>
  <r>
    <n v="19"/>
    <x v="0"/>
    <x v="10"/>
    <x v="0"/>
    <n v="9155"/>
    <n v="9024"/>
    <n v="131"/>
    <n v="2.2200000000000002"/>
    <n v="5472"/>
    <n v="4060"/>
    <n v="1412"/>
    <n v="25.8"/>
    <n v="1.6491228069999999"/>
    <n v="23.087786548306561"/>
    <m/>
    <m/>
    <m/>
    <m/>
    <m/>
    <m/>
    <x v="0"/>
    <m/>
    <m/>
    <m/>
    <x v="0"/>
    <x v="0"/>
    <m/>
  </r>
  <r>
    <n v="19"/>
    <x v="0"/>
    <x v="10"/>
    <x v="1"/>
    <n v="9027"/>
    <n v="8923"/>
    <n v="104"/>
    <n v="2.14"/>
    <n v="5485"/>
    <n v="4173"/>
    <n v="1312"/>
    <n v="23.92"/>
    <n v="1.626800365"/>
    <n v="22.764986255768797"/>
    <m/>
    <m/>
    <m/>
    <m/>
    <m/>
    <m/>
    <x v="0"/>
    <m/>
    <m/>
    <m/>
    <x v="0"/>
    <x v="0"/>
    <m/>
  </r>
  <r>
    <n v="19"/>
    <x v="0"/>
    <x v="10"/>
    <x v="2"/>
    <n v="9016"/>
    <n v="8895"/>
    <n v="121"/>
    <n v="2.14"/>
    <n v="5501"/>
    <n v="4163"/>
    <n v="1338"/>
    <n v="24.33"/>
    <n v="1.6169787309999999"/>
    <n v="22.737245605628832"/>
    <m/>
    <m/>
    <m/>
    <m/>
    <m/>
    <m/>
    <x v="0"/>
    <m/>
    <m/>
    <m/>
    <x v="0"/>
    <x v="0"/>
    <m/>
  </r>
  <r>
    <n v="19"/>
    <x v="0"/>
    <x v="10"/>
    <x v="3"/>
    <n v="8966"/>
    <n v="8876"/>
    <n v="90"/>
    <n v="2.14"/>
    <n v="5496"/>
    <n v="4157"/>
    <n v="1339"/>
    <n v="24.36"/>
    <n v="1.614992722"/>
    <n v="22.611151741356267"/>
    <m/>
    <m/>
    <m/>
    <m/>
    <m/>
    <m/>
    <x v="0"/>
    <m/>
    <m/>
    <m/>
    <x v="0"/>
    <x v="0"/>
    <m/>
  </r>
  <r>
    <n v="19"/>
    <x v="0"/>
    <x v="10"/>
    <x v="4"/>
    <n v="9034"/>
    <n v="8949"/>
    <n v="85"/>
    <n v="2.13"/>
    <n v="5535"/>
    <n v="4194"/>
    <n v="1341"/>
    <n v="24.22"/>
    <n v="1.616802168"/>
    <n v="22.782639396766953"/>
    <m/>
    <m/>
    <m/>
    <m/>
    <m/>
    <m/>
    <x v="0"/>
    <m/>
    <m/>
    <m/>
    <x v="0"/>
    <x v="0"/>
    <m/>
  </r>
  <r>
    <n v="19"/>
    <x v="0"/>
    <x v="10"/>
    <x v="5"/>
    <n v="9158"/>
    <n v="9047"/>
    <n v="111"/>
    <n v="2.13"/>
    <n v="5544"/>
    <n v="4243"/>
    <n v="1301"/>
    <n v="23.46"/>
    <n v="1.6318542570000001"/>
    <n v="23.095352180162916"/>
    <m/>
    <m/>
    <m/>
    <m/>
    <m/>
    <m/>
    <x v="0"/>
    <m/>
    <m/>
    <m/>
    <x v="0"/>
    <x v="0"/>
    <m/>
  </r>
  <r>
    <n v="19"/>
    <x v="0"/>
    <x v="10"/>
    <x v="6"/>
    <n v="9237"/>
    <n v="9124"/>
    <n v="113"/>
    <n v="2.13"/>
    <n v="5560"/>
    <n v="4283"/>
    <n v="1277"/>
    <n v="22.98"/>
    <n v="1.6410071939999999"/>
    <n v="23.294580485713567"/>
    <m/>
    <m/>
    <m/>
    <m/>
    <m/>
    <m/>
    <x v="0"/>
    <m/>
    <m/>
    <m/>
    <x v="0"/>
    <x v="0"/>
    <m/>
  </r>
  <r>
    <n v="19"/>
    <x v="0"/>
    <x v="10"/>
    <x v="7"/>
    <n v="9427"/>
    <n v="9312"/>
    <n v="115"/>
    <n v="2.13"/>
    <n v="5572"/>
    <n v="4374"/>
    <n v="1198"/>
    <n v="21.5"/>
    <n v="1.671213209"/>
    <n v="23.77373716994931"/>
    <m/>
    <m/>
    <m/>
    <m/>
    <m/>
    <m/>
    <x v="0"/>
    <m/>
    <m/>
    <m/>
    <x v="0"/>
    <x v="0"/>
    <m/>
  </r>
  <r>
    <n v="19"/>
    <x v="0"/>
    <x v="10"/>
    <x v="8"/>
    <n v="9385"/>
    <n v="9260"/>
    <n v="125"/>
    <n v="2.13"/>
    <n v="5602"/>
    <n v="4353"/>
    <n v="1249"/>
    <n v="22.3"/>
    <n v="1.652981078"/>
    <n v="23.667818323960358"/>
    <m/>
    <m/>
    <m/>
    <m/>
    <m/>
    <m/>
    <x v="0"/>
    <m/>
    <m/>
    <m/>
    <x v="0"/>
    <x v="0"/>
    <m/>
  </r>
  <r>
    <n v="19"/>
    <x v="0"/>
    <x v="10"/>
    <x v="9"/>
    <n v="9414"/>
    <n v="9299"/>
    <n v="115"/>
    <n v="2.13"/>
    <n v="5634"/>
    <n v="4374"/>
    <n v="1260"/>
    <n v="22.36"/>
    <n v="1.650514732"/>
    <n v="23.740952765238447"/>
    <m/>
    <m/>
    <m/>
    <m/>
    <m/>
    <m/>
    <x v="0"/>
    <m/>
    <m/>
    <m/>
    <x v="0"/>
    <x v="0"/>
    <m/>
  </r>
  <r>
    <n v="19"/>
    <x v="0"/>
    <x v="10"/>
    <x v="10"/>
    <n v="9397"/>
    <n v="9315"/>
    <n v="82"/>
    <m/>
    <n v="5688"/>
    <m/>
    <m/>
    <m/>
    <n v="1.637658228"/>
    <n v="23.698080851385772"/>
    <n v="9397"/>
    <n v="67"/>
    <n v="-6"/>
    <n v="-11"/>
    <n v="73"/>
    <n v="5688"/>
    <x v="0"/>
    <m/>
    <n v="9315"/>
    <n v="94"/>
    <x v="0"/>
    <x v="0"/>
    <n v="1.637658228"/>
  </r>
  <r>
    <n v="19"/>
    <x v="0"/>
    <x v="10"/>
    <x v="11"/>
    <n v="9457"/>
    <n v="9375"/>
    <n v="82"/>
    <m/>
    <n v="5771"/>
    <m/>
    <m/>
    <m/>
    <n v="1.624501819"/>
    <n v="23.849393488512849"/>
    <n v="9457"/>
    <n v="70"/>
    <n v="5"/>
    <n v="55"/>
    <n v="65"/>
    <n v="5771"/>
    <x v="0"/>
    <m/>
    <n v="9375"/>
    <n v="97"/>
    <x v="0"/>
    <x v="0"/>
    <n v="1.624501819"/>
  </r>
  <r>
    <n v="19"/>
    <x v="0"/>
    <x v="10"/>
    <x v="12"/>
    <n v="9366"/>
    <n v="9284"/>
    <n v="82"/>
    <m/>
    <n v="5868"/>
    <m/>
    <m/>
    <m/>
    <n v="1.582140423"/>
    <n v="23.619902655536784"/>
    <n v="9366"/>
    <n v="60"/>
    <n v="-18"/>
    <n v="-73"/>
    <n v="78"/>
    <n v="5868"/>
    <x v="0"/>
    <m/>
    <n v="9284"/>
    <n v="20"/>
    <x v="0"/>
    <x v="0"/>
    <n v="1.582140423"/>
  </r>
  <r>
    <n v="0"/>
    <x v="6"/>
    <x v="11"/>
    <x v="0"/>
    <n v="5050332"/>
    <n v="4933380"/>
    <n v="116952"/>
    <n v="2.5"/>
    <n v="2205618"/>
    <n v="1971855"/>
    <n v="233763"/>
    <n v="10.6"/>
    <n v="2.2367336500000001"/>
    <n v="48.516114504720974"/>
    <m/>
    <m/>
    <m/>
    <m/>
    <m/>
    <m/>
    <x v="0"/>
    <m/>
    <m/>
    <m/>
    <x v="0"/>
    <x v="0"/>
    <m/>
  </r>
  <r>
    <n v="0"/>
    <x v="6"/>
    <x v="11"/>
    <x v="1"/>
    <n v="5123553"/>
    <n v="5004680"/>
    <n v="118873"/>
    <n v="2.4900000000000002"/>
    <n v="2217639"/>
    <n v="2008680"/>
    <n v="208959"/>
    <n v="9.42"/>
    <n v="2.2567604559999999"/>
    <n v="49.21951349317365"/>
    <m/>
    <m/>
    <m/>
    <m/>
    <m/>
    <m/>
    <x v="0"/>
    <m/>
    <m/>
    <m/>
    <x v="0"/>
    <x v="0"/>
    <m/>
  </r>
  <r>
    <n v="0"/>
    <x v="6"/>
    <x v="11"/>
    <x v="2"/>
    <n v="5194662"/>
    <n v="5075290"/>
    <n v="119372"/>
    <n v="2.4900000000000002"/>
    <n v="2230882"/>
    <n v="2036224"/>
    <n v="194658"/>
    <n v="8.73"/>
    <n v="2.2750149940000002"/>
    <n v="49.902623511745929"/>
    <m/>
    <m/>
    <m/>
    <m/>
    <m/>
    <m/>
    <x v="0"/>
    <m/>
    <m/>
    <m/>
    <x v="0"/>
    <x v="0"/>
    <m/>
  </r>
  <r>
    <n v="0"/>
    <x v="6"/>
    <x v="11"/>
    <x v="3"/>
    <n v="5270883"/>
    <n v="5149736"/>
    <n v="121147"/>
    <n v="2.4900000000000002"/>
    <n v="2254094"/>
    <n v="2065107"/>
    <n v="188987"/>
    <n v="8.3800000000000008"/>
    <n v="2.2846145720000002"/>
    <n v="50.634842059687799"/>
    <m/>
    <m/>
    <m/>
    <m/>
    <m/>
    <m/>
    <x v="0"/>
    <m/>
    <m/>
    <m/>
    <x v="0"/>
    <x v="0"/>
    <m/>
  </r>
  <r>
    <n v="0"/>
    <x v="6"/>
    <x v="11"/>
    <x v="4"/>
    <n v="5347655"/>
    <n v="5225942"/>
    <n v="121712"/>
    <n v="2.4900000000000002"/>
    <n v="2281231"/>
    <n v="2094728"/>
    <n v="186503"/>
    <n v="8.18"/>
    <n v="2.2908429699999999"/>
    <n v="51.372353800055848"/>
    <m/>
    <m/>
    <m/>
    <m/>
    <m/>
    <m/>
    <x v="0"/>
    <m/>
    <m/>
    <m/>
    <x v="0"/>
    <x v="0"/>
    <m/>
  </r>
  <r>
    <n v="0"/>
    <x v="6"/>
    <x v="11"/>
    <x v="5"/>
    <n v="5446594"/>
    <n v="5322337"/>
    <n v="124256"/>
    <n v="2.5"/>
    <n v="2310630"/>
    <n v="2132504"/>
    <n v="178126"/>
    <n v="7.71"/>
    <n v="2.3034137879999999"/>
    <n v="52.322813265489522"/>
    <m/>
    <m/>
    <m/>
    <m/>
    <m/>
    <m/>
    <x v="0"/>
    <m/>
    <m/>
    <m/>
    <x v="0"/>
    <x v="0"/>
    <m/>
  </r>
  <r>
    <n v="0"/>
    <x v="6"/>
    <x v="11"/>
    <x v="6"/>
    <n v="5529631"/>
    <n v="5404120"/>
    <n v="125511"/>
    <n v="2.5"/>
    <n v="2339866"/>
    <n v="2164521"/>
    <n v="175345"/>
    <n v="7.49"/>
    <n v="2.30958525"/>
    <n v="53.120509852590828"/>
    <m/>
    <m/>
    <m/>
    <m/>
    <m/>
    <m/>
    <x v="0"/>
    <m/>
    <m/>
    <m/>
    <x v="0"/>
    <x v="0"/>
    <m/>
  </r>
  <r>
    <n v="0"/>
    <x v="6"/>
    <x v="11"/>
    <x v="7"/>
    <n v="5599588"/>
    <n v="5472360"/>
    <n v="127227"/>
    <n v="2.5"/>
    <n v="2377152"/>
    <n v="2190473"/>
    <n v="186679"/>
    <n v="7.85"/>
    <n v="2.3020656650000002"/>
    <n v="53.792553160319265"/>
    <m/>
    <m/>
    <m/>
    <m/>
    <m/>
    <m/>
    <x v="0"/>
    <m/>
    <m/>
    <m/>
    <x v="0"/>
    <x v="0"/>
    <m/>
  </r>
  <r>
    <n v="0"/>
    <x v="6"/>
    <x v="11"/>
    <x v="8"/>
    <n v="5676912"/>
    <n v="5549371"/>
    <n v="127541"/>
    <n v="2.5"/>
    <n v="2418599"/>
    <n v="2220185"/>
    <n v="198414"/>
    <n v="8.1999999999999993"/>
    <n v="2.2944568319999998"/>
    <n v="54.535367699633319"/>
    <m/>
    <m/>
    <m/>
    <m/>
    <m/>
    <m/>
    <x v="0"/>
    <m/>
    <m/>
    <m/>
    <x v="0"/>
    <x v="0"/>
    <m/>
  </r>
  <r>
    <n v="0"/>
    <x v="6"/>
    <x v="11"/>
    <x v="9"/>
    <n v="5734909"/>
    <n v="5606576"/>
    <n v="128333"/>
    <n v="2.5"/>
    <n v="2460839"/>
    <n v="2242111"/>
    <n v="218728"/>
    <n v="8.89"/>
    <n v="2.2783188989999998"/>
    <n v="55.092517030198181"/>
    <m/>
    <m/>
    <m/>
    <m/>
    <m/>
    <m/>
    <x v="0"/>
    <m/>
    <m/>
    <m/>
    <x v="0"/>
    <x v="0"/>
    <m/>
  </r>
  <r>
    <n v="0"/>
    <x v="6"/>
    <x v="11"/>
    <x v="10"/>
    <n v="5784584"/>
    <n v="5659934"/>
    <n v="124650"/>
    <m/>
    <n v="2501178"/>
    <m/>
    <m/>
    <m/>
    <n v="2.2629073179999999"/>
    <n v="55.569720902740031"/>
    <n v="5784584"/>
    <n v="62809"/>
    <n v="20660"/>
    <n v="29011"/>
    <n v="42149"/>
    <n v="2501178"/>
    <x v="0"/>
    <m/>
    <n v="5659934"/>
    <n v="40469"/>
    <x v="0"/>
    <x v="0"/>
    <n v="2.2629073179999999"/>
  </r>
  <r>
    <n v="0"/>
    <x v="6"/>
    <x v="11"/>
    <x v="11"/>
    <n v="5811026"/>
    <n v="5696338"/>
    <n v="114688"/>
    <m/>
    <n v="2542505"/>
    <m/>
    <m/>
    <m/>
    <n v="2.2404431850000002"/>
    <n v="55.823736500077757"/>
    <n v="5811026"/>
    <n v="61980"/>
    <n v="15430"/>
    <n v="11012"/>
    <n v="46550"/>
    <n v="2542505"/>
    <x v="0"/>
    <m/>
    <n v="5696338"/>
    <n v="56524"/>
    <x v="0"/>
    <x v="0"/>
    <n v="2.2404431850000002"/>
  </r>
  <r>
    <n v="0"/>
    <x v="6"/>
    <x v="11"/>
    <x v="12"/>
    <n v="5838736"/>
    <n v="5715606"/>
    <n v="123130"/>
    <m/>
    <n v="2598686"/>
    <m/>
    <m/>
    <m/>
    <n v="2.1994215540000002"/>
    <n v="56.089933164559582"/>
    <n v="5838736"/>
    <n v="62467"/>
    <n v="12786"/>
    <n v="14924"/>
    <n v="49681"/>
    <n v="2598686"/>
    <x v="0"/>
    <m/>
    <n v="5715606"/>
    <n v="48839"/>
    <x v="0"/>
    <x v="0"/>
    <n v="2.1994215540000002"/>
  </r>
  <r>
    <n v="21"/>
    <x v="1"/>
    <x v="12"/>
    <x v="0"/>
    <n v="8282"/>
    <n v="8246"/>
    <n v="36"/>
    <n v="2.96"/>
    <n v="3810"/>
    <n v="2785"/>
    <n v="1025"/>
    <n v="26.9"/>
    <n v="2.164304462"/>
    <n v="6.4190603152950656"/>
    <m/>
    <m/>
    <m/>
    <m/>
    <m/>
    <m/>
    <x v="0"/>
    <m/>
    <m/>
    <m/>
    <x v="0"/>
    <x v="0"/>
    <m/>
  </r>
  <r>
    <n v="21"/>
    <x v="1"/>
    <x v="12"/>
    <x v="1"/>
    <n v="8201"/>
    <n v="8163"/>
    <n v="39"/>
    <n v="2.63"/>
    <n v="3828"/>
    <n v="3106"/>
    <n v="722"/>
    <n v="18.86"/>
    <n v="2.1324451409999998"/>
    <n v="6.3562803242857804"/>
    <m/>
    <m/>
    <m/>
    <m/>
    <m/>
    <m/>
    <x v="0"/>
    <m/>
    <m/>
    <m/>
    <x v="0"/>
    <x v="0"/>
    <m/>
  </r>
  <r>
    <n v="21"/>
    <x v="1"/>
    <x v="12"/>
    <x v="2"/>
    <n v="8134"/>
    <n v="8093"/>
    <n v="41"/>
    <n v="2.62"/>
    <n v="3842"/>
    <n v="3089"/>
    <n v="753"/>
    <n v="19.600000000000001"/>
    <n v="2.1064549709999998"/>
    <n v="6.3043511959200753"/>
    <m/>
    <m/>
    <m/>
    <m/>
    <m/>
    <m/>
    <x v="0"/>
    <m/>
    <m/>
    <m/>
    <x v="0"/>
    <x v="0"/>
    <m/>
  </r>
  <r>
    <n v="21"/>
    <x v="1"/>
    <x v="12"/>
    <x v="3"/>
    <n v="8067"/>
    <n v="8023"/>
    <n v="44"/>
    <n v="2.61"/>
    <n v="3856"/>
    <n v="3072"/>
    <n v="784"/>
    <n v="20.34"/>
    <n v="2.0806535269999999"/>
    <n v="6.2524220675543702"/>
    <m/>
    <m/>
    <m/>
    <m/>
    <m/>
    <m/>
    <x v="0"/>
    <m/>
    <m/>
    <m/>
    <x v="0"/>
    <x v="0"/>
    <m/>
  </r>
  <r>
    <n v="21"/>
    <x v="1"/>
    <x v="12"/>
    <x v="4"/>
    <n v="7997"/>
    <n v="7950"/>
    <n v="47"/>
    <n v="2.6"/>
    <n v="3871"/>
    <n v="3053"/>
    <n v="818"/>
    <n v="21.12"/>
    <n v="2.0537328860000001"/>
    <n v="6.1981677543364695"/>
    <m/>
    <m/>
    <m/>
    <m/>
    <m/>
    <m/>
    <x v="0"/>
    <m/>
    <m/>
    <m/>
    <x v="0"/>
    <x v="0"/>
    <m/>
  </r>
  <r>
    <n v="21"/>
    <x v="1"/>
    <x v="12"/>
    <x v="5"/>
    <n v="7930"/>
    <n v="7881"/>
    <n v="50"/>
    <n v="2.6"/>
    <n v="3885"/>
    <n v="3036"/>
    <n v="849"/>
    <n v="21.85"/>
    <n v="2.0285714289999999"/>
    <n v="6.1462386259707644"/>
    <m/>
    <m/>
    <m/>
    <m/>
    <m/>
    <m/>
    <x v="0"/>
    <m/>
    <m/>
    <m/>
    <x v="0"/>
    <x v="0"/>
    <m/>
  </r>
  <r>
    <n v="21"/>
    <x v="1"/>
    <x v="12"/>
    <x v="6"/>
    <n v="7842"/>
    <n v="7790"/>
    <n v="52"/>
    <n v="2.59"/>
    <n v="3906"/>
    <n v="3011"/>
    <n v="895"/>
    <n v="22.92"/>
    <n v="1.9943676400000001"/>
    <n v="6.0780332036396896"/>
    <m/>
    <m/>
    <m/>
    <m/>
    <m/>
    <m/>
    <x v="0"/>
    <m/>
    <m/>
    <m/>
    <x v="0"/>
    <x v="0"/>
    <m/>
  </r>
  <r>
    <n v="21"/>
    <x v="1"/>
    <x v="12"/>
    <x v="7"/>
    <n v="7757"/>
    <n v="7702"/>
    <n v="55"/>
    <n v="2.58"/>
    <n v="3926"/>
    <n v="2986"/>
    <n v="940"/>
    <n v="23.94"/>
    <n v="1.9617931740000001"/>
    <n v="6.0121529661608095"/>
    <m/>
    <m/>
    <m/>
    <m/>
    <m/>
    <m/>
    <x v="0"/>
    <m/>
    <m/>
    <m/>
    <x v="0"/>
    <x v="0"/>
    <m/>
  </r>
  <r>
    <n v="21"/>
    <x v="1"/>
    <x v="12"/>
    <x v="8"/>
    <n v="7660"/>
    <n v="7602"/>
    <n v="58"/>
    <n v="2.57"/>
    <n v="3950"/>
    <n v="2957"/>
    <n v="993"/>
    <n v="25.15"/>
    <n v="1.924556962"/>
    <n v="5.9369719892731467"/>
    <m/>
    <m/>
    <m/>
    <m/>
    <m/>
    <m/>
    <x v="0"/>
    <m/>
    <m/>
    <m/>
    <x v="0"/>
    <x v="0"/>
    <m/>
  </r>
  <r>
    <n v="21"/>
    <x v="1"/>
    <x v="12"/>
    <x v="9"/>
    <n v="7551"/>
    <n v="7490"/>
    <n v="60"/>
    <n v="2.56"/>
    <n v="3978"/>
    <n v="2922"/>
    <n v="1056"/>
    <n v="26.53"/>
    <n v="1.882855706"/>
    <n v="5.8524902729767012"/>
    <m/>
    <m/>
    <m/>
    <m/>
    <m/>
    <m/>
    <x v="0"/>
    <m/>
    <m/>
    <m/>
    <x v="0"/>
    <x v="0"/>
    <m/>
  </r>
  <r>
    <n v="21"/>
    <x v="1"/>
    <x v="12"/>
    <x v="10"/>
    <n v="7454"/>
    <n v="7395"/>
    <n v="59"/>
    <m/>
    <n v="4009"/>
    <m/>
    <m/>
    <m/>
    <n v="1.844599651"/>
    <n v="5.7773092960890393"/>
    <n v="7454"/>
    <n v="88"/>
    <n v="-12"/>
    <n v="-85"/>
    <n v="100"/>
    <n v="4009"/>
    <x v="0"/>
    <m/>
    <n v="7395"/>
    <n v="36"/>
    <x v="0"/>
    <x v="0"/>
    <n v="1.844599651"/>
  </r>
  <r>
    <n v="21"/>
    <x v="1"/>
    <x v="12"/>
    <x v="11"/>
    <n v="7586"/>
    <n v="7535"/>
    <n v="51"/>
    <m/>
    <n v="4062"/>
    <m/>
    <m/>
    <m/>
    <n v="1.8549975379999999"/>
    <n v="5.879617429585652"/>
    <n v="7586"/>
    <n v="97"/>
    <n v="-5"/>
    <n v="137"/>
    <n v="102"/>
    <n v="4062"/>
    <x v="0"/>
    <m/>
    <n v="7535"/>
    <n v="45"/>
    <x v="0"/>
    <x v="0"/>
    <n v="1.8549975379999999"/>
  </r>
  <r>
    <n v="21"/>
    <x v="1"/>
    <x v="12"/>
    <x v="12"/>
    <n v="7572"/>
    <n v="7524"/>
    <n v="48"/>
    <m/>
    <n v="4119"/>
    <m/>
    <m/>
    <m/>
    <n v="1.8266569560000001"/>
    <n v="5.8687665669420719"/>
    <n v="7572"/>
    <n v="105"/>
    <n v="-34"/>
    <n v="20"/>
    <n v="139"/>
    <n v="4119"/>
    <x v="0"/>
    <m/>
    <n v="7524"/>
    <n v="40"/>
    <x v="0"/>
    <x v="0"/>
    <n v="1.8266569560000001"/>
  </r>
  <r>
    <n v="23"/>
    <x v="1"/>
    <x v="13"/>
    <x v="0"/>
    <n v="3532"/>
    <n v="3532"/>
    <n v="0"/>
    <n v="2.68"/>
    <n v="2241"/>
    <n v="1317"/>
    <n v="924"/>
    <n v="41.23"/>
    <n v="1.5760821060000001"/>
    <n v="2.8729928907254059"/>
    <m/>
    <m/>
    <m/>
    <m/>
    <m/>
    <m/>
    <x v="0"/>
    <m/>
    <m/>
    <m/>
    <x v="0"/>
    <x v="0"/>
    <m/>
  </r>
  <r>
    <n v="23"/>
    <x v="1"/>
    <x v="13"/>
    <x v="1"/>
    <n v="3518"/>
    <n v="3518"/>
    <n v="0"/>
    <n v="2.27"/>
    <n v="2301"/>
    <n v="1553"/>
    <n v="748"/>
    <n v="32.5"/>
    <n v="1.528900478"/>
    <n v="2.861605036685158"/>
    <m/>
    <m/>
    <m/>
    <m/>
    <m/>
    <m/>
    <x v="0"/>
    <m/>
    <m/>
    <m/>
    <x v="0"/>
    <x v="0"/>
    <m/>
  </r>
  <r>
    <n v="23"/>
    <x v="1"/>
    <x v="13"/>
    <x v="2"/>
    <n v="3517"/>
    <n v="3517"/>
    <n v="0"/>
    <n v="2.2599999999999998"/>
    <n v="2305"/>
    <n v="1558"/>
    <n v="747"/>
    <n v="32.39"/>
    <n v="1.5258134489999999"/>
    <n v="2.8607916185394262"/>
    <m/>
    <m/>
    <m/>
    <m/>
    <m/>
    <m/>
    <x v="0"/>
    <m/>
    <m/>
    <m/>
    <x v="0"/>
    <x v="0"/>
    <m/>
  </r>
  <r>
    <n v="23"/>
    <x v="1"/>
    <x v="13"/>
    <x v="3"/>
    <n v="3516"/>
    <n v="3516"/>
    <n v="0"/>
    <n v="2.25"/>
    <n v="2310"/>
    <n v="1563"/>
    <n v="747"/>
    <n v="32.32"/>
    <n v="1.522077922"/>
    <n v="2.859978200393694"/>
    <m/>
    <m/>
    <m/>
    <m/>
    <m/>
    <m/>
    <x v="0"/>
    <m/>
    <m/>
    <m/>
    <x v="0"/>
    <x v="0"/>
    <m/>
  </r>
  <r>
    <n v="23"/>
    <x v="1"/>
    <x v="13"/>
    <x v="4"/>
    <n v="3516"/>
    <n v="3516"/>
    <n v="0"/>
    <n v="2.2400000000000002"/>
    <n v="2310"/>
    <n v="1569"/>
    <n v="741"/>
    <n v="32.08"/>
    <n v="1.522077922"/>
    <n v="2.859978200393694"/>
    <m/>
    <m/>
    <m/>
    <m/>
    <m/>
    <m/>
    <x v="0"/>
    <m/>
    <m/>
    <m/>
    <x v="0"/>
    <x v="0"/>
    <m/>
  </r>
  <r>
    <n v="23"/>
    <x v="1"/>
    <x v="13"/>
    <x v="5"/>
    <n v="3516"/>
    <n v="3516"/>
    <n v="0"/>
    <n v="2.23"/>
    <n v="2310"/>
    <n v="1575"/>
    <n v="735"/>
    <n v="31.84"/>
    <n v="1.522077922"/>
    <n v="2.859978200393694"/>
    <m/>
    <m/>
    <m/>
    <m/>
    <m/>
    <m/>
    <x v="0"/>
    <m/>
    <m/>
    <m/>
    <x v="0"/>
    <x v="0"/>
    <m/>
  </r>
  <r>
    <n v="23"/>
    <x v="1"/>
    <x v="13"/>
    <x v="6"/>
    <n v="3516"/>
    <n v="3516"/>
    <n v="0"/>
    <n v="2.23"/>
    <n v="2310"/>
    <n v="1580"/>
    <n v="730"/>
    <n v="31.59"/>
    <n v="1.522077922"/>
    <n v="2.859978200393694"/>
    <m/>
    <m/>
    <m/>
    <m/>
    <m/>
    <m/>
    <x v="0"/>
    <m/>
    <m/>
    <m/>
    <x v="0"/>
    <x v="0"/>
    <m/>
  </r>
  <r>
    <n v="23"/>
    <x v="1"/>
    <x v="13"/>
    <x v="7"/>
    <n v="3516"/>
    <n v="3516"/>
    <n v="0"/>
    <n v="2.2200000000000002"/>
    <n v="2311"/>
    <n v="1586"/>
    <n v="725"/>
    <n v="31.38"/>
    <n v="1.5214192989999999"/>
    <n v="2.859978200393694"/>
    <m/>
    <m/>
    <m/>
    <m/>
    <m/>
    <m/>
    <x v="0"/>
    <m/>
    <m/>
    <m/>
    <x v="0"/>
    <x v="0"/>
    <m/>
  </r>
  <r>
    <n v="23"/>
    <x v="1"/>
    <x v="13"/>
    <x v="8"/>
    <n v="3515"/>
    <n v="3515"/>
    <n v="0"/>
    <n v="2.21"/>
    <n v="2313"/>
    <n v="1591"/>
    <n v="722"/>
    <n v="31.2"/>
    <n v="1.519671422"/>
    <n v="2.8591647822479622"/>
    <m/>
    <m/>
    <m/>
    <m/>
    <m/>
    <m/>
    <x v="0"/>
    <m/>
    <m/>
    <m/>
    <x v="0"/>
    <x v="0"/>
    <m/>
  </r>
  <r>
    <n v="23"/>
    <x v="1"/>
    <x v="13"/>
    <x v="9"/>
    <n v="3501"/>
    <n v="3501"/>
    <n v="0"/>
    <n v="2.2000000000000002"/>
    <n v="2374"/>
    <n v="1591"/>
    <n v="783"/>
    <n v="33"/>
    <n v="1.474726201"/>
    <n v="2.8477769282077143"/>
    <m/>
    <m/>
    <m/>
    <m/>
    <m/>
    <m/>
    <x v="0"/>
    <m/>
    <m/>
    <m/>
    <x v="0"/>
    <x v="0"/>
    <m/>
  </r>
  <r>
    <n v="23"/>
    <x v="1"/>
    <x v="13"/>
    <x v="10"/>
    <n v="3503"/>
    <n v="3491"/>
    <n v="12"/>
    <m/>
    <n v="2424"/>
    <m/>
    <m/>
    <m/>
    <n v="1.4401815179999999"/>
    <n v="2.8494037644991783"/>
    <n v="3503"/>
    <n v="28"/>
    <n v="-10"/>
    <n v="12"/>
    <n v="38"/>
    <n v="2424"/>
    <x v="0"/>
    <m/>
    <n v="3491"/>
    <n v="0"/>
    <x v="0"/>
    <x v="0"/>
    <n v="1.4401815179999999"/>
  </r>
  <r>
    <n v="23"/>
    <x v="1"/>
    <x v="13"/>
    <x v="11"/>
    <n v="3617"/>
    <n v="3605"/>
    <n v="12"/>
    <m/>
    <n v="2424"/>
    <m/>
    <m/>
    <m/>
    <n v="1.4872112209999999"/>
    <n v="2.9421334331126254"/>
    <n v="3617"/>
    <n v="41"/>
    <n v="1"/>
    <n v="113"/>
    <n v="40"/>
    <n v="2424"/>
    <x v="0"/>
    <m/>
    <n v="3605"/>
    <n v="0"/>
    <x v="0"/>
    <x v="0"/>
    <n v="1.4872112209999999"/>
  </r>
  <r>
    <n v="23"/>
    <x v="1"/>
    <x v="13"/>
    <x v="12"/>
    <n v="3614"/>
    <n v="3602"/>
    <n v="12"/>
    <m/>
    <n v="2424"/>
    <m/>
    <m/>
    <m/>
    <n v="1.4859735970000001"/>
    <n v="2.9396931786754297"/>
    <n v="3614"/>
    <n v="28"/>
    <n v="-30"/>
    <n v="27"/>
    <n v="58"/>
    <n v="2424"/>
    <x v="0"/>
    <m/>
    <n v="3602"/>
    <n v="0"/>
    <x v="0"/>
    <x v="0"/>
    <n v="1.4859735970000001"/>
  </r>
  <r>
    <n v="25"/>
    <x v="3"/>
    <x v="14"/>
    <x v="0"/>
    <n v="5838"/>
    <n v="3156"/>
    <n v="2682"/>
    <n v="2.54"/>
    <n v="1479"/>
    <n v="1244"/>
    <n v="235"/>
    <n v="15.89"/>
    <n v="2.1338742389999998"/>
    <n v="7.2950379247004138"/>
    <m/>
    <m/>
    <m/>
    <m/>
    <m/>
    <m/>
    <x v="0"/>
    <m/>
    <m/>
    <m/>
    <x v="0"/>
    <x v="0"/>
    <m/>
  </r>
  <r>
    <n v="25"/>
    <x v="3"/>
    <x v="14"/>
    <x v="1"/>
    <n v="5837"/>
    <n v="3139"/>
    <n v="2698"/>
    <n v="2.4"/>
    <n v="1483"/>
    <n v="1309"/>
    <n v="174"/>
    <n v="11.72"/>
    <n v="2.1166554280000001"/>
    <n v="7.2937883464330788"/>
    <m/>
    <m/>
    <m/>
    <m/>
    <m/>
    <m/>
    <x v="0"/>
    <m/>
    <m/>
    <m/>
    <x v="0"/>
    <x v="0"/>
    <m/>
  </r>
  <r>
    <n v="25"/>
    <x v="3"/>
    <x v="14"/>
    <x v="2"/>
    <n v="5839"/>
    <n v="3125"/>
    <n v="2714"/>
    <n v="2.39"/>
    <n v="1485"/>
    <n v="1308"/>
    <n v="177"/>
    <n v="11.91"/>
    <n v="2.1043771040000001"/>
    <n v="7.2962875029677488"/>
    <m/>
    <m/>
    <m/>
    <m/>
    <m/>
    <m/>
    <x v="0"/>
    <m/>
    <m/>
    <m/>
    <x v="0"/>
    <x v="0"/>
    <m/>
  </r>
  <r>
    <n v="25"/>
    <x v="3"/>
    <x v="14"/>
    <x v="3"/>
    <n v="5843"/>
    <n v="3112"/>
    <n v="2730"/>
    <n v="2.38"/>
    <n v="1485"/>
    <n v="1308"/>
    <n v="177"/>
    <n v="11.91"/>
    <n v="2.0956228960000001"/>
    <n v="7.3012858160370877"/>
    <m/>
    <m/>
    <m/>
    <m/>
    <m/>
    <m/>
    <x v="0"/>
    <m/>
    <m/>
    <m/>
    <x v="0"/>
    <x v="0"/>
    <m/>
  </r>
  <r>
    <n v="25"/>
    <x v="3"/>
    <x v="14"/>
    <x v="4"/>
    <n v="5843"/>
    <n v="3097"/>
    <n v="2746"/>
    <n v="2.37"/>
    <n v="1488"/>
    <n v="1307"/>
    <n v="181"/>
    <n v="12.18"/>
    <n v="2.0813172039999999"/>
    <n v="7.3012858160370877"/>
    <m/>
    <m/>
    <m/>
    <m/>
    <m/>
    <m/>
    <x v="0"/>
    <m/>
    <m/>
    <m/>
    <x v="0"/>
    <x v="0"/>
    <m/>
  </r>
  <r>
    <n v="25"/>
    <x v="3"/>
    <x v="14"/>
    <x v="5"/>
    <n v="5839"/>
    <n v="3077"/>
    <n v="2762"/>
    <n v="2.36"/>
    <n v="1495"/>
    <n v="1304"/>
    <n v="191"/>
    <n v="12.81"/>
    <n v="2.05819398"/>
    <n v="7.2962875029677488"/>
    <m/>
    <m/>
    <m/>
    <m/>
    <m/>
    <m/>
    <x v="0"/>
    <m/>
    <m/>
    <m/>
    <x v="0"/>
    <x v="0"/>
    <m/>
  </r>
  <r>
    <n v="25"/>
    <x v="3"/>
    <x v="14"/>
    <x v="6"/>
    <n v="5837"/>
    <n v="3059"/>
    <n v="2779"/>
    <n v="2.35"/>
    <n v="1500"/>
    <n v="1301"/>
    <n v="199"/>
    <n v="13.25"/>
    <n v="2.0393333330000001"/>
    <n v="7.2937883464330788"/>
    <m/>
    <m/>
    <m/>
    <m/>
    <m/>
    <m/>
    <x v="0"/>
    <m/>
    <m/>
    <m/>
    <x v="0"/>
    <x v="0"/>
    <m/>
  </r>
  <r>
    <n v="25"/>
    <x v="3"/>
    <x v="14"/>
    <x v="7"/>
    <n v="5837"/>
    <n v="3042"/>
    <n v="2795"/>
    <n v="2.34"/>
    <n v="1504"/>
    <n v="1299"/>
    <n v="205"/>
    <n v="13.61"/>
    <n v="2.0226063829999998"/>
    <n v="7.2937883464330788"/>
    <m/>
    <m/>
    <m/>
    <m/>
    <m/>
    <m/>
    <x v="0"/>
    <m/>
    <m/>
    <m/>
    <x v="0"/>
    <x v="0"/>
    <m/>
  </r>
  <r>
    <n v="25"/>
    <x v="3"/>
    <x v="14"/>
    <x v="8"/>
    <n v="5837"/>
    <n v="3027"/>
    <n v="2811"/>
    <n v="2.33"/>
    <n v="1507"/>
    <n v="1298"/>
    <n v="209"/>
    <n v="13.87"/>
    <n v="2.0086264100000002"/>
    <n v="7.2937883464330788"/>
    <m/>
    <m/>
    <m/>
    <m/>
    <m/>
    <m/>
    <x v="0"/>
    <m/>
    <m/>
    <m/>
    <x v="0"/>
    <x v="0"/>
    <m/>
  </r>
  <r>
    <n v="25"/>
    <x v="3"/>
    <x v="14"/>
    <x v="9"/>
    <n v="5840"/>
    <n v="3013"/>
    <n v="2827"/>
    <n v="2.3199999999999998"/>
    <n v="1508"/>
    <n v="1297"/>
    <n v="211"/>
    <n v="13.96"/>
    <n v="1.9980106099999999"/>
    <n v="7.2975370812350837"/>
    <m/>
    <m/>
    <m/>
    <m/>
    <m/>
    <m/>
    <x v="0"/>
    <m/>
    <m/>
    <m/>
    <x v="0"/>
    <x v="0"/>
    <m/>
  </r>
  <r>
    <n v="25"/>
    <x v="3"/>
    <x v="14"/>
    <x v="10"/>
    <n v="5696"/>
    <n v="3022"/>
    <n v="2674"/>
    <m/>
    <n v="1509"/>
    <m/>
    <m/>
    <m/>
    <n v="2.002650762"/>
    <n v="7.117597810738876"/>
    <n v="5696"/>
    <n v="23"/>
    <n v="-34"/>
    <n v="-110"/>
    <n v="57"/>
    <n v="1509"/>
    <x v="0"/>
    <m/>
    <n v="3022"/>
    <n v="12"/>
    <x v="0"/>
    <x v="0"/>
    <n v="2.002650762"/>
  </r>
  <r>
    <n v="25"/>
    <x v="3"/>
    <x v="14"/>
    <x v="11"/>
    <n v="5744"/>
    <n v="3143"/>
    <n v="2601"/>
    <m/>
    <n v="1521"/>
    <m/>
    <m/>
    <m/>
    <n v="2.0664036819999998"/>
    <n v="7.1775775675709452"/>
    <n v="5744"/>
    <n v="30"/>
    <n v="-36"/>
    <n v="84"/>
    <n v="66"/>
    <n v="1521"/>
    <x v="0"/>
    <m/>
    <n v="3143"/>
    <n v="14"/>
    <x v="0"/>
    <x v="0"/>
    <n v="2.0664036819999998"/>
  </r>
  <r>
    <n v="25"/>
    <x v="3"/>
    <x v="14"/>
    <x v="12"/>
    <n v="5620"/>
    <n v="3116"/>
    <n v="2504"/>
    <m/>
    <n v="1535"/>
    <m/>
    <m/>
    <m/>
    <n v="2.0299674269999999"/>
    <n v="7.0226298624214332"/>
    <n v="5620"/>
    <n v="24"/>
    <n v="-56"/>
    <n v="-68"/>
    <n v="80"/>
    <n v="1535"/>
    <x v="0"/>
    <m/>
    <n v="3116"/>
    <n v="45"/>
    <x v="0"/>
    <x v="0"/>
    <n v="2.0299674269999999"/>
  </r>
  <r>
    <n v="27"/>
    <x v="4"/>
    <x v="15"/>
    <x v="0"/>
    <n v="4272"/>
    <n v="4257"/>
    <n v="15"/>
    <n v="2.34"/>
    <n v="3593"/>
    <n v="1816"/>
    <n v="1777"/>
    <n v="49.46"/>
    <n v="1.1848037849999999"/>
    <n v="5.7789080677452516"/>
    <m/>
    <m/>
    <m/>
    <m/>
    <m/>
    <m/>
    <x v="0"/>
    <m/>
    <m/>
    <m/>
    <x v="0"/>
    <x v="0"/>
    <m/>
  </r>
  <r>
    <n v="27"/>
    <x v="4"/>
    <x v="15"/>
    <x v="1"/>
    <n v="4318"/>
    <n v="4304"/>
    <n v="15"/>
    <n v="2.13"/>
    <n v="3656"/>
    <n v="2020"/>
    <n v="1636"/>
    <n v="44.74"/>
    <n v="1.1772428880000001"/>
    <n v="5.8411341377631079"/>
    <m/>
    <m/>
    <m/>
    <m/>
    <m/>
    <m/>
    <x v="0"/>
    <m/>
    <m/>
    <m/>
    <x v="0"/>
    <x v="0"/>
    <m/>
  </r>
  <r>
    <n v="27"/>
    <x v="4"/>
    <x v="15"/>
    <x v="2"/>
    <n v="4367"/>
    <n v="4353"/>
    <n v="14"/>
    <n v="2.13"/>
    <n v="3722"/>
    <n v="2045"/>
    <n v="1677"/>
    <n v="45.06"/>
    <n v="1.1695325089999999"/>
    <n v="5.9074184297386507"/>
    <m/>
    <m/>
    <m/>
    <m/>
    <m/>
    <m/>
    <x v="0"/>
    <m/>
    <m/>
    <m/>
    <x v="0"/>
    <x v="0"/>
    <m/>
  </r>
  <r>
    <n v="27"/>
    <x v="4"/>
    <x v="15"/>
    <x v="3"/>
    <n v="4405"/>
    <n v="4391"/>
    <n v="14"/>
    <n v="2.13"/>
    <n v="3775"/>
    <n v="2065"/>
    <n v="1710"/>
    <n v="45.31"/>
    <n v="1.1631788080000001"/>
    <n v="5.9588225745360095"/>
    <m/>
    <m/>
    <m/>
    <m/>
    <m/>
    <m/>
    <x v="0"/>
    <m/>
    <m/>
    <m/>
    <x v="0"/>
    <x v="0"/>
    <m/>
  </r>
  <r>
    <n v="27"/>
    <x v="4"/>
    <x v="15"/>
    <x v="4"/>
    <n v="4437"/>
    <n v="4424"/>
    <n v="13"/>
    <n v="2.12"/>
    <n v="3821"/>
    <n v="2082"/>
    <n v="1739"/>
    <n v="45.52"/>
    <n v="1.157812091"/>
    <n v="6.0021102754179969"/>
    <m/>
    <m/>
    <m/>
    <m/>
    <m/>
    <m/>
    <x v="0"/>
    <m/>
    <m/>
    <m/>
    <x v="0"/>
    <x v="0"/>
    <m/>
  </r>
  <r>
    <n v="27"/>
    <x v="4"/>
    <x v="15"/>
    <x v="5"/>
    <n v="4467"/>
    <n v="4454"/>
    <n v="13"/>
    <n v="2.12"/>
    <n v="3863"/>
    <n v="2097"/>
    <n v="1766"/>
    <n v="45.71"/>
    <n v="1.152989904"/>
    <n v="6.0426924949948599"/>
    <m/>
    <m/>
    <m/>
    <m/>
    <m/>
    <m/>
    <x v="0"/>
    <m/>
    <m/>
    <m/>
    <x v="0"/>
    <x v="0"/>
    <m/>
  </r>
  <r>
    <n v="27"/>
    <x v="4"/>
    <x v="15"/>
    <x v="6"/>
    <n v="4496"/>
    <n v="4483"/>
    <n v="13"/>
    <n v="2.12"/>
    <n v="3905"/>
    <n v="2113"/>
    <n v="1792"/>
    <n v="45.89"/>
    <n v="1.148015365"/>
    <n v="6.0819219739191599"/>
    <m/>
    <m/>
    <m/>
    <m/>
    <m/>
    <m/>
    <x v="0"/>
    <m/>
    <m/>
    <m/>
    <x v="0"/>
    <x v="0"/>
    <m/>
  </r>
  <r>
    <n v="27"/>
    <x v="4"/>
    <x v="15"/>
    <x v="7"/>
    <n v="4539"/>
    <n v="4526"/>
    <n v="12"/>
    <n v="2.12"/>
    <n v="3964"/>
    <n v="2135"/>
    <n v="1829"/>
    <n v="46.14"/>
    <n v="1.1417759839999999"/>
    <n v="6.1400898219793296"/>
    <m/>
    <m/>
    <m/>
    <m/>
    <m/>
    <m/>
    <x v="0"/>
    <m/>
    <m/>
    <m/>
    <x v="0"/>
    <x v="0"/>
    <m/>
  </r>
  <r>
    <n v="27"/>
    <x v="4"/>
    <x v="15"/>
    <x v="8"/>
    <n v="4591"/>
    <n v="4580"/>
    <n v="12"/>
    <n v="2.12"/>
    <n v="4036"/>
    <n v="2162"/>
    <n v="1874"/>
    <n v="46.44"/>
    <n v="1.1347869180000001"/>
    <n v="6.2104323359125591"/>
    <m/>
    <m/>
    <m/>
    <m/>
    <m/>
    <m/>
    <x v="0"/>
    <m/>
    <m/>
    <m/>
    <x v="0"/>
    <x v="0"/>
    <m/>
  </r>
  <r>
    <n v="27"/>
    <x v="4"/>
    <x v="15"/>
    <x v="9"/>
    <n v="4646"/>
    <n v="4634"/>
    <n v="11"/>
    <n v="2.12"/>
    <n v="4110"/>
    <n v="2189"/>
    <n v="1921"/>
    <n v="46.73"/>
    <n v="1.127493917"/>
    <n v="6.2848330718034742"/>
    <m/>
    <m/>
    <m/>
    <m/>
    <m/>
    <m/>
    <x v="0"/>
    <m/>
    <m/>
    <m/>
    <x v="0"/>
    <x v="0"/>
    <m/>
  </r>
  <r>
    <n v="27"/>
    <x v="4"/>
    <x v="15"/>
    <x v="10"/>
    <n v="4720"/>
    <n v="4717"/>
    <n v="3"/>
    <m/>
    <n v="4198"/>
    <m/>
    <m/>
    <m/>
    <n v="1.1236303000000001"/>
    <n v="6.3849358800930682"/>
    <n v="4720"/>
    <n v="39"/>
    <n v="-9"/>
    <n v="83"/>
    <n v="48"/>
    <n v="4198"/>
    <x v="0"/>
    <m/>
    <n v="4717"/>
    <n v="118"/>
    <x v="0"/>
    <x v="0"/>
    <n v="1.1236303000000001"/>
  </r>
  <r>
    <n v="27"/>
    <x v="4"/>
    <x v="15"/>
    <x v="11"/>
    <n v="5064"/>
    <n v="5061"/>
    <n v="3"/>
    <m/>
    <n v="4326"/>
    <m/>
    <m/>
    <m/>
    <n v="1.169902913"/>
    <n v="6.8502786645744278"/>
    <n v="5064"/>
    <n v="41"/>
    <n v="-18"/>
    <n v="362"/>
    <n v="59"/>
    <n v="4326"/>
    <x v="0"/>
    <m/>
    <n v="5061"/>
    <n v="146"/>
    <x v="0"/>
    <x v="0"/>
    <n v="1.169902913"/>
  </r>
  <r>
    <n v="27"/>
    <x v="4"/>
    <x v="15"/>
    <x v="12"/>
    <n v="5338"/>
    <n v="5335"/>
    <n v="3"/>
    <m/>
    <n v="4470"/>
    <m/>
    <m/>
    <m/>
    <n v="1.193512304"/>
    <n v="7.2209296033764403"/>
    <n v="5338"/>
    <n v="44"/>
    <n v="-22"/>
    <n v="296"/>
    <n v="66"/>
    <n v="4470"/>
    <x v="0"/>
    <m/>
    <n v="5335"/>
    <n v="132"/>
    <x v="0"/>
    <x v="0"/>
    <n v="1.193512304"/>
  </r>
  <r>
    <n v="29"/>
    <x v="7"/>
    <x v="16"/>
    <x v="0"/>
    <n v="30889"/>
    <n v="30176"/>
    <n v="713"/>
    <n v="2.38"/>
    <n v="14575"/>
    <n v="12679"/>
    <n v="1896"/>
    <n v="13.01"/>
    <n v="2.0703945109999999"/>
    <n v="26.873086024498885"/>
    <m/>
    <m/>
    <m/>
    <m/>
    <m/>
    <m/>
    <x v="0"/>
    <m/>
    <m/>
    <m/>
    <x v="0"/>
    <x v="0"/>
    <m/>
  </r>
  <r>
    <n v="29"/>
    <x v="7"/>
    <x v="16"/>
    <x v="1"/>
    <n v="30433"/>
    <n v="29737"/>
    <n v="696"/>
    <n v="2.37"/>
    <n v="14577"/>
    <n v="12523"/>
    <n v="2054"/>
    <n v="14.09"/>
    <n v="2.0399945119999998"/>
    <n v="26.476371102449889"/>
    <m/>
    <m/>
    <m/>
    <m/>
    <m/>
    <m/>
    <x v="0"/>
    <m/>
    <m/>
    <m/>
    <x v="0"/>
    <x v="0"/>
    <m/>
  </r>
  <r>
    <n v="29"/>
    <x v="7"/>
    <x v="16"/>
    <x v="2"/>
    <n v="30554"/>
    <n v="29799"/>
    <n v="755"/>
    <n v="2.37"/>
    <n v="14616"/>
    <n v="12577"/>
    <n v="2039"/>
    <n v="13.95"/>
    <n v="2.0387931030000002"/>
    <n v="26.581639755011135"/>
    <m/>
    <m/>
    <m/>
    <m/>
    <m/>
    <m/>
    <x v="0"/>
    <m/>
    <m/>
    <m/>
    <x v="0"/>
    <x v="0"/>
    <m/>
  </r>
  <r>
    <n v="29"/>
    <x v="7"/>
    <x v="16"/>
    <x v="3"/>
    <n v="30428"/>
    <n v="29835"/>
    <n v="593"/>
    <n v="2.36"/>
    <n v="14616"/>
    <n v="12620"/>
    <n v="1996"/>
    <n v="13.66"/>
    <n v="2.0412561579999999"/>
    <n v="26.472021158129174"/>
    <m/>
    <m/>
    <m/>
    <m/>
    <m/>
    <m/>
    <x v="0"/>
    <m/>
    <m/>
    <m/>
    <x v="0"/>
    <x v="0"/>
    <m/>
  </r>
  <r>
    <n v="29"/>
    <x v="7"/>
    <x v="16"/>
    <x v="4"/>
    <n v="30066"/>
    <n v="29319"/>
    <n v="747"/>
    <n v="2.36"/>
    <n v="14623"/>
    <n v="12430"/>
    <n v="2193"/>
    <n v="15"/>
    <n v="2.0049921359999998"/>
    <n v="26.157085189309576"/>
    <m/>
    <m/>
    <m/>
    <m/>
    <m/>
    <m/>
    <x v="0"/>
    <m/>
    <m/>
    <m/>
    <x v="0"/>
    <x v="0"/>
    <m/>
  </r>
  <r>
    <n v="29"/>
    <x v="7"/>
    <x v="16"/>
    <x v="5"/>
    <n v="30039"/>
    <n v="29267"/>
    <n v="772"/>
    <n v="2.35"/>
    <n v="14673"/>
    <n v="12436"/>
    <n v="2237"/>
    <n v="15.25"/>
    <n v="1.994615961"/>
    <n v="26.133595489977726"/>
    <m/>
    <m/>
    <m/>
    <m/>
    <m/>
    <m/>
    <x v="0"/>
    <m/>
    <m/>
    <m/>
    <x v="0"/>
    <x v="0"/>
    <m/>
  </r>
  <r>
    <n v="29"/>
    <x v="7"/>
    <x v="16"/>
    <x v="6"/>
    <n v="30489"/>
    <n v="29685"/>
    <n v="804"/>
    <n v="2.35"/>
    <n v="14658"/>
    <n v="12642"/>
    <n v="2016"/>
    <n v="13.75"/>
    <n v="2.0251739660000001"/>
    <n v="26.525090478841868"/>
    <m/>
    <m/>
    <m/>
    <m/>
    <m/>
    <m/>
    <x v="0"/>
    <m/>
    <m/>
    <m/>
    <x v="0"/>
    <x v="0"/>
    <m/>
  </r>
  <r>
    <n v="29"/>
    <x v="7"/>
    <x v="16"/>
    <x v="7"/>
    <n v="30703"/>
    <n v="29858"/>
    <n v="845"/>
    <n v="2.34"/>
    <n v="14660"/>
    <n v="12745"/>
    <n v="1915"/>
    <n v="13.06"/>
    <n v="2.0366984989999999"/>
    <n v="26.711268095768371"/>
    <m/>
    <m/>
    <m/>
    <m/>
    <m/>
    <m/>
    <x v="0"/>
    <m/>
    <m/>
    <m/>
    <x v="0"/>
    <x v="0"/>
    <m/>
  </r>
  <r>
    <n v="29"/>
    <x v="7"/>
    <x v="16"/>
    <x v="8"/>
    <n v="31033"/>
    <n v="30182"/>
    <n v="851"/>
    <n v="2.34"/>
    <n v="14694"/>
    <n v="12913"/>
    <n v="1781"/>
    <n v="12.12"/>
    <n v="2.0540356609999999"/>
    <n v="26.99836442093541"/>
    <m/>
    <m/>
    <m/>
    <m/>
    <m/>
    <m/>
    <x v="0"/>
    <m/>
    <m/>
    <m/>
    <x v="0"/>
    <x v="0"/>
    <m/>
  </r>
  <r>
    <n v="29"/>
    <x v="7"/>
    <x v="16"/>
    <x v="9"/>
    <n v="31237"/>
    <n v="30360"/>
    <n v="877"/>
    <n v="2.33"/>
    <n v="14728"/>
    <n v="13018"/>
    <n v="1710"/>
    <n v="11.61"/>
    <n v="2.0613796849999999"/>
    <n v="27.17584214922049"/>
    <m/>
    <m/>
    <m/>
    <m/>
    <m/>
    <m/>
    <x v="0"/>
    <m/>
    <m/>
    <m/>
    <x v="0"/>
    <x v="0"/>
    <m/>
  </r>
  <r>
    <n v="29"/>
    <x v="7"/>
    <x v="16"/>
    <x v="10"/>
    <n v="31052"/>
    <n v="30486"/>
    <n v="566"/>
    <m/>
    <n v="14794"/>
    <m/>
    <m/>
    <m/>
    <n v="2.0607002840000002"/>
    <n v="27.014894209354118"/>
    <n v="31052"/>
    <n v="277"/>
    <n v="-139"/>
    <n v="-46"/>
    <n v="416"/>
    <n v="14794"/>
    <x v="0"/>
    <m/>
    <n v="30486"/>
    <n v="73"/>
    <x v="0"/>
    <x v="0"/>
    <n v="2.0607002840000002"/>
  </r>
  <r>
    <n v="29"/>
    <x v="7"/>
    <x v="16"/>
    <x v="11"/>
    <n v="31386"/>
    <n v="30916"/>
    <n v="470"/>
    <m/>
    <n v="14860"/>
    <m/>
    <m/>
    <m/>
    <n v="2.0804845219999999"/>
    <n v="27.305470489977726"/>
    <n v="31386"/>
    <n v="300"/>
    <n v="-191"/>
    <n v="525"/>
    <n v="491"/>
    <n v="14860"/>
    <x v="0"/>
    <m/>
    <n v="30916"/>
    <n v="223"/>
    <x v="0"/>
    <x v="0"/>
    <n v="2.0804845219999999"/>
  </r>
  <r>
    <n v="29"/>
    <x v="7"/>
    <x v="16"/>
    <x v="12"/>
    <n v="31581"/>
    <n v="31086"/>
    <n v="495"/>
    <m/>
    <n v="15081"/>
    <m/>
    <m/>
    <m/>
    <n v="2.061269147"/>
    <n v="27.475118318485521"/>
    <n v="31581"/>
    <n v="261"/>
    <n v="-242"/>
    <n v="437"/>
    <n v="503"/>
    <n v="15081"/>
    <x v="0"/>
    <m/>
    <n v="31086"/>
    <n v="60"/>
    <x v="0"/>
    <x v="0"/>
    <n v="2.061269147"/>
  </r>
  <r>
    <n v="31"/>
    <x v="0"/>
    <x v="17"/>
    <x v="0"/>
    <n v="604879"/>
    <n v="588898"/>
    <n v="15981"/>
    <n v="2.2200000000000002"/>
    <n v="287392"/>
    <n v="265233"/>
    <n v="22159"/>
    <n v="7.71"/>
    <n v="2.0491106220000002"/>
    <n v="3885.8987536939485"/>
    <m/>
    <m/>
    <m/>
    <m/>
    <m/>
    <m/>
    <x v="0"/>
    <m/>
    <m/>
    <m/>
    <x v="0"/>
    <x v="0"/>
    <m/>
  </r>
  <r>
    <n v="31"/>
    <x v="0"/>
    <x v="17"/>
    <x v="1"/>
    <n v="620229"/>
    <n v="604024"/>
    <n v="16205"/>
    <n v="2.2200000000000002"/>
    <n v="288388"/>
    <n v="272237"/>
    <n v="16151"/>
    <n v="5.6"/>
    <n v="2.0944838200000002"/>
    <n v="3984.5111139663368"/>
    <m/>
    <m/>
    <m/>
    <m/>
    <m/>
    <m/>
    <x v="0"/>
    <m/>
    <m/>
    <m/>
    <x v="0"/>
    <x v="0"/>
    <m/>
  </r>
  <r>
    <n v="31"/>
    <x v="0"/>
    <x v="17"/>
    <x v="2"/>
    <n v="632924"/>
    <n v="616740"/>
    <n v="16184"/>
    <n v="2.2200000000000002"/>
    <n v="290342"/>
    <n v="278164"/>
    <n v="12178"/>
    <n v="4.1900000000000004"/>
    <n v="2.1241845819999998"/>
    <n v="4066.0670692535014"/>
    <m/>
    <m/>
    <m/>
    <m/>
    <m/>
    <m/>
    <x v="0"/>
    <m/>
    <m/>
    <m/>
    <x v="0"/>
    <x v="0"/>
    <m/>
  </r>
  <r>
    <n v="31"/>
    <x v="0"/>
    <x v="17"/>
    <x v="3"/>
    <n v="645302"/>
    <n v="629224"/>
    <n v="16078"/>
    <n v="2.2200000000000002"/>
    <n v="295120"/>
    <n v="283994"/>
    <n v="11126"/>
    <n v="3.77"/>
    <n v="2.1320954190000001"/>
    <n v="4145.5865347552362"/>
    <m/>
    <m/>
    <m/>
    <m/>
    <m/>
    <m/>
    <x v="0"/>
    <m/>
    <m/>
    <m/>
    <x v="0"/>
    <x v="0"/>
    <m/>
  </r>
  <r>
    <n v="31"/>
    <x v="0"/>
    <x v="17"/>
    <x v="4"/>
    <n v="658632"/>
    <n v="642474"/>
    <n v="16158"/>
    <n v="2.21"/>
    <n v="300889"/>
    <n v="290179"/>
    <n v="10710"/>
    <n v="3.56"/>
    <n v="2.1352525349999998"/>
    <n v="4231.2218938712576"/>
    <m/>
    <m/>
    <m/>
    <m/>
    <m/>
    <m/>
    <x v="0"/>
    <m/>
    <m/>
    <m/>
    <x v="0"/>
    <x v="0"/>
    <m/>
  </r>
  <r>
    <n v="31"/>
    <x v="0"/>
    <x v="17"/>
    <x v="5"/>
    <n v="675534"/>
    <n v="659092"/>
    <n v="16442"/>
    <n v="2.21"/>
    <n v="306476"/>
    <n v="297895"/>
    <n v="8581"/>
    <n v="2.8"/>
    <n v="2.1505501250000001"/>
    <n v="4339.8047025568549"/>
    <m/>
    <m/>
    <m/>
    <m/>
    <m/>
    <m/>
    <x v="0"/>
    <m/>
    <m/>
    <m/>
    <x v="0"/>
    <x v="0"/>
    <m/>
  </r>
  <r>
    <n v="31"/>
    <x v="0"/>
    <x v="17"/>
    <x v="6"/>
    <n v="686468"/>
    <n v="670083"/>
    <n v="16385"/>
    <n v="2.21"/>
    <n v="314369"/>
    <n v="303076"/>
    <n v="11293"/>
    <n v="3.59"/>
    <n v="2.1315174209999999"/>
    <n v="4410.0475395091871"/>
    <m/>
    <m/>
    <m/>
    <m/>
    <m/>
    <m/>
    <x v="0"/>
    <m/>
    <m/>
    <m/>
    <x v="0"/>
    <x v="0"/>
    <m/>
  </r>
  <r>
    <n v="31"/>
    <x v="0"/>
    <x v="17"/>
    <x v="7"/>
    <n v="693134"/>
    <n v="676812"/>
    <n v="16322"/>
    <n v="2.21"/>
    <n v="321058"/>
    <n v="306336"/>
    <n v="14722"/>
    <n v="4.59"/>
    <n v="2.108067701"/>
    <n v="4452.8716433251957"/>
    <m/>
    <m/>
    <m/>
    <m/>
    <m/>
    <m/>
    <x v="0"/>
    <m/>
    <m/>
    <m/>
    <x v="0"/>
    <x v="0"/>
    <m/>
  </r>
  <r>
    <n v="31"/>
    <x v="0"/>
    <x v="17"/>
    <x v="8"/>
    <n v="702679"/>
    <n v="686379"/>
    <n v="16300"/>
    <n v="2.21"/>
    <n v="331306"/>
    <n v="310886"/>
    <n v="20420"/>
    <n v="6.16"/>
    <n v="2.0717373060000002"/>
    <n v="4514.1911859180263"/>
    <m/>
    <m/>
    <m/>
    <m/>
    <m/>
    <m/>
    <x v="0"/>
    <m/>
    <m/>
    <m/>
    <x v="0"/>
    <x v="0"/>
    <m/>
  </r>
  <r>
    <n v="31"/>
    <x v="0"/>
    <x v="17"/>
    <x v="9"/>
    <n v="710143"/>
    <n v="693851"/>
    <n v="16292"/>
    <n v="2.21"/>
    <n v="338605"/>
    <n v="314493"/>
    <n v="24112"/>
    <n v="7.12"/>
    <n v="2.04914576"/>
    <n v="4562.1418476166"/>
    <m/>
    <m/>
    <m/>
    <m/>
    <m/>
    <m/>
    <x v="0"/>
    <m/>
    <m/>
    <m/>
    <x v="0"/>
    <x v="0"/>
    <m/>
  </r>
  <r>
    <n v="31"/>
    <x v="0"/>
    <x v="17"/>
    <x v="10"/>
    <n v="717545"/>
    <n v="701933"/>
    <n v="15612"/>
    <m/>
    <n v="347042"/>
    <m/>
    <m/>
    <m/>
    <n v="2.0226168590000002"/>
    <n v="4609.6942053192861"/>
    <n v="717545"/>
    <n v="8696"/>
    <n v="3572"/>
    <n v="3830"/>
    <n v="5124"/>
    <n v="347042"/>
    <x v="0"/>
    <m/>
    <n v="701933"/>
    <n v="5059"/>
    <x v="0"/>
    <x v="0"/>
    <n v="2.0226168590000002"/>
  </r>
  <r>
    <n v="31"/>
    <x v="0"/>
    <x v="17"/>
    <x v="11"/>
    <n v="711375"/>
    <n v="697456"/>
    <n v="13919"/>
    <m/>
    <n v="352130"/>
    <m/>
    <m/>
    <m/>
    <n v="1.9806775910000001"/>
    <n v="4570.0565334703842"/>
    <n v="711375"/>
    <n v="8557"/>
    <n v="3392"/>
    <n v="-9562"/>
    <n v="5165"/>
    <n v="352130"/>
    <x v="0"/>
    <m/>
    <n v="697456"/>
    <n v="10000"/>
    <x v="0"/>
    <x v="0"/>
    <n v="1.9806775910000001"/>
  </r>
  <r>
    <n v="31"/>
    <x v="0"/>
    <x v="17"/>
    <x v="12"/>
    <n v="712637"/>
    <n v="697243"/>
    <n v="15394"/>
    <m/>
    <n v="360938"/>
    <m/>
    <m/>
    <m/>
    <n v="1.931752822"/>
    <n v="4578.1639470641139"/>
    <n v="712637"/>
    <n v="8165"/>
    <n v="2761"/>
    <n v="-1499"/>
    <n v="5404"/>
    <n v="360938"/>
    <x v="0"/>
    <m/>
    <n v="697243"/>
    <n v="8296"/>
    <x v="0"/>
    <x v="0"/>
    <n v="1.931752822"/>
  </r>
  <r>
    <n v="33"/>
    <x v="2"/>
    <x v="18"/>
    <x v="0"/>
    <n v="2060"/>
    <n v="2060"/>
    <n v="0"/>
    <n v="3.04"/>
    <n v="1060"/>
    <n v="678"/>
    <n v="382"/>
    <n v="36.04"/>
    <n v="1.9433962259999999"/>
    <n v="1.9128448459974186"/>
    <m/>
    <m/>
    <m/>
    <m/>
    <m/>
    <m/>
    <x v="0"/>
    <m/>
    <m/>
    <m/>
    <x v="0"/>
    <x v="0"/>
    <m/>
  </r>
  <r>
    <n v="33"/>
    <x v="2"/>
    <x v="18"/>
    <x v="1"/>
    <n v="2065"/>
    <n v="2065"/>
    <n v="0"/>
    <n v="2.29"/>
    <n v="1096"/>
    <n v="903"/>
    <n v="193"/>
    <n v="17.600000000000001"/>
    <n v="1.8841240880000001"/>
    <n v="1.9174876732935286"/>
    <m/>
    <m/>
    <m/>
    <m/>
    <m/>
    <m/>
    <x v="0"/>
    <m/>
    <m/>
    <m/>
    <x v="0"/>
    <x v="0"/>
    <m/>
  </r>
  <r>
    <n v="33"/>
    <x v="2"/>
    <x v="18"/>
    <x v="2"/>
    <n v="2078"/>
    <n v="2078"/>
    <n v="0"/>
    <n v="2.2799999999999998"/>
    <n v="1156"/>
    <n v="912"/>
    <n v="244"/>
    <n v="21.15"/>
    <n v="1.7975778549999999"/>
    <n v="1.9295590242634153"/>
    <m/>
    <m/>
    <m/>
    <m/>
    <m/>
    <m/>
    <x v="0"/>
    <m/>
    <m/>
    <m/>
    <x v="0"/>
    <x v="0"/>
    <m/>
  </r>
  <r>
    <n v="33"/>
    <x v="2"/>
    <x v="18"/>
    <x v="3"/>
    <n v="2082"/>
    <n v="2082"/>
    <n v="0"/>
    <n v="2.27"/>
    <n v="1186"/>
    <n v="916"/>
    <n v="270"/>
    <n v="22.78"/>
    <n v="1.755480607"/>
    <n v="1.9332732861003035"/>
    <m/>
    <m/>
    <m/>
    <m/>
    <m/>
    <m/>
    <x v="0"/>
    <m/>
    <m/>
    <m/>
    <x v="0"/>
    <x v="0"/>
    <m/>
  </r>
  <r>
    <n v="33"/>
    <x v="2"/>
    <x v="18"/>
    <x v="4"/>
    <n v="2084"/>
    <n v="2084"/>
    <n v="0"/>
    <n v="2.27"/>
    <n v="1212"/>
    <n v="919"/>
    <n v="293"/>
    <n v="24.14"/>
    <n v="1.7194719469999999"/>
    <n v="1.9351304170187476"/>
    <m/>
    <m/>
    <m/>
    <m/>
    <m/>
    <m/>
    <x v="0"/>
    <m/>
    <m/>
    <m/>
    <x v="0"/>
    <x v="0"/>
    <m/>
  </r>
  <r>
    <n v="33"/>
    <x v="2"/>
    <x v="18"/>
    <x v="5"/>
    <n v="2087"/>
    <n v="2087"/>
    <n v="0"/>
    <n v="2.2599999999999998"/>
    <n v="1243"/>
    <n v="924"/>
    <n v="319"/>
    <n v="25.68"/>
    <n v="1.6790024139999999"/>
    <n v="1.9379161133964138"/>
    <m/>
    <m/>
    <m/>
    <m/>
    <m/>
    <m/>
    <x v="0"/>
    <m/>
    <m/>
    <m/>
    <x v="0"/>
    <x v="0"/>
    <m/>
  </r>
  <r>
    <n v="33"/>
    <x v="2"/>
    <x v="18"/>
    <x v="6"/>
    <n v="2088"/>
    <n v="2088"/>
    <n v="0"/>
    <n v="2.25"/>
    <n v="1267"/>
    <n v="927"/>
    <n v="340"/>
    <n v="26.82"/>
    <n v="1.647987372"/>
    <n v="1.9388446788556357"/>
    <m/>
    <m/>
    <m/>
    <m/>
    <m/>
    <m/>
    <x v="0"/>
    <m/>
    <m/>
    <m/>
    <x v="0"/>
    <x v="0"/>
    <m/>
  </r>
  <r>
    <n v="33"/>
    <x v="2"/>
    <x v="18"/>
    <x v="7"/>
    <n v="2088"/>
    <n v="2088"/>
    <n v="0"/>
    <n v="2.25"/>
    <n v="1287"/>
    <n v="930"/>
    <n v="357"/>
    <n v="27.73"/>
    <n v="1.6223776219999999"/>
    <n v="1.9388446788556357"/>
    <m/>
    <m/>
    <m/>
    <m/>
    <m/>
    <m/>
    <x v="0"/>
    <m/>
    <m/>
    <m/>
    <x v="0"/>
    <x v="0"/>
    <m/>
  </r>
  <r>
    <n v="33"/>
    <x v="2"/>
    <x v="18"/>
    <x v="8"/>
    <n v="2091"/>
    <n v="2091"/>
    <n v="0"/>
    <n v="2.2400000000000002"/>
    <n v="1317"/>
    <n v="934"/>
    <n v="383"/>
    <n v="29.06"/>
    <n v="1.587699317"/>
    <n v="1.941630375233302"/>
    <m/>
    <m/>
    <m/>
    <m/>
    <m/>
    <m/>
    <x v="0"/>
    <m/>
    <m/>
    <m/>
    <x v="0"/>
    <x v="0"/>
    <m/>
  </r>
  <r>
    <n v="33"/>
    <x v="2"/>
    <x v="18"/>
    <x v="9"/>
    <n v="2085"/>
    <n v="2085"/>
    <n v="0"/>
    <n v="2.23"/>
    <n v="1318"/>
    <n v="934"/>
    <n v="384"/>
    <n v="29.1"/>
    <n v="1.5819423370000001"/>
    <n v="1.9360589824779697"/>
    <m/>
    <m/>
    <m/>
    <m/>
    <m/>
    <m/>
    <x v="0"/>
    <m/>
    <m/>
    <m/>
    <x v="0"/>
    <x v="0"/>
    <m/>
  </r>
  <r>
    <n v="33"/>
    <x v="2"/>
    <x v="18"/>
    <x v="10"/>
    <n v="2078"/>
    <n v="2078"/>
    <n v="0"/>
    <m/>
    <n v="1321"/>
    <m/>
    <m/>
    <m/>
    <n v="1.573050719"/>
    <n v="1.9295590242634153"/>
    <n v="2078"/>
    <n v="13"/>
    <n v="-12"/>
    <n v="5"/>
    <n v="25"/>
    <n v="1321"/>
    <x v="0"/>
    <m/>
    <n v="2078"/>
    <n v="6"/>
    <x v="0"/>
    <x v="0"/>
    <n v="1.573050719"/>
  </r>
  <r>
    <n v="33"/>
    <x v="2"/>
    <x v="18"/>
    <x v="11"/>
    <n v="2121"/>
    <n v="2121"/>
    <n v="0"/>
    <m/>
    <n v="1337"/>
    <m/>
    <m/>
    <m/>
    <n v="1.586387435"/>
    <n v="1.9694873390099634"/>
    <n v="2121"/>
    <n v="16"/>
    <n v="-14"/>
    <n v="57"/>
    <n v="30"/>
    <n v="1337"/>
    <x v="0"/>
    <m/>
    <n v="2121"/>
    <n v="6"/>
    <x v="0"/>
    <x v="0"/>
    <n v="1.586387435"/>
  </r>
  <r>
    <n v="33"/>
    <x v="2"/>
    <x v="18"/>
    <x v="12"/>
    <n v="2203"/>
    <n v="2203"/>
    <n v="0"/>
    <m/>
    <n v="1357"/>
    <m/>
    <m/>
    <m/>
    <n v="1.6234340460000001"/>
    <n v="2.0456297066661713"/>
    <n v="2203"/>
    <n v="20"/>
    <n v="-22"/>
    <n v="104"/>
    <n v="42"/>
    <n v="1357"/>
    <x v="0"/>
    <m/>
    <n v="2203"/>
    <n v="2"/>
    <x v="0"/>
    <x v="0"/>
    <n v="1.6234340460000001"/>
  </r>
  <r>
    <n v="35"/>
    <x v="0"/>
    <x v="19"/>
    <x v="0"/>
    <n v="287124"/>
    <n v="286324"/>
    <n v="800"/>
    <n v="2.79"/>
    <n v="107260"/>
    <n v="102559"/>
    <n v="4701"/>
    <n v="4.38"/>
    <n v="2.6694387470000001"/>
    <n v="340.8809212869524"/>
    <m/>
    <m/>
    <m/>
    <m/>
    <m/>
    <m/>
    <x v="0"/>
    <m/>
    <m/>
    <m/>
    <x v="0"/>
    <x v="0"/>
    <m/>
  </r>
  <r>
    <n v="35"/>
    <x v="0"/>
    <x v="19"/>
    <x v="1"/>
    <n v="292623"/>
    <n v="291772"/>
    <n v="851"/>
    <n v="2.79"/>
    <n v="108031"/>
    <n v="104563"/>
    <n v="3468"/>
    <n v="3.21"/>
    <n v="2.7008173580000001"/>
    <n v="347.40947405912385"/>
    <m/>
    <m/>
    <m/>
    <m/>
    <m/>
    <m/>
    <x v="0"/>
    <m/>
    <m/>
    <m/>
    <x v="0"/>
    <x v="0"/>
    <m/>
  </r>
  <r>
    <n v="35"/>
    <x v="0"/>
    <x v="19"/>
    <x v="2"/>
    <n v="298733"/>
    <n v="297801"/>
    <n v="932"/>
    <n v="2.79"/>
    <n v="109233"/>
    <n v="106782"/>
    <n v="2451"/>
    <n v="2.2400000000000002"/>
    <n v="2.7262915049999998"/>
    <n v="354.66342158375875"/>
    <m/>
    <m/>
    <m/>
    <m/>
    <m/>
    <m/>
    <x v="0"/>
    <m/>
    <m/>
    <m/>
    <x v="0"/>
    <x v="0"/>
    <m/>
  </r>
  <r>
    <n v="35"/>
    <x v="0"/>
    <x v="19"/>
    <x v="3"/>
    <n v="306327"/>
    <n v="305221"/>
    <n v="1106"/>
    <n v="2.79"/>
    <n v="111597"/>
    <n v="109511"/>
    <n v="2086"/>
    <n v="1.87"/>
    <n v="2.7350287190000002"/>
    <n v="363.6792116822985"/>
    <m/>
    <m/>
    <m/>
    <m/>
    <m/>
    <m/>
    <x v="0"/>
    <m/>
    <m/>
    <m/>
    <x v="0"/>
    <x v="0"/>
    <m/>
  </r>
  <r>
    <n v="35"/>
    <x v="0"/>
    <x v="19"/>
    <x v="4"/>
    <n v="314609"/>
    <n v="313424"/>
    <n v="1185"/>
    <n v="2.79"/>
    <n v="114036"/>
    <n v="112530"/>
    <n v="1506"/>
    <n v="1.32"/>
    <n v="2.7484653969999999"/>
    <n v="373.51181289326843"/>
    <m/>
    <m/>
    <m/>
    <m/>
    <m/>
    <m/>
    <x v="0"/>
    <m/>
    <m/>
    <m/>
    <x v="0"/>
    <x v="0"/>
    <m/>
  </r>
  <r>
    <n v="35"/>
    <x v="0"/>
    <x v="19"/>
    <x v="5"/>
    <n v="322079"/>
    <n v="320816"/>
    <n v="1263"/>
    <n v="2.78"/>
    <n v="117377"/>
    <n v="115347"/>
    <n v="2030"/>
    <n v="1.73"/>
    <n v="2.733210084"/>
    <n v="382.38038703549807"/>
    <m/>
    <m/>
    <m/>
    <m/>
    <m/>
    <m/>
    <x v="0"/>
    <m/>
    <m/>
    <m/>
    <x v="0"/>
    <x v="0"/>
    <m/>
  </r>
  <r>
    <n v="35"/>
    <x v="0"/>
    <x v="19"/>
    <x v="6"/>
    <n v="328333"/>
    <n v="326991"/>
    <n v="1342"/>
    <n v="2.77"/>
    <n v="119437"/>
    <n v="117953"/>
    <n v="1484"/>
    <n v="1.24"/>
    <n v="2.7377697030000001"/>
    <n v="389.80529502552537"/>
    <m/>
    <m/>
    <m/>
    <m/>
    <m/>
    <m/>
    <x v="0"/>
    <m/>
    <m/>
    <m/>
    <x v="0"/>
    <x v="0"/>
    <m/>
  </r>
  <r>
    <n v="35"/>
    <x v="0"/>
    <x v="19"/>
    <x v="7"/>
    <n v="335933"/>
    <n v="334512"/>
    <n v="1421"/>
    <n v="2.77"/>
    <n v="122812"/>
    <n v="120764"/>
    <n v="2048"/>
    <n v="1.67"/>
    <n v="2.7237729210000001"/>
    <n v="398.82820847678977"/>
    <m/>
    <m/>
    <m/>
    <m/>
    <m/>
    <m/>
    <x v="0"/>
    <m/>
    <m/>
    <m/>
    <x v="0"/>
    <x v="0"/>
    <m/>
  </r>
  <r>
    <n v="35"/>
    <x v="0"/>
    <x v="19"/>
    <x v="8"/>
    <n v="343267"/>
    <n v="341768"/>
    <n v="1499"/>
    <n v="2.76"/>
    <n v="128333"/>
    <n v="123660"/>
    <n v="4673"/>
    <n v="3.64"/>
    <n v="2.6631341900000001"/>
    <n v="407.5353199572599"/>
    <m/>
    <m/>
    <m/>
    <m/>
    <m/>
    <m/>
    <x v="0"/>
    <m/>
    <m/>
    <m/>
    <x v="0"/>
    <x v="0"/>
    <m/>
  </r>
  <r>
    <n v="35"/>
    <x v="0"/>
    <x v="19"/>
    <x v="9"/>
    <n v="351212"/>
    <n v="349635"/>
    <n v="1577"/>
    <n v="2.76"/>
    <n v="132630"/>
    <n v="126845"/>
    <n v="5785"/>
    <n v="4.3600000000000003"/>
    <n v="2.6361682879999999"/>
    <n v="416.96782619019353"/>
    <m/>
    <m/>
    <m/>
    <m/>
    <m/>
    <m/>
    <x v="0"/>
    <m/>
    <m/>
    <m/>
    <x v="0"/>
    <x v="0"/>
    <m/>
  </r>
  <r>
    <n v="35"/>
    <x v="0"/>
    <x v="19"/>
    <x v="10"/>
    <n v="360272"/>
    <n v="358629"/>
    <n v="1643"/>
    <m/>
    <n v="136477"/>
    <m/>
    <m/>
    <m/>
    <n v="2.6277614539999998"/>
    <n v="427.72408880446397"/>
    <n v="360272"/>
    <n v="3583"/>
    <n v="1828"/>
    <n v="7232"/>
    <n v="1755"/>
    <n v="136477"/>
    <x v="0"/>
    <m/>
    <n v="358629"/>
    <n v="3370"/>
    <x v="0"/>
    <x v="0"/>
    <n v="2.6277614539999998"/>
  </r>
  <r>
    <n v="35"/>
    <x v="0"/>
    <x v="19"/>
    <x v="11"/>
    <n v="369758"/>
    <n v="368151"/>
    <n v="1607"/>
    <m/>
    <n v="140356"/>
    <m/>
    <m/>
    <m/>
    <n v="2.6229801359999998"/>
    <n v="438.9861094621869"/>
    <n v="369758"/>
    <n v="3529"/>
    <n v="1657"/>
    <n v="7829"/>
    <n v="1872"/>
    <n v="140356"/>
    <x v="0"/>
    <m/>
    <n v="368151"/>
    <n v="6059"/>
    <x v="0"/>
    <x v="0"/>
    <n v="2.6229801359999998"/>
  </r>
  <r>
    <n v="35"/>
    <x v="0"/>
    <x v="19"/>
    <x v="12"/>
    <n v="376026"/>
    <n v="374404"/>
    <n v="1622"/>
    <m/>
    <n v="145974"/>
    <m/>
    <m/>
    <m/>
    <n v="2.5648677160000002"/>
    <n v="446.42763860857178"/>
    <n v="376026"/>
    <n v="3850"/>
    <n v="1724"/>
    <n v="4544"/>
    <n v="2126"/>
    <n v="145974"/>
    <x v="0"/>
    <m/>
    <n v="374404"/>
    <n v="4767"/>
    <x v="0"/>
    <x v="0"/>
    <n v="2.5648677160000002"/>
  </r>
  <r>
    <n v="37"/>
    <x v="8"/>
    <x v="20"/>
    <x v="0"/>
    <n v="52057"/>
    <n v="52002"/>
    <n v="55"/>
    <n v="2.75"/>
    <n v="30810"/>
    <n v="18902"/>
    <n v="11908"/>
    <n v="38.65"/>
    <n v="1.687828627"/>
    <n v="30.608081093158354"/>
    <m/>
    <m/>
    <m/>
    <m/>
    <m/>
    <m/>
    <x v="0"/>
    <m/>
    <m/>
    <m/>
    <x v="0"/>
    <x v="0"/>
    <m/>
  </r>
  <r>
    <n v="37"/>
    <x v="8"/>
    <x v="20"/>
    <x v="1"/>
    <n v="52120"/>
    <n v="52060"/>
    <n v="60"/>
    <n v="2.71"/>
    <n v="30875"/>
    <n v="19227"/>
    <n v="11648"/>
    <n v="37.729999999999997"/>
    <n v="1.6861538460000001"/>
    <n v="30.645123356617042"/>
    <m/>
    <m/>
    <m/>
    <m/>
    <m/>
    <m/>
    <x v="0"/>
    <m/>
    <m/>
    <m/>
    <x v="0"/>
    <x v="0"/>
    <m/>
  </r>
  <r>
    <n v="37"/>
    <x v="8"/>
    <x v="20"/>
    <x v="2"/>
    <n v="52160"/>
    <n v="52094"/>
    <n v="65"/>
    <n v="2.7"/>
    <n v="30927"/>
    <n v="19262"/>
    <n v="11665"/>
    <n v="37.72"/>
    <n v="1.6844181460000001"/>
    <n v="30.668642254051129"/>
    <m/>
    <m/>
    <m/>
    <m/>
    <m/>
    <m/>
    <x v="0"/>
    <m/>
    <m/>
    <m/>
    <x v="0"/>
    <x v="0"/>
    <m/>
  </r>
  <r>
    <n v="37"/>
    <x v="8"/>
    <x v="20"/>
    <x v="3"/>
    <n v="52262"/>
    <n v="52192"/>
    <n v="71"/>
    <n v="2.7"/>
    <n v="31014"/>
    <n v="19320"/>
    <n v="11694"/>
    <n v="37.71"/>
    <n v="1.6828529050000001"/>
    <n v="30.728615442508055"/>
    <m/>
    <m/>
    <m/>
    <m/>
    <m/>
    <m/>
    <x v="0"/>
    <m/>
    <m/>
    <m/>
    <x v="0"/>
    <x v="0"/>
    <m/>
  </r>
  <r>
    <n v="37"/>
    <x v="8"/>
    <x v="20"/>
    <x v="4"/>
    <n v="52398"/>
    <n v="52323"/>
    <n v="76"/>
    <n v="2.7"/>
    <n v="31120"/>
    <n v="19391"/>
    <n v="11729"/>
    <n v="37.69"/>
    <n v="1.6813303340000001"/>
    <n v="30.808579693783955"/>
    <m/>
    <m/>
    <m/>
    <m/>
    <m/>
    <m/>
    <x v="0"/>
    <m/>
    <m/>
    <m/>
    <x v="0"/>
    <x v="0"/>
    <m/>
  </r>
  <r>
    <n v="37"/>
    <x v="8"/>
    <x v="20"/>
    <x v="5"/>
    <n v="52780"/>
    <n v="52699"/>
    <n v="81"/>
    <n v="2.7"/>
    <n v="31363"/>
    <n v="19553"/>
    <n v="11810"/>
    <n v="37.659999999999997"/>
    <n v="1.6802920640000001"/>
    <n v="31.033185164279498"/>
    <m/>
    <m/>
    <m/>
    <m/>
    <m/>
    <m/>
    <x v="0"/>
    <m/>
    <m/>
    <m/>
    <x v="0"/>
    <x v="0"/>
    <m/>
  </r>
  <r>
    <n v="37"/>
    <x v="8"/>
    <x v="20"/>
    <x v="6"/>
    <n v="53041"/>
    <n v="52955"/>
    <n v="86"/>
    <n v="2.69"/>
    <n v="31539"/>
    <n v="19670"/>
    <n v="11869"/>
    <n v="37.630000000000003"/>
    <n v="1.6790323089999999"/>
    <n v="31.186645970036924"/>
    <m/>
    <m/>
    <m/>
    <m/>
    <m/>
    <m/>
    <x v="0"/>
    <m/>
    <m/>
    <m/>
    <x v="0"/>
    <x v="0"/>
    <m/>
  </r>
  <r>
    <n v="37"/>
    <x v="8"/>
    <x v="20"/>
    <x v="7"/>
    <n v="53724"/>
    <n v="53633"/>
    <n v="91"/>
    <n v="2.69"/>
    <n v="31951"/>
    <n v="19945"/>
    <n v="12006"/>
    <n v="37.58"/>
    <n v="1.678601609"/>
    <n v="31.588231143723981"/>
    <m/>
    <m/>
    <m/>
    <m/>
    <m/>
    <m/>
    <x v="0"/>
    <m/>
    <m/>
    <m/>
    <x v="0"/>
    <x v="0"/>
    <m/>
  </r>
  <r>
    <n v="37"/>
    <x v="8"/>
    <x v="20"/>
    <x v="8"/>
    <n v="54205"/>
    <n v="54108"/>
    <n v="97"/>
    <n v="2.69"/>
    <n v="32251"/>
    <n v="20145"/>
    <n v="12106"/>
    <n v="37.54"/>
    <n v="1.67771542"/>
    <n v="31.871045885368893"/>
    <m/>
    <m/>
    <m/>
    <m/>
    <m/>
    <m/>
    <x v="0"/>
    <m/>
    <m/>
    <m/>
    <x v="0"/>
    <x v="0"/>
    <m/>
  </r>
  <r>
    <n v="37"/>
    <x v="8"/>
    <x v="20"/>
    <x v="9"/>
    <n v="54819"/>
    <n v="54717"/>
    <n v="102"/>
    <n v="2.68"/>
    <n v="32626"/>
    <n v="20395"/>
    <n v="12231"/>
    <n v="37.49"/>
    <n v="1.6770980200000001"/>
    <n v="32.232060960982146"/>
    <m/>
    <m/>
    <m/>
    <m/>
    <m/>
    <m/>
    <x v="0"/>
    <m/>
    <m/>
    <m/>
    <x v="0"/>
    <x v="0"/>
    <m/>
  </r>
  <r>
    <n v="37"/>
    <x v="8"/>
    <x v="20"/>
    <x v="10"/>
    <n v="55667"/>
    <n v="55568"/>
    <n v="99"/>
    <m/>
    <n v="33102"/>
    <m/>
    <m/>
    <m/>
    <n v="1.6786901089999999"/>
    <n v="32.730661586584823"/>
    <n v="55667"/>
    <n v="529"/>
    <n v="358"/>
    <n v="490"/>
    <n v="171"/>
    <n v="33102"/>
    <x v="0"/>
    <m/>
    <n v="55568"/>
    <n v="403"/>
    <x v="0"/>
    <x v="0"/>
    <n v="1.6786901089999999"/>
  </r>
  <r>
    <n v="37"/>
    <x v="8"/>
    <x v="20"/>
    <x v="11"/>
    <n v="55785"/>
    <n v="55688"/>
    <n v="97"/>
    <m/>
    <n v="33694"/>
    <m/>
    <m/>
    <m/>
    <n v="1.6527571670000001"/>
    <n v="32.80004233401538"/>
    <n v="55785"/>
    <n v="518"/>
    <n v="351"/>
    <n v="-233"/>
    <n v="167"/>
    <n v="33694"/>
    <x v="0"/>
    <m/>
    <n v="55688"/>
    <n v="439"/>
    <x v="0"/>
    <x v="0"/>
    <n v="1.6527571670000001"/>
  </r>
  <r>
    <n v="37"/>
    <x v="8"/>
    <x v="20"/>
    <x v="12"/>
    <n v="55291"/>
    <n v="55190"/>
    <n v="101"/>
    <m/>
    <n v="34333"/>
    <m/>
    <m/>
    <m/>
    <n v="1.607491335"/>
    <n v="32.509583950704389"/>
    <n v="55291"/>
    <n v="523"/>
    <n v="344"/>
    <n v="-838"/>
    <n v="179"/>
    <n v="34333"/>
    <x v="0"/>
    <m/>
    <n v="55190"/>
    <n v="268"/>
    <x v="0"/>
    <x v="0"/>
    <n v="1.607491335"/>
  </r>
  <r>
    <n v="41"/>
    <x v="9"/>
    <x v="21"/>
    <x v="0"/>
    <n v="627232"/>
    <n v="608091"/>
    <n v="19141"/>
    <n v="2.56"/>
    <n v="253716"/>
    <n v="237924"/>
    <n v="15792"/>
    <n v="6.22"/>
    <n v="2.3967388729999999"/>
    <n v="294.66879639199476"/>
    <m/>
    <m/>
    <m/>
    <m/>
    <m/>
    <m/>
    <x v="0"/>
    <m/>
    <m/>
    <m/>
    <x v="0"/>
    <x v="0"/>
    <m/>
  </r>
  <r>
    <n v="41"/>
    <x v="9"/>
    <x v="21"/>
    <x v="1"/>
    <n v="639139"/>
    <n v="618897"/>
    <n v="20242"/>
    <n v="2.56"/>
    <n v="255593"/>
    <n v="241699"/>
    <n v="13894"/>
    <n v="5.44"/>
    <n v="2.4214160790000001"/>
    <n v="300.26261392464534"/>
    <m/>
    <m/>
    <m/>
    <m/>
    <m/>
    <m/>
    <x v="0"/>
    <m/>
    <m/>
    <m/>
    <x v="0"/>
    <x v="0"/>
    <m/>
  </r>
  <r>
    <n v="41"/>
    <x v="9"/>
    <x v="21"/>
    <x v="2"/>
    <n v="648445"/>
    <n v="628404"/>
    <n v="20041"/>
    <n v="2.57"/>
    <n v="257927"/>
    <n v="244953"/>
    <n v="12974"/>
    <n v="5.03"/>
    <n v="2.436363777"/>
    <n v="304.63450155031478"/>
    <m/>
    <m/>
    <m/>
    <m/>
    <m/>
    <m/>
    <x v="0"/>
    <m/>
    <m/>
    <m/>
    <x v="0"/>
    <x v="0"/>
    <m/>
  </r>
  <r>
    <n v="41"/>
    <x v="9"/>
    <x v="21"/>
    <x v="3"/>
    <n v="658303"/>
    <n v="637964"/>
    <n v="20339"/>
    <n v="2.57"/>
    <n v="261089"/>
    <n v="248215"/>
    <n v="12874"/>
    <n v="4.93"/>
    <n v="2.4434732979999998"/>
    <n v="309.26571455416706"/>
    <m/>
    <m/>
    <m/>
    <m/>
    <m/>
    <m/>
    <x v="0"/>
    <m/>
    <m/>
    <m/>
    <x v="0"/>
    <x v="0"/>
    <m/>
  </r>
  <r>
    <n v="41"/>
    <x v="9"/>
    <x v="21"/>
    <x v="4"/>
    <n v="665754"/>
    <n v="645729"/>
    <n v="20025"/>
    <n v="2.57"/>
    <n v="264933"/>
    <n v="250769"/>
    <n v="14164"/>
    <n v="5.35"/>
    <n v="2.4373294379999999"/>
    <n v="312.76613736728365"/>
    <m/>
    <m/>
    <m/>
    <m/>
    <m/>
    <m/>
    <x v="0"/>
    <m/>
    <m/>
    <m/>
    <x v="0"/>
    <x v="0"/>
    <m/>
  </r>
  <r>
    <n v="41"/>
    <x v="9"/>
    <x v="21"/>
    <x v="5"/>
    <n v="677969"/>
    <n v="657529"/>
    <n v="20440"/>
    <n v="2.58"/>
    <n v="268705"/>
    <n v="254877"/>
    <n v="13828"/>
    <n v="5.15"/>
    <n v="2.4470292699999998"/>
    <n v="318.50465094428262"/>
    <m/>
    <m/>
    <m/>
    <m/>
    <m/>
    <m/>
    <x v="0"/>
    <m/>
    <m/>
    <m/>
    <x v="0"/>
    <x v="0"/>
    <m/>
  </r>
  <r>
    <n v="41"/>
    <x v="9"/>
    <x v="21"/>
    <x v="6"/>
    <n v="692295"/>
    <n v="671321"/>
    <n v="20974"/>
    <n v="2.58"/>
    <n v="272240"/>
    <n v="259740"/>
    <n v="12500"/>
    <n v="4.59"/>
    <n v="2.4659161030000001"/>
    <n v="325.2348961758903"/>
    <m/>
    <m/>
    <m/>
    <m/>
    <m/>
    <m/>
    <x v="0"/>
    <m/>
    <m/>
    <m/>
    <x v="0"/>
    <x v="0"/>
    <m/>
  </r>
  <r>
    <n v="41"/>
    <x v="9"/>
    <x v="21"/>
    <x v="7"/>
    <n v="704797"/>
    <n v="683661"/>
    <n v="21136"/>
    <n v="2.59"/>
    <n v="276227"/>
    <n v="264025"/>
    <n v="12202"/>
    <n v="4.42"/>
    <n v="2.4749970129999999"/>
    <n v="331.10824015785022"/>
    <m/>
    <m/>
    <m/>
    <m/>
    <m/>
    <m/>
    <x v="0"/>
    <m/>
    <m/>
    <m/>
    <x v="0"/>
    <x v="0"/>
    <m/>
  </r>
  <r>
    <n v="41"/>
    <x v="9"/>
    <x v="21"/>
    <x v="8"/>
    <n v="717812"/>
    <n v="696781"/>
    <n v="21031"/>
    <n v="2.59"/>
    <n v="280240"/>
    <n v="268594"/>
    <n v="11646"/>
    <n v="4.16"/>
    <n v="2.4863723950000001"/>
    <n v="337.22258761627364"/>
    <m/>
    <m/>
    <m/>
    <m/>
    <m/>
    <m/>
    <x v="0"/>
    <m/>
    <m/>
    <m/>
    <x v="0"/>
    <x v="0"/>
    <m/>
  </r>
  <r>
    <n v="41"/>
    <x v="9"/>
    <x v="21"/>
    <x v="9"/>
    <n v="725497"/>
    <n v="704321"/>
    <n v="21176"/>
    <n v="2.6"/>
    <n v="284340"/>
    <n v="271000"/>
    <n v="13340"/>
    <n v="4.6900000000000004"/>
    <n v="2.4770380529999998"/>
    <n v="340.83294183970685"/>
    <m/>
    <m/>
    <m/>
    <m/>
    <m/>
    <m/>
    <x v="0"/>
    <m/>
    <m/>
    <m/>
    <x v="0"/>
    <x v="0"/>
    <m/>
  </r>
  <r>
    <n v="41"/>
    <x v="9"/>
    <x v="21"/>
    <x v="10"/>
    <n v="732366"/>
    <n v="711877"/>
    <n v="20489"/>
    <m/>
    <n v="288421"/>
    <m/>
    <m/>
    <m/>
    <n v="2.4681871289999999"/>
    <n v="344.05994550408718"/>
    <n v="732366"/>
    <n v="9003"/>
    <n v="4014"/>
    <n v="2855"/>
    <n v="4989"/>
    <n v="288421"/>
    <x v="0"/>
    <m/>
    <n v="711877"/>
    <n v="6819"/>
    <x v="0"/>
    <x v="0"/>
    <n v="2.4681871289999999"/>
  </r>
  <r>
    <n v="41"/>
    <x v="9"/>
    <x v="21"/>
    <x v="11"/>
    <n v="737202"/>
    <n v="718092"/>
    <n v="19110"/>
    <m/>
    <n v="295128"/>
    <m/>
    <m/>
    <m/>
    <n v="2.4331544279999999"/>
    <n v="346.33186131729775"/>
    <n v="737202"/>
    <n v="9280"/>
    <n v="3355"/>
    <n v="1481"/>
    <n v="5925"/>
    <n v="295128"/>
    <x v="0"/>
    <m/>
    <n v="718092"/>
    <n v="9186"/>
    <x v="0"/>
    <x v="0"/>
    <n v="2.4331544279999999"/>
  </r>
  <r>
    <n v="41"/>
    <x v="9"/>
    <x v="21"/>
    <x v="12"/>
    <n v="740552"/>
    <n v="720084"/>
    <n v="20468"/>
    <m/>
    <n v="304114"/>
    <m/>
    <m/>
    <m/>
    <n v="2.3678094399999998"/>
    <n v="347.90566569576248"/>
    <n v="740552"/>
    <n v="9267"/>
    <n v="3029"/>
    <n v="321"/>
    <n v="6238"/>
    <n v="304114"/>
    <x v="0"/>
    <m/>
    <n v="720084"/>
    <n v="8685"/>
    <x v="0"/>
    <x v="0"/>
    <n v="2.3678094399999998"/>
  </r>
  <r>
    <n v="39"/>
    <x v="5"/>
    <x v="22"/>
    <x v="0"/>
    <n v="23107"/>
    <n v="23034"/>
    <n v="73"/>
    <n v="2.75"/>
    <n v="8949"/>
    <n v="8388"/>
    <n v="561"/>
    <n v="6.27"/>
    <n v="2.5739188739999999"/>
    <n v="12.496484738356372"/>
    <m/>
    <m/>
    <m/>
    <m/>
    <m/>
    <m/>
    <x v="0"/>
    <m/>
    <m/>
    <m/>
    <x v="0"/>
    <x v="0"/>
    <m/>
  </r>
  <r>
    <n v="39"/>
    <x v="5"/>
    <x v="22"/>
    <x v="1"/>
    <n v="23032"/>
    <n v="22959"/>
    <n v="73"/>
    <n v="2.75"/>
    <n v="8956"/>
    <n v="8353"/>
    <n v="603"/>
    <n v="6.73"/>
    <n v="2.563532827"/>
    <n v="12.455924027083739"/>
    <m/>
    <m/>
    <m/>
    <m/>
    <m/>
    <m/>
    <x v="0"/>
    <m/>
    <m/>
    <m/>
    <x v="0"/>
    <x v="0"/>
    <m/>
  </r>
  <r>
    <n v="39"/>
    <x v="5"/>
    <x v="22"/>
    <x v="2"/>
    <n v="23034"/>
    <n v="22961"/>
    <n v="73"/>
    <n v="2.75"/>
    <n v="8960"/>
    <n v="8345"/>
    <n v="615"/>
    <n v="6.86"/>
    <n v="2.562611607"/>
    <n v="12.457005646051009"/>
    <m/>
    <m/>
    <m/>
    <m/>
    <m/>
    <m/>
    <x v="0"/>
    <m/>
    <m/>
    <m/>
    <x v="0"/>
    <x v="0"/>
    <m/>
  </r>
  <r>
    <n v="39"/>
    <x v="5"/>
    <x v="22"/>
    <x v="3"/>
    <n v="23183"/>
    <n v="23111"/>
    <n v="72"/>
    <n v="2.75"/>
    <n v="8978"/>
    <n v="8392"/>
    <n v="586"/>
    <n v="6.53"/>
    <n v="2.5741813320000002"/>
    <n v="12.53758625911264"/>
    <m/>
    <m/>
    <m/>
    <m/>
    <m/>
    <m/>
    <x v="0"/>
    <m/>
    <m/>
    <m/>
    <x v="0"/>
    <x v="0"/>
    <m/>
  </r>
  <r>
    <n v="39"/>
    <x v="5"/>
    <x v="22"/>
    <x v="4"/>
    <n v="23569"/>
    <n v="23497"/>
    <n v="72"/>
    <n v="2.76"/>
    <n v="9029"/>
    <n v="8524"/>
    <n v="505"/>
    <n v="5.59"/>
    <n v="2.6023922920000002"/>
    <n v="12.746338719795791"/>
    <m/>
    <m/>
    <m/>
    <m/>
    <m/>
    <m/>
    <x v="0"/>
    <m/>
    <m/>
    <m/>
    <x v="0"/>
    <x v="0"/>
    <m/>
  </r>
  <r>
    <n v="39"/>
    <x v="5"/>
    <x v="22"/>
    <x v="5"/>
    <n v="24061"/>
    <n v="23989"/>
    <n v="72"/>
    <n v="2.76"/>
    <n v="9116"/>
    <n v="8694"/>
    <n v="422"/>
    <n v="4.63"/>
    <n v="2.6315269859999999"/>
    <n v="13.012416985744263"/>
    <m/>
    <m/>
    <m/>
    <m/>
    <m/>
    <m/>
    <x v="0"/>
    <m/>
    <m/>
    <m/>
    <x v="0"/>
    <x v="0"/>
    <m/>
  </r>
  <r>
    <n v="39"/>
    <x v="5"/>
    <x v="22"/>
    <x v="6"/>
    <n v="24450"/>
    <n v="24379"/>
    <n v="71"/>
    <n v="2.76"/>
    <n v="9236"/>
    <n v="8827"/>
    <n v="409"/>
    <n v="4.43"/>
    <n v="2.6395625809999999"/>
    <n v="13.222791874878318"/>
    <m/>
    <m/>
    <m/>
    <m/>
    <m/>
    <m/>
    <x v="0"/>
    <m/>
    <m/>
    <m/>
    <x v="0"/>
    <x v="0"/>
    <m/>
  </r>
  <r>
    <n v="39"/>
    <x v="5"/>
    <x v="22"/>
    <x v="7"/>
    <n v="24942"/>
    <n v="24871"/>
    <n v="71"/>
    <n v="2.76"/>
    <n v="9328"/>
    <n v="8997"/>
    <n v="331"/>
    <n v="3.55"/>
    <n v="2.6662735849999999"/>
    <n v="13.488870140826791"/>
    <m/>
    <m/>
    <m/>
    <m/>
    <m/>
    <m/>
    <x v="0"/>
    <m/>
    <m/>
    <m/>
    <x v="0"/>
    <x v="0"/>
    <m/>
  </r>
  <r>
    <n v="39"/>
    <x v="5"/>
    <x v="22"/>
    <x v="8"/>
    <n v="25366"/>
    <n v="25296"/>
    <n v="70"/>
    <n v="2.77"/>
    <n v="9463"/>
    <n v="9142"/>
    <n v="321"/>
    <n v="3.39"/>
    <n v="2.67314805"/>
    <n v="13.718173361888075"/>
    <m/>
    <m/>
    <m/>
    <m/>
    <m/>
    <m/>
    <x v="0"/>
    <m/>
    <m/>
    <m/>
    <x v="0"/>
    <x v="0"/>
    <m/>
  </r>
  <r>
    <n v="39"/>
    <x v="5"/>
    <x v="22"/>
    <x v="9"/>
    <n v="25667"/>
    <n v="25597"/>
    <n v="70"/>
    <n v="2.77"/>
    <n v="9673"/>
    <n v="9242"/>
    <n v="431"/>
    <n v="4.46"/>
    <n v="2.6462317789999998"/>
    <n v="13.880957016462242"/>
    <m/>
    <m/>
    <m/>
    <m/>
    <m/>
    <m/>
    <x v="0"/>
    <m/>
    <m/>
    <m/>
    <x v="0"/>
    <x v="0"/>
    <m/>
  </r>
  <r>
    <n v="39"/>
    <x v="5"/>
    <x v="22"/>
    <x v="10"/>
    <n v="26220"/>
    <n v="26159"/>
    <n v="61"/>
    <m/>
    <n v="9858"/>
    <m/>
    <m/>
    <m/>
    <n v="2.6535808479999998"/>
    <n v="14.180024660912455"/>
    <n v="26220"/>
    <n v="233"/>
    <n v="71"/>
    <n v="482"/>
    <n v="162"/>
    <n v="9858"/>
    <x v="0"/>
    <m/>
    <n v="26159"/>
    <n v="296"/>
    <x v="0"/>
    <x v="0"/>
    <n v="2.6535808479999998"/>
  </r>
  <r>
    <n v="39"/>
    <x v="5"/>
    <x v="22"/>
    <x v="11"/>
    <n v="27144"/>
    <n v="27082"/>
    <n v="62"/>
    <m/>
    <n v="10145"/>
    <m/>
    <m/>
    <m/>
    <n v="2.6694923610000001"/>
    <n v="14.679732623791292"/>
    <n v="27144"/>
    <n v="219"/>
    <n v="20"/>
    <n v="904"/>
    <n v="199"/>
    <n v="10145"/>
    <x v="0"/>
    <m/>
    <n v="27082"/>
    <n v="413"/>
    <x v="0"/>
    <x v="0"/>
    <n v="2.6694923610000001"/>
  </r>
  <r>
    <n v="39"/>
    <x v="5"/>
    <x v="22"/>
    <x v="12"/>
    <n v="27821"/>
    <n v="27762"/>
    <n v="59"/>
    <m/>
    <n v="10555"/>
    <m/>
    <m/>
    <m/>
    <n v="2.6302226430000002"/>
    <n v="15.045860644212258"/>
    <n v="27821"/>
    <n v="261"/>
    <n v="31"/>
    <n v="646"/>
    <n v="230"/>
    <n v="10555"/>
    <x v="0"/>
    <m/>
    <n v="27762"/>
    <n v="284"/>
    <x v="0"/>
    <x v="0"/>
    <n v="2.6302226430000002"/>
  </r>
  <r>
    <n v="43"/>
    <x v="4"/>
    <x v="23"/>
    <x v="0"/>
    <n v="46854"/>
    <n v="38150"/>
    <n v="8704"/>
    <n v="2.2799999999999998"/>
    <n v="19448"/>
    <n v="16744"/>
    <n v="2704"/>
    <n v="13.9"/>
    <n v="1.9616412999999999"/>
    <n v="30.56180654756081"/>
    <m/>
    <m/>
    <m/>
    <m/>
    <m/>
    <m/>
    <x v="0"/>
    <m/>
    <m/>
    <m/>
    <x v="0"/>
    <x v="0"/>
    <m/>
  </r>
  <r>
    <n v="43"/>
    <x v="4"/>
    <x v="23"/>
    <x v="1"/>
    <n v="47076"/>
    <n v="38459"/>
    <n v="8618"/>
    <n v="2.2999999999999998"/>
    <n v="19536"/>
    <n v="16735"/>
    <n v="2801"/>
    <n v="14.34"/>
    <n v="1.968622031"/>
    <n v="30.706612136273801"/>
    <m/>
    <m/>
    <m/>
    <m/>
    <m/>
    <m/>
    <x v="0"/>
    <m/>
    <m/>
    <m/>
    <x v="0"/>
    <x v="0"/>
    <m/>
  </r>
  <r>
    <n v="43"/>
    <x v="4"/>
    <x v="23"/>
    <x v="2"/>
    <n v="47130"/>
    <n v="38599"/>
    <n v="8531"/>
    <n v="2.2999999999999998"/>
    <n v="19578"/>
    <n v="16803"/>
    <n v="2775"/>
    <n v="14.18"/>
    <n v="1.9715496990000001"/>
    <n v="30.741835117312096"/>
    <m/>
    <m/>
    <m/>
    <m/>
    <m/>
    <m/>
    <x v="0"/>
    <m/>
    <m/>
    <m/>
    <x v="0"/>
    <x v="0"/>
    <m/>
  </r>
  <r>
    <n v="43"/>
    <x v="4"/>
    <x v="23"/>
    <x v="3"/>
    <n v="47183"/>
    <n v="38739"/>
    <n v="8445"/>
    <n v="2.2999999999999998"/>
    <n v="19620"/>
    <n v="16870"/>
    <n v="2750"/>
    <n v="14.02"/>
    <n v="1.974464832"/>
    <n v="30.776405820923756"/>
    <m/>
    <m/>
    <m/>
    <m/>
    <m/>
    <m/>
    <x v="0"/>
    <m/>
    <m/>
    <m/>
    <x v="0"/>
    <x v="0"/>
    <m/>
  </r>
  <r>
    <n v="43"/>
    <x v="4"/>
    <x v="23"/>
    <x v="4"/>
    <n v="47119"/>
    <n v="38761"/>
    <n v="8358"/>
    <n v="2.2999999999999998"/>
    <n v="19630"/>
    <n v="16886"/>
    <n v="2744"/>
    <n v="13.98"/>
    <n v="1.9745797249999999"/>
    <n v="30.73466006561911"/>
    <m/>
    <m/>
    <m/>
    <m/>
    <m/>
    <m/>
    <x v="0"/>
    <m/>
    <m/>
    <m/>
    <x v="0"/>
    <x v="0"/>
    <m/>
  </r>
  <r>
    <n v="43"/>
    <x v="4"/>
    <x v="23"/>
    <x v="5"/>
    <n v="47213"/>
    <n v="38941"/>
    <n v="8272"/>
    <n v="2.29"/>
    <n v="19683"/>
    <n v="16970"/>
    <n v="2713"/>
    <n v="13.78"/>
    <n v="1.9784077630000001"/>
    <n v="30.795974143722809"/>
    <m/>
    <m/>
    <m/>
    <m/>
    <m/>
    <m/>
    <x v="0"/>
    <m/>
    <m/>
    <m/>
    <x v="0"/>
    <x v="0"/>
    <m/>
  </r>
  <r>
    <n v="43"/>
    <x v="4"/>
    <x v="23"/>
    <x v="6"/>
    <n v="47284"/>
    <n v="39099"/>
    <n v="8186"/>
    <n v="2.29"/>
    <n v="19730"/>
    <n v="17045"/>
    <n v="2685"/>
    <n v="13.61"/>
    <n v="1.9817029900000001"/>
    <n v="30.842285841013901"/>
    <m/>
    <m/>
    <m/>
    <m/>
    <m/>
    <m/>
    <x v="0"/>
    <m/>
    <m/>
    <m/>
    <x v="0"/>
    <x v="0"/>
    <m/>
  </r>
  <r>
    <n v="43"/>
    <x v="4"/>
    <x v="23"/>
    <x v="7"/>
    <n v="47564"/>
    <n v="39465"/>
    <n v="8099"/>
    <n v="2.29"/>
    <n v="19834"/>
    <n v="17211"/>
    <n v="2623"/>
    <n v="13.22"/>
    <n v="1.9897650499999999"/>
    <n v="31.024923520471727"/>
    <m/>
    <m/>
    <m/>
    <m/>
    <m/>
    <m/>
    <x v="0"/>
    <m/>
    <m/>
    <m/>
    <x v="0"/>
    <x v="0"/>
    <m/>
  </r>
  <r>
    <n v="43"/>
    <x v="4"/>
    <x v="23"/>
    <x v="8"/>
    <n v="47990"/>
    <n v="39977"/>
    <n v="8013"/>
    <n v="2.29"/>
    <n v="19978"/>
    <n v="17441"/>
    <n v="2537"/>
    <n v="12.7"/>
    <n v="2.0010511559999999"/>
    <n v="31.302793704218281"/>
    <m/>
    <m/>
    <m/>
    <m/>
    <m/>
    <m/>
    <x v="0"/>
    <m/>
    <m/>
    <m/>
    <x v="0"/>
    <x v="0"/>
    <m/>
  </r>
  <r>
    <n v="43"/>
    <x v="4"/>
    <x v="23"/>
    <x v="9"/>
    <n v="48379"/>
    <n v="40453"/>
    <n v="7926"/>
    <n v="2.29"/>
    <n v="20112"/>
    <n v="17655"/>
    <n v="2457"/>
    <n v="12.22"/>
    <n v="2.011386237"/>
    <n v="31.556529623179333"/>
    <m/>
    <m/>
    <m/>
    <m/>
    <m/>
    <m/>
    <x v="0"/>
    <m/>
    <m/>
    <m/>
    <x v="0"/>
    <x v="0"/>
    <m/>
  </r>
  <r>
    <n v="43"/>
    <x v="4"/>
    <x v="23"/>
    <x v="10"/>
    <n v="48881"/>
    <n v="41006"/>
    <n v="7875"/>
    <m/>
    <n v="20281"/>
    <m/>
    <m/>
    <m/>
    <n v="2.0218924120000001"/>
    <n v="31.883972891350151"/>
    <n v="48881"/>
    <n v="412"/>
    <n v="-168"/>
    <n v="670"/>
    <n v="580"/>
    <n v="20281"/>
    <x v="0"/>
    <m/>
    <n v="41006"/>
    <n v="155"/>
    <x v="0"/>
    <x v="0"/>
    <n v="2.0218924120000001"/>
  </r>
  <r>
    <n v="43"/>
    <x v="4"/>
    <x v="23"/>
    <x v="11"/>
    <n v="49249"/>
    <n v="41707"/>
    <n v="7542"/>
    <m/>
    <n v="20408"/>
    <m/>
    <m/>
    <m/>
    <n v="2.0436593489999999"/>
    <n v="32.12401098435187"/>
    <n v="49249"/>
    <n v="380"/>
    <n v="-298"/>
    <n v="666"/>
    <n v="678"/>
    <n v="20408"/>
    <x v="0"/>
    <m/>
    <n v="41707"/>
    <n v="174"/>
    <x v="0"/>
    <x v="0"/>
    <n v="2.0436593489999999"/>
  </r>
  <r>
    <n v="43"/>
    <x v="4"/>
    <x v="23"/>
    <x v="12"/>
    <n v="49570"/>
    <n v="41601"/>
    <n v="7969"/>
    <m/>
    <n v="20610"/>
    <m/>
    <m/>
    <m/>
    <n v="2.0184861719999998"/>
    <n v="32.333392038301731"/>
    <n v="49570"/>
    <n v="332"/>
    <n v="-422"/>
    <n v="743"/>
    <n v="754"/>
    <n v="20610"/>
    <x v="0"/>
    <m/>
    <n v="41601"/>
    <n v="190"/>
    <x v="0"/>
    <x v="0"/>
    <n v="2.0184861719999998"/>
  </r>
  <r>
    <n v="45"/>
    <x v="10"/>
    <x v="24"/>
    <x v="0"/>
    <n v="56150"/>
    <n v="55266"/>
    <n v="884"/>
    <n v="2.77"/>
    <n v="22892"/>
    <n v="19921"/>
    <n v="2971"/>
    <n v="12.98"/>
    <n v="2.4142058359999998"/>
    <n v="18.980944686518626"/>
    <m/>
    <m/>
    <m/>
    <m/>
    <m/>
    <m/>
    <x v="0"/>
    <m/>
    <m/>
    <m/>
    <x v="0"/>
    <x v="0"/>
    <m/>
  </r>
  <r>
    <n v="45"/>
    <x v="10"/>
    <x v="24"/>
    <x v="1"/>
    <n v="56267"/>
    <n v="55358"/>
    <n v="909"/>
    <n v="2.72"/>
    <n v="22920"/>
    <n v="20319"/>
    <n v="2601"/>
    <n v="11.35"/>
    <n v="2.4152705060000002"/>
    <n v="19.02049536378172"/>
    <m/>
    <m/>
    <m/>
    <m/>
    <m/>
    <m/>
    <x v="0"/>
    <m/>
    <m/>
    <m/>
    <x v="0"/>
    <x v="0"/>
    <m/>
  </r>
  <r>
    <n v="45"/>
    <x v="10"/>
    <x v="24"/>
    <x v="2"/>
    <n v="56415"/>
    <n v="55481"/>
    <n v="934"/>
    <n v="2.72"/>
    <n v="22955"/>
    <n v="20378"/>
    <n v="2577"/>
    <n v="11.23"/>
    <n v="2.4169461989999999"/>
    <n v="19.07052528031965"/>
    <m/>
    <m/>
    <m/>
    <m/>
    <m/>
    <m/>
    <x v="0"/>
    <m/>
    <m/>
    <m/>
    <x v="0"/>
    <x v="0"/>
    <m/>
  </r>
  <r>
    <n v="45"/>
    <x v="10"/>
    <x v="24"/>
    <x v="3"/>
    <n v="56798"/>
    <n v="55839"/>
    <n v="959"/>
    <n v="2.72"/>
    <n v="23042"/>
    <n v="20522"/>
    <n v="2520"/>
    <n v="10.94"/>
    <n v="2.4233573470000001"/>
    <n v="19.199994591360372"/>
    <m/>
    <m/>
    <m/>
    <m/>
    <m/>
    <m/>
    <x v="0"/>
    <m/>
    <m/>
    <m/>
    <x v="0"/>
    <x v="0"/>
    <m/>
  </r>
  <r>
    <n v="45"/>
    <x v="10"/>
    <x v="24"/>
    <x v="4"/>
    <n v="57131"/>
    <n v="56147"/>
    <n v="984"/>
    <n v="2.72"/>
    <n v="23118"/>
    <n v="20648"/>
    <n v="2470"/>
    <n v="10.68"/>
    <n v="2.428713557"/>
    <n v="19.312561903570717"/>
    <m/>
    <m/>
    <m/>
    <m/>
    <m/>
    <m/>
    <x v="0"/>
    <m/>
    <m/>
    <m/>
    <x v="0"/>
    <x v="0"/>
    <m/>
  </r>
  <r>
    <n v="45"/>
    <x v="10"/>
    <x v="24"/>
    <x v="5"/>
    <n v="57495"/>
    <n v="56486"/>
    <n v="1010"/>
    <n v="2.72"/>
    <n v="23201"/>
    <n v="20786"/>
    <n v="2415"/>
    <n v="10.41"/>
    <n v="2.4346364380000001"/>
    <n v="19.435608455055895"/>
    <m/>
    <m/>
    <m/>
    <m/>
    <m/>
    <m/>
    <x v="0"/>
    <m/>
    <m/>
    <m/>
    <x v="0"/>
    <x v="0"/>
    <m/>
  </r>
  <r>
    <n v="45"/>
    <x v="10"/>
    <x v="24"/>
    <x v="6"/>
    <n v="58161"/>
    <n v="57126"/>
    <n v="1035"/>
    <n v="2.72"/>
    <n v="23351"/>
    <n v="21035"/>
    <n v="2316"/>
    <n v="9.92"/>
    <n v="2.4464048649999999"/>
    <n v="19.660743079476578"/>
    <m/>
    <m/>
    <m/>
    <m/>
    <m/>
    <m/>
    <x v="0"/>
    <m/>
    <m/>
    <m/>
    <x v="0"/>
    <x v="0"/>
    <m/>
  </r>
  <r>
    <n v="45"/>
    <x v="10"/>
    <x v="24"/>
    <x v="7"/>
    <n v="58871"/>
    <n v="57811"/>
    <n v="1060"/>
    <n v="2.71"/>
    <n v="23511"/>
    <n v="21300"/>
    <n v="2211"/>
    <n v="9.4"/>
    <n v="2.4588915830000002"/>
    <n v="19.900751462867998"/>
    <m/>
    <m/>
    <m/>
    <m/>
    <m/>
    <m/>
    <x v="0"/>
    <m/>
    <m/>
    <m/>
    <x v="0"/>
    <x v="0"/>
    <m/>
  </r>
  <r>
    <n v="45"/>
    <x v="10"/>
    <x v="24"/>
    <x v="8"/>
    <n v="59769"/>
    <n v="58684"/>
    <n v="1085"/>
    <n v="2.71"/>
    <n v="23713"/>
    <n v="21636"/>
    <n v="2077"/>
    <n v="8.76"/>
    <n v="2.4747606800000002"/>
    <n v="20.204311361861652"/>
    <m/>
    <m/>
    <m/>
    <m/>
    <m/>
    <m/>
    <x v="0"/>
    <m/>
    <m/>
    <m/>
    <x v="0"/>
    <x v="0"/>
    <m/>
  </r>
  <r>
    <n v="45"/>
    <x v="10"/>
    <x v="24"/>
    <x v="9"/>
    <n v="60558"/>
    <n v="59448"/>
    <n v="1110"/>
    <n v="2.71"/>
    <n v="23891"/>
    <n v="21931"/>
    <n v="1960"/>
    <n v="8.1999999999999993"/>
    <n v="2.488301034"/>
    <n v="20.471024903405077"/>
    <m/>
    <m/>
    <m/>
    <m/>
    <m/>
    <m/>
    <x v="0"/>
    <m/>
    <m/>
    <m/>
    <x v="0"/>
    <x v="0"/>
    <m/>
  </r>
  <r>
    <n v="45"/>
    <x v="10"/>
    <x v="24"/>
    <x v="10"/>
    <n v="61791"/>
    <n v="60735"/>
    <n v="1056"/>
    <m/>
    <n v="24169"/>
    <m/>
    <m/>
    <m/>
    <n v="2.5129297859999999"/>
    <n v="20.887828194562289"/>
    <n v="61791"/>
    <n v="748"/>
    <n v="390"/>
    <n v="843"/>
    <n v="358"/>
    <n v="24169"/>
    <x v="0"/>
    <m/>
    <n v="60735"/>
    <n v="334"/>
    <x v="0"/>
    <x v="0"/>
    <n v="2.5129297859999999"/>
  </r>
  <r>
    <n v="45"/>
    <x v="10"/>
    <x v="24"/>
    <x v="11"/>
    <n v="62164"/>
    <n v="61254"/>
    <n v="910"/>
    <m/>
    <n v="24500"/>
    <m/>
    <m/>
    <m/>
    <n v="2.5001632649999999"/>
    <n v="21.013917105836935"/>
    <n v="62164"/>
    <n v="729"/>
    <n v="292"/>
    <n v="81"/>
    <n v="437"/>
    <n v="24500"/>
    <x v="0"/>
    <m/>
    <n v="61254"/>
    <n v="631"/>
    <x v="0"/>
    <x v="0"/>
    <n v="2.5001632649999999"/>
  </r>
  <r>
    <n v="45"/>
    <x v="10"/>
    <x v="24"/>
    <x v="12"/>
    <n v="62254"/>
    <n v="61221"/>
    <n v="1033"/>
    <m/>
    <n v="25068"/>
    <m/>
    <m/>
    <m/>
    <n v="2.4421972240000001"/>
    <n v="21.044340703731624"/>
    <n v="62254"/>
    <n v="728"/>
    <n v="314"/>
    <n v="-224"/>
    <n v="414"/>
    <n v="25068"/>
    <x v="0"/>
    <m/>
    <n v="61221"/>
    <n v="240"/>
    <x v="0"/>
    <x v="0"/>
    <n v="2.4421972240000001"/>
  </r>
  <r>
    <n v="47"/>
    <x v="0"/>
    <x v="25"/>
    <x v="0"/>
    <n v="5463"/>
    <n v="5414"/>
    <n v="49"/>
    <n v="2.37"/>
    <n v="3298"/>
    <n v="2289"/>
    <n v="1009"/>
    <n v="30.59"/>
    <n v="1.64160097"/>
    <n v="36.383616383616385"/>
    <m/>
    <m/>
    <m/>
    <m/>
    <m/>
    <m/>
    <x v="0"/>
    <m/>
    <m/>
    <m/>
    <x v="0"/>
    <x v="0"/>
    <m/>
  </r>
  <r>
    <n v="47"/>
    <x v="0"/>
    <x v="25"/>
    <x v="1"/>
    <n v="5477"/>
    <n v="5429"/>
    <n v="48"/>
    <n v="2.19"/>
    <n v="3306"/>
    <n v="2475"/>
    <n v="831"/>
    <n v="25.14"/>
    <n v="1.6421657590000001"/>
    <n v="36.476856476856476"/>
    <m/>
    <m/>
    <m/>
    <m/>
    <m/>
    <m/>
    <x v="0"/>
    <m/>
    <m/>
    <m/>
    <x v="0"/>
    <x v="0"/>
    <m/>
  </r>
  <r>
    <n v="47"/>
    <x v="0"/>
    <x v="25"/>
    <x v="2"/>
    <n v="5500"/>
    <n v="5453"/>
    <n v="47"/>
    <n v="2.2000000000000002"/>
    <n v="3321"/>
    <n v="2484"/>
    <n v="837"/>
    <n v="25.2"/>
    <n v="1.641975309"/>
    <n v="36.630036630036628"/>
    <m/>
    <m/>
    <m/>
    <m/>
    <m/>
    <m/>
    <x v="0"/>
    <m/>
    <m/>
    <m/>
    <x v="0"/>
    <x v="0"/>
    <m/>
  </r>
  <r>
    <n v="47"/>
    <x v="0"/>
    <x v="25"/>
    <x v="3"/>
    <n v="5512"/>
    <n v="5466"/>
    <n v="46"/>
    <n v="2.2000000000000002"/>
    <n v="3328"/>
    <n v="2488"/>
    <n v="840"/>
    <n v="25.23"/>
    <n v="1.642427885"/>
    <n v="36.709956709956707"/>
    <m/>
    <m/>
    <m/>
    <m/>
    <m/>
    <m/>
    <x v="0"/>
    <m/>
    <m/>
    <m/>
    <x v="0"/>
    <x v="0"/>
    <m/>
  </r>
  <r>
    <n v="47"/>
    <x v="0"/>
    <x v="25"/>
    <x v="4"/>
    <n v="5536"/>
    <n v="5490"/>
    <n v="45"/>
    <n v="2.2000000000000002"/>
    <n v="3343"/>
    <n v="2498"/>
    <n v="845"/>
    <n v="25.29"/>
    <n v="1.642237511"/>
    <n v="36.869796869796872"/>
    <m/>
    <m/>
    <m/>
    <m/>
    <m/>
    <m/>
    <x v="0"/>
    <m/>
    <m/>
    <m/>
    <x v="0"/>
    <x v="0"/>
    <m/>
  </r>
  <r>
    <n v="47"/>
    <x v="0"/>
    <x v="25"/>
    <x v="5"/>
    <n v="5553"/>
    <n v="5509"/>
    <n v="44"/>
    <n v="2.2000000000000002"/>
    <n v="3354"/>
    <n v="2504"/>
    <n v="850"/>
    <n v="25.33"/>
    <n v="1.6425163979999999"/>
    <n v="36.983016983016981"/>
    <m/>
    <m/>
    <m/>
    <m/>
    <m/>
    <m/>
    <x v="0"/>
    <m/>
    <m/>
    <m/>
    <x v="0"/>
    <x v="0"/>
    <m/>
  </r>
  <r>
    <n v="47"/>
    <x v="0"/>
    <x v="25"/>
    <x v="6"/>
    <n v="5578"/>
    <n v="5534"/>
    <n v="44"/>
    <n v="2.2000000000000002"/>
    <n v="3370"/>
    <n v="2514"/>
    <n v="856"/>
    <n v="25.39"/>
    <n v="1.642136499"/>
    <n v="37.149517149517145"/>
    <m/>
    <m/>
    <m/>
    <m/>
    <m/>
    <m/>
    <x v="0"/>
    <m/>
    <m/>
    <m/>
    <x v="0"/>
    <x v="0"/>
    <m/>
  </r>
  <r>
    <n v="47"/>
    <x v="0"/>
    <x v="25"/>
    <x v="7"/>
    <n v="5635"/>
    <n v="5592"/>
    <n v="43"/>
    <n v="2.2000000000000002"/>
    <n v="3410"/>
    <n v="2539"/>
    <n v="871"/>
    <n v="25.55"/>
    <n v="1.6398826980000001"/>
    <n v="37.529137529137529"/>
    <m/>
    <m/>
    <m/>
    <m/>
    <m/>
    <m/>
    <x v="0"/>
    <m/>
    <m/>
    <m/>
    <x v="0"/>
    <x v="0"/>
    <m/>
  </r>
  <r>
    <n v="47"/>
    <x v="0"/>
    <x v="25"/>
    <x v="8"/>
    <n v="5707"/>
    <n v="5666"/>
    <n v="42"/>
    <n v="2.2000000000000002"/>
    <n v="3461"/>
    <n v="2570"/>
    <n v="891"/>
    <n v="25.74"/>
    <n v="1.637099104"/>
    <n v="38.00865800865801"/>
    <m/>
    <m/>
    <m/>
    <m/>
    <m/>
    <m/>
    <x v="0"/>
    <m/>
    <m/>
    <m/>
    <x v="0"/>
    <x v="0"/>
    <m/>
  </r>
  <r>
    <n v="47"/>
    <x v="0"/>
    <x v="25"/>
    <x v="9"/>
    <n v="5751"/>
    <n v="5710"/>
    <n v="41"/>
    <n v="2.21"/>
    <n v="3491"/>
    <n v="2589"/>
    <n v="902"/>
    <n v="25.85"/>
    <n v="1.6356344890000001"/>
    <n v="38.301698301698302"/>
    <m/>
    <m/>
    <m/>
    <m/>
    <m/>
    <m/>
    <x v="0"/>
    <m/>
    <m/>
    <m/>
    <x v="0"/>
    <x v="0"/>
    <m/>
  </r>
  <r>
    <n v="47"/>
    <x v="0"/>
    <x v="25"/>
    <x v="10"/>
    <n v="5823"/>
    <n v="5775"/>
    <n v="48"/>
    <m/>
    <n v="3523"/>
    <m/>
    <m/>
    <m/>
    <n v="1.639227931"/>
    <n v="38.781218781218783"/>
    <n v="5823"/>
    <n v="46"/>
    <n v="-2"/>
    <n v="74"/>
    <n v="48"/>
    <n v="3523"/>
    <x v="0"/>
    <m/>
    <n v="5775"/>
    <n v="20"/>
    <x v="0"/>
    <x v="0"/>
    <n v="1.639227931"/>
  </r>
  <r>
    <n v="47"/>
    <x v="0"/>
    <x v="25"/>
    <x v="11"/>
    <n v="5894"/>
    <n v="5846"/>
    <n v="48"/>
    <m/>
    <n v="3543"/>
    <m/>
    <m/>
    <m/>
    <n v="1.650014112"/>
    <n v="39.254079254079251"/>
    <n v="5894"/>
    <n v="33"/>
    <n v="-1"/>
    <n v="72"/>
    <n v="34"/>
    <n v="3543"/>
    <x v="0"/>
    <m/>
    <n v="5846"/>
    <n v="22"/>
    <x v="0"/>
    <x v="0"/>
    <n v="1.650014112"/>
  </r>
  <r>
    <n v="47"/>
    <x v="0"/>
    <x v="25"/>
    <x v="12"/>
    <n v="5895"/>
    <n v="5847"/>
    <n v="48"/>
    <m/>
    <n v="3564"/>
    <m/>
    <m/>
    <m/>
    <n v="1.6405723910000001"/>
    <n v="39.260739260739257"/>
    <n v="5895"/>
    <n v="49"/>
    <n v="14"/>
    <n v="-13"/>
    <n v="35"/>
    <n v="3564"/>
    <x v="0"/>
    <m/>
    <n v="5847"/>
    <n v="36"/>
    <x v="0"/>
    <x v="0"/>
    <n v="1.6405723910000001"/>
  </r>
  <r>
    <n v="49"/>
    <x v="8"/>
    <x v="26"/>
    <x v="0"/>
    <n v="14790"/>
    <n v="14568"/>
    <n v="222"/>
    <n v="2.36"/>
    <n v="15396"/>
    <n v="6168"/>
    <n v="9228"/>
    <n v="59.94"/>
    <n v="0.94621979700000003"/>
    <n v="7.9153131070948826"/>
    <m/>
    <m/>
    <m/>
    <m/>
    <m/>
    <m/>
    <x v="0"/>
    <m/>
    <m/>
    <m/>
    <x v="0"/>
    <x v="0"/>
    <m/>
  </r>
  <r>
    <n v="49"/>
    <x v="8"/>
    <x v="26"/>
    <x v="1"/>
    <n v="14836"/>
    <n v="14617"/>
    <n v="220"/>
    <n v="2.2599999999999998"/>
    <n v="15482"/>
    <n v="6478"/>
    <n v="9004"/>
    <n v="58.15"/>
    <n v="0.94412866600000001"/>
    <n v="7.9399313899161372"/>
    <m/>
    <m/>
    <m/>
    <m/>
    <m/>
    <m/>
    <x v="0"/>
    <m/>
    <m/>
    <m/>
    <x v="0"/>
    <x v="0"/>
    <m/>
  </r>
  <r>
    <n v="49"/>
    <x v="8"/>
    <x v="26"/>
    <x v="2"/>
    <n v="14925"/>
    <n v="14707"/>
    <n v="217"/>
    <n v="2.25"/>
    <n v="15615"/>
    <n v="6532"/>
    <n v="9083"/>
    <n v="58.17"/>
    <n v="0.94185078499999997"/>
    <n v="7.9875624153746525"/>
    <m/>
    <m/>
    <m/>
    <m/>
    <m/>
    <m/>
    <x v="0"/>
    <m/>
    <m/>
    <m/>
    <x v="0"/>
    <x v="0"/>
    <m/>
  </r>
  <r>
    <n v="49"/>
    <x v="8"/>
    <x v="26"/>
    <x v="3"/>
    <n v="14948"/>
    <n v="14733"/>
    <n v="215"/>
    <n v="2.25"/>
    <n v="15676"/>
    <n v="6556"/>
    <n v="9120"/>
    <n v="58.18"/>
    <n v="0.93984434800000005"/>
    <n v="7.9998715567852807"/>
    <m/>
    <m/>
    <m/>
    <m/>
    <m/>
    <m/>
    <x v="0"/>
    <m/>
    <m/>
    <m/>
    <x v="0"/>
    <x v="0"/>
    <m/>
  </r>
  <r>
    <n v="49"/>
    <x v="8"/>
    <x v="26"/>
    <x v="4"/>
    <n v="14934"/>
    <n v="14722"/>
    <n v="212"/>
    <n v="2.2400000000000002"/>
    <n v="15697"/>
    <n v="6565"/>
    <n v="9132"/>
    <n v="58.18"/>
    <n v="0.93788621999999999"/>
    <n v="7.9923790359266373"/>
    <m/>
    <m/>
    <m/>
    <m/>
    <m/>
    <m/>
    <x v="0"/>
    <m/>
    <m/>
    <m/>
    <x v="0"/>
    <x v="0"/>
    <m/>
  </r>
  <r>
    <n v="49"/>
    <x v="8"/>
    <x v="26"/>
    <x v="5"/>
    <n v="14961"/>
    <n v="14751"/>
    <n v="210"/>
    <n v="2.2400000000000002"/>
    <n v="15762"/>
    <n v="6591"/>
    <n v="9171"/>
    <n v="58.19"/>
    <n v="0.93585839400000004"/>
    <n v="8.0068288975825919"/>
    <m/>
    <m/>
    <m/>
    <m/>
    <m/>
    <m/>
    <x v="0"/>
    <m/>
    <m/>
    <m/>
    <x v="0"/>
    <x v="0"/>
    <m/>
  </r>
  <r>
    <n v="49"/>
    <x v="8"/>
    <x v="26"/>
    <x v="6"/>
    <n v="15042"/>
    <n v="14835"/>
    <n v="208"/>
    <n v="2.23"/>
    <n v="15889"/>
    <n v="6641"/>
    <n v="9248"/>
    <n v="58.2"/>
    <n v="0.93366479999999996"/>
    <n v="8.0501784825504537"/>
    <m/>
    <m/>
    <m/>
    <m/>
    <m/>
    <m/>
    <x v="0"/>
    <m/>
    <m/>
    <m/>
    <x v="0"/>
    <x v="0"/>
    <m/>
  </r>
  <r>
    <n v="49"/>
    <x v="8"/>
    <x v="26"/>
    <x v="7"/>
    <n v="15147"/>
    <n v="14942"/>
    <n v="205"/>
    <n v="2.23"/>
    <n v="16043"/>
    <n v="6703"/>
    <n v="9340"/>
    <n v="58.22"/>
    <n v="0.93137193799999995"/>
    <n v="8.106372388990275"/>
    <m/>
    <m/>
    <m/>
    <m/>
    <m/>
    <m/>
    <x v="0"/>
    <m/>
    <m/>
    <m/>
    <x v="0"/>
    <x v="0"/>
    <m/>
  </r>
  <r>
    <n v="49"/>
    <x v="8"/>
    <x v="26"/>
    <x v="8"/>
    <n v="15268"/>
    <n v="15065"/>
    <n v="203"/>
    <n v="2.2200000000000002"/>
    <n v="16215"/>
    <n v="6772"/>
    <n v="9443"/>
    <n v="58.24"/>
    <n v="0.92907801400000001"/>
    <n v="8.1711291764114033"/>
    <m/>
    <m/>
    <m/>
    <m/>
    <m/>
    <m/>
    <x v="0"/>
    <m/>
    <m/>
    <m/>
    <x v="0"/>
    <x v="0"/>
    <m/>
  </r>
  <r>
    <n v="49"/>
    <x v="8"/>
    <x v="26"/>
    <x v="9"/>
    <n v="15408"/>
    <n v="15207"/>
    <n v="200"/>
    <n v="2.2200000000000002"/>
    <n v="16409"/>
    <n v="6850"/>
    <n v="9559"/>
    <n v="58.26"/>
    <n v="0.92674751700000002"/>
    <n v="8.2460543849978318"/>
    <m/>
    <m/>
    <m/>
    <m/>
    <m/>
    <m/>
    <x v="0"/>
    <m/>
    <m/>
    <m/>
    <x v="0"/>
    <x v="0"/>
    <m/>
  </r>
  <r>
    <n v="49"/>
    <x v="8"/>
    <x v="26"/>
    <x v="10"/>
    <n v="15748"/>
    <n v="15536"/>
    <n v="212"/>
    <m/>
    <n v="16805"/>
    <m/>
    <m/>
    <m/>
    <n v="0.92448675999999996"/>
    <n v="8.4280156058505877"/>
    <n v="15748"/>
    <n v="132"/>
    <n v="65"/>
    <n v="275"/>
    <n v="67"/>
    <n v="16805"/>
    <x v="0"/>
    <m/>
    <n v="15536"/>
    <n v="234"/>
    <x v="0"/>
    <x v="0"/>
    <n v="0.92448675999999996"/>
  </r>
  <r>
    <n v="49"/>
    <x v="8"/>
    <x v="26"/>
    <x v="11"/>
    <n v="15860"/>
    <n v="15648"/>
    <n v="212"/>
    <m/>
    <n v="16627"/>
    <m/>
    <m/>
    <m/>
    <n v="0.941119865"/>
    <n v="8.4879557727197312"/>
    <n v="15860"/>
    <n v="113"/>
    <n v="21"/>
    <n v="91"/>
    <n v="92"/>
    <n v="16627"/>
    <x v="0"/>
    <m/>
    <n v="15648"/>
    <n v="467"/>
    <x v="0"/>
    <x v="0"/>
    <n v="0.941119865"/>
  </r>
  <r>
    <n v="49"/>
    <x v="8"/>
    <x v="26"/>
    <x v="12"/>
    <n v="15748"/>
    <n v="15536"/>
    <n v="212"/>
    <m/>
    <n v="17285"/>
    <m/>
    <m/>
    <m/>
    <n v="0.89881400099999997"/>
    <n v="8.4280156058505877"/>
    <n v="15748"/>
    <n v="127"/>
    <n v="13"/>
    <n v="-125"/>
    <n v="114"/>
    <n v="17285"/>
    <x v="0"/>
    <m/>
    <n v="15536"/>
    <n v="375"/>
    <x v="0"/>
    <x v="0"/>
    <n v="0.89881400099999997"/>
  </r>
  <r>
    <n v="51"/>
    <x v="7"/>
    <x v="27"/>
    <x v="0"/>
    <n v="15309"/>
    <n v="14459"/>
    <n v="850"/>
    <n v="2.2200000000000002"/>
    <n v="11431"/>
    <n v="6511"/>
    <n v="4920"/>
    <n v="43.04"/>
    <n v="1.2648937099999999"/>
    <n v="4.6971361245942287"/>
    <m/>
    <m/>
    <m/>
    <m/>
    <m/>
    <m/>
    <x v="0"/>
    <m/>
    <m/>
    <m/>
    <x v="0"/>
    <x v="0"/>
    <m/>
  </r>
  <r>
    <n v="51"/>
    <x v="7"/>
    <x v="27"/>
    <x v="1"/>
    <n v="15348"/>
    <n v="14477"/>
    <n v="871"/>
    <n v="2.2200000000000002"/>
    <n v="11448"/>
    <n v="6517"/>
    <n v="4931"/>
    <n v="43.07"/>
    <n v="1.264587701"/>
    <n v="4.7091021778216877"/>
    <m/>
    <m/>
    <m/>
    <m/>
    <m/>
    <m/>
    <x v="0"/>
    <m/>
    <m/>
    <m/>
    <x v="0"/>
    <x v="0"/>
    <m/>
  </r>
  <r>
    <n v="51"/>
    <x v="7"/>
    <x v="27"/>
    <x v="2"/>
    <n v="15270"/>
    <n v="14440"/>
    <n v="830"/>
    <n v="2.2200000000000002"/>
    <n v="11459"/>
    <n v="6499"/>
    <n v="4960"/>
    <n v="43.28"/>
    <n v="1.2601448639999999"/>
    <n v="4.6851700713667688"/>
    <m/>
    <m/>
    <m/>
    <m/>
    <m/>
    <m/>
    <x v="0"/>
    <m/>
    <m/>
    <m/>
    <x v="0"/>
    <x v="0"/>
    <m/>
  </r>
  <r>
    <n v="51"/>
    <x v="7"/>
    <x v="27"/>
    <x v="3"/>
    <n v="15425"/>
    <n v="14414"/>
    <n v="1011"/>
    <n v="2.2200000000000002"/>
    <n v="11475"/>
    <n v="6486"/>
    <n v="4989"/>
    <n v="43.48"/>
    <n v="1.2561220040000001"/>
    <n v="4.7327274623989792"/>
    <m/>
    <m/>
    <m/>
    <m/>
    <m/>
    <m/>
    <x v="0"/>
    <m/>
    <m/>
    <m/>
    <x v="0"/>
    <x v="0"/>
    <m/>
  </r>
  <r>
    <n v="51"/>
    <x v="7"/>
    <x v="27"/>
    <x v="4"/>
    <n v="15552"/>
    <n v="14549"/>
    <n v="1003"/>
    <n v="2.2200000000000002"/>
    <n v="11497"/>
    <n v="6545"/>
    <n v="4952"/>
    <n v="43.07"/>
    <n v="1.265460555"/>
    <n v="4.7716938408576288"/>
    <m/>
    <m/>
    <m/>
    <m/>
    <m/>
    <m/>
    <x v="0"/>
    <m/>
    <m/>
    <m/>
    <x v="0"/>
    <x v="0"/>
    <m/>
  </r>
  <r>
    <n v="51"/>
    <x v="7"/>
    <x v="27"/>
    <x v="5"/>
    <n v="15826"/>
    <n v="14822"/>
    <n v="1004"/>
    <n v="2.2200000000000002"/>
    <n v="11514"/>
    <n v="6666"/>
    <n v="4848"/>
    <n v="42.11"/>
    <n v="1.287302414"/>
    <n v="4.8557630353274712"/>
    <m/>
    <m/>
    <m/>
    <m/>
    <m/>
    <m/>
    <x v="0"/>
    <m/>
    <m/>
    <m/>
    <x v="0"/>
    <x v="0"/>
    <m/>
  </r>
  <r>
    <n v="51"/>
    <x v="7"/>
    <x v="27"/>
    <x v="6"/>
    <n v="16082"/>
    <n v="15045"/>
    <n v="1037"/>
    <n v="2.2200000000000002"/>
    <n v="11539"/>
    <n v="6765"/>
    <n v="4774"/>
    <n v="41.37"/>
    <n v="1.3038391540000001"/>
    <n v="4.9343094360000253"/>
    <m/>
    <m/>
    <m/>
    <m/>
    <m/>
    <m/>
    <x v="0"/>
    <m/>
    <m/>
    <m/>
    <x v="0"/>
    <x v="0"/>
    <m/>
  </r>
  <r>
    <n v="51"/>
    <x v="7"/>
    <x v="27"/>
    <x v="7"/>
    <n v="16464"/>
    <n v="15411"/>
    <n v="1053"/>
    <n v="2.2200000000000002"/>
    <n v="11633"/>
    <n v="6928"/>
    <n v="4705"/>
    <n v="40.450000000000003"/>
    <n v="1.3247657530000001"/>
    <n v="5.0515153932536005"/>
    <m/>
    <m/>
    <m/>
    <m/>
    <m/>
    <m/>
    <x v="0"/>
    <m/>
    <m/>
    <m/>
    <x v="0"/>
    <x v="0"/>
    <m/>
  </r>
  <r>
    <n v="51"/>
    <x v="7"/>
    <x v="27"/>
    <x v="8"/>
    <n v="16681"/>
    <n v="15625"/>
    <n v="1056"/>
    <n v="2.23"/>
    <n v="11766"/>
    <n v="7022"/>
    <n v="4744"/>
    <n v="40.32"/>
    <n v="1.327978922"/>
    <n v="5.1180957406986947"/>
    <m/>
    <m/>
    <m/>
    <m/>
    <m/>
    <m/>
    <x v="0"/>
    <m/>
    <m/>
    <m/>
    <x v="0"/>
    <x v="0"/>
    <m/>
  </r>
  <r>
    <n v="51"/>
    <x v="7"/>
    <x v="27"/>
    <x v="9"/>
    <n v="16941"/>
    <n v="15882"/>
    <n v="1059"/>
    <n v="2.23"/>
    <n v="11882"/>
    <n v="7136"/>
    <n v="4746"/>
    <n v="39.94"/>
    <n v="1.336643663"/>
    <n v="5.1978694288817575"/>
    <m/>
    <m/>
    <m/>
    <m/>
    <m/>
    <m/>
    <x v="0"/>
    <m/>
    <m/>
    <m/>
    <x v="0"/>
    <x v="0"/>
    <m/>
  </r>
  <r>
    <n v="51"/>
    <x v="7"/>
    <x v="27"/>
    <x v="10"/>
    <n v="16946"/>
    <n v="15926"/>
    <n v="1020"/>
    <m/>
    <n v="12220"/>
    <m/>
    <m/>
    <m/>
    <n v="1.3032733219999999"/>
    <n v="5.1994035382698929"/>
    <n v="16946"/>
    <n v="134"/>
    <n v="41"/>
    <n v="-36"/>
    <n v="93"/>
    <n v="12220"/>
    <x v="0"/>
    <m/>
    <n v="15926"/>
    <n v="228"/>
    <x v="0"/>
    <x v="0"/>
    <n v="1.3032733219999999"/>
  </r>
  <r>
    <n v="51"/>
    <x v="7"/>
    <x v="27"/>
    <x v="11"/>
    <n v="17313"/>
    <n v="16316"/>
    <n v="997"/>
    <m/>
    <n v="12421"/>
    <m/>
    <m/>
    <m/>
    <n v="1.3135818370000001"/>
    <n v="5.3120071673590621"/>
    <n v="17313"/>
    <n v="133"/>
    <n v="52"/>
    <n v="315"/>
    <n v="81"/>
    <n v="12421"/>
    <x v="0"/>
    <m/>
    <n v="16316"/>
    <n v="197"/>
    <x v="0"/>
    <x v="0"/>
    <n v="1.3135818370000001"/>
  </r>
  <r>
    <n v="51"/>
    <x v="7"/>
    <x v="27"/>
    <x v="12"/>
    <n v="17269"/>
    <n v="16212"/>
    <n v="1057"/>
    <m/>
    <n v="12619"/>
    <m/>
    <m/>
    <m/>
    <n v="1.284729376"/>
    <n v="5.2985070047434668"/>
    <n v="17269"/>
    <n v="133"/>
    <n v="44"/>
    <n v="-88"/>
    <n v="89"/>
    <n v="12619"/>
    <x v="0"/>
    <m/>
    <n v="16212"/>
    <n v="149"/>
    <x v="0"/>
    <x v="0"/>
    <n v="1.284729376"/>
  </r>
  <r>
    <n v="53"/>
    <x v="7"/>
    <x v="28"/>
    <x v="0"/>
    <n v="843"/>
    <n v="787"/>
    <n v="56"/>
    <n v="2.34"/>
    <n v="1274"/>
    <n v="337"/>
    <n v="937"/>
    <n v="73.55"/>
    <n v="0.61773940299999996"/>
    <n v="0.75043396982240629"/>
    <m/>
    <m/>
    <m/>
    <m/>
    <m/>
    <m/>
    <x v="0"/>
    <m/>
    <m/>
    <m/>
    <x v="0"/>
    <x v="0"/>
    <m/>
  </r>
  <r>
    <n v="53"/>
    <x v="7"/>
    <x v="28"/>
    <x v="1"/>
    <n v="835"/>
    <n v="785"/>
    <n v="50"/>
    <n v="2.17"/>
    <n v="1275"/>
    <n v="362"/>
    <n v="913"/>
    <n v="71.59"/>
    <n v="0.61568627499999995"/>
    <n v="0.7433124137624072"/>
    <m/>
    <m/>
    <m/>
    <m/>
    <m/>
    <m/>
    <x v="0"/>
    <m/>
    <m/>
    <m/>
    <x v="0"/>
    <x v="0"/>
    <m/>
  </r>
  <r>
    <n v="53"/>
    <x v="7"/>
    <x v="28"/>
    <x v="2"/>
    <n v="831"/>
    <n v="786"/>
    <n v="45"/>
    <n v="2.16"/>
    <n v="1281"/>
    <n v="364"/>
    <n v="917"/>
    <n v="71.58"/>
    <n v="0.61358313799999997"/>
    <n v="0.73975163573240754"/>
    <m/>
    <m/>
    <m/>
    <m/>
    <m/>
    <m/>
    <x v="0"/>
    <m/>
    <m/>
    <m/>
    <x v="0"/>
    <x v="0"/>
    <m/>
  </r>
  <r>
    <n v="53"/>
    <x v="7"/>
    <x v="28"/>
    <x v="3"/>
    <n v="825"/>
    <n v="785"/>
    <n v="39"/>
    <n v="2.15"/>
    <n v="1284"/>
    <n v="365"/>
    <n v="919"/>
    <n v="71.58"/>
    <n v="0.61137071700000001"/>
    <n v="0.73441046868740822"/>
    <m/>
    <m/>
    <m/>
    <m/>
    <m/>
    <m/>
    <x v="0"/>
    <m/>
    <m/>
    <m/>
    <x v="0"/>
    <x v="0"/>
    <m/>
  </r>
  <r>
    <n v="53"/>
    <x v="7"/>
    <x v="28"/>
    <x v="4"/>
    <n v="819"/>
    <n v="785"/>
    <n v="34"/>
    <n v="2.14"/>
    <n v="1288"/>
    <n v="366"/>
    <n v="922"/>
    <n v="71.58"/>
    <n v="0.60947205000000004"/>
    <n v="0.72906930164240891"/>
    <m/>
    <m/>
    <m/>
    <m/>
    <m/>
    <m/>
    <x v="0"/>
    <m/>
    <m/>
    <m/>
    <x v="0"/>
    <x v="0"/>
    <m/>
  </r>
  <r>
    <n v="53"/>
    <x v="7"/>
    <x v="28"/>
    <x v="5"/>
    <n v="813"/>
    <n v="785"/>
    <n v="28"/>
    <n v="2.14"/>
    <n v="1292"/>
    <n v="367"/>
    <n v="925"/>
    <n v="71.58"/>
    <n v="0.607585139"/>
    <n v="0.72372813459740959"/>
    <m/>
    <m/>
    <m/>
    <m/>
    <m/>
    <m/>
    <x v="0"/>
    <m/>
    <m/>
    <m/>
    <x v="0"/>
    <x v="0"/>
    <m/>
  </r>
  <r>
    <n v="53"/>
    <x v="7"/>
    <x v="28"/>
    <x v="6"/>
    <n v="809"/>
    <n v="786"/>
    <n v="22"/>
    <n v="2.13"/>
    <n v="1298"/>
    <n v="369"/>
    <n v="929"/>
    <n v="71.58"/>
    <n v="0.60554699499999998"/>
    <n v="0.72016735656741004"/>
    <m/>
    <m/>
    <m/>
    <m/>
    <m/>
    <m/>
    <x v="0"/>
    <m/>
    <m/>
    <m/>
    <x v="0"/>
    <x v="0"/>
    <m/>
  </r>
  <r>
    <n v="53"/>
    <x v="7"/>
    <x v="28"/>
    <x v="7"/>
    <n v="805"/>
    <n v="788"/>
    <n v="17"/>
    <n v="2.12"/>
    <n v="1305"/>
    <n v="371"/>
    <n v="934"/>
    <n v="71.58"/>
    <n v="0.60383141799999995"/>
    <n v="0.7166065785374105"/>
    <m/>
    <m/>
    <m/>
    <m/>
    <m/>
    <m/>
    <x v="0"/>
    <m/>
    <m/>
    <m/>
    <x v="0"/>
    <x v="0"/>
    <m/>
  </r>
  <r>
    <n v="53"/>
    <x v="7"/>
    <x v="28"/>
    <x v="8"/>
    <n v="801"/>
    <n v="790"/>
    <n v="11"/>
    <n v="2.12"/>
    <n v="1313"/>
    <n v="373"/>
    <n v="940"/>
    <n v="71.58"/>
    <n v="0.601675552"/>
    <n v="0.71304580050741095"/>
    <m/>
    <m/>
    <m/>
    <m/>
    <m/>
    <m/>
    <x v="0"/>
    <m/>
    <m/>
    <m/>
    <x v="0"/>
    <x v="0"/>
    <m/>
  </r>
  <r>
    <n v="53"/>
    <x v="7"/>
    <x v="28"/>
    <x v="9"/>
    <n v="798"/>
    <n v="792"/>
    <n v="6"/>
    <n v="2.11"/>
    <n v="1321"/>
    <n v="375"/>
    <n v="946"/>
    <n v="71.58"/>
    <n v="0.59954579900000005"/>
    <n v="0.71037521698491124"/>
    <m/>
    <m/>
    <m/>
    <m/>
    <m/>
    <m/>
    <x v="0"/>
    <m/>
    <m/>
    <m/>
    <x v="0"/>
    <x v="0"/>
    <m/>
  </r>
  <r>
    <n v="53"/>
    <x v="7"/>
    <x v="28"/>
    <x v="10"/>
    <n v="792"/>
    <n v="792"/>
    <n v="0"/>
    <m/>
    <n v="1332"/>
    <m/>
    <m/>
    <m/>
    <n v="0.594594595"/>
    <n v="0.70503404993991192"/>
    <n v="792"/>
    <n v="5"/>
    <n v="-6"/>
    <n v="0"/>
    <n v="11"/>
    <n v="1332"/>
    <x v="0"/>
    <m/>
    <n v="792"/>
    <n v="11"/>
    <x v="0"/>
    <x v="0"/>
    <n v="0.594594595"/>
  </r>
  <r>
    <n v="53"/>
    <x v="7"/>
    <x v="28"/>
    <x v="11"/>
    <n v="778"/>
    <n v="778"/>
    <n v="0"/>
    <m/>
    <n v="1347"/>
    <m/>
    <m/>
    <m/>
    <n v="0.577579807"/>
    <n v="0.69257132683491351"/>
    <n v="778"/>
    <n v="3"/>
    <n v="-2"/>
    <n v="-12"/>
    <n v="5"/>
    <n v="1347"/>
    <x v="0"/>
    <m/>
    <n v="778"/>
    <n v="14"/>
    <x v="0"/>
    <x v="0"/>
    <n v="0.577579807"/>
  </r>
  <r>
    <n v="53"/>
    <x v="7"/>
    <x v="28"/>
    <x v="12"/>
    <n v="779"/>
    <n v="779"/>
    <n v="0"/>
    <m/>
    <n v="1358"/>
    <m/>
    <m/>
    <m/>
    <n v="0.57363770300000005"/>
    <n v="0.69346152134241335"/>
    <n v="779"/>
    <n v="4"/>
    <n v="-3"/>
    <n v="4"/>
    <n v="7"/>
    <n v="1358"/>
    <x v="0"/>
    <m/>
    <n v="779"/>
    <n v="15"/>
    <x v="0"/>
    <x v="0"/>
    <n v="0.57363770300000005"/>
  </r>
  <r>
    <n v="55"/>
    <x v="11"/>
    <x v="29"/>
    <x v="0"/>
    <n v="6655"/>
    <n v="6490"/>
    <n v="165"/>
    <n v="2.35"/>
    <n v="4445"/>
    <n v="2764"/>
    <n v="1681"/>
    <n v="37.82"/>
    <n v="1.4600674920000001"/>
    <n v="4.17930506100969"/>
    <m/>
    <m/>
    <m/>
    <m/>
    <m/>
    <m/>
    <x v="0"/>
    <m/>
    <m/>
    <m/>
    <x v="0"/>
    <x v="0"/>
    <m/>
  </r>
  <r>
    <n v="55"/>
    <x v="11"/>
    <x v="29"/>
    <x v="1"/>
    <n v="6671"/>
    <n v="6512"/>
    <n v="159"/>
    <n v="2.09"/>
    <n v="4474"/>
    <n v="3118"/>
    <n v="1356"/>
    <n v="30.3"/>
    <n v="1.455520787"/>
    <n v="4.1893529770091122"/>
    <m/>
    <m/>
    <m/>
    <m/>
    <m/>
    <m/>
    <x v="0"/>
    <m/>
    <m/>
    <m/>
    <x v="0"/>
    <x v="0"/>
    <m/>
  </r>
  <r>
    <n v="55"/>
    <x v="11"/>
    <x v="29"/>
    <x v="2"/>
    <n v="6686"/>
    <n v="6533"/>
    <n v="153"/>
    <n v="2.09"/>
    <n v="4502"/>
    <n v="3126"/>
    <n v="1376"/>
    <n v="30.55"/>
    <n v="1.4511328299999999"/>
    <n v="4.1987728982585706"/>
    <m/>
    <m/>
    <m/>
    <m/>
    <m/>
    <m/>
    <x v="0"/>
    <m/>
    <m/>
    <m/>
    <x v="0"/>
    <x v="0"/>
    <m/>
  </r>
  <r>
    <n v="55"/>
    <x v="11"/>
    <x v="29"/>
    <x v="3"/>
    <n v="6697"/>
    <n v="6551"/>
    <n v="146"/>
    <n v="2.09"/>
    <n v="4523"/>
    <n v="3132"/>
    <n v="1391"/>
    <n v="30.74"/>
    <n v="1.4483749720000001"/>
    <n v="4.2056808405081734"/>
    <m/>
    <m/>
    <m/>
    <m/>
    <m/>
    <m/>
    <x v="0"/>
    <m/>
    <m/>
    <m/>
    <x v="0"/>
    <x v="0"/>
    <m/>
  </r>
  <r>
    <n v="55"/>
    <x v="11"/>
    <x v="29"/>
    <x v="4"/>
    <n v="6700"/>
    <n v="6560"/>
    <n v="140"/>
    <n v="2.09"/>
    <n v="4531"/>
    <n v="3135"/>
    <n v="1396"/>
    <n v="30.81"/>
    <n v="1.4478040169999999"/>
    <n v="4.207564824758065"/>
    <m/>
    <m/>
    <m/>
    <m/>
    <m/>
    <m/>
    <x v="0"/>
    <m/>
    <m/>
    <m/>
    <x v="0"/>
    <x v="0"/>
    <m/>
  </r>
  <r>
    <n v="55"/>
    <x v="11"/>
    <x v="29"/>
    <x v="5"/>
    <n v="6706"/>
    <n v="6572"/>
    <n v="134"/>
    <n v="2.09"/>
    <n v="4543"/>
    <n v="3138"/>
    <n v="1405"/>
    <n v="30.92"/>
    <n v="1.446621175"/>
    <n v="4.2113327932578484"/>
    <m/>
    <m/>
    <m/>
    <m/>
    <m/>
    <m/>
    <x v="0"/>
    <m/>
    <m/>
    <m/>
    <x v="0"/>
    <x v="0"/>
    <m/>
  </r>
  <r>
    <n v="55"/>
    <x v="11"/>
    <x v="29"/>
    <x v="6"/>
    <n v="6721"/>
    <n v="6593"/>
    <n v="128"/>
    <n v="2.1"/>
    <n v="4571"/>
    <n v="3146"/>
    <n v="1425"/>
    <n v="31.17"/>
    <n v="1.442353971"/>
    <n v="4.2207527145073067"/>
    <m/>
    <m/>
    <m/>
    <m/>
    <m/>
    <m/>
    <x v="0"/>
    <m/>
    <m/>
    <m/>
    <x v="0"/>
    <x v="0"/>
    <m/>
  </r>
  <r>
    <n v="55"/>
    <x v="11"/>
    <x v="29"/>
    <x v="7"/>
    <n v="6737"/>
    <n v="6615"/>
    <n v="122"/>
    <n v="2.1"/>
    <n v="4600"/>
    <n v="3155"/>
    <n v="1445"/>
    <n v="31.42"/>
    <n v="1.438043478"/>
    <n v="4.2308006305067289"/>
    <m/>
    <m/>
    <m/>
    <m/>
    <m/>
    <m/>
    <x v="0"/>
    <m/>
    <m/>
    <m/>
    <x v="0"/>
    <x v="0"/>
    <m/>
  </r>
  <r>
    <n v="55"/>
    <x v="11"/>
    <x v="29"/>
    <x v="8"/>
    <n v="6758"/>
    <n v="6642"/>
    <n v="115"/>
    <n v="2.1"/>
    <n v="4637"/>
    <n v="3165"/>
    <n v="1472"/>
    <n v="31.74"/>
    <n v="1.4323916329999999"/>
    <n v="4.2439885202559706"/>
    <m/>
    <m/>
    <m/>
    <m/>
    <m/>
    <m/>
    <x v="0"/>
    <m/>
    <m/>
    <m/>
    <x v="0"/>
    <x v="0"/>
    <m/>
  </r>
  <r>
    <n v="55"/>
    <x v="11"/>
    <x v="29"/>
    <x v="9"/>
    <n v="6778"/>
    <n v="6669"/>
    <n v="109"/>
    <n v="2.1"/>
    <n v="4674"/>
    <n v="3176"/>
    <n v="1498"/>
    <n v="32.049999999999997"/>
    <n v="1.4268292680000001"/>
    <n v="4.2565484152552484"/>
    <m/>
    <m/>
    <m/>
    <m/>
    <m/>
    <m/>
    <x v="0"/>
    <m/>
    <m/>
    <m/>
    <x v="0"/>
    <x v="0"/>
    <m/>
  </r>
  <r>
    <n v="55"/>
    <x v="11"/>
    <x v="29"/>
    <x v="10"/>
    <n v="6833"/>
    <n v="6713"/>
    <n v="120"/>
    <m/>
    <n v="4690"/>
    <m/>
    <m/>
    <m/>
    <n v="1.431343284"/>
    <n v="4.2910881265032623"/>
    <n v="6833"/>
    <n v="45"/>
    <n v="-81"/>
    <n v="136"/>
    <n v="126"/>
    <n v="4690"/>
    <x v="0"/>
    <m/>
    <n v="6713"/>
    <n v="43"/>
    <x v="0"/>
    <x v="0"/>
    <n v="1.431343284"/>
  </r>
  <r>
    <n v="55"/>
    <x v="11"/>
    <x v="29"/>
    <x v="11"/>
    <n v="6948"/>
    <n v="6842"/>
    <n v="106"/>
    <m/>
    <n v="4702"/>
    <m/>
    <m/>
    <m/>
    <n v="1.4551254790000001"/>
    <n v="4.3633075227491105"/>
    <n v="6948"/>
    <n v="43"/>
    <n v="-83"/>
    <n v="198"/>
    <n v="126"/>
    <n v="4702"/>
    <x v="0"/>
    <m/>
    <n v="6842"/>
    <n v="57"/>
    <x v="0"/>
    <x v="0"/>
    <n v="1.4551254790000001"/>
  </r>
  <r>
    <n v="55"/>
    <x v="11"/>
    <x v="29"/>
    <x v="12"/>
    <n v="7104"/>
    <n v="7001"/>
    <n v="103"/>
    <m/>
    <n v="4747"/>
    <m/>
    <m/>
    <m/>
    <n v="1.4748262059999999"/>
    <n v="4.4612747037434772"/>
    <n v="7104"/>
    <n v="44"/>
    <n v="-108"/>
    <n v="264"/>
    <n v="152"/>
    <n v="4747"/>
    <x v="0"/>
    <m/>
    <n v="7001"/>
    <n v="57"/>
    <x v="0"/>
    <x v="0"/>
    <n v="1.4748262059999999"/>
  </r>
  <r>
    <n v="57"/>
    <x v="8"/>
    <x v="30"/>
    <x v="0"/>
    <n v="1387"/>
    <n v="1385"/>
    <n v="2"/>
    <n v="2.4"/>
    <n v="1140"/>
    <n v="578"/>
    <n v="562"/>
    <n v="49.3"/>
    <n v="1.2149122809999999"/>
    <n v="0.85630498533724342"/>
    <m/>
    <m/>
    <m/>
    <m/>
    <m/>
    <m/>
    <x v="0"/>
    <m/>
    <m/>
    <m/>
    <x v="0"/>
    <x v="0"/>
    <m/>
  </r>
  <r>
    <n v="57"/>
    <x v="8"/>
    <x v="30"/>
    <x v="1"/>
    <n v="1387"/>
    <n v="1385"/>
    <n v="2"/>
    <n v="2.14"/>
    <n v="1147"/>
    <n v="647"/>
    <n v="500"/>
    <n v="43.56"/>
    <n v="1.2074978199999999"/>
    <n v="0.85630498533724342"/>
    <m/>
    <m/>
    <m/>
    <m/>
    <m/>
    <m/>
    <x v="0"/>
    <m/>
    <m/>
    <m/>
    <x v="0"/>
    <x v="0"/>
    <m/>
  </r>
  <r>
    <n v="57"/>
    <x v="8"/>
    <x v="30"/>
    <x v="2"/>
    <n v="1385"/>
    <n v="1383"/>
    <n v="2"/>
    <n v="2.13"/>
    <n v="1149"/>
    <n v="648"/>
    <n v="501"/>
    <n v="43.62"/>
    <n v="1.203655352"/>
    <n v="0.85507022688686529"/>
    <m/>
    <m/>
    <m/>
    <m/>
    <m/>
    <m/>
    <x v="0"/>
    <m/>
    <m/>
    <m/>
    <x v="0"/>
    <x v="0"/>
    <m/>
  </r>
  <r>
    <n v="57"/>
    <x v="8"/>
    <x v="30"/>
    <x v="3"/>
    <n v="1383"/>
    <n v="1381"/>
    <n v="2"/>
    <n v="2.13"/>
    <n v="1151"/>
    <n v="648"/>
    <n v="503"/>
    <n v="43.69"/>
    <n v="1.199826238"/>
    <n v="0.85383546843648717"/>
    <m/>
    <m/>
    <m/>
    <m/>
    <m/>
    <m/>
    <x v="0"/>
    <m/>
    <m/>
    <m/>
    <x v="0"/>
    <x v="0"/>
    <m/>
  </r>
  <r>
    <n v="57"/>
    <x v="8"/>
    <x v="30"/>
    <x v="4"/>
    <n v="1381"/>
    <n v="1379"/>
    <n v="2"/>
    <n v="2.12"/>
    <n v="1155"/>
    <n v="649"/>
    <n v="506"/>
    <n v="43.81"/>
    <n v="1.193939394"/>
    <n v="0.85260070998610893"/>
    <m/>
    <m/>
    <m/>
    <m/>
    <m/>
    <m/>
    <x v="0"/>
    <m/>
    <m/>
    <m/>
    <x v="0"/>
    <x v="0"/>
    <m/>
  </r>
  <r>
    <n v="57"/>
    <x v="8"/>
    <x v="30"/>
    <x v="5"/>
    <n v="1381"/>
    <n v="1379"/>
    <n v="2"/>
    <n v="2.12"/>
    <n v="1161"/>
    <n v="650"/>
    <n v="511"/>
    <n v="44"/>
    <n v="1.187769165"/>
    <n v="0.85260070998610893"/>
    <m/>
    <m/>
    <m/>
    <m/>
    <m/>
    <m/>
    <x v="0"/>
    <m/>
    <m/>
    <m/>
    <x v="0"/>
    <x v="0"/>
    <m/>
  </r>
  <r>
    <n v="57"/>
    <x v="8"/>
    <x v="30"/>
    <x v="6"/>
    <n v="1379"/>
    <n v="1377"/>
    <n v="2"/>
    <n v="2.12"/>
    <n v="1165"/>
    <n v="651"/>
    <n v="514"/>
    <n v="44.13"/>
    <n v="1.181974249"/>
    <n v="0.8513659515357308"/>
    <m/>
    <m/>
    <m/>
    <m/>
    <m/>
    <m/>
    <x v="0"/>
    <m/>
    <m/>
    <m/>
    <x v="0"/>
    <x v="0"/>
    <m/>
  </r>
  <r>
    <n v="57"/>
    <x v="8"/>
    <x v="30"/>
    <x v="7"/>
    <n v="1379"/>
    <n v="1377"/>
    <n v="2"/>
    <n v="2.11"/>
    <n v="1172"/>
    <n v="652"/>
    <n v="520"/>
    <n v="44.35"/>
    <n v="1.174914676"/>
    <n v="0.8513659515357308"/>
    <m/>
    <m/>
    <m/>
    <m/>
    <m/>
    <m/>
    <x v="0"/>
    <m/>
    <m/>
    <m/>
    <x v="0"/>
    <x v="0"/>
    <m/>
  </r>
  <r>
    <n v="57"/>
    <x v="8"/>
    <x v="30"/>
    <x v="8"/>
    <n v="1379"/>
    <n v="1377"/>
    <n v="2"/>
    <n v="2.11"/>
    <n v="1179"/>
    <n v="654"/>
    <n v="525"/>
    <n v="44.56"/>
    <n v="1.1679389309999999"/>
    <n v="0.8513659515357308"/>
    <m/>
    <m/>
    <m/>
    <m/>
    <m/>
    <m/>
    <x v="0"/>
    <m/>
    <m/>
    <m/>
    <x v="0"/>
    <x v="0"/>
    <m/>
  </r>
  <r>
    <n v="57"/>
    <x v="8"/>
    <x v="30"/>
    <x v="9"/>
    <n v="1379"/>
    <n v="1377"/>
    <n v="2"/>
    <n v="2.1"/>
    <n v="1186"/>
    <n v="655"/>
    <n v="531"/>
    <n v="44.77"/>
    <n v="1.1610455310000001"/>
    <n v="0.8513659515357308"/>
    <m/>
    <m/>
    <m/>
    <m/>
    <m/>
    <m/>
    <x v="0"/>
    <m/>
    <m/>
    <m/>
    <x v="0"/>
    <x v="0"/>
    <m/>
  </r>
  <r>
    <n v="57"/>
    <x v="8"/>
    <x v="30"/>
    <x v="10"/>
    <n v="1378"/>
    <n v="1376"/>
    <n v="2"/>
    <m/>
    <n v="1191"/>
    <m/>
    <m/>
    <m/>
    <n v="1.155331654"/>
    <n v="0.8507485723105418"/>
    <n v="1378"/>
    <n v="7"/>
    <n v="-4"/>
    <n v="3"/>
    <n v="11"/>
    <n v="1191"/>
    <x v="0"/>
    <m/>
    <n v="1376"/>
    <n v="5"/>
    <x v="0"/>
    <x v="0"/>
    <n v="1.155331654"/>
  </r>
  <r>
    <n v="57"/>
    <x v="8"/>
    <x v="30"/>
    <x v="11"/>
    <n v="1358"/>
    <n v="1356"/>
    <n v="2"/>
    <m/>
    <n v="1195"/>
    <m/>
    <m/>
    <m/>
    <n v="1.134728033"/>
    <n v="0.83840098780676031"/>
    <n v="1358"/>
    <n v="6"/>
    <n v="-9"/>
    <n v="-11"/>
    <n v="15"/>
    <n v="1195"/>
    <x v="0"/>
    <m/>
    <n v="1356"/>
    <n v="2"/>
    <x v="0"/>
    <x v="0"/>
    <n v="1.134728033"/>
  </r>
  <r>
    <n v="57"/>
    <x v="8"/>
    <x v="30"/>
    <x v="12"/>
    <n v="1314"/>
    <n v="1312"/>
    <n v="2"/>
    <m/>
    <n v="1199"/>
    <m/>
    <m/>
    <m/>
    <n v="1.0942452039999999"/>
    <n v="0.81123630189844109"/>
    <n v="1314"/>
    <n v="8"/>
    <n v="-1"/>
    <n v="-43"/>
    <n v="9"/>
    <n v="1199"/>
    <x v="0"/>
    <m/>
    <n v="1312"/>
    <n v="4"/>
    <x v="0"/>
    <x v="0"/>
    <n v="1.0942452039999999"/>
  </r>
  <r>
    <n v="59"/>
    <x v="9"/>
    <x v="31"/>
    <x v="0"/>
    <n v="535651"/>
    <n v="528224"/>
    <n v="7427"/>
    <n v="2.42"/>
    <n v="230181"/>
    <n v="218630"/>
    <n v="11551"/>
    <n v="5.0199999999999996"/>
    <n v="2.2948201629999998"/>
    <n v="693.08533350585492"/>
    <m/>
    <m/>
    <m/>
    <m/>
    <m/>
    <m/>
    <x v="0"/>
    <m/>
    <m/>
    <m/>
    <x v="0"/>
    <x v="0"/>
    <m/>
  </r>
  <r>
    <n v="59"/>
    <x v="9"/>
    <x v="31"/>
    <x v="1"/>
    <n v="540625"/>
    <n v="532839"/>
    <n v="7786"/>
    <n v="2.42"/>
    <n v="230936"/>
    <n v="220545"/>
    <n v="10391"/>
    <n v="4.5"/>
    <n v="2.3073015899999998"/>
    <n v="699.52125250695474"/>
    <m/>
    <m/>
    <m/>
    <m/>
    <m/>
    <m/>
    <x v="0"/>
    <m/>
    <m/>
    <m/>
    <x v="0"/>
    <x v="0"/>
    <m/>
  </r>
  <r>
    <n v="59"/>
    <x v="9"/>
    <x v="31"/>
    <x v="2"/>
    <n v="546631"/>
    <n v="538930"/>
    <n v="7701"/>
    <n v="2.42"/>
    <n v="232054"/>
    <n v="223071"/>
    <n v="8983"/>
    <n v="3.87"/>
    <n v="2.3224335709999999"/>
    <n v="707.29248884000776"/>
    <m/>
    <m/>
    <m/>
    <m/>
    <m/>
    <m/>
    <x v="0"/>
    <m/>
    <m/>
    <m/>
    <x v="0"/>
    <x v="0"/>
    <m/>
  </r>
  <r>
    <n v="59"/>
    <x v="9"/>
    <x v="31"/>
    <x v="3"/>
    <n v="552236"/>
    <n v="544284"/>
    <n v="7952"/>
    <n v="2.42"/>
    <n v="233257"/>
    <n v="225291"/>
    <n v="7966"/>
    <n v="3.42"/>
    <n v="2.3334090719999998"/>
    <n v="714.54486640357118"/>
    <m/>
    <m/>
    <m/>
    <m/>
    <m/>
    <m/>
    <x v="0"/>
    <m/>
    <m/>
    <m/>
    <x v="0"/>
    <x v="0"/>
    <m/>
  </r>
  <r>
    <n v="59"/>
    <x v="9"/>
    <x v="31"/>
    <x v="4"/>
    <n v="559016"/>
    <n v="550990"/>
    <n v="8026"/>
    <n v="2.42"/>
    <n v="234710"/>
    <n v="228072"/>
    <n v="6638"/>
    <n v="2.83"/>
    <n v="2.347535256"/>
    <n v="723.31759073558908"/>
    <m/>
    <m/>
    <m/>
    <m/>
    <m/>
    <m/>
    <x v="0"/>
    <m/>
    <m/>
    <m/>
    <x v="0"/>
    <x v="0"/>
    <m/>
  </r>
  <r>
    <n v="59"/>
    <x v="9"/>
    <x v="31"/>
    <x v="5"/>
    <n v="565161"/>
    <n v="557032"/>
    <n v="8129"/>
    <n v="2.42"/>
    <n v="237424"/>
    <n v="230578"/>
    <n v="6846"/>
    <n v="2.88"/>
    <n v="2.3461486620000001"/>
    <n v="731.26868085656986"/>
    <m/>
    <m/>
    <m/>
    <m/>
    <m/>
    <m/>
    <x v="0"/>
    <m/>
    <m/>
    <m/>
    <x v="0"/>
    <x v="0"/>
    <m/>
  </r>
  <r>
    <n v="59"/>
    <x v="9"/>
    <x v="31"/>
    <x v="6"/>
    <n v="571744"/>
    <n v="563381"/>
    <n v="8363"/>
    <n v="2.42"/>
    <n v="239371"/>
    <n v="233211"/>
    <n v="6160"/>
    <n v="2.57"/>
    <n v="2.3535891979999999"/>
    <n v="739.78650449634472"/>
    <m/>
    <m/>
    <m/>
    <m/>
    <m/>
    <m/>
    <x v="0"/>
    <m/>
    <m/>
    <m/>
    <x v="0"/>
    <x v="0"/>
    <m/>
  </r>
  <r>
    <n v="59"/>
    <x v="9"/>
    <x v="31"/>
    <x v="7"/>
    <n v="575923"/>
    <n v="566813"/>
    <n v="9110"/>
    <n v="2.42"/>
    <n v="242056"/>
    <n v="234636"/>
    <n v="7420"/>
    <n v="3.07"/>
    <n v="2.3416606070000001"/>
    <n v="745.19376334346896"/>
    <m/>
    <m/>
    <m/>
    <m/>
    <m/>
    <m/>
    <x v="0"/>
    <m/>
    <m/>
    <m/>
    <x v="0"/>
    <x v="0"/>
    <m/>
  </r>
  <r>
    <n v="59"/>
    <x v="9"/>
    <x v="31"/>
    <x v="8"/>
    <n v="579821"/>
    <n v="570999"/>
    <n v="8822"/>
    <n v="2.42"/>
    <n v="244236"/>
    <n v="236374"/>
    <n v="7862"/>
    <n v="3.22"/>
    <n v="2.33789859"/>
    <n v="750.23743287830757"/>
    <m/>
    <m/>
    <m/>
    <m/>
    <m/>
    <m/>
    <x v="0"/>
    <m/>
    <m/>
    <m/>
    <x v="0"/>
    <x v="0"/>
    <m/>
  </r>
  <r>
    <n v="59"/>
    <x v="9"/>
    <x v="31"/>
    <x v="9"/>
    <n v="582568"/>
    <n v="573332"/>
    <n v="9236"/>
    <n v="2.42"/>
    <n v="246873"/>
    <n v="237345"/>
    <n v="9528"/>
    <n v="3.86"/>
    <n v="2.3223762830000001"/>
    <n v="753.79180953613252"/>
    <m/>
    <m/>
    <m/>
    <m/>
    <m/>
    <m/>
    <x v="0"/>
    <m/>
    <m/>
    <m/>
    <x v="0"/>
    <x v="0"/>
    <m/>
  </r>
  <r>
    <n v="59"/>
    <x v="9"/>
    <x v="31"/>
    <x v="10"/>
    <n v="583063"/>
    <n v="574379"/>
    <n v="8684"/>
    <m/>
    <n v="248886"/>
    <m/>
    <m/>
    <m/>
    <n v="2.3077995549999999"/>
    <n v="754.43229604709836"/>
    <n v="583063"/>
    <n v="5723"/>
    <n v="822"/>
    <n v="-327"/>
    <n v="4901"/>
    <n v="248886"/>
    <x v="0"/>
    <m/>
    <n v="574379"/>
    <n v="2161"/>
    <x v="0"/>
    <x v="0"/>
    <n v="2.3077995549999999"/>
  </r>
  <r>
    <n v="59"/>
    <x v="9"/>
    <x v="31"/>
    <x v="11"/>
    <n v="580726"/>
    <n v="571625"/>
    <n v="9101"/>
    <m/>
    <n v="251462"/>
    <m/>
    <m/>
    <m/>
    <n v="2.2732062900000001"/>
    <n v="751.40842336805326"/>
    <n v="580726"/>
    <n v="5379"/>
    <n v="12"/>
    <n v="-2349"/>
    <n v="5367"/>
    <n v="251462"/>
    <x v="0"/>
    <m/>
    <n v="571625"/>
    <n v="2515"/>
    <x v="0"/>
    <x v="0"/>
    <n v="2.2732062900000001"/>
  </r>
  <r>
    <n v="59"/>
    <x v="9"/>
    <x v="31"/>
    <x v="12"/>
    <n v="575936"/>
    <n v="566554"/>
    <n v="9382"/>
    <m/>
    <n v="254441"/>
    <m/>
    <m/>
    <m/>
    <n v="2.2266615839999999"/>
    <n v="745.21058420133272"/>
    <n v="575936"/>
    <n v="5523"/>
    <n v="82"/>
    <n v="-4872"/>
    <n v="5441"/>
    <n v="254441"/>
    <x v="0"/>
    <m/>
    <n v="566554"/>
    <n v="2206"/>
    <x v="0"/>
    <x v="0"/>
    <n v="2.2266615839999999"/>
  </r>
  <r>
    <n v="61"/>
    <x v="3"/>
    <x v="32"/>
    <x v="0"/>
    <n v="1399"/>
    <n v="1385"/>
    <n v="14"/>
    <n v="2.4900000000000002"/>
    <n v="720"/>
    <n v="557"/>
    <n v="163"/>
    <n v="22.64"/>
    <n v="1.923611111"/>
    <n v="0.78335853071280581"/>
    <m/>
    <m/>
    <m/>
    <m/>
    <m/>
    <m/>
    <x v="0"/>
    <m/>
    <m/>
    <m/>
    <x v="0"/>
    <x v="0"/>
    <m/>
  </r>
  <r>
    <n v="61"/>
    <x v="3"/>
    <x v="32"/>
    <x v="1"/>
    <n v="1383"/>
    <n v="1367"/>
    <n v="16"/>
    <n v="2.25"/>
    <n v="727"/>
    <n v="607"/>
    <n v="120"/>
    <n v="16.53"/>
    <n v="1.8803301240000001"/>
    <n v="0.77439946245590452"/>
    <m/>
    <m/>
    <m/>
    <m/>
    <m/>
    <m/>
    <x v="0"/>
    <m/>
    <m/>
    <m/>
    <x v="0"/>
    <x v="0"/>
    <m/>
  </r>
  <r>
    <n v="61"/>
    <x v="3"/>
    <x v="32"/>
    <x v="2"/>
    <n v="1392"/>
    <n v="1375"/>
    <n v="18"/>
    <n v="2.27"/>
    <n v="728"/>
    <n v="605"/>
    <n v="123"/>
    <n v="16.899999999999999"/>
    <n v="1.8887362640000001"/>
    <n v="0.77943893835041156"/>
    <m/>
    <m/>
    <m/>
    <m/>
    <m/>
    <m/>
    <x v="0"/>
    <m/>
    <m/>
    <m/>
    <x v="0"/>
    <x v="0"/>
    <m/>
  </r>
  <r>
    <n v="61"/>
    <x v="3"/>
    <x v="32"/>
    <x v="3"/>
    <n v="1397"/>
    <n v="1377"/>
    <n v="20"/>
    <n v="2.29"/>
    <n v="730"/>
    <n v="601"/>
    <n v="129"/>
    <n v="17.649999999999999"/>
    <n v="1.88630137"/>
    <n v="0.78223864718069314"/>
    <m/>
    <m/>
    <m/>
    <m/>
    <m/>
    <m/>
    <x v="0"/>
    <m/>
    <m/>
    <m/>
    <x v="0"/>
    <x v="0"/>
    <m/>
  </r>
  <r>
    <n v="61"/>
    <x v="3"/>
    <x v="32"/>
    <x v="4"/>
    <n v="1393"/>
    <n v="1372"/>
    <n v="22"/>
    <n v="2.31"/>
    <n v="734"/>
    <n v="594"/>
    <n v="140"/>
    <n v="19.12"/>
    <n v="1.869209809"/>
    <n v="0.7799988801164679"/>
    <m/>
    <m/>
    <m/>
    <m/>
    <m/>
    <m/>
    <x v="0"/>
    <m/>
    <m/>
    <m/>
    <x v="0"/>
    <x v="0"/>
    <m/>
  </r>
  <r>
    <n v="61"/>
    <x v="3"/>
    <x v="32"/>
    <x v="5"/>
    <n v="1406"/>
    <n v="1383"/>
    <n v="24"/>
    <n v="2.33"/>
    <n v="734"/>
    <n v="594"/>
    <n v="140"/>
    <n v="19.12"/>
    <n v="1.884196185"/>
    <n v="0.78727812307520018"/>
    <m/>
    <m/>
    <m/>
    <m/>
    <m/>
    <m/>
    <x v="0"/>
    <m/>
    <m/>
    <m/>
    <x v="0"/>
    <x v="0"/>
    <m/>
  </r>
  <r>
    <n v="61"/>
    <x v="3"/>
    <x v="32"/>
    <x v="6"/>
    <n v="1420"/>
    <n v="1394"/>
    <n v="25"/>
    <n v="2.35"/>
    <n v="734"/>
    <n v="594"/>
    <n v="140"/>
    <n v="19.12"/>
    <n v="1.8991825609999999"/>
    <n v="0.79511730779998879"/>
    <m/>
    <m/>
    <m/>
    <m/>
    <m/>
    <m/>
    <x v="0"/>
    <m/>
    <m/>
    <m/>
    <x v="0"/>
    <x v="0"/>
    <m/>
  </r>
  <r>
    <n v="61"/>
    <x v="3"/>
    <x v="32"/>
    <x v="7"/>
    <n v="1428"/>
    <n v="1401"/>
    <n v="27"/>
    <n v="2.37"/>
    <n v="735"/>
    <n v="592"/>
    <n v="143"/>
    <n v="19.489999999999998"/>
    <n v="1.9061224489999999"/>
    <n v="0.79959684192843938"/>
    <m/>
    <m/>
    <m/>
    <m/>
    <m/>
    <m/>
    <x v="0"/>
    <m/>
    <m/>
    <m/>
    <x v="0"/>
    <x v="0"/>
    <m/>
  </r>
  <r>
    <n v="61"/>
    <x v="3"/>
    <x v="32"/>
    <x v="8"/>
    <n v="1442"/>
    <n v="1412"/>
    <n v="29"/>
    <n v="2.39"/>
    <n v="735"/>
    <n v="592"/>
    <n v="143"/>
    <n v="19.489999999999998"/>
    <n v="1.9210884349999999"/>
    <n v="0.807436026653228"/>
    <m/>
    <m/>
    <m/>
    <m/>
    <m/>
    <m/>
    <x v="0"/>
    <m/>
    <m/>
    <m/>
    <x v="0"/>
    <x v="0"/>
    <m/>
  </r>
  <r>
    <n v="61"/>
    <x v="3"/>
    <x v="32"/>
    <x v="9"/>
    <n v="1455"/>
    <n v="1424"/>
    <n v="31"/>
    <n v="2.41"/>
    <n v="735"/>
    <n v="592"/>
    <n v="143"/>
    <n v="19.489999999999998"/>
    <n v="1.937414966"/>
    <n v="0.81471526961196028"/>
    <m/>
    <m/>
    <m/>
    <m/>
    <m/>
    <m/>
    <x v="0"/>
    <m/>
    <m/>
    <m/>
    <x v="0"/>
    <x v="0"/>
    <m/>
  </r>
  <r>
    <n v="61"/>
    <x v="3"/>
    <x v="32"/>
    <x v="10"/>
    <n v="1454"/>
    <n v="1425"/>
    <n v="29"/>
    <m/>
    <n v="737"/>
    <m/>
    <m/>
    <m/>
    <n v="1.933514247"/>
    <n v="0.81415532784590394"/>
    <n v="1454"/>
    <n v="13"/>
    <n v="-2"/>
    <n v="1"/>
    <n v="15"/>
    <n v="737"/>
    <x v="0"/>
    <m/>
    <n v="1425"/>
    <n v="5"/>
    <x v="0"/>
    <x v="0"/>
    <n v="1.933514247"/>
  </r>
  <r>
    <n v="61"/>
    <x v="3"/>
    <x v="32"/>
    <x v="11"/>
    <n v="1453"/>
    <n v="1424"/>
    <n v="29"/>
    <m/>
    <n v="742"/>
    <m/>
    <m/>
    <m/>
    <n v="1.919137466"/>
    <n v="0.8135953860798476"/>
    <n v="1453"/>
    <n v="20"/>
    <n v="-1"/>
    <n v="0"/>
    <n v="21"/>
    <n v="742"/>
    <x v="0"/>
    <m/>
    <n v="1424"/>
    <n v="6"/>
    <x v="0"/>
    <x v="0"/>
    <n v="1.919137466"/>
  </r>
  <r>
    <n v="61"/>
    <x v="3"/>
    <x v="32"/>
    <x v="12"/>
    <n v="1428"/>
    <n v="1399"/>
    <n v="29"/>
    <m/>
    <n v="748"/>
    <m/>
    <m/>
    <m/>
    <n v="1.870320856"/>
    <n v="0.79959684192843938"/>
    <n v="1428"/>
    <n v="11"/>
    <n v="-8"/>
    <n v="-17"/>
    <n v="19"/>
    <n v="748"/>
    <x v="0"/>
    <m/>
    <n v="1399"/>
    <n v="6"/>
    <x v="0"/>
    <x v="0"/>
    <n v="1.870320856"/>
  </r>
  <r>
    <n v="63"/>
    <x v="5"/>
    <x v="33"/>
    <x v="0"/>
    <n v="8267"/>
    <n v="7192"/>
    <n v="1075"/>
    <n v="2.4700000000000002"/>
    <n v="3377"/>
    <n v="2916"/>
    <n v="461"/>
    <n v="13.65"/>
    <n v="2.1297009180000002"/>
    <n v="3.8230139241501462"/>
    <m/>
    <m/>
    <m/>
    <m/>
    <m/>
    <m/>
    <x v="0"/>
    <m/>
    <m/>
    <m/>
    <x v="0"/>
    <x v="0"/>
    <m/>
  </r>
  <r>
    <n v="63"/>
    <x v="5"/>
    <x v="33"/>
    <x v="1"/>
    <n v="8165"/>
    <n v="7188"/>
    <n v="977"/>
    <n v="2.37"/>
    <n v="3379"/>
    <n v="3028"/>
    <n v="351"/>
    <n v="10.37"/>
    <n v="2.127256585"/>
    <n v="3.7758447672294597"/>
    <m/>
    <m/>
    <m/>
    <m/>
    <m/>
    <m/>
    <x v="0"/>
    <m/>
    <m/>
    <m/>
    <x v="0"/>
    <x v="0"/>
    <m/>
  </r>
  <r>
    <n v="63"/>
    <x v="5"/>
    <x v="33"/>
    <x v="2"/>
    <n v="8085"/>
    <n v="7207"/>
    <n v="879"/>
    <n v="2.38"/>
    <n v="3379"/>
    <n v="3028"/>
    <n v="351"/>
    <n v="10.37"/>
    <n v="2.1328795500000002"/>
    <n v="3.7388493500367646"/>
    <m/>
    <m/>
    <m/>
    <m/>
    <m/>
    <m/>
    <x v="0"/>
    <m/>
    <m/>
    <m/>
    <x v="0"/>
    <x v="0"/>
    <m/>
  </r>
  <r>
    <n v="63"/>
    <x v="5"/>
    <x v="33"/>
    <x v="3"/>
    <n v="8006"/>
    <n v="7225"/>
    <n v="780"/>
    <n v="2.39"/>
    <n v="3379"/>
    <n v="3028"/>
    <n v="351"/>
    <n v="10.37"/>
    <n v="2.1382065699999999"/>
    <n v="3.7023163755589779"/>
    <m/>
    <m/>
    <m/>
    <m/>
    <m/>
    <m/>
    <x v="0"/>
    <m/>
    <m/>
    <m/>
    <x v="0"/>
    <x v="0"/>
    <m/>
  </r>
  <r>
    <n v="63"/>
    <x v="5"/>
    <x v="33"/>
    <x v="4"/>
    <n v="7664"/>
    <n v="6982"/>
    <n v="682"/>
    <n v="2.39"/>
    <n v="3402"/>
    <n v="2919"/>
    <n v="483"/>
    <n v="14.2"/>
    <n v="2.0523221629999999"/>
    <n v="3.5441609670602059"/>
    <m/>
    <m/>
    <m/>
    <m/>
    <m/>
    <m/>
    <x v="0"/>
    <m/>
    <m/>
    <m/>
    <x v="0"/>
    <x v="0"/>
    <m/>
  </r>
  <r>
    <n v="63"/>
    <x v="5"/>
    <x v="33"/>
    <x v="5"/>
    <n v="7561"/>
    <n v="6977"/>
    <n v="584"/>
    <n v="2.4"/>
    <n v="3404"/>
    <n v="2909"/>
    <n v="495"/>
    <n v="14.53"/>
    <n v="2.0496474739999999"/>
    <n v="3.4965293674246105"/>
    <m/>
    <m/>
    <m/>
    <m/>
    <m/>
    <m/>
    <x v="0"/>
    <m/>
    <m/>
    <m/>
    <x v="0"/>
    <x v="0"/>
    <m/>
  </r>
  <r>
    <n v="63"/>
    <x v="5"/>
    <x v="33"/>
    <x v="6"/>
    <n v="7480"/>
    <n v="6995"/>
    <n v="486"/>
    <n v="2.4"/>
    <n v="3404"/>
    <n v="2909"/>
    <n v="495"/>
    <n v="14.53"/>
    <n v="2.0549353699999999"/>
    <n v="3.4590715075170064"/>
    <m/>
    <m/>
    <m/>
    <m/>
    <m/>
    <m/>
    <x v="0"/>
    <m/>
    <m/>
    <m/>
    <x v="0"/>
    <x v="0"/>
    <m/>
  </r>
  <r>
    <n v="63"/>
    <x v="5"/>
    <x v="33"/>
    <x v="7"/>
    <n v="7400"/>
    <n v="7012"/>
    <n v="388"/>
    <n v="2.41"/>
    <n v="3404"/>
    <n v="2909"/>
    <n v="495"/>
    <n v="14.53"/>
    <n v="2.059929495"/>
    <n v="3.4220760903243113"/>
    <m/>
    <m/>
    <m/>
    <m/>
    <m/>
    <m/>
    <x v="0"/>
    <m/>
    <m/>
    <m/>
    <x v="0"/>
    <x v="0"/>
    <m/>
  </r>
  <r>
    <n v="63"/>
    <x v="5"/>
    <x v="33"/>
    <x v="8"/>
    <n v="7285"/>
    <n v="6996"/>
    <n v="289"/>
    <n v="2.42"/>
    <n v="3407"/>
    <n v="2895"/>
    <n v="512"/>
    <n v="15.03"/>
    <n v="2.053419431"/>
    <n v="3.368895178109812"/>
    <m/>
    <m/>
    <m/>
    <m/>
    <m/>
    <m/>
    <x v="0"/>
    <m/>
    <m/>
    <m/>
    <x v="0"/>
    <x v="0"/>
    <m/>
  </r>
  <r>
    <n v="63"/>
    <x v="5"/>
    <x v="33"/>
    <x v="9"/>
    <n v="7182"/>
    <n v="6990"/>
    <n v="191"/>
    <n v="2.42"/>
    <n v="3409"/>
    <n v="2886"/>
    <n v="523"/>
    <n v="15.36"/>
    <n v="2.050454679"/>
    <n v="3.3212635784742166"/>
    <m/>
    <m/>
    <m/>
    <m/>
    <m/>
    <m/>
    <x v="0"/>
    <m/>
    <m/>
    <m/>
    <x v="0"/>
    <x v="0"/>
    <m/>
  </r>
  <r>
    <n v="63"/>
    <x v="5"/>
    <x v="33"/>
    <x v="10"/>
    <n v="7067"/>
    <n v="6973"/>
    <n v="94"/>
    <m/>
    <n v="3411"/>
    <m/>
    <m/>
    <m/>
    <n v="2.0442685429999998"/>
    <n v="3.2680826662597173"/>
    <n v="7067"/>
    <n v="91"/>
    <n v="11"/>
    <n v="-126"/>
    <n v="80"/>
    <n v="3411"/>
    <x v="0"/>
    <m/>
    <n v="6973"/>
    <n v="11"/>
    <x v="0"/>
    <x v="0"/>
    <n v="2.0442685429999998"/>
  </r>
  <r>
    <n v="63"/>
    <x v="5"/>
    <x v="33"/>
    <x v="11"/>
    <n v="6929"/>
    <n v="6838"/>
    <n v="91"/>
    <m/>
    <n v="3422"/>
    <m/>
    <m/>
    <m/>
    <n v="1.998246639"/>
    <n v="3.2042655716023178"/>
    <n v="6929"/>
    <n v="81"/>
    <n v="-16"/>
    <n v="-122"/>
    <n v="97"/>
    <n v="3422"/>
    <x v="0"/>
    <m/>
    <n v="6838"/>
    <n v="6"/>
    <x v="0"/>
    <x v="0"/>
    <n v="1.998246639"/>
  </r>
  <r>
    <n v="63"/>
    <x v="5"/>
    <x v="33"/>
    <x v="12"/>
    <n v="6974"/>
    <n v="6881"/>
    <n v="93"/>
    <m/>
    <n v="3428"/>
    <m/>
    <m/>
    <m/>
    <n v="2.0072928819999998"/>
    <n v="3.2250754937732089"/>
    <n v="6974"/>
    <n v="104"/>
    <n v="11"/>
    <n v="34"/>
    <n v="93"/>
    <n v="3428"/>
    <x v="0"/>
    <m/>
    <n v="6881"/>
    <n v="1"/>
    <x v="0"/>
    <x v="0"/>
    <n v="2.0072928819999998"/>
  </r>
  <r>
    <n v="67"/>
    <x v="2"/>
    <x v="34"/>
    <x v="0"/>
    <n v="51441"/>
    <n v="49726"/>
    <n v="1715"/>
    <n v="2.35"/>
    <n v="25910"/>
    <n v="21143"/>
    <n v="4767"/>
    <n v="18.399999999999999"/>
    <n v="1.919181783"/>
    <n v="30.251581943496976"/>
    <m/>
    <m/>
    <m/>
    <m/>
    <m/>
    <m/>
    <x v="0"/>
    <m/>
    <m/>
    <m/>
    <x v="0"/>
    <x v="0"/>
    <m/>
  </r>
  <r>
    <n v="67"/>
    <x v="2"/>
    <x v="34"/>
    <x v="1"/>
    <n v="51803"/>
    <n v="50096"/>
    <n v="1707"/>
    <n v="2.35"/>
    <n v="26063"/>
    <n v="21354"/>
    <n v="4709"/>
    <n v="18.07"/>
    <n v="1.922111806"/>
    <n v="30.46446802004187"/>
    <m/>
    <m/>
    <m/>
    <m/>
    <m/>
    <m/>
    <x v="0"/>
    <m/>
    <m/>
    <m/>
    <x v="0"/>
    <x v="0"/>
    <m/>
  </r>
  <r>
    <n v="67"/>
    <x v="2"/>
    <x v="34"/>
    <x v="2"/>
    <n v="52314"/>
    <n v="50450"/>
    <n v="1864"/>
    <n v="2.34"/>
    <n v="26154"/>
    <n v="21559"/>
    <n v="4595"/>
    <n v="17.57"/>
    <n v="1.928959241"/>
    <n v="30.764978476159111"/>
    <m/>
    <m/>
    <m/>
    <m/>
    <m/>
    <m/>
    <x v="0"/>
    <m/>
    <m/>
    <m/>
    <x v="0"/>
    <x v="0"/>
    <m/>
  </r>
  <r>
    <n v="67"/>
    <x v="2"/>
    <x v="34"/>
    <x v="3"/>
    <n v="53146"/>
    <n v="51067"/>
    <n v="2079"/>
    <n v="2.33"/>
    <n v="26262"/>
    <n v="21878"/>
    <n v="4384"/>
    <n v="16.690000000000001"/>
    <n v="1.9445205999999999"/>
    <n v="31.254263602361739"/>
    <m/>
    <m/>
    <m/>
    <m/>
    <m/>
    <m/>
    <x v="0"/>
    <m/>
    <m/>
    <m/>
    <x v="0"/>
    <x v="0"/>
    <m/>
  </r>
  <r>
    <n v="67"/>
    <x v="2"/>
    <x v="34"/>
    <x v="4"/>
    <n v="53557"/>
    <n v="51603"/>
    <n v="1954"/>
    <n v="2.33"/>
    <n v="26464"/>
    <n v="22164"/>
    <n v="4300"/>
    <n v="16.25"/>
    <n v="1.9499319829999999"/>
    <n v="31.495965750041165"/>
    <m/>
    <m/>
    <m/>
    <m/>
    <m/>
    <m/>
    <x v="0"/>
    <m/>
    <m/>
    <m/>
    <x v="0"/>
    <x v="0"/>
    <m/>
  </r>
  <r>
    <n v="67"/>
    <x v="2"/>
    <x v="34"/>
    <x v="5"/>
    <n v="54300"/>
    <n v="52304"/>
    <n v="1996"/>
    <n v="2.3199999999999998"/>
    <n v="26672"/>
    <n v="22522"/>
    <n v="4150"/>
    <n v="15.56"/>
    <n v="1.961007798"/>
    <n v="31.932911481734138"/>
    <m/>
    <m/>
    <m/>
    <m/>
    <m/>
    <m/>
    <x v="0"/>
    <m/>
    <m/>
    <m/>
    <x v="0"/>
    <x v="0"/>
    <m/>
  </r>
  <r>
    <n v="67"/>
    <x v="2"/>
    <x v="34"/>
    <x v="6"/>
    <n v="54884"/>
    <n v="52945"/>
    <n v="1939"/>
    <n v="2.3199999999999998"/>
    <n v="26937"/>
    <n v="22856"/>
    <n v="4081"/>
    <n v="15.15"/>
    <n v="1.9655121209999999"/>
    <n v="32.276352003010985"/>
    <m/>
    <m/>
    <m/>
    <m/>
    <m/>
    <m/>
    <x v="0"/>
    <m/>
    <m/>
    <m/>
    <x v="0"/>
    <x v="0"/>
    <m/>
  </r>
  <r>
    <n v="67"/>
    <x v="2"/>
    <x v="34"/>
    <x v="7"/>
    <n v="55034"/>
    <n v="53179"/>
    <n v="1855"/>
    <n v="2.31"/>
    <n v="27145"/>
    <n v="23015"/>
    <n v="4130"/>
    <n v="15.21"/>
    <n v="1.959071652"/>
    <n v="32.364564465667705"/>
    <m/>
    <m/>
    <m/>
    <m/>
    <m/>
    <m/>
    <x v="0"/>
    <m/>
    <m/>
    <m/>
    <x v="0"/>
    <x v="0"/>
    <m/>
  </r>
  <r>
    <n v="67"/>
    <x v="2"/>
    <x v="34"/>
    <x v="8"/>
    <n v="55731"/>
    <n v="53884"/>
    <n v="1847"/>
    <n v="2.2999999999999998"/>
    <n v="27670"/>
    <n v="23380"/>
    <n v="4290"/>
    <n v="15.5"/>
    <n v="1.9473798339999999"/>
    <n v="32.774458375479284"/>
    <m/>
    <m/>
    <m/>
    <m/>
    <m/>
    <m/>
    <x v="0"/>
    <m/>
    <m/>
    <m/>
    <x v="0"/>
    <x v="0"/>
    <m/>
  </r>
  <r>
    <n v="67"/>
    <x v="2"/>
    <x v="34"/>
    <x v="9"/>
    <n v="55509"/>
    <n v="53666"/>
    <n v="1843"/>
    <n v="2.2999999999999998"/>
    <n v="27983"/>
    <n v="23346"/>
    <n v="4637"/>
    <n v="16.57"/>
    <n v="1.9178072399999999"/>
    <n v="32.643903930747335"/>
    <m/>
    <m/>
    <m/>
    <m/>
    <m/>
    <m/>
    <x v="0"/>
    <m/>
    <m/>
    <m/>
    <x v="0"/>
    <x v="0"/>
    <m/>
  </r>
  <r>
    <n v="67"/>
    <x v="2"/>
    <x v="34"/>
    <x v="10"/>
    <n v="55668"/>
    <n v="53928"/>
    <n v="1740"/>
    <m/>
    <n v="28285"/>
    <m/>
    <m/>
    <m/>
    <n v="1.906593601"/>
    <n v="32.737409141163461"/>
    <n v="55668"/>
    <n v="481"/>
    <n v="110"/>
    <n v="49"/>
    <n v="371"/>
    <n v="28285"/>
    <x v="0"/>
    <m/>
    <n v="53928"/>
    <n v="253"/>
    <x v="0"/>
    <x v="0"/>
    <n v="1.906593601"/>
  </r>
  <r>
    <n v="67"/>
    <x v="2"/>
    <x v="34"/>
    <x v="11"/>
    <n v="56171"/>
    <n v="54621"/>
    <n v="1550"/>
    <m/>
    <n v="28533"/>
    <m/>
    <m/>
    <m/>
    <n v="1.9143097469999999"/>
    <n v="33.033214932605681"/>
    <n v="56171"/>
    <n v="437"/>
    <n v="-2"/>
    <n v="505"/>
    <n v="439"/>
    <n v="28533"/>
    <x v="0"/>
    <m/>
    <n v="54621"/>
    <n v="415"/>
    <x v="0"/>
    <x v="0"/>
    <n v="1.9143097469999999"/>
  </r>
  <r>
    <n v="67"/>
    <x v="2"/>
    <x v="34"/>
    <x v="12"/>
    <n v="56557"/>
    <n v="54645"/>
    <n v="1912"/>
    <m/>
    <n v="28946"/>
    <m/>
    <m/>
    <m/>
    <n v="1.887825606"/>
    <n v="33.260215003175645"/>
    <n v="56557"/>
    <n v="423"/>
    <n v="-39"/>
    <n v="425"/>
    <n v="462"/>
    <n v="28946"/>
    <x v="0"/>
    <m/>
    <n v="54645"/>
    <n v="389"/>
    <x v="0"/>
    <x v="0"/>
    <n v="1.887825606"/>
  </r>
  <r>
    <n v="65"/>
    <x v="4"/>
    <x v="35"/>
    <x v="0"/>
    <n v="7282"/>
    <n v="7149"/>
    <n v="133"/>
    <n v="2.4300000000000002"/>
    <n v="4271"/>
    <n v="2941"/>
    <n v="1330"/>
    <n v="31.14"/>
    <n v="1.6738468740000001"/>
    <n v="18.985790640073002"/>
    <m/>
    <m/>
    <m/>
    <m/>
    <m/>
    <m/>
    <x v="0"/>
    <m/>
    <m/>
    <m/>
    <x v="0"/>
    <x v="0"/>
    <m/>
  </r>
  <r>
    <n v="65"/>
    <x v="4"/>
    <x v="35"/>
    <x v="1"/>
    <n v="7242"/>
    <n v="7170"/>
    <n v="72"/>
    <n v="2.4300000000000002"/>
    <n v="4272"/>
    <n v="2956"/>
    <n v="1316"/>
    <n v="30.81"/>
    <n v="1.678370787"/>
    <n v="18.881501759874851"/>
    <m/>
    <m/>
    <m/>
    <m/>
    <m/>
    <m/>
    <x v="0"/>
    <m/>
    <m/>
    <m/>
    <x v="0"/>
    <x v="0"/>
    <m/>
  </r>
  <r>
    <n v="65"/>
    <x v="4"/>
    <x v="35"/>
    <x v="2"/>
    <n v="7103"/>
    <n v="7031"/>
    <n v="72"/>
    <n v="2.42"/>
    <n v="4277"/>
    <n v="2904"/>
    <n v="1373"/>
    <n v="32.1"/>
    <n v="1.6439092820000001"/>
    <n v="18.519097901186285"/>
    <m/>
    <m/>
    <m/>
    <m/>
    <m/>
    <m/>
    <x v="0"/>
    <m/>
    <m/>
    <m/>
    <x v="0"/>
    <x v="0"/>
    <m/>
  </r>
  <r>
    <n v="65"/>
    <x v="4"/>
    <x v="35"/>
    <x v="3"/>
    <n v="7071"/>
    <n v="6997"/>
    <n v="74"/>
    <n v="2.42"/>
    <n v="4277"/>
    <n v="2896"/>
    <n v="1381"/>
    <n v="32.29"/>
    <n v="1.6359597850000001"/>
    <n v="18.435666797027768"/>
    <m/>
    <m/>
    <m/>
    <m/>
    <m/>
    <m/>
    <x v="0"/>
    <m/>
    <m/>
    <m/>
    <x v="0"/>
    <x v="0"/>
    <m/>
  </r>
  <r>
    <n v="65"/>
    <x v="4"/>
    <x v="35"/>
    <x v="4"/>
    <n v="7085"/>
    <n v="6995"/>
    <n v="90"/>
    <n v="2.41"/>
    <n v="4277"/>
    <n v="2901"/>
    <n v="1376"/>
    <n v="32.17"/>
    <n v="1.635492167"/>
    <n v="18.47216790509712"/>
    <m/>
    <m/>
    <m/>
    <m/>
    <m/>
    <m/>
    <x v="0"/>
    <m/>
    <m/>
    <m/>
    <x v="0"/>
    <x v="0"/>
    <m/>
  </r>
  <r>
    <n v="65"/>
    <x v="4"/>
    <x v="35"/>
    <x v="5"/>
    <n v="7159"/>
    <n v="7047"/>
    <n v="112"/>
    <n v="2.41"/>
    <n v="4277"/>
    <n v="2928"/>
    <n v="1349"/>
    <n v="31.54"/>
    <n v="1.647650222"/>
    <n v="18.665102333463693"/>
    <m/>
    <m/>
    <m/>
    <m/>
    <m/>
    <m/>
    <x v="0"/>
    <m/>
    <m/>
    <m/>
    <x v="0"/>
    <x v="0"/>
    <m/>
  </r>
  <r>
    <n v="65"/>
    <x v="4"/>
    <x v="35"/>
    <x v="6"/>
    <n v="7246"/>
    <n v="7139"/>
    <n v="107"/>
    <n v="2.4"/>
    <n v="4294"/>
    <n v="2972"/>
    <n v="1322"/>
    <n v="30.79"/>
    <n v="1.662552399"/>
    <n v="18.891930647894668"/>
    <m/>
    <m/>
    <m/>
    <m/>
    <m/>
    <m/>
    <x v="0"/>
    <m/>
    <m/>
    <m/>
    <x v="0"/>
    <x v="0"/>
    <m/>
  </r>
  <r>
    <n v="65"/>
    <x v="4"/>
    <x v="35"/>
    <x v="7"/>
    <n v="7352"/>
    <n v="7264"/>
    <n v="88"/>
    <n v="2.4"/>
    <n v="4294"/>
    <n v="3030"/>
    <n v="1264"/>
    <n v="29.44"/>
    <n v="1.6916627849999999"/>
    <n v="19.168296180419762"/>
    <m/>
    <m/>
    <m/>
    <m/>
    <m/>
    <m/>
    <x v="0"/>
    <m/>
    <m/>
    <m/>
    <x v="0"/>
    <x v="0"/>
    <m/>
  </r>
  <r>
    <n v="65"/>
    <x v="4"/>
    <x v="35"/>
    <x v="8"/>
    <n v="7332"/>
    <n v="7249"/>
    <n v="83"/>
    <n v="2.39"/>
    <n v="4300"/>
    <n v="3030"/>
    <n v="1270"/>
    <n v="29.53"/>
    <n v="1.685813953"/>
    <n v="19.116151740320689"/>
    <m/>
    <m/>
    <m/>
    <m/>
    <m/>
    <m/>
    <x v="0"/>
    <m/>
    <m/>
    <m/>
    <x v="0"/>
    <x v="0"/>
    <m/>
  </r>
  <r>
    <n v="65"/>
    <x v="4"/>
    <x v="35"/>
    <x v="9"/>
    <n v="7555"/>
    <n v="7459"/>
    <n v="96"/>
    <n v="2.39"/>
    <n v="4302"/>
    <n v="3124"/>
    <n v="1178"/>
    <n v="27.38"/>
    <n v="1.733844723"/>
    <n v="19.697562247425367"/>
    <m/>
    <m/>
    <m/>
    <m/>
    <m/>
    <m/>
    <x v="0"/>
    <m/>
    <m/>
    <m/>
    <x v="0"/>
    <x v="0"/>
    <m/>
  </r>
  <r>
    <n v="65"/>
    <x v="4"/>
    <x v="35"/>
    <x v="10"/>
    <n v="7412"/>
    <n v="7309"/>
    <n v="103"/>
    <m/>
    <n v="4303"/>
    <m/>
    <m/>
    <m/>
    <n v="1.6985823840000001"/>
    <n v="19.324729500716984"/>
    <n v="7412"/>
    <n v="75"/>
    <n v="48"/>
    <n v="-191"/>
    <n v="27"/>
    <n v="4303"/>
    <x v="0"/>
    <m/>
    <n v="7309"/>
    <n v="53"/>
    <x v="0"/>
    <x v="0"/>
    <n v="1.6985823840000001"/>
  </r>
  <r>
    <n v="65"/>
    <x v="4"/>
    <x v="35"/>
    <x v="11"/>
    <n v="7399"/>
    <n v="7309"/>
    <n v="90"/>
    <m/>
    <n v="4348"/>
    <m/>
    <m/>
    <m/>
    <n v="1.6810027599999999"/>
    <n v="19.290835614652586"/>
    <n v="7399"/>
    <n v="72"/>
    <n v="20"/>
    <n v="-33"/>
    <n v="52"/>
    <n v="4348"/>
    <x v="0"/>
    <m/>
    <n v="7309"/>
    <n v="64"/>
    <x v="0"/>
    <x v="0"/>
    <n v="1.6810027599999999"/>
  </r>
  <r>
    <n v="65"/>
    <x v="4"/>
    <x v="35"/>
    <x v="12"/>
    <n v="7342"/>
    <n v="7229"/>
    <n v="113"/>
    <m/>
    <n v="4452"/>
    <m/>
    <m/>
    <m/>
    <n v="1.6237645999999999"/>
    <n v="19.142223960370224"/>
    <n v="7342"/>
    <n v="83"/>
    <n v="35"/>
    <n v="-92"/>
    <n v="48"/>
    <n v="4452"/>
    <x v="0"/>
    <m/>
    <n v="7229"/>
    <n v="64"/>
    <x v="0"/>
    <x v="0"/>
    <n v="1.6237645999999999"/>
  </r>
  <r>
    <n v="69"/>
    <x v="12"/>
    <x v="36"/>
    <x v="0"/>
    <n v="300532"/>
    <n v="292002"/>
    <n v="8530"/>
    <n v="2.42"/>
    <n v="133171"/>
    <n v="120666"/>
    <n v="12505"/>
    <n v="9.39"/>
    <n v="2.1926845930000001"/>
    <n v="114.19473734207277"/>
    <m/>
    <m/>
    <m/>
    <m/>
    <m/>
    <m/>
    <x v="0"/>
    <m/>
    <m/>
    <m/>
    <x v="0"/>
    <x v="0"/>
    <m/>
  </r>
  <r>
    <n v="69"/>
    <x v="12"/>
    <x v="36"/>
    <x v="1"/>
    <n v="305342"/>
    <n v="296781"/>
    <n v="8561"/>
    <n v="2.42"/>
    <n v="134606"/>
    <n v="122705"/>
    <n v="11901"/>
    <n v="8.84"/>
    <n v="2.204812564"/>
    <n v="116.02241854279472"/>
    <m/>
    <m/>
    <m/>
    <m/>
    <m/>
    <m/>
    <x v="0"/>
    <m/>
    <m/>
    <m/>
    <x v="0"/>
    <x v="0"/>
    <m/>
  </r>
  <r>
    <n v="69"/>
    <x v="12"/>
    <x v="36"/>
    <x v="2"/>
    <n v="310952"/>
    <n v="302135"/>
    <n v="8817"/>
    <n v="2.42"/>
    <n v="136123"/>
    <n v="124983"/>
    <n v="11140"/>
    <n v="8.18"/>
    <n v="2.2195734740000002"/>
    <n v="118.15407998480099"/>
    <m/>
    <m/>
    <m/>
    <m/>
    <m/>
    <m/>
    <x v="0"/>
    <m/>
    <m/>
    <m/>
    <x v="0"/>
    <x v="0"/>
    <m/>
  </r>
  <r>
    <n v="69"/>
    <x v="12"/>
    <x v="36"/>
    <x v="3"/>
    <n v="316337"/>
    <n v="307160"/>
    <n v="9177"/>
    <n v="2.42"/>
    <n v="138277"/>
    <n v="127128"/>
    <n v="11149"/>
    <n v="8.06"/>
    <n v="2.2213383279999999"/>
    <n v="120.20024698394604"/>
    <m/>
    <m/>
    <m/>
    <m/>
    <m/>
    <m/>
    <x v="0"/>
    <m/>
    <m/>
    <m/>
    <x v="0"/>
    <x v="0"/>
    <m/>
  </r>
  <r>
    <n v="69"/>
    <x v="12"/>
    <x v="36"/>
    <x v="4"/>
    <n v="324123"/>
    <n v="314446"/>
    <n v="9677"/>
    <n v="2.41"/>
    <n v="140988"/>
    <n v="130211"/>
    <n v="10777"/>
    <n v="7.64"/>
    <n v="2.230303288"/>
    <n v="123.15873468224565"/>
    <m/>
    <m/>
    <m/>
    <m/>
    <m/>
    <m/>
    <x v="0"/>
    <m/>
    <m/>
    <m/>
    <x v="0"/>
    <x v="0"/>
    <m/>
  </r>
  <r>
    <n v="69"/>
    <x v="12"/>
    <x v="36"/>
    <x v="5"/>
    <n v="333445"/>
    <n v="323148"/>
    <n v="10297"/>
    <n v="2.41"/>
    <n v="143765"/>
    <n v="133884"/>
    <n v="9881"/>
    <n v="6.87"/>
    <n v="2.2477515389999998"/>
    <n v="126.70086444381116"/>
    <m/>
    <m/>
    <m/>
    <m/>
    <m/>
    <m/>
    <x v="0"/>
    <m/>
    <m/>
    <m/>
    <x v="0"/>
    <x v="0"/>
    <m/>
  </r>
  <r>
    <n v="69"/>
    <x v="12"/>
    <x v="36"/>
    <x v="6"/>
    <n v="339128"/>
    <n v="328696"/>
    <n v="10432"/>
    <n v="2.41"/>
    <n v="146124"/>
    <n v="136253"/>
    <n v="9871"/>
    <n v="6.76"/>
    <n v="2.2494319890000001"/>
    <n v="128.86026408283462"/>
    <m/>
    <m/>
    <m/>
    <m/>
    <m/>
    <m/>
    <x v="0"/>
    <m/>
    <m/>
    <m/>
    <x v="0"/>
    <x v="0"/>
    <m/>
  </r>
  <r>
    <n v="69"/>
    <x v="12"/>
    <x v="36"/>
    <x v="7"/>
    <n v="344187"/>
    <n v="333518"/>
    <n v="10669"/>
    <n v="2.41"/>
    <n v="149794"/>
    <n v="138324"/>
    <n v="11470"/>
    <n v="7.66"/>
    <n v="2.2265110749999999"/>
    <n v="130.78255913365632"/>
    <m/>
    <m/>
    <m/>
    <m/>
    <m/>
    <m/>
    <x v="0"/>
    <m/>
    <m/>
    <m/>
    <x v="0"/>
    <x v="0"/>
    <m/>
  </r>
  <r>
    <n v="69"/>
    <x v="12"/>
    <x v="36"/>
    <x v="8"/>
    <n v="350661"/>
    <n v="339773"/>
    <n v="10888"/>
    <n v="2.41"/>
    <n v="152984"/>
    <n v="140992"/>
    <n v="11992"/>
    <n v="7.84"/>
    <n v="2.2209708199999998"/>
    <n v="133.24251923624965"/>
    <m/>
    <m/>
    <m/>
    <m/>
    <m/>
    <m/>
    <x v="0"/>
    <m/>
    <m/>
    <m/>
    <x v="0"/>
    <x v="0"/>
    <m/>
  </r>
  <r>
    <n v="69"/>
    <x v="12"/>
    <x v="36"/>
    <x v="9"/>
    <n v="356800"/>
    <n v="345762"/>
    <n v="11038"/>
    <n v="2.41"/>
    <n v="156745"/>
    <n v="143552"/>
    <n v="13193"/>
    <n v="8.42"/>
    <n v="2.2058885450000001"/>
    <n v="135.57518761280517"/>
    <m/>
    <m/>
    <m/>
    <m/>
    <m/>
    <m/>
    <x v="0"/>
    <m/>
    <m/>
    <m/>
    <x v="0"/>
    <x v="0"/>
    <m/>
  </r>
  <r>
    <n v="69"/>
    <x v="12"/>
    <x v="36"/>
    <x v="10"/>
    <n v="359920"/>
    <n v="348236"/>
    <n v="11684"/>
    <m/>
    <n v="159406"/>
    <m/>
    <m/>
    <m/>
    <n v="2.1845852730000002"/>
    <n v="136.76071055381399"/>
    <n v="359920"/>
    <n v="3092"/>
    <n v="626"/>
    <n v="2494"/>
    <n v="2466"/>
    <n v="159406"/>
    <x v="0"/>
    <m/>
    <n v="348236"/>
    <n v="2565"/>
    <x v="0"/>
    <x v="0"/>
    <n v="2.1845852730000002"/>
  </r>
  <r>
    <n v="69"/>
    <x v="12"/>
    <x v="36"/>
    <x v="11"/>
    <n v="362774"/>
    <n v="351596"/>
    <n v="11178"/>
    <m/>
    <n v="162284"/>
    <m/>
    <m/>
    <m/>
    <n v="2.1665475340000002"/>
    <n v="137.8451600645958"/>
    <n v="362774"/>
    <n v="3026"/>
    <n v="310"/>
    <n v="2544"/>
    <n v="2716"/>
    <n v="162284"/>
    <x v="0"/>
    <m/>
    <n v="351596"/>
    <n v="3221"/>
    <x v="0"/>
    <x v="0"/>
    <n v="2.1665475340000002"/>
  </r>
  <r>
    <n v="69"/>
    <x v="12"/>
    <x v="36"/>
    <x v="12"/>
    <n v="366843"/>
    <n v="354725"/>
    <n v="12118"/>
    <m/>
    <n v="165658"/>
    <m/>
    <m/>
    <m/>
    <n v="2.141309203"/>
    <n v="139.39127956682816"/>
    <n v="366843"/>
    <n v="3119"/>
    <n v="222"/>
    <n v="3847"/>
    <n v="2897"/>
    <n v="165658"/>
    <x v="0"/>
    <m/>
    <n v="354725"/>
    <n v="2572"/>
    <x v="0"/>
    <x v="0"/>
    <n v="2.141309203"/>
  </r>
  <r>
    <n v="71"/>
    <x v="11"/>
    <x v="37"/>
    <x v="0"/>
    <n v="15407"/>
    <n v="14549"/>
    <n v="858"/>
    <n v="2.4500000000000002"/>
    <n v="7648"/>
    <n v="5934"/>
    <n v="1714"/>
    <n v="22.41"/>
    <n v="1.9023274059999999"/>
    <n v="3.2277662901951909"/>
    <m/>
    <m/>
    <m/>
    <m/>
    <m/>
    <m/>
    <x v="0"/>
    <m/>
    <m/>
    <m/>
    <x v="0"/>
    <x v="0"/>
    <m/>
  </r>
  <r>
    <n v="71"/>
    <x v="11"/>
    <x v="37"/>
    <x v="1"/>
    <n v="15325"/>
    <n v="14483"/>
    <n v="842"/>
    <n v="2.2799999999999998"/>
    <n v="7712"/>
    <n v="6344"/>
    <n v="1368"/>
    <n v="17.739999999999998"/>
    <n v="1.877982365"/>
    <n v="3.2105872913118256"/>
    <m/>
    <m/>
    <m/>
    <m/>
    <m/>
    <m/>
    <x v="0"/>
    <m/>
    <m/>
    <m/>
    <x v="0"/>
    <x v="0"/>
    <m/>
  </r>
  <r>
    <n v="71"/>
    <x v="11"/>
    <x v="37"/>
    <x v="2"/>
    <n v="15245"/>
    <n v="14419"/>
    <n v="826"/>
    <n v="2.27"/>
    <n v="7789"/>
    <n v="6348"/>
    <n v="1441"/>
    <n v="18.5"/>
    <n v="1.851200411"/>
    <n v="3.1938272924012256"/>
    <m/>
    <m/>
    <m/>
    <m/>
    <m/>
    <m/>
    <x v="0"/>
    <m/>
    <m/>
    <m/>
    <x v="0"/>
    <x v="0"/>
    <m/>
  </r>
  <r>
    <n v="71"/>
    <x v="11"/>
    <x v="37"/>
    <x v="3"/>
    <n v="15172"/>
    <n v="14362"/>
    <n v="810"/>
    <n v="2.2599999999999998"/>
    <n v="7915"/>
    <n v="6356"/>
    <n v="1559"/>
    <n v="19.7"/>
    <n v="1.814529375"/>
    <n v="3.1785337933953031"/>
    <m/>
    <m/>
    <m/>
    <m/>
    <m/>
    <m/>
    <x v="0"/>
    <m/>
    <m/>
    <m/>
    <x v="0"/>
    <x v="0"/>
    <m/>
  </r>
  <r>
    <n v="71"/>
    <x v="11"/>
    <x v="37"/>
    <x v="4"/>
    <n v="15086"/>
    <n v="14292"/>
    <n v="794"/>
    <n v="2.25"/>
    <n v="7953"/>
    <n v="6358"/>
    <n v="1595"/>
    <n v="20.05"/>
    <n v="1.7970577139999999"/>
    <n v="3.1605167945664081"/>
    <m/>
    <m/>
    <m/>
    <m/>
    <m/>
    <m/>
    <x v="0"/>
    <m/>
    <m/>
    <m/>
    <x v="0"/>
    <x v="0"/>
    <m/>
  </r>
  <r>
    <n v="71"/>
    <x v="11"/>
    <x v="37"/>
    <x v="5"/>
    <n v="14997"/>
    <n v="14219"/>
    <n v="778"/>
    <n v="2.2400000000000002"/>
    <n v="7959"/>
    <n v="6359"/>
    <n v="1600"/>
    <n v="20.11"/>
    <n v="1.7865309709999999"/>
    <n v="3.1418712957783654"/>
    <m/>
    <m/>
    <m/>
    <m/>
    <m/>
    <m/>
    <x v="0"/>
    <m/>
    <m/>
    <m/>
    <x v="0"/>
    <x v="0"/>
    <m/>
  </r>
  <r>
    <n v="71"/>
    <x v="11"/>
    <x v="37"/>
    <x v="6"/>
    <n v="14906"/>
    <n v="14144"/>
    <n v="762"/>
    <n v="2.2200000000000002"/>
    <n v="7962"/>
    <n v="6359"/>
    <n v="1603"/>
    <n v="20.14"/>
    <n v="1.776438081"/>
    <n v="3.1228067970175579"/>
    <m/>
    <m/>
    <m/>
    <m/>
    <m/>
    <m/>
    <x v="0"/>
    <m/>
    <m/>
    <m/>
    <x v="0"/>
    <x v="0"/>
    <m/>
  </r>
  <r>
    <n v="71"/>
    <x v="11"/>
    <x v="37"/>
    <x v="7"/>
    <n v="14817"/>
    <n v="14071"/>
    <n v="746"/>
    <n v="2.21"/>
    <n v="7969"/>
    <n v="6359"/>
    <n v="1610"/>
    <n v="20.2"/>
    <n v="1.7657171540000001"/>
    <n v="3.1041612982295153"/>
    <m/>
    <m/>
    <m/>
    <m/>
    <m/>
    <m/>
    <x v="0"/>
    <m/>
    <m/>
    <m/>
    <x v="0"/>
    <x v="0"/>
    <m/>
  </r>
  <r>
    <n v="71"/>
    <x v="11"/>
    <x v="37"/>
    <x v="8"/>
    <n v="14729"/>
    <n v="13999"/>
    <n v="730"/>
    <n v="2.2000000000000002"/>
    <n v="7989"/>
    <n v="6360"/>
    <n v="1629"/>
    <n v="20.39"/>
    <n v="1.7522843910000001"/>
    <n v="3.0857252994278555"/>
    <m/>
    <m/>
    <m/>
    <m/>
    <m/>
    <m/>
    <x v="0"/>
    <m/>
    <m/>
    <m/>
    <x v="0"/>
    <x v="0"/>
    <m/>
  </r>
  <r>
    <n v="71"/>
    <x v="11"/>
    <x v="37"/>
    <x v="9"/>
    <n v="14643"/>
    <n v="13929"/>
    <n v="714"/>
    <n v="2.19"/>
    <n v="8027"/>
    <n v="6363"/>
    <n v="1664"/>
    <n v="20.74"/>
    <n v="1.735268469"/>
    <n v="3.06770830059896"/>
    <m/>
    <m/>
    <m/>
    <m/>
    <m/>
    <m/>
    <x v="0"/>
    <m/>
    <m/>
    <m/>
    <x v="0"/>
    <x v="0"/>
    <m/>
  </r>
  <r>
    <n v="71"/>
    <x v="11"/>
    <x v="37"/>
    <x v="10"/>
    <n v="14479"/>
    <n v="13850"/>
    <n v="629"/>
    <m/>
    <n v="8085"/>
    <m/>
    <m/>
    <m/>
    <n v="1.7130488559999999"/>
    <n v="3.0333503028322299"/>
    <n v="14479"/>
    <n v="104"/>
    <n v="-88"/>
    <n v="-76"/>
    <n v="192"/>
    <n v="8085"/>
    <x v="0"/>
    <m/>
    <n v="13850"/>
    <n v="34"/>
    <x v="0"/>
    <x v="0"/>
    <n v="1.7130488559999999"/>
  </r>
  <r>
    <n v="71"/>
    <x v="11"/>
    <x v="37"/>
    <x v="11"/>
    <n v="14330"/>
    <n v="13931"/>
    <n v="399"/>
    <m/>
    <n v="8114"/>
    <m/>
    <m/>
    <m/>
    <n v="1.716909046"/>
    <n v="3.0021348048612375"/>
    <n v="14330"/>
    <n v="128"/>
    <n v="-75"/>
    <n v="-74"/>
    <n v="203"/>
    <n v="8114"/>
    <x v="0"/>
    <m/>
    <n v="13931"/>
    <n v="41"/>
    <x v="0"/>
    <x v="0"/>
    <n v="1.716909046"/>
  </r>
  <r>
    <n v="71"/>
    <x v="11"/>
    <x v="37"/>
    <x v="12"/>
    <n v="14297"/>
    <n v="13904"/>
    <n v="393"/>
    <m/>
    <n v="8155"/>
    <m/>
    <m/>
    <m/>
    <n v="1.7049662779999999"/>
    <n v="2.9952213053106149"/>
    <n v="14297"/>
    <n v="108"/>
    <n v="-145"/>
    <n v="112"/>
    <n v="253"/>
    <n v="8155"/>
    <x v="0"/>
    <m/>
    <n v="13904"/>
    <n v="44"/>
    <x v="0"/>
    <x v="0"/>
    <n v="1.7049662779999999"/>
  </r>
  <r>
    <n v="73"/>
    <x v="5"/>
    <x v="38"/>
    <x v="0"/>
    <n v="5474"/>
    <n v="4444"/>
    <n v="1030"/>
    <n v="2.46"/>
    <n v="2242"/>
    <n v="1810"/>
    <n v="432"/>
    <n v="19.27"/>
    <n v="1.9821587869999999"/>
    <n v="2.1174295318368719"/>
    <m/>
    <m/>
    <m/>
    <m/>
    <m/>
    <m/>
    <x v="0"/>
    <m/>
    <m/>
    <m/>
    <x v="0"/>
    <x v="0"/>
    <m/>
  </r>
  <r>
    <n v="73"/>
    <x v="5"/>
    <x v="38"/>
    <x v="1"/>
    <n v="5488"/>
    <n v="4462"/>
    <n v="1026"/>
    <n v="2.29"/>
    <n v="2243"/>
    <n v="1950"/>
    <n v="293"/>
    <n v="13.06"/>
    <n v="1.989300045"/>
    <n v="2.1228449526344089"/>
    <m/>
    <m/>
    <m/>
    <m/>
    <m/>
    <m/>
    <x v="0"/>
    <m/>
    <m/>
    <m/>
    <x v="0"/>
    <x v="0"/>
    <m/>
  </r>
  <r>
    <n v="73"/>
    <x v="5"/>
    <x v="38"/>
    <x v="2"/>
    <n v="5503"/>
    <n v="4481"/>
    <n v="1022"/>
    <n v="2.2999999999999998"/>
    <n v="2246"/>
    <n v="1951"/>
    <n v="295"/>
    <n v="13.15"/>
    <n v="1.9951024040000001"/>
    <n v="2.128647189203198"/>
    <m/>
    <m/>
    <m/>
    <m/>
    <m/>
    <m/>
    <x v="0"/>
    <m/>
    <m/>
    <m/>
    <x v="0"/>
    <x v="0"/>
    <m/>
  </r>
  <r>
    <n v="73"/>
    <x v="5"/>
    <x v="38"/>
    <x v="3"/>
    <n v="5522"/>
    <n v="4504"/>
    <n v="1018"/>
    <n v="2.31"/>
    <n v="2257"/>
    <n v="1953"/>
    <n v="304"/>
    <n v="13.49"/>
    <n v="1.9955693400000001"/>
    <n v="2.1359966888569981"/>
    <m/>
    <m/>
    <m/>
    <m/>
    <m/>
    <m/>
    <x v="0"/>
    <m/>
    <m/>
    <m/>
    <x v="0"/>
    <x v="0"/>
    <m/>
  </r>
  <r>
    <n v="73"/>
    <x v="5"/>
    <x v="38"/>
    <x v="4"/>
    <n v="5538"/>
    <n v="4524"/>
    <n v="1014"/>
    <n v="2.3199999999999998"/>
    <n v="2264"/>
    <n v="1954"/>
    <n v="310"/>
    <n v="13.71"/>
    <n v="1.998233216"/>
    <n v="2.1421857411970402"/>
    <m/>
    <m/>
    <m/>
    <m/>
    <m/>
    <m/>
    <x v="0"/>
    <m/>
    <m/>
    <m/>
    <x v="0"/>
    <x v="0"/>
    <m/>
  </r>
  <r>
    <n v="73"/>
    <x v="5"/>
    <x v="38"/>
    <x v="5"/>
    <n v="5553"/>
    <n v="4543"/>
    <n v="1010"/>
    <n v="2.3199999999999998"/>
    <n v="2266"/>
    <n v="1954"/>
    <n v="312"/>
    <n v="13.77"/>
    <n v="2.0048543689999998"/>
    <n v="2.1479879777658293"/>
    <m/>
    <m/>
    <m/>
    <m/>
    <m/>
    <m/>
    <x v="0"/>
    <m/>
    <m/>
    <m/>
    <x v="0"/>
    <x v="0"/>
    <m/>
  </r>
  <r>
    <n v="73"/>
    <x v="5"/>
    <x v="38"/>
    <x v="6"/>
    <n v="5573"/>
    <n v="4567"/>
    <n v="1006"/>
    <n v="2.33"/>
    <n v="2281"/>
    <n v="1957"/>
    <n v="324"/>
    <n v="14.22"/>
    <n v="2.0021920209999999"/>
    <n v="2.155724293190882"/>
    <m/>
    <m/>
    <m/>
    <m/>
    <m/>
    <m/>
    <x v="0"/>
    <m/>
    <m/>
    <m/>
    <x v="0"/>
    <x v="0"/>
    <m/>
  </r>
  <r>
    <n v="73"/>
    <x v="5"/>
    <x v="38"/>
    <x v="7"/>
    <n v="5591"/>
    <n v="4589"/>
    <n v="1002"/>
    <n v="2.34"/>
    <n v="2290"/>
    <n v="1958"/>
    <n v="332"/>
    <n v="14.49"/>
    <n v="2.0039301310000002"/>
    <n v="2.1626869770734292"/>
    <m/>
    <m/>
    <m/>
    <m/>
    <m/>
    <m/>
    <x v="0"/>
    <m/>
    <m/>
    <m/>
    <x v="0"/>
    <x v="0"/>
    <m/>
  </r>
  <r>
    <n v="73"/>
    <x v="5"/>
    <x v="38"/>
    <x v="8"/>
    <n v="5621"/>
    <n v="4623"/>
    <n v="998"/>
    <n v="2.35"/>
    <n v="2331"/>
    <n v="1965"/>
    <n v="366"/>
    <n v="15.7"/>
    <n v="1.9832689830000001"/>
    <n v="2.1742914502110078"/>
    <m/>
    <m/>
    <m/>
    <m/>
    <m/>
    <m/>
    <x v="0"/>
    <m/>
    <m/>
    <m/>
    <x v="0"/>
    <x v="0"/>
    <m/>
  </r>
  <r>
    <n v="73"/>
    <x v="5"/>
    <x v="38"/>
    <x v="9"/>
    <n v="5642"/>
    <n v="4648"/>
    <n v="994"/>
    <n v="2.36"/>
    <n v="2348"/>
    <n v="1968"/>
    <n v="380"/>
    <n v="16.190000000000001"/>
    <n v="1.97955707"/>
    <n v="2.182414581407313"/>
    <m/>
    <m/>
    <m/>
    <m/>
    <m/>
    <m/>
    <x v="0"/>
    <m/>
    <m/>
    <m/>
    <x v="0"/>
    <x v="0"/>
    <m/>
  </r>
  <r>
    <n v="73"/>
    <x v="5"/>
    <x v="38"/>
    <x v="10"/>
    <n v="5662"/>
    <n v="4678"/>
    <n v="984"/>
    <m/>
    <n v="2360"/>
    <m/>
    <m/>
    <m/>
    <n v="1.98220339"/>
    <n v="2.1901508968323657"/>
    <n v="5662"/>
    <n v="50"/>
    <n v="-19"/>
    <n v="39"/>
    <n v="69"/>
    <n v="2360"/>
    <x v="0"/>
    <m/>
    <n v="4678"/>
    <n v="9"/>
    <x v="0"/>
    <x v="0"/>
    <n v="1.98220339"/>
  </r>
  <r>
    <n v="73"/>
    <x v="5"/>
    <x v="38"/>
    <x v="11"/>
    <n v="5470"/>
    <n v="4696"/>
    <n v="774"/>
    <m/>
    <n v="2374"/>
    <m/>
    <m/>
    <m/>
    <n v="1.9780960400000001"/>
    <n v="2.1158822687518617"/>
    <n v="5470"/>
    <n v="42"/>
    <n v="-20"/>
    <n v="-172"/>
    <n v="62"/>
    <n v="2374"/>
    <x v="0"/>
    <m/>
    <n v="4696"/>
    <n v="10"/>
    <x v="0"/>
    <x v="0"/>
    <n v="1.9780960400000001"/>
  </r>
  <r>
    <n v="73"/>
    <x v="5"/>
    <x v="38"/>
    <x v="12"/>
    <n v="5513"/>
    <n v="4671"/>
    <n v="842"/>
    <m/>
    <n v="2386"/>
    <m/>
    <m/>
    <m/>
    <n v="1.95766974"/>
    <n v="2.1325153469157243"/>
    <n v="5513"/>
    <n v="52"/>
    <n v="-11"/>
    <n v="54"/>
    <n v="63"/>
    <n v="2386"/>
    <x v="0"/>
    <m/>
    <n v="4671"/>
    <n v="10"/>
    <x v="0"/>
    <x v="0"/>
    <n v="1.95766974"/>
  </r>
  <r>
    <n v="75"/>
    <x v="13"/>
    <x v="39"/>
    <x v="0"/>
    <n v="22293"/>
    <n v="18819"/>
    <n v="3474"/>
    <n v="2.4700000000000002"/>
    <n v="8488"/>
    <n v="7608"/>
    <n v="880"/>
    <n v="10.37"/>
    <n v="2.2171300660000002"/>
    <n v="12.080896976659748"/>
    <m/>
    <m/>
    <m/>
    <m/>
    <m/>
    <m/>
    <x v="0"/>
    <m/>
    <m/>
    <m/>
    <x v="0"/>
    <x v="0"/>
    <m/>
  </r>
  <r>
    <n v="75"/>
    <x v="13"/>
    <x v="39"/>
    <x v="1"/>
    <n v="22210"/>
    <n v="18777"/>
    <n v="3433"/>
    <n v="2.34"/>
    <n v="8503"/>
    <n v="8041"/>
    <n v="462"/>
    <n v="5.43"/>
    <n v="2.2082794309999998"/>
    <n v="12.035918084224331"/>
    <m/>
    <m/>
    <m/>
    <m/>
    <m/>
    <m/>
    <x v="0"/>
    <m/>
    <m/>
    <m/>
    <x v="0"/>
    <x v="0"/>
    <m/>
  </r>
  <r>
    <n v="75"/>
    <x v="13"/>
    <x v="39"/>
    <x v="2"/>
    <n v="22131"/>
    <n v="18738"/>
    <n v="3393"/>
    <n v="2.33"/>
    <n v="8516"/>
    <n v="8032"/>
    <n v="484"/>
    <n v="5.68"/>
    <n v="2.2003287930000002"/>
    <n v="11.993106849255682"/>
    <m/>
    <m/>
    <m/>
    <m/>
    <m/>
    <m/>
    <x v="0"/>
    <m/>
    <m/>
    <m/>
    <x v="0"/>
    <x v="0"/>
    <m/>
  </r>
  <r>
    <n v="75"/>
    <x v="13"/>
    <x v="39"/>
    <x v="3"/>
    <n v="22056"/>
    <n v="18704"/>
    <n v="3352"/>
    <n v="2.33"/>
    <n v="8526"/>
    <n v="8025"/>
    <n v="501"/>
    <n v="5.88"/>
    <n v="2.1937602630000002"/>
    <n v="11.952463271753798"/>
    <m/>
    <m/>
    <m/>
    <m/>
    <m/>
    <m/>
    <x v="0"/>
    <m/>
    <m/>
    <m/>
    <x v="0"/>
    <x v="0"/>
    <m/>
  </r>
  <r>
    <n v="75"/>
    <x v="13"/>
    <x v="39"/>
    <x v="4"/>
    <n v="21964"/>
    <n v="18652"/>
    <n v="3312"/>
    <n v="2.33"/>
    <n v="8547"/>
    <n v="8010"/>
    <n v="537"/>
    <n v="6.28"/>
    <n v="2.1822861819999999"/>
    <n v="11.902607150018154"/>
    <m/>
    <m/>
    <m/>
    <m/>
    <m/>
    <m/>
    <x v="0"/>
    <m/>
    <m/>
    <m/>
    <x v="0"/>
    <x v="0"/>
    <m/>
  </r>
  <r>
    <n v="75"/>
    <x v="13"/>
    <x v="39"/>
    <x v="5"/>
    <n v="21873"/>
    <n v="18602"/>
    <n v="3271"/>
    <n v="2.33"/>
    <n v="8567"/>
    <n v="7996"/>
    <n v="571"/>
    <n v="6.67"/>
    <n v="2.1713551999999998"/>
    <n v="11.853292942649203"/>
    <m/>
    <m/>
    <m/>
    <m/>
    <m/>
    <m/>
    <x v="0"/>
    <m/>
    <m/>
    <m/>
    <x v="0"/>
    <x v="0"/>
    <m/>
  </r>
  <r>
    <n v="75"/>
    <x v="13"/>
    <x v="39"/>
    <x v="6"/>
    <n v="21772"/>
    <n v="18542"/>
    <n v="3230"/>
    <n v="2.3199999999999998"/>
    <n v="8593"/>
    <n v="7977"/>
    <n v="616"/>
    <n v="7.16"/>
    <n v="2.1578028630000001"/>
    <n v="11.798559591613333"/>
    <m/>
    <m/>
    <m/>
    <m/>
    <m/>
    <m/>
    <x v="0"/>
    <m/>
    <m/>
    <m/>
    <x v="0"/>
    <x v="0"/>
    <m/>
  </r>
  <r>
    <n v="75"/>
    <x v="13"/>
    <x v="39"/>
    <x v="7"/>
    <n v="21691"/>
    <n v="18502"/>
    <n v="3190"/>
    <n v="2.3199999999999998"/>
    <n v="8607"/>
    <n v="7968"/>
    <n v="639"/>
    <n v="7.43"/>
    <n v="2.1496456369999999"/>
    <n v="11.7546645279113"/>
    <m/>
    <m/>
    <m/>
    <m/>
    <m/>
    <m/>
    <x v="0"/>
    <m/>
    <m/>
    <m/>
    <x v="0"/>
    <x v="0"/>
    <m/>
  </r>
  <r>
    <n v="75"/>
    <x v="13"/>
    <x v="39"/>
    <x v="8"/>
    <n v="21611"/>
    <n v="18461"/>
    <n v="3149"/>
    <n v="2.3199999999999998"/>
    <n v="8621"/>
    <n v="7958"/>
    <n v="663"/>
    <n v="7.7"/>
    <n v="2.1413989099999999"/>
    <n v="11.711311378575958"/>
    <m/>
    <m/>
    <m/>
    <m/>
    <m/>
    <m/>
    <x v="0"/>
    <m/>
    <m/>
    <m/>
    <x v="0"/>
    <x v="0"/>
    <m/>
  </r>
  <r>
    <n v="75"/>
    <x v="13"/>
    <x v="39"/>
    <x v="9"/>
    <n v="21505"/>
    <n v="18397"/>
    <n v="3109"/>
    <n v="2.3199999999999998"/>
    <n v="8650"/>
    <n v="7937"/>
    <n v="713"/>
    <n v="8.24"/>
    <n v="2.1268208089999998"/>
    <n v="11.653868455706629"/>
    <m/>
    <m/>
    <m/>
    <m/>
    <m/>
    <m/>
    <x v="0"/>
    <m/>
    <m/>
    <m/>
    <x v="0"/>
    <x v="0"/>
    <m/>
  </r>
  <r>
    <n v="75"/>
    <x v="13"/>
    <x v="39"/>
    <x v="10"/>
    <n v="21203"/>
    <n v="18354"/>
    <n v="2849"/>
    <m/>
    <n v="8674"/>
    <m/>
    <m/>
    <m/>
    <n v="2.115978787"/>
    <n v="11.490210316965713"/>
    <n v="21203"/>
    <n v="238"/>
    <n v="1"/>
    <n v="-303"/>
    <n v="237"/>
    <n v="8674"/>
    <x v="0"/>
    <m/>
    <n v="18354"/>
    <n v="12"/>
    <x v="0"/>
    <x v="0"/>
    <n v="2.115978787"/>
  </r>
  <r>
    <n v="75"/>
    <x v="13"/>
    <x v="39"/>
    <x v="11"/>
    <n v="21089"/>
    <n v="18415"/>
    <n v="2674"/>
    <m/>
    <n v="8687"/>
    <m/>
    <m/>
    <m/>
    <n v="2.1198342349999999"/>
    <n v="11.428432079162851"/>
    <n v="21089"/>
    <n v="189"/>
    <n v="-124"/>
    <n v="10"/>
    <n v="313"/>
    <n v="8687"/>
    <x v="0"/>
    <m/>
    <n v="18415"/>
    <n v="14"/>
    <x v="0"/>
    <x v="0"/>
    <n v="2.1198342349999999"/>
  </r>
  <r>
    <n v="75"/>
    <x v="13"/>
    <x v="39"/>
    <x v="12"/>
    <n v="20809"/>
    <n v="18116"/>
    <n v="2693"/>
    <m/>
    <n v="8708"/>
    <m/>
    <m/>
    <m/>
    <n v="2.080385852"/>
    <n v="11.276696056489154"/>
    <n v="20809"/>
    <n v="213"/>
    <n v="-67"/>
    <n v="-213"/>
    <n v="280"/>
    <n v="8708"/>
    <x v="0"/>
    <m/>
    <n v="18116"/>
    <n v="22"/>
    <x v="0"/>
    <x v="0"/>
    <n v="2.080385852"/>
  </r>
  <r>
    <n v="77"/>
    <x v="10"/>
    <x v="40"/>
    <x v="0"/>
    <n v="147155"/>
    <n v="142688"/>
    <n v="4467"/>
    <n v="2.46"/>
    <n v="62994"/>
    <n v="57942"/>
    <n v="5052"/>
    <n v="8.02"/>
    <n v="2.2651046130000001"/>
    <n v="43.983453338474277"/>
    <m/>
    <m/>
    <m/>
    <m/>
    <m/>
    <m/>
    <x v="0"/>
    <m/>
    <m/>
    <m/>
    <x v="0"/>
    <x v="0"/>
    <m/>
  </r>
  <r>
    <n v="77"/>
    <x v="10"/>
    <x v="40"/>
    <x v="1"/>
    <n v="147957"/>
    <n v="143425"/>
    <n v="4532"/>
    <n v="2.46"/>
    <n v="63269"/>
    <n v="58381"/>
    <n v="4888"/>
    <n v="7.73"/>
    <n v="2.2669079640000001"/>
    <n v="44.223164728351996"/>
    <m/>
    <m/>
    <m/>
    <m/>
    <m/>
    <m/>
    <x v="0"/>
    <m/>
    <m/>
    <m/>
    <x v="0"/>
    <x v="0"/>
    <m/>
  </r>
  <r>
    <n v="77"/>
    <x v="10"/>
    <x v="40"/>
    <x v="2"/>
    <n v="147939"/>
    <n v="143494"/>
    <n v="4445"/>
    <n v="2.4500000000000002"/>
    <n v="63472"/>
    <n v="58549"/>
    <n v="4923"/>
    <n v="7.76"/>
    <n v="2.2607448950000002"/>
    <n v="44.217784672220077"/>
    <m/>
    <m/>
    <m/>
    <m/>
    <m/>
    <m/>
    <x v="0"/>
    <m/>
    <m/>
    <m/>
    <x v="0"/>
    <x v="0"/>
    <m/>
  </r>
  <r>
    <n v="77"/>
    <x v="10"/>
    <x v="40"/>
    <x v="3"/>
    <n v="147926"/>
    <n v="143247"/>
    <n v="4679"/>
    <n v="2.44"/>
    <n v="63811"/>
    <n v="58589"/>
    <n v="5222"/>
    <n v="8.18"/>
    <n v="2.2448637379999998"/>
    <n v="44.213899076124804"/>
    <m/>
    <m/>
    <m/>
    <m/>
    <m/>
    <m/>
    <x v="0"/>
    <m/>
    <m/>
    <m/>
    <x v="0"/>
    <x v="0"/>
    <m/>
  </r>
  <r>
    <n v="77"/>
    <x v="10"/>
    <x v="40"/>
    <x v="4"/>
    <n v="147876"/>
    <n v="143573"/>
    <n v="4303"/>
    <n v="2.44"/>
    <n v="64108"/>
    <n v="58864"/>
    <n v="5244"/>
    <n v="8.18"/>
    <n v="2.2395488860000001"/>
    <n v="44.198954475758363"/>
    <m/>
    <m/>
    <m/>
    <m/>
    <m/>
    <m/>
    <x v="0"/>
    <m/>
    <m/>
    <m/>
    <x v="0"/>
    <x v="0"/>
    <m/>
  </r>
  <r>
    <n v="77"/>
    <x v="10"/>
    <x v="40"/>
    <x v="5"/>
    <n v="148774"/>
    <n v="144217"/>
    <n v="4557"/>
    <n v="2.4300000000000002"/>
    <n v="64529"/>
    <n v="59271"/>
    <n v="5258"/>
    <n v="8.15"/>
    <n v="2.2349176339999999"/>
    <n v="44.467359498339654"/>
    <m/>
    <m/>
    <m/>
    <m/>
    <m/>
    <m/>
    <x v="0"/>
    <m/>
    <m/>
    <m/>
    <x v="0"/>
    <x v="0"/>
    <m/>
  </r>
  <r>
    <n v="77"/>
    <x v="10"/>
    <x v="40"/>
    <x v="6"/>
    <n v="150346"/>
    <n v="145847"/>
    <n v="4499"/>
    <n v="2.4300000000000002"/>
    <n v="64807"/>
    <n v="60086"/>
    <n v="4721"/>
    <n v="7.28"/>
    <n v="2.2504822010000001"/>
    <n v="44.937217733860578"/>
    <m/>
    <m/>
    <m/>
    <m/>
    <m/>
    <m/>
    <x v="0"/>
    <m/>
    <m/>
    <m/>
    <x v="0"/>
    <x v="0"/>
    <m/>
  </r>
  <r>
    <n v="77"/>
    <x v="10"/>
    <x v="40"/>
    <x v="7"/>
    <n v="152148"/>
    <n v="147646"/>
    <n v="4502"/>
    <n v="2.42"/>
    <n v="65240"/>
    <n v="60974"/>
    <n v="4266"/>
    <n v="6.54"/>
    <n v="2.2631207849999999"/>
    <n v="45.475821131067136"/>
    <m/>
    <m/>
    <m/>
    <m/>
    <m/>
    <m/>
    <x v="0"/>
    <m/>
    <m/>
    <m/>
    <x v="0"/>
    <x v="0"/>
    <m/>
  </r>
  <r>
    <n v="77"/>
    <x v="10"/>
    <x v="40"/>
    <x v="8"/>
    <n v="154047"/>
    <n v="149639"/>
    <n v="4408"/>
    <n v="2.42"/>
    <n v="65823"/>
    <n v="61948"/>
    <n v="3875"/>
    <n v="5.89"/>
    <n v="2.2733542990000002"/>
    <n v="46.043417052984587"/>
    <m/>
    <m/>
    <m/>
    <m/>
    <m/>
    <m/>
    <x v="0"/>
    <m/>
    <m/>
    <m/>
    <x v="0"/>
    <x v="0"/>
    <m/>
  </r>
  <r>
    <n v="77"/>
    <x v="10"/>
    <x v="40"/>
    <x v="9"/>
    <n v="155109"/>
    <n v="150803"/>
    <n v="4306"/>
    <n v="2.41"/>
    <n v="66587"/>
    <n v="62582"/>
    <n v="4005"/>
    <n v="6.01"/>
    <n v="2.2647513780000001"/>
    <n v="46.360840364767803"/>
    <m/>
    <m/>
    <m/>
    <m/>
    <m/>
    <m/>
    <x v="0"/>
    <m/>
    <m/>
    <m/>
    <x v="0"/>
    <x v="0"/>
    <m/>
  </r>
  <r>
    <n v="77"/>
    <x v="10"/>
    <x v="40"/>
    <x v="10"/>
    <n v="155993"/>
    <n v="152045"/>
    <n v="3948"/>
    <m/>
    <n v="67680"/>
    <m/>
    <m/>
    <m/>
    <n v="2.2465277779999999"/>
    <n v="46.625060899246492"/>
    <n v="155993"/>
    <n v="1568"/>
    <n v="-117"/>
    <n v="1001"/>
    <n v="1685"/>
    <n v="67680"/>
    <x v="0"/>
    <m/>
    <n v="152045"/>
    <n v="1004"/>
    <x v="0"/>
    <x v="0"/>
    <n v="2.2465277779999999"/>
  </r>
  <r>
    <n v="77"/>
    <x v="10"/>
    <x v="40"/>
    <x v="11"/>
    <n v="157432"/>
    <n v="153559"/>
    <n v="3873"/>
    <m/>
    <n v="68720"/>
    <m/>
    <m/>
    <m/>
    <n v="2.234560536"/>
    <n v="47.055166497792683"/>
    <n v="157432"/>
    <n v="1527"/>
    <n v="-373"/>
    <n v="1812"/>
    <n v="1900"/>
    <n v="68720"/>
    <x v="0"/>
    <m/>
    <n v="153559"/>
    <n v="1231"/>
    <x v="0"/>
    <x v="0"/>
    <n v="2.234560536"/>
  </r>
  <r>
    <n v="77"/>
    <x v="10"/>
    <x v="40"/>
    <x v="12"/>
    <n v="158534"/>
    <n v="154405"/>
    <n v="4129"/>
    <m/>
    <n v="70017"/>
    <m/>
    <m/>
    <m/>
    <n v="2.2052501539999998"/>
    <n v="47.384545489869055"/>
    <n v="158534"/>
    <n v="1447"/>
    <n v="-568"/>
    <n v="1670"/>
    <n v="2015"/>
    <n v="70017"/>
    <x v="0"/>
    <m/>
    <n v="154405"/>
    <n v="969"/>
    <x v="0"/>
    <x v="0"/>
    <n v="2.2052501539999998"/>
  </r>
  <r>
    <n v="79"/>
    <x v="1"/>
    <x v="41"/>
    <x v="0"/>
    <n v="705"/>
    <n v="705"/>
    <n v="0"/>
    <n v="2.2599999999999998"/>
    <n v="1097"/>
    <n v="312"/>
    <n v="785"/>
    <n v="71.56"/>
    <n v="0.64266180500000003"/>
    <n v="0.80281497676960922"/>
    <m/>
    <m/>
    <m/>
    <m/>
    <m/>
    <m/>
    <x v="0"/>
    <m/>
    <m/>
    <m/>
    <x v="0"/>
    <x v="0"/>
    <m/>
  </r>
  <r>
    <n v="79"/>
    <x v="1"/>
    <x v="41"/>
    <x v="1"/>
    <n v="712"/>
    <n v="712"/>
    <n v="0"/>
    <n v="2.0099999999999998"/>
    <n v="1102"/>
    <n v="354"/>
    <n v="748"/>
    <n v="67.89"/>
    <n v="0.64609800399999995"/>
    <n v="0.81078618930491031"/>
    <m/>
    <m/>
    <m/>
    <m/>
    <m/>
    <m/>
    <x v="0"/>
    <m/>
    <m/>
    <m/>
    <x v="0"/>
    <x v="0"/>
    <m/>
  </r>
  <r>
    <n v="79"/>
    <x v="1"/>
    <x v="41"/>
    <x v="2"/>
    <n v="723"/>
    <n v="723"/>
    <n v="0"/>
    <n v="2.0099999999999998"/>
    <n v="1111"/>
    <n v="359"/>
    <n v="752"/>
    <n v="67.69"/>
    <n v="0.65076507699999997"/>
    <n v="0.82331238043181199"/>
    <m/>
    <m/>
    <m/>
    <m/>
    <m/>
    <m/>
    <x v="0"/>
    <m/>
    <m/>
    <m/>
    <x v="0"/>
    <x v="0"/>
    <m/>
  </r>
  <r>
    <n v="79"/>
    <x v="1"/>
    <x v="41"/>
    <x v="3"/>
    <n v="734"/>
    <n v="734"/>
    <n v="0"/>
    <n v="2.02"/>
    <n v="1119"/>
    <n v="363"/>
    <n v="756"/>
    <n v="67.52"/>
    <n v="0.65594280599999999"/>
    <n v="0.83583857155871366"/>
    <m/>
    <m/>
    <m/>
    <m/>
    <m/>
    <m/>
    <x v="0"/>
    <m/>
    <m/>
    <m/>
    <x v="0"/>
    <x v="0"/>
    <m/>
  </r>
  <r>
    <n v="79"/>
    <x v="1"/>
    <x v="41"/>
    <x v="4"/>
    <n v="747"/>
    <n v="747"/>
    <n v="0"/>
    <n v="2.02"/>
    <n v="1130"/>
    <n v="370"/>
    <n v="760"/>
    <n v="67.28"/>
    <n v="0.66106194699999998"/>
    <n v="0.85064225198141574"/>
    <m/>
    <m/>
    <m/>
    <m/>
    <m/>
    <m/>
    <x v="0"/>
    <m/>
    <m/>
    <m/>
    <x v="0"/>
    <x v="0"/>
    <m/>
  </r>
  <r>
    <n v="79"/>
    <x v="1"/>
    <x v="41"/>
    <x v="5"/>
    <n v="755"/>
    <n v="755"/>
    <n v="0"/>
    <n v="2.02"/>
    <n v="1136"/>
    <n v="373"/>
    <n v="763"/>
    <n v="67.16"/>
    <n v="0.66461267599999996"/>
    <n v="0.85975220916461692"/>
    <m/>
    <m/>
    <m/>
    <m/>
    <m/>
    <m/>
    <x v="0"/>
    <m/>
    <m/>
    <m/>
    <x v="0"/>
    <x v="0"/>
    <m/>
  </r>
  <r>
    <n v="79"/>
    <x v="1"/>
    <x v="41"/>
    <x v="6"/>
    <n v="770"/>
    <n v="770"/>
    <n v="0"/>
    <n v="2.0299999999999998"/>
    <n v="1148"/>
    <n v="380"/>
    <n v="768"/>
    <n v="66.91"/>
    <n v="0.67073170699999995"/>
    <n v="0.8768333788831193"/>
    <m/>
    <m/>
    <m/>
    <m/>
    <m/>
    <m/>
    <x v="0"/>
    <m/>
    <m/>
    <m/>
    <x v="0"/>
    <x v="0"/>
    <m/>
  </r>
  <r>
    <n v="79"/>
    <x v="1"/>
    <x v="41"/>
    <x v="7"/>
    <n v="788"/>
    <n v="788"/>
    <n v="0"/>
    <n v="2.0299999999999998"/>
    <n v="1162"/>
    <n v="388"/>
    <n v="774"/>
    <n v="66.62"/>
    <n v="0.67814113600000003"/>
    <n v="0.89733078254532206"/>
    <m/>
    <m/>
    <m/>
    <m/>
    <m/>
    <m/>
    <x v="0"/>
    <m/>
    <m/>
    <m/>
    <x v="0"/>
    <x v="0"/>
    <m/>
  </r>
  <r>
    <n v="79"/>
    <x v="1"/>
    <x v="41"/>
    <x v="8"/>
    <n v="811"/>
    <n v="811"/>
    <n v="0"/>
    <n v="2.0299999999999998"/>
    <n v="1181"/>
    <n v="399"/>
    <n v="782"/>
    <n v="66.25"/>
    <n v="0.68670618100000003"/>
    <n v="0.92352190944702561"/>
    <m/>
    <m/>
    <m/>
    <m/>
    <m/>
    <m/>
    <x v="0"/>
    <m/>
    <m/>
    <m/>
    <x v="0"/>
    <x v="0"/>
    <m/>
  </r>
  <r>
    <n v="79"/>
    <x v="1"/>
    <x v="41"/>
    <x v="9"/>
    <n v="834"/>
    <n v="834"/>
    <n v="0"/>
    <n v="2.04"/>
    <n v="1200"/>
    <n v="409"/>
    <n v="791"/>
    <n v="65.88"/>
    <n v="0.69499999999999995"/>
    <n v="0.94971303634872917"/>
    <m/>
    <m/>
    <m/>
    <m/>
    <m/>
    <m/>
    <x v="0"/>
    <m/>
    <m/>
    <m/>
    <x v="0"/>
    <x v="0"/>
    <m/>
  </r>
  <r>
    <n v="79"/>
    <x v="1"/>
    <x v="41"/>
    <x v="10"/>
    <n v="871"/>
    <n v="871"/>
    <n v="0"/>
    <m/>
    <n v="1221"/>
    <m/>
    <m/>
    <m/>
    <n v="0.71334971300000005"/>
    <n v="0.99184658832103489"/>
    <n v="871"/>
    <n v="7"/>
    <n v="-4"/>
    <n v="41"/>
    <n v="11"/>
    <n v="1221"/>
    <x v="0"/>
    <m/>
    <n v="871"/>
    <n v="18"/>
    <x v="0"/>
    <x v="0"/>
    <n v="0.71334971300000005"/>
  </r>
  <r>
    <n v="79"/>
    <x v="1"/>
    <x v="41"/>
    <x v="11"/>
    <n v="926"/>
    <n v="926"/>
    <n v="0"/>
    <m/>
    <n v="1290"/>
    <m/>
    <m/>
    <m/>
    <n v="0.717829457"/>
    <n v="1.0544775439555434"/>
    <n v="926"/>
    <n v="4"/>
    <n v="-2"/>
    <n v="57"/>
    <n v="6"/>
    <n v="1290"/>
    <x v="0"/>
    <m/>
    <n v="926"/>
    <n v="8"/>
    <x v="0"/>
    <x v="0"/>
    <n v="0.717829457"/>
  </r>
  <r>
    <n v="79"/>
    <x v="1"/>
    <x v="41"/>
    <x v="12"/>
    <n v="924"/>
    <n v="924"/>
    <n v="0"/>
    <m/>
    <n v="1298"/>
    <m/>
    <m/>
    <m/>
    <n v="0.71186440699999998"/>
    <n v="1.0522000546597432"/>
    <n v="924"/>
    <n v="8"/>
    <n v="-5"/>
    <n v="3"/>
    <n v="13"/>
    <n v="1298"/>
    <x v="0"/>
    <m/>
    <n v="924"/>
    <n v="9"/>
    <x v="0"/>
    <x v="0"/>
    <n v="0.71186440699999998"/>
  </r>
  <r>
    <n v="81"/>
    <x v="10"/>
    <x v="42"/>
    <x v="0"/>
    <n v="13806"/>
    <n v="13704"/>
    <n v="102"/>
    <n v="2.6"/>
    <n v="5962"/>
    <n v="5269"/>
    <n v="693"/>
    <n v="11.62"/>
    <n v="2.2985575310000002"/>
    <n v="2.9029449983809448"/>
    <m/>
    <m/>
    <m/>
    <m/>
    <m/>
    <m/>
    <x v="0"/>
    <m/>
    <m/>
    <m/>
    <x v="0"/>
    <x v="0"/>
    <m/>
  </r>
  <r>
    <n v="81"/>
    <x v="10"/>
    <x v="42"/>
    <x v="1"/>
    <n v="13452"/>
    <n v="13348"/>
    <n v="104"/>
    <n v="2.5"/>
    <n v="5969"/>
    <n v="5337"/>
    <n v="632"/>
    <n v="10.58"/>
    <n v="2.2362204719999998"/>
    <n v="2.828510511242972"/>
    <m/>
    <m/>
    <m/>
    <m/>
    <m/>
    <m/>
    <x v="0"/>
    <m/>
    <m/>
    <m/>
    <x v="0"/>
    <x v="0"/>
    <m/>
  </r>
  <r>
    <n v="81"/>
    <x v="10"/>
    <x v="42"/>
    <x v="2"/>
    <n v="13216"/>
    <n v="13111"/>
    <n v="105"/>
    <n v="2.5"/>
    <n v="5979"/>
    <n v="5252"/>
    <n v="727"/>
    <n v="12.16"/>
    <n v="2.1928416120000001"/>
    <n v="2.7788875198176566"/>
    <m/>
    <m/>
    <m/>
    <m/>
    <m/>
    <m/>
    <x v="0"/>
    <m/>
    <m/>
    <m/>
    <x v="0"/>
    <x v="0"/>
    <m/>
  </r>
  <r>
    <n v="81"/>
    <x v="10"/>
    <x v="42"/>
    <x v="3"/>
    <n v="13187"/>
    <n v="13080"/>
    <n v="107"/>
    <n v="2.4900000000000002"/>
    <n v="5990"/>
    <n v="5249"/>
    <n v="741"/>
    <n v="12.38"/>
    <n v="2.183639399"/>
    <n v="2.772789779345902"/>
    <m/>
    <m/>
    <m/>
    <m/>
    <m/>
    <m/>
    <x v="0"/>
    <m/>
    <m/>
    <m/>
    <x v="0"/>
    <x v="0"/>
    <m/>
  </r>
  <r>
    <n v="81"/>
    <x v="10"/>
    <x v="42"/>
    <x v="4"/>
    <n v="13016"/>
    <n v="12907"/>
    <n v="109"/>
    <n v="2.4900000000000002"/>
    <n v="5999"/>
    <n v="5189"/>
    <n v="810"/>
    <n v="13.51"/>
    <n v="2.1515252540000001"/>
    <n v="2.7368341372538301"/>
    <m/>
    <m/>
    <m/>
    <m/>
    <m/>
    <m/>
    <x v="0"/>
    <m/>
    <m/>
    <m/>
    <x v="0"/>
    <x v="0"/>
    <m/>
  </r>
  <r>
    <n v="81"/>
    <x v="10"/>
    <x v="42"/>
    <x v="5"/>
    <n v="13038"/>
    <n v="12928"/>
    <n v="110"/>
    <n v="2.48"/>
    <n v="6008"/>
    <n v="5206"/>
    <n v="802"/>
    <n v="13.35"/>
    <n v="2.1517976029999999"/>
    <n v="2.7414600093358512"/>
    <m/>
    <m/>
    <m/>
    <m/>
    <m/>
    <m/>
    <x v="0"/>
    <m/>
    <m/>
    <m/>
    <x v="0"/>
    <x v="0"/>
    <m/>
  </r>
  <r>
    <n v="81"/>
    <x v="10"/>
    <x v="42"/>
    <x v="6"/>
    <n v="13266"/>
    <n v="13154"/>
    <n v="112"/>
    <n v="2.48"/>
    <n v="6015"/>
    <n v="5307"/>
    <n v="708"/>
    <n v="11.78"/>
    <n v="2.1868661679999999"/>
    <n v="2.7894008654586133"/>
    <m/>
    <m/>
    <m/>
    <m/>
    <m/>
    <m/>
    <x v="0"/>
    <m/>
    <m/>
    <m/>
    <x v="0"/>
    <x v="0"/>
    <m/>
  </r>
  <r>
    <n v="81"/>
    <x v="10"/>
    <x v="42"/>
    <x v="7"/>
    <n v="13223"/>
    <n v="13109"/>
    <n v="114"/>
    <n v="2.4700000000000002"/>
    <n v="6025"/>
    <n v="5298"/>
    <n v="727"/>
    <n v="12.06"/>
    <n v="2.1757676350000001"/>
    <n v="2.7803593882073905"/>
    <m/>
    <m/>
    <m/>
    <m/>
    <m/>
    <m/>
    <x v="0"/>
    <m/>
    <m/>
    <m/>
    <x v="0"/>
    <x v="0"/>
    <m/>
  </r>
  <r>
    <n v="81"/>
    <x v="10"/>
    <x v="42"/>
    <x v="8"/>
    <n v="13291"/>
    <n v="13175"/>
    <n v="116"/>
    <n v="2.4700000000000002"/>
    <n v="6047"/>
    <n v="5334"/>
    <n v="713"/>
    <n v="11.78"/>
    <n v="2.1787663300000002"/>
    <n v="2.7946575382790915"/>
    <m/>
    <m/>
    <m/>
    <m/>
    <m/>
    <m/>
    <x v="0"/>
    <m/>
    <m/>
    <m/>
    <x v="0"/>
    <x v="0"/>
    <m/>
  </r>
  <r>
    <n v="81"/>
    <x v="10"/>
    <x v="42"/>
    <x v="9"/>
    <n v="13364"/>
    <n v="13247"/>
    <n v="117"/>
    <n v="2.4700000000000002"/>
    <n v="6072"/>
    <n v="5373"/>
    <n v="699"/>
    <n v="11.51"/>
    <n v="2.1816534910000001"/>
    <n v="2.8100070229148884"/>
    <m/>
    <m/>
    <m/>
    <m/>
    <m/>
    <m/>
    <x v="0"/>
    <m/>
    <m/>
    <m/>
    <x v="0"/>
    <x v="0"/>
    <m/>
  </r>
  <r>
    <n v="81"/>
    <x v="10"/>
    <x v="42"/>
    <x v="10"/>
    <n v="13265"/>
    <n v="13145"/>
    <n v="120"/>
    <m/>
    <n v="6105"/>
    <m/>
    <m/>
    <m/>
    <n v="2.1531531529999999"/>
    <n v="2.7891905985457943"/>
    <n v="13265"/>
    <n v="140"/>
    <n v="22"/>
    <n v="-121"/>
    <n v="118"/>
    <n v="6105"/>
    <x v="0"/>
    <m/>
    <n v="13145"/>
    <n v="17"/>
    <x v="0"/>
    <x v="0"/>
    <n v="2.1531531529999999"/>
  </r>
  <r>
    <n v="81"/>
    <x v="10"/>
    <x v="42"/>
    <x v="11"/>
    <n v="13161"/>
    <n v="13051"/>
    <n v="110"/>
    <m/>
    <n v="6119"/>
    <m/>
    <m/>
    <m/>
    <n v="2.132864847"/>
    <n v="2.7673228396126044"/>
    <n v="13161"/>
    <n v="147"/>
    <n v="-12"/>
    <n v="-92"/>
    <n v="159"/>
    <n v="6119"/>
    <x v="0"/>
    <m/>
    <n v="13051"/>
    <n v="15"/>
    <x v="0"/>
    <x v="0"/>
    <n v="2.132864847"/>
  </r>
  <r>
    <n v="81"/>
    <x v="10"/>
    <x v="42"/>
    <x v="12"/>
    <n v="13166"/>
    <n v="13056"/>
    <n v="110"/>
    <m/>
    <n v="6139"/>
    <m/>
    <m/>
    <m/>
    <n v="2.126730738"/>
    <n v="2.7683741741767003"/>
    <n v="13166"/>
    <n v="120"/>
    <n v="-41"/>
    <n v="46"/>
    <n v="161"/>
    <n v="6139"/>
    <x v="0"/>
    <m/>
    <n v="13056"/>
    <n v="20"/>
    <x v="0"/>
    <x v="0"/>
    <n v="2.126730738"/>
  </r>
  <r>
    <n v="83"/>
    <x v="2"/>
    <x v="43"/>
    <x v="0"/>
    <n v="25532"/>
    <n v="25295"/>
    <n v="237"/>
    <n v="2.4300000000000002"/>
    <n v="11932"/>
    <n v="10397"/>
    <n v="1535"/>
    <n v="12.86"/>
    <n v="2.1199296009999999"/>
    <n v="12.541507024265645"/>
    <m/>
    <m/>
    <m/>
    <m/>
    <m/>
    <m/>
    <x v="0"/>
    <m/>
    <m/>
    <m/>
    <x v="0"/>
    <x v="0"/>
    <m/>
  </r>
  <r>
    <n v="83"/>
    <x v="2"/>
    <x v="43"/>
    <x v="1"/>
    <n v="25519"/>
    <n v="25277"/>
    <n v="242"/>
    <n v="2.4"/>
    <n v="11943"/>
    <n v="10548"/>
    <n v="1395"/>
    <n v="11.68"/>
    <n v="2.1164698990000002"/>
    <n v="12.535121328224777"/>
    <m/>
    <m/>
    <m/>
    <m/>
    <m/>
    <m/>
    <x v="0"/>
    <m/>
    <m/>
    <m/>
    <x v="0"/>
    <x v="0"/>
    <m/>
  </r>
  <r>
    <n v="83"/>
    <x v="2"/>
    <x v="43"/>
    <x v="2"/>
    <n v="25501"/>
    <n v="25254"/>
    <n v="247"/>
    <n v="2.39"/>
    <n v="11951"/>
    <n v="10553"/>
    <n v="1398"/>
    <n v="11.7"/>
    <n v="2.1131286079999998"/>
    <n v="12.526279595245112"/>
    <m/>
    <m/>
    <m/>
    <m/>
    <m/>
    <m/>
    <x v="0"/>
    <m/>
    <m/>
    <m/>
    <x v="0"/>
    <x v="0"/>
    <m/>
  </r>
  <r>
    <n v="83"/>
    <x v="2"/>
    <x v="43"/>
    <x v="3"/>
    <n v="25485"/>
    <n v="25233"/>
    <n v="253"/>
    <n v="2.39"/>
    <n v="11960"/>
    <n v="10559"/>
    <n v="1401"/>
    <n v="11.71"/>
    <n v="2.1097826089999998"/>
    <n v="12.518420277040967"/>
    <m/>
    <m/>
    <m/>
    <m/>
    <m/>
    <m/>
    <x v="0"/>
    <m/>
    <m/>
    <m/>
    <x v="0"/>
    <x v="0"/>
    <m/>
  </r>
  <r>
    <n v="83"/>
    <x v="2"/>
    <x v="43"/>
    <x v="4"/>
    <n v="25464"/>
    <n v="25206"/>
    <n v="258"/>
    <n v="2.39"/>
    <n v="11966"/>
    <n v="10564"/>
    <n v="1402"/>
    <n v="11.72"/>
    <n v="2.106468327"/>
    <n v="12.508104921898026"/>
    <m/>
    <m/>
    <m/>
    <m/>
    <m/>
    <m/>
    <x v="0"/>
    <m/>
    <m/>
    <m/>
    <x v="0"/>
    <x v="0"/>
    <m/>
  </r>
  <r>
    <n v="83"/>
    <x v="2"/>
    <x v="43"/>
    <x v="5"/>
    <n v="25522"/>
    <n v="25259"/>
    <n v="263"/>
    <n v="2.38"/>
    <n v="12020"/>
    <n v="10601"/>
    <n v="1419"/>
    <n v="11.81"/>
    <n v="2.1014143089999999"/>
    <n v="12.536594950388054"/>
    <m/>
    <m/>
    <m/>
    <m/>
    <m/>
    <m/>
    <x v="0"/>
    <m/>
    <m/>
    <m/>
    <x v="0"/>
    <x v="0"/>
    <m/>
  </r>
  <r>
    <n v="83"/>
    <x v="2"/>
    <x v="43"/>
    <x v="6"/>
    <n v="25543"/>
    <n v="25275"/>
    <n v="268"/>
    <n v="2.38"/>
    <n v="12052"/>
    <n v="10623"/>
    <n v="1429"/>
    <n v="11.86"/>
    <n v="2.0971622970000001"/>
    <n v="12.546910305530995"/>
    <m/>
    <m/>
    <m/>
    <m/>
    <m/>
    <m/>
    <x v="0"/>
    <m/>
    <m/>
    <m/>
    <x v="0"/>
    <x v="0"/>
    <m/>
  </r>
  <r>
    <n v="83"/>
    <x v="2"/>
    <x v="43"/>
    <x v="7"/>
    <n v="25556"/>
    <n v="25283"/>
    <n v="273"/>
    <n v="2.38"/>
    <n v="12079"/>
    <n v="10642"/>
    <n v="1437"/>
    <n v="11.9"/>
    <n v="2.093136849"/>
    <n v="12.553296001571864"/>
    <m/>
    <m/>
    <m/>
    <m/>
    <m/>
    <m/>
    <x v="0"/>
    <m/>
    <m/>
    <m/>
    <x v="0"/>
    <x v="0"/>
    <m/>
  </r>
  <r>
    <n v="83"/>
    <x v="2"/>
    <x v="43"/>
    <x v="8"/>
    <n v="25612"/>
    <n v="25333"/>
    <n v="279"/>
    <n v="2.37"/>
    <n v="12132"/>
    <n v="10678"/>
    <n v="1454"/>
    <n v="11.98"/>
    <n v="2.0881140779999998"/>
    <n v="12.580803615286374"/>
    <m/>
    <m/>
    <m/>
    <m/>
    <m/>
    <m/>
    <x v="0"/>
    <m/>
    <m/>
    <m/>
    <x v="0"/>
    <x v="0"/>
    <m/>
  </r>
  <r>
    <n v="83"/>
    <x v="2"/>
    <x v="43"/>
    <x v="9"/>
    <n v="25731"/>
    <n v="25447"/>
    <n v="284"/>
    <n v="2.37"/>
    <n v="12224"/>
    <n v="10742"/>
    <n v="1482"/>
    <n v="12.12"/>
    <n v="2.0817244760000002"/>
    <n v="12.639257294429708"/>
    <m/>
    <m/>
    <m/>
    <m/>
    <m/>
    <m/>
    <x v="0"/>
    <m/>
    <m/>
    <m/>
    <x v="0"/>
    <x v="0"/>
    <m/>
  </r>
  <r>
    <n v="83"/>
    <x v="2"/>
    <x v="43"/>
    <x v="10"/>
    <n v="25888"/>
    <n v="25628"/>
    <n v="260"/>
    <m/>
    <n v="12302"/>
    <m/>
    <m/>
    <m/>
    <n v="2.083238498"/>
    <n v="12.716376854307889"/>
    <n v="25888"/>
    <n v="248"/>
    <n v="-45"/>
    <n v="202"/>
    <n v="293"/>
    <n v="12302"/>
    <x v="0"/>
    <m/>
    <n v="25628"/>
    <n v="27"/>
    <x v="0"/>
    <x v="0"/>
    <n v="2.083238498"/>
  </r>
  <r>
    <n v="83"/>
    <x v="2"/>
    <x v="43"/>
    <x v="11"/>
    <n v="26248"/>
    <n v="25994"/>
    <n v="254"/>
    <m/>
    <n v="12328"/>
    <m/>
    <m/>
    <m/>
    <n v="2.1085334200000001"/>
    <n v="12.89321151390117"/>
    <n v="26248"/>
    <n v="259"/>
    <n v="-77"/>
    <n v="437"/>
    <n v="336"/>
    <n v="12328"/>
    <x v="0"/>
    <m/>
    <n v="25994"/>
    <n v="22"/>
    <x v="0"/>
    <x v="0"/>
    <n v="2.1085334200000001"/>
  </r>
  <r>
    <n v="83"/>
    <x v="2"/>
    <x v="43"/>
    <x v="12"/>
    <n v="26464"/>
    <n v="26213"/>
    <n v="251"/>
    <m/>
    <n v="12348"/>
    <m/>
    <m/>
    <m/>
    <n v="2.1228539030000002"/>
    <n v="12.999312309657137"/>
    <n v="26464"/>
    <n v="240"/>
    <n v="-147"/>
    <n v="363"/>
    <n v="387"/>
    <n v="12348"/>
    <x v="0"/>
    <m/>
    <n v="26213"/>
    <n v="24"/>
    <x v="0"/>
    <x v="0"/>
    <n v="2.1228539030000002"/>
  </r>
  <r>
    <n v="85"/>
    <x v="7"/>
    <x v="44"/>
    <x v="0"/>
    <n v="41188"/>
    <n v="40646"/>
    <n v="542"/>
    <n v="2.63"/>
    <n v="17198"/>
    <n v="15455"/>
    <n v="1743"/>
    <n v="10.130000000000001"/>
    <n v="2.3634143509999999"/>
    <n v="18.334869103421877"/>
    <m/>
    <m/>
    <m/>
    <m/>
    <m/>
    <m/>
    <x v="0"/>
    <m/>
    <m/>
    <m/>
    <x v="0"/>
    <x v="0"/>
    <m/>
  </r>
  <r>
    <n v="85"/>
    <x v="7"/>
    <x v="44"/>
    <x v="1"/>
    <n v="41260"/>
    <n v="40707"/>
    <n v="554"/>
    <n v="2.46"/>
    <n v="17315"/>
    <n v="16521"/>
    <n v="794"/>
    <n v="4.59"/>
    <n v="2.3509673690000001"/>
    <n v="18.366919957443589"/>
    <m/>
    <m/>
    <m/>
    <m/>
    <m/>
    <m/>
    <x v="0"/>
    <m/>
    <m/>
    <m/>
    <x v="0"/>
    <x v="0"/>
    <m/>
  </r>
  <r>
    <n v="85"/>
    <x v="7"/>
    <x v="44"/>
    <x v="2"/>
    <n v="41303"/>
    <n v="40737"/>
    <n v="566"/>
    <n v="2.46"/>
    <n v="17412"/>
    <n v="16578"/>
    <n v="834"/>
    <n v="4.79"/>
    <n v="2.3395933840000001"/>
    <n v="18.386061439706559"/>
    <m/>
    <m/>
    <m/>
    <m/>
    <m/>
    <m/>
    <x v="0"/>
    <m/>
    <m/>
    <m/>
    <x v="0"/>
    <x v="0"/>
    <m/>
  </r>
  <r>
    <n v="85"/>
    <x v="7"/>
    <x v="44"/>
    <x v="3"/>
    <n v="41331"/>
    <n v="40754"/>
    <n v="577"/>
    <n v="2.4500000000000002"/>
    <n v="17500"/>
    <n v="16631"/>
    <n v="869"/>
    <n v="4.97"/>
    <n v="2.3288000000000002"/>
    <n v="18.398525660715002"/>
    <m/>
    <m/>
    <m/>
    <m/>
    <m/>
    <m/>
    <x v="0"/>
    <m/>
    <m/>
    <m/>
    <x v="0"/>
    <x v="0"/>
    <m/>
  </r>
  <r>
    <n v="85"/>
    <x v="7"/>
    <x v="44"/>
    <x v="4"/>
    <n v="41388"/>
    <n v="40799"/>
    <n v="589"/>
    <n v="2.44"/>
    <n v="17608"/>
    <n v="16695"/>
    <n v="913"/>
    <n v="5.19"/>
    <n v="2.3170717860000001"/>
    <n v="18.423899253482194"/>
    <m/>
    <m/>
    <m/>
    <m/>
    <m/>
    <m/>
    <x v="0"/>
    <m/>
    <m/>
    <m/>
    <x v="0"/>
    <x v="0"/>
    <m/>
  </r>
  <r>
    <n v="85"/>
    <x v="7"/>
    <x v="44"/>
    <x v="5"/>
    <n v="41457"/>
    <n v="40856"/>
    <n v="601"/>
    <n v="2.44"/>
    <n v="17725"/>
    <n v="16765"/>
    <n v="960"/>
    <n v="5.42"/>
    <n v="2.3049929480000002"/>
    <n v="18.454614655253003"/>
    <m/>
    <m/>
    <m/>
    <m/>
    <m/>
    <m/>
    <x v="0"/>
    <m/>
    <m/>
    <m/>
    <x v="0"/>
    <x v="0"/>
    <m/>
  </r>
  <r>
    <n v="85"/>
    <x v="7"/>
    <x v="44"/>
    <x v="6"/>
    <n v="41594"/>
    <n v="40982"/>
    <n v="613"/>
    <n v="2.4300000000000002"/>
    <n v="17890"/>
    <n v="16863"/>
    <n v="1027"/>
    <n v="5.74"/>
    <n v="2.29077697"/>
    <n v="18.51560030804432"/>
    <m/>
    <m/>
    <m/>
    <m/>
    <m/>
    <m/>
    <x v="0"/>
    <m/>
    <m/>
    <m/>
    <x v="0"/>
    <x v="0"/>
    <m/>
  </r>
  <r>
    <n v="85"/>
    <x v="7"/>
    <x v="44"/>
    <x v="7"/>
    <n v="41768"/>
    <n v="41143"/>
    <n v="625"/>
    <n v="2.42"/>
    <n v="18081"/>
    <n v="16976"/>
    <n v="1105"/>
    <n v="6.11"/>
    <n v="2.2754825510000001"/>
    <n v="18.593056538596798"/>
    <m/>
    <m/>
    <m/>
    <m/>
    <m/>
    <m/>
    <x v="0"/>
    <m/>
    <m/>
    <m/>
    <x v="0"/>
    <x v="0"/>
    <m/>
  </r>
  <r>
    <n v="85"/>
    <x v="7"/>
    <x v="44"/>
    <x v="8"/>
    <n v="42084"/>
    <n v="41447"/>
    <n v="636"/>
    <n v="2.42"/>
    <n v="18372"/>
    <n v="17149"/>
    <n v="1223"/>
    <n v="6.65"/>
    <n v="2.2559873719999999"/>
    <n v="18.7337241756921"/>
    <m/>
    <m/>
    <m/>
    <m/>
    <m/>
    <m/>
    <x v="0"/>
    <m/>
    <m/>
    <m/>
    <x v="0"/>
    <x v="0"/>
    <m/>
  </r>
  <r>
    <n v="85"/>
    <x v="7"/>
    <x v="44"/>
    <x v="9"/>
    <n v="42501"/>
    <n v="41852"/>
    <n v="648"/>
    <n v="2.41"/>
    <n v="18735"/>
    <n v="17365"/>
    <n v="1370"/>
    <n v="7.31"/>
    <n v="2.233893782"/>
    <n v="18.919352038567862"/>
    <m/>
    <m/>
    <m/>
    <m/>
    <m/>
    <m/>
    <x v="0"/>
    <m/>
    <m/>
    <m/>
    <x v="0"/>
    <x v="0"/>
    <m/>
  </r>
  <r>
    <n v="85"/>
    <x v="7"/>
    <x v="44"/>
    <x v="10"/>
    <n v="42810"/>
    <n v="42126"/>
    <n v="684"/>
    <m/>
    <n v="19029"/>
    <m/>
    <m/>
    <m/>
    <n v="2.2137789689999998"/>
    <n v="19.056903620411052"/>
    <n v="42810"/>
    <n v="406"/>
    <n v="-64"/>
    <n v="373"/>
    <n v="470"/>
    <n v="19029"/>
    <x v="0"/>
    <m/>
    <n v="42126"/>
    <n v="263"/>
    <x v="0"/>
    <x v="0"/>
    <n v="2.2137789689999998"/>
  </r>
  <r>
    <n v="85"/>
    <x v="7"/>
    <x v="44"/>
    <x v="11"/>
    <n v="43234"/>
    <n v="42540"/>
    <n v="694"/>
    <m/>
    <n v="19330"/>
    <m/>
    <m/>
    <m/>
    <n v="2.2007242630000001"/>
    <n v="19.245647538538929"/>
    <n v="43234"/>
    <n v="381"/>
    <n v="-146"/>
    <n v="570"/>
    <n v="527"/>
    <n v="19330"/>
    <x v="0"/>
    <m/>
    <n v="42540"/>
    <n v="451"/>
    <x v="0"/>
    <x v="0"/>
    <n v="2.2007242630000001"/>
  </r>
  <r>
    <n v="85"/>
    <x v="7"/>
    <x v="44"/>
    <x v="12"/>
    <n v="43799"/>
    <n v="43111"/>
    <n v="688"/>
    <m/>
    <n v="19734"/>
    <m/>
    <m/>
    <m/>
    <n v="2.1846052500000002"/>
    <n v="19.497157712459327"/>
    <n v="43799"/>
    <n v="402"/>
    <n v="-207"/>
    <n v="772"/>
    <n v="609"/>
    <n v="19734"/>
    <x v="0"/>
    <m/>
    <n v="43111"/>
    <n v="405"/>
    <x v="0"/>
    <x v="0"/>
    <n v="2.1846052500000002"/>
  </r>
  <r>
    <n v="87"/>
    <x v="13"/>
    <x v="45"/>
    <x v="0"/>
    <n v="28196"/>
    <n v="27632"/>
    <n v="564"/>
    <n v="2.81"/>
    <n v="10960"/>
    <n v="9841"/>
    <n v="1119"/>
    <n v="10.210000000000001"/>
    <n v="2.5211678829999999"/>
    <n v="21.792662096256851"/>
    <m/>
    <m/>
    <m/>
    <m/>
    <m/>
    <m/>
    <x v="0"/>
    <m/>
    <m/>
    <m/>
    <x v="0"/>
    <x v="0"/>
    <m/>
  </r>
  <r>
    <n v="87"/>
    <x v="13"/>
    <x v="45"/>
    <x v="1"/>
    <n v="28430"/>
    <n v="27876"/>
    <n v="554"/>
    <n v="2.7"/>
    <n v="10972"/>
    <n v="10311"/>
    <n v="661"/>
    <n v="6.02"/>
    <n v="2.5406489250000002"/>
    <n v="21.973520477960783"/>
    <m/>
    <m/>
    <m/>
    <m/>
    <m/>
    <m/>
    <x v="0"/>
    <m/>
    <m/>
    <m/>
    <x v="0"/>
    <x v="0"/>
    <m/>
  </r>
  <r>
    <n v="87"/>
    <x v="13"/>
    <x v="45"/>
    <x v="2"/>
    <n v="28247"/>
    <n v="27703"/>
    <n v="544"/>
    <n v="2.68"/>
    <n v="10997"/>
    <n v="10321"/>
    <n v="676"/>
    <n v="6.15"/>
    <n v="2.5191415840000002"/>
    <n v="21.832079948679503"/>
    <m/>
    <m/>
    <m/>
    <m/>
    <m/>
    <m/>
    <x v="0"/>
    <m/>
    <m/>
    <m/>
    <x v="0"/>
    <x v="0"/>
    <m/>
  </r>
  <r>
    <n v="87"/>
    <x v="13"/>
    <x v="45"/>
    <x v="3"/>
    <n v="28249"/>
    <n v="27715"/>
    <n v="534"/>
    <n v="2.68"/>
    <n v="11033"/>
    <n v="10334"/>
    <n v="699"/>
    <n v="6.34"/>
    <n v="2.5120094260000001"/>
    <n v="21.833625746813723"/>
    <m/>
    <m/>
    <m/>
    <m/>
    <m/>
    <m/>
    <x v="0"/>
    <m/>
    <m/>
    <m/>
    <x v="0"/>
    <x v="0"/>
    <m/>
  </r>
  <r>
    <n v="87"/>
    <x v="13"/>
    <x v="45"/>
    <x v="4"/>
    <n v="28162"/>
    <n v="27638"/>
    <n v="524"/>
    <n v="2.67"/>
    <n v="11069"/>
    <n v="10347"/>
    <n v="722"/>
    <n v="6.52"/>
    <n v="2.4968831869999999"/>
    <n v="21.766383527975083"/>
    <m/>
    <m/>
    <m/>
    <m/>
    <m/>
    <m/>
    <x v="0"/>
    <m/>
    <m/>
    <m/>
    <x v="0"/>
    <x v="0"/>
    <m/>
  </r>
  <r>
    <n v="87"/>
    <x v="13"/>
    <x v="45"/>
    <x v="5"/>
    <n v="28335"/>
    <n v="27821"/>
    <n v="514"/>
    <n v="2.68"/>
    <n v="11118"/>
    <n v="10365"/>
    <n v="753"/>
    <n v="6.77"/>
    <n v="2.5023385500000002"/>
    <n v="21.900095066585255"/>
    <m/>
    <m/>
    <m/>
    <m/>
    <m/>
    <m/>
    <x v="0"/>
    <m/>
    <m/>
    <m/>
    <x v="0"/>
    <x v="0"/>
    <m/>
  </r>
  <r>
    <n v="87"/>
    <x v="13"/>
    <x v="45"/>
    <x v="6"/>
    <n v="28294"/>
    <n v="27790"/>
    <n v="504"/>
    <n v="2.68"/>
    <n v="11135"/>
    <n v="10371"/>
    <n v="764"/>
    <n v="6.86"/>
    <n v="2.4957341720000001"/>
    <n v="21.868406204833711"/>
    <m/>
    <m/>
    <m/>
    <m/>
    <m/>
    <m/>
    <x v="0"/>
    <m/>
    <m/>
    <m/>
    <x v="0"/>
    <x v="0"/>
    <m/>
  </r>
  <r>
    <n v="87"/>
    <x v="13"/>
    <x v="45"/>
    <x v="7"/>
    <n v="28425"/>
    <n v="27931"/>
    <n v="494"/>
    <n v="2.69"/>
    <n v="11164"/>
    <n v="10382"/>
    <n v="782"/>
    <n v="7.01"/>
    <n v="2.5018810459999998"/>
    <n v="21.96965598262523"/>
    <m/>
    <m/>
    <m/>
    <m/>
    <m/>
    <m/>
    <x v="0"/>
    <m/>
    <m/>
    <m/>
    <x v="0"/>
    <x v="0"/>
    <m/>
  </r>
  <r>
    <n v="87"/>
    <x v="13"/>
    <x v="45"/>
    <x v="8"/>
    <n v="28933"/>
    <n v="28449"/>
    <n v="484"/>
    <n v="2.73"/>
    <n v="11251"/>
    <n v="10414"/>
    <n v="837"/>
    <n v="7.44"/>
    <n v="2.5285752380000002"/>
    <n v="22.362288708717529"/>
    <m/>
    <m/>
    <m/>
    <m/>
    <m/>
    <m/>
    <x v="0"/>
    <m/>
    <m/>
    <m/>
    <x v="0"/>
    <x v="0"/>
    <m/>
  </r>
  <r>
    <n v="87"/>
    <x v="13"/>
    <x v="45"/>
    <x v="9"/>
    <n v="29130"/>
    <n v="28656"/>
    <n v="474"/>
    <n v="2.74"/>
    <n v="11393"/>
    <n v="10466"/>
    <n v="927"/>
    <n v="8.14"/>
    <n v="2.515228649"/>
    <n v="22.514549824938364"/>
    <m/>
    <m/>
    <m/>
    <m/>
    <m/>
    <m/>
    <x v="0"/>
    <m/>
    <m/>
    <m/>
    <x v="0"/>
    <x v="0"/>
    <m/>
  </r>
  <r>
    <n v="87"/>
    <x v="13"/>
    <x v="45"/>
    <x v="10"/>
    <n v="29078"/>
    <n v="28610"/>
    <n v="468"/>
    <m/>
    <n v="11514"/>
    <m/>
    <m/>
    <m/>
    <n v="2.484801112"/>
    <n v="22.4743590734486"/>
    <n v="29078"/>
    <n v="430"/>
    <n v="107"/>
    <n v="-159"/>
    <n v="323"/>
    <n v="11514"/>
    <x v="0"/>
    <m/>
    <n v="28610"/>
    <n v="147"/>
    <x v="0"/>
    <x v="0"/>
    <n v="2.484801112"/>
  </r>
  <r>
    <n v="87"/>
    <x v="13"/>
    <x v="45"/>
    <x v="11"/>
    <n v="29011"/>
    <n v="28594"/>
    <n v="417"/>
    <m/>
    <n v="11639"/>
    <m/>
    <m/>
    <m/>
    <n v="2.4567402700000001"/>
    <n v="22.422574835952176"/>
    <n v="29011"/>
    <n v="377"/>
    <n v="72"/>
    <n v="-139"/>
    <n v="305"/>
    <n v="11639"/>
    <x v="0"/>
    <m/>
    <n v="28594"/>
    <n v="195"/>
    <x v="0"/>
    <x v="0"/>
    <n v="2.4567402700000001"/>
  </r>
  <r>
    <n v="87"/>
    <x v="13"/>
    <x v="45"/>
    <x v="12"/>
    <n v="29296"/>
    <n v="28880"/>
    <n v="416"/>
    <m/>
    <n v="11857"/>
    <m/>
    <m/>
    <m/>
    <n v="2.4356919960000001"/>
    <n v="22.642851070078759"/>
    <n v="29296"/>
    <n v="419"/>
    <n v="98"/>
    <n v="187"/>
    <n v="321"/>
    <n v="11857"/>
    <x v="0"/>
    <m/>
    <n v="28880"/>
    <n v="181"/>
    <x v="0"/>
    <x v="0"/>
    <n v="2.4356919960000001"/>
  </r>
  <r>
    <n v="89"/>
    <x v="3"/>
    <x v="46"/>
    <x v="0"/>
    <n v="18838"/>
    <n v="18405"/>
    <n v="433"/>
    <n v="2.46"/>
    <n v="8689"/>
    <n v="7490"/>
    <n v="1199"/>
    <n v="13.8"/>
    <n v="2.1181954190000001"/>
    <n v="14.860451540633923"/>
    <m/>
    <m/>
    <m/>
    <m/>
    <m/>
    <m/>
    <x v="0"/>
    <m/>
    <m/>
    <m/>
    <x v="0"/>
    <x v="0"/>
    <m/>
  </r>
  <r>
    <n v="89"/>
    <x v="3"/>
    <x v="46"/>
    <x v="1"/>
    <n v="18831"/>
    <n v="18400"/>
    <n v="432"/>
    <n v="2.38"/>
    <n v="8690"/>
    <n v="7729"/>
    <n v="961"/>
    <n v="11.06"/>
    <n v="2.1173762950000001"/>
    <n v="14.854929555243519"/>
    <m/>
    <m/>
    <m/>
    <m/>
    <m/>
    <m/>
    <x v="0"/>
    <m/>
    <m/>
    <m/>
    <x v="0"/>
    <x v="0"/>
    <m/>
  </r>
  <r>
    <n v="89"/>
    <x v="3"/>
    <x v="46"/>
    <x v="2"/>
    <n v="18815"/>
    <n v="18385"/>
    <n v="430"/>
    <n v="2.38"/>
    <n v="8693"/>
    <n v="7723"/>
    <n v="970"/>
    <n v="11.15"/>
    <n v="2.1149200509999999"/>
    <n v="14.842307874351166"/>
    <m/>
    <m/>
    <m/>
    <m/>
    <m/>
    <m/>
    <x v="0"/>
    <m/>
    <m/>
    <m/>
    <x v="0"/>
    <x v="0"/>
    <m/>
  </r>
  <r>
    <n v="89"/>
    <x v="3"/>
    <x v="46"/>
    <x v="3"/>
    <n v="18799"/>
    <n v="18371"/>
    <n v="428"/>
    <n v="2.38"/>
    <n v="8696"/>
    <n v="7718"/>
    <n v="978"/>
    <n v="11.25"/>
    <n v="2.1125804970000002"/>
    <n v="14.829686193458812"/>
    <m/>
    <m/>
    <m/>
    <m/>
    <m/>
    <m/>
    <x v="0"/>
    <m/>
    <m/>
    <m/>
    <x v="0"/>
    <x v="0"/>
    <m/>
  </r>
  <r>
    <n v="89"/>
    <x v="3"/>
    <x v="46"/>
    <x v="4"/>
    <n v="18779"/>
    <n v="18352"/>
    <n v="427"/>
    <n v="2.38"/>
    <n v="8700"/>
    <n v="7710"/>
    <n v="990"/>
    <n v="11.38"/>
    <n v="2.1094252870000001"/>
    <n v="14.813909092343373"/>
    <m/>
    <m/>
    <m/>
    <m/>
    <m/>
    <m/>
    <x v="0"/>
    <m/>
    <m/>
    <m/>
    <x v="0"/>
    <x v="0"/>
    <m/>
  </r>
  <r>
    <n v="89"/>
    <x v="3"/>
    <x v="46"/>
    <x v="5"/>
    <n v="18817"/>
    <n v="18392"/>
    <n v="426"/>
    <n v="2.38"/>
    <n v="8691"/>
    <n v="7727"/>
    <n v="964"/>
    <n v="11.09"/>
    <n v="2.1162121740000002"/>
    <n v="14.84388558446271"/>
    <m/>
    <m/>
    <m/>
    <m/>
    <m/>
    <m/>
    <x v="0"/>
    <m/>
    <m/>
    <m/>
    <x v="0"/>
    <x v="0"/>
    <m/>
  </r>
  <r>
    <n v="89"/>
    <x v="3"/>
    <x v="46"/>
    <x v="6"/>
    <n v="18797"/>
    <n v="18373"/>
    <n v="424"/>
    <n v="2.38"/>
    <n v="8695"/>
    <n v="7720"/>
    <n v="975"/>
    <n v="11.22"/>
    <n v="2.113053479"/>
    <n v="14.828108483347268"/>
    <m/>
    <m/>
    <m/>
    <m/>
    <m/>
    <m/>
    <x v="0"/>
    <m/>
    <m/>
    <m/>
    <x v="0"/>
    <x v="0"/>
    <m/>
  </r>
  <r>
    <n v="89"/>
    <x v="3"/>
    <x v="46"/>
    <x v="7"/>
    <n v="18763"/>
    <n v="18340"/>
    <n v="422"/>
    <n v="2.38"/>
    <n v="8702"/>
    <n v="7706"/>
    <n v="996"/>
    <n v="11.44"/>
    <n v="2.1075614800000002"/>
    <n v="14.801287411451019"/>
    <m/>
    <m/>
    <m/>
    <m/>
    <m/>
    <m/>
    <x v="0"/>
    <m/>
    <m/>
    <m/>
    <x v="0"/>
    <x v="0"/>
    <m/>
  </r>
  <r>
    <n v="89"/>
    <x v="3"/>
    <x v="46"/>
    <x v="8"/>
    <n v="18756"/>
    <n v="18335"/>
    <n v="421"/>
    <n v="2.38"/>
    <n v="8703"/>
    <n v="7704"/>
    <n v="999"/>
    <n v="11.47"/>
    <n v="2.1067448010000001"/>
    <n v="14.795765426060616"/>
    <m/>
    <m/>
    <m/>
    <m/>
    <m/>
    <m/>
    <x v="0"/>
    <m/>
    <m/>
    <m/>
    <x v="0"/>
    <x v="0"/>
    <m/>
  </r>
  <r>
    <n v="89"/>
    <x v="3"/>
    <x v="46"/>
    <x v="9"/>
    <n v="18736"/>
    <n v="18316"/>
    <n v="420"/>
    <n v="2.38"/>
    <n v="8707"/>
    <n v="7697"/>
    <n v="1010"/>
    <n v="11.6"/>
    <n v="2.1035948090000001"/>
    <n v="14.779988324945174"/>
    <m/>
    <m/>
    <m/>
    <m/>
    <m/>
    <m/>
    <x v="0"/>
    <m/>
    <m/>
    <m/>
    <x v="0"/>
    <x v="0"/>
    <m/>
  </r>
  <r>
    <n v="89"/>
    <x v="3"/>
    <x v="46"/>
    <x v="10"/>
    <n v="18668"/>
    <n v="18262"/>
    <n v="406"/>
    <m/>
    <n v="8720"/>
    <m/>
    <m/>
    <m/>
    <n v="2.0942660549999998"/>
    <n v="14.726346181152675"/>
    <n v="18668"/>
    <n v="208"/>
    <n v="-40"/>
    <n v="-28"/>
    <n v="248"/>
    <n v="8720"/>
    <x v="0"/>
    <m/>
    <n v="18262"/>
    <n v="6"/>
    <x v="0"/>
    <x v="0"/>
    <n v="2.0942660549999998"/>
  </r>
  <r>
    <n v="89"/>
    <x v="3"/>
    <x v="46"/>
    <x v="11"/>
    <n v="18523"/>
    <n v="18180"/>
    <n v="343"/>
    <m/>
    <n v="8723"/>
    <m/>
    <m/>
    <m/>
    <n v="2.0841453630000002"/>
    <n v="14.611962198065726"/>
    <n v="18523"/>
    <n v="202"/>
    <n v="-124"/>
    <n v="-21"/>
    <n v="326"/>
    <n v="8723"/>
    <x v="0"/>
    <m/>
    <n v="18180"/>
    <n v="16"/>
    <x v="0"/>
    <x v="0"/>
    <n v="2.0841453630000002"/>
  </r>
  <r>
    <n v="89"/>
    <x v="3"/>
    <x v="46"/>
    <x v="12"/>
    <n v="18294"/>
    <n v="17975"/>
    <n v="319"/>
    <m/>
    <n v="8738"/>
    <m/>
    <m/>
    <m/>
    <n v="2.0571068889999999"/>
    <n v="14.431314390293926"/>
    <n v="18294"/>
    <n v="188"/>
    <n v="-119"/>
    <n v="-110"/>
    <n v="307"/>
    <n v="8738"/>
    <x v="0"/>
    <m/>
    <n v="17975"/>
    <n v="33"/>
    <x v="0"/>
    <x v="0"/>
    <n v="2.0571068889999999"/>
  </r>
  <r>
    <n v="91"/>
    <x v="7"/>
    <x v="47"/>
    <x v="0"/>
    <n v="4446"/>
    <n v="4446"/>
    <n v="0"/>
    <n v="2.19"/>
    <n v="3088"/>
    <n v="2026"/>
    <n v="1062"/>
    <n v="34.39"/>
    <n v="1.439766839"/>
    <n v="8.1984141619030062"/>
    <m/>
    <m/>
    <m/>
    <m/>
    <m/>
    <m/>
    <x v="0"/>
    <m/>
    <m/>
    <m/>
    <x v="0"/>
    <x v="0"/>
    <m/>
  </r>
  <r>
    <n v="91"/>
    <x v="7"/>
    <x v="47"/>
    <x v="1"/>
    <n v="4404"/>
    <n v="4404"/>
    <n v="0"/>
    <n v="2.19"/>
    <n v="3097"/>
    <n v="2013"/>
    <n v="1084"/>
    <n v="35"/>
    <n v="1.422021311"/>
    <n v="8.1209662548404946"/>
    <m/>
    <m/>
    <m/>
    <m/>
    <m/>
    <m/>
    <x v="0"/>
    <m/>
    <m/>
    <m/>
    <x v="0"/>
    <x v="0"/>
    <m/>
  </r>
  <r>
    <n v="91"/>
    <x v="7"/>
    <x v="47"/>
    <x v="2"/>
    <n v="4478"/>
    <n v="4478"/>
    <n v="0"/>
    <n v="2.1800000000000002"/>
    <n v="3104"/>
    <n v="2054"/>
    <n v="1050"/>
    <n v="33.83"/>
    <n v="1.4426546389999999"/>
    <n v="8.2574220910934919"/>
    <m/>
    <m/>
    <m/>
    <m/>
    <m/>
    <m/>
    <x v="0"/>
    <m/>
    <m/>
    <m/>
    <x v="0"/>
    <x v="0"/>
    <m/>
  </r>
  <r>
    <n v="91"/>
    <x v="7"/>
    <x v="47"/>
    <x v="3"/>
    <n v="4515"/>
    <n v="4515"/>
    <n v="0"/>
    <n v="2.17"/>
    <n v="3112"/>
    <n v="2078"/>
    <n v="1034"/>
    <n v="33.229999999999997"/>
    <n v="1.450835476"/>
    <n v="8.3256500092199897"/>
    <m/>
    <m/>
    <m/>
    <m/>
    <m/>
    <m/>
    <x v="0"/>
    <m/>
    <m/>
    <m/>
    <x v="0"/>
    <x v="0"/>
    <m/>
  </r>
  <r>
    <n v="91"/>
    <x v="7"/>
    <x v="47"/>
    <x v="4"/>
    <n v="4528"/>
    <n v="4528"/>
    <n v="0"/>
    <n v="2.17"/>
    <n v="3126"/>
    <n v="2091"/>
    <n v="1035"/>
    <n v="33.11"/>
    <n v="1.4484964810000001"/>
    <n v="8.3496219804536249"/>
    <m/>
    <m/>
    <m/>
    <m/>
    <m/>
    <m/>
    <x v="0"/>
    <m/>
    <m/>
    <m/>
    <x v="0"/>
    <x v="0"/>
    <m/>
  </r>
  <r>
    <n v="91"/>
    <x v="7"/>
    <x v="47"/>
    <x v="5"/>
    <n v="4550"/>
    <n v="4550"/>
    <n v="0"/>
    <n v="2.16"/>
    <n v="3144"/>
    <n v="2108"/>
    <n v="1036"/>
    <n v="32.950000000000003"/>
    <n v="1.4472010179999999"/>
    <n v="8.3901899317720829"/>
    <m/>
    <m/>
    <m/>
    <m/>
    <m/>
    <m/>
    <x v="0"/>
    <m/>
    <m/>
    <m/>
    <x v="0"/>
    <x v="0"/>
    <m/>
  </r>
  <r>
    <n v="91"/>
    <x v="7"/>
    <x v="47"/>
    <x v="6"/>
    <n v="4721"/>
    <n v="4721"/>
    <n v="0"/>
    <n v="2.15"/>
    <n v="3164"/>
    <n v="2194"/>
    <n v="970"/>
    <n v="30.66"/>
    <n v="1.4920986089999999"/>
    <n v="8.7055135533837369"/>
    <m/>
    <m/>
    <m/>
    <m/>
    <m/>
    <m/>
    <x v="0"/>
    <m/>
    <m/>
    <m/>
    <x v="0"/>
    <x v="0"/>
    <m/>
  </r>
  <r>
    <n v="91"/>
    <x v="7"/>
    <x v="47"/>
    <x v="7"/>
    <n v="4730"/>
    <n v="4730"/>
    <n v="0"/>
    <n v="2.14"/>
    <n v="3200"/>
    <n v="2206"/>
    <n v="994"/>
    <n v="31.06"/>
    <n v="1.4781249999999999"/>
    <n v="8.7221095334685614"/>
    <m/>
    <m/>
    <m/>
    <m/>
    <m/>
    <m/>
    <x v="0"/>
    <m/>
    <m/>
    <m/>
    <x v="0"/>
    <x v="0"/>
    <m/>
  </r>
  <r>
    <n v="91"/>
    <x v="7"/>
    <x v="47"/>
    <x v="8"/>
    <n v="4736"/>
    <n v="4736"/>
    <n v="0"/>
    <n v="2.14"/>
    <n v="3242"/>
    <n v="2216"/>
    <n v="1026"/>
    <n v="31.65"/>
    <n v="1.46082665"/>
    <n v="8.7331735201917766"/>
    <m/>
    <m/>
    <m/>
    <m/>
    <m/>
    <m/>
    <x v="0"/>
    <m/>
    <m/>
    <m/>
    <x v="0"/>
    <x v="0"/>
    <m/>
  </r>
  <r>
    <n v="91"/>
    <x v="7"/>
    <x v="47"/>
    <x v="9"/>
    <n v="4887"/>
    <n v="4887"/>
    <n v="0"/>
    <n v="2.13"/>
    <n v="3289"/>
    <n v="2295"/>
    <n v="994"/>
    <n v="30.22"/>
    <n v="1.4858619639999999"/>
    <n v="9.011617186059377"/>
    <m/>
    <m/>
    <m/>
    <m/>
    <m/>
    <m/>
    <x v="0"/>
    <m/>
    <m/>
    <m/>
    <x v="0"/>
    <x v="0"/>
    <m/>
  </r>
  <r>
    <n v="91"/>
    <x v="7"/>
    <x v="47"/>
    <x v="10"/>
    <n v="4876"/>
    <n v="4876"/>
    <n v="0"/>
    <m/>
    <n v="3326"/>
    <m/>
    <m/>
    <m/>
    <n v="1.466025256"/>
    <n v="8.991333210400148"/>
    <n v="4876"/>
    <n v="25"/>
    <n v="6"/>
    <n v="-17"/>
    <n v="19"/>
    <n v="3326"/>
    <x v="0"/>
    <m/>
    <n v="4876"/>
    <n v="71"/>
    <x v="0"/>
    <x v="0"/>
    <n v="1.466025256"/>
  </r>
  <r>
    <n v="91"/>
    <x v="7"/>
    <x v="47"/>
    <x v="11"/>
    <n v="5051"/>
    <n v="5051"/>
    <n v="0"/>
    <m/>
    <n v="3391"/>
    <m/>
    <m/>
    <m/>
    <n v="1.4895311120000001"/>
    <n v="9.3140328231606127"/>
    <n v="5051"/>
    <n v="38"/>
    <n v="1"/>
    <n v="174"/>
    <n v="37"/>
    <n v="3391"/>
    <x v="0"/>
    <m/>
    <n v="5051"/>
    <n v="146"/>
    <x v="0"/>
    <x v="0"/>
    <n v="1.4895311120000001"/>
  </r>
  <r>
    <n v="91"/>
    <x v="7"/>
    <x v="47"/>
    <x v="12"/>
    <n v="5088"/>
    <n v="5088"/>
    <n v="0"/>
    <m/>
    <n v="3511"/>
    <m/>
    <m/>
    <m/>
    <n v="1.4491597839999999"/>
    <n v="9.3822607412871104"/>
    <n v="5088"/>
    <n v="30"/>
    <n v="-7"/>
    <n v="44"/>
    <n v="37"/>
    <n v="3511"/>
    <x v="0"/>
    <m/>
    <n v="5088"/>
    <n v="74"/>
    <x v="0"/>
    <x v="0"/>
    <n v="1.4491597839999999"/>
  </r>
  <r>
    <n v="93"/>
    <x v="9"/>
    <x v="48"/>
    <x v="0"/>
    <n v="16262"/>
    <n v="16170"/>
    <n v="92"/>
    <n v="2.27"/>
    <n v="13798"/>
    <n v="7120"/>
    <n v="6678"/>
    <n v="48.4"/>
    <n v="1.171908972"/>
    <n v="7.3605025889850451"/>
    <m/>
    <m/>
    <m/>
    <m/>
    <m/>
    <m/>
    <x v="0"/>
    <m/>
    <m/>
    <m/>
    <x v="0"/>
    <x v="0"/>
    <m/>
  </r>
  <r>
    <n v="93"/>
    <x v="9"/>
    <x v="48"/>
    <x v="1"/>
    <n v="15896"/>
    <n v="15811"/>
    <n v="85"/>
    <n v="2.2400000000000002"/>
    <n v="13803"/>
    <n v="7047"/>
    <n v="6756"/>
    <n v="48.95"/>
    <n v="1.1454756210000001"/>
    <n v="7.1948437556577467"/>
    <m/>
    <m/>
    <m/>
    <m/>
    <m/>
    <m/>
    <x v="0"/>
    <m/>
    <m/>
    <m/>
    <x v="0"/>
    <x v="0"/>
    <m/>
  </r>
  <r>
    <n v="93"/>
    <x v="9"/>
    <x v="48"/>
    <x v="2"/>
    <n v="15739"/>
    <n v="15660"/>
    <n v="79"/>
    <n v="2.2400000000000002"/>
    <n v="13806"/>
    <n v="6987"/>
    <n v="6819"/>
    <n v="49.39"/>
    <n v="1.134289439"/>
    <n v="7.1237824528370206"/>
    <m/>
    <m/>
    <m/>
    <m/>
    <m/>
    <m/>
    <x v="0"/>
    <m/>
    <m/>
    <m/>
    <x v="0"/>
    <x v="0"/>
    <m/>
  </r>
  <r>
    <n v="93"/>
    <x v="9"/>
    <x v="48"/>
    <x v="3"/>
    <n v="15730"/>
    <n v="15657"/>
    <n v="73"/>
    <n v="2.2400000000000002"/>
    <n v="13809"/>
    <n v="6993"/>
    <n v="6816"/>
    <n v="49.36"/>
    <n v="1.133825766"/>
    <n v="7.1197088749683166"/>
    <m/>
    <m/>
    <m/>
    <m/>
    <m/>
    <m/>
    <x v="0"/>
    <m/>
    <m/>
    <m/>
    <x v="0"/>
    <x v="0"/>
    <m/>
  </r>
  <r>
    <n v="93"/>
    <x v="9"/>
    <x v="48"/>
    <x v="4"/>
    <n v="15778"/>
    <n v="15711"/>
    <n v="67"/>
    <n v="2.2400000000000002"/>
    <n v="13811"/>
    <n v="7024"/>
    <n v="6787"/>
    <n v="49.14"/>
    <n v="1.137571501"/>
    <n v="7.1414346236014046"/>
    <m/>
    <m/>
    <m/>
    <m/>
    <m/>
    <m/>
    <x v="0"/>
    <m/>
    <m/>
    <m/>
    <x v="0"/>
    <x v="0"/>
    <m/>
  </r>
  <r>
    <n v="93"/>
    <x v="9"/>
    <x v="48"/>
    <x v="5"/>
    <n v="15975"/>
    <n v="15915"/>
    <n v="60"/>
    <n v="2.23"/>
    <n v="13812"/>
    <n v="7123"/>
    <n v="6689"/>
    <n v="48.43"/>
    <n v="1.1522589050000001"/>
    <n v="7.2306007169497049"/>
    <m/>
    <m/>
    <m/>
    <m/>
    <m/>
    <m/>
    <x v="0"/>
    <m/>
    <m/>
    <m/>
    <x v="0"/>
    <x v="0"/>
    <m/>
  </r>
  <r>
    <n v="93"/>
    <x v="9"/>
    <x v="48"/>
    <x v="6"/>
    <n v="16461"/>
    <n v="16408"/>
    <n v="53"/>
    <n v="2.23"/>
    <n v="13813"/>
    <n v="7351"/>
    <n v="6462"/>
    <n v="46.78"/>
    <n v="1.187866503"/>
    <n v="7.450573921859724"/>
    <m/>
    <m/>
    <m/>
    <m/>
    <m/>
    <m/>
    <x v="0"/>
    <m/>
    <m/>
    <m/>
    <x v="0"/>
    <x v="0"/>
    <m/>
  </r>
  <r>
    <n v="93"/>
    <x v="9"/>
    <x v="48"/>
    <x v="7"/>
    <n v="16866"/>
    <n v="16819"/>
    <n v="47"/>
    <n v="2.23"/>
    <n v="13814"/>
    <n v="7543"/>
    <n v="6271"/>
    <n v="45.4"/>
    <n v="1.217532938"/>
    <n v="7.6338849259514063"/>
    <m/>
    <m/>
    <m/>
    <m/>
    <m/>
    <m/>
    <x v="0"/>
    <m/>
    <m/>
    <m/>
    <x v="0"/>
    <x v="0"/>
    <m/>
  </r>
  <r>
    <n v="93"/>
    <x v="9"/>
    <x v="48"/>
    <x v="8"/>
    <n v="17366"/>
    <n v="17325"/>
    <n v="41"/>
    <n v="2.23"/>
    <n v="13820"/>
    <n v="7777"/>
    <n v="6043"/>
    <n v="43.73"/>
    <n v="1.253617945"/>
    <n v="7.8601948075460761"/>
    <m/>
    <m/>
    <m/>
    <m/>
    <m/>
    <m/>
    <x v="0"/>
    <m/>
    <m/>
    <m/>
    <x v="0"/>
    <x v="0"/>
    <m/>
  </r>
  <r>
    <n v="93"/>
    <x v="9"/>
    <x v="48"/>
    <x v="9"/>
    <n v="17511"/>
    <n v="17476"/>
    <n v="35"/>
    <n v="2.23"/>
    <n v="13992"/>
    <n v="7853"/>
    <n v="6139"/>
    <n v="43.88"/>
    <n v="1.2489994280000001"/>
    <n v="7.9258246732085302"/>
    <m/>
    <m/>
    <m/>
    <m/>
    <m/>
    <m/>
    <x v="0"/>
    <m/>
    <m/>
    <m/>
    <x v="0"/>
    <x v="0"/>
    <m/>
  </r>
  <r>
    <n v="93"/>
    <x v="9"/>
    <x v="48"/>
    <x v="10"/>
    <n v="17416"/>
    <n v="17390"/>
    <n v="26"/>
    <m/>
    <n v="14154"/>
    <m/>
    <m/>
    <m/>
    <n v="1.2286279499999999"/>
    <n v="7.8828257957055436"/>
    <n v="17416"/>
    <n v="140"/>
    <n v="29"/>
    <n v="-124"/>
    <n v="111"/>
    <n v="14154"/>
    <x v="0"/>
    <m/>
    <n v="17390"/>
    <n v="162"/>
    <x v="0"/>
    <x v="0"/>
    <n v="1.2286279499999999"/>
  </r>
  <r>
    <n v="93"/>
    <x v="9"/>
    <x v="48"/>
    <x v="11"/>
    <n v="17735"/>
    <n v="17709"/>
    <n v="26"/>
    <m/>
    <n v="14327"/>
    <m/>
    <m/>
    <m/>
    <n v="1.2360577930000001"/>
    <n v="8.0272115001629434"/>
    <n v="17735"/>
    <n v="125"/>
    <n v="-7"/>
    <n v="326"/>
    <n v="132"/>
    <n v="14327"/>
    <x v="0"/>
    <m/>
    <n v="17709"/>
    <n v="193"/>
    <x v="0"/>
    <x v="0"/>
    <n v="1.2360577930000001"/>
  </r>
  <r>
    <n v="93"/>
    <x v="9"/>
    <x v="48"/>
    <x v="12"/>
    <n v="17900"/>
    <n v="17874"/>
    <n v="26"/>
    <m/>
    <n v="14518"/>
    <m/>
    <m/>
    <m/>
    <n v="1.231161317"/>
    <n v="8.1018937610891832"/>
    <n v="17900"/>
    <n v="137"/>
    <n v="-5"/>
    <n v="170"/>
    <n v="142"/>
    <n v="14518"/>
    <x v="0"/>
    <m/>
    <n v="17874"/>
    <n v="193"/>
    <x v="0"/>
    <x v="0"/>
    <n v="1.231161317"/>
  </r>
  <r>
    <n v="95"/>
    <x v="13"/>
    <x v="49"/>
    <x v="0"/>
    <n v="4465"/>
    <n v="4405"/>
    <n v="60"/>
    <n v="2.59"/>
    <n v="1945"/>
    <n v="1704"/>
    <n v="241"/>
    <n v="12.39"/>
    <n v="2.2647814909999999"/>
    <n v="6.4869969490047952"/>
    <m/>
    <m/>
    <m/>
    <m/>
    <m/>
    <m/>
    <x v="0"/>
    <m/>
    <m/>
    <m/>
    <x v="0"/>
    <x v="0"/>
    <m/>
  </r>
  <r>
    <n v="95"/>
    <x v="13"/>
    <x v="49"/>
    <x v="1"/>
    <n v="4473"/>
    <n v="4412"/>
    <n v="61"/>
    <n v="2.41"/>
    <n v="1948"/>
    <n v="1829"/>
    <n v="119"/>
    <n v="6.13"/>
    <n v="2.2648870639999998"/>
    <n v="6.4986197878831913"/>
    <m/>
    <m/>
    <m/>
    <m/>
    <m/>
    <m/>
    <x v="0"/>
    <m/>
    <m/>
    <m/>
    <x v="0"/>
    <x v="0"/>
    <m/>
  </r>
  <r>
    <n v="95"/>
    <x v="13"/>
    <x v="49"/>
    <x v="2"/>
    <n v="4482"/>
    <n v="4419"/>
    <n v="62"/>
    <n v="2.42"/>
    <n v="1950"/>
    <n v="1828"/>
    <n v="122"/>
    <n v="6.24"/>
    <n v="2.2661538459999999"/>
    <n v="6.5116954816213868"/>
    <m/>
    <m/>
    <m/>
    <m/>
    <m/>
    <m/>
    <x v="0"/>
    <m/>
    <m/>
    <m/>
    <x v="0"/>
    <x v="0"/>
    <m/>
  </r>
  <r>
    <n v="95"/>
    <x v="13"/>
    <x v="49"/>
    <x v="3"/>
    <n v="4486"/>
    <n v="4423"/>
    <n v="63"/>
    <n v="2.42"/>
    <n v="1964"/>
    <n v="1826"/>
    <n v="138"/>
    <n v="7.02"/>
    <n v="2.2520366599999999"/>
    <n v="6.5175069010605844"/>
    <m/>
    <m/>
    <m/>
    <m/>
    <m/>
    <m/>
    <x v="0"/>
    <m/>
    <m/>
    <m/>
    <x v="0"/>
    <x v="0"/>
    <m/>
  </r>
  <r>
    <n v="95"/>
    <x v="13"/>
    <x v="49"/>
    <x v="4"/>
    <n v="4494"/>
    <n v="4430"/>
    <n v="64"/>
    <n v="2.4300000000000002"/>
    <n v="1967"/>
    <n v="1826"/>
    <n v="141"/>
    <n v="7.18"/>
    <n v="2.2521606510000001"/>
    <n v="6.5291297399389805"/>
    <m/>
    <m/>
    <m/>
    <m/>
    <m/>
    <m/>
    <x v="0"/>
    <m/>
    <m/>
    <m/>
    <x v="0"/>
    <x v="0"/>
    <m/>
  </r>
  <r>
    <n v="95"/>
    <x v="13"/>
    <x v="49"/>
    <x v="5"/>
    <n v="4499"/>
    <n v="4433"/>
    <n v="66"/>
    <n v="2.4300000000000002"/>
    <n v="1979"/>
    <n v="1824"/>
    <n v="155"/>
    <n v="7.83"/>
    <n v="2.2400202120000001"/>
    <n v="6.5363940142379784"/>
    <m/>
    <m/>
    <m/>
    <m/>
    <m/>
    <m/>
    <x v="0"/>
    <m/>
    <m/>
    <m/>
    <x v="0"/>
    <x v="0"/>
    <m/>
  </r>
  <r>
    <n v="95"/>
    <x v="13"/>
    <x v="49"/>
    <x v="6"/>
    <n v="4505"/>
    <n v="4438"/>
    <n v="67"/>
    <n v="2.4300000000000002"/>
    <n v="1988"/>
    <n v="1823"/>
    <n v="165"/>
    <n v="8.32"/>
    <n v="2.2323943659999999"/>
    <n v="6.5451111433967748"/>
    <m/>
    <m/>
    <m/>
    <m/>
    <m/>
    <m/>
    <x v="0"/>
    <m/>
    <m/>
    <m/>
    <x v="0"/>
    <x v="0"/>
    <m/>
  </r>
  <r>
    <n v="95"/>
    <x v="13"/>
    <x v="49"/>
    <x v="7"/>
    <n v="4514"/>
    <n v="4446"/>
    <n v="68"/>
    <n v="2.44"/>
    <n v="1989"/>
    <n v="1822"/>
    <n v="167"/>
    <n v="8.3699999999999992"/>
    <n v="2.2352941180000001"/>
    <n v="6.5581868371349703"/>
    <m/>
    <m/>
    <m/>
    <m/>
    <m/>
    <m/>
    <x v="0"/>
    <m/>
    <m/>
    <m/>
    <x v="0"/>
    <x v="0"/>
    <m/>
  </r>
  <r>
    <n v="95"/>
    <x v="13"/>
    <x v="49"/>
    <x v="8"/>
    <n v="4515"/>
    <n v="4447"/>
    <n v="69"/>
    <n v="2.44"/>
    <n v="2010"/>
    <n v="1819"/>
    <n v="191"/>
    <n v="9.48"/>
    <n v="2.212437811"/>
    <n v="6.5596396919947706"/>
    <m/>
    <m/>
    <m/>
    <m/>
    <m/>
    <m/>
    <x v="0"/>
    <m/>
    <m/>
    <m/>
    <x v="0"/>
    <x v="0"/>
    <m/>
  </r>
  <r>
    <n v="95"/>
    <x v="13"/>
    <x v="49"/>
    <x v="9"/>
    <n v="4521"/>
    <n v="4451"/>
    <n v="70"/>
    <n v="2.4500000000000002"/>
    <n v="2021"/>
    <n v="1818"/>
    <n v="203"/>
    <n v="10.06"/>
    <n v="2.2023750620000002"/>
    <n v="6.568356821153567"/>
    <m/>
    <m/>
    <m/>
    <m/>
    <m/>
    <m/>
    <x v="0"/>
    <m/>
    <m/>
    <m/>
    <x v="0"/>
    <x v="0"/>
    <m/>
  </r>
  <r>
    <n v="95"/>
    <x v="13"/>
    <x v="49"/>
    <x v="10"/>
    <n v="4523"/>
    <n v="4453"/>
    <n v="70"/>
    <m/>
    <n v="2026"/>
    <m/>
    <m/>
    <m/>
    <n v="2.1979269499999998"/>
    <n v="6.5712625308731658"/>
    <n v="4523"/>
    <n v="48"/>
    <n v="-9"/>
    <n v="11"/>
    <n v="57"/>
    <n v="2026"/>
    <x v="0"/>
    <m/>
    <n v="4453"/>
    <n v="3"/>
    <x v="0"/>
    <x v="0"/>
    <n v="2.1979269499999998"/>
  </r>
  <r>
    <n v="95"/>
    <x v="13"/>
    <x v="49"/>
    <x v="11"/>
    <n v="4498"/>
    <n v="4439"/>
    <n v="59"/>
    <m/>
    <n v="2029"/>
    <m/>
    <m/>
    <m/>
    <n v="2.18777723"/>
    <n v="6.534941159378179"/>
    <n v="4498"/>
    <n v="57"/>
    <n v="-22"/>
    <n v="-3"/>
    <n v="79"/>
    <n v="2029"/>
    <x v="0"/>
    <m/>
    <n v="4439"/>
    <n v="8"/>
    <x v="0"/>
    <x v="0"/>
    <n v="2.18777723"/>
  </r>
  <r>
    <n v="95"/>
    <x v="13"/>
    <x v="49"/>
    <x v="12"/>
    <n v="4435"/>
    <n v="4377"/>
    <n v="58"/>
    <m/>
    <n v="2037"/>
    <m/>
    <m/>
    <m/>
    <n v="2.1487481590000002"/>
    <n v="6.4434113032108096"/>
    <n v="4435"/>
    <n v="45"/>
    <n v="-32"/>
    <n v="-31"/>
    <n v="77"/>
    <n v="2037"/>
    <x v="0"/>
    <m/>
    <n v="4377"/>
    <n v="10"/>
    <x v="0"/>
    <x v="0"/>
    <n v="2.1487481590000002"/>
  </r>
  <r>
    <n v="97"/>
    <x v="8"/>
    <x v="50"/>
    <x v="0"/>
    <n v="17156"/>
    <n v="17084"/>
    <n v="72"/>
    <n v="2.1800000000000002"/>
    <n v="12488"/>
    <n v="7825"/>
    <n v="4663"/>
    <n v="37.340000000000003"/>
    <n v="1.3680333119999999"/>
    <n v="17.679854076280183"/>
    <m/>
    <m/>
    <m/>
    <m/>
    <m/>
    <m/>
    <x v="0"/>
    <m/>
    <m/>
    <m/>
    <x v="0"/>
    <x v="0"/>
    <m/>
  </r>
  <r>
    <n v="97"/>
    <x v="8"/>
    <x v="50"/>
    <x v="1"/>
    <n v="17128"/>
    <n v="17056"/>
    <n v="72"/>
    <n v="2.1"/>
    <n v="12567"/>
    <n v="8120"/>
    <n v="4447"/>
    <n v="35.39"/>
    <n v="1.357205379"/>
    <n v="17.650999103434771"/>
    <m/>
    <m/>
    <m/>
    <m/>
    <m/>
    <m/>
    <x v="0"/>
    <m/>
    <m/>
    <m/>
    <x v="0"/>
    <x v="0"/>
    <m/>
  </r>
  <r>
    <n v="97"/>
    <x v="8"/>
    <x v="50"/>
    <x v="2"/>
    <n v="17201"/>
    <n v="17129"/>
    <n v="72"/>
    <n v="2.11"/>
    <n v="12636"/>
    <n v="8132"/>
    <n v="4504"/>
    <n v="35.64"/>
    <n v="1.355571383"/>
    <n v="17.726228139781732"/>
    <m/>
    <m/>
    <m/>
    <m/>
    <m/>
    <m/>
    <x v="0"/>
    <m/>
    <m/>
    <m/>
    <x v="0"/>
    <x v="0"/>
    <m/>
  </r>
  <r>
    <n v="97"/>
    <x v="8"/>
    <x v="50"/>
    <x v="3"/>
    <n v="17321"/>
    <n v="17249"/>
    <n v="72"/>
    <n v="2.11"/>
    <n v="12699"/>
    <n v="8166"/>
    <n v="4533"/>
    <n v="35.700000000000003"/>
    <n v="1.3582959290000001"/>
    <n v="17.849892309119202"/>
    <m/>
    <m/>
    <m/>
    <m/>
    <m/>
    <m/>
    <x v="0"/>
    <m/>
    <m/>
    <m/>
    <x v="0"/>
    <x v="0"/>
    <m/>
  </r>
  <r>
    <n v="97"/>
    <x v="8"/>
    <x v="50"/>
    <x v="4"/>
    <n v="17521"/>
    <n v="17449"/>
    <n v="72"/>
    <n v="2.12"/>
    <n v="12780"/>
    <n v="8237"/>
    <n v="4543"/>
    <n v="35.549999999999997"/>
    <n v="1.365336463"/>
    <n v="18.055999258014985"/>
    <m/>
    <m/>
    <m/>
    <m/>
    <m/>
    <m/>
    <x v="0"/>
    <m/>
    <m/>
    <m/>
    <x v="0"/>
    <x v="0"/>
    <m/>
  </r>
  <r>
    <n v="97"/>
    <x v="8"/>
    <x v="50"/>
    <x v="5"/>
    <n v="17701"/>
    <n v="17629"/>
    <n v="72"/>
    <n v="2.12"/>
    <n v="12853"/>
    <n v="8299"/>
    <n v="4554"/>
    <n v="35.43"/>
    <n v="1.3715864"/>
    <n v="18.241495512021189"/>
    <m/>
    <m/>
    <m/>
    <m/>
    <m/>
    <m/>
    <x v="0"/>
    <m/>
    <m/>
    <m/>
    <x v="0"/>
    <x v="0"/>
    <m/>
  </r>
  <r>
    <n v="97"/>
    <x v="8"/>
    <x v="50"/>
    <x v="6"/>
    <n v="17691"/>
    <n v="17619"/>
    <n v="72"/>
    <n v="2.13"/>
    <n v="12940"/>
    <n v="8271"/>
    <n v="4669"/>
    <n v="36.08"/>
    <n v="1.361591963"/>
    <n v="18.2311901645764"/>
    <m/>
    <m/>
    <m/>
    <m/>
    <m/>
    <m/>
    <x v="0"/>
    <m/>
    <m/>
    <m/>
    <x v="0"/>
    <x v="0"/>
    <m/>
  </r>
  <r>
    <n v="97"/>
    <x v="8"/>
    <x v="50"/>
    <x v="7"/>
    <n v="17658"/>
    <n v="17586"/>
    <n v="72"/>
    <n v="2.14"/>
    <n v="13040"/>
    <n v="8233"/>
    <n v="4807"/>
    <n v="36.86"/>
    <n v="1.3486196319999999"/>
    <n v="18.197182518008596"/>
    <m/>
    <m/>
    <m/>
    <m/>
    <m/>
    <m/>
    <x v="0"/>
    <m/>
    <m/>
    <m/>
    <x v="0"/>
    <x v="0"/>
    <m/>
  </r>
  <r>
    <n v="97"/>
    <x v="8"/>
    <x v="50"/>
    <x v="8"/>
    <n v="17643"/>
    <n v="17571"/>
    <n v="72"/>
    <n v="2.14"/>
    <n v="13107"/>
    <n v="8203"/>
    <n v="4904"/>
    <n v="37.42"/>
    <n v="1.3405813689999999"/>
    <n v="18.181724496841412"/>
    <m/>
    <m/>
    <m/>
    <m/>
    <m/>
    <m/>
    <x v="0"/>
    <m/>
    <m/>
    <m/>
    <x v="0"/>
    <x v="0"/>
    <m/>
  </r>
  <r>
    <n v="97"/>
    <x v="8"/>
    <x v="50"/>
    <x v="9"/>
    <n v="17413"/>
    <n v="17341"/>
    <n v="72"/>
    <n v="2.15"/>
    <n v="13183"/>
    <n v="8073"/>
    <n v="5110"/>
    <n v="38.76"/>
    <n v="1.3154062049999999"/>
    <n v="17.944701505611263"/>
    <m/>
    <m/>
    <m/>
    <m/>
    <m/>
    <m/>
    <x v="0"/>
    <m/>
    <m/>
    <m/>
    <x v="0"/>
    <x v="0"/>
    <m/>
  </r>
  <r>
    <n v="97"/>
    <x v="8"/>
    <x v="50"/>
    <x v="10"/>
    <n v="17355"/>
    <n v="17308"/>
    <n v="47"/>
    <m/>
    <n v="13260"/>
    <m/>
    <m/>
    <m/>
    <n v="1.3052790350000001"/>
    <n v="17.884930490431486"/>
    <n v="17355"/>
    <n v="146"/>
    <n v="87"/>
    <n v="-145"/>
    <n v="59"/>
    <n v="13260"/>
    <x v="0"/>
    <m/>
    <n v="17308"/>
    <n v="72"/>
    <x v="0"/>
    <x v="0"/>
    <n v="1.3052790350000001"/>
  </r>
  <r>
    <n v="97"/>
    <x v="8"/>
    <x v="50"/>
    <x v="11"/>
    <n v="17336"/>
    <n v="17289"/>
    <n v="47"/>
    <m/>
    <n v="13315"/>
    <m/>
    <m/>
    <m/>
    <n v="1.2984603830000001"/>
    <n v="17.865350330286386"/>
    <n v="17336"/>
    <n v="128"/>
    <n v="45"/>
    <n v="-64"/>
    <n v="83"/>
    <n v="13315"/>
    <x v="0"/>
    <m/>
    <n v="17289"/>
    <n v="97"/>
    <x v="0"/>
    <x v="0"/>
    <n v="1.2984603830000001"/>
  </r>
  <r>
    <n v="97"/>
    <x v="8"/>
    <x v="50"/>
    <x v="12"/>
    <n v="16856"/>
    <n v="16809"/>
    <n v="47"/>
    <m/>
    <n v="13504"/>
    <m/>
    <m/>
    <m/>
    <n v="1.2447422990000001"/>
    <n v="17.370693652936509"/>
    <n v="16856"/>
    <n v="119"/>
    <n v="52"/>
    <n v="-532"/>
    <n v="67"/>
    <n v="13504"/>
    <x v="0"/>
    <m/>
    <n v="16809"/>
    <n v="99"/>
    <x v="0"/>
    <x v="0"/>
    <n v="1.2447422990000001"/>
  </r>
  <r>
    <n v="99"/>
    <x v="3"/>
    <x v="51"/>
    <x v="0"/>
    <n v="12531"/>
    <n v="12216"/>
    <n v="315"/>
    <n v="2.72"/>
    <n v="5419"/>
    <n v="4499"/>
    <n v="920"/>
    <n v="16.98"/>
    <n v="2.2542904589999999"/>
    <n v="7.6159161769085379"/>
    <m/>
    <m/>
    <m/>
    <m/>
    <m/>
    <m/>
    <x v="0"/>
    <m/>
    <m/>
    <m/>
    <x v="0"/>
    <x v="0"/>
    <m/>
  </r>
  <r>
    <n v="99"/>
    <x v="3"/>
    <x v="51"/>
    <x v="1"/>
    <n v="12478"/>
    <n v="12158"/>
    <n v="320"/>
    <n v="2.48"/>
    <n v="5422"/>
    <n v="4899"/>
    <n v="523"/>
    <n v="9.64"/>
    <n v="2.2423459979999998"/>
    <n v="7.5837045770860056"/>
    <m/>
    <m/>
    <m/>
    <m/>
    <m/>
    <m/>
    <x v="0"/>
    <m/>
    <m/>
    <m/>
    <x v="0"/>
    <x v="0"/>
    <m/>
  </r>
  <r>
    <n v="99"/>
    <x v="3"/>
    <x v="51"/>
    <x v="2"/>
    <n v="12398"/>
    <n v="12072"/>
    <n v="326"/>
    <n v="2.4900000000000002"/>
    <n v="5428"/>
    <n v="4842"/>
    <n v="586"/>
    <n v="10.79"/>
    <n v="2.224023581"/>
    <n v="7.5350832943350134"/>
    <m/>
    <m/>
    <m/>
    <m/>
    <m/>
    <m/>
    <x v="0"/>
    <m/>
    <m/>
    <m/>
    <x v="0"/>
    <x v="0"/>
    <m/>
  </r>
  <r>
    <n v="99"/>
    <x v="3"/>
    <x v="51"/>
    <x v="3"/>
    <n v="12287"/>
    <n v="11956"/>
    <n v="331"/>
    <n v="2.4900000000000002"/>
    <n v="5432"/>
    <n v="4804"/>
    <n v="628"/>
    <n v="11.56"/>
    <n v="2.2010309280000002"/>
    <n v="7.4676212645180113"/>
    <m/>
    <m/>
    <m/>
    <m/>
    <m/>
    <m/>
    <x v="0"/>
    <m/>
    <m/>
    <m/>
    <x v="0"/>
    <x v="0"/>
    <m/>
  </r>
  <r>
    <n v="99"/>
    <x v="3"/>
    <x v="51"/>
    <x v="4"/>
    <n v="12023"/>
    <n v="11687"/>
    <n v="336"/>
    <n v="2.46"/>
    <n v="5437"/>
    <n v="4756"/>
    <n v="681"/>
    <n v="12.52"/>
    <n v="2.1495309909999998"/>
    <n v="7.3071710314397373"/>
    <m/>
    <m/>
    <m/>
    <m/>
    <m/>
    <m/>
    <x v="0"/>
    <m/>
    <m/>
    <m/>
    <x v="0"/>
    <x v="0"/>
    <m/>
  </r>
  <r>
    <n v="99"/>
    <x v="3"/>
    <x v="51"/>
    <x v="5"/>
    <n v="11891"/>
    <n v="11549"/>
    <n v="342"/>
    <n v="2.4500000000000002"/>
    <n v="5441"/>
    <n v="4718"/>
    <n v="723"/>
    <n v="13.29"/>
    <n v="2.12258776"/>
    <n v="7.2269459149006003"/>
    <m/>
    <m/>
    <m/>
    <m/>
    <m/>
    <m/>
    <x v="0"/>
    <m/>
    <m/>
    <m/>
    <x v="0"/>
    <x v="0"/>
    <m/>
  </r>
  <r>
    <n v="99"/>
    <x v="3"/>
    <x v="51"/>
    <x v="6"/>
    <n v="11887"/>
    <n v="11540"/>
    <n v="347"/>
    <n v="2.4700000000000002"/>
    <n v="5446"/>
    <n v="4670"/>
    <n v="776"/>
    <n v="14.25"/>
    <n v="2.1189864119999999"/>
    <n v="7.2245148507630503"/>
    <m/>
    <m/>
    <m/>
    <m/>
    <m/>
    <m/>
    <x v="0"/>
    <m/>
    <m/>
    <m/>
    <x v="0"/>
    <x v="0"/>
    <m/>
  </r>
  <r>
    <n v="99"/>
    <x v="3"/>
    <x v="51"/>
    <x v="7"/>
    <n v="11930"/>
    <n v="11578"/>
    <n v="352"/>
    <n v="2.4700000000000002"/>
    <n v="5445"/>
    <n v="4680"/>
    <n v="765"/>
    <n v="14.06"/>
    <n v="2.1263544539999999"/>
    <n v="7.2506487902417094"/>
    <m/>
    <m/>
    <m/>
    <m/>
    <m/>
    <m/>
    <x v="0"/>
    <m/>
    <m/>
    <m/>
    <x v="0"/>
    <x v="0"/>
    <m/>
  </r>
  <r>
    <n v="99"/>
    <x v="3"/>
    <x v="51"/>
    <x v="8"/>
    <n v="11971"/>
    <n v="11614"/>
    <n v="357"/>
    <n v="2.44"/>
    <n v="5436"/>
    <n v="4766"/>
    <n v="670"/>
    <n v="12.33"/>
    <n v="2.136497425"/>
    <n v="7.2755671976515925"/>
    <m/>
    <m/>
    <m/>
    <m/>
    <m/>
    <m/>
    <x v="0"/>
    <m/>
    <m/>
    <m/>
    <x v="0"/>
    <x v="0"/>
    <m/>
  </r>
  <r>
    <n v="99"/>
    <x v="3"/>
    <x v="51"/>
    <x v="9"/>
    <n v="12011"/>
    <n v="11648"/>
    <n v="363"/>
    <n v="2.4300000000000002"/>
    <n v="5433"/>
    <n v="4794"/>
    <n v="639"/>
    <n v="11.76"/>
    <n v="2.1439352110000001"/>
    <n v="7.2998778390270882"/>
    <m/>
    <m/>
    <m/>
    <m/>
    <m/>
    <m/>
    <x v="0"/>
    <m/>
    <m/>
    <m/>
    <x v="0"/>
    <x v="0"/>
    <m/>
  </r>
  <r>
    <n v="99"/>
    <x v="3"/>
    <x v="51"/>
    <x v="10"/>
    <n v="12012"/>
    <n v="11651"/>
    <n v="361"/>
    <m/>
    <n v="5438"/>
    <m/>
    <m/>
    <m/>
    <n v="2.1425156310000002"/>
    <n v="7.3004856050614757"/>
    <n v="12012"/>
    <n v="159"/>
    <n v="33"/>
    <n v="-32"/>
    <n v="126"/>
    <n v="5438"/>
    <x v="0"/>
    <m/>
    <n v="11651"/>
    <n v="15"/>
    <x v="0"/>
    <x v="0"/>
    <n v="2.1425156310000002"/>
  </r>
  <r>
    <n v="99"/>
    <x v="3"/>
    <x v="51"/>
    <x v="11"/>
    <n v="11985"/>
    <n v="11644"/>
    <n v="341"/>
    <m/>
    <n v="5466"/>
    <m/>
    <m/>
    <m/>
    <n v="2.130259788"/>
    <n v="7.2840759221330158"/>
    <n v="11985"/>
    <n v="144"/>
    <n v="-33"/>
    <n v="6"/>
    <n v="177"/>
    <n v="5466"/>
    <x v="0"/>
    <m/>
    <n v="11644"/>
    <n v="8"/>
    <x v="0"/>
    <x v="0"/>
    <n v="2.130259788"/>
  </r>
  <r>
    <n v="99"/>
    <x v="3"/>
    <x v="51"/>
    <x v="12"/>
    <n v="11850"/>
    <n v="11523"/>
    <n v="327"/>
    <m/>
    <n v="5474"/>
    <m/>
    <m/>
    <m/>
    <n v="2.1050420170000002"/>
    <n v="7.2020275074907172"/>
    <n v="11850"/>
    <n v="140"/>
    <n v="-25"/>
    <n v="-110"/>
    <n v="165"/>
    <n v="5474"/>
    <x v="0"/>
    <m/>
    <n v="11523"/>
    <n v="15"/>
    <x v="0"/>
    <x v="0"/>
    <n v="2.1050420170000002"/>
  </r>
  <r>
    <n v="101"/>
    <x v="14"/>
    <x v="52"/>
    <x v="0"/>
    <n v="159496"/>
    <n v="155175"/>
    <n v="4321"/>
    <n v="2.46"/>
    <n v="69614"/>
    <n v="63148"/>
    <n v="6466"/>
    <n v="9.2899999999999991"/>
    <n v="2.2290774839999998"/>
    <n v="66.546226796897486"/>
    <m/>
    <m/>
    <m/>
    <m/>
    <m/>
    <m/>
    <x v="0"/>
    <m/>
    <m/>
    <m/>
    <x v="0"/>
    <x v="0"/>
    <m/>
  </r>
  <r>
    <n v="101"/>
    <x v="14"/>
    <x v="52"/>
    <x v="1"/>
    <n v="159838"/>
    <n v="155934"/>
    <n v="3904"/>
    <n v="2.46"/>
    <n v="69825"/>
    <n v="63467"/>
    <n v="6358"/>
    <n v="9.11"/>
    <n v="2.2332116000000002"/>
    <n v="66.688918836600919"/>
    <m/>
    <m/>
    <m/>
    <m/>
    <m/>
    <m/>
    <x v="0"/>
    <m/>
    <m/>
    <m/>
    <x v="0"/>
    <x v="0"/>
    <m/>
  </r>
  <r>
    <n v="101"/>
    <x v="14"/>
    <x v="52"/>
    <x v="2"/>
    <n v="160327"/>
    <n v="156264"/>
    <n v="4063"/>
    <n v="2.46"/>
    <n v="69927"/>
    <n v="63612"/>
    <n v="6315"/>
    <n v="9.0299999999999994"/>
    <n v="2.234673302"/>
    <n v="66.892943419685665"/>
    <m/>
    <m/>
    <m/>
    <m/>
    <m/>
    <m/>
    <x v="0"/>
    <m/>
    <m/>
    <m/>
    <x v="0"/>
    <x v="0"/>
    <m/>
  </r>
  <r>
    <n v="101"/>
    <x v="14"/>
    <x v="52"/>
    <x v="3"/>
    <n v="160565"/>
    <n v="156556"/>
    <n v="4009"/>
    <n v="2.46"/>
    <n v="70176"/>
    <n v="63742"/>
    <n v="6434"/>
    <n v="9.17"/>
    <n v="2.2309051530000001"/>
    <n v="66.992243728017286"/>
    <m/>
    <m/>
    <m/>
    <m/>
    <m/>
    <m/>
    <x v="0"/>
    <m/>
    <m/>
    <m/>
    <x v="0"/>
    <x v="0"/>
    <m/>
  </r>
  <r>
    <n v="101"/>
    <x v="14"/>
    <x v="52"/>
    <x v="4"/>
    <n v="160867"/>
    <n v="156926"/>
    <n v="3941"/>
    <n v="2.46"/>
    <n v="70410"/>
    <n v="63902"/>
    <n v="6508"/>
    <n v="9.24"/>
    <n v="2.2287459169999999"/>
    <n v="67.11824664027003"/>
    <m/>
    <m/>
    <m/>
    <m/>
    <m/>
    <m/>
    <x v="0"/>
    <m/>
    <m/>
    <m/>
    <x v="0"/>
    <x v="0"/>
    <m/>
  </r>
  <r>
    <n v="101"/>
    <x v="14"/>
    <x v="52"/>
    <x v="5"/>
    <n v="162449"/>
    <n v="158542"/>
    <n v="3907"/>
    <n v="2.46"/>
    <n v="70455"/>
    <n v="64572"/>
    <n v="5883"/>
    <n v="8.35"/>
    <n v="2.2502590310000001"/>
    <n v="67.778301630944981"/>
    <m/>
    <m/>
    <m/>
    <m/>
    <m/>
    <m/>
    <x v="0"/>
    <m/>
    <m/>
    <m/>
    <x v="0"/>
    <x v="0"/>
    <m/>
  </r>
  <r>
    <n v="101"/>
    <x v="14"/>
    <x v="52"/>
    <x v="6"/>
    <n v="164124"/>
    <n v="160238"/>
    <n v="3886"/>
    <n v="2.4500000000000002"/>
    <n v="70696"/>
    <n v="65275"/>
    <n v="5421"/>
    <n v="7.67"/>
    <n v="2.2665780240000002"/>
    <n v="68.477158842942799"/>
    <m/>
    <m/>
    <m/>
    <m/>
    <m/>
    <m/>
    <x v="0"/>
    <m/>
    <m/>
    <m/>
    <x v="0"/>
    <x v="0"/>
    <m/>
  </r>
  <r>
    <n v="101"/>
    <x v="14"/>
    <x v="52"/>
    <x v="7"/>
    <n v="165549"/>
    <n v="161565"/>
    <n v="3984"/>
    <n v="2.4500000000000002"/>
    <n v="70831"/>
    <n v="65825"/>
    <n v="5006"/>
    <n v="7.07"/>
    <n v="2.2809927860000001"/>
    <n v="69.071709008373773"/>
    <m/>
    <m/>
    <m/>
    <m/>
    <m/>
    <m/>
    <x v="0"/>
    <m/>
    <m/>
    <m/>
    <x v="0"/>
    <x v="0"/>
    <m/>
  </r>
  <r>
    <n v="101"/>
    <x v="14"/>
    <x v="52"/>
    <x v="8"/>
    <n v="166686"/>
    <n v="162731"/>
    <n v="3955"/>
    <n v="2.4500000000000002"/>
    <n v="71066"/>
    <n v="66311"/>
    <n v="4755"/>
    <n v="6.69"/>
    <n v="2.289857316"/>
    <n v="69.546097456159742"/>
    <m/>
    <m/>
    <m/>
    <m/>
    <m/>
    <m/>
    <x v="0"/>
    <m/>
    <m/>
    <m/>
    <x v="0"/>
    <x v="0"/>
    <m/>
  </r>
  <r>
    <n v="101"/>
    <x v="14"/>
    <x v="52"/>
    <x v="9"/>
    <n v="167485"/>
    <n v="163539"/>
    <n v="3946"/>
    <n v="2.4500000000000002"/>
    <n v="71576"/>
    <n v="66652"/>
    <n v="4924"/>
    <n v="6.88"/>
    <n v="2.2848301110000002"/>
    <n v="69.879462776987367"/>
    <m/>
    <m/>
    <m/>
    <m/>
    <m/>
    <m/>
    <x v="0"/>
    <m/>
    <m/>
    <m/>
    <x v="0"/>
    <x v="0"/>
    <m/>
  </r>
  <r>
    <n v="101"/>
    <x v="14"/>
    <x v="52"/>
    <x v="10"/>
    <n v="168311"/>
    <n v="164967"/>
    <n v="3344"/>
    <m/>
    <n v="72144"/>
    <m/>
    <m/>
    <m/>
    <n v="2.2866350629999999"/>
    <n v="70.224093258844192"/>
    <n v="168311"/>
    <n v="1729"/>
    <n v="-270"/>
    <n v="1096"/>
    <n v="1999"/>
    <n v="72144"/>
    <x v="0"/>
    <m/>
    <n v="164967"/>
    <n v="579"/>
    <x v="0"/>
    <x v="0"/>
    <n v="2.2866350629999999"/>
  </r>
  <r>
    <n v="101"/>
    <x v="14"/>
    <x v="52"/>
    <x v="11"/>
    <n v="169272"/>
    <n v="166035"/>
    <n v="3237"/>
    <m/>
    <n v="73047"/>
    <m/>
    <m/>
    <m/>
    <n v="2.2729886239999999"/>
    <n v="70.625049545847119"/>
    <n v="169272"/>
    <n v="1690"/>
    <n v="-709"/>
    <n v="1670"/>
    <n v="2399"/>
    <n v="73047"/>
    <x v="0"/>
    <m/>
    <n v="166035"/>
    <n v="742"/>
    <x v="0"/>
    <x v="0"/>
    <n v="2.2729886239999999"/>
  </r>
  <r>
    <n v="101"/>
    <x v="14"/>
    <x v="52"/>
    <x v="12"/>
    <n v="169383"/>
    <n v="165925"/>
    <n v="3458"/>
    <m/>
    <n v="73971"/>
    <m/>
    <m/>
    <m/>
    <n v="2.2431087860000001"/>
    <n v="70.671361874522802"/>
    <n v="169383"/>
    <n v="1709"/>
    <n v="-896"/>
    <n v="1007"/>
    <n v="2605"/>
    <n v="73971"/>
    <x v="0"/>
    <m/>
    <n v="165925"/>
    <n v="497"/>
    <x v="0"/>
    <x v="0"/>
    <n v="2.2431087860000001"/>
  </r>
  <r>
    <n v="103"/>
    <x v="10"/>
    <x v="53"/>
    <x v="0"/>
    <n v="6617"/>
    <n v="6382"/>
    <n v="235"/>
    <n v="2.52"/>
    <n v="3172"/>
    <n v="2531"/>
    <n v="641"/>
    <n v="20.21"/>
    <n v="2.0119798229999999"/>
    <n v="2.0509943463598495"/>
    <m/>
    <m/>
    <m/>
    <m/>
    <m/>
    <m/>
    <x v="0"/>
    <m/>
    <m/>
    <m/>
    <x v="0"/>
    <x v="0"/>
    <m/>
  </r>
  <r>
    <n v="103"/>
    <x v="10"/>
    <x v="53"/>
    <x v="1"/>
    <n v="6736"/>
    <n v="6369"/>
    <n v="367"/>
    <n v="2.4300000000000002"/>
    <n v="3195"/>
    <n v="2620"/>
    <n v="575"/>
    <n v="17.98"/>
    <n v="1.99342723"/>
    <n v="2.087879389010117"/>
    <m/>
    <m/>
    <m/>
    <m/>
    <m/>
    <m/>
    <x v="0"/>
    <m/>
    <m/>
    <m/>
    <x v="0"/>
    <x v="0"/>
    <m/>
  </r>
  <r>
    <n v="103"/>
    <x v="10"/>
    <x v="53"/>
    <x v="2"/>
    <n v="6793"/>
    <n v="6359"/>
    <n v="434"/>
    <n v="2.4300000000000002"/>
    <n v="3213"/>
    <n v="2616"/>
    <n v="597"/>
    <n v="18.579999999999998"/>
    <n v="1.9791472139999999"/>
    <n v="2.105547014481254"/>
    <m/>
    <m/>
    <m/>
    <m/>
    <m/>
    <m/>
    <x v="0"/>
    <m/>
    <m/>
    <m/>
    <x v="0"/>
    <x v="0"/>
    <m/>
  </r>
  <r>
    <n v="103"/>
    <x v="10"/>
    <x v="53"/>
    <x v="3"/>
    <n v="6764"/>
    <n v="6358"/>
    <n v="406"/>
    <n v="2.4300000000000002"/>
    <n v="3214"/>
    <n v="2616"/>
    <n v="598"/>
    <n v="18.61"/>
    <n v="1.978220286"/>
    <n v="2.096558222574886"/>
    <m/>
    <m/>
    <m/>
    <m/>
    <m/>
    <m/>
    <x v="0"/>
    <m/>
    <m/>
    <m/>
    <x v="0"/>
    <x v="0"/>
    <m/>
  </r>
  <r>
    <n v="103"/>
    <x v="10"/>
    <x v="53"/>
    <x v="4"/>
    <n v="6644"/>
    <n v="6354"/>
    <n v="290"/>
    <n v="2.4300000000000002"/>
    <n v="3223"/>
    <n v="2614"/>
    <n v="609"/>
    <n v="18.91"/>
    <n v="1.9714551659999999"/>
    <n v="2.0593632215830193"/>
    <m/>
    <m/>
    <m/>
    <m/>
    <m/>
    <m/>
    <x v="0"/>
    <m/>
    <m/>
    <m/>
    <x v="0"/>
    <x v="0"/>
    <m/>
  </r>
  <r>
    <n v="103"/>
    <x v="10"/>
    <x v="53"/>
    <x v="5"/>
    <n v="6621"/>
    <n v="6352"/>
    <n v="269"/>
    <n v="2.4300000000000002"/>
    <n v="3226"/>
    <n v="2613"/>
    <n v="613"/>
    <n v="19.010000000000002"/>
    <n v="1.9690018600000001"/>
    <n v="2.0522341797262449"/>
    <m/>
    <m/>
    <m/>
    <m/>
    <m/>
    <m/>
    <x v="0"/>
    <m/>
    <m/>
    <m/>
    <x v="0"/>
    <x v="0"/>
    <m/>
  </r>
  <r>
    <n v="103"/>
    <x v="10"/>
    <x v="53"/>
    <x v="6"/>
    <n v="6616"/>
    <n v="6349"/>
    <n v="267"/>
    <n v="2.4300000000000002"/>
    <n v="3232"/>
    <n v="2611"/>
    <n v="621"/>
    <n v="19.2"/>
    <n v="1.964418317"/>
    <n v="2.0506843880182504"/>
    <m/>
    <m/>
    <m/>
    <m/>
    <m/>
    <m/>
    <x v="0"/>
    <m/>
    <m/>
    <m/>
    <x v="0"/>
    <x v="0"/>
    <m/>
  </r>
  <r>
    <n v="103"/>
    <x v="10"/>
    <x v="53"/>
    <x v="7"/>
    <n v="6568"/>
    <n v="6344"/>
    <n v="224"/>
    <n v="2.4300000000000002"/>
    <n v="3241"/>
    <n v="2609"/>
    <n v="632"/>
    <n v="19.489999999999998"/>
    <n v="1.9574205490000001"/>
    <n v="2.0358063876215038"/>
    <m/>
    <m/>
    <m/>
    <m/>
    <m/>
    <m/>
    <x v="0"/>
    <m/>
    <m/>
    <m/>
    <x v="0"/>
    <x v="0"/>
    <m/>
  </r>
  <r>
    <n v="103"/>
    <x v="10"/>
    <x v="53"/>
    <x v="8"/>
    <n v="6588"/>
    <n v="6338"/>
    <n v="250"/>
    <n v="2.4300000000000002"/>
    <n v="3252"/>
    <n v="2607"/>
    <n v="645"/>
    <n v="19.850000000000001"/>
    <n v="1.94895449"/>
    <n v="2.0420055544534814"/>
    <m/>
    <m/>
    <m/>
    <m/>
    <m/>
    <m/>
    <x v="0"/>
    <m/>
    <m/>
    <m/>
    <x v="0"/>
    <x v="0"/>
    <m/>
  </r>
  <r>
    <n v="103"/>
    <x v="10"/>
    <x v="53"/>
    <x v="9"/>
    <n v="6528"/>
    <n v="6328"/>
    <n v="200"/>
    <n v="2.4300000000000002"/>
    <n v="3269"/>
    <n v="2602"/>
    <n v="667"/>
    <n v="20.39"/>
    <n v="1.9357601710000001"/>
    <n v="2.0234080539575481"/>
    <m/>
    <m/>
    <m/>
    <m/>
    <m/>
    <m/>
    <x v="0"/>
    <m/>
    <m/>
    <m/>
    <x v="0"/>
    <x v="0"/>
    <m/>
  </r>
  <r>
    <n v="103"/>
    <x v="10"/>
    <x v="53"/>
    <x v="10"/>
    <n v="6521"/>
    <n v="6301"/>
    <n v="220"/>
    <m/>
    <n v="3279"/>
    <m/>
    <m/>
    <m/>
    <n v="1.921622446"/>
    <n v="2.0212383455663558"/>
    <n v="6521"/>
    <n v="54"/>
    <n v="8"/>
    <n v="-15"/>
    <n v="46"/>
    <n v="3279"/>
    <x v="0"/>
    <m/>
    <n v="6301"/>
    <n v="8"/>
    <x v="0"/>
    <x v="0"/>
    <n v="1.921622446"/>
  </r>
  <r>
    <n v="103"/>
    <x v="10"/>
    <x v="53"/>
    <x v="11"/>
    <n v="6443"/>
    <n v="6258"/>
    <n v="185"/>
    <m/>
    <n v="3284"/>
    <m/>
    <m/>
    <m/>
    <n v="1.905602923"/>
    <n v="1.9970615949216426"/>
    <n v="6443"/>
    <n v="57"/>
    <n v="-11"/>
    <n v="-67"/>
    <n v="68"/>
    <n v="3284"/>
    <x v="0"/>
    <m/>
    <n v="6258"/>
    <n v="12"/>
    <x v="0"/>
    <x v="0"/>
    <n v="1.905602923"/>
  </r>
  <r>
    <n v="103"/>
    <x v="10"/>
    <x v="53"/>
    <x v="12"/>
    <n v="6558"/>
    <n v="6352"/>
    <n v="206"/>
    <m/>
    <n v="3296"/>
    <m/>
    <m/>
    <m/>
    <n v="1.9271844659999999"/>
    <n v="2.0327068042055148"/>
    <n v="6558"/>
    <n v="63"/>
    <n v="-9"/>
    <n v="124"/>
    <n v="72"/>
    <n v="3296"/>
    <x v="0"/>
    <m/>
    <n v="6352"/>
    <n v="32"/>
    <x v="0"/>
    <x v="0"/>
    <n v="1.9271844659999999"/>
  </r>
  <r>
    <n v="105"/>
    <x v="1"/>
    <x v="54"/>
    <x v="0"/>
    <n v="12001"/>
    <n v="11803"/>
    <n v="198"/>
    <n v="2.6"/>
    <n v="6266"/>
    <n v="4534"/>
    <n v="1732"/>
    <n v="27.64"/>
    <n v="1.883657836"/>
    <n v="13.14313875807688"/>
    <m/>
    <m/>
    <m/>
    <m/>
    <m/>
    <m/>
    <x v="0"/>
    <m/>
    <m/>
    <m/>
    <x v="0"/>
    <x v="0"/>
    <m/>
  </r>
  <r>
    <n v="105"/>
    <x v="1"/>
    <x v="54"/>
    <x v="1"/>
    <n v="11957"/>
    <n v="11765"/>
    <n v="192"/>
    <n v="2.46"/>
    <n v="6301"/>
    <n v="4788"/>
    <n v="1513"/>
    <n v="24.02"/>
    <n v="1.8671639419999999"/>
    <n v="13.094951264921695"/>
    <m/>
    <m/>
    <m/>
    <m/>
    <m/>
    <m/>
    <x v="0"/>
    <m/>
    <m/>
    <m/>
    <x v="0"/>
    <x v="0"/>
    <m/>
  </r>
  <r>
    <n v="105"/>
    <x v="1"/>
    <x v="54"/>
    <x v="2"/>
    <n v="11912"/>
    <n v="11727"/>
    <n v="185"/>
    <n v="2.4500000000000002"/>
    <n v="6327"/>
    <n v="4788"/>
    <n v="1539"/>
    <n v="24.33"/>
    <n v="1.853485064"/>
    <n v="13.045668601467527"/>
    <m/>
    <m/>
    <m/>
    <m/>
    <m/>
    <m/>
    <x v="0"/>
    <m/>
    <m/>
    <m/>
    <x v="0"/>
    <x v="0"/>
    <m/>
  </r>
  <r>
    <n v="105"/>
    <x v="1"/>
    <x v="54"/>
    <x v="3"/>
    <n v="11868"/>
    <n v="11689"/>
    <n v="179"/>
    <n v="2.44"/>
    <n v="6365"/>
    <n v="4788"/>
    <n v="1577"/>
    <n v="24.77"/>
    <n v="1.8364493319999999"/>
    <n v="12.997481108312343"/>
    <m/>
    <m/>
    <m/>
    <m/>
    <m/>
    <m/>
    <x v="0"/>
    <m/>
    <m/>
    <m/>
    <x v="0"/>
    <x v="0"/>
    <m/>
  </r>
  <r>
    <n v="105"/>
    <x v="1"/>
    <x v="54"/>
    <x v="4"/>
    <n v="11823"/>
    <n v="11651"/>
    <n v="172"/>
    <n v="2.4300000000000002"/>
    <n v="6384"/>
    <n v="4789"/>
    <n v="1595"/>
    <n v="24.99"/>
    <n v="1.8250313279999999"/>
    <n v="12.948198444858175"/>
    <m/>
    <m/>
    <m/>
    <m/>
    <m/>
    <m/>
    <x v="0"/>
    <m/>
    <m/>
    <m/>
    <x v="0"/>
    <x v="0"/>
    <m/>
  </r>
  <r>
    <n v="105"/>
    <x v="1"/>
    <x v="54"/>
    <x v="5"/>
    <n v="11778"/>
    <n v="11612"/>
    <n v="166"/>
    <n v="2.42"/>
    <n v="6407"/>
    <n v="4789"/>
    <n v="1618"/>
    <n v="25.25"/>
    <n v="1.812392695"/>
    <n v="12.898915781404009"/>
    <m/>
    <m/>
    <m/>
    <m/>
    <m/>
    <m/>
    <x v="0"/>
    <m/>
    <m/>
    <m/>
    <x v="0"/>
    <x v="0"/>
    <m/>
  </r>
  <r>
    <n v="105"/>
    <x v="1"/>
    <x v="54"/>
    <x v="6"/>
    <n v="11734"/>
    <n v="11574"/>
    <n v="160"/>
    <n v="2.42"/>
    <n v="6431"/>
    <n v="4789"/>
    <n v="1642"/>
    <n v="25.53"/>
    <n v="1.7997201060000001"/>
    <n v="12.850728288248822"/>
    <m/>
    <m/>
    <m/>
    <m/>
    <m/>
    <m/>
    <x v="0"/>
    <m/>
    <m/>
    <m/>
    <x v="0"/>
    <x v="0"/>
    <m/>
  </r>
  <r>
    <n v="105"/>
    <x v="1"/>
    <x v="54"/>
    <x v="7"/>
    <n v="11688"/>
    <n v="11535"/>
    <n v="153"/>
    <n v="2.41"/>
    <n v="6440"/>
    <n v="4790"/>
    <n v="1650"/>
    <n v="25.63"/>
    <n v="1.791149068"/>
    <n v="12.800350454495673"/>
    <m/>
    <m/>
    <m/>
    <m/>
    <m/>
    <m/>
    <x v="0"/>
    <m/>
    <m/>
    <m/>
    <x v="0"/>
    <x v="0"/>
    <m/>
  </r>
  <r>
    <n v="105"/>
    <x v="1"/>
    <x v="54"/>
    <x v="8"/>
    <n v="11644"/>
    <n v="11498"/>
    <n v="147"/>
    <n v="2.4"/>
    <n v="6483"/>
    <n v="4790"/>
    <n v="1693"/>
    <n v="26.11"/>
    <n v="1.773561623"/>
    <n v="12.752162961340488"/>
    <m/>
    <m/>
    <m/>
    <m/>
    <m/>
    <m/>
    <x v="0"/>
    <m/>
    <m/>
    <m/>
    <x v="0"/>
    <x v="0"/>
    <m/>
  </r>
  <r>
    <n v="105"/>
    <x v="1"/>
    <x v="54"/>
    <x v="9"/>
    <n v="11600"/>
    <n v="11459"/>
    <n v="140"/>
    <n v="2.39"/>
    <n v="6506"/>
    <n v="4791"/>
    <n v="1715"/>
    <n v="26.37"/>
    <n v="1.761297264"/>
    <n v="12.703975468185302"/>
    <m/>
    <m/>
    <m/>
    <m/>
    <m/>
    <m/>
    <x v="0"/>
    <m/>
    <m/>
    <m/>
    <x v="0"/>
    <x v="0"/>
    <m/>
  </r>
  <r>
    <n v="105"/>
    <x v="1"/>
    <x v="54"/>
    <x v="10"/>
    <n v="11536"/>
    <n v="11402"/>
    <n v="134"/>
    <m/>
    <n v="6533"/>
    <m/>
    <m/>
    <m/>
    <n v="1.7452931270000001"/>
    <n v="12.633884569050487"/>
    <n v="11536"/>
    <n v="111"/>
    <n v="-35"/>
    <n v="-29"/>
    <n v="146"/>
    <n v="6533"/>
    <x v="0"/>
    <m/>
    <n v="11402"/>
    <n v="31"/>
    <x v="0"/>
    <x v="0"/>
    <n v="1.7452931270000001"/>
  </r>
  <r>
    <n v="105"/>
    <x v="1"/>
    <x v="54"/>
    <x v="11"/>
    <n v="11404"/>
    <n v="11280"/>
    <n v="124"/>
    <m/>
    <n v="6563"/>
    <m/>
    <m/>
    <m/>
    <n v="1.7187261920000001"/>
    <n v="12.489322089584929"/>
    <n v="11404"/>
    <n v="122"/>
    <n v="-39"/>
    <n v="-93"/>
    <n v="161"/>
    <n v="6563"/>
    <x v="0"/>
    <m/>
    <n v="11280"/>
    <n v="35"/>
    <x v="0"/>
    <x v="0"/>
    <n v="1.7187261920000001"/>
  </r>
  <r>
    <n v="105"/>
    <x v="1"/>
    <x v="54"/>
    <x v="12"/>
    <n v="11336"/>
    <n v="11229"/>
    <n v="107"/>
    <m/>
    <n v="6606"/>
    <m/>
    <m/>
    <m/>
    <n v="1.6998183469999999"/>
    <n v="12.414850509254189"/>
    <n v="11336"/>
    <n v="109"/>
    <n v="-62"/>
    <n v="-6"/>
    <n v="171"/>
    <n v="6606"/>
    <x v="0"/>
    <m/>
    <n v="11229"/>
    <n v="48"/>
    <x v="0"/>
    <x v="0"/>
    <n v="1.6998183469999999"/>
  </r>
  <r>
    <n v="107"/>
    <x v="10"/>
    <x v="55"/>
    <x v="0"/>
    <n v="23439"/>
    <n v="23104"/>
    <n v="335"/>
    <n v="2.4500000000000002"/>
    <n v="15591"/>
    <n v="9440"/>
    <n v="6151"/>
    <n v="39.450000000000003"/>
    <n v="1.4818805719999999"/>
    <n v="9.9229079086071348"/>
    <m/>
    <m/>
    <m/>
    <m/>
    <m/>
    <m/>
    <x v="0"/>
    <m/>
    <m/>
    <m/>
    <x v="0"/>
    <x v="0"/>
    <m/>
  </r>
  <r>
    <n v="107"/>
    <x v="10"/>
    <x v="55"/>
    <x v="1"/>
    <n v="23485"/>
    <n v="23148"/>
    <n v="337"/>
    <n v="2.34"/>
    <n v="15617"/>
    <n v="9876"/>
    <n v="5741"/>
    <n v="36.76"/>
    <n v="1.482230902"/>
    <n v="9.9423820228524491"/>
    <m/>
    <m/>
    <m/>
    <m/>
    <m/>
    <m/>
    <x v="0"/>
    <m/>
    <m/>
    <m/>
    <x v="0"/>
    <x v="0"/>
    <m/>
  </r>
  <r>
    <n v="107"/>
    <x v="10"/>
    <x v="55"/>
    <x v="2"/>
    <n v="23525"/>
    <n v="23186"/>
    <n v="338"/>
    <n v="2.35"/>
    <n v="15638"/>
    <n v="9887"/>
    <n v="5751"/>
    <n v="36.78"/>
    <n v="1.4826704180000001"/>
    <n v="9.959316035239679"/>
    <m/>
    <m/>
    <m/>
    <m/>
    <m/>
    <m/>
    <x v="0"/>
    <m/>
    <m/>
    <m/>
    <x v="0"/>
    <x v="0"/>
    <m/>
  </r>
  <r>
    <n v="107"/>
    <x v="10"/>
    <x v="55"/>
    <x v="3"/>
    <n v="23578"/>
    <n v="23238"/>
    <n v="340"/>
    <n v="2.35"/>
    <n v="15670"/>
    <n v="9903"/>
    <n v="5767"/>
    <n v="36.799999999999997"/>
    <n v="1.4829610719999999"/>
    <n v="9.981753601652759"/>
    <m/>
    <m/>
    <m/>
    <m/>
    <m/>
    <m/>
    <x v="0"/>
    <m/>
    <m/>
    <m/>
    <x v="0"/>
    <x v="0"/>
    <m/>
  </r>
  <r>
    <n v="107"/>
    <x v="10"/>
    <x v="55"/>
    <x v="4"/>
    <n v="23659"/>
    <n v="23318"/>
    <n v="341"/>
    <n v="2.35"/>
    <n v="15725"/>
    <n v="9932"/>
    <n v="5793"/>
    <n v="36.840000000000003"/>
    <n v="1.482861685"/>
    <n v="10.0160449767369"/>
    <m/>
    <m/>
    <m/>
    <m/>
    <m/>
    <m/>
    <x v="0"/>
    <m/>
    <m/>
    <m/>
    <x v="0"/>
    <x v="0"/>
    <m/>
  </r>
  <r>
    <n v="107"/>
    <x v="10"/>
    <x v="55"/>
    <x v="5"/>
    <n v="23824"/>
    <n v="23481"/>
    <n v="343"/>
    <n v="2.35"/>
    <n v="15848"/>
    <n v="9996"/>
    <n v="5852"/>
    <n v="36.93"/>
    <n v="1.481638062"/>
    <n v="10.085897777834225"/>
    <m/>
    <m/>
    <m/>
    <m/>
    <m/>
    <m/>
    <x v="0"/>
    <m/>
    <m/>
    <m/>
    <x v="0"/>
    <x v="0"/>
    <m/>
  </r>
  <r>
    <n v="107"/>
    <x v="10"/>
    <x v="55"/>
    <x v="6"/>
    <n v="23952"/>
    <n v="23608"/>
    <n v="345"/>
    <n v="2.35"/>
    <n v="15941"/>
    <n v="10045"/>
    <n v="5896"/>
    <n v="36.99"/>
    <n v="1.4809610440000001"/>
    <n v="10.14008661747336"/>
    <m/>
    <m/>
    <m/>
    <m/>
    <m/>
    <m/>
    <x v="0"/>
    <m/>
    <m/>
    <m/>
    <x v="0"/>
    <x v="0"/>
    <m/>
  </r>
  <r>
    <n v="107"/>
    <x v="10"/>
    <x v="55"/>
    <x v="7"/>
    <n v="24162"/>
    <n v="23816"/>
    <n v="346"/>
    <n v="2.35"/>
    <n v="16100"/>
    <n v="10127"/>
    <n v="5973"/>
    <n v="37.1"/>
    <n v="1.4792546579999999"/>
    <n v="10.228990182506317"/>
    <m/>
    <m/>
    <m/>
    <m/>
    <m/>
    <m/>
    <x v="0"/>
    <m/>
    <m/>
    <m/>
    <x v="0"/>
    <x v="0"/>
    <m/>
  </r>
  <r>
    <n v="107"/>
    <x v="10"/>
    <x v="55"/>
    <x v="8"/>
    <n v="24314"/>
    <n v="23966"/>
    <n v="348"/>
    <n v="2.35"/>
    <n v="16212"/>
    <n v="10186"/>
    <n v="6026"/>
    <n v="37.17"/>
    <n v="1.478287688"/>
    <n v="10.293339429577792"/>
    <m/>
    <m/>
    <m/>
    <m/>
    <m/>
    <m/>
    <x v="0"/>
    <m/>
    <m/>
    <m/>
    <x v="0"/>
    <x v="0"/>
    <m/>
  </r>
  <r>
    <n v="107"/>
    <x v="10"/>
    <x v="55"/>
    <x v="9"/>
    <n v="24521"/>
    <n v="24171"/>
    <n v="349"/>
    <n v="2.35"/>
    <n v="16369"/>
    <n v="10268"/>
    <n v="6101"/>
    <n v="37.270000000000003"/>
    <n v="1.4766326590000001"/>
    <n v="10.380972943681707"/>
    <m/>
    <m/>
    <m/>
    <m/>
    <m/>
    <m/>
    <x v="0"/>
    <m/>
    <m/>
    <m/>
    <x v="0"/>
    <x v="0"/>
    <m/>
  </r>
  <r>
    <n v="107"/>
    <x v="10"/>
    <x v="55"/>
    <x v="10"/>
    <n v="24834"/>
    <n v="24483"/>
    <n v="351"/>
    <m/>
    <n v="16572"/>
    <m/>
    <m/>
    <m/>
    <n v="1.47737147"/>
    <n v="10.513481590611782"/>
    <n v="24834"/>
    <n v="194"/>
    <n v="64"/>
    <n v="249"/>
    <n v="130"/>
    <n v="16572"/>
    <x v="0"/>
    <m/>
    <n v="24483"/>
    <n v="285"/>
    <x v="0"/>
    <x v="0"/>
    <n v="1.47737147"/>
  </r>
  <r>
    <n v="107"/>
    <x v="10"/>
    <x v="55"/>
    <x v="11"/>
    <n v="25061"/>
    <n v="24779"/>
    <n v="282"/>
    <m/>
    <n v="16824"/>
    <m/>
    <m/>
    <m/>
    <n v="1.472836424"/>
    <n v="10.609582110909313"/>
    <n v="25061"/>
    <n v="182"/>
    <n v="65"/>
    <n v="162"/>
    <n v="117"/>
    <n v="16824"/>
    <x v="0"/>
    <m/>
    <n v="24779"/>
    <n v="215"/>
    <x v="0"/>
    <x v="0"/>
    <n v="1.472836424"/>
  </r>
  <r>
    <n v="107"/>
    <x v="10"/>
    <x v="55"/>
    <x v="12"/>
    <n v="25027"/>
    <n v="24687"/>
    <n v="340"/>
    <m/>
    <n v="17102"/>
    <m/>
    <m/>
    <m/>
    <n v="1.4435153780000001"/>
    <n v="10.595188200380168"/>
    <n v="25027"/>
    <n v="219"/>
    <n v="74"/>
    <n v="-108"/>
    <n v="145"/>
    <n v="17102"/>
    <x v="0"/>
    <m/>
    <n v="24687"/>
    <n v="438"/>
    <x v="0"/>
    <x v="0"/>
    <n v="1.4435153780000001"/>
  </r>
  <r>
    <n v="109"/>
    <x v="1"/>
    <x v="56"/>
    <x v="0"/>
    <n v="6144"/>
    <n v="6126"/>
    <n v="18"/>
    <n v="2.72"/>
    <n v="3231"/>
    <n v="2249"/>
    <n v="982"/>
    <n v="30.39"/>
    <n v="1.8960074280000001"/>
    <n v="1.939198060801939"/>
    <m/>
    <m/>
    <m/>
    <m/>
    <m/>
    <m/>
    <x v="0"/>
    <m/>
    <m/>
    <m/>
    <x v="0"/>
    <x v="0"/>
    <m/>
  </r>
  <r>
    <n v="109"/>
    <x v="1"/>
    <x v="56"/>
    <x v="1"/>
    <n v="6156"/>
    <n v="6136"/>
    <n v="20"/>
    <n v="2.2999999999999998"/>
    <n v="3266"/>
    <n v="2665"/>
    <n v="601"/>
    <n v="18.39"/>
    <n v="1.8787507649999999"/>
    <n v="1.942985557014443"/>
    <m/>
    <m/>
    <m/>
    <m/>
    <m/>
    <m/>
    <x v="0"/>
    <m/>
    <m/>
    <m/>
    <x v="0"/>
    <x v="0"/>
    <m/>
  </r>
  <r>
    <n v="109"/>
    <x v="1"/>
    <x v="56"/>
    <x v="2"/>
    <n v="6158"/>
    <n v="6137"/>
    <n v="21"/>
    <n v="2.29"/>
    <n v="3290"/>
    <n v="2675"/>
    <n v="615"/>
    <n v="18.71"/>
    <n v="1.8653495440000001"/>
    <n v="1.9436168063831936"/>
    <m/>
    <m/>
    <m/>
    <m/>
    <m/>
    <m/>
    <x v="0"/>
    <m/>
    <m/>
    <m/>
    <x v="0"/>
    <x v="0"/>
    <m/>
  </r>
  <r>
    <n v="109"/>
    <x v="1"/>
    <x v="56"/>
    <x v="3"/>
    <n v="6166"/>
    <n v="6144"/>
    <n v="23"/>
    <n v="2.29"/>
    <n v="3321"/>
    <n v="2686"/>
    <n v="635"/>
    <n v="19.11"/>
    <n v="1.850045167"/>
    <n v="1.9461418038581961"/>
    <m/>
    <m/>
    <m/>
    <m/>
    <m/>
    <m/>
    <x v="0"/>
    <m/>
    <m/>
    <m/>
    <x v="0"/>
    <x v="0"/>
    <m/>
  </r>
  <r>
    <n v="109"/>
    <x v="1"/>
    <x v="56"/>
    <x v="4"/>
    <n v="6175"/>
    <n v="6151"/>
    <n v="24"/>
    <n v="2.2799999999999998"/>
    <n v="3353"/>
    <n v="2699"/>
    <n v="654"/>
    <n v="19.510000000000002"/>
    <n v="1.834476588"/>
    <n v="1.9489824260175739"/>
    <m/>
    <m/>
    <m/>
    <m/>
    <m/>
    <m/>
    <x v="0"/>
    <m/>
    <m/>
    <m/>
    <x v="0"/>
    <x v="0"/>
    <m/>
  </r>
  <r>
    <n v="109"/>
    <x v="1"/>
    <x v="56"/>
    <x v="5"/>
    <n v="6183"/>
    <n v="6157"/>
    <n v="26"/>
    <n v="2.27"/>
    <n v="3384"/>
    <n v="2711"/>
    <n v="673"/>
    <n v="19.899999999999999"/>
    <n v="1.8194444439999999"/>
    <n v="1.9515074234925764"/>
    <m/>
    <m/>
    <m/>
    <m/>
    <m/>
    <m/>
    <x v="0"/>
    <m/>
    <m/>
    <m/>
    <x v="0"/>
    <x v="0"/>
    <m/>
  </r>
  <r>
    <n v="109"/>
    <x v="1"/>
    <x v="56"/>
    <x v="6"/>
    <n v="6188"/>
    <n v="6160"/>
    <n v="28"/>
    <n v="2.2599999999999998"/>
    <n v="3412"/>
    <n v="2721"/>
    <n v="691"/>
    <n v="20.239999999999998"/>
    <n v="1.8053927320000001"/>
    <n v="1.953085546914453"/>
    <m/>
    <m/>
    <m/>
    <m/>
    <m/>
    <m/>
    <x v="0"/>
    <m/>
    <m/>
    <m/>
    <x v="0"/>
    <x v="0"/>
    <m/>
  </r>
  <r>
    <n v="109"/>
    <x v="1"/>
    <x v="56"/>
    <x v="7"/>
    <n v="6214"/>
    <n v="6184"/>
    <n v="29"/>
    <n v="2.2599999999999998"/>
    <n v="3464"/>
    <n v="2741"/>
    <n v="723"/>
    <n v="20.86"/>
    <n v="1.7852193999999999"/>
    <n v="1.9612917887082111"/>
    <m/>
    <m/>
    <m/>
    <m/>
    <m/>
    <m/>
    <x v="0"/>
    <m/>
    <m/>
    <m/>
    <x v="0"/>
    <x v="0"/>
    <m/>
  </r>
  <r>
    <n v="109"/>
    <x v="1"/>
    <x v="56"/>
    <x v="8"/>
    <n v="6276"/>
    <n v="6245"/>
    <n v="31"/>
    <n v="2.25"/>
    <n v="3559"/>
    <n v="2778"/>
    <n v="781"/>
    <n v="21.95"/>
    <n v="1.7547063780000001"/>
    <n v="1.9808605191394808"/>
    <m/>
    <m/>
    <m/>
    <m/>
    <m/>
    <m/>
    <x v="0"/>
    <m/>
    <m/>
    <m/>
    <x v="0"/>
    <x v="0"/>
    <m/>
  </r>
  <r>
    <n v="109"/>
    <x v="1"/>
    <x v="56"/>
    <x v="9"/>
    <n v="6359"/>
    <n v="6327"/>
    <n v="32"/>
    <n v="2.2400000000000002"/>
    <n v="3679"/>
    <n v="2824"/>
    <n v="855"/>
    <n v="23.25"/>
    <n v="1.7197608049999999"/>
    <n v="2.007057367942632"/>
    <m/>
    <m/>
    <m/>
    <m/>
    <m/>
    <m/>
    <x v="0"/>
    <m/>
    <m/>
    <m/>
    <x v="0"/>
    <x v="0"/>
    <m/>
  </r>
  <r>
    <n v="109"/>
    <x v="1"/>
    <x v="56"/>
    <x v="10"/>
    <n v="6390"/>
    <n v="6374"/>
    <n v="16"/>
    <m/>
    <n v="3760"/>
    <m/>
    <m/>
    <m/>
    <n v="1.695212766"/>
    <n v="2.0168417331582669"/>
    <n v="6390"/>
    <n v="41"/>
    <n v="-7"/>
    <n v="38"/>
    <n v="48"/>
    <n v="3760"/>
    <x v="0"/>
    <m/>
    <n v="6374"/>
    <n v="54"/>
    <x v="0"/>
    <x v="0"/>
    <n v="1.695212766"/>
  </r>
  <r>
    <n v="109"/>
    <x v="1"/>
    <x v="56"/>
    <x v="11"/>
    <n v="6507"/>
    <n v="6491"/>
    <n v="16"/>
    <m/>
    <n v="3814"/>
    <m/>
    <m/>
    <m/>
    <n v="1.701887782"/>
    <n v="2.0537698212301785"/>
    <n v="6507"/>
    <n v="62"/>
    <n v="-7"/>
    <n v="124"/>
    <n v="69"/>
    <n v="3814"/>
    <x v="0"/>
    <m/>
    <n v="6491"/>
    <n v="101"/>
    <x v="0"/>
    <x v="0"/>
    <n v="1.701887782"/>
  </r>
  <r>
    <n v="109"/>
    <x v="1"/>
    <x v="56"/>
    <x v="12"/>
    <n v="6616"/>
    <n v="6600"/>
    <n v="16"/>
    <m/>
    <n v="3914"/>
    <m/>
    <m/>
    <m/>
    <n v="1.686254471"/>
    <n v="2.0881729118270882"/>
    <n v="6616"/>
    <n v="65"/>
    <n v="-21"/>
    <n v="130"/>
    <n v="86"/>
    <n v="3914"/>
    <x v="0"/>
    <m/>
    <n v="6600"/>
    <n v="84"/>
    <x v="0"/>
    <x v="0"/>
    <n v="1.686254471"/>
  </r>
  <r>
    <n v="111"/>
    <x v="2"/>
    <x v="57"/>
    <x v="0"/>
    <n v="709"/>
    <n v="709"/>
    <n v="0"/>
    <n v="2.0499999999999998"/>
    <n v="739"/>
    <n v="346"/>
    <n v="393"/>
    <n v="53.18"/>
    <n v="0.95940460100000002"/>
    <n v="1.8226689632124218"/>
    <m/>
    <m/>
    <m/>
    <m/>
    <m/>
    <m/>
    <x v="0"/>
    <m/>
    <m/>
    <m/>
    <x v="0"/>
    <x v="0"/>
    <m/>
  </r>
  <r>
    <n v="111"/>
    <x v="2"/>
    <x v="57"/>
    <x v="1"/>
    <n v="706"/>
    <n v="706"/>
    <n v="0"/>
    <n v="2.02"/>
    <n v="740"/>
    <n v="349"/>
    <n v="391"/>
    <n v="52.77"/>
    <n v="0.95405405399999998"/>
    <n v="1.8149566826910717"/>
    <m/>
    <m/>
    <m/>
    <m/>
    <m/>
    <m/>
    <x v="0"/>
    <m/>
    <m/>
    <m/>
    <x v="0"/>
    <x v="0"/>
    <m/>
  </r>
  <r>
    <n v="111"/>
    <x v="2"/>
    <x v="57"/>
    <x v="2"/>
    <n v="703"/>
    <n v="703"/>
    <n v="0"/>
    <n v="2.0099999999999998"/>
    <n v="741"/>
    <n v="350"/>
    <n v="391"/>
    <n v="52.77"/>
    <n v="0.94871794899999995"/>
    <n v="1.8072444021697216"/>
    <m/>
    <m/>
    <m/>
    <m/>
    <m/>
    <m/>
    <x v="0"/>
    <m/>
    <m/>
    <m/>
    <x v="0"/>
    <x v="0"/>
    <m/>
  </r>
  <r>
    <n v="111"/>
    <x v="2"/>
    <x v="57"/>
    <x v="3"/>
    <n v="704"/>
    <n v="704"/>
    <n v="0"/>
    <n v="1.99"/>
    <n v="747"/>
    <n v="353"/>
    <n v="394"/>
    <n v="52.76"/>
    <n v="0.94243641199999995"/>
    <n v="1.809815162343505"/>
    <m/>
    <m/>
    <m/>
    <m/>
    <m/>
    <m/>
    <x v="0"/>
    <m/>
    <m/>
    <m/>
    <x v="0"/>
    <x v="0"/>
    <m/>
  </r>
  <r>
    <n v="111"/>
    <x v="2"/>
    <x v="57"/>
    <x v="4"/>
    <n v="700"/>
    <n v="700"/>
    <n v="0"/>
    <n v="1.98"/>
    <n v="747"/>
    <n v="353"/>
    <n v="394"/>
    <n v="52.76"/>
    <n v="0.93708166000000004"/>
    <n v="1.7995321216483713"/>
    <m/>
    <m/>
    <m/>
    <m/>
    <m/>
    <m/>
    <x v="0"/>
    <m/>
    <m/>
    <m/>
    <x v="0"/>
    <x v="0"/>
    <m/>
  </r>
  <r>
    <n v="111"/>
    <x v="2"/>
    <x v="57"/>
    <x v="5"/>
    <n v="696"/>
    <n v="696"/>
    <n v="0"/>
    <n v="1.97"/>
    <n v="747"/>
    <n v="353"/>
    <n v="394"/>
    <n v="52.76"/>
    <n v="0.93172690800000002"/>
    <n v="1.7892490809532378"/>
    <m/>
    <m/>
    <m/>
    <m/>
    <m/>
    <m/>
    <x v="0"/>
    <m/>
    <m/>
    <m/>
    <x v="0"/>
    <x v="0"/>
    <m/>
  </r>
  <r>
    <n v="111"/>
    <x v="2"/>
    <x v="57"/>
    <x v="6"/>
    <n v="697"/>
    <n v="697"/>
    <n v="0"/>
    <n v="1.96"/>
    <n v="753"/>
    <n v="356"/>
    <n v="397"/>
    <n v="52.74"/>
    <n v="0.92563081000000003"/>
    <n v="1.7918198411270212"/>
    <m/>
    <m/>
    <m/>
    <m/>
    <m/>
    <m/>
    <x v="0"/>
    <m/>
    <m/>
    <m/>
    <x v="0"/>
    <x v="0"/>
    <m/>
  </r>
  <r>
    <n v="111"/>
    <x v="2"/>
    <x v="57"/>
    <x v="7"/>
    <n v="700"/>
    <n v="700"/>
    <n v="0"/>
    <n v="1.94"/>
    <n v="761"/>
    <n v="360"/>
    <n v="401"/>
    <n v="52.73"/>
    <n v="0.91984231299999997"/>
    <n v="1.7995321216483713"/>
    <m/>
    <m/>
    <m/>
    <m/>
    <m/>
    <m/>
    <x v="0"/>
    <m/>
    <m/>
    <m/>
    <x v="0"/>
    <x v="0"/>
    <m/>
  </r>
  <r>
    <n v="111"/>
    <x v="2"/>
    <x v="57"/>
    <x v="8"/>
    <n v="703"/>
    <n v="703"/>
    <n v="0"/>
    <n v="1.94"/>
    <n v="768"/>
    <n v="363"/>
    <n v="405"/>
    <n v="52.71"/>
    <n v="0.91536458300000001"/>
    <n v="1.8072444021697216"/>
    <m/>
    <m/>
    <m/>
    <m/>
    <m/>
    <m/>
    <x v="0"/>
    <m/>
    <m/>
    <m/>
    <x v="0"/>
    <x v="0"/>
    <m/>
  </r>
  <r>
    <n v="111"/>
    <x v="2"/>
    <x v="57"/>
    <x v="9"/>
    <n v="705"/>
    <n v="705"/>
    <n v="0"/>
    <n v="1.92"/>
    <n v="775"/>
    <n v="367"/>
    <n v="408"/>
    <n v="52.7"/>
    <n v="0.90967741899999999"/>
    <n v="1.8123859225172883"/>
    <m/>
    <m/>
    <m/>
    <m/>
    <m/>
    <m/>
    <x v="0"/>
    <m/>
    <m/>
    <m/>
    <x v="0"/>
    <x v="0"/>
    <m/>
  </r>
  <r>
    <n v="111"/>
    <x v="2"/>
    <x v="57"/>
    <x v="10"/>
    <n v="711"/>
    <n v="711"/>
    <n v="0"/>
    <m/>
    <n v="781"/>
    <m/>
    <m/>
    <m/>
    <n v="0.91037131900000001"/>
    <n v="1.8278104835599887"/>
    <n v="711"/>
    <n v="2"/>
    <n v="-4"/>
    <n v="10"/>
    <n v="6"/>
    <n v="781"/>
    <x v="0"/>
    <m/>
    <n v="711"/>
    <n v="7"/>
    <x v="0"/>
    <x v="0"/>
    <n v="0.91037131900000001"/>
  </r>
  <r>
    <n v="111"/>
    <x v="2"/>
    <x v="57"/>
    <x v="11"/>
    <n v="741"/>
    <n v="741"/>
    <n v="0"/>
    <m/>
    <n v="788"/>
    <m/>
    <m/>
    <m/>
    <n v="0.94035533000000004"/>
    <n v="1.9049332887734902"/>
    <n v="741"/>
    <n v="5"/>
    <n v="-2"/>
    <n v="32"/>
    <n v="7"/>
    <n v="788"/>
    <x v="0"/>
    <m/>
    <n v="741"/>
    <n v="17"/>
    <x v="0"/>
    <x v="0"/>
    <n v="0.94035533000000004"/>
  </r>
  <r>
    <n v="111"/>
    <x v="2"/>
    <x v="57"/>
    <x v="12"/>
    <n v="801"/>
    <n v="801"/>
    <n v="0"/>
    <m/>
    <n v="805"/>
    <m/>
    <m/>
    <m/>
    <n v="0.99503105599999997"/>
    <n v="2.0591788992004934"/>
    <n v="801"/>
    <n v="4"/>
    <n v="-4"/>
    <n v="64"/>
    <n v="8"/>
    <n v="805"/>
    <x v="0"/>
    <m/>
    <n v="801"/>
    <n v="5"/>
    <x v="0"/>
    <x v="0"/>
    <n v="0.99503105599999997"/>
  </r>
  <r>
    <n v="113"/>
    <x v="7"/>
    <x v="58"/>
    <x v="0"/>
    <n v="7356"/>
    <n v="7347"/>
    <n v="9"/>
    <n v="2.2599999999999998"/>
    <n v="6165"/>
    <n v="3253"/>
    <n v="2912"/>
    <n v="47.23"/>
    <n v="1.191727494"/>
    <n v="5.6989680498311071"/>
    <m/>
    <m/>
    <m/>
    <m/>
    <m/>
    <m/>
    <x v="0"/>
    <m/>
    <m/>
    <m/>
    <x v="0"/>
    <x v="0"/>
    <m/>
  </r>
  <r>
    <n v="113"/>
    <x v="7"/>
    <x v="58"/>
    <x v="1"/>
    <n v="7486"/>
    <n v="7405"/>
    <n v="81"/>
    <n v="2.14"/>
    <n v="6190"/>
    <n v="3460"/>
    <n v="2730"/>
    <n v="44.1"/>
    <n v="1.1962843299999999"/>
    <n v="5.7996839071554742"/>
    <m/>
    <m/>
    <m/>
    <m/>
    <m/>
    <m/>
    <x v="0"/>
    <m/>
    <m/>
    <m/>
    <x v="0"/>
    <x v="0"/>
    <m/>
  </r>
  <r>
    <n v="113"/>
    <x v="7"/>
    <x v="58"/>
    <x v="2"/>
    <n v="7576"/>
    <n v="7450"/>
    <n v="126"/>
    <n v="2.15"/>
    <n v="6197"/>
    <n v="3462"/>
    <n v="2735"/>
    <n v="44.13"/>
    <n v="1.2021946100000001"/>
    <n v="5.8694102699184976"/>
    <m/>
    <m/>
    <m/>
    <m/>
    <m/>
    <m/>
    <x v="0"/>
    <m/>
    <m/>
    <m/>
    <x v="0"/>
    <x v="0"/>
    <m/>
  </r>
  <r>
    <n v="113"/>
    <x v="7"/>
    <x v="58"/>
    <x v="3"/>
    <n v="7615"/>
    <n v="7499"/>
    <n v="116"/>
    <n v="2.16"/>
    <n v="6209"/>
    <n v="3467"/>
    <n v="2742"/>
    <n v="44.17"/>
    <n v="1.2077629249999999"/>
    <n v="5.8996250271158077"/>
    <m/>
    <m/>
    <m/>
    <m/>
    <m/>
    <m/>
    <x v="0"/>
    <m/>
    <m/>
    <m/>
    <x v="0"/>
    <x v="0"/>
    <m/>
  </r>
  <r>
    <n v="113"/>
    <x v="7"/>
    <x v="58"/>
    <x v="4"/>
    <n v="7728"/>
    <n v="7561"/>
    <n v="167"/>
    <n v="2.17"/>
    <n v="6238"/>
    <n v="3477"/>
    <n v="2761"/>
    <n v="44.26"/>
    <n v="1.2120872069999999"/>
    <n v="5.9871703492516035"/>
    <m/>
    <m/>
    <m/>
    <m/>
    <m/>
    <m/>
    <x v="0"/>
    <m/>
    <m/>
    <m/>
    <x v="0"/>
    <x v="0"/>
    <m/>
  </r>
  <r>
    <n v="113"/>
    <x v="7"/>
    <x v="58"/>
    <x v="5"/>
    <n v="7825"/>
    <n v="7665"/>
    <n v="160"/>
    <n v="2.19"/>
    <n v="6320"/>
    <n v="3506"/>
    <n v="2814"/>
    <n v="44.52"/>
    <n v="1.2128164560000001"/>
    <n v="6.0623198735628625"/>
    <m/>
    <m/>
    <m/>
    <m/>
    <m/>
    <m/>
    <x v="0"/>
    <m/>
    <m/>
    <m/>
    <x v="0"/>
    <x v="0"/>
    <m/>
  </r>
  <r>
    <n v="113"/>
    <x v="7"/>
    <x v="58"/>
    <x v="6"/>
    <n v="8001"/>
    <n v="7732"/>
    <n v="269"/>
    <n v="2.2000000000000002"/>
    <n v="6355"/>
    <n v="3519"/>
    <n v="2836"/>
    <n v="44.63"/>
    <n v="1.21667978"/>
    <n v="6.1986736496327746"/>
    <m/>
    <m/>
    <m/>
    <m/>
    <m/>
    <m/>
    <x v="0"/>
    <m/>
    <m/>
    <m/>
    <x v="0"/>
    <x v="0"/>
    <m/>
  </r>
  <r>
    <n v="113"/>
    <x v="7"/>
    <x v="58"/>
    <x v="7"/>
    <n v="8014"/>
    <n v="7800"/>
    <n v="214"/>
    <n v="2.21"/>
    <n v="6390"/>
    <n v="3531"/>
    <n v="2859"/>
    <n v="44.74"/>
    <n v="1.2206572769999999"/>
    <n v="6.2087452353652113"/>
    <m/>
    <m/>
    <m/>
    <m/>
    <m/>
    <m/>
    <x v="0"/>
    <m/>
    <m/>
    <m/>
    <x v="0"/>
    <x v="0"/>
    <m/>
  </r>
  <r>
    <n v="113"/>
    <x v="7"/>
    <x v="58"/>
    <x v="8"/>
    <n v="8154"/>
    <n v="7901"/>
    <n v="253"/>
    <n v="2.2200000000000002"/>
    <n v="6467"/>
    <n v="3559"/>
    <n v="2908"/>
    <n v="44.97"/>
    <n v="1.2217411469999999"/>
    <n v="6.3172084663299142"/>
    <m/>
    <m/>
    <m/>
    <m/>
    <m/>
    <m/>
    <x v="0"/>
    <m/>
    <m/>
    <m/>
    <x v="0"/>
    <x v="0"/>
    <m/>
  </r>
  <r>
    <n v="113"/>
    <x v="7"/>
    <x v="58"/>
    <x v="9"/>
    <n v="8123"/>
    <n v="7977"/>
    <n v="146"/>
    <n v="2.23"/>
    <n v="6512"/>
    <n v="3575"/>
    <n v="2937"/>
    <n v="45.1"/>
    <n v="1.224969287"/>
    <n v="6.2931916080448724"/>
    <m/>
    <m/>
    <m/>
    <m/>
    <m/>
    <m/>
    <x v="0"/>
    <m/>
    <m/>
    <m/>
    <x v="0"/>
    <x v="0"/>
    <m/>
  </r>
  <r>
    <n v="113"/>
    <x v="7"/>
    <x v="58"/>
    <x v="10"/>
    <n v="8055"/>
    <n v="8050"/>
    <n v="5"/>
    <m/>
    <n v="6564"/>
    <m/>
    <m/>
    <m/>
    <n v="1.2263863500000001"/>
    <n v="6.2405094672905888"/>
    <n v="8055"/>
    <n v="54"/>
    <n v="32"/>
    <n v="-100"/>
    <n v="22"/>
    <n v="6564"/>
    <x v="0"/>
    <m/>
    <n v="8050"/>
    <n v="34"/>
    <x v="0"/>
    <x v="0"/>
    <n v="1.2263863500000001"/>
  </r>
  <r>
    <n v="113"/>
    <x v="7"/>
    <x v="58"/>
    <x v="11"/>
    <n v="8078"/>
    <n v="8073"/>
    <n v="5"/>
    <m/>
    <n v="6595"/>
    <m/>
    <m/>
    <m/>
    <n v="1.2241091740000001"/>
    <n v="6.2583284266633612"/>
    <n v="8078"/>
    <n v="53"/>
    <n v="26"/>
    <n v="-3"/>
    <n v="27"/>
    <n v="6595"/>
    <x v="0"/>
    <m/>
    <n v="8073"/>
    <n v="80"/>
    <x v="0"/>
    <x v="0"/>
    <n v="1.2241091740000001"/>
  </r>
  <r>
    <n v="113"/>
    <x v="7"/>
    <x v="58"/>
    <x v="12"/>
    <n v="7993"/>
    <n v="7988"/>
    <n v="5"/>
    <m/>
    <n v="6711"/>
    <m/>
    <m/>
    <m/>
    <n v="1.1902846069999999"/>
    <n v="6.1924757507205062"/>
    <n v="7993"/>
    <n v="50"/>
    <n v="8"/>
    <n v="-93"/>
    <n v="42"/>
    <n v="6711"/>
    <x v="0"/>
    <m/>
    <n v="7988"/>
    <n v="70"/>
    <x v="0"/>
    <x v="0"/>
    <n v="1.1902846069999999"/>
  </r>
  <r>
    <n v="115"/>
    <x v="13"/>
    <x v="59"/>
    <x v="0"/>
    <n v="2367"/>
    <n v="2332"/>
    <n v="35"/>
    <n v="2.2999999999999998"/>
    <n v="1325"/>
    <n v="1016"/>
    <n v="309"/>
    <n v="23.32"/>
    <n v="1.76"/>
    <n v="4.3128108886176042"/>
    <m/>
    <m/>
    <m/>
    <m/>
    <m/>
    <m/>
    <x v="0"/>
    <m/>
    <m/>
    <m/>
    <x v="0"/>
    <x v="0"/>
    <m/>
  </r>
  <r>
    <n v="115"/>
    <x v="13"/>
    <x v="59"/>
    <x v="1"/>
    <n v="2371"/>
    <n v="2335"/>
    <n v="36"/>
    <n v="2.15"/>
    <n v="1325"/>
    <n v="1086"/>
    <n v="239"/>
    <n v="18.04"/>
    <n v="1.7622641509999999"/>
    <n v="4.3200991199460663"/>
    <m/>
    <m/>
    <m/>
    <m/>
    <m/>
    <m/>
    <x v="0"/>
    <m/>
    <m/>
    <m/>
    <x v="0"/>
    <x v="0"/>
    <m/>
  </r>
  <r>
    <n v="115"/>
    <x v="13"/>
    <x v="59"/>
    <x v="2"/>
    <n v="2375"/>
    <n v="2338"/>
    <n v="37"/>
    <n v="2.15"/>
    <n v="1325"/>
    <n v="1086"/>
    <n v="239"/>
    <n v="18.04"/>
    <n v="1.764528302"/>
    <n v="4.3273873512745293"/>
    <m/>
    <m/>
    <m/>
    <m/>
    <m/>
    <m/>
    <x v="0"/>
    <m/>
    <m/>
    <m/>
    <x v="0"/>
    <x v="0"/>
    <m/>
  </r>
  <r>
    <n v="115"/>
    <x v="13"/>
    <x v="59"/>
    <x v="3"/>
    <n v="2379"/>
    <n v="2342"/>
    <n v="37"/>
    <n v="2.16"/>
    <n v="1327"/>
    <n v="1086"/>
    <n v="241"/>
    <n v="18.149999999999999"/>
    <n v="1.7648831949999999"/>
    <n v="4.3346755826029915"/>
    <m/>
    <m/>
    <m/>
    <m/>
    <m/>
    <m/>
    <x v="0"/>
    <m/>
    <m/>
    <m/>
    <x v="0"/>
    <x v="0"/>
    <m/>
  </r>
  <r>
    <n v="115"/>
    <x v="13"/>
    <x v="59"/>
    <x v="4"/>
    <n v="2384"/>
    <n v="2345"/>
    <n v="38"/>
    <n v="2.16"/>
    <n v="1330"/>
    <n v="1086"/>
    <n v="244"/>
    <n v="18.32"/>
    <n v="1.763157895"/>
    <n v="4.3437858717635693"/>
    <m/>
    <m/>
    <m/>
    <m/>
    <m/>
    <m/>
    <x v="0"/>
    <m/>
    <m/>
    <m/>
    <x v="0"/>
    <x v="0"/>
    <m/>
  </r>
  <r>
    <n v="115"/>
    <x v="13"/>
    <x v="59"/>
    <x v="5"/>
    <n v="2388"/>
    <n v="2349"/>
    <n v="39"/>
    <n v="2.16"/>
    <n v="1331"/>
    <n v="1086"/>
    <n v="245"/>
    <n v="18.38"/>
    <n v="1.7648384669999999"/>
    <n v="4.3510741030920315"/>
    <m/>
    <m/>
    <m/>
    <m/>
    <m/>
    <m/>
    <x v="0"/>
    <m/>
    <m/>
    <m/>
    <x v="0"/>
    <x v="0"/>
    <m/>
  </r>
  <r>
    <n v="115"/>
    <x v="13"/>
    <x v="59"/>
    <x v="6"/>
    <n v="2392"/>
    <n v="2352"/>
    <n v="40"/>
    <n v="2.17"/>
    <n v="1331"/>
    <n v="1086"/>
    <n v="245"/>
    <n v="18.38"/>
    <n v="1.767092412"/>
    <n v="4.3583623344204945"/>
    <m/>
    <m/>
    <m/>
    <m/>
    <m/>
    <m/>
    <x v="0"/>
    <m/>
    <m/>
    <m/>
    <x v="0"/>
    <x v="0"/>
    <m/>
  </r>
  <r>
    <n v="115"/>
    <x v="13"/>
    <x v="59"/>
    <x v="7"/>
    <n v="2396"/>
    <n v="2355"/>
    <n v="41"/>
    <n v="2.17"/>
    <n v="1335"/>
    <n v="1087"/>
    <n v="248"/>
    <n v="18.61"/>
    <n v="1.7640449439999999"/>
    <n v="4.3656505657489566"/>
    <m/>
    <m/>
    <m/>
    <m/>
    <m/>
    <m/>
    <x v="0"/>
    <m/>
    <m/>
    <m/>
    <x v="0"/>
    <x v="0"/>
    <m/>
  </r>
  <r>
    <n v="115"/>
    <x v="13"/>
    <x v="59"/>
    <x v="8"/>
    <n v="2401"/>
    <n v="2359"/>
    <n v="41"/>
    <n v="2.17"/>
    <n v="1339"/>
    <n v="1087"/>
    <n v="252"/>
    <n v="18.84"/>
    <n v="1.761762509"/>
    <n v="4.3747608549095345"/>
    <m/>
    <m/>
    <m/>
    <m/>
    <m/>
    <m/>
    <x v="0"/>
    <m/>
    <m/>
    <m/>
    <x v="0"/>
    <x v="0"/>
    <m/>
  </r>
  <r>
    <n v="115"/>
    <x v="13"/>
    <x v="59"/>
    <x v="9"/>
    <n v="2405"/>
    <n v="2363"/>
    <n v="42"/>
    <n v="2.17"/>
    <n v="1341"/>
    <n v="1087"/>
    <n v="254"/>
    <n v="18.95"/>
    <n v="1.7621178230000001"/>
    <n v="4.3820490862379966"/>
    <m/>
    <m/>
    <m/>
    <m/>
    <m/>
    <m/>
    <x v="0"/>
    <m/>
    <m/>
    <m/>
    <x v="0"/>
    <x v="0"/>
    <m/>
  </r>
  <r>
    <n v="115"/>
    <x v="13"/>
    <x v="59"/>
    <x v="10"/>
    <n v="2391"/>
    <n v="2352"/>
    <n v="39"/>
    <m/>
    <n v="1343"/>
    <m/>
    <m/>
    <m/>
    <n v="1.751303053"/>
    <n v="4.3565402765883787"/>
    <n v="2391"/>
    <n v="18"/>
    <n v="-21"/>
    <n v="7"/>
    <n v="39"/>
    <n v="1343"/>
    <x v="0"/>
    <m/>
    <n v="2352"/>
    <n v="0"/>
    <x v="0"/>
    <x v="0"/>
    <n v="1.751303053"/>
  </r>
  <r>
    <n v="115"/>
    <x v="13"/>
    <x v="59"/>
    <x v="11"/>
    <n v="2330"/>
    <n v="2293"/>
    <n v="37"/>
    <m/>
    <n v="1343"/>
    <m/>
    <m/>
    <m/>
    <n v="1.707371556"/>
    <n v="4.2453947488293275"/>
    <n v="2330"/>
    <n v="15"/>
    <n v="-29"/>
    <n v="-32"/>
    <n v="44"/>
    <n v="1343"/>
    <x v="0"/>
    <m/>
    <n v="2293"/>
    <n v="1"/>
    <x v="0"/>
    <x v="0"/>
    <n v="1.707371556"/>
  </r>
  <r>
    <n v="115"/>
    <x v="13"/>
    <x v="59"/>
    <x v="12"/>
    <n v="2297"/>
    <n v="2265"/>
    <n v="32"/>
    <m/>
    <n v="1343"/>
    <m/>
    <m/>
    <m/>
    <n v="1.68652271"/>
    <n v="4.185266840369513"/>
    <n v="2297"/>
    <n v="12"/>
    <n v="-28"/>
    <n v="-5"/>
    <n v="40"/>
    <n v="1343"/>
    <x v="0"/>
    <m/>
    <n v="2265"/>
    <n v="3"/>
    <x v="0"/>
    <x v="0"/>
    <n v="1.68652271"/>
  </r>
  <r>
    <n v="117"/>
    <x v="8"/>
    <x v="60"/>
    <x v="0"/>
    <n v="28073"/>
    <n v="27800"/>
    <n v="273"/>
    <n v="2.36"/>
    <n v="29861"/>
    <n v="11787"/>
    <n v="18074"/>
    <n v="60.53"/>
    <n v="0.93098020800000003"/>
    <n v="45.358043042719579"/>
    <m/>
    <m/>
    <m/>
    <m/>
    <m/>
    <m/>
    <x v="0"/>
    <m/>
    <m/>
    <m/>
    <x v="0"/>
    <x v="0"/>
    <m/>
  </r>
  <r>
    <n v="117"/>
    <x v="8"/>
    <x v="60"/>
    <x v="1"/>
    <n v="28087"/>
    <n v="27786"/>
    <n v="301"/>
    <n v="2.36"/>
    <n v="29866"/>
    <n v="11781"/>
    <n v="18085"/>
    <n v="60.55"/>
    <n v="0.93035558799999996"/>
    <n v="45.380663090544822"/>
    <m/>
    <m/>
    <m/>
    <m/>
    <m/>
    <m/>
    <x v="0"/>
    <m/>
    <m/>
    <m/>
    <x v="0"/>
    <x v="0"/>
    <m/>
  </r>
  <r>
    <n v="117"/>
    <x v="8"/>
    <x v="60"/>
    <x v="2"/>
    <n v="28385"/>
    <n v="28055"/>
    <n v="330"/>
    <n v="2.36"/>
    <n v="29866"/>
    <n v="11895"/>
    <n v="17971"/>
    <n v="60.17"/>
    <n v="0.93936248600000005"/>
    <n v="45.862146965682157"/>
    <m/>
    <m/>
    <m/>
    <m/>
    <m/>
    <m/>
    <x v="0"/>
    <m/>
    <m/>
    <m/>
    <x v="0"/>
    <x v="0"/>
    <m/>
  </r>
  <r>
    <n v="117"/>
    <x v="8"/>
    <x v="60"/>
    <x v="3"/>
    <n v="28860"/>
    <n v="28502"/>
    <n v="358"/>
    <n v="2.36"/>
    <n v="29882"/>
    <n v="12085"/>
    <n v="17797"/>
    <n v="59.56"/>
    <n v="0.95381835199999998"/>
    <n v="46.629612874038649"/>
    <m/>
    <m/>
    <m/>
    <m/>
    <m/>
    <m/>
    <x v="0"/>
    <m/>
    <m/>
    <m/>
    <x v="0"/>
    <x v="0"/>
    <m/>
  </r>
  <r>
    <n v="117"/>
    <x v="8"/>
    <x v="60"/>
    <x v="4"/>
    <n v="29496"/>
    <n v="29109"/>
    <n v="387"/>
    <n v="2.36"/>
    <n v="30034"/>
    <n v="12342"/>
    <n v="17692"/>
    <n v="58.91"/>
    <n v="0.96920157200000001"/>
    <n v="47.657209332385449"/>
    <m/>
    <m/>
    <m/>
    <m/>
    <m/>
    <m/>
    <x v="0"/>
    <m/>
    <m/>
    <m/>
    <x v="0"/>
    <x v="0"/>
    <m/>
  </r>
  <r>
    <n v="117"/>
    <x v="8"/>
    <x v="60"/>
    <x v="5"/>
    <n v="30268"/>
    <n v="29852"/>
    <n v="416"/>
    <n v="2.36"/>
    <n v="30121"/>
    <n v="12657"/>
    <n v="17464"/>
    <n v="57.98"/>
    <n v="0.99106935399999996"/>
    <n v="48.904543398177474"/>
    <m/>
    <m/>
    <m/>
    <m/>
    <m/>
    <m/>
    <x v="0"/>
    <m/>
    <m/>
    <m/>
    <x v="0"/>
    <x v="0"/>
    <m/>
  </r>
  <r>
    <n v="117"/>
    <x v="8"/>
    <x v="60"/>
    <x v="6"/>
    <n v="30817"/>
    <n v="30372"/>
    <n v="445"/>
    <n v="2.36"/>
    <n v="30141"/>
    <n v="12878"/>
    <n v="17263"/>
    <n v="57.27"/>
    <n v="1.0076639789999999"/>
    <n v="49.791572416467396"/>
    <m/>
    <m/>
    <m/>
    <m/>
    <m/>
    <m/>
    <x v="0"/>
    <m/>
    <m/>
    <m/>
    <x v="0"/>
    <x v="0"/>
    <m/>
  </r>
  <r>
    <n v="117"/>
    <x v="8"/>
    <x v="60"/>
    <x v="7"/>
    <n v="31133"/>
    <n v="30660"/>
    <n v="473"/>
    <n v="2.36"/>
    <n v="30320"/>
    <n v="13000"/>
    <n v="17320"/>
    <n v="57.12"/>
    <n v="1.01121372"/>
    <n v="50.302139210237193"/>
    <m/>
    <m/>
    <m/>
    <m/>
    <m/>
    <m/>
    <x v="0"/>
    <m/>
    <m/>
    <m/>
    <x v="0"/>
    <x v="0"/>
    <m/>
  </r>
  <r>
    <n v="117"/>
    <x v="8"/>
    <x v="60"/>
    <x v="8"/>
    <n v="31095"/>
    <n v="30593"/>
    <n v="502"/>
    <n v="2.36"/>
    <n v="30593"/>
    <n v="12972"/>
    <n v="17621"/>
    <n v="57.6"/>
    <n v="1"/>
    <n v="50.240741937568671"/>
    <m/>
    <m/>
    <m/>
    <m/>
    <m/>
    <m/>
    <x v="0"/>
    <m/>
    <m/>
    <m/>
    <x v="0"/>
    <x v="0"/>
    <m/>
  </r>
  <r>
    <n v="117"/>
    <x v="8"/>
    <x v="60"/>
    <x v="9"/>
    <n v="31190"/>
    <n v="30660"/>
    <n v="530"/>
    <n v="2.36"/>
    <n v="31123"/>
    <n v="13000"/>
    <n v="18123"/>
    <n v="58.23"/>
    <n v="0.98512354199999996"/>
    <n v="50.394235119239973"/>
    <m/>
    <m/>
    <m/>
    <m/>
    <m/>
    <m/>
    <x v="0"/>
    <m/>
    <m/>
    <m/>
    <x v="0"/>
    <x v="0"/>
    <m/>
  </r>
  <r>
    <n v="117"/>
    <x v="8"/>
    <x v="60"/>
    <x v="10"/>
    <n v="30996"/>
    <n v="30417"/>
    <n v="579"/>
    <m/>
    <n v="31416"/>
    <m/>
    <m/>
    <m/>
    <n v="0.96820091699999999"/>
    <n v="50.080785885090158"/>
    <n v="30996"/>
    <n v="263"/>
    <n v="179"/>
    <n v="-373"/>
    <n v="84"/>
    <n v="31416"/>
    <x v="0"/>
    <m/>
    <n v="30417"/>
    <n v="318"/>
    <x v="0"/>
    <x v="0"/>
    <n v="0.96820091699999999"/>
  </r>
  <r>
    <n v="117"/>
    <x v="8"/>
    <x v="60"/>
    <x v="11"/>
    <n v="30994"/>
    <n v="30415"/>
    <n v="579"/>
    <m/>
    <n v="31737"/>
    <m/>
    <m/>
    <m/>
    <n v="0.95834514900000001"/>
    <n v="50.077554449686552"/>
    <n v="30994"/>
    <n v="251"/>
    <n v="180"/>
    <n v="-182"/>
    <n v="71"/>
    <n v="31737"/>
    <x v="0"/>
    <m/>
    <n v="30415"/>
    <n v="407"/>
    <x v="0"/>
    <x v="0"/>
    <n v="0.95834514900000001"/>
  </r>
  <r>
    <n v="117"/>
    <x v="8"/>
    <x v="60"/>
    <x v="12"/>
    <n v="30583"/>
    <n v="30004"/>
    <n v="579"/>
    <m/>
    <n v="32147"/>
    <m/>
    <m/>
    <m/>
    <n v="0.93333748100000002"/>
    <n v="49.413494474245461"/>
    <n v="30583"/>
    <n v="252"/>
    <n v="161"/>
    <n v="-572"/>
    <n v="91"/>
    <n v="32147"/>
    <x v="0"/>
    <m/>
    <n v="30004"/>
    <n v="400"/>
    <x v="0"/>
    <x v="0"/>
    <n v="0.93333748100000002"/>
  </r>
  <r>
    <n v="119"/>
    <x v="9"/>
    <x v="61"/>
    <x v="0"/>
    <n v="23441"/>
    <n v="23309"/>
    <n v="132"/>
    <n v="2.37"/>
    <n v="12651"/>
    <n v="9844"/>
    <n v="2807"/>
    <n v="22.19"/>
    <n v="1.842463046"/>
    <n v="41.965340685309172"/>
    <m/>
    <m/>
    <m/>
    <m/>
    <m/>
    <m/>
    <x v="0"/>
    <m/>
    <m/>
    <m/>
    <x v="0"/>
    <x v="0"/>
    <m/>
  </r>
  <r>
    <n v="119"/>
    <x v="9"/>
    <x v="61"/>
    <x v="1"/>
    <n v="23268"/>
    <n v="23131"/>
    <n v="137"/>
    <n v="2.36"/>
    <n v="12663"/>
    <n v="9793"/>
    <n v="2870"/>
    <n v="22.66"/>
    <n v="1.826660349"/>
    <n v="41.655626767875681"/>
    <m/>
    <m/>
    <m/>
    <m/>
    <m/>
    <m/>
    <x v="0"/>
    <m/>
    <m/>
    <m/>
    <x v="0"/>
    <x v="0"/>
    <m/>
  </r>
  <r>
    <n v="119"/>
    <x v="9"/>
    <x v="61"/>
    <x v="2"/>
    <n v="23270"/>
    <n v="23128"/>
    <n v="142"/>
    <n v="2.36"/>
    <n v="12699"/>
    <n v="9815"/>
    <n v="2884"/>
    <n v="22.71"/>
    <n v="1.821245767"/>
    <n v="41.659207275591676"/>
    <m/>
    <m/>
    <m/>
    <m/>
    <m/>
    <m/>
    <x v="0"/>
    <m/>
    <m/>
    <m/>
    <x v="0"/>
    <x v="0"/>
    <m/>
  </r>
  <r>
    <n v="119"/>
    <x v="9"/>
    <x v="61"/>
    <x v="3"/>
    <n v="23110"/>
    <n v="22963"/>
    <n v="147"/>
    <n v="2.35"/>
    <n v="12744"/>
    <n v="9769"/>
    <n v="2975"/>
    <n v="23.34"/>
    <n v="1.801867546"/>
    <n v="41.372766658312145"/>
    <m/>
    <m/>
    <m/>
    <m/>
    <m/>
    <m/>
    <x v="0"/>
    <m/>
    <m/>
    <m/>
    <x v="0"/>
    <x v="0"/>
    <m/>
  </r>
  <r>
    <n v="119"/>
    <x v="9"/>
    <x v="61"/>
    <x v="4"/>
    <n v="23121"/>
    <n v="22970"/>
    <n v="151"/>
    <n v="2.34"/>
    <n v="12772"/>
    <n v="9796"/>
    <n v="2976"/>
    <n v="23.3"/>
    <n v="1.7984653930000001"/>
    <n v="41.39245945075011"/>
    <m/>
    <m/>
    <m/>
    <m/>
    <m/>
    <m/>
    <x v="0"/>
    <m/>
    <m/>
    <m/>
    <x v="0"/>
    <x v="0"/>
    <m/>
  </r>
  <r>
    <n v="119"/>
    <x v="9"/>
    <x v="61"/>
    <x v="5"/>
    <n v="23006"/>
    <n v="22849"/>
    <n v="157"/>
    <n v="2.34"/>
    <n v="12896"/>
    <n v="9768"/>
    <n v="3128"/>
    <n v="24.26"/>
    <n v="1.771789702"/>
    <n v="41.18658025708045"/>
    <m/>
    <m/>
    <m/>
    <m/>
    <m/>
    <m/>
    <x v="0"/>
    <m/>
    <m/>
    <m/>
    <x v="0"/>
    <x v="0"/>
    <m/>
  </r>
  <r>
    <n v="119"/>
    <x v="9"/>
    <x v="61"/>
    <x v="6"/>
    <n v="23607"/>
    <n v="23445"/>
    <n v="162"/>
    <n v="2.33"/>
    <n v="12956"/>
    <n v="10047"/>
    <n v="2909"/>
    <n v="22.45"/>
    <n v="1.8095862920000001"/>
    <n v="42.262522825736689"/>
    <m/>
    <m/>
    <m/>
    <m/>
    <m/>
    <m/>
    <x v="0"/>
    <m/>
    <m/>
    <m/>
    <x v="0"/>
    <x v="0"/>
    <m/>
  </r>
  <r>
    <n v="119"/>
    <x v="9"/>
    <x v="61"/>
    <x v="7"/>
    <n v="24153"/>
    <n v="23987"/>
    <n v="166"/>
    <n v="2.33"/>
    <n v="13056"/>
    <n v="10305"/>
    <n v="2751"/>
    <n v="21.07"/>
    <n v="1.8372395829999999"/>
    <n v="43.24000143220308"/>
    <m/>
    <m/>
    <m/>
    <m/>
    <m/>
    <m/>
    <x v="0"/>
    <m/>
    <m/>
    <m/>
    <x v="0"/>
    <x v="0"/>
    <m/>
  </r>
  <r>
    <n v="119"/>
    <x v="9"/>
    <x v="61"/>
    <x v="8"/>
    <n v="24523"/>
    <n v="24352"/>
    <n v="171"/>
    <n v="2.3199999999999998"/>
    <n v="13138"/>
    <n v="10488"/>
    <n v="2650"/>
    <n v="20.170000000000002"/>
    <n v="1.853554575"/>
    <n v="43.902395359661995"/>
    <m/>
    <m/>
    <m/>
    <m/>
    <m/>
    <m/>
    <x v="0"/>
    <m/>
    <m/>
    <m/>
    <x v="0"/>
    <x v="0"/>
    <m/>
  </r>
  <r>
    <n v="119"/>
    <x v="9"/>
    <x v="61"/>
    <x v="9"/>
    <n v="24679"/>
    <n v="24503"/>
    <n v="176"/>
    <n v="2.3199999999999998"/>
    <n v="13254"/>
    <n v="10579"/>
    <n v="2675"/>
    <n v="20.18"/>
    <n v="1.8487249130000001"/>
    <n v="44.181674961509536"/>
    <m/>
    <m/>
    <m/>
    <m/>
    <m/>
    <m/>
    <x v="0"/>
    <m/>
    <m/>
    <m/>
    <x v="0"/>
    <x v="0"/>
    <m/>
  </r>
  <r>
    <n v="119"/>
    <x v="9"/>
    <x v="61"/>
    <x v="10"/>
    <n v="24745"/>
    <n v="24581"/>
    <n v="164"/>
    <m/>
    <n v="13346"/>
    <m/>
    <m/>
    <m/>
    <n v="1.8418252660000001"/>
    <n v="44.299831716137348"/>
    <n v="24745"/>
    <n v="195"/>
    <n v="10"/>
    <n v="56"/>
    <n v="185"/>
    <n v="13346"/>
    <x v="0"/>
    <m/>
    <n v="24581"/>
    <n v="113"/>
    <x v="0"/>
    <x v="0"/>
    <n v="1.8418252660000001"/>
  </r>
  <r>
    <n v="119"/>
    <x v="9"/>
    <x v="61"/>
    <x v="11"/>
    <n v="24947"/>
    <n v="24784"/>
    <n v="163"/>
    <m/>
    <n v="13509"/>
    <m/>
    <m/>
    <m/>
    <n v="1.834628766"/>
    <n v="44.661462995452752"/>
    <n v="24947"/>
    <n v="167"/>
    <n v="-72"/>
    <n v="274"/>
    <n v="239"/>
    <n v="13509"/>
    <x v="0"/>
    <m/>
    <n v="24784"/>
    <n v="149"/>
    <x v="0"/>
    <x v="0"/>
    <n v="1.834628766"/>
  </r>
  <r>
    <n v="119"/>
    <x v="9"/>
    <x v="61"/>
    <x v="12"/>
    <n v="24852"/>
    <n v="24688"/>
    <n v="164"/>
    <m/>
    <n v="13657"/>
    <m/>
    <m/>
    <m/>
    <n v="1.807717654"/>
    <n v="44.491388878943027"/>
    <n v="24852"/>
    <n v="178"/>
    <n v="-97"/>
    <n v="2"/>
    <n v="275"/>
    <n v="13657"/>
    <x v="0"/>
    <m/>
    <n v="24688"/>
    <n v="159"/>
    <x v="0"/>
    <x v="0"/>
    <n v="1.807717654"/>
  </r>
  <r>
    <n v="121"/>
    <x v="13"/>
    <x v="62"/>
    <x v="0"/>
    <n v="4815"/>
    <n v="4471"/>
    <n v="344"/>
    <n v="2.61"/>
    <n v="2177"/>
    <n v="1711"/>
    <n v="466"/>
    <n v="21.41"/>
    <n v="2.0537436840000001"/>
    <n v="1.9085179753458321"/>
    <m/>
    <m/>
    <m/>
    <m/>
    <m/>
    <m/>
    <x v="0"/>
    <m/>
    <m/>
    <m/>
    <x v="0"/>
    <x v="0"/>
    <m/>
  </r>
  <r>
    <n v="121"/>
    <x v="13"/>
    <x v="62"/>
    <x v="1"/>
    <n v="4608"/>
    <n v="4489"/>
    <n v="119"/>
    <n v="2.35"/>
    <n v="2187"/>
    <n v="1914"/>
    <n v="273"/>
    <n v="12.47"/>
    <n v="2.052583448"/>
    <n v="1.8264695390225534"/>
    <m/>
    <m/>
    <m/>
    <m/>
    <m/>
    <m/>
    <x v="0"/>
    <m/>
    <m/>
    <m/>
    <x v="0"/>
    <x v="0"/>
    <m/>
  </r>
  <r>
    <n v="121"/>
    <x v="13"/>
    <x v="62"/>
    <x v="2"/>
    <n v="4560"/>
    <n v="4506"/>
    <n v="54"/>
    <n v="2.35"/>
    <n v="2195"/>
    <n v="1916"/>
    <n v="279"/>
    <n v="12.71"/>
    <n v="2.0528473800000002"/>
    <n v="1.8074438146577352"/>
    <m/>
    <m/>
    <m/>
    <m/>
    <m/>
    <m/>
    <x v="0"/>
    <m/>
    <m/>
    <m/>
    <x v="0"/>
    <x v="0"/>
    <m/>
  </r>
  <r>
    <n v="121"/>
    <x v="13"/>
    <x v="62"/>
    <x v="3"/>
    <n v="4614"/>
    <n v="4521"/>
    <n v="93"/>
    <n v="2.36"/>
    <n v="2199"/>
    <n v="1917"/>
    <n v="282"/>
    <n v="12.82"/>
    <n v="2.0559345160000002"/>
    <n v="1.8288477545681556"/>
    <m/>
    <m/>
    <m/>
    <m/>
    <m/>
    <m/>
    <x v="0"/>
    <m/>
    <m/>
    <m/>
    <x v="0"/>
    <x v="0"/>
    <m/>
  </r>
  <r>
    <n v="121"/>
    <x v="13"/>
    <x v="62"/>
    <x v="4"/>
    <n v="4617"/>
    <n v="4537"/>
    <n v="80"/>
    <n v="2.37"/>
    <n v="2205"/>
    <n v="1918"/>
    <n v="287"/>
    <n v="13"/>
    <n v="2.0575963719999999"/>
    <n v="1.8300368623409569"/>
    <m/>
    <m/>
    <m/>
    <m/>
    <m/>
    <m/>
    <x v="0"/>
    <m/>
    <m/>
    <m/>
    <x v="0"/>
    <x v="0"/>
    <m/>
  </r>
  <r>
    <n v="121"/>
    <x v="13"/>
    <x v="62"/>
    <x v="5"/>
    <n v="4682"/>
    <n v="4555"/>
    <n v="127"/>
    <n v="2.37"/>
    <n v="2215"/>
    <n v="1921"/>
    <n v="294"/>
    <n v="13.29"/>
    <n v="2.0564334089999998"/>
    <n v="1.8558008640849815"/>
    <m/>
    <m/>
    <m/>
    <m/>
    <m/>
    <m/>
    <x v="0"/>
    <m/>
    <m/>
    <m/>
    <x v="0"/>
    <x v="0"/>
    <m/>
  </r>
  <r>
    <n v="121"/>
    <x v="13"/>
    <x v="62"/>
    <x v="6"/>
    <n v="4745"/>
    <n v="4574"/>
    <n v="171"/>
    <n v="2.38"/>
    <n v="2227"/>
    <n v="1923"/>
    <n v="304"/>
    <n v="13.63"/>
    <n v="2.0538841489999999"/>
    <n v="1.8807721273138054"/>
    <m/>
    <m/>
    <m/>
    <m/>
    <m/>
    <m/>
    <x v="0"/>
    <m/>
    <m/>
    <m/>
    <x v="0"/>
    <x v="0"/>
    <m/>
  </r>
  <r>
    <n v="121"/>
    <x v="13"/>
    <x v="62"/>
    <x v="7"/>
    <n v="4845"/>
    <n v="4593"/>
    <n v="252"/>
    <n v="2.38"/>
    <n v="2239"/>
    <n v="1926"/>
    <n v="313"/>
    <n v="13.97"/>
    <n v="2.0513622150000002"/>
    <n v="1.9204090530738436"/>
    <m/>
    <m/>
    <m/>
    <m/>
    <m/>
    <m/>
    <x v="0"/>
    <m/>
    <m/>
    <m/>
    <x v="0"/>
    <x v="0"/>
    <m/>
  </r>
  <r>
    <n v="121"/>
    <x v="13"/>
    <x v="62"/>
    <x v="8"/>
    <n v="4812"/>
    <n v="4612"/>
    <n v="200"/>
    <n v="2.39"/>
    <n v="2249"/>
    <n v="1928"/>
    <n v="321"/>
    <n v="14.26"/>
    <n v="2.0506891949999999"/>
    <n v="1.9073288675730309"/>
    <m/>
    <m/>
    <m/>
    <m/>
    <m/>
    <m/>
    <x v="0"/>
    <m/>
    <m/>
    <m/>
    <x v="0"/>
    <x v="0"/>
    <m/>
  </r>
  <r>
    <n v="121"/>
    <x v="13"/>
    <x v="62"/>
    <x v="9"/>
    <n v="4826"/>
    <n v="4635"/>
    <n v="191"/>
    <n v="2.4"/>
    <n v="2268"/>
    <n v="1933"/>
    <n v="335"/>
    <n v="14.78"/>
    <n v="2.0436507939999999"/>
    <n v="1.9128780371794363"/>
    <m/>
    <m/>
    <m/>
    <m/>
    <m/>
    <m/>
    <x v="0"/>
    <m/>
    <m/>
    <m/>
    <x v="0"/>
    <x v="0"/>
    <m/>
  </r>
  <r>
    <n v="121"/>
    <x v="13"/>
    <x v="62"/>
    <x v="10"/>
    <n v="4811"/>
    <n v="4645"/>
    <n v="166"/>
    <m/>
    <n v="2278"/>
    <m/>
    <m/>
    <m/>
    <n v="2.039069359"/>
    <n v="1.9069324983154305"/>
    <n v="4811"/>
    <n v="43"/>
    <n v="-22"/>
    <n v="7"/>
    <n v="65"/>
    <n v="2278"/>
    <x v="0"/>
    <m/>
    <n v="4645"/>
    <n v="7"/>
    <x v="0"/>
    <x v="0"/>
    <n v="2.039069359"/>
  </r>
  <r>
    <n v="121"/>
    <x v="13"/>
    <x v="62"/>
    <x v="11"/>
    <n v="4870"/>
    <n v="4705"/>
    <n v="165"/>
    <m/>
    <n v="2287"/>
    <m/>
    <m/>
    <m/>
    <n v="2.0572802800000001"/>
    <n v="1.9303182845138531"/>
    <n v="4870"/>
    <n v="50"/>
    <n v="-18"/>
    <n v="77"/>
    <n v="68"/>
    <n v="2287"/>
    <x v="0"/>
    <m/>
    <n v="4705"/>
    <n v="1"/>
    <x v="0"/>
    <x v="0"/>
    <n v="2.0572802800000001"/>
  </r>
  <r>
    <n v="121"/>
    <x v="13"/>
    <x v="62"/>
    <x v="12"/>
    <n v="4835"/>
    <n v="4671"/>
    <n v="164"/>
    <m/>
    <n v="2289"/>
    <m/>
    <m/>
    <m/>
    <n v="2.040629096"/>
    <n v="1.9164453604978398"/>
    <n v="4835"/>
    <n v="49"/>
    <n v="-28"/>
    <n v="-7"/>
    <n v="77"/>
    <n v="2289"/>
    <x v="0"/>
    <m/>
    <n v="4671"/>
    <n v="4"/>
    <x v="0"/>
    <x v="0"/>
    <n v="2.040629096"/>
  </r>
  <r>
    <n v="123"/>
    <x v="12"/>
    <x v="63"/>
    <x v="0"/>
    <n v="254230"/>
    <n v="248335"/>
    <n v="5895"/>
    <n v="2.76"/>
    <n v="96540"/>
    <n v="89831"/>
    <n v="6709"/>
    <n v="6.95"/>
    <n v="2.5723534290000001"/>
    <n v="63.338349311382615"/>
    <m/>
    <m/>
    <m/>
    <m/>
    <m/>
    <m/>
    <x v="0"/>
    <m/>
    <m/>
    <m/>
    <x v="0"/>
    <x v="0"/>
    <m/>
  </r>
  <r>
    <n v="123"/>
    <x v="12"/>
    <x v="63"/>
    <x v="1"/>
    <n v="258702"/>
    <n v="252808"/>
    <n v="5894"/>
    <n v="2.77"/>
    <n v="97321"/>
    <n v="91197"/>
    <n v="6124"/>
    <n v="6.29"/>
    <n v="2.5976716230000001"/>
    <n v="64.452494369481585"/>
    <m/>
    <m/>
    <m/>
    <m/>
    <m/>
    <m/>
    <x v="0"/>
    <m/>
    <m/>
    <m/>
    <x v="0"/>
    <x v="0"/>
    <m/>
  </r>
  <r>
    <n v="123"/>
    <x v="12"/>
    <x v="63"/>
    <x v="2"/>
    <n v="263850"/>
    <n v="257957"/>
    <n v="5893"/>
    <n v="2.78"/>
    <n v="98257"/>
    <n v="92799"/>
    <n v="5458"/>
    <n v="5.55"/>
    <n v="2.6253294930000002"/>
    <n v="65.73505670380483"/>
    <m/>
    <m/>
    <m/>
    <m/>
    <m/>
    <m/>
    <x v="0"/>
    <m/>
    <m/>
    <m/>
    <x v="0"/>
    <x v="0"/>
    <m/>
  </r>
  <r>
    <n v="123"/>
    <x v="12"/>
    <x v="63"/>
    <x v="3"/>
    <n v="269770"/>
    <n v="263855"/>
    <n v="5915"/>
    <n v="2.79"/>
    <n v="99547"/>
    <n v="94661"/>
    <n v="4886"/>
    <n v="4.91"/>
    <n v="2.6505570230000002"/>
    <n v="67.209953560680049"/>
    <m/>
    <m/>
    <m/>
    <m/>
    <m/>
    <m/>
    <x v="0"/>
    <m/>
    <m/>
    <m/>
    <x v="0"/>
    <x v="0"/>
    <m/>
  </r>
  <r>
    <n v="123"/>
    <x v="12"/>
    <x v="63"/>
    <x v="4"/>
    <n v="275994"/>
    <n v="270649"/>
    <n v="5345"/>
    <n v="2.79"/>
    <n v="101046"/>
    <n v="96834"/>
    <n v="4212"/>
    <n v="4.17"/>
    <n v="2.6784731709999998"/>
    <n v="68.760588364259661"/>
    <m/>
    <m/>
    <m/>
    <m/>
    <m/>
    <m/>
    <x v="0"/>
    <m/>
    <m/>
    <m/>
    <x v="0"/>
    <x v="0"/>
    <m/>
  </r>
  <r>
    <n v="123"/>
    <x v="12"/>
    <x v="63"/>
    <x v="5"/>
    <n v="284855"/>
    <n v="279217"/>
    <n v="5638"/>
    <n v="2.8"/>
    <n v="103354"/>
    <n v="99627"/>
    <n v="3727"/>
    <n v="3.61"/>
    <n v="2.7015596880000001"/>
    <n v="70.96820002790345"/>
    <m/>
    <m/>
    <m/>
    <m/>
    <m/>
    <m/>
    <x v="0"/>
    <m/>
    <m/>
    <m/>
    <x v="0"/>
    <x v="0"/>
    <m/>
  </r>
  <r>
    <n v="123"/>
    <x v="12"/>
    <x v="63"/>
    <x v="6"/>
    <n v="294513"/>
    <n v="288943"/>
    <n v="5570"/>
    <n v="2.81"/>
    <n v="106316"/>
    <n v="102818"/>
    <n v="3498"/>
    <n v="3.29"/>
    <n v="2.717775311"/>
    <n v="73.374374663663716"/>
    <m/>
    <m/>
    <m/>
    <m/>
    <m/>
    <m/>
    <x v="0"/>
    <m/>
    <m/>
    <m/>
    <x v="0"/>
    <x v="0"/>
    <m/>
  </r>
  <r>
    <n v="123"/>
    <x v="12"/>
    <x v="63"/>
    <x v="7"/>
    <n v="304595"/>
    <n v="299012"/>
    <n v="5583"/>
    <n v="2.82"/>
    <n v="109489"/>
    <n v="106113"/>
    <n v="3376"/>
    <n v="3.08"/>
    <n v="2.7309775410000001"/>
    <n v="75.886183804038026"/>
    <m/>
    <m/>
    <m/>
    <m/>
    <m/>
    <m/>
    <x v="0"/>
    <m/>
    <m/>
    <m/>
    <x v="0"/>
    <x v="0"/>
    <m/>
  </r>
  <r>
    <n v="123"/>
    <x v="12"/>
    <x v="63"/>
    <x v="8"/>
    <n v="313219"/>
    <n v="307854"/>
    <n v="5365"/>
    <n v="2.83"/>
    <n v="113019"/>
    <n v="108956"/>
    <n v="4063"/>
    <n v="3.59"/>
    <n v="2.7239136780000002"/>
    <n v="78.03474976581029"/>
    <m/>
    <m/>
    <m/>
    <m/>
    <m/>
    <m/>
    <x v="0"/>
    <m/>
    <m/>
    <m/>
    <x v="0"/>
    <x v="0"/>
    <m/>
  </r>
  <r>
    <n v="123"/>
    <x v="12"/>
    <x v="63"/>
    <x v="9"/>
    <n v="322335"/>
    <n v="316706"/>
    <n v="5629"/>
    <n v="2.83"/>
    <n v="116937"/>
    <n v="111787"/>
    <n v="5150"/>
    <n v="4.4000000000000004"/>
    <n v="2.7083472300000002"/>
    <n v="80.305891615012058"/>
    <m/>
    <m/>
    <m/>
    <m/>
    <m/>
    <m/>
    <x v="0"/>
    <m/>
    <m/>
    <m/>
    <x v="0"/>
    <x v="0"/>
    <m/>
  </r>
  <r>
    <n v="123"/>
    <x v="12"/>
    <x v="63"/>
    <x v="10"/>
    <n v="331423"/>
    <n v="326233"/>
    <n v="5190"/>
    <m/>
    <n v="120949"/>
    <m/>
    <m/>
    <m/>
    <n v="2.6972773650000001"/>
    <n v="82.570057600701574"/>
    <n v="331423"/>
    <n v="4431"/>
    <n v="2403"/>
    <n v="6685"/>
    <n v="2028"/>
    <n v="120949"/>
    <x v="0"/>
    <m/>
    <n v="326233"/>
    <n v="4185"/>
    <x v="0"/>
    <x v="0"/>
    <n v="2.6972773650000001"/>
  </r>
  <r>
    <n v="123"/>
    <x v="12"/>
    <x v="63"/>
    <x v="11"/>
    <n v="339865"/>
    <n v="335432"/>
    <n v="4433"/>
    <m/>
    <n v="124749"/>
    <m/>
    <m/>
    <m/>
    <n v="2.6888552209999999"/>
    <n v="84.673280449644224"/>
    <n v="339865"/>
    <n v="4433"/>
    <n v="2163"/>
    <n v="6279"/>
    <n v="2270"/>
    <n v="124749"/>
    <x v="0"/>
    <m/>
    <n v="335432"/>
    <n v="5268"/>
    <x v="0"/>
    <x v="0"/>
    <n v="2.6888552209999999"/>
  </r>
  <r>
    <n v="123"/>
    <x v="12"/>
    <x v="63"/>
    <x v="12"/>
    <n v="350206"/>
    <n v="345788"/>
    <n v="4418"/>
    <m/>
    <n v="129656"/>
    <m/>
    <m/>
    <m/>
    <n v="2.6669648920000002"/>
    <n v="87.249616327506828"/>
    <n v="350206"/>
    <n v="4613"/>
    <n v="2016"/>
    <n v="8325"/>
    <n v="2597"/>
    <n v="129656"/>
    <x v="0"/>
    <m/>
    <n v="345788"/>
    <n v="6143"/>
    <x v="0"/>
    <x v="0"/>
    <n v="2.6669648920000002"/>
  </r>
  <r>
    <n v="125"/>
    <x v="13"/>
    <x v="64"/>
    <x v="0"/>
    <n v="10032"/>
    <n v="9836"/>
    <n v="196"/>
    <n v="2.63"/>
    <n v="4227"/>
    <n v="3740"/>
    <n v="487"/>
    <n v="11.52"/>
    <n v="2.3269458240000001"/>
    <n v="4.2336080620861658"/>
    <m/>
    <m/>
    <m/>
    <m/>
    <m/>
    <m/>
    <x v="0"/>
    <m/>
    <m/>
    <m/>
    <x v="0"/>
    <x v="0"/>
    <m/>
  </r>
  <r>
    <n v="125"/>
    <x v="13"/>
    <x v="64"/>
    <x v="1"/>
    <n v="10111"/>
    <n v="9832"/>
    <n v="279"/>
    <n v="2.5"/>
    <n v="4237"/>
    <n v="3938"/>
    <n v="299"/>
    <n v="7.07"/>
    <n v="2.320509795"/>
    <n v="4.2669468815543485"/>
    <m/>
    <m/>
    <m/>
    <m/>
    <m/>
    <m/>
    <x v="0"/>
    <m/>
    <m/>
    <m/>
    <x v="0"/>
    <x v="0"/>
    <m/>
  </r>
  <r>
    <n v="125"/>
    <x v="13"/>
    <x v="64"/>
    <x v="2"/>
    <n v="10078"/>
    <n v="9830"/>
    <n v="248"/>
    <n v="2.5"/>
    <n v="4246"/>
    <n v="3929"/>
    <n v="317"/>
    <n v="7.47"/>
    <n v="2.3151201129999999"/>
    <n v="4.2530205392448543"/>
    <m/>
    <m/>
    <m/>
    <m/>
    <m/>
    <m/>
    <x v="0"/>
    <m/>
    <m/>
    <m/>
    <x v="0"/>
    <x v="0"/>
    <m/>
  </r>
  <r>
    <n v="125"/>
    <x v="13"/>
    <x v="64"/>
    <x v="3"/>
    <n v="10143"/>
    <n v="9830"/>
    <n v="313"/>
    <n v="2.5099999999999998"/>
    <n v="4254"/>
    <n v="3921"/>
    <n v="333"/>
    <n v="7.82"/>
    <n v="2.3107663380000001"/>
    <n v="4.280451213490827"/>
    <m/>
    <m/>
    <m/>
    <m/>
    <m/>
    <m/>
    <x v="0"/>
    <m/>
    <m/>
    <m/>
    <x v="0"/>
    <x v="0"/>
    <m/>
  </r>
  <r>
    <n v="125"/>
    <x v="13"/>
    <x v="64"/>
    <x v="4"/>
    <n v="10188"/>
    <n v="9823"/>
    <n v="365"/>
    <n v="2.5099999999999998"/>
    <n v="4265"/>
    <n v="3911"/>
    <n v="354"/>
    <n v="8.3000000000000007"/>
    <n v="2.3031652990000002"/>
    <n v="4.2994416802765008"/>
    <m/>
    <m/>
    <m/>
    <m/>
    <m/>
    <m/>
    <x v="0"/>
    <m/>
    <m/>
    <m/>
    <x v="0"/>
    <x v="0"/>
    <m/>
  </r>
  <r>
    <n v="125"/>
    <x v="13"/>
    <x v="64"/>
    <x v="5"/>
    <n v="10039"/>
    <n v="9799"/>
    <n v="240"/>
    <n v="2.52"/>
    <n v="4283"/>
    <n v="3894"/>
    <n v="389"/>
    <n v="9.08"/>
    <n v="2.287882325"/>
    <n v="4.2365621346972704"/>
    <m/>
    <m/>
    <m/>
    <m/>
    <m/>
    <m/>
    <x v="0"/>
    <m/>
    <m/>
    <m/>
    <x v="0"/>
    <x v="0"/>
    <m/>
  </r>
  <r>
    <n v="125"/>
    <x v="13"/>
    <x v="64"/>
    <x v="6"/>
    <n v="10056"/>
    <n v="9792"/>
    <n v="264"/>
    <n v="2.52"/>
    <n v="4294"/>
    <n v="3884"/>
    <n v="410"/>
    <n v="9.56"/>
    <n v="2.280391244"/>
    <n v="4.2437363110385249"/>
    <m/>
    <m/>
    <m/>
    <m/>
    <m/>
    <m/>
    <x v="0"/>
    <m/>
    <m/>
    <m/>
    <x v="0"/>
    <x v="0"/>
    <m/>
  </r>
  <r>
    <n v="125"/>
    <x v="13"/>
    <x v="64"/>
    <x v="7"/>
    <n v="9973"/>
    <n v="9787"/>
    <n v="186"/>
    <n v="2.5299999999999998"/>
    <n v="4304"/>
    <n v="3874"/>
    <n v="430"/>
    <n v="9.99"/>
    <n v="2.2739312269999998"/>
    <n v="4.2087094500782829"/>
    <m/>
    <m/>
    <m/>
    <m/>
    <m/>
    <m/>
    <x v="0"/>
    <m/>
    <m/>
    <m/>
    <x v="0"/>
    <x v="0"/>
    <m/>
  </r>
  <r>
    <n v="125"/>
    <x v="13"/>
    <x v="64"/>
    <x v="8"/>
    <n v="9955"/>
    <n v="9789"/>
    <n v="166"/>
    <n v="2.5299999999999998"/>
    <n v="4311"/>
    <n v="3867"/>
    <n v="444"/>
    <n v="10.29"/>
    <n v="2.270702853"/>
    <n v="4.2011132633640136"/>
    <m/>
    <m/>
    <m/>
    <m/>
    <m/>
    <m/>
    <x v="0"/>
    <m/>
    <m/>
    <m/>
    <x v="0"/>
    <x v="0"/>
    <m/>
  </r>
  <r>
    <n v="125"/>
    <x v="13"/>
    <x v="64"/>
    <x v="9"/>
    <n v="10010"/>
    <n v="9793"/>
    <n v="217"/>
    <n v="2.54"/>
    <n v="4317"/>
    <n v="3862"/>
    <n v="455"/>
    <n v="10.55"/>
    <n v="2.2684734770000001"/>
    <n v="4.2243238338798363"/>
    <m/>
    <m/>
    <m/>
    <m/>
    <m/>
    <m/>
    <x v="0"/>
    <m/>
    <m/>
    <m/>
    <x v="0"/>
    <x v="0"/>
    <m/>
  </r>
  <r>
    <n v="125"/>
    <x v="13"/>
    <x v="64"/>
    <x v="10"/>
    <n v="9977"/>
    <n v="9759"/>
    <n v="218"/>
    <m/>
    <n v="4315"/>
    <m/>
    <m/>
    <m/>
    <n v="2.261645423"/>
    <n v="4.2103974915703422"/>
    <n v="9977"/>
    <n v="116"/>
    <n v="19"/>
    <n v="-52"/>
    <n v="97"/>
    <n v="4315"/>
    <x v="0"/>
    <m/>
    <n v="9759"/>
    <n v="6"/>
    <x v="0"/>
    <x v="0"/>
    <n v="2.261645423"/>
  </r>
  <r>
    <n v="125"/>
    <x v="13"/>
    <x v="64"/>
    <x v="11"/>
    <n v="9932"/>
    <n v="9750"/>
    <n v="182"/>
    <m/>
    <n v="4320"/>
    <m/>
    <m/>
    <m/>
    <n v="2.2569444440000002"/>
    <n v="4.1914070247846693"/>
    <n v="9932"/>
    <n v="134"/>
    <n v="8"/>
    <n v="-53"/>
    <n v="126"/>
    <n v="4320"/>
    <x v="0"/>
    <m/>
    <n v="9750"/>
    <n v="4"/>
    <x v="0"/>
    <x v="0"/>
    <n v="2.2569444440000002"/>
  </r>
  <r>
    <n v="125"/>
    <x v="13"/>
    <x v="64"/>
    <x v="12"/>
    <n v="9920"/>
    <n v="9757"/>
    <n v="163"/>
    <m/>
    <n v="4326"/>
    <m/>
    <m/>
    <m/>
    <n v="2.25543227"/>
    <n v="4.1863429003084898"/>
    <n v="9920"/>
    <n v="140"/>
    <n v="45"/>
    <n v="-57"/>
    <n v="95"/>
    <n v="4326"/>
    <x v="0"/>
    <m/>
    <n v="9757"/>
    <n v="20"/>
    <x v="0"/>
    <x v="0"/>
    <n v="2.255432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0DC14-48A4-8C4B-9C14-E972AFB77F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70" firstHeaderRow="1" firstDataRow="2" firstDataCol="1"/>
  <pivotFields count="27">
    <pivotField showAll="0"/>
    <pivotField showAll="0"/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</pivotFields>
  <rowFields count="1">
    <field x="2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64C7C-E7D6-BD4A-BEC7-D4C504A10DC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O22" firstHeaderRow="1" firstDataRow="2" firstDataCol="1"/>
  <pivotFields count="27">
    <pivotField showAll="0"/>
    <pivotField axis="axisRow" showAll="0">
      <items count="16">
        <item x="6"/>
        <item x="13"/>
        <item x="12"/>
        <item x="0"/>
        <item x="9"/>
        <item x="5"/>
        <item x="3"/>
        <item x="14"/>
        <item x="1"/>
        <item x="2"/>
        <item x="7"/>
        <item x="10"/>
        <item x="8"/>
        <item x="4"/>
        <item x="11"/>
        <item t="default"/>
      </items>
    </pivotField>
    <pivotField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Density (pers/sq mi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graphy.dola.colorado.gov/assets/html/county.html" TargetMode="External"/><Relationship Id="rId1" Type="http://schemas.openxmlformats.org/officeDocument/2006/relationships/hyperlink" Target="https://demography.dola.colorado.gov/assets/html/county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32BA-27F3-564F-89A9-8AD95816E0D6}">
  <sheetPr>
    <tabColor theme="9"/>
  </sheetPr>
  <dimension ref="B2:D4"/>
  <sheetViews>
    <sheetView tabSelected="1" workbookViewId="0">
      <selection activeCell="D3" sqref="D3"/>
    </sheetView>
  </sheetViews>
  <sheetFormatPr baseColWidth="10" defaultRowHeight="16" x14ac:dyDescent="0.2"/>
  <cols>
    <col min="2" max="2" width="53.5703125" bestFit="1" customWidth="1"/>
    <col min="3" max="3" width="18" bestFit="1" customWidth="1"/>
  </cols>
  <sheetData>
    <row r="2" spans="2:4" x14ac:dyDescent="0.2">
      <c r="B2" t="s">
        <v>227</v>
      </c>
      <c r="C2" t="s">
        <v>231</v>
      </c>
      <c r="D2" t="s">
        <v>229</v>
      </c>
    </row>
    <row r="3" spans="2:4" x14ac:dyDescent="0.2">
      <c r="B3" t="s">
        <v>228</v>
      </c>
      <c r="C3" t="s">
        <v>232</v>
      </c>
      <c r="D3" s="18" t="s">
        <v>230</v>
      </c>
    </row>
    <row r="4" spans="2:4" x14ac:dyDescent="0.2">
      <c r="B4" t="s">
        <v>233</v>
      </c>
      <c r="C4" t="s">
        <v>234</v>
      </c>
      <c r="D4" s="18" t="s">
        <v>230</v>
      </c>
    </row>
  </sheetData>
  <hyperlinks>
    <hyperlink ref="D3" r:id="rId1" xr:uid="{DDC87776-B576-A246-A642-AE0BD9DA5667}"/>
    <hyperlink ref="D4" r:id="rId2" xr:uid="{51428243-DC6F-FA4B-8817-29776ED662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F337-0459-7F45-8220-43FEC9FE6C1C}">
  <sheetPr>
    <tabColor theme="9"/>
  </sheetPr>
  <dimension ref="A1:P197"/>
  <sheetViews>
    <sheetView workbookViewId="0"/>
  </sheetViews>
  <sheetFormatPr baseColWidth="10" defaultColWidth="7.5703125" defaultRowHeight="13" x14ac:dyDescent="0.15"/>
  <cols>
    <col min="1" max="1" width="8.42578125" style="1" customWidth="1"/>
    <col min="2" max="2" width="21.85546875" style="10" customWidth="1"/>
    <col min="3" max="3" width="7.7109375" style="10" customWidth="1"/>
    <col min="4" max="4" width="12.42578125" style="10" customWidth="1"/>
    <col min="5" max="5" width="6.140625" style="10" customWidth="1"/>
    <col min="6" max="6" width="14.85546875" style="10" customWidth="1"/>
    <col min="7" max="7" width="13.28515625" style="10" customWidth="1"/>
    <col min="8" max="8" width="5.42578125" style="10" customWidth="1"/>
    <col min="9" max="9" width="13.7109375" style="10" customWidth="1"/>
    <col min="10" max="10" width="10.42578125" style="10" customWidth="1"/>
    <col min="11" max="11" width="11" style="10" customWidth="1"/>
    <col min="12" max="12" width="17" style="10" customWidth="1"/>
    <col min="13" max="13" width="16.42578125" style="10" customWidth="1"/>
    <col min="14" max="14" width="12" style="10" customWidth="1"/>
    <col min="15" max="15" width="15.42578125" style="10" customWidth="1"/>
    <col min="16" max="16" width="13.85546875" style="10" customWidth="1"/>
    <col min="17" max="16384" width="7.5703125" style="10"/>
  </cols>
  <sheetData>
    <row r="1" spans="1:16" x14ac:dyDescent="0.15">
      <c r="A1" s="1" t="s">
        <v>131</v>
      </c>
    </row>
    <row r="2" spans="1:16" s="2" customFormat="1" ht="28" x14ac:dyDescent="0.15">
      <c r="A2" s="14" t="s">
        <v>208</v>
      </c>
      <c r="B2" s="2" t="s">
        <v>209</v>
      </c>
      <c r="C2" s="2" t="s">
        <v>210</v>
      </c>
      <c r="D2" s="2" t="s">
        <v>211</v>
      </c>
      <c r="E2" s="2" t="s">
        <v>212</v>
      </c>
      <c r="F2" s="2" t="s">
        <v>213</v>
      </c>
      <c r="G2" s="2" t="s">
        <v>214</v>
      </c>
      <c r="H2" s="2" t="s">
        <v>215</v>
      </c>
      <c r="I2" s="2" t="s">
        <v>216</v>
      </c>
      <c r="J2" s="2" t="s">
        <v>217</v>
      </c>
      <c r="K2" s="2" t="s">
        <v>218</v>
      </c>
      <c r="L2" s="2" t="s">
        <v>219</v>
      </c>
      <c r="M2" s="2" t="s">
        <v>220</v>
      </c>
      <c r="N2" s="2" t="s">
        <v>221</v>
      </c>
      <c r="O2" s="2" t="s">
        <v>222</v>
      </c>
      <c r="P2" s="2" t="s">
        <v>223</v>
      </c>
    </row>
    <row r="3" spans="1:16" x14ac:dyDescent="0.15">
      <c r="A3" s="10" t="s">
        <v>1</v>
      </c>
      <c r="B3" s="10" t="s">
        <v>2</v>
      </c>
      <c r="C3" s="10">
        <v>2020</v>
      </c>
      <c r="D3" s="10">
        <v>5784584</v>
      </c>
      <c r="E3" s="10">
        <v>62809</v>
      </c>
      <c r="F3" s="10">
        <v>20660</v>
      </c>
      <c r="G3" s="10">
        <v>29011</v>
      </c>
      <c r="H3" s="10">
        <v>42149</v>
      </c>
      <c r="I3" s="10">
        <v>2501178</v>
      </c>
      <c r="L3" s="10">
        <v>5659934</v>
      </c>
      <c r="M3" s="10">
        <v>40469</v>
      </c>
      <c r="P3" s="10">
        <v>2.2629073179999999</v>
      </c>
    </row>
    <row r="4" spans="1:16" x14ac:dyDescent="0.15">
      <c r="A4" s="10" t="s">
        <v>3</v>
      </c>
      <c r="B4" s="10" t="s">
        <v>4</v>
      </c>
      <c r="C4" s="10">
        <v>2020</v>
      </c>
      <c r="D4" s="10">
        <v>520433</v>
      </c>
      <c r="E4" s="10">
        <v>6805</v>
      </c>
      <c r="F4" s="10">
        <v>3403</v>
      </c>
      <c r="G4" s="10">
        <v>548</v>
      </c>
      <c r="H4" s="10">
        <v>3402</v>
      </c>
      <c r="I4" s="10">
        <v>187288</v>
      </c>
      <c r="L4" s="10">
        <v>515957</v>
      </c>
      <c r="M4" s="10">
        <v>4027</v>
      </c>
      <c r="P4" s="10">
        <v>2.7548855240000001</v>
      </c>
    </row>
    <row r="5" spans="1:16" x14ac:dyDescent="0.15">
      <c r="A5" s="10" t="s">
        <v>5</v>
      </c>
      <c r="B5" s="10" t="s">
        <v>6</v>
      </c>
      <c r="C5" s="10">
        <v>2020</v>
      </c>
      <c r="D5" s="10">
        <v>16371</v>
      </c>
      <c r="E5" s="10">
        <v>187</v>
      </c>
      <c r="F5" s="10">
        <v>28</v>
      </c>
      <c r="G5" s="10">
        <v>96</v>
      </c>
      <c r="H5" s="10">
        <v>159</v>
      </c>
      <c r="I5" s="10">
        <v>7072</v>
      </c>
      <c r="L5" s="10">
        <v>15411</v>
      </c>
      <c r="M5" s="10">
        <v>62</v>
      </c>
      <c r="P5" s="10">
        <v>2.1791572399999999</v>
      </c>
    </row>
    <row r="6" spans="1:16" x14ac:dyDescent="0.15">
      <c r="A6" s="10" t="s">
        <v>7</v>
      </c>
      <c r="B6" s="10" t="s">
        <v>8</v>
      </c>
      <c r="C6" s="10">
        <v>2020</v>
      </c>
      <c r="D6" s="10">
        <v>655212</v>
      </c>
      <c r="E6" s="10">
        <v>7580</v>
      </c>
      <c r="F6" s="10">
        <v>2964</v>
      </c>
      <c r="G6" s="10">
        <v>-1556</v>
      </c>
      <c r="H6" s="10">
        <v>4616</v>
      </c>
      <c r="I6" s="10">
        <v>263241</v>
      </c>
      <c r="L6" s="10">
        <v>649825</v>
      </c>
      <c r="M6" s="10">
        <v>4116</v>
      </c>
      <c r="P6" s="10">
        <v>2.4685554299999999</v>
      </c>
    </row>
    <row r="7" spans="1:16" x14ac:dyDescent="0.15">
      <c r="A7" s="10" t="s">
        <v>9</v>
      </c>
      <c r="B7" s="10" t="s">
        <v>10</v>
      </c>
      <c r="C7" s="10">
        <v>2020</v>
      </c>
      <c r="D7" s="10">
        <v>13428</v>
      </c>
      <c r="E7" s="10">
        <v>102</v>
      </c>
      <c r="F7" s="10">
        <v>-8</v>
      </c>
      <c r="G7" s="10">
        <v>242</v>
      </c>
      <c r="H7" s="10">
        <v>110</v>
      </c>
      <c r="I7" s="10">
        <v>9537</v>
      </c>
      <c r="L7" s="10">
        <v>13330</v>
      </c>
      <c r="M7" s="10">
        <v>153</v>
      </c>
      <c r="P7" s="10">
        <v>1.3977141660000001</v>
      </c>
    </row>
    <row r="8" spans="1:16" x14ac:dyDescent="0.15">
      <c r="A8" s="10" t="s">
        <v>11</v>
      </c>
      <c r="B8" s="10" t="s">
        <v>12</v>
      </c>
      <c r="C8" s="10">
        <v>2020</v>
      </c>
      <c r="D8" s="10">
        <v>3478</v>
      </c>
      <c r="E8" s="10">
        <v>40</v>
      </c>
      <c r="F8" s="10">
        <v>-28</v>
      </c>
      <c r="G8" s="10">
        <v>-59</v>
      </c>
      <c r="H8" s="10">
        <v>68</v>
      </c>
      <c r="I8" s="10">
        <v>1972</v>
      </c>
      <c r="L8" s="10">
        <v>3424</v>
      </c>
      <c r="M8" s="10">
        <v>2</v>
      </c>
      <c r="P8" s="10">
        <v>1.7363083159999999</v>
      </c>
    </row>
    <row r="9" spans="1:16" x14ac:dyDescent="0.15">
      <c r="A9" s="10" t="s">
        <v>13</v>
      </c>
      <c r="B9" s="10" t="s">
        <v>14</v>
      </c>
      <c r="C9" s="10">
        <v>2020</v>
      </c>
      <c r="D9" s="10">
        <v>5477</v>
      </c>
      <c r="E9" s="10">
        <v>43</v>
      </c>
      <c r="F9" s="10">
        <v>-28</v>
      </c>
      <c r="G9" s="10">
        <v>-475</v>
      </c>
      <c r="H9" s="10">
        <v>71</v>
      </c>
      <c r="I9" s="10">
        <v>2136</v>
      </c>
      <c r="L9" s="10">
        <v>4071</v>
      </c>
      <c r="M9" s="10">
        <v>5</v>
      </c>
      <c r="P9" s="10">
        <v>1.905898876</v>
      </c>
    </row>
    <row r="10" spans="1:16" x14ac:dyDescent="0.15">
      <c r="A10" s="10" t="s">
        <v>15</v>
      </c>
      <c r="B10" s="10" t="s">
        <v>16</v>
      </c>
      <c r="C10" s="10">
        <v>2020</v>
      </c>
      <c r="D10" s="10">
        <v>330923</v>
      </c>
      <c r="E10" s="10">
        <v>2507</v>
      </c>
      <c r="F10" s="10">
        <v>467</v>
      </c>
      <c r="G10" s="10">
        <v>1629</v>
      </c>
      <c r="H10" s="10">
        <v>2040</v>
      </c>
      <c r="I10" s="10">
        <v>141291</v>
      </c>
      <c r="L10" s="10">
        <v>315633</v>
      </c>
      <c r="M10" s="10">
        <v>1634</v>
      </c>
      <c r="P10" s="10">
        <v>2.2339214809999999</v>
      </c>
    </row>
    <row r="11" spans="1:16" x14ac:dyDescent="0.15">
      <c r="A11" s="10" t="s">
        <v>17</v>
      </c>
      <c r="B11" s="10" t="s">
        <v>18</v>
      </c>
      <c r="C11" s="10">
        <v>2020</v>
      </c>
      <c r="D11" s="10">
        <v>74494</v>
      </c>
      <c r="E11" s="10">
        <v>642</v>
      </c>
      <c r="F11" s="10">
        <v>210</v>
      </c>
      <c r="G11" s="10">
        <v>1615</v>
      </c>
      <c r="H11" s="10">
        <v>432</v>
      </c>
      <c r="I11" s="10">
        <v>31463</v>
      </c>
      <c r="L11" s="10">
        <v>74013</v>
      </c>
      <c r="M11" s="10">
        <v>427</v>
      </c>
      <c r="P11" s="10">
        <v>2.3523821630000001</v>
      </c>
    </row>
    <row r="12" spans="1:16" x14ac:dyDescent="0.15">
      <c r="A12" s="10" t="s">
        <v>19</v>
      </c>
      <c r="B12" s="10" t="s">
        <v>20</v>
      </c>
      <c r="C12" s="10">
        <v>2020</v>
      </c>
      <c r="D12" s="10">
        <v>19478</v>
      </c>
      <c r="E12" s="10">
        <v>135</v>
      </c>
      <c r="F12" s="10">
        <v>-74</v>
      </c>
      <c r="G12" s="10">
        <v>161</v>
      </c>
      <c r="H12" s="10">
        <v>209</v>
      </c>
      <c r="I12" s="10">
        <v>10993</v>
      </c>
      <c r="L12" s="10">
        <v>18247</v>
      </c>
      <c r="M12" s="10">
        <v>186</v>
      </c>
      <c r="P12" s="10">
        <v>1.659874466</v>
      </c>
    </row>
    <row r="13" spans="1:16" x14ac:dyDescent="0.15">
      <c r="A13" s="10" t="s">
        <v>21</v>
      </c>
      <c r="B13" s="10" t="s">
        <v>22</v>
      </c>
      <c r="C13" s="10">
        <v>2020</v>
      </c>
      <c r="D13" s="10">
        <v>1744</v>
      </c>
      <c r="E13" s="10">
        <v>17</v>
      </c>
      <c r="F13" s="10">
        <v>0</v>
      </c>
      <c r="G13" s="10">
        <v>-33</v>
      </c>
      <c r="H13" s="10">
        <v>17</v>
      </c>
      <c r="I13" s="10">
        <v>929</v>
      </c>
      <c r="L13" s="10">
        <v>1722</v>
      </c>
      <c r="M13" s="10">
        <v>6</v>
      </c>
      <c r="P13" s="10">
        <v>1.853606028</v>
      </c>
    </row>
    <row r="14" spans="1:16" x14ac:dyDescent="0.15">
      <c r="A14" s="10" t="s">
        <v>23</v>
      </c>
      <c r="B14" s="10" t="s">
        <v>24</v>
      </c>
      <c r="C14" s="10">
        <v>2020</v>
      </c>
      <c r="D14" s="10">
        <v>9397</v>
      </c>
      <c r="E14" s="10">
        <v>67</v>
      </c>
      <c r="F14" s="10">
        <v>-6</v>
      </c>
      <c r="G14" s="10">
        <v>-11</v>
      </c>
      <c r="H14" s="10">
        <v>73</v>
      </c>
      <c r="I14" s="10">
        <v>5688</v>
      </c>
      <c r="L14" s="10">
        <v>9315</v>
      </c>
      <c r="M14" s="10">
        <v>94</v>
      </c>
      <c r="P14" s="10">
        <v>1.637658228</v>
      </c>
    </row>
    <row r="15" spans="1:16" x14ac:dyDescent="0.15">
      <c r="A15" s="10" t="s">
        <v>25</v>
      </c>
      <c r="B15" s="10" t="s">
        <v>26</v>
      </c>
      <c r="C15" s="10">
        <v>2020</v>
      </c>
      <c r="D15" s="10">
        <v>7454</v>
      </c>
      <c r="E15" s="10">
        <v>88</v>
      </c>
      <c r="F15" s="10">
        <v>-12</v>
      </c>
      <c r="G15" s="10">
        <v>-85</v>
      </c>
      <c r="H15" s="10">
        <v>100</v>
      </c>
      <c r="I15" s="10">
        <v>4009</v>
      </c>
      <c r="L15" s="10">
        <v>7395</v>
      </c>
      <c r="M15" s="10">
        <v>36</v>
      </c>
      <c r="P15" s="10">
        <v>1.844599651</v>
      </c>
    </row>
    <row r="16" spans="1:16" x14ac:dyDescent="0.15">
      <c r="A16" s="10" t="s">
        <v>27</v>
      </c>
      <c r="B16" s="10" t="s">
        <v>28</v>
      </c>
      <c r="C16" s="10">
        <v>2020</v>
      </c>
      <c r="D16" s="10">
        <v>3503</v>
      </c>
      <c r="E16" s="10">
        <v>28</v>
      </c>
      <c r="F16" s="10">
        <v>-10</v>
      </c>
      <c r="G16" s="10">
        <v>12</v>
      </c>
      <c r="H16" s="10">
        <v>38</v>
      </c>
      <c r="I16" s="10">
        <v>2424</v>
      </c>
      <c r="L16" s="10">
        <v>3491</v>
      </c>
      <c r="M16" s="10">
        <v>0</v>
      </c>
      <c r="P16" s="10">
        <v>1.4401815179999999</v>
      </c>
    </row>
    <row r="17" spans="1:16" x14ac:dyDescent="0.15">
      <c r="A17" s="10" t="s">
        <v>29</v>
      </c>
      <c r="B17" s="10" t="s">
        <v>30</v>
      </c>
      <c r="C17" s="10">
        <v>2020</v>
      </c>
      <c r="D17" s="10">
        <v>5696</v>
      </c>
      <c r="E17" s="10">
        <v>23</v>
      </c>
      <c r="F17" s="10">
        <v>-34</v>
      </c>
      <c r="G17" s="10">
        <v>-110</v>
      </c>
      <c r="H17" s="10">
        <v>57</v>
      </c>
      <c r="I17" s="10">
        <v>1509</v>
      </c>
      <c r="L17" s="10">
        <v>3022</v>
      </c>
      <c r="M17" s="10">
        <v>12</v>
      </c>
      <c r="P17" s="10">
        <v>2.002650762</v>
      </c>
    </row>
    <row r="18" spans="1:16" x14ac:dyDescent="0.15">
      <c r="A18" s="10" t="s">
        <v>31</v>
      </c>
      <c r="B18" s="10" t="s">
        <v>32</v>
      </c>
      <c r="C18" s="10">
        <v>2020</v>
      </c>
      <c r="D18" s="10">
        <v>4720</v>
      </c>
      <c r="E18" s="10">
        <v>39</v>
      </c>
      <c r="F18" s="10">
        <v>-9</v>
      </c>
      <c r="G18" s="10">
        <v>83</v>
      </c>
      <c r="H18" s="10">
        <v>48</v>
      </c>
      <c r="I18" s="10">
        <v>4198</v>
      </c>
      <c r="L18" s="10">
        <v>4717</v>
      </c>
      <c r="M18" s="10">
        <v>118</v>
      </c>
      <c r="P18" s="10">
        <v>1.1236303000000001</v>
      </c>
    </row>
    <row r="19" spans="1:16" x14ac:dyDescent="0.15">
      <c r="A19" s="10" t="s">
        <v>33</v>
      </c>
      <c r="B19" s="10" t="s">
        <v>34</v>
      </c>
      <c r="C19" s="10">
        <v>2020</v>
      </c>
      <c r="D19" s="10">
        <v>31052</v>
      </c>
      <c r="E19" s="10">
        <v>277</v>
      </c>
      <c r="F19" s="10">
        <v>-139</v>
      </c>
      <c r="G19" s="10">
        <v>-46</v>
      </c>
      <c r="H19" s="10">
        <v>416</v>
      </c>
      <c r="I19" s="10">
        <v>14794</v>
      </c>
      <c r="L19" s="10">
        <v>30486</v>
      </c>
      <c r="M19" s="10">
        <v>73</v>
      </c>
      <c r="P19" s="10">
        <v>2.0607002840000002</v>
      </c>
    </row>
    <row r="20" spans="1:16" x14ac:dyDescent="0.15">
      <c r="A20" s="10" t="s">
        <v>35</v>
      </c>
      <c r="B20" s="10" t="s">
        <v>36</v>
      </c>
      <c r="C20" s="10">
        <v>2020</v>
      </c>
      <c r="D20" s="10">
        <v>717545</v>
      </c>
      <c r="E20" s="10">
        <v>8696</v>
      </c>
      <c r="F20" s="10">
        <v>3572</v>
      </c>
      <c r="G20" s="10">
        <v>3830</v>
      </c>
      <c r="H20" s="10">
        <v>5124</v>
      </c>
      <c r="I20" s="10">
        <v>347042</v>
      </c>
      <c r="L20" s="10">
        <v>701933</v>
      </c>
      <c r="M20" s="10">
        <v>5059</v>
      </c>
      <c r="P20" s="10">
        <v>2.0226168590000002</v>
      </c>
    </row>
    <row r="21" spans="1:16" x14ac:dyDescent="0.15">
      <c r="A21" s="10" t="s">
        <v>37</v>
      </c>
      <c r="B21" s="10" t="s">
        <v>38</v>
      </c>
      <c r="C21" s="10">
        <v>2020</v>
      </c>
      <c r="D21" s="10">
        <v>2078</v>
      </c>
      <c r="E21" s="10">
        <v>13</v>
      </c>
      <c r="F21" s="10">
        <v>-12</v>
      </c>
      <c r="G21" s="10">
        <v>5</v>
      </c>
      <c r="H21" s="10">
        <v>25</v>
      </c>
      <c r="I21" s="10">
        <v>1321</v>
      </c>
      <c r="L21" s="10">
        <v>2078</v>
      </c>
      <c r="M21" s="10">
        <v>6</v>
      </c>
      <c r="P21" s="10">
        <v>1.573050719</v>
      </c>
    </row>
    <row r="22" spans="1:16" x14ac:dyDescent="0.15">
      <c r="A22" s="10" t="s">
        <v>39</v>
      </c>
      <c r="B22" s="10" t="s">
        <v>40</v>
      </c>
      <c r="C22" s="10">
        <v>2020</v>
      </c>
      <c r="D22" s="10">
        <v>360272</v>
      </c>
      <c r="E22" s="10">
        <v>3583</v>
      </c>
      <c r="F22" s="10">
        <v>1828</v>
      </c>
      <c r="G22" s="10">
        <v>7232</v>
      </c>
      <c r="H22" s="10">
        <v>1755</v>
      </c>
      <c r="I22" s="10">
        <v>136477</v>
      </c>
      <c r="L22" s="10">
        <v>358629</v>
      </c>
      <c r="M22" s="10">
        <v>3370</v>
      </c>
      <c r="P22" s="10">
        <v>2.6277614539999998</v>
      </c>
    </row>
    <row r="23" spans="1:16" x14ac:dyDescent="0.15">
      <c r="A23" s="10" t="s">
        <v>41</v>
      </c>
      <c r="B23" s="10" t="s">
        <v>42</v>
      </c>
      <c r="C23" s="10">
        <v>2020</v>
      </c>
      <c r="D23" s="10">
        <v>55667</v>
      </c>
      <c r="E23" s="10">
        <v>529</v>
      </c>
      <c r="F23" s="10">
        <v>358</v>
      </c>
      <c r="G23" s="10">
        <v>490</v>
      </c>
      <c r="H23" s="10">
        <v>171</v>
      </c>
      <c r="I23" s="10">
        <v>33102</v>
      </c>
      <c r="L23" s="10">
        <v>55568</v>
      </c>
      <c r="M23" s="10">
        <v>403</v>
      </c>
      <c r="P23" s="10">
        <v>1.6786901089999999</v>
      </c>
    </row>
    <row r="24" spans="1:16" x14ac:dyDescent="0.15">
      <c r="A24" s="10" t="s">
        <v>43</v>
      </c>
      <c r="B24" s="10" t="s">
        <v>44</v>
      </c>
      <c r="C24" s="10">
        <v>2020</v>
      </c>
      <c r="D24" s="10">
        <v>26220</v>
      </c>
      <c r="E24" s="10">
        <v>233</v>
      </c>
      <c r="F24" s="10">
        <v>71</v>
      </c>
      <c r="G24" s="10">
        <v>482</v>
      </c>
      <c r="H24" s="10">
        <v>162</v>
      </c>
      <c r="I24" s="10">
        <v>9858</v>
      </c>
      <c r="L24" s="10">
        <v>26159</v>
      </c>
      <c r="M24" s="10">
        <v>296</v>
      </c>
      <c r="P24" s="10">
        <v>2.6535808479999998</v>
      </c>
    </row>
    <row r="25" spans="1:16" x14ac:dyDescent="0.15">
      <c r="A25" s="10" t="s">
        <v>45</v>
      </c>
      <c r="B25" s="10" t="s">
        <v>46</v>
      </c>
      <c r="C25" s="10">
        <v>2020</v>
      </c>
      <c r="D25" s="10">
        <v>732366</v>
      </c>
      <c r="E25" s="10">
        <v>9003</v>
      </c>
      <c r="F25" s="10">
        <v>4014</v>
      </c>
      <c r="G25" s="10">
        <v>2855</v>
      </c>
      <c r="H25" s="10">
        <v>4989</v>
      </c>
      <c r="I25" s="10">
        <v>288421</v>
      </c>
      <c r="L25" s="10">
        <v>711877</v>
      </c>
      <c r="M25" s="10">
        <v>6819</v>
      </c>
      <c r="P25" s="10">
        <v>2.4681871289999999</v>
      </c>
    </row>
    <row r="26" spans="1:16" x14ac:dyDescent="0.15">
      <c r="A26" s="10" t="s">
        <v>47</v>
      </c>
      <c r="B26" s="10" t="s">
        <v>48</v>
      </c>
      <c r="C26" s="10">
        <v>2020</v>
      </c>
      <c r="D26" s="10">
        <v>48881</v>
      </c>
      <c r="E26" s="10">
        <v>412</v>
      </c>
      <c r="F26" s="10">
        <v>-168</v>
      </c>
      <c r="G26" s="10">
        <v>670</v>
      </c>
      <c r="H26" s="10">
        <v>580</v>
      </c>
      <c r="I26" s="10">
        <v>20281</v>
      </c>
      <c r="L26" s="10">
        <v>41006</v>
      </c>
      <c r="M26" s="10">
        <v>155</v>
      </c>
      <c r="P26" s="10">
        <v>2.0218924120000001</v>
      </c>
    </row>
    <row r="27" spans="1:16" x14ac:dyDescent="0.15">
      <c r="A27" s="10" t="s">
        <v>49</v>
      </c>
      <c r="B27" s="10" t="s">
        <v>50</v>
      </c>
      <c r="C27" s="10">
        <v>2020</v>
      </c>
      <c r="D27" s="10">
        <v>61791</v>
      </c>
      <c r="E27" s="10">
        <v>748</v>
      </c>
      <c r="F27" s="10">
        <v>390</v>
      </c>
      <c r="G27" s="10">
        <v>843</v>
      </c>
      <c r="H27" s="10">
        <v>358</v>
      </c>
      <c r="I27" s="10">
        <v>24169</v>
      </c>
      <c r="L27" s="10">
        <v>60735</v>
      </c>
      <c r="M27" s="10">
        <v>334</v>
      </c>
      <c r="P27" s="10">
        <v>2.5129297859999999</v>
      </c>
    </row>
    <row r="28" spans="1:16" x14ac:dyDescent="0.15">
      <c r="A28" s="10" t="s">
        <v>51</v>
      </c>
      <c r="B28" s="10" t="s">
        <v>52</v>
      </c>
      <c r="C28" s="10">
        <v>2020</v>
      </c>
      <c r="D28" s="10">
        <v>5823</v>
      </c>
      <c r="E28" s="10">
        <v>46</v>
      </c>
      <c r="F28" s="10">
        <v>-2</v>
      </c>
      <c r="G28" s="10">
        <v>74</v>
      </c>
      <c r="H28" s="10">
        <v>48</v>
      </c>
      <c r="I28" s="10">
        <v>3523</v>
      </c>
      <c r="L28" s="10">
        <v>5775</v>
      </c>
      <c r="M28" s="10">
        <v>20</v>
      </c>
      <c r="P28" s="10">
        <v>1.639227931</v>
      </c>
    </row>
    <row r="29" spans="1:16" x14ac:dyDescent="0.15">
      <c r="A29" s="10" t="s">
        <v>53</v>
      </c>
      <c r="B29" s="10" t="s">
        <v>54</v>
      </c>
      <c r="C29" s="10">
        <v>2020</v>
      </c>
      <c r="D29" s="10">
        <v>15748</v>
      </c>
      <c r="E29" s="10">
        <v>132</v>
      </c>
      <c r="F29" s="10">
        <v>65</v>
      </c>
      <c r="G29" s="10">
        <v>275</v>
      </c>
      <c r="H29" s="10">
        <v>67</v>
      </c>
      <c r="I29" s="10">
        <v>16805</v>
      </c>
      <c r="L29" s="10">
        <v>15536</v>
      </c>
      <c r="M29" s="10">
        <v>234</v>
      </c>
      <c r="P29" s="10">
        <v>0.92448675999999996</v>
      </c>
    </row>
    <row r="30" spans="1:16" x14ac:dyDescent="0.15">
      <c r="A30" s="10" t="s">
        <v>55</v>
      </c>
      <c r="B30" s="10" t="s">
        <v>56</v>
      </c>
      <c r="C30" s="10">
        <v>2020</v>
      </c>
      <c r="D30" s="10">
        <v>16946</v>
      </c>
      <c r="E30" s="10">
        <v>134</v>
      </c>
      <c r="F30" s="10">
        <v>41</v>
      </c>
      <c r="G30" s="10">
        <v>-36</v>
      </c>
      <c r="H30" s="10">
        <v>93</v>
      </c>
      <c r="I30" s="10">
        <v>12220</v>
      </c>
      <c r="L30" s="10">
        <v>15926</v>
      </c>
      <c r="M30" s="10">
        <v>228</v>
      </c>
      <c r="P30" s="10">
        <v>1.3032733219999999</v>
      </c>
    </row>
    <row r="31" spans="1:16" x14ac:dyDescent="0.15">
      <c r="A31" s="10" t="s">
        <v>57</v>
      </c>
      <c r="B31" s="10" t="s">
        <v>58</v>
      </c>
      <c r="C31" s="10">
        <v>2020</v>
      </c>
      <c r="D31" s="10">
        <v>792</v>
      </c>
      <c r="E31" s="10">
        <v>5</v>
      </c>
      <c r="F31" s="10">
        <v>-6</v>
      </c>
      <c r="G31" s="10">
        <v>0</v>
      </c>
      <c r="H31" s="10">
        <v>11</v>
      </c>
      <c r="I31" s="10">
        <v>1332</v>
      </c>
      <c r="L31" s="10">
        <v>792</v>
      </c>
      <c r="M31" s="10">
        <v>11</v>
      </c>
      <c r="P31" s="10">
        <v>0.594594595</v>
      </c>
    </row>
    <row r="32" spans="1:16" x14ac:dyDescent="0.15">
      <c r="A32" s="10" t="s">
        <v>59</v>
      </c>
      <c r="B32" s="10" t="s">
        <v>60</v>
      </c>
      <c r="C32" s="10">
        <v>2020</v>
      </c>
      <c r="D32" s="10">
        <v>6833</v>
      </c>
      <c r="E32" s="10">
        <v>45</v>
      </c>
      <c r="F32" s="10">
        <v>-81</v>
      </c>
      <c r="G32" s="10">
        <v>136</v>
      </c>
      <c r="H32" s="10">
        <v>126</v>
      </c>
      <c r="I32" s="10">
        <v>4690</v>
      </c>
      <c r="L32" s="10">
        <v>6713</v>
      </c>
      <c r="M32" s="10">
        <v>43</v>
      </c>
      <c r="P32" s="10">
        <v>1.431343284</v>
      </c>
    </row>
    <row r="33" spans="1:16" x14ac:dyDescent="0.15">
      <c r="A33" s="10" t="s">
        <v>61</v>
      </c>
      <c r="B33" s="10" t="s">
        <v>62</v>
      </c>
      <c r="C33" s="10">
        <v>2020</v>
      </c>
      <c r="D33" s="10">
        <v>1378</v>
      </c>
      <c r="E33" s="10">
        <v>7</v>
      </c>
      <c r="F33" s="10">
        <v>-4</v>
      </c>
      <c r="G33" s="10">
        <v>3</v>
      </c>
      <c r="H33" s="10">
        <v>11</v>
      </c>
      <c r="I33" s="10">
        <v>1191</v>
      </c>
      <c r="L33" s="10">
        <v>1376</v>
      </c>
      <c r="M33" s="10">
        <v>5</v>
      </c>
      <c r="P33" s="10">
        <v>1.155331654</v>
      </c>
    </row>
    <row r="34" spans="1:16" x14ac:dyDescent="0.15">
      <c r="A34" s="10" t="s">
        <v>63</v>
      </c>
      <c r="B34" s="10" t="s">
        <v>64</v>
      </c>
      <c r="C34" s="10">
        <v>2020</v>
      </c>
      <c r="D34" s="10">
        <v>583063</v>
      </c>
      <c r="E34" s="10">
        <v>5723</v>
      </c>
      <c r="F34" s="10">
        <v>822</v>
      </c>
      <c r="G34" s="10">
        <v>-327</v>
      </c>
      <c r="H34" s="10">
        <v>4901</v>
      </c>
      <c r="I34" s="10">
        <v>248886</v>
      </c>
      <c r="L34" s="10">
        <v>574379</v>
      </c>
      <c r="M34" s="10">
        <v>2161</v>
      </c>
      <c r="P34" s="10">
        <v>2.3077995549999999</v>
      </c>
    </row>
    <row r="35" spans="1:16" x14ac:dyDescent="0.15">
      <c r="A35" s="10" t="s">
        <v>65</v>
      </c>
      <c r="B35" s="10" t="s">
        <v>66</v>
      </c>
      <c r="C35" s="10">
        <v>2020</v>
      </c>
      <c r="D35" s="10">
        <v>1454</v>
      </c>
      <c r="E35" s="10">
        <v>13</v>
      </c>
      <c r="F35" s="10">
        <v>-2</v>
      </c>
      <c r="G35" s="10">
        <v>1</v>
      </c>
      <c r="H35" s="10">
        <v>15</v>
      </c>
      <c r="I35" s="10">
        <v>737</v>
      </c>
      <c r="L35" s="10">
        <v>1425</v>
      </c>
      <c r="M35" s="10">
        <v>5</v>
      </c>
      <c r="P35" s="10">
        <v>1.933514247</v>
      </c>
    </row>
    <row r="36" spans="1:16" x14ac:dyDescent="0.15">
      <c r="A36" s="10" t="s">
        <v>67</v>
      </c>
      <c r="B36" s="10" t="s">
        <v>68</v>
      </c>
      <c r="C36" s="10">
        <v>2020</v>
      </c>
      <c r="D36" s="10">
        <v>7067</v>
      </c>
      <c r="E36" s="10">
        <v>91</v>
      </c>
      <c r="F36" s="10">
        <v>11</v>
      </c>
      <c r="G36" s="10">
        <v>-126</v>
      </c>
      <c r="H36" s="10">
        <v>80</v>
      </c>
      <c r="I36" s="10">
        <v>3411</v>
      </c>
      <c r="L36" s="10">
        <v>6973</v>
      </c>
      <c r="M36" s="10">
        <v>11</v>
      </c>
      <c r="P36" s="10">
        <v>2.0442685429999998</v>
      </c>
    </row>
    <row r="37" spans="1:16" x14ac:dyDescent="0.15">
      <c r="A37" s="10" t="s">
        <v>69</v>
      </c>
      <c r="B37" s="10" t="s">
        <v>70</v>
      </c>
      <c r="C37" s="10">
        <v>2020</v>
      </c>
      <c r="D37" s="10">
        <v>7412</v>
      </c>
      <c r="E37" s="10">
        <v>75</v>
      </c>
      <c r="F37" s="10">
        <v>48</v>
      </c>
      <c r="G37" s="10">
        <v>-191</v>
      </c>
      <c r="H37" s="10">
        <v>27</v>
      </c>
      <c r="I37" s="10">
        <v>4303</v>
      </c>
      <c r="L37" s="10">
        <v>7309</v>
      </c>
      <c r="M37" s="10">
        <v>53</v>
      </c>
      <c r="P37" s="10">
        <v>1.6985823840000001</v>
      </c>
    </row>
    <row r="38" spans="1:16" x14ac:dyDescent="0.15">
      <c r="A38" s="10" t="s">
        <v>71</v>
      </c>
      <c r="B38" s="10" t="s">
        <v>72</v>
      </c>
      <c r="C38" s="10">
        <v>2020</v>
      </c>
      <c r="D38" s="10">
        <v>55668</v>
      </c>
      <c r="E38" s="10">
        <v>481</v>
      </c>
      <c r="F38" s="10">
        <v>110</v>
      </c>
      <c r="G38" s="10">
        <v>49</v>
      </c>
      <c r="H38" s="10">
        <v>371</v>
      </c>
      <c r="I38" s="10">
        <v>28285</v>
      </c>
      <c r="L38" s="10">
        <v>53928</v>
      </c>
      <c r="M38" s="10">
        <v>253</v>
      </c>
      <c r="P38" s="10">
        <v>1.906593601</v>
      </c>
    </row>
    <row r="39" spans="1:16" x14ac:dyDescent="0.15">
      <c r="A39" s="10" t="s">
        <v>73</v>
      </c>
      <c r="B39" s="10" t="s">
        <v>74</v>
      </c>
      <c r="C39" s="10">
        <v>2020</v>
      </c>
      <c r="D39" s="10">
        <v>359920</v>
      </c>
      <c r="E39" s="10">
        <v>3092</v>
      </c>
      <c r="F39" s="10">
        <v>626</v>
      </c>
      <c r="G39" s="10">
        <v>2494</v>
      </c>
      <c r="H39" s="10">
        <v>2466</v>
      </c>
      <c r="I39" s="10">
        <v>159406</v>
      </c>
      <c r="L39" s="10">
        <v>348236</v>
      </c>
      <c r="M39" s="10">
        <v>2565</v>
      </c>
      <c r="P39" s="10">
        <v>2.1845852730000002</v>
      </c>
    </row>
    <row r="40" spans="1:16" x14ac:dyDescent="0.15">
      <c r="A40" s="10" t="s">
        <v>75</v>
      </c>
      <c r="B40" s="10" t="s">
        <v>76</v>
      </c>
      <c r="C40" s="10">
        <v>2020</v>
      </c>
      <c r="D40" s="10">
        <v>14479</v>
      </c>
      <c r="E40" s="10">
        <v>104</v>
      </c>
      <c r="F40" s="10">
        <v>-88</v>
      </c>
      <c r="G40" s="10">
        <v>-76</v>
      </c>
      <c r="H40" s="10">
        <v>192</v>
      </c>
      <c r="I40" s="10">
        <v>8085</v>
      </c>
      <c r="L40" s="10">
        <v>13850</v>
      </c>
      <c r="M40" s="10">
        <v>34</v>
      </c>
      <c r="P40" s="10">
        <v>1.7130488559999999</v>
      </c>
    </row>
    <row r="41" spans="1:16" x14ac:dyDescent="0.15">
      <c r="A41" s="10" t="s">
        <v>77</v>
      </c>
      <c r="B41" s="10" t="s">
        <v>78</v>
      </c>
      <c r="C41" s="10">
        <v>2020</v>
      </c>
      <c r="D41" s="10">
        <v>5662</v>
      </c>
      <c r="E41" s="10">
        <v>50</v>
      </c>
      <c r="F41" s="10">
        <v>-19</v>
      </c>
      <c r="G41" s="10">
        <v>39</v>
      </c>
      <c r="H41" s="10">
        <v>69</v>
      </c>
      <c r="I41" s="10">
        <v>2360</v>
      </c>
      <c r="L41" s="10">
        <v>4678</v>
      </c>
      <c r="M41" s="10">
        <v>9</v>
      </c>
      <c r="P41" s="10">
        <v>1.98220339</v>
      </c>
    </row>
    <row r="42" spans="1:16" x14ac:dyDescent="0.15">
      <c r="A42" s="10" t="s">
        <v>79</v>
      </c>
      <c r="B42" s="10" t="s">
        <v>80</v>
      </c>
      <c r="C42" s="10">
        <v>2020</v>
      </c>
      <c r="D42" s="10">
        <v>21203</v>
      </c>
      <c r="E42" s="10">
        <v>238</v>
      </c>
      <c r="F42" s="10">
        <v>1</v>
      </c>
      <c r="G42" s="10">
        <v>-303</v>
      </c>
      <c r="H42" s="10">
        <v>237</v>
      </c>
      <c r="I42" s="10">
        <v>8674</v>
      </c>
      <c r="L42" s="10">
        <v>18354</v>
      </c>
      <c r="M42" s="10">
        <v>12</v>
      </c>
      <c r="P42" s="10">
        <v>2.115978787</v>
      </c>
    </row>
    <row r="43" spans="1:16" x14ac:dyDescent="0.15">
      <c r="A43" s="10" t="s">
        <v>81</v>
      </c>
      <c r="B43" s="10" t="s">
        <v>82</v>
      </c>
      <c r="C43" s="10">
        <v>2020</v>
      </c>
      <c r="D43" s="10">
        <v>155993</v>
      </c>
      <c r="E43" s="10">
        <v>1568</v>
      </c>
      <c r="F43" s="10">
        <v>-117</v>
      </c>
      <c r="G43" s="10">
        <v>1001</v>
      </c>
      <c r="H43" s="10">
        <v>1685</v>
      </c>
      <c r="I43" s="10">
        <v>67680</v>
      </c>
      <c r="L43" s="10">
        <v>152045</v>
      </c>
      <c r="M43" s="10">
        <v>1004</v>
      </c>
      <c r="P43" s="10">
        <v>2.2465277779999999</v>
      </c>
    </row>
    <row r="44" spans="1:16" x14ac:dyDescent="0.15">
      <c r="A44" s="10" t="s">
        <v>83</v>
      </c>
      <c r="B44" s="10" t="s">
        <v>84</v>
      </c>
      <c r="C44" s="10">
        <v>2020</v>
      </c>
      <c r="D44" s="10">
        <v>871</v>
      </c>
      <c r="E44" s="10">
        <v>7</v>
      </c>
      <c r="F44" s="10">
        <v>-4</v>
      </c>
      <c r="G44" s="10">
        <v>41</v>
      </c>
      <c r="H44" s="10">
        <v>11</v>
      </c>
      <c r="I44" s="10">
        <v>1221</v>
      </c>
      <c r="L44" s="10">
        <v>871</v>
      </c>
      <c r="M44" s="10">
        <v>18</v>
      </c>
      <c r="P44" s="10">
        <v>0.71334971300000005</v>
      </c>
    </row>
    <row r="45" spans="1:16" x14ac:dyDescent="0.15">
      <c r="A45" s="10" t="s">
        <v>85</v>
      </c>
      <c r="B45" s="10" t="s">
        <v>86</v>
      </c>
      <c r="C45" s="10">
        <v>2020</v>
      </c>
      <c r="D45" s="10">
        <v>13265</v>
      </c>
      <c r="E45" s="10">
        <v>140</v>
      </c>
      <c r="F45" s="10">
        <v>22</v>
      </c>
      <c r="G45" s="10">
        <v>-121</v>
      </c>
      <c r="H45" s="10">
        <v>118</v>
      </c>
      <c r="I45" s="10">
        <v>6105</v>
      </c>
      <c r="L45" s="10">
        <v>13145</v>
      </c>
      <c r="M45" s="10">
        <v>17</v>
      </c>
      <c r="P45" s="10">
        <v>2.1531531529999999</v>
      </c>
    </row>
    <row r="46" spans="1:16" x14ac:dyDescent="0.15">
      <c r="A46" s="10" t="s">
        <v>87</v>
      </c>
      <c r="B46" s="10" t="s">
        <v>88</v>
      </c>
      <c r="C46" s="10">
        <v>2020</v>
      </c>
      <c r="D46" s="10">
        <v>25888</v>
      </c>
      <c r="E46" s="10">
        <v>248</v>
      </c>
      <c r="F46" s="10">
        <v>-45</v>
      </c>
      <c r="G46" s="10">
        <v>202</v>
      </c>
      <c r="H46" s="10">
        <v>293</v>
      </c>
      <c r="I46" s="10">
        <v>12302</v>
      </c>
      <c r="L46" s="10">
        <v>25628</v>
      </c>
      <c r="M46" s="10">
        <v>27</v>
      </c>
      <c r="P46" s="10">
        <v>2.083238498</v>
      </c>
    </row>
    <row r="47" spans="1:16" x14ac:dyDescent="0.15">
      <c r="A47" s="10" t="s">
        <v>89</v>
      </c>
      <c r="B47" s="10" t="s">
        <v>90</v>
      </c>
      <c r="C47" s="10">
        <v>2020</v>
      </c>
      <c r="D47" s="10">
        <v>42810</v>
      </c>
      <c r="E47" s="10">
        <v>406</v>
      </c>
      <c r="F47" s="10">
        <v>-64</v>
      </c>
      <c r="G47" s="10">
        <v>373</v>
      </c>
      <c r="H47" s="10">
        <v>470</v>
      </c>
      <c r="I47" s="10">
        <v>19029</v>
      </c>
      <c r="L47" s="10">
        <v>42126</v>
      </c>
      <c r="M47" s="10">
        <v>263</v>
      </c>
      <c r="P47" s="10">
        <v>2.2137789689999998</v>
      </c>
    </row>
    <row r="48" spans="1:16" x14ac:dyDescent="0.15">
      <c r="A48" s="10" t="s">
        <v>91</v>
      </c>
      <c r="B48" s="10" t="s">
        <v>92</v>
      </c>
      <c r="C48" s="10">
        <v>2020</v>
      </c>
      <c r="D48" s="10">
        <v>29078</v>
      </c>
      <c r="E48" s="10">
        <v>430</v>
      </c>
      <c r="F48" s="10">
        <v>107</v>
      </c>
      <c r="G48" s="10">
        <v>-159</v>
      </c>
      <c r="H48" s="10">
        <v>323</v>
      </c>
      <c r="I48" s="10">
        <v>11514</v>
      </c>
      <c r="L48" s="10">
        <v>28610</v>
      </c>
      <c r="M48" s="10">
        <v>147</v>
      </c>
      <c r="P48" s="10">
        <v>2.484801112</v>
      </c>
    </row>
    <row r="49" spans="1:16" x14ac:dyDescent="0.15">
      <c r="A49" s="10" t="s">
        <v>93</v>
      </c>
      <c r="B49" s="10" t="s">
        <v>94</v>
      </c>
      <c r="C49" s="10">
        <v>2020</v>
      </c>
      <c r="D49" s="10">
        <v>18668</v>
      </c>
      <c r="E49" s="10">
        <v>208</v>
      </c>
      <c r="F49" s="10">
        <v>-40</v>
      </c>
      <c r="G49" s="10">
        <v>-28</v>
      </c>
      <c r="H49" s="10">
        <v>248</v>
      </c>
      <c r="I49" s="10">
        <v>8720</v>
      </c>
      <c r="L49" s="10">
        <v>18262</v>
      </c>
      <c r="M49" s="10">
        <v>6</v>
      </c>
      <c r="P49" s="10">
        <v>2.0942660549999998</v>
      </c>
    </row>
    <row r="50" spans="1:16" x14ac:dyDescent="0.15">
      <c r="A50" s="10" t="s">
        <v>95</v>
      </c>
      <c r="B50" s="10" t="s">
        <v>96</v>
      </c>
      <c r="C50" s="10">
        <v>2020</v>
      </c>
      <c r="D50" s="10">
        <v>4876</v>
      </c>
      <c r="E50" s="10">
        <v>25</v>
      </c>
      <c r="F50" s="10">
        <v>6</v>
      </c>
      <c r="G50" s="10">
        <v>-17</v>
      </c>
      <c r="H50" s="10">
        <v>19</v>
      </c>
      <c r="I50" s="10">
        <v>3326</v>
      </c>
      <c r="L50" s="10">
        <v>4876</v>
      </c>
      <c r="M50" s="10">
        <v>71</v>
      </c>
      <c r="P50" s="10">
        <v>1.466025256</v>
      </c>
    </row>
    <row r="51" spans="1:16" x14ac:dyDescent="0.15">
      <c r="A51" s="10" t="s">
        <v>97</v>
      </c>
      <c r="B51" s="10" t="s">
        <v>98</v>
      </c>
      <c r="C51" s="10">
        <v>2020</v>
      </c>
      <c r="D51" s="10">
        <v>17416</v>
      </c>
      <c r="E51" s="10">
        <v>140</v>
      </c>
      <c r="F51" s="10">
        <v>29</v>
      </c>
      <c r="G51" s="10">
        <v>-124</v>
      </c>
      <c r="H51" s="10">
        <v>111</v>
      </c>
      <c r="I51" s="10">
        <v>14154</v>
      </c>
      <c r="L51" s="10">
        <v>17390</v>
      </c>
      <c r="M51" s="10">
        <v>162</v>
      </c>
      <c r="P51" s="10">
        <v>1.2286279499999999</v>
      </c>
    </row>
    <row r="52" spans="1:16" x14ac:dyDescent="0.15">
      <c r="A52" s="10" t="s">
        <v>99</v>
      </c>
      <c r="B52" s="10" t="s">
        <v>100</v>
      </c>
      <c r="C52" s="10">
        <v>2020</v>
      </c>
      <c r="D52" s="10">
        <v>4523</v>
      </c>
      <c r="E52" s="10">
        <v>48</v>
      </c>
      <c r="F52" s="10">
        <v>-9</v>
      </c>
      <c r="G52" s="10">
        <v>11</v>
      </c>
      <c r="H52" s="10">
        <v>57</v>
      </c>
      <c r="I52" s="10">
        <v>2026</v>
      </c>
      <c r="L52" s="10">
        <v>4453</v>
      </c>
      <c r="M52" s="10">
        <v>3</v>
      </c>
      <c r="P52" s="10">
        <v>2.1979269499999998</v>
      </c>
    </row>
    <row r="53" spans="1:16" x14ac:dyDescent="0.15">
      <c r="A53" s="10" t="s">
        <v>101</v>
      </c>
      <c r="B53" s="10" t="s">
        <v>102</v>
      </c>
      <c r="C53" s="10">
        <v>2020</v>
      </c>
      <c r="D53" s="10">
        <v>17355</v>
      </c>
      <c r="E53" s="10">
        <v>146</v>
      </c>
      <c r="F53" s="10">
        <v>87</v>
      </c>
      <c r="G53" s="10">
        <v>-145</v>
      </c>
      <c r="H53" s="10">
        <v>59</v>
      </c>
      <c r="I53" s="10">
        <v>13260</v>
      </c>
      <c r="L53" s="10">
        <v>17308</v>
      </c>
      <c r="M53" s="10">
        <v>72</v>
      </c>
      <c r="P53" s="10">
        <v>1.3052790350000001</v>
      </c>
    </row>
    <row r="54" spans="1:16" x14ac:dyDescent="0.15">
      <c r="A54" s="10" t="s">
        <v>103</v>
      </c>
      <c r="B54" s="10" t="s">
        <v>104</v>
      </c>
      <c r="C54" s="10">
        <v>2020</v>
      </c>
      <c r="D54" s="10">
        <v>12012</v>
      </c>
      <c r="E54" s="10">
        <v>159</v>
      </c>
      <c r="F54" s="10">
        <v>33</v>
      </c>
      <c r="G54" s="10">
        <v>-32</v>
      </c>
      <c r="H54" s="10">
        <v>126</v>
      </c>
      <c r="I54" s="10">
        <v>5438</v>
      </c>
      <c r="L54" s="10">
        <v>11651</v>
      </c>
      <c r="M54" s="10">
        <v>15</v>
      </c>
      <c r="P54" s="10">
        <v>2.1425156310000002</v>
      </c>
    </row>
    <row r="55" spans="1:16" x14ac:dyDescent="0.15">
      <c r="A55" s="10" t="s">
        <v>105</v>
      </c>
      <c r="B55" s="10" t="s">
        <v>106</v>
      </c>
      <c r="C55" s="10">
        <v>2020</v>
      </c>
      <c r="D55" s="10">
        <v>168311</v>
      </c>
      <c r="E55" s="10">
        <v>1729</v>
      </c>
      <c r="F55" s="10">
        <v>-270</v>
      </c>
      <c r="G55" s="10">
        <v>1096</v>
      </c>
      <c r="H55" s="10">
        <v>1999</v>
      </c>
      <c r="I55" s="10">
        <v>72144</v>
      </c>
      <c r="L55" s="10">
        <v>164967</v>
      </c>
      <c r="M55" s="10">
        <v>579</v>
      </c>
      <c r="P55" s="10">
        <v>2.2866350629999999</v>
      </c>
    </row>
    <row r="56" spans="1:16" x14ac:dyDescent="0.15">
      <c r="A56" s="10" t="s">
        <v>107</v>
      </c>
      <c r="B56" s="10" t="s">
        <v>108</v>
      </c>
      <c r="C56" s="10">
        <v>2020</v>
      </c>
      <c r="D56" s="10">
        <v>6521</v>
      </c>
      <c r="E56" s="10">
        <v>54</v>
      </c>
      <c r="F56" s="10">
        <v>8</v>
      </c>
      <c r="G56" s="10">
        <v>-15</v>
      </c>
      <c r="H56" s="10">
        <v>46</v>
      </c>
      <c r="I56" s="10">
        <v>3279</v>
      </c>
      <c r="L56" s="10">
        <v>6301</v>
      </c>
      <c r="M56" s="10">
        <v>8</v>
      </c>
      <c r="P56" s="10">
        <v>1.921622446</v>
      </c>
    </row>
    <row r="57" spans="1:16" x14ac:dyDescent="0.15">
      <c r="A57" s="10" t="s">
        <v>109</v>
      </c>
      <c r="B57" s="10" t="s">
        <v>110</v>
      </c>
      <c r="C57" s="10">
        <v>2020</v>
      </c>
      <c r="D57" s="10">
        <v>11536</v>
      </c>
      <c r="E57" s="10">
        <v>111</v>
      </c>
      <c r="F57" s="10">
        <v>-35</v>
      </c>
      <c r="G57" s="10">
        <v>-29</v>
      </c>
      <c r="H57" s="10">
        <v>146</v>
      </c>
      <c r="I57" s="10">
        <v>6533</v>
      </c>
      <c r="L57" s="10">
        <v>11402</v>
      </c>
      <c r="M57" s="10">
        <v>31</v>
      </c>
      <c r="P57" s="10">
        <v>1.7452931270000001</v>
      </c>
    </row>
    <row r="58" spans="1:16" x14ac:dyDescent="0.15">
      <c r="A58" s="10" t="s">
        <v>111</v>
      </c>
      <c r="B58" s="10" t="s">
        <v>112</v>
      </c>
      <c r="C58" s="10">
        <v>2020</v>
      </c>
      <c r="D58" s="10">
        <v>24834</v>
      </c>
      <c r="E58" s="10">
        <v>194</v>
      </c>
      <c r="F58" s="10">
        <v>64</v>
      </c>
      <c r="G58" s="10">
        <v>249</v>
      </c>
      <c r="H58" s="10">
        <v>130</v>
      </c>
      <c r="I58" s="10">
        <v>16572</v>
      </c>
      <c r="L58" s="10">
        <v>24483</v>
      </c>
      <c r="M58" s="10">
        <v>285</v>
      </c>
      <c r="P58" s="10">
        <v>1.47737147</v>
      </c>
    </row>
    <row r="59" spans="1:16" x14ac:dyDescent="0.15">
      <c r="A59" s="10" t="s">
        <v>113</v>
      </c>
      <c r="B59" s="10" t="s">
        <v>114</v>
      </c>
      <c r="C59" s="10">
        <v>2020</v>
      </c>
      <c r="D59" s="10">
        <v>6390</v>
      </c>
      <c r="E59" s="10">
        <v>41</v>
      </c>
      <c r="F59" s="10">
        <v>-7</v>
      </c>
      <c r="G59" s="10">
        <v>38</v>
      </c>
      <c r="H59" s="10">
        <v>48</v>
      </c>
      <c r="I59" s="10">
        <v>3760</v>
      </c>
      <c r="L59" s="10">
        <v>6374</v>
      </c>
      <c r="M59" s="10">
        <v>54</v>
      </c>
      <c r="P59" s="10">
        <v>1.695212766</v>
      </c>
    </row>
    <row r="60" spans="1:16" x14ac:dyDescent="0.15">
      <c r="A60" s="10" t="s">
        <v>115</v>
      </c>
      <c r="B60" s="10" t="s">
        <v>116</v>
      </c>
      <c r="C60" s="10">
        <v>2020</v>
      </c>
      <c r="D60" s="10">
        <v>711</v>
      </c>
      <c r="E60" s="10">
        <v>2</v>
      </c>
      <c r="F60" s="10">
        <v>-4</v>
      </c>
      <c r="G60" s="10">
        <v>10</v>
      </c>
      <c r="H60" s="10">
        <v>6</v>
      </c>
      <c r="I60" s="10">
        <v>781</v>
      </c>
      <c r="L60" s="10">
        <v>711</v>
      </c>
      <c r="M60" s="10">
        <v>7</v>
      </c>
      <c r="P60" s="10">
        <v>0.91037131900000001</v>
      </c>
    </row>
    <row r="61" spans="1:16" x14ac:dyDescent="0.15">
      <c r="A61" s="10" t="s">
        <v>117</v>
      </c>
      <c r="B61" s="10" t="s">
        <v>118</v>
      </c>
      <c r="C61" s="10">
        <v>2020</v>
      </c>
      <c r="D61" s="10">
        <v>8055</v>
      </c>
      <c r="E61" s="10">
        <v>54</v>
      </c>
      <c r="F61" s="10">
        <v>32</v>
      </c>
      <c r="G61" s="10">
        <v>-100</v>
      </c>
      <c r="H61" s="10">
        <v>22</v>
      </c>
      <c r="I61" s="10">
        <v>6564</v>
      </c>
      <c r="L61" s="10">
        <v>8050</v>
      </c>
      <c r="M61" s="10">
        <v>34</v>
      </c>
      <c r="P61" s="10">
        <v>1.2263863500000001</v>
      </c>
    </row>
    <row r="62" spans="1:16" x14ac:dyDescent="0.15">
      <c r="A62" s="10" t="s">
        <v>119</v>
      </c>
      <c r="B62" s="10" t="s">
        <v>120</v>
      </c>
      <c r="C62" s="10">
        <v>2020</v>
      </c>
      <c r="D62" s="10">
        <v>2391</v>
      </c>
      <c r="E62" s="10">
        <v>18</v>
      </c>
      <c r="F62" s="10">
        <v>-21</v>
      </c>
      <c r="G62" s="10">
        <v>7</v>
      </c>
      <c r="H62" s="10">
        <v>39</v>
      </c>
      <c r="I62" s="10">
        <v>1343</v>
      </c>
      <c r="L62" s="10">
        <v>2352</v>
      </c>
      <c r="M62" s="10">
        <v>0</v>
      </c>
      <c r="P62" s="10">
        <v>1.751303053</v>
      </c>
    </row>
    <row r="63" spans="1:16" x14ac:dyDescent="0.15">
      <c r="A63" s="10" t="s">
        <v>121</v>
      </c>
      <c r="B63" s="10" t="s">
        <v>122</v>
      </c>
      <c r="C63" s="10">
        <v>2020</v>
      </c>
      <c r="D63" s="10">
        <v>30996</v>
      </c>
      <c r="E63" s="10">
        <v>263</v>
      </c>
      <c r="F63" s="10">
        <v>179</v>
      </c>
      <c r="G63" s="10">
        <v>-373</v>
      </c>
      <c r="H63" s="10">
        <v>84</v>
      </c>
      <c r="I63" s="10">
        <v>31416</v>
      </c>
      <c r="L63" s="10">
        <v>30417</v>
      </c>
      <c r="M63" s="10">
        <v>318</v>
      </c>
      <c r="P63" s="10">
        <v>0.96820091699999999</v>
      </c>
    </row>
    <row r="64" spans="1:16" x14ac:dyDescent="0.15">
      <c r="A64" s="10" t="s">
        <v>123</v>
      </c>
      <c r="B64" s="10" t="s">
        <v>124</v>
      </c>
      <c r="C64" s="10">
        <v>2020</v>
      </c>
      <c r="D64" s="10">
        <v>24745</v>
      </c>
      <c r="E64" s="10">
        <v>195</v>
      </c>
      <c r="F64" s="10">
        <v>10</v>
      </c>
      <c r="G64" s="10">
        <v>56</v>
      </c>
      <c r="H64" s="10">
        <v>185</v>
      </c>
      <c r="I64" s="10">
        <v>13346</v>
      </c>
      <c r="L64" s="10">
        <v>24581</v>
      </c>
      <c r="M64" s="10">
        <v>113</v>
      </c>
      <c r="P64" s="10">
        <v>1.8418252660000001</v>
      </c>
    </row>
    <row r="65" spans="1:16" x14ac:dyDescent="0.15">
      <c r="A65" s="10" t="s">
        <v>125</v>
      </c>
      <c r="B65" s="10" t="s">
        <v>126</v>
      </c>
      <c r="C65" s="10">
        <v>2020</v>
      </c>
      <c r="D65" s="10">
        <v>4811</v>
      </c>
      <c r="E65" s="10">
        <v>43</v>
      </c>
      <c r="F65" s="10">
        <v>-22</v>
      </c>
      <c r="G65" s="10">
        <v>7</v>
      </c>
      <c r="H65" s="10">
        <v>65</v>
      </c>
      <c r="I65" s="10">
        <v>2278</v>
      </c>
      <c r="L65" s="10">
        <v>4645</v>
      </c>
      <c r="M65" s="10">
        <v>7</v>
      </c>
      <c r="P65" s="10">
        <v>2.039069359</v>
      </c>
    </row>
    <row r="66" spans="1:16" x14ac:dyDescent="0.15">
      <c r="A66" s="10" t="s">
        <v>127</v>
      </c>
      <c r="B66" s="10" t="s">
        <v>128</v>
      </c>
      <c r="C66" s="10">
        <v>2020</v>
      </c>
      <c r="D66" s="10">
        <v>331423</v>
      </c>
      <c r="E66" s="10">
        <v>4431</v>
      </c>
      <c r="F66" s="10">
        <v>2403</v>
      </c>
      <c r="G66" s="10">
        <v>6685</v>
      </c>
      <c r="H66" s="10">
        <v>2028</v>
      </c>
      <c r="I66" s="10">
        <v>120949</v>
      </c>
      <c r="L66" s="10">
        <v>326233</v>
      </c>
      <c r="M66" s="10">
        <v>4185</v>
      </c>
      <c r="P66" s="10">
        <v>2.6972773650000001</v>
      </c>
    </row>
    <row r="67" spans="1:16" x14ac:dyDescent="0.15">
      <c r="A67" s="10" t="s">
        <v>129</v>
      </c>
      <c r="B67" s="10" t="s">
        <v>130</v>
      </c>
      <c r="C67" s="10">
        <v>2020</v>
      </c>
      <c r="D67" s="10">
        <v>9977</v>
      </c>
      <c r="E67" s="10">
        <v>116</v>
      </c>
      <c r="F67" s="10">
        <v>19</v>
      </c>
      <c r="G67" s="10">
        <v>-52</v>
      </c>
      <c r="H67" s="10">
        <v>97</v>
      </c>
      <c r="I67" s="10">
        <v>4315</v>
      </c>
      <c r="L67" s="10">
        <v>9759</v>
      </c>
      <c r="M67" s="10">
        <v>6</v>
      </c>
      <c r="P67" s="10">
        <v>2.261645423</v>
      </c>
    </row>
    <row r="68" spans="1:16" x14ac:dyDescent="0.15">
      <c r="A68" s="10" t="s">
        <v>1</v>
      </c>
      <c r="B68" s="10" t="s">
        <v>2</v>
      </c>
      <c r="C68" s="10">
        <v>2021</v>
      </c>
      <c r="D68" s="10">
        <v>5811026</v>
      </c>
      <c r="E68" s="10">
        <v>61980</v>
      </c>
      <c r="F68" s="10">
        <v>15430</v>
      </c>
      <c r="G68" s="10">
        <v>11012</v>
      </c>
      <c r="H68" s="10">
        <v>46550</v>
      </c>
      <c r="I68" s="10">
        <v>2542505</v>
      </c>
      <c r="L68" s="10">
        <v>5696338</v>
      </c>
      <c r="M68" s="10">
        <v>56524</v>
      </c>
      <c r="P68" s="10">
        <v>2.2404431850000002</v>
      </c>
    </row>
    <row r="69" spans="1:16" x14ac:dyDescent="0.15">
      <c r="A69" s="10" t="s">
        <v>3</v>
      </c>
      <c r="B69" s="10" t="s">
        <v>4</v>
      </c>
      <c r="C69" s="10">
        <v>2021</v>
      </c>
      <c r="D69" s="10">
        <v>523417</v>
      </c>
      <c r="E69" s="10">
        <v>6644</v>
      </c>
      <c r="F69" s="10">
        <v>2686</v>
      </c>
      <c r="G69" s="10">
        <v>298</v>
      </c>
      <c r="H69" s="10">
        <v>3958</v>
      </c>
      <c r="I69" s="10">
        <v>191198</v>
      </c>
      <c r="L69" s="10">
        <v>518896</v>
      </c>
      <c r="M69" s="10">
        <v>4687</v>
      </c>
      <c r="P69" s="10">
        <v>2.7139196019999998</v>
      </c>
    </row>
    <row r="70" spans="1:16" x14ac:dyDescent="0.15">
      <c r="A70" s="10" t="s">
        <v>5</v>
      </c>
      <c r="B70" s="10" t="s">
        <v>6</v>
      </c>
      <c r="C70" s="10">
        <v>2021</v>
      </c>
      <c r="D70" s="10">
        <v>16574</v>
      </c>
      <c r="E70" s="10">
        <v>188</v>
      </c>
      <c r="F70" s="10">
        <v>26</v>
      </c>
      <c r="G70" s="10">
        <v>177</v>
      </c>
      <c r="H70" s="10">
        <v>162</v>
      </c>
      <c r="I70" s="10">
        <v>7137</v>
      </c>
      <c r="L70" s="10">
        <v>15590</v>
      </c>
      <c r="M70" s="10">
        <v>109</v>
      </c>
      <c r="P70" s="10">
        <v>2.1843912009999999</v>
      </c>
    </row>
    <row r="71" spans="1:16" x14ac:dyDescent="0.15">
      <c r="A71" s="10" t="s">
        <v>7</v>
      </c>
      <c r="B71" s="10" t="s">
        <v>8</v>
      </c>
      <c r="C71" s="10">
        <v>2021</v>
      </c>
      <c r="D71" s="10">
        <v>656722</v>
      </c>
      <c r="E71" s="10">
        <v>7551</v>
      </c>
      <c r="F71" s="10">
        <v>2814</v>
      </c>
      <c r="G71" s="10">
        <v>-1304</v>
      </c>
      <c r="H71" s="10">
        <v>4737</v>
      </c>
      <c r="I71" s="10">
        <v>266515</v>
      </c>
      <c r="L71" s="10">
        <v>651475</v>
      </c>
      <c r="M71" s="10">
        <v>5519</v>
      </c>
      <c r="P71" s="10">
        <v>2.4444215150000002</v>
      </c>
    </row>
    <row r="72" spans="1:16" x14ac:dyDescent="0.15">
      <c r="A72" s="10" t="s">
        <v>9</v>
      </c>
      <c r="B72" s="10" t="s">
        <v>10</v>
      </c>
      <c r="C72" s="10">
        <v>2021</v>
      </c>
      <c r="D72" s="10">
        <v>13812</v>
      </c>
      <c r="E72" s="10">
        <v>118</v>
      </c>
      <c r="F72" s="10">
        <v>-4</v>
      </c>
      <c r="G72" s="10">
        <v>388</v>
      </c>
      <c r="H72" s="10">
        <v>122</v>
      </c>
      <c r="I72" s="10">
        <v>9687</v>
      </c>
      <c r="L72" s="10">
        <v>13720</v>
      </c>
      <c r="M72" s="10">
        <v>193</v>
      </c>
      <c r="P72" s="10">
        <v>1.4163311649999999</v>
      </c>
    </row>
    <row r="73" spans="1:16" x14ac:dyDescent="0.15">
      <c r="A73" s="10" t="s">
        <v>11</v>
      </c>
      <c r="B73" s="10" t="s">
        <v>12</v>
      </c>
      <c r="C73" s="10">
        <v>2021</v>
      </c>
      <c r="D73" s="10">
        <v>3491</v>
      </c>
      <c r="E73" s="10">
        <v>35</v>
      </c>
      <c r="F73" s="10">
        <v>-34</v>
      </c>
      <c r="G73" s="10">
        <v>47</v>
      </c>
      <c r="H73" s="10">
        <v>69</v>
      </c>
      <c r="I73" s="10">
        <v>1977</v>
      </c>
      <c r="L73" s="10">
        <v>3443</v>
      </c>
      <c r="M73" s="10">
        <v>3</v>
      </c>
      <c r="P73" s="10">
        <v>1.7415275670000001</v>
      </c>
    </row>
    <row r="74" spans="1:16" x14ac:dyDescent="0.15">
      <c r="A74" s="10" t="s">
        <v>13</v>
      </c>
      <c r="B74" s="10" t="s">
        <v>14</v>
      </c>
      <c r="C74" s="10">
        <v>2021</v>
      </c>
      <c r="D74" s="10">
        <v>5334</v>
      </c>
      <c r="E74" s="10">
        <v>36</v>
      </c>
      <c r="F74" s="10">
        <v>-43</v>
      </c>
      <c r="G74" s="10">
        <v>-100</v>
      </c>
      <c r="H74" s="10">
        <v>79</v>
      </c>
      <c r="I74" s="10">
        <v>2143</v>
      </c>
      <c r="L74" s="10">
        <v>4166</v>
      </c>
      <c r="M74" s="10">
        <v>8</v>
      </c>
      <c r="P74" s="10">
        <v>1.944003733</v>
      </c>
    </row>
    <row r="75" spans="1:16" x14ac:dyDescent="0.15">
      <c r="A75" s="10" t="s">
        <v>15</v>
      </c>
      <c r="B75" s="10" t="s">
        <v>16</v>
      </c>
      <c r="C75" s="10">
        <v>2021</v>
      </c>
      <c r="D75" s="10">
        <v>327080</v>
      </c>
      <c r="E75" s="10">
        <v>2472</v>
      </c>
      <c r="F75" s="10">
        <v>343</v>
      </c>
      <c r="G75" s="10">
        <v>-4186</v>
      </c>
      <c r="H75" s="10">
        <v>2129</v>
      </c>
      <c r="I75" s="10">
        <v>143362</v>
      </c>
      <c r="L75" s="10">
        <v>315126</v>
      </c>
      <c r="M75" s="10">
        <v>1237</v>
      </c>
      <c r="P75" s="10">
        <v>2.1981138659999999</v>
      </c>
    </row>
    <row r="76" spans="1:16" x14ac:dyDescent="0.15">
      <c r="A76" s="10" t="s">
        <v>17</v>
      </c>
      <c r="B76" s="10" t="s">
        <v>18</v>
      </c>
      <c r="C76" s="10">
        <v>2021</v>
      </c>
      <c r="D76" s="10">
        <v>75415</v>
      </c>
      <c r="E76" s="10">
        <v>645</v>
      </c>
      <c r="F76" s="10">
        <v>201</v>
      </c>
      <c r="G76" s="10">
        <v>720</v>
      </c>
      <c r="H76" s="10">
        <v>444</v>
      </c>
      <c r="I76" s="10">
        <v>32231</v>
      </c>
      <c r="L76" s="10">
        <v>74984</v>
      </c>
      <c r="M76" s="10">
        <v>501</v>
      </c>
      <c r="P76" s="10">
        <v>2.3264558960000001</v>
      </c>
    </row>
    <row r="77" spans="1:16" x14ac:dyDescent="0.15">
      <c r="A77" s="10" t="s">
        <v>19</v>
      </c>
      <c r="B77" s="10" t="s">
        <v>20</v>
      </c>
      <c r="C77" s="10">
        <v>2021</v>
      </c>
      <c r="D77" s="10">
        <v>19737</v>
      </c>
      <c r="E77" s="10">
        <v>148</v>
      </c>
      <c r="F77" s="10">
        <v>-25</v>
      </c>
      <c r="G77" s="10">
        <v>284</v>
      </c>
      <c r="H77" s="10">
        <v>173</v>
      </c>
      <c r="I77" s="10">
        <v>11322</v>
      </c>
      <c r="L77" s="10">
        <v>18809</v>
      </c>
      <c r="M77" s="10">
        <v>349</v>
      </c>
      <c r="P77" s="10">
        <v>1.661278926</v>
      </c>
    </row>
    <row r="78" spans="1:16" x14ac:dyDescent="0.15">
      <c r="A78" s="10" t="s">
        <v>21</v>
      </c>
      <c r="B78" s="10" t="s">
        <v>22</v>
      </c>
      <c r="C78" s="10">
        <v>2021</v>
      </c>
      <c r="D78" s="10">
        <v>1716</v>
      </c>
      <c r="E78" s="10">
        <v>21</v>
      </c>
      <c r="F78" s="10">
        <v>-4</v>
      </c>
      <c r="G78" s="10">
        <v>-24</v>
      </c>
      <c r="H78" s="10">
        <v>25</v>
      </c>
      <c r="I78" s="10">
        <v>933</v>
      </c>
      <c r="L78" s="10">
        <v>1690</v>
      </c>
      <c r="M78" s="10">
        <v>12</v>
      </c>
      <c r="P78" s="10">
        <v>1.8113611999999999</v>
      </c>
    </row>
    <row r="79" spans="1:16" x14ac:dyDescent="0.15">
      <c r="A79" s="10" t="s">
        <v>23</v>
      </c>
      <c r="B79" s="10" t="s">
        <v>24</v>
      </c>
      <c r="C79" s="10">
        <v>2021</v>
      </c>
      <c r="D79" s="10">
        <v>9457</v>
      </c>
      <c r="E79" s="10">
        <v>70</v>
      </c>
      <c r="F79" s="10">
        <v>5</v>
      </c>
      <c r="G79" s="10">
        <v>55</v>
      </c>
      <c r="H79" s="10">
        <v>65</v>
      </c>
      <c r="I79" s="10">
        <v>5771</v>
      </c>
      <c r="L79" s="10">
        <v>9375</v>
      </c>
      <c r="M79" s="10">
        <v>97</v>
      </c>
      <c r="P79" s="10">
        <v>1.624501819</v>
      </c>
    </row>
    <row r="80" spans="1:16" x14ac:dyDescent="0.15">
      <c r="A80" s="10" t="s">
        <v>25</v>
      </c>
      <c r="B80" s="10" t="s">
        <v>26</v>
      </c>
      <c r="C80" s="10">
        <v>2021</v>
      </c>
      <c r="D80" s="10">
        <v>7586</v>
      </c>
      <c r="E80" s="10">
        <v>97</v>
      </c>
      <c r="F80" s="10">
        <v>-5</v>
      </c>
      <c r="G80" s="10">
        <v>137</v>
      </c>
      <c r="H80" s="10">
        <v>102</v>
      </c>
      <c r="I80" s="10">
        <v>4062</v>
      </c>
      <c r="L80" s="10">
        <v>7535</v>
      </c>
      <c r="M80" s="10">
        <v>45</v>
      </c>
      <c r="P80" s="10">
        <v>1.8549975379999999</v>
      </c>
    </row>
    <row r="81" spans="1:16" x14ac:dyDescent="0.15">
      <c r="A81" s="10" t="s">
        <v>27</v>
      </c>
      <c r="B81" s="10" t="s">
        <v>28</v>
      </c>
      <c r="C81" s="10">
        <v>2021</v>
      </c>
      <c r="D81" s="10">
        <v>3617</v>
      </c>
      <c r="E81" s="10">
        <v>41</v>
      </c>
      <c r="F81" s="10">
        <v>1</v>
      </c>
      <c r="G81" s="10">
        <v>113</v>
      </c>
      <c r="H81" s="10">
        <v>40</v>
      </c>
      <c r="I81" s="10">
        <v>2424</v>
      </c>
      <c r="L81" s="10">
        <v>3605</v>
      </c>
      <c r="M81" s="10">
        <v>0</v>
      </c>
      <c r="P81" s="10">
        <v>1.4872112209999999</v>
      </c>
    </row>
    <row r="82" spans="1:16" x14ac:dyDescent="0.15">
      <c r="A82" s="10" t="s">
        <v>29</v>
      </c>
      <c r="B82" s="10" t="s">
        <v>30</v>
      </c>
      <c r="C82" s="10">
        <v>2021</v>
      </c>
      <c r="D82" s="10">
        <v>5744</v>
      </c>
      <c r="E82" s="10">
        <v>30</v>
      </c>
      <c r="F82" s="10">
        <v>-36</v>
      </c>
      <c r="G82" s="10">
        <v>84</v>
      </c>
      <c r="H82" s="10">
        <v>66</v>
      </c>
      <c r="I82" s="10">
        <v>1521</v>
      </c>
      <c r="L82" s="10">
        <v>3143</v>
      </c>
      <c r="M82" s="10">
        <v>14</v>
      </c>
      <c r="P82" s="10">
        <v>2.0664036819999998</v>
      </c>
    </row>
    <row r="83" spans="1:16" x14ac:dyDescent="0.15">
      <c r="A83" s="10" t="s">
        <v>31</v>
      </c>
      <c r="B83" s="10" t="s">
        <v>32</v>
      </c>
      <c r="C83" s="10">
        <v>2021</v>
      </c>
      <c r="D83" s="10">
        <v>5064</v>
      </c>
      <c r="E83" s="10">
        <v>41</v>
      </c>
      <c r="F83" s="10">
        <v>-18</v>
      </c>
      <c r="G83" s="10">
        <v>362</v>
      </c>
      <c r="H83" s="10">
        <v>59</v>
      </c>
      <c r="I83" s="10">
        <v>4326</v>
      </c>
      <c r="L83" s="10">
        <v>5061</v>
      </c>
      <c r="M83" s="10">
        <v>146</v>
      </c>
      <c r="P83" s="10">
        <v>1.169902913</v>
      </c>
    </row>
    <row r="84" spans="1:16" x14ac:dyDescent="0.15">
      <c r="A84" s="10" t="s">
        <v>33</v>
      </c>
      <c r="B84" s="10" t="s">
        <v>34</v>
      </c>
      <c r="C84" s="10">
        <v>2021</v>
      </c>
      <c r="D84" s="10">
        <v>31386</v>
      </c>
      <c r="E84" s="10">
        <v>300</v>
      </c>
      <c r="F84" s="10">
        <v>-191</v>
      </c>
      <c r="G84" s="10">
        <v>525</v>
      </c>
      <c r="H84" s="10">
        <v>491</v>
      </c>
      <c r="I84" s="10">
        <v>14860</v>
      </c>
      <c r="L84" s="10">
        <v>30916</v>
      </c>
      <c r="M84" s="10">
        <v>223</v>
      </c>
      <c r="P84" s="10">
        <v>2.0804845219999999</v>
      </c>
    </row>
    <row r="85" spans="1:16" x14ac:dyDescent="0.15">
      <c r="A85" s="10" t="s">
        <v>35</v>
      </c>
      <c r="B85" s="10" t="s">
        <v>36</v>
      </c>
      <c r="C85" s="10">
        <v>2021</v>
      </c>
      <c r="D85" s="10">
        <v>711375</v>
      </c>
      <c r="E85" s="10">
        <v>8557</v>
      </c>
      <c r="F85" s="10">
        <v>3392</v>
      </c>
      <c r="G85" s="10">
        <v>-9562</v>
      </c>
      <c r="H85" s="10">
        <v>5165</v>
      </c>
      <c r="I85" s="10">
        <v>352130</v>
      </c>
      <c r="L85" s="10">
        <v>697456</v>
      </c>
      <c r="M85" s="10">
        <v>10000</v>
      </c>
      <c r="P85" s="10">
        <v>1.9806775910000001</v>
      </c>
    </row>
    <row r="86" spans="1:16" x14ac:dyDescent="0.15">
      <c r="A86" s="10" t="s">
        <v>37</v>
      </c>
      <c r="B86" s="10" t="s">
        <v>38</v>
      </c>
      <c r="C86" s="10">
        <v>2021</v>
      </c>
      <c r="D86" s="10">
        <v>2121</v>
      </c>
      <c r="E86" s="10">
        <v>16</v>
      </c>
      <c r="F86" s="10">
        <v>-14</v>
      </c>
      <c r="G86" s="10">
        <v>57</v>
      </c>
      <c r="H86" s="10">
        <v>30</v>
      </c>
      <c r="I86" s="10">
        <v>1337</v>
      </c>
      <c r="L86" s="10">
        <v>2121</v>
      </c>
      <c r="M86" s="10">
        <v>6</v>
      </c>
      <c r="P86" s="10">
        <v>1.586387435</v>
      </c>
    </row>
    <row r="87" spans="1:16" x14ac:dyDescent="0.15">
      <c r="A87" s="10" t="s">
        <v>39</v>
      </c>
      <c r="B87" s="10" t="s">
        <v>40</v>
      </c>
      <c r="C87" s="10">
        <v>2021</v>
      </c>
      <c r="D87" s="10">
        <v>369758</v>
      </c>
      <c r="E87" s="10">
        <v>3529</v>
      </c>
      <c r="F87" s="10">
        <v>1657</v>
      </c>
      <c r="G87" s="10">
        <v>7829</v>
      </c>
      <c r="H87" s="10">
        <v>1872</v>
      </c>
      <c r="I87" s="10">
        <v>140356</v>
      </c>
      <c r="L87" s="10">
        <v>368151</v>
      </c>
      <c r="M87" s="10">
        <v>6059</v>
      </c>
      <c r="P87" s="10">
        <v>2.6229801359999998</v>
      </c>
    </row>
    <row r="88" spans="1:16" x14ac:dyDescent="0.15">
      <c r="A88" s="10" t="s">
        <v>41</v>
      </c>
      <c r="B88" s="10" t="s">
        <v>42</v>
      </c>
      <c r="C88" s="10">
        <v>2021</v>
      </c>
      <c r="D88" s="10">
        <v>55785</v>
      </c>
      <c r="E88" s="10">
        <v>518</v>
      </c>
      <c r="F88" s="10">
        <v>351</v>
      </c>
      <c r="G88" s="10">
        <v>-233</v>
      </c>
      <c r="H88" s="10">
        <v>167</v>
      </c>
      <c r="I88" s="10">
        <v>33694</v>
      </c>
      <c r="L88" s="10">
        <v>55688</v>
      </c>
      <c r="M88" s="10">
        <v>439</v>
      </c>
      <c r="P88" s="10">
        <v>1.6527571670000001</v>
      </c>
    </row>
    <row r="89" spans="1:16" x14ac:dyDescent="0.15">
      <c r="A89" s="10" t="s">
        <v>43</v>
      </c>
      <c r="B89" s="10" t="s">
        <v>44</v>
      </c>
      <c r="C89" s="10">
        <v>2021</v>
      </c>
      <c r="D89" s="10">
        <v>27144</v>
      </c>
      <c r="E89" s="10">
        <v>219</v>
      </c>
      <c r="F89" s="10">
        <v>20</v>
      </c>
      <c r="G89" s="10">
        <v>904</v>
      </c>
      <c r="H89" s="10">
        <v>199</v>
      </c>
      <c r="I89" s="10">
        <v>10145</v>
      </c>
      <c r="L89" s="10">
        <v>27082</v>
      </c>
      <c r="M89" s="10">
        <v>413</v>
      </c>
      <c r="P89" s="10">
        <v>2.6694923610000001</v>
      </c>
    </row>
    <row r="90" spans="1:16" x14ac:dyDescent="0.15">
      <c r="A90" s="10" t="s">
        <v>45</v>
      </c>
      <c r="B90" s="10" t="s">
        <v>46</v>
      </c>
      <c r="C90" s="10">
        <v>2021</v>
      </c>
      <c r="D90" s="10">
        <v>737202</v>
      </c>
      <c r="E90" s="10">
        <v>9280</v>
      </c>
      <c r="F90" s="10">
        <v>3355</v>
      </c>
      <c r="G90" s="10">
        <v>1481</v>
      </c>
      <c r="H90" s="10">
        <v>5925</v>
      </c>
      <c r="I90" s="10">
        <v>295128</v>
      </c>
      <c r="L90" s="10">
        <v>718092</v>
      </c>
      <c r="M90" s="10">
        <v>9186</v>
      </c>
      <c r="P90" s="10">
        <v>2.4331544279999999</v>
      </c>
    </row>
    <row r="91" spans="1:16" x14ac:dyDescent="0.15">
      <c r="A91" s="10" t="s">
        <v>47</v>
      </c>
      <c r="B91" s="10" t="s">
        <v>48</v>
      </c>
      <c r="C91" s="10">
        <v>2021</v>
      </c>
      <c r="D91" s="10">
        <v>49249</v>
      </c>
      <c r="E91" s="10">
        <v>380</v>
      </c>
      <c r="F91" s="10">
        <v>-298</v>
      </c>
      <c r="G91" s="10">
        <v>666</v>
      </c>
      <c r="H91" s="10">
        <v>678</v>
      </c>
      <c r="I91" s="10">
        <v>20408</v>
      </c>
      <c r="L91" s="10">
        <v>41707</v>
      </c>
      <c r="M91" s="10">
        <v>174</v>
      </c>
      <c r="P91" s="10">
        <v>2.0436593489999999</v>
      </c>
    </row>
    <row r="92" spans="1:16" x14ac:dyDescent="0.15">
      <c r="A92" s="10" t="s">
        <v>49</v>
      </c>
      <c r="B92" s="10" t="s">
        <v>50</v>
      </c>
      <c r="C92" s="10">
        <v>2021</v>
      </c>
      <c r="D92" s="10">
        <v>62164</v>
      </c>
      <c r="E92" s="10">
        <v>729</v>
      </c>
      <c r="F92" s="10">
        <v>292</v>
      </c>
      <c r="G92" s="10">
        <v>81</v>
      </c>
      <c r="H92" s="10">
        <v>437</v>
      </c>
      <c r="I92" s="10">
        <v>24500</v>
      </c>
      <c r="L92" s="10">
        <v>61254</v>
      </c>
      <c r="M92" s="10">
        <v>631</v>
      </c>
      <c r="P92" s="10">
        <v>2.5001632649999999</v>
      </c>
    </row>
    <row r="93" spans="1:16" x14ac:dyDescent="0.15">
      <c r="A93" s="10" t="s">
        <v>51</v>
      </c>
      <c r="B93" s="10" t="s">
        <v>52</v>
      </c>
      <c r="C93" s="10">
        <v>2021</v>
      </c>
      <c r="D93" s="10">
        <v>5894</v>
      </c>
      <c r="E93" s="10">
        <v>33</v>
      </c>
      <c r="F93" s="10">
        <v>-1</v>
      </c>
      <c r="G93" s="10">
        <v>72</v>
      </c>
      <c r="H93" s="10">
        <v>34</v>
      </c>
      <c r="I93" s="10">
        <v>3543</v>
      </c>
      <c r="L93" s="10">
        <v>5846</v>
      </c>
      <c r="M93" s="10">
        <v>22</v>
      </c>
      <c r="P93" s="10">
        <v>1.650014112</v>
      </c>
    </row>
    <row r="94" spans="1:16" x14ac:dyDescent="0.15">
      <c r="A94" s="10" t="s">
        <v>53</v>
      </c>
      <c r="B94" s="10" t="s">
        <v>54</v>
      </c>
      <c r="C94" s="10">
        <v>2021</v>
      </c>
      <c r="D94" s="10">
        <v>15860</v>
      </c>
      <c r="E94" s="10">
        <v>113</v>
      </c>
      <c r="F94" s="10">
        <v>21</v>
      </c>
      <c r="G94" s="10">
        <v>91</v>
      </c>
      <c r="H94" s="10">
        <v>92</v>
      </c>
      <c r="I94" s="10">
        <v>16627</v>
      </c>
      <c r="L94" s="10">
        <v>15648</v>
      </c>
      <c r="M94" s="10">
        <v>467</v>
      </c>
      <c r="P94" s="10">
        <v>0.941119865</v>
      </c>
    </row>
    <row r="95" spans="1:16" x14ac:dyDescent="0.15">
      <c r="A95" s="10" t="s">
        <v>55</v>
      </c>
      <c r="B95" s="10" t="s">
        <v>56</v>
      </c>
      <c r="C95" s="10">
        <v>2021</v>
      </c>
      <c r="D95" s="10">
        <v>17313</v>
      </c>
      <c r="E95" s="10">
        <v>133</v>
      </c>
      <c r="F95" s="10">
        <v>52</v>
      </c>
      <c r="G95" s="10">
        <v>315</v>
      </c>
      <c r="H95" s="10">
        <v>81</v>
      </c>
      <c r="I95" s="10">
        <v>12421</v>
      </c>
      <c r="L95" s="10">
        <v>16316</v>
      </c>
      <c r="M95" s="10">
        <v>197</v>
      </c>
      <c r="P95" s="10">
        <v>1.3135818370000001</v>
      </c>
    </row>
    <row r="96" spans="1:16" x14ac:dyDescent="0.15">
      <c r="A96" s="10" t="s">
        <v>57</v>
      </c>
      <c r="B96" s="10" t="s">
        <v>58</v>
      </c>
      <c r="C96" s="10">
        <v>2021</v>
      </c>
      <c r="D96" s="10">
        <v>778</v>
      </c>
      <c r="E96" s="10">
        <v>3</v>
      </c>
      <c r="F96" s="10">
        <v>-2</v>
      </c>
      <c r="G96" s="10">
        <v>-12</v>
      </c>
      <c r="H96" s="10">
        <v>5</v>
      </c>
      <c r="I96" s="10">
        <v>1347</v>
      </c>
      <c r="L96" s="10">
        <v>778</v>
      </c>
      <c r="M96" s="10">
        <v>14</v>
      </c>
      <c r="P96" s="10">
        <v>0.577579807</v>
      </c>
    </row>
    <row r="97" spans="1:16" x14ac:dyDescent="0.15">
      <c r="A97" s="10" t="s">
        <v>59</v>
      </c>
      <c r="B97" s="10" t="s">
        <v>60</v>
      </c>
      <c r="C97" s="10">
        <v>2021</v>
      </c>
      <c r="D97" s="10">
        <v>6948</v>
      </c>
      <c r="E97" s="10">
        <v>43</v>
      </c>
      <c r="F97" s="10">
        <v>-83</v>
      </c>
      <c r="G97" s="10">
        <v>198</v>
      </c>
      <c r="H97" s="10">
        <v>126</v>
      </c>
      <c r="I97" s="10">
        <v>4702</v>
      </c>
      <c r="L97" s="10">
        <v>6842</v>
      </c>
      <c r="M97" s="10">
        <v>57</v>
      </c>
      <c r="P97" s="10">
        <v>1.4551254790000001</v>
      </c>
    </row>
    <row r="98" spans="1:16" x14ac:dyDescent="0.15">
      <c r="A98" s="10" t="s">
        <v>61</v>
      </c>
      <c r="B98" s="10" t="s">
        <v>62</v>
      </c>
      <c r="C98" s="10">
        <v>2021</v>
      </c>
      <c r="D98" s="10">
        <v>1358</v>
      </c>
      <c r="E98" s="10">
        <v>6</v>
      </c>
      <c r="F98" s="10">
        <v>-9</v>
      </c>
      <c r="G98" s="10">
        <v>-11</v>
      </c>
      <c r="H98" s="10">
        <v>15</v>
      </c>
      <c r="I98" s="10">
        <v>1195</v>
      </c>
      <c r="L98" s="10">
        <v>1356</v>
      </c>
      <c r="M98" s="10">
        <v>2</v>
      </c>
      <c r="P98" s="10">
        <v>1.134728033</v>
      </c>
    </row>
    <row r="99" spans="1:16" x14ac:dyDescent="0.15">
      <c r="A99" s="10" t="s">
        <v>63</v>
      </c>
      <c r="B99" s="10" t="s">
        <v>64</v>
      </c>
      <c r="C99" s="10">
        <v>2021</v>
      </c>
      <c r="D99" s="10">
        <v>580726</v>
      </c>
      <c r="E99" s="10">
        <v>5379</v>
      </c>
      <c r="F99" s="10">
        <v>12</v>
      </c>
      <c r="G99" s="10">
        <v>-2349</v>
      </c>
      <c r="H99" s="10">
        <v>5367</v>
      </c>
      <c r="I99" s="10">
        <v>251462</v>
      </c>
      <c r="L99" s="10">
        <v>571625</v>
      </c>
      <c r="M99" s="10">
        <v>2515</v>
      </c>
      <c r="P99" s="10">
        <v>2.2732062900000001</v>
      </c>
    </row>
    <row r="100" spans="1:16" x14ac:dyDescent="0.15">
      <c r="A100" s="10" t="s">
        <v>65</v>
      </c>
      <c r="B100" s="10" t="s">
        <v>66</v>
      </c>
      <c r="C100" s="10">
        <v>2021</v>
      </c>
      <c r="D100" s="10">
        <v>1453</v>
      </c>
      <c r="E100" s="10">
        <v>20</v>
      </c>
      <c r="F100" s="10">
        <v>-1</v>
      </c>
      <c r="G100" s="10">
        <v>0</v>
      </c>
      <c r="H100" s="10">
        <v>21</v>
      </c>
      <c r="I100" s="10">
        <v>742</v>
      </c>
      <c r="L100" s="10">
        <v>1424</v>
      </c>
      <c r="M100" s="10">
        <v>6</v>
      </c>
      <c r="P100" s="10">
        <v>1.919137466</v>
      </c>
    </row>
    <row r="101" spans="1:16" x14ac:dyDescent="0.15">
      <c r="A101" s="10" t="s">
        <v>67</v>
      </c>
      <c r="B101" s="10" t="s">
        <v>68</v>
      </c>
      <c r="C101" s="10">
        <v>2021</v>
      </c>
      <c r="D101" s="10">
        <v>6929</v>
      </c>
      <c r="E101" s="10">
        <v>81</v>
      </c>
      <c r="F101" s="10">
        <v>-16</v>
      </c>
      <c r="G101" s="10">
        <v>-122</v>
      </c>
      <c r="H101" s="10">
        <v>97</v>
      </c>
      <c r="I101" s="10">
        <v>3422</v>
      </c>
      <c r="L101" s="10">
        <v>6838</v>
      </c>
      <c r="M101" s="10">
        <v>6</v>
      </c>
      <c r="P101" s="10">
        <v>1.998246639</v>
      </c>
    </row>
    <row r="102" spans="1:16" x14ac:dyDescent="0.15">
      <c r="A102" s="10" t="s">
        <v>69</v>
      </c>
      <c r="B102" s="10" t="s">
        <v>70</v>
      </c>
      <c r="C102" s="10">
        <v>2021</v>
      </c>
      <c r="D102" s="10">
        <v>7399</v>
      </c>
      <c r="E102" s="10">
        <v>72</v>
      </c>
      <c r="F102" s="10">
        <v>20</v>
      </c>
      <c r="G102" s="10">
        <v>-33</v>
      </c>
      <c r="H102" s="10">
        <v>52</v>
      </c>
      <c r="I102" s="10">
        <v>4348</v>
      </c>
      <c r="L102" s="10">
        <v>7309</v>
      </c>
      <c r="M102" s="10">
        <v>64</v>
      </c>
      <c r="P102" s="10">
        <v>1.6810027599999999</v>
      </c>
    </row>
    <row r="103" spans="1:16" x14ac:dyDescent="0.15">
      <c r="A103" s="10" t="s">
        <v>71</v>
      </c>
      <c r="B103" s="10" t="s">
        <v>72</v>
      </c>
      <c r="C103" s="10">
        <v>2021</v>
      </c>
      <c r="D103" s="10">
        <v>56171</v>
      </c>
      <c r="E103" s="10">
        <v>437</v>
      </c>
      <c r="F103" s="10">
        <v>-2</v>
      </c>
      <c r="G103" s="10">
        <v>505</v>
      </c>
      <c r="H103" s="10">
        <v>439</v>
      </c>
      <c r="I103" s="10">
        <v>28533</v>
      </c>
      <c r="L103" s="10">
        <v>54621</v>
      </c>
      <c r="M103" s="10">
        <v>415</v>
      </c>
      <c r="P103" s="10">
        <v>1.9143097469999999</v>
      </c>
    </row>
    <row r="104" spans="1:16" x14ac:dyDescent="0.15">
      <c r="A104" s="10" t="s">
        <v>73</v>
      </c>
      <c r="B104" s="10" t="s">
        <v>74</v>
      </c>
      <c r="C104" s="10">
        <v>2021</v>
      </c>
      <c r="D104" s="10">
        <v>362774</v>
      </c>
      <c r="E104" s="10">
        <v>3026</v>
      </c>
      <c r="F104" s="10">
        <v>310</v>
      </c>
      <c r="G104" s="10">
        <v>2544</v>
      </c>
      <c r="H104" s="10">
        <v>2716</v>
      </c>
      <c r="I104" s="10">
        <v>162284</v>
      </c>
      <c r="L104" s="10">
        <v>351596</v>
      </c>
      <c r="M104" s="10">
        <v>3221</v>
      </c>
      <c r="P104" s="10">
        <v>2.1665475340000002</v>
      </c>
    </row>
    <row r="105" spans="1:16" x14ac:dyDescent="0.15">
      <c r="A105" s="10" t="s">
        <v>75</v>
      </c>
      <c r="B105" s="10" t="s">
        <v>76</v>
      </c>
      <c r="C105" s="10">
        <v>2021</v>
      </c>
      <c r="D105" s="10">
        <v>14330</v>
      </c>
      <c r="E105" s="10">
        <v>128</v>
      </c>
      <c r="F105" s="10">
        <v>-75</v>
      </c>
      <c r="G105" s="10">
        <v>-74</v>
      </c>
      <c r="H105" s="10">
        <v>203</v>
      </c>
      <c r="I105" s="10">
        <v>8114</v>
      </c>
      <c r="L105" s="10">
        <v>13931</v>
      </c>
      <c r="M105" s="10">
        <v>41</v>
      </c>
      <c r="P105" s="10">
        <v>1.716909046</v>
      </c>
    </row>
    <row r="106" spans="1:16" x14ac:dyDescent="0.15">
      <c r="A106" s="10" t="s">
        <v>77</v>
      </c>
      <c r="B106" s="10" t="s">
        <v>78</v>
      </c>
      <c r="C106" s="10">
        <v>2021</v>
      </c>
      <c r="D106" s="10">
        <v>5470</v>
      </c>
      <c r="E106" s="10">
        <v>42</v>
      </c>
      <c r="F106" s="10">
        <v>-20</v>
      </c>
      <c r="G106" s="10">
        <v>-172</v>
      </c>
      <c r="H106" s="10">
        <v>62</v>
      </c>
      <c r="I106" s="10">
        <v>2374</v>
      </c>
      <c r="L106" s="10">
        <v>4696</v>
      </c>
      <c r="M106" s="10">
        <v>10</v>
      </c>
      <c r="P106" s="10">
        <v>1.9780960400000001</v>
      </c>
    </row>
    <row r="107" spans="1:16" x14ac:dyDescent="0.15">
      <c r="A107" s="10" t="s">
        <v>79</v>
      </c>
      <c r="B107" s="10" t="s">
        <v>80</v>
      </c>
      <c r="C107" s="10">
        <v>2021</v>
      </c>
      <c r="D107" s="10">
        <v>21089</v>
      </c>
      <c r="E107" s="10">
        <v>189</v>
      </c>
      <c r="F107" s="10">
        <v>-124</v>
      </c>
      <c r="G107" s="10">
        <v>10</v>
      </c>
      <c r="H107" s="10">
        <v>313</v>
      </c>
      <c r="I107" s="10">
        <v>8687</v>
      </c>
      <c r="L107" s="10">
        <v>18415</v>
      </c>
      <c r="M107" s="10">
        <v>14</v>
      </c>
      <c r="P107" s="10">
        <v>2.1198342349999999</v>
      </c>
    </row>
    <row r="108" spans="1:16" x14ac:dyDescent="0.15">
      <c r="A108" s="10" t="s">
        <v>81</v>
      </c>
      <c r="B108" s="10" t="s">
        <v>82</v>
      </c>
      <c r="C108" s="10">
        <v>2021</v>
      </c>
      <c r="D108" s="10">
        <v>157432</v>
      </c>
      <c r="E108" s="10">
        <v>1527</v>
      </c>
      <c r="F108" s="10">
        <v>-373</v>
      </c>
      <c r="G108" s="10">
        <v>1812</v>
      </c>
      <c r="H108" s="10">
        <v>1900</v>
      </c>
      <c r="I108" s="10">
        <v>68720</v>
      </c>
      <c r="L108" s="10">
        <v>153559</v>
      </c>
      <c r="M108" s="10">
        <v>1231</v>
      </c>
      <c r="P108" s="10">
        <v>2.234560536</v>
      </c>
    </row>
    <row r="109" spans="1:16" x14ac:dyDescent="0.15">
      <c r="A109" s="10" t="s">
        <v>83</v>
      </c>
      <c r="B109" s="10" t="s">
        <v>84</v>
      </c>
      <c r="C109" s="10">
        <v>2021</v>
      </c>
      <c r="D109" s="10">
        <v>926</v>
      </c>
      <c r="E109" s="10">
        <v>4</v>
      </c>
      <c r="F109" s="10">
        <v>-2</v>
      </c>
      <c r="G109" s="10">
        <v>57</v>
      </c>
      <c r="H109" s="10">
        <v>6</v>
      </c>
      <c r="I109" s="10">
        <v>1290</v>
      </c>
      <c r="L109" s="10">
        <v>926</v>
      </c>
      <c r="M109" s="10">
        <v>8</v>
      </c>
      <c r="P109" s="10">
        <v>0.717829457</v>
      </c>
    </row>
    <row r="110" spans="1:16" x14ac:dyDescent="0.15">
      <c r="A110" s="10" t="s">
        <v>85</v>
      </c>
      <c r="B110" s="10" t="s">
        <v>86</v>
      </c>
      <c r="C110" s="10">
        <v>2021</v>
      </c>
      <c r="D110" s="10">
        <v>13161</v>
      </c>
      <c r="E110" s="10">
        <v>147</v>
      </c>
      <c r="F110" s="10">
        <v>-12</v>
      </c>
      <c r="G110" s="10">
        <v>-92</v>
      </c>
      <c r="H110" s="10">
        <v>159</v>
      </c>
      <c r="I110" s="10">
        <v>6119</v>
      </c>
      <c r="L110" s="10">
        <v>13051</v>
      </c>
      <c r="M110" s="10">
        <v>15</v>
      </c>
      <c r="P110" s="10">
        <v>2.132864847</v>
      </c>
    </row>
    <row r="111" spans="1:16" x14ac:dyDescent="0.15">
      <c r="A111" s="10" t="s">
        <v>87</v>
      </c>
      <c r="B111" s="10" t="s">
        <v>88</v>
      </c>
      <c r="C111" s="10">
        <v>2021</v>
      </c>
      <c r="D111" s="10">
        <v>26248</v>
      </c>
      <c r="E111" s="10">
        <v>259</v>
      </c>
      <c r="F111" s="10">
        <v>-77</v>
      </c>
      <c r="G111" s="10">
        <v>437</v>
      </c>
      <c r="H111" s="10">
        <v>336</v>
      </c>
      <c r="I111" s="10">
        <v>12328</v>
      </c>
      <c r="L111" s="10">
        <v>25994</v>
      </c>
      <c r="M111" s="10">
        <v>22</v>
      </c>
      <c r="P111" s="10">
        <v>2.1085334200000001</v>
      </c>
    </row>
    <row r="112" spans="1:16" x14ac:dyDescent="0.15">
      <c r="A112" s="10" t="s">
        <v>89</v>
      </c>
      <c r="B112" s="10" t="s">
        <v>90</v>
      </c>
      <c r="C112" s="10">
        <v>2021</v>
      </c>
      <c r="D112" s="10">
        <v>43234</v>
      </c>
      <c r="E112" s="10">
        <v>381</v>
      </c>
      <c r="F112" s="10">
        <v>-146</v>
      </c>
      <c r="G112" s="10">
        <v>570</v>
      </c>
      <c r="H112" s="10">
        <v>527</v>
      </c>
      <c r="I112" s="10">
        <v>19330</v>
      </c>
      <c r="L112" s="10">
        <v>42540</v>
      </c>
      <c r="M112" s="10">
        <v>451</v>
      </c>
      <c r="P112" s="10">
        <v>2.2007242630000001</v>
      </c>
    </row>
    <row r="113" spans="1:16" x14ac:dyDescent="0.15">
      <c r="A113" s="10" t="s">
        <v>91</v>
      </c>
      <c r="B113" s="10" t="s">
        <v>92</v>
      </c>
      <c r="C113" s="10">
        <v>2021</v>
      </c>
      <c r="D113" s="10">
        <v>29011</v>
      </c>
      <c r="E113" s="10">
        <v>377</v>
      </c>
      <c r="F113" s="10">
        <v>72</v>
      </c>
      <c r="G113" s="10">
        <v>-139</v>
      </c>
      <c r="H113" s="10">
        <v>305</v>
      </c>
      <c r="I113" s="10">
        <v>11639</v>
      </c>
      <c r="L113" s="10">
        <v>28594</v>
      </c>
      <c r="M113" s="10">
        <v>195</v>
      </c>
      <c r="P113" s="10">
        <v>2.4567402700000001</v>
      </c>
    </row>
    <row r="114" spans="1:16" x14ac:dyDescent="0.15">
      <c r="A114" s="10" t="s">
        <v>93</v>
      </c>
      <c r="B114" s="10" t="s">
        <v>94</v>
      </c>
      <c r="C114" s="10">
        <v>2021</v>
      </c>
      <c r="D114" s="10">
        <v>18523</v>
      </c>
      <c r="E114" s="10">
        <v>202</v>
      </c>
      <c r="F114" s="10">
        <v>-124</v>
      </c>
      <c r="G114" s="10">
        <v>-21</v>
      </c>
      <c r="H114" s="10">
        <v>326</v>
      </c>
      <c r="I114" s="10">
        <v>8723</v>
      </c>
      <c r="L114" s="10">
        <v>18180</v>
      </c>
      <c r="M114" s="10">
        <v>16</v>
      </c>
      <c r="P114" s="10">
        <v>2.0841453630000002</v>
      </c>
    </row>
    <row r="115" spans="1:16" x14ac:dyDescent="0.15">
      <c r="A115" s="10" t="s">
        <v>95</v>
      </c>
      <c r="B115" s="10" t="s">
        <v>96</v>
      </c>
      <c r="C115" s="10">
        <v>2021</v>
      </c>
      <c r="D115" s="10">
        <v>5051</v>
      </c>
      <c r="E115" s="10">
        <v>38</v>
      </c>
      <c r="F115" s="10">
        <v>1</v>
      </c>
      <c r="G115" s="10">
        <v>174</v>
      </c>
      <c r="H115" s="10">
        <v>37</v>
      </c>
      <c r="I115" s="10">
        <v>3391</v>
      </c>
      <c r="L115" s="10">
        <v>5051</v>
      </c>
      <c r="M115" s="10">
        <v>146</v>
      </c>
      <c r="P115" s="10">
        <v>1.4895311120000001</v>
      </c>
    </row>
    <row r="116" spans="1:16" x14ac:dyDescent="0.15">
      <c r="A116" s="10" t="s">
        <v>97</v>
      </c>
      <c r="B116" s="10" t="s">
        <v>98</v>
      </c>
      <c r="C116" s="10">
        <v>2021</v>
      </c>
      <c r="D116" s="10">
        <v>17735</v>
      </c>
      <c r="E116" s="10">
        <v>125</v>
      </c>
      <c r="F116" s="10">
        <v>-7</v>
      </c>
      <c r="G116" s="10">
        <v>326</v>
      </c>
      <c r="H116" s="10">
        <v>132</v>
      </c>
      <c r="I116" s="10">
        <v>14327</v>
      </c>
      <c r="L116" s="10">
        <v>17709</v>
      </c>
      <c r="M116" s="10">
        <v>193</v>
      </c>
      <c r="P116" s="10">
        <v>1.2360577930000001</v>
      </c>
    </row>
    <row r="117" spans="1:16" x14ac:dyDescent="0.15">
      <c r="A117" s="10" t="s">
        <v>99</v>
      </c>
      <c r="B117" s="10" t="s">
        <v>100</v>
      </c>
      <c r="C117" s="10">
        <v>2021</v>
      </c>
      <c r="D117" s="10">
        <v>4498</v>
      </c>
      <c r="E117" s="10">
        <v>57</v>
      </c>
      <c r="F117" s="10">
        <v>-22</v>
      </c>
      <c r="G117" s="10">
        <v>-3</v>
      </c>
      <c r="H117" s="10">
        <v>79</v>
      </c>
      <c r="I117" s="10">
        <v>2029</v>
      </c>
      <c r="L117" s="10">
        <v>4439</v>
      </c>
      <c r="M117" s="10">
        <v>8</v>
      </c>
      <c r="P117" s="10">
        <v>2.18777723</v>
      </c>
    </row>
    <row r="118" spans="1:16" x14ac:dyDescent="0.15">
      <c r="A118" s="10" t="s">
        <v>101</v>
      </c>
      <c r="B118" s="10" t="s">
        <v>102</v>
      </c>
      <c r="C118" s="10">
        <v>2021</v>
      </c>
      <c r="D118" s="10">
        <v>17336</v>
      </c>
      <c r="E118" s="10">
        <v>128</v>
      </c>
      <c r="F118" s="10">
        <v>45</v>
      </c>
      <c r="G118" s="10">
        <v>-64</v>
      </c>
      <c r="H118" s="10">
        <v>83</v>
      </c>
      <c r="I118" s="10">
        <v>13315</v>
      </c>
      <c r="L118" s="10">
        <v>17289</v>
      </c>
      <c r="M118" s="10">
        <v>97</v>
      </c>
      <c r="P118" s="10">
        <v>1.2984603830000001</v>
      </c>
    </row>
    <row r="119" spans="1:16" x14ac:dyDescent="0.15">
      <c r="A119" s="10" t="s">
        <v>103</v>
      </c>
      <c r="B119" s="10" t="s">
        <v>104</v>
      </c>
      <c r="C119" s="10">
        <v>2021</v>
      </c>
      <c r="D119" s="10">
        <v>11985</v>
      </c>
      <c r="E119" s="10">
        <v>144</v>
      </c>
      <c r="F119" s="10">
        <v>-33</v>
      </c>
      <c r="G119" s="10">
        <v>6</v>
      </c>
      <c r="H119" s="10">
        <v>177</v>
      </c>
      <c r="I119" s="10">
        <v>5466</v>
      </c>
      <c r="L119" s="10">
        <v>11644</v>
      </c>
      <c r="M119" s="10">
        <v>8</v>
      </c>
      <c r="P119" s="10">
        <v>2.130259788</v>
      </c>
    </row>
    <row r="120" spans="1:16" x14ac:dyDescent="0.15">
      <c r="A120" s="10" t="s">
        <v>105</v>
      </c>
      <c r="B120" s="10" t="s">
        <v>106</v>
      </c>
      <c r="C120" s="10">
        <v>2021</v>
      </c>
      <c r="D120" s="10">
        <v>169272</v>
      </c>
      <c r="E120" s="10">
        <v>1690</v>
      </c>
      <c r="F120" s="10">
        <v>-709</v>
      </c>
      <c r="G120" s="10">
        <v>1670</v>
      </c>
      <c r="H120" s="10">
        <v>2399</v>
      </c>
      <c r="I120" s="10">
        <v>73047</v>
      </c>
      <c r="L120" s="10">
        <v>166035</v>
      </c>
      <c r="M120" s="10">
        <v>742</v>
      </c>
      <c r="P120" s="10">
        <v>2.2729886239999999</v>
      </c>
    </row>
    <row r="121" spans="1:16" x14ac:dyDescent="0.15">
      <c r="A121" s="10" t="s">
        <v>107</v>
      </c>
      <c r="B121" s="10" t="s">
        <v>108</v>
      </c>
      <c r="C121" s="10">
        <v>2021</v>
      </c>
      <c r="D121" s="10">
        <v>6443</v>
      </c>
      <c r="E121" s="10">
        <v>57</v>
      </c>
      <c r="F121" s="10">
        <v>-11</v>
      </c>
      <c r="G121" s="10">
        <v>-67</v>
      </c>
      <c r="H121" s="10">
        <v>68</v>
      </c>
      <c r="I121" s="10">
        <v>3284</v>
      </c>
      <c r="L121" s="10">
        <v>6258</v>
      </c>
      <c r="M121" s="10">
        <v>12</v>
      </c>
      <c r="P121" s="10">
        <v>1.905602923</v>
      </c>
    </row>
    <row r="122" spans="1:16" x14ac:dyDescent="0.15">
      <c r="A122" s="10" t="s">
        <v>109</v>
      </c>
      <c r="B122" s="10" t="s">
        <v>110</v>
      </c>
      <c r="C122" s="10">
        <v>2021</v>
      </c>
      <c r="D122" s="10">
        <v>11404</v>
      </c>
      <c r="E122" s="10">
        <v>122</v>
      </c>
      <c r="F122" s="10">
        <v>-39</v>
      </c>
      <c r="G122" s="10">
        <v>-93</v>
      </c>
      <c r="H122" s="10">
        <v>161</v>
      </c>
      <c r="I122" s="10">
        <v>6563</v>
      </c>
      <c r="L122" s="10">
        <v>11280</v>
      </c>
      <c r="M122" s="10">
        <v>35</v>
      </c>
      <c r="P122" s="10">
        <v>1.7187261920000001</v>
      </c>
    </row>
    <row r="123" spans="1:16" x14ac:dyDescent="0.15">
      <c r="A123" s="10" t="s">
        <v>111</v>
      </c>
      <c r="B123" s="10" t="s">
        <v>112</v>
      </c>
      <c r="C123" s="10">
        <v>2021</v>
      </c>
      <c r="D123" s="10">
        <v>25061</v>
      </c>
      <c r="E123" s="10">
        <v>182</v>
      </c>
      <c r="F123" s="10">
        <v>65</v>
      </c>
      <c r="G123" s="10">
        <v>162</v>
      </c>
      <c r="H123" s="10">
        <v>117</v>
      </c>
      <c r="I123" s="10">
        <v>16824</v>
      </c>
      <c r="L123" s="10">
        <v>24779</v>
      </c>
      <c r="M123" s="10">
        <v>215</v>
      </c>
      <c r="P123" s="10">
        <v>1.472836424</v>
      </c>
    </row>
    <row r="124" spans="1:16" x14ac:dyDescent="0.15">
      <c r="A124" s="10" t="s">
        <v>113</v>
      </c>
      <c r="B124" s="10" t="s">
        <v>114</v>
      </c>
      <c r="C124" s="10">
        <v>2021</v>
      </c>
      <c r="D124" s="10">
        <v>6507</v>
      </c>
      <c r="E124" s="10">
        <v>62</v>
      </c>
      <c r="F124" s="10">
        <v>-7</v>
      </c>
      <c r="G124" s="10">
        <v>124</v>
      </c>
      <c r="H124" s="10">
        <v>69</v>
      </c>
      <c r="I124" s="10">
        <v>3814</v>
      </c>
      <c r="L124" s="10">
        <v>6491</v>
      </c>
      <c r="M124" s="10">
        <v>101</v>
      </c>
      <c r="P124" s="10">
        <v>1.701887782</v>
      </c>
    </row>
    <row r="125" spans="1:16" x14ac:dyDescent="0.15">
      <c r="A125" s="10" t="s">
        <v>115</v>
      </c>
      <c r="B125" s="10" t="s">
        <v>116</v>
      </c>
      <c r="C125" s="10">
        <v>2021</v>
      </c>
      <c r="D125" s="10">
        <v>741</v>
      </c>
      <c r="E125" s="10">
        <v>5</v>
      </c>
      <c r="F125" s="10">
        <v>-2</v>
      </c>
      <c r="G125" s="10">
        <v>32</v>
      </c>
      <c r="H125" s="10">
        <v>7</v>
      </c>
      <c r="I125" s="10">
        <v>788</v>
      </c>
      <c r="L125" s="10">
        <v>741</v>
      </c>
      <c r="M125" s="10">
        <v>17</v>
      </c>
      <c r="P125" s="10">
        <v>0.94035533000000004</v>
      </c>
    </row>
    <row r="126" spans="1:16" x14ac:dyDescent="0.15">
      <c r="A126" s="10" t="s">
        <v>117</v>
      </c>
      <c r="B126" s="10" t="s">
        <v>118</v>
      </c>
      <c r="C126" s="10">
        <v>2021</v>
      </c>
      <c r="D126" s="10">
        <v>8078</v>
      </c>
      <c r="E126" s="10">
        <v>53</v>
      </c>
      <c r="F126" s="10">
        <v>26</v>
      </c>
      <c r="G126" s="10">
        <v>-3</v>
      </c>
      <c r="H126" s="10">
        <v>27</v>
      </c>
      <c r="I126" s="10">
        <v>6595</v>
      </c>
      <c r="L126" s="10">
        <v>8073</v>
      </c>
      <c r="M126" s="10">
        <v>80</v>
      </c>
      <c r="P126" s="10">
        <v>1.2241091740000001</v>
      </c>
    </row>
    <row r="127" spans="1:16" x14ac:dyDescent="0.15">
      <c r="A127" s="10" t="s">
        <v>119</v>
      </c>
      <c r="B127" s="10" t="s">
        <v>120</v>
      </c>
      <c r="C127" s="10">
        <v>2021</v>
      </c>
      <c r="D127" s="10">
        <v>2330</v>
      </c>
      <c r="E127" s="10">
        <v>15</v>
      </c>
      <c r="F127" s="10">
        <v>-29</v>
      </c>
      <c r="G127" s="10">
        <v>-32</v>
      </c>
      <c r="H127" s="10">
        <v>44</v>
      </c>
      <c r="I127" s="10">
        <v>1343</v>
      </c>
      <c r="L127" s="10">
        <v>2293</v>
      </c>
      <c r="M127" s="10">
        <v>1</v>
      </c>
      <c r="P127" s="10">
        <v>1.707371556</v>
      </c>
    </row>
    <row r="128" spans="1:16" x14ac:dyDescent="0.15">
      <c r="A128" s="10" t="s">
        <v>121</v>
      </c>
      <c r="B128" s="10" t="s">
        <v>122</v>
      </c>
      <c r="C128" s="10">
        <v>2021</v>
      </c>
      <c r="D128" s="10">
        <v>30994</v>
      </c>
      <c r="E128" s="10">
        <v>251</v>
      </c>
      <c r="F128" s="10">
        <v>180</v>
      </c>
      <c r="G128" s="10">
        <v>-182</v>
      </c>
      <c r="H128" s="10">
        <v>71</v>
      </c>
      <c r="I128" s="10">
        <v>31737</v>
      </c>
      <c r="L128" s="10">
        <v>30415</v>
      </c>
      <c r="M128" s="10">
        <v>407</v>
      </c>
      <c r="P128" s="10">
        <v>0.95834514900000001</v>
      </c>
    </row>
    <row r="129" spans="1:16" x14ac:dyDescent="0.15">
      <c r="A129" s="10" t="s">
        <v>123</v>
      </c>
      <c r="B129" s="10" t="s">
        <v>124</v>
      </c>
      <c r="C129" s="10">
        <v>2021</v>
      </c>
      <c r="D129" s="10">
        <v>24947</v>
      </c>
      <c r="E129" s="10">
        <v>167</v>
      </c>
      <c r="F129" s="10">
        <v>-72</v>
      </c>
      <c r="G129" s="10">
        <v>274</v>
      </c>
      <c r="H129" s="10">
        <v>239</v>
      </c>
      <c r="I129" s="10">
        <v>13509</v>
      </c>
      <c r="L129" s="10">
        <v>24784</v>
      </c>
      <c r="M129" s="10">
        <v>149</v>
      </c>
      <c r="P129" s="10">
        <v>1.834628766</v>
      </c>
    </row>
    <row r="130" spans="1:16" x14ac:dyDescent="0.15">
      <c r="A130" s="10" t="s">
        <v>125</v>
      </c>
      <c r="B130" s="10" t="s">
        <v>126</v>
      </c>
      <c r="C130" s="10">
        <v>2021</v>
      </c>
      <c r="D130" s="10">
        <v>4870</v>
      </c>
      <c r="E130" s="10">
        <v>50</v>
      </c>
      <c r="F130" s="10">
        <v>-18</v>
      </c>
      <c r="G130" s="10">
        <v>77</v>
      </c>
      <c r="H130" s="10">
        <v>68</v>
      </c>
      <c r="I130" s="10">
        <v>2287</v>
      </c>
      <c r="L130" s="10">
        <v>4705</v>
      </c>
      <c r="M130" s="10">
        <v>1</v>
      </c>
      <c r="P130" s="10">
        <v>2.0572802800000001</v>
      </c>
    </row>
    <row r="131" spans="1:16" x14ac:dyDescent="0.15">
      <c r="A131" s="10" t="s">
        <v>127</v>
      </c>
      <c r="B131" s="10" t="s">
        <v>128</v>
      </c>
      <c r="C131" s="10">
        <v>2021</v>
      </c>
      <c r="D131" s="10">
        <v>339865</v>
      </c>
      <c r="E131" s="10">
        <v>4433</v>
      </c>
      <c r="F131" s="10">
        <v>2163</v>
      </c>
      <c r="G131" s="10">
        <v>6279</v>
      </c>
      <c r="H131" s="10">
        <v>2270</v>
      </c>
      <c r="I131" s="10">
        <v>124749</v>
      </c>
      <c r="L131" s="10">
        <v>335432</v>
      </c>
      <c r="M131" s="10">
        <v>5268</v>
      </c>
      <c r="P131" s="10">
        <v>2.6888552209999999</v>
      </c>
    </row>
    <row r="132" spans="1:16" x14ac:dyDescent="0.15">
      <c r="A132" s="10" t="s">
        <v>129</v>
      </c>
      <c r="B132" s="10" t="s">
        <v>130</v>
      </c>
      <c r="C132" s="10">
        <v>2021</v>
      </c>
      <c r="D132" s="10">
        <v>9932</v>
      </c>
      <c r="E132" s="10">
        <v>134</v>
      </c>
      <c r="F132" s="10">
        <v>8</v>
      </c>
      <c r="G132" s="10">
        <v>-53</v>
      </c>
      <c r="H132" s="10">
        <v>126</v>
      </c>
      <c r="I132" s="10">
        <v>4320</v>
      </c>
      <c r="L132" s="10">
        <v>9750</v>
      </c>
      <c r="M132" s="10">
        <v>4</v>
      </c>
      <c r="P132" s="10">
        <v>2.2569444440000002</v>
      </c>
    </row>
    <row r="133" spans="1:16" x14ac:dyDescent="0.15">
      <c r="A133" s="10" t="s">
        <v>1</v>
      </c>
      <c r="B133" s="10" t="s">
        <v>2</v>
      </c>
      <c r="C133" s="10">
        <v>2022</v>
      </c>
      <c r="D133" s="10">
        <v>5838736</v>
      </c>
      <c r="E133" s="10">
        <v>62467</v>
      </c>
      <c r="F133" s="10">
        <v>12786</v>
      </c>
      <c r="G133" s="10">
        <v>14924</v>
      </c>
      <c r="H133" s="10">
        <v>49681</v>
      </c>
      <c r="I133" s="10">
        <v>2598686</v>
      </c>
      <c r="L133" s="10">
        <v>5715606</v>
      </c>
      <c r="M133" s="10">
        <v>48839</v>
      </c>
      <c r="P133" s="10">
        <v>2.1994215540000002</v>
      </c>
    </row>
    <row r="134" spans="1:16" x14ac:dyDescent="0.15">
      <c r="A134" s="10" t="s">
        <v>3</v>
      </c>
      <c r="B134" s="10" t="s">
        <v>4</v>
      </c>
      <c r="C134" s="10">
        <v>2022</v>
      </c>
      <c r="D134" s="10">
        <v>527501</v>
      </c>
      <c r="E134" s="10">
        <v>6838</v>
      </c>
      <c r="F134" s="10">
        <v>2544</v>
      </c>
      <c r="G134" s="10">
        <v>1540</v>
      </c>
      <c r="H134" s="10">
        <v>4294</v>
      </c>
      <c r="I134" s="10">
        <v>196741</v>
      </c>
      <c r="L134" s="10">
        <v>522937</v>
      </c>
      <c r="M134" s="10">
        <v>2811</v>
      </c>
      <c r="P134" s="10">
        <v>2.6579970620000002</v>
      </c>
    </row>
    <row r="135" spans="1:16" x14ac:dyDescent="0.15">
      <c r="A135" s="10" t="s">
        <v>5</v>
      </c>
      <c r="B135" s="10" t="s">
        <v>6</v>
      </c>
      <c r="C135" s="10">
        <v>2022</v>
      </c>
      <c r="D135" s="10">
        <v>16575</v>
      </c>
      <c r="E135" s="10">
        <v>196</v>
      </c>
      <c r="F135" s="10">
        <v>-11</v>
      </c>
      <c r="G135" s="10">
        <v>12</v>
      </c>
      <c r="H135" s="10">
        <v>207</v>
      </c>
      <c r="I135" s="10">
        <v>7250</v>
      </c>
      <c r="L135" s="10">
        <v>15609</v>
      </c>
      <c r="M135" s="10">
        <v>102</v>
      </c>
      <c r="P135" s="10">
        <v>2.1529655170000002</v>
      </c>
    </row>
    <row r="136" spans="1:16" x14ac:dyDescent="0.15">
      <c r="A136" s="10" t="s">
        <v>7</v>
      </c>
      <c r="B136" s="10" t="s">
        <v>8</v>
      </c>
      <c r="C136" s="10">
        <v>2022</v>
      </c>
      <c r="D136" s="10">
        <v>656015</v>
      </c>
      <c r="E136" s="10">
        <v>7612</v>
      </c>
      <c r="F136" s="10">
        <v>2532</v>
      </c>
      <c r="G136" s="10">
        <v>-3239</v>
      </c>
      <c r="H136" s="10">
        <v>5080</v>
      </c>
      <c r="I136" s="10">
        <v>270939</v>
      </c>
      <c r="L136" s="10">
        <v>650714</v>
      </c>
      <c r="M136" s="10">
        <v>4325</v>
      </c>
      <c r="P136" s="10">
        <v>2.4016992749999999</v>
      </c>
    </row>
    <row r="137" spans="1:16" x14ac:dyDescent="0.15">
      <c r="A137" s="10" t="s">
        <v>9</v>
      </c>
      <c r="B137" s="10" t="s">
        <v>10</v>
      </c>
      <c r="C137" s="10">
        <v>2022</v>
      </c>
      <c r="D137" s="10">
        <v>13986</v>
      </c>
      <c r="E137" s="10">
        <v>104</v>
      </c>
      <c r="F137" s="10">
        <v>-48</v>
      </c>
      <c r="G137" s="10">
        <v>222</v>
      </c>
      <c r="H137" s="10">
        <v>152</v>
      </c>
      <c r="I137" s="10">
        <v>9879</v>
      </c>
      <c r="L137" s="10">
        <v>13898</v>
      </c>
      <c r="M137" s="10">
        <v>164</v>
      </c>
      <c r="P137" s="10">
        <v>1.406822553</v>
      </c>
    </row>
    <row r="138" spans="1:16" x14ac:dyDescent="0.15">
      <c r="A138" s="10" t="s">
        <v>11</v>
      </c>
      <c r="B138" s="10" t="s">
        <v>12</v>
      </c>
      <c r="C138" s="10">
        <v>2022</v>
      </c>
      <c r="D138" s="10">
        <v>3431</v>
      </c>
      <c r="E138" s="10">
        <v>34</v>
      </c>
      <c r="F138" s="10">
        <v>-45</v>
      </c>
      <c r="G138" s="10">
        <v>-15</v>
      </c>
      <c r="H138" s="10">
        <v>79</v>
      </c>
      <c r="I138" s="10">
        <v>1981</v>
      </c>
      <c r="L138" s="10">
        <v>3383</v>
      </c>
      <c r="M138" s="10">
        <v>26</v>
      </c>
      <c r="P138" s="10">
        <v>1.707723372</v>
      </c>
    </row>
    <row r="139" spans="1:16" x14ac:dyDescent="0.15">
      <c r="A139" s="10" t="s">
        <v>13</v>
      </c>
      <c r="B139" s="10" t="s">
        <v>14</v>
      </c>
      <c r="C139" s="10">
        <v>2022</v>
      </c>
      <c r="D139" s="10">
        <v>5400</v>
      </c>
      <c r="E139" s="10">
        <v>41</v>
      </c>
      <c r="F139" s="10">
        <v>-45</v>
      </c>
      <c r="G139" s="10">
        <v>111</v>
      </c>
      <c r="H139" s="10">
        <v>86</v>
      </c>
      <c r="I139" s="10">
        <v>2171</v>
      </c>
      <c r="L139" s="10">
        <v>4105</v>
      </c>
      <c r="M139" s="10">
        <v>29</v>
      </c>
      <c r="P139" s="10">
        <v>1.890833717</v>
      </c>
    </row>
    <row r="140" spans="1:16" x14ac:dyDescent="0.15">
      <c r="A140" s="10" t="s">
        <v>15</v>
      </c>
      <c r="B140" s="10" t="s">
        <v>16</v>
      </c>
      <c r="C140" s="10">
        <v>2022</v>
      </c>
      <c r="D140" s="10">
        <v>327424</v>
      </c>
      <c r="E140" s="10">
        <v>2420</v>
      </c>
      <c r="F140" s="10">
        <v>220</v>
      </c>
      <c r="G140" s="10">
        <v>124</v>
      </c>
      <c r="H140" s="10">
        <v>2200</v>
      </c>
      <c r="I140" s="10">
        <v>144094</v>
      </c>
      <c r="L140" s="10">
        <v>313031</v>
      </c>
      <c r="M140" s="10">
        <v>1642</v>
      </c>
      <c r="P140" s="10">
        <v>2.1724082889999998</v>
      </c>
    </row>
    <row r="141" spans="1:16" x14ac:dyDescent="0.15">
      <c r="A141" s="10" t="s">
        <v>17</v>
      </c>
      <c r="B141" s="10" t="s">
        <v>18</v>
      </c>
      <c r="C141" s="10">
        <v>2022</v>
      </c>
      <c r="D141" s="10">
        <v>76155</v>
      </c>
      <c r="E141" s="10">
        <v>635</v>
      </c>
      <c r="F141" s="10">
        <v>145</v>
      </c>
      <c r="G141" s="10">
        <v>595</v>
      </c>
      <c r="H141" s="10">
        <v>490</v>
      </c>
      <c r="I141" s="10">
        <v>33645</v>
      </c>
      <c r="L141" s="10">
        <v>75704</v>
      </c>
      <c r="M141" s="10">
        <v>538</v>
      </c>
      <c r="P141" s="10">
        <v>2.2500817359999998</v>
      </c>
    </row>
    <row r="142" spans="1:16" x14ac:dyDescent="0.15">
      <c r="A142" s="10" t="s">
        <v>19</v>
      </c>
      <c r="B142" s="10" t="s">
        <v>20</v>
      </c>
      <c r="C142" s="10">
        <v>2022</v>
      </c>
      <c r="D142" s="10">
        <v>20261</v>
      </c>
      <c r="E142" s="10">
        <v>145</v>
      </c>
      <c r="F142" s="10">
        <v>-41</v>
      </c>
      <c r="G142" s="10">
        <v>565</v>
      </c>
      <c r="H142" s="10">
        <v>186</v>
      </c>
      <c r="I142" s="10">
        <v>11903</v>
      </c>
      <c r="L142" s="10">
        <v>19071</v>
      </c>
      <c r="M142" s="10">
        <v>277</v>
      </c>
      <c r="P142" s="10">
        <v>1.602201126</v>
      </c>
    </row>
    <row r="143" spans="1:16" x14ac:dyDescent="0.15">
      <c r="A143" s="10" t="s">
        <v>21</v>
      </c>
      <c r="B143" s="10" t="s">
        <v>22</v>
      </c>
      <c r="C143" s="10">
        <v>2022</v>
      </c>
      <c r="D143" s="10">
        <v>1722</v>
      </c>
      <c r="E143" s="10">
        <v>15</v>
      </c>
      <c r="F143" s="10">
        <v>-14</v>
      </c>
      <c r="G143" s="10">
        <v>20</v>
      </c>
      <c r="H143" s="10">
        <v>29</v>
      </c>
      <c r="I143" s="10">
        <v>945</v>
      </c>
      <c r="L143" s="10">
        <v>1698</v>
      </c>
      <c r="M143" s="10">
        <v>11</v>
      </c>
      <c r="P143" s="10">
        <v>1.7968253970000001</v>
      </c>
    </row>
    <row r="144" spans="1:16" x14ac:dyDescent="0.15">
      <c r="A144" s="10" t="s">
        <v>23</v>
      </c>
      <c r="B144" s="10" t="s">
        <v>24</v>
      </c>
      <c r="C144" s="10">
        <v>2022</v>
      </c>
      <c r="D144" s="10">
        <v>9366</v>
      </c>
      <c r="E144" s="10">
        <v>60</v>
      </c>
      <c r="F144" s="10">
        <v>-18</v>
      </c>
      <c r="G144" s="10">
        <v>-73</v>
      </c>
      <c r="H144" s="10">
        <v>78</v>
      </c>
      <c r="I144" s="10">
        <v>5868</v>
      </c>
      <c r="L144" s="10">
        <v>9284</v>
      </c>
      <c r="M144" s="10">
        <v>20</v>
      </c>
      <c r="P144" s="10">
        <v>1.582140423</v>
      </c>
    </row>
    <row r="145" spans="1:16" x14ac:dyDescent="0.15">
      <c r="A145" s="10" t="s">
        <v>25</v>
      </c>
      <c r="B145" s="10" t="s">
        <v>26</v>
      </c>
      <c r="C145" s="10">
        <v>2022</v>
      </c>
      <c r="D145" s="10">
        <v>7572</v>
      </c>
      <c r="E145" s="10">
        <v>105</v>
      </c>
      <c r="F145" s="10">
        <v>-34</v>
      </c>
      <c r="G145" s="10">
        <v>20</v>
      </c>
      <c r="H145" s="10">
        <v>139</v>
      </c>
      <c r="I145" s="10">
        <v>4119</v>
      </c>
      <c r="L145" s="10">
        <v>7524</v>
      </c>
      <c r="M145" s="10">
        <v>40</v>
      </c>
      <c r="P145" s="10">
        <v>1.8266569560000001</v>
      </c>
    </row>
    <row r="146" spans="1:16" x14ac:dyDescent="0.15">
      <c r="A146" s="10" t="s">
        <v>27</v>
      </c>
      <c r="B146" s="10" t="s">
        <v>28</v>
      </c>
      <c r="C146" s="10">
        <v>2022</v>
      </c>
      <c r="D146" s="10">
        <v>3614</v>
      </c>
      <c r="E146" s="10">
        <v>28</v>
      </c>
      <c r="F146" s="10">
        <v>-30</v>
      </c>
      <c r="G146" s="10">
        <v>27</v>
      </c>
      <c r="H146" s="10">
        <v>58</v>
      </c>
      <c r="I146" s="10">
        <v>2424</v>
      </c>
      <c r="L146" s="10">
        <v>3602</v>
      </c>
      <c r="M146" s="10">
        <v>0</v>
      </c>
      <c r="P146" s="10">
        <v>1.4859735970000001</v>
      </c>
    </row>
    <row r="147" spans="1:16" x14ac:dyDescent="0.15">
      <c r="A147" s="10" t="s">
        <v>29</v>
      </c>
      <c r="B147" s="10" t="s">
        <v>30</v>
      </c>
      <c r="C147" s="10">
        <v>2022</v>
      </c>
      <c r="D147" s="10">
        <v>5620</v>
      </c>
      <c r="E147" s="10">
        <v>24</v>
      </c>
      <c r="F147" s="10">
        <v>-56</v>
      </c>
      <c r="G147" s="10">
        <v>-68</v>
      </c>
      <c r="H147" s="10">
        <v>80</v>
      </c>
      <c r="I147" s="10">
        <v>1535</v>
      </c>
      <c r="L147" s="10">
        <v>3116</v>
      </c>
      <c r="M147" s="10">
        <v>45</v>
      </c>
      <c r="P147" s="10">
        <v>2.0299674269999999</v>
      </c>
    </row>
    <row r="148" spans="1:16" x14ac:dyDescent="0.15">
      <c r="A148" s="10" t="s">
        <v>31</v>
      </c>
      <c r="B148" s="10" t="s">
        <v>32</v>
      </c>
      <c r="C148" s="10">
        <v>2022</v>
      </c>
      <c r="D148" s="10">
        <v>5338</v>
      </c>
      <c r="E148" s="10">
        <v>44</v>
      </c>
      <c r="F148" s="10">
        <v>-22</v>
      </c>
      <c r="G148" s="10">
        <v>296</v>
      </c>
      <c r="H148" s="10">
        <v>66</v>
      </c>
      <c r="I148" s="10">
        <v>4470</v>
      </c>
      <c r="L148" s="10">
        <v>5335</v>
      </c>
      <c r="M148" s="10">
        <v>132</v>
      </c>
      <c r="P148" s="10">
        <v>1.193512304</v>
      </c>
    </row>
    <row r="149" spans="1:16" x14ac:dyDescent="0.15">
      <c r="A149" s="10" t="s">
        <v>33</v>
      </c>
      <c r="B149" s="10" t="s">
        <v>34</v>
      </c>
      <c r="C149" s="10">
        <v>2022</v>
      </c>
      <c r="D149" s="10">
        <v>31581</v>
      </c>
      <c r="E149" s="10">
        <v>261</v>
      </c>
      <c r="F149" s="10">
        <v>-242</v>
      </c>
      <c r="G149" s="10">
        <v>437</v>
      </c>
      <c r="H149" s="10">
        <v>503</v>
      </c>
      <c r="I149" s="10">
        <v>15081</v>
      </c>
      <c r="L149" s="10">
        <v>31086</v>
      </c>
      <c r="M149" s="10">
        <v>60</v>
      </c>
      <c r="P149" s="10">
        <v>2.061269147</v>
      </c>
    </row>
    <row r="150" spans="1:16" x14ac:dyDescent="0.15">
      <c r="A150" s="10" t="s">
        <v>35</v>
      </c>
      <c r="B150" s="10" t="s">
        <v>36</v>
      </c>
      <c r="C150" s="10">
        <v>2022</v>
      </c>
      <c r="D150" s="10">
        <v>712637</v>
      </c>
      <c r="E150" s="10">
        <v>8165</v>
      </c>
      <c r="F150" s="10">
        <v>2761</v>
      </c>
      <c r="G150" s="10">
        <v>-1499</v>
      </c>
      <c r="H150" s="10">
        <v>5404</v>
      </c>
      <c r="I150" s="10">
        <v>360938</v>
      </c>
      <c r="L150" s="10">
        <v>697243</v>
      </c>
      <c r="M150" s="10">
        <v>8296</v>
      </c>
      <c r="P150" s="10">
        <v>1.931752822</v>
      </c>
    </row>
    <row r="151" spans="1:16" x14ac:dyDescent="0.15">
      <c r="A151" s="10" t="s">
        <v>37</v>
      </c>
      <c r="B151" s="10" t="s">
        <v>38</v>
      </c>
      <c r="C151" s="10">
        <v>2022</v>
      </c>
      <c r="D151" s="10">
        <v>2203</v>
      </c>
      <c r="E151" s="10">
        <v>20</v>
      </c>
      <c r="F151" s="10">
        <v>-22</v>
      </c>
      <c r="G151" s="10">
        <v>104</v>
      </c>
      <c r="H151" s="10">
        <v>42</v>
      </c>
      <c r="I151" s="10">
        <v>1357</v>
      </c>
      <c r="L151" s="10">
        <v>2203</v>
      </c>
      <c r="M151" s="10">
        <v>2</v>
      </c>
      <c r="P151" s="10">
        <v>1.6234340460000001</v>
      </c>
    </row>
    <row r="152" spans="1:16" x14ac:dyDescent="0.15">
      <c r="A152" s="10" t="s">
        <v>39</v>
      </c>
      <c r="B152" s="10" t="s">
        <v>40</v>
      </c>
      <c r="C152" s="10">
        <v>2022</v>
      </c>
      <c r="D152" s="10">
        <v>376026</v>
      </c>
      <c r="E152" s="10">
        <v>3850</v>
      </c>
      <c r="F152" s="10">
        <v>1724</v>
      </c>
      <c r="G152" s="10">
        <v>4544</v>
      </c>
      <c r="H152" s="10">
        <v>2126</v>
      </c>
      <c r="I152" s="10">
        <v>145974</v>
      </c>
      <c r="L152" s="10">
        <v>374404</v>
      </c>
      <c r="M152" s="10">
        <v>4767</v>
      </c>
      <c r="P152" s="10">
        <v>2.5648677160000002</v>
      </c>
    </row>
    <row r="153" spans="1:16" x14ac:dyDescent="0.15">
      <c r="A153" s="10" t="s">
        <v>41</v>
      </c>
      <c r="B153" s="10" t="s">
        <v>42</v>
      </c>
      <c r="C153" s="10">
        <v>2022</v>
      </c>
      <c r="D153" s="10">
        <v>55291</v>
      </c>
      <c r="E153" s="10">
        <v>523</v>
      </c>
      <c r="F153" s="10">
        <v>344</v>
      </c>
      <c r="G153" s="10">
        <v>-838</v>
      </c>
      <c r="H153" s="10">
        <v>179</v>
      </c>
      <c r="I153" s="10">
        <v>34333</v>
      </c>
      <c r="L153" s="10">
        <v>55190</v>
      </c>
      <c r="M153" s="10">
        <v>268</v>
      </c>
      <c r="P153" s="10">
        <v>1.607491335</v>
      </c>
    </row>
    <row r="154" spans="1:16" x14ac:dyDescent="0.15">
      <c r="A154" s="10" t="s">
        <v>43</v>
      </c>
      <c r="B154" s="10" t="s">
        <v>44</v>
      </c>
      <c r="C154" s="10">
        <v>2022</v>
      </c>
      <c r="D154" s="10">
        <v>27821</v>
      </c>
      <c r="E154" s="10">
        <v>261</v>
      </c>
      <c r="F154" s="10">
        <v>31</v>
      </c>
      <c r="G154" s="10">
        <v>646</v>
      </c>
      <c r="H154" s="10">
        <v>230</v>
      </c>
      <c r="I154" s="10">
        <v>10555</v>
      </c>
      <c r="L154" s="10">
        <v>27762</v>
      </c>
      <c r="M154" s="10">
        <v>284</v>
      </c>
      <c r="P154" s="10">
        <v>2.6302226430000002</v>
      </c>
    </row>
    <row r="155" spans="1:16" x14ac:dyDescent="0.15">
      <c r="A155" s="10" t="s">
        <v>45</v>
      </c>
      <c r="B155" s="10" t="s">
        <v>46</v>
      </c>
      <c r="C155" s="10">
        <v>2022</v>
      </c>
      <c r="D155" s="10">
        <v>740552</v>
      </c>
      <c r="E155" s="10">
        <v>9267</v>
      </c>
      <c r="F155" s="10">
        <v>3029</v>
      </c>
      <c r="G155" s="10">
        <v>321</v>
      </c>
      <c r="H155" s="10">
        <v>6238</v>
      </c>
      <c r="I155" s="10">
        <v>304114</v>
      </c>
      <c r="L155" s="10">
        <v>720084</v>
      </c>
      <c r="M155" s="10">
        <v>8685</v>
      </c>
      <c r="P155" s="10">
        <v>2.3678094399999998</v>
      </c>
    </row>
    <row r="156" spans="1:16" x14ac:dyDescent="0.15">
      <c r="A156" s="10" t="s">
        <v>47</v>
      </c>
      <c r="B156" s="10" t="s">
        <v>48</v>
      </c>
      <c r="C156" s="10">
        <v>2022</v>
      </c>
      <c r="D156" s="10">
        <v>49570</v>
      </c>
      <c r="E156" s="10">
        <v>332</v>
      </c>
      <c r="F156" s="10">
        <v>-422</v>
      </c>
      <c r="G156" s="10">
        <v>743</v>
      </c>
      <c r="H156" s="10">
        <v>754</v>
      </c>
      <c r="I156" s="10">
        <v>20610</v>
      </c>
      <c r="L156" s="10">
        <v>41601</v>
      </c>
      <c r="M156" s="10">
        <v>190</v>
      </c>
      <c r="P156" s="10">
        <v>2.0184861719999998</v>
      </c>
    </row>
    <row r="157" spans="1:16" x14ac:dyDescent="0.15">
      <c r="A157" s="10" t="s">
        <v>49</v>
      </c>
      <c r="B157" s="10" t="s">
        <v>50</v>
      </c>
      <c r="C157" s="10">
        <v>2022</v>
      </c>
      <c r="D157" s="10">
        <v>62254</v>
      </c>
      <c r="E157" s="10">
        <v>728</v>
      </c>
      <c r="F157" s="10">
        <v>314</v>
      </c>
      <c r="G157" s="10">
        <v>-224</v>
      </c>
      <c r="H157" s="10">
        <v>414</v>
      </c>
      <c r="I157" s="10">
        <v>25068</v>
      </c>
      <c r="L157" s="10">
        <v>61221</v>
      </c>
      <c r="M157" s="10">
        <v>240</v>
      </c>
      <c r="P157" s="10">
        <v>2.4421972240000001</v>
      </c>
    </row>
    <row r="158" spans="1:16" x14ac:dyDescent="0.15">
      <c r="A158" s="10" t="s">
        <v>51</v>
      </c>
      <c r="B158" s="10" t="s">
        <v>52</v>
      </c>
      <c r="C158" s="10">
        <v>2022</v>
      </c>
      <c r="D158" s="10">
        <v>5895</v>
      </c>
      <c r="E158" s="10">
        <v>49</v>
      </c>
      <c r="F158" s="10">
        <v>14</v>
      </c>
      <c r="G158" s="10">
        <v>-13</v>
      </c>
      <c r="H158" s="10">
        <v>35</v>
      </c>
      <c r="I158" s="10">
        <v>3564</v>
      </c>
      <c r="L158" s="10">
        <v>5847</v>
      </c>
      <c r="M158" s="10">
        <v>36</v>
      </c>
      <c r="P158" s="10">
        <v>1.6405723910000001</v>
      </c>
    </row>
    <row r="159" spans="1:16" x14ac:dyDescent="0.15">
      <c r="A159" s="10" t="s">
        <v>53</v>
      </c>
      <c r="B159" s="10" t="s">
        <v>54</v>
      </c>
      <c r="C159" s="10">
        <v>2022</v>
      </c>
      <c r="D159" s="10">
        <v>15748</v>
      </c>
      <c r="E159" s="10">
        <v>127</v>
      </c>
      <c r="F159" s="10">
        <v>13</v>
      </c>
      <c r="G159" s="10">
        <v>-125</v>
      </c>
      <c r="H159" s="10">
        <v>114</v>
      </c>
      <c r="I159" s="10">
        <v>17285</v>
      </c>
      <c r="L159" s="10">
        <v>15536</v>
      </c>
      <c r="M159" s="10">
        <v>375</v>
      </c>
      <c r="P159" s="10">
        <v>0.89881400099999997</v>
      </c>
    </row>
    <row r="160" spans="1:16" x14ac:dyDescent="0.15">
      <c r="A160" s="10" t="s">
        <v>55</v>
      </c>
      <c r="B160" s="10" t="s">
        <v>56</v>
      </c>
      <c r="C160" s="10">
        <v>2022</v>
      </c>
      <c r="D160" s="10">
        <v>17269</v>
      </c>
      <c r="E160" s="10">
        <v>133</v>
      </c>
      <c r="F160" s="10">
        <v>44</v>
      </c>
      <c r="G160" s="10">
        <v>-88</v>
      </c>
      <c r="H160" s="10">
        <v>89</v>
      </c>
      <c r="I160" s="10">
        <v>12619</v>
      </c>
      <c r="L160" s="10">
        <v>16212</v>
      </c>
      <c r="M160" s="10">
        <v>149</v>
      </c>
      <c r="P160" s="10">
        <v>1.284729376</v>
      </c>
    </row>
    <row r="161" spans="1:16" x14ac:dyDescent="0.15">
      <c r="A161" s="10" t="s">
        <v>57</v>
      </c>
      <c r="B161" s="10" t="s">
        <v>58</v>
      </c>
      <c r="C161" s="10">
        <v>2022</v>
      </c>
      <c r="D161" s="10">
        <v>779</v>
      </c>
      <c r="E161" s="10">
        <v>4</v>
      </c>
      <c r="F161" s="10">
        <v>-3</v>
      </c>
      <c r="G161" s="10">
        <v>4</v>
      </c>
      <c r="H161" s="10">
        <v>7</v>
      </c>
      <c r="I161" s="10">
        <v>1358</v>
      </c>
      <c r="L161" s="10">
        <v>779</v>
      </c>
      <c r="M161" s="10">
        <v>15</v>
      </c>
      <c r="P161" s="10">
        <v>0.57363770300000005</v>
      </c>
    </row>
    <row r="162" spans="1:16" x14ac:dyDescent="0.15">
      <c r="A162" s="10" t="s">
        <v>59</v>
      </c>
      <c r="B162" s="10" t="s">
        <v>60</v>
      </c>
      <c r="C162" s="10">
        <v>2022</v>
      </c>
      <c r="D162" s="10">
        <v>7104</v>
      </c>
      <c r="E162" s="10">
        <v>44</v>
      </c>
      <c r="F162" s="10">
        <v>-108</v>
      </c>
      <c r="G162" s="10">
        <v>264</v>
      </c>
      <c r="H162" s="10">
        <v>152</v>
      </c>
      <c r="I162" s="10">
        <v>4747</v>
      </c>
      <c r="L162" s="10">
        <v>7001</v>
      </c>
      <c r="M162" s="10">
        <v>57</v>
      </c>
      <c r="P162" s="10">
        <v>1.4748262059999999</v>
      </c>
    </row>
    <row r="163" spans="1:16" x14ac:dyDescent="0.15">
      <c r="A163" s="10" t="s">
        <v>61</v>
      </c>
      <c r="B163" s="10" t="s">
        <v>62</v>
      </c>
      <c r="C163" s="10">
        <v>2022</v>
      </c>
      <c r="D163" s="10">
        <v>1314</v>
      </c>
      <c r="E163" s="10">
        <v>8</v>
      </c>
      <c r="F163" s="10">
        <v>-1</v>
      </c>
      <c r="G163" s="10">
        <v>-43</v>
      </c>
      <c r="H163" s="10">
        <v>9</v>
      </c>
      <c r="I163" s="10">
        <v>1199</v>
      </c>
      <c r="L163" s="10">
        <v>1312</v>
      </c>
      <c r="M163" s="10">
        <v>4</v>
      </c>
      <c r="P163" s="10">
        <v>1.0942452039999999</v>
      </c>
    </row>
    <row r="164" spans="1:16" x14ac:dyDescent="0.15">
      <c r="A164" s="10" t="s">
        <v>63</v>
      </c>
      <c r="B164" s="10" t="s">
        <v>64</v>
      </c>
      <c r="C164" s="10">
        <v>2022</v>
      </c>
      <c r="D164" s="10">
        <v>575936</v>
      </c>
      <c r="E164" s="10">
        <v>5523</v>
      </c>
      <c r="F164" s="10">
        <v>82</v>
      </c>
      <c r="G164" s="10">
        <v>-4872</v>
      </c>
      <c r="H164" s="10">
        <v>5441</v>
      </c>
      <c r="I164" s="10">
        <v>254441</v>
      </c>
      <c r="L164" s="10">
        <v>566554</v>
      </c>
      <c r="M164" s="10">
        <v>2206</v>
      </c>
      <c r="P164" s="10">
        <v>2.2266615839999999</v>
      </c>
    </row>
    <row r="165" spans="1:16" x14ac:dyDescent="0.15">
      <c r="A165" s="10" t="s">
        <v>65</v>
      </c>
      <c r="B165" s="10" t="s">
        <v>66</v>
      </c>
      <c r="C165" s="10">
        <v>2022</v>
      </c>
      <c r="D165" s="10">
        <v>1428</v>
      </c>
      <c r="E165" s="10">
        <v>11</v>
      </c>
      <c r="F165" s="10">
        <v>-8</v>
      </c>
      <c r="G165" s="10">
        <v>-17</v>
      </c>
      <c r="H165" s="10">
        <v>19</v>
      </c>
      <c r="I165" s="10">
        <v>748</v>
      </c>
      <c r="L165" s="10">
        <v>1399</v>
      </c>
      <c r="M165" s="10">
        <v>6</v>
      </c>
      <c r="P165" s="10">
        <v>1.870320856</v>
      </c>
    </row>
    <row r="166" spans="1:16" x14ac:dyDescent="0.15">
      <c r="A166" s="10" t="s">
        <v>67</v>
      </c>
      <c r="B166" s="10" t="s">
        <v>68</v>
      </c>
      <c r="C166" s="10">
        <v>2022</v>
      </c>
      <c r="D166" s="10">
        <v>6974</v>
      </c>
      <c r="E166" s="10">
        <v>104</v>
      </c>
      <c r="F166" s="10">
        <v>11</v>
      </c>
      <c r="G166" s="10">
        <v>34</v>
      </c>
      <c r="H166" s="10">
        <v>93</v>
      </c>
      <c r="I166" s="10">
        <v>3428</v>
      </c>
      <c r="L166" s="10">
        <v>6881</v>
      </c>
      <c r="M166" s="10">
        <v>1</v>
      </c>
      <c r="P166" s="10">
        <v>2.0072928819999998</v>
      </c>
    </row>
    <row r="167" spans="1:16" x14ac:dyDescent="0.15">
      <c r="A167" s="10" t="s">
        <v>69</v>
      </c>
      <c r="B167" s="10" t="s">
        <v>70</v>
      </c>
      <c r="C167" s="10">
        <v>2022</v>
      </c>
      <c r="D167" s="10">
        <v>7342</v>
      </c>
      <c r="E167" s="10">
        <v>83</v>
      </c>
      <c r="F167" s="10">
        <v>35</v>
      </c>
      <c r="G167" s="10">
        <v>-92</v>
      </c>
      <c r="H167" s="10">
        <v>48</v>
      </c>
      <c r="I167" s="10">
        <v>4452</v>
      </c>
      <c r="L167" s="10">
        <v>7229</v>
      </c>
      <c r="M167" s="10">
        <v>64</v>
      </c>
      <c r="P167" s="10">
        <v>1.6237645999999999</v>
      </c>
    </row>
    <row r="168" spans="1:16" x14ac:dyDescent="0.15">
      <c r="A168" s="10" t="s">
        <v>71</v>
      </c>
      <c r="B168" s="10" t="s">
        <v>72</v>
      </c>
      <c r="C168" s="10">
        <v>2022</v>
      </c>
      <c r="D168" s="10">
        <v>56557</v>
      </c>
      <c r="E168" s="10">
        <v>423</v>
      </c>
      <c r="F168" s="10">
        <v>-39</v>
      </c>
      <c r="G168" s="10">
        <v>425</v>
      </c>
      <c r="H168" s="10">
        <v>462</v>
      </c>
      <c r="I168" s="10">
        <v>28946</v>
      </c>
      <c r="L168" s="10">
        <v>54645</v>
      </c>
      <c r="M168" s="10">
        <v>389</v>
      </c>
      <c r="P168" s="10">
        <v>1.887825606</v>
      </c>
    </row>
    <row r="169" spans="1:16" x14ac:dyDescent="0.15">
      <c r="A169" s="10" t="s">
        <v>73</v>
      </c>
      <c r="B169" s="10" t="s">
        <v>74</v>
      </c>
      <c r="C169" s="10">
        <v>2022</v>
      </c>
      <c r="D169" s="10">
        <v>366843</v>
      </c>
      <c r="E169" s="10">
        <v>3119</v>
      </c>
      <c r="F169" s="10">
        <v>222</v>
      </c>
      <c r="G169" s="10">
        <v>3847</v>
      </c>
      <c r="H169" s="10">
        <v>2897</v>
      </c>
      <c r="I169" s="10">
        <v>165658</v>
      </c>
      <c r="L169" s="10">
        <v>354725</v>
      </c>
      <c r="M169" s="10">
        <v>2572</v>
      </c>
      <c r="P169" s="10">
        <v>2.141309203</v>
      </c>
    </row>
    <row r="170" spans="1:16" x14ac:dyDescent="0.15">
      <c r="A170" s="10" t="s">
        <v>75</v>
      </c>
      <c r="B170" s="10" t="s">
        <v>76</v>
      </c>
      <c r="C170" s="10">
        <v>2022</v>
      </c>
      <c r="D170" s="10">
        <v>14297</v>
      </c>
      <c r="E170" s="10">
        <v>108</v>
      </c>
      <c r="F170" s="10">
        <v>-145</v>
      </c>
      <c r="G170" s="10">
        <v>112</v>
      </c>
      <c r="H170" s="10">
        <v>253</v>
      </c>
      <c r="I170" s="10">
        <v>8155</v>
      </c>
      <c r="L170" s="10">
        <v>13904</v>
      </c>
      <c r="M170" s="10">
        <v>44</v>
      </c>
      <c r="P170" s="10">
        <v>1.7049662779999999</v>
      </c>
    </row>
    <row r="171" spans="1:16" x14ac:dyDescent="0.15">
      <c r="A171" s="10" t="s">
        <v>77</v>
      </c>
      <c r="B171" s="10" t="s">
        <v>78</v>
      </c>
      <c r="C171" s="10">
        <v>2022</v>
      </c>
      <c r="D171" s="10">
        <v>5513</v>
      </c>
      <c r="E171" s="10">
        <v>52</v>
      </c>
      <c r="F171" s="10">
        <v>-11</v>
      </c>
      <c r="G171" s="10">
        <v>54</v>
      </c>
      <c r="H171" s="10">
        <v>63</v>
      </c>
      <c r="I171" s="10">
        <v>2386</v>
      </c>
      <c r="L171" s="10">
        <v>4671</v>
      </c>
      <c r="M171" s="10">
        <v>10</v>
      </c>
      <c r="P171" s="10">
        <v>1.95766974</v>
      </c>
    </row>
    <row r="172" spans="1:16" x14ac:dyDescent="0.15">
      <c r="A172" s="10" t="s">
        <v>79</v>
      </c>
      <c r="B172" s="10" t="s">
        <v>80</v>
      </c>
      <c r="C172" s="10">
        <v>2022</v>
      </c>
      <c r="D172" s="10">
        <v>20809</v>
      </c>
      <c r="E172" s="10">
        <v>213</v>
      </c>
      <c r="F172" s="10">
        <v>-67</v>
      </c>
      <c r="G172" s="10">
        <v>-213</v>
      </c>
      <c r="H172" s="10">
        <v>280</v>
      </c>
      <c r="I172" s="10">
        <v>8708</v>
      </c>
      <c r="L172" s="10">
        <v>18116</v>
      </c>
      <c r="M172" s="10">
        <v>22</v>
      </c>
      <c r="P172" s="10">
        <v>2.080385852</v>
      </c>
    </row>
    <row r="173" spans="1:16" x14ac:dyDescent="0.15">
      <c r="A173" s="10" t="s">
        <v>81</v>
      </c>
      <c r="B173" s="10" t="s">
        <v>82</v>
      </c>
      <c r="C173" s="10">
        <v>2022</v>
      </c>
      <c r="D173" s="10">
        <v>158534</v>
      </c>
      <c r="E173" s="10">
        <v>1447</v>
      </c>
      <c r="F173" s="10">
        <v>-568</v>
      </c>
      <c r="G173" s="10">
        <v>1670</v>
      </c>
      <c r="H173" s="10">
        <v>2015</v>
      </c>
      <c r="I173" s="10">
        <v>70017</v>
      </c>
      <c r="L173" s="10">
        <v>154405</v>
      </c>
      <c r="M173" s="10">
        <v>969</v>
      </c>
      <c r="P173" s="10">
        <v>2.2052501539999998</v>
      </c>
    </row>
    <row r="174" spans="1:16" x14ac:dyDescent="0.15">
      <c r="A174" s="10" t="s">
        <v>83</v>
      </c>
      <c r="B174" s="10" t="s">
        <v>84</v>
      </c>
      <c r="C174" s="10">
        <v>2022</v>
      </c>
      <c r="D174" s="10">
        <v>924</v>
      </c>
      <c r="E174" s="10">
        <v>8</v>
      </c>
      <c r="F174" s="10">
        <v>-5</v>
      </c>
      <c r="G174" s="10">
        <v>3</v>
      </c>
      <c r="H174" s="10">
        <v>13</v>
      </c>
      <c r="I174" s="10">
        <v>1298</v>
      </c>
      <c r="L174" s="10">
        <v>924</v>
      </c>
      <c r="M174" s="10">
        <v>9</v>
      </c>
      <c r="P174" s="10">
        <v>0.71186440699999998</v>
      </c>
    </row>
    <row r="175" spans="1:16" x14ac:dyDescent="0.15">
      <c r="A175" s="10" t="s">
        <v>85</v>
      </c>
      <c r="B175" s="10" t="s">
        <v>86</v>
      </c>
      <c r="C175" s="10">
        <v>2022</v>
      </c>
      <c r="D175" s="10">
        <v>13166</v>
      </c>
      <c r="E175" s="10">
        <v>120</v>
      </c>
      <c r="F175" s="10">
        <v>-41</v>
      </c>
      <c r="G175" s="10">
        <v>46</v>
      </c>
      <c r="H175" s="10">
        <v>161</v>
      </c>
      <c r="I175" s="10">
        <v>6139</v>
      </c>
      <c r="L175" s="10">
        <v>13056</v>
      </c>
      <c r="M175" s="10">
        <v>20</v>
      </c>
      <c r="P175" s="10">
        <v>2.126730738</v>
      </c>
    </row>
    <row r="176" spans="1:16" x14ac:dyDescent="0.15">
      <c r="A176" s="10" t="s">
        <v>87</v>
      </c>
      <c r="B176" s="10" t="s">
        <v>88</v>
      </c>
      <c r="C176" s="10">
        <v>2022</v>
      </c>
      <c r="D176" s="10">
        <v>26464</v>
      </c>
      <c r="E176" s="10">
        <v>240</v>
      </c>
      <c r="F176" s="10">
        <v>-147</v>
      </c>
      <c r="G176" s="10">
        <v>363</v>
      </c>
      <c r="H176" s="10">
        <v>387</v>
      </c>
      <c r="I176" s="10">
        <v>12348</v>
      </c>
      <c r="L176" s="10">
        <v>26213</v>
      </c>
      <c r="M176" s="10">
        <v>24</v>
      </c>
      <c r="P176" s="10">
        <v>2.1228539030000002</v>
      </c>
    </row>
    <row r="177" spans="1:16" x14ac:dyDescent="0.15">
      <c r="A177" s="10" t="s">
        <v>89</v>
      </c>
      <c r="B177" s="10" t="s">
        <v>90</v>
      </c>
      <c r="C177" s="10">
        <v>2022</v>
      </c>
      <c r="D177" s="10">
        <v>43799</v>
      </c>
      <c r="E177" s="10">
        <v>402</v>
      </c>
      <c r="F177" s="10">
        <v>-207</v>
      </c>
      <c r="G177" s="10">
        <v>772</v>
      </c>
      <c r="H177" s="10">
        <v>609</v>
      </c>
      <c r="I177" s="10">
        <v>19734</v>
      </c>
      <c r="L177" s="10">
        <v>43111</v>
      </c>
      <c r="M177" s="10">
        <v>405</v>
      </c>
      <c r="P177" s="10">
        <v>2.1846052500000002</v>
      </c>
    </row>
    <row r="178" spans="1:16" x14ac:dyDescent="0.15">
      <c r="A178" s="10" t="s">
        <v>91</v>
      </c>
      <c r="B178" s="10" t="s">
        <v>92</v>
      </c>
      <c r="C178" s="10">
        <v>2022</v>
      </c>
      <c r="D178" s="10">
        <v>29296</v>
      </c>
      <c r="E178" s="10">
        <v>419</v>
      </c>
      <c r="F178" s="10">
        <v>98</v>
      </c>
      <c r="G178" s="10">
        <v>187</v>
      </c>
      <c r="H178" s="10">
        <v>321</v>
      </c>
      <c r="I178" s="10">
        <v>11857</v>
      </c>
      <c r="L178" s="10">
        <v>28880</v>
      </c>
      <c r="M178" s="10">
        <v>181</v>
      </c>
      <c r="P178" s="10">
        <v>2.4356919960000001</v>
      </c>
    </row>
    <row r="179" spans="1:16" x14ac:dyDescent="0.15">
      <c r="A179" s="10" t="s">
        <v>93</v>
      </c>
      <c r="B179" s="10" t="s">
        <v>94</v>
      </c>
      <c r="C179" s="10">
        <v>2022</v>
      </c>
      <c r="D179" s="10">
        <v>18294</v>
      </c>
      <c r="E179" s="10">
        <v>188</v>
      </c>
      <c r="F179" s="10">
        <v>-119</v>
      </c>
      <c r="G179" s="10">
        <v>-110</v>
      </c>
      <c r="H179" s="10">
        <v>307</v>
      </c>
      <c r="I179" s="10">
        <v>8738</v>
      </c>
      <c r="L179" s="10">
        <v>17975</v>
      </c>
      <c r="M179" s="10">
        <v>33</v>
      </c>
      <c r="P179" s="10">
        <v>2.0571068889999999</v>
      </c>
    </row>
    <row r="180" spans="1:16" x14ac:dyDescent="0.15">
      <c r="A180" s="10" t="s">
        <v>95</v>
      </c>
      <c r="B180" s="10" t="s">
        <v>96</v>
      </c>
      <c r="C180" s="10">
        <v>2022</v>
      </c>
      <c r="D180" s="10">
        <v>5088</v>
      </c>
      <c r="E180" s="10">
        <v>30</v>
      </c>
      <c r="F180" s="10">
        <v>-7</v>
      </c>
      <c r="G180" s="10">
        <v>44</v>
      </c>
      <c r="H180" s="10">
        <v>37</v>
      </c>
      <c r="I180" s="10">
        <v>3511</v>
      </c>
      <c r="L180" s="10">
        <v>5088</v>
      </c>
      <c r="M180" s="10">
        <v>74</v>
      </c>
      <c r="P180" s="10">
        <v>1.4491597839999999</v>
      </c>
    </row>
    <row r="181" spans="1:16" x14ac:dyDescent="0.15">
      <c r="A181" s="10" t="s">
        <v>97</v>
      </c>
      <c r="B181" s="10" t="s">
        <v>98</v>
      </c>
      <c r="C181" s="10">
        <v>2022</v>
      </c>
      <c r="D181" s="10">
        <v>17900</v>
      </c>
      <c r="E181" s="10">
        <v>137</v>
      </c>
      <c r="F181" s="10">
        <v>-5</v>
      </c>
      <c r="G181" s="10">
        <v>170</v>
      </c>
      <c r="H181" s="10">
        <v>142</v>
      </c>
      <c r="I181" s="10">
        <v>14518</v>
      </c>
      <c r="L181" s="10">
        <v>17874</v>
      </c>
      <c r="M181" s="10">
        <v>193</v>
      </c>
      <c r="P181" s="10">
        <v>1.231161317</v>
      </c>
    </row>
    <row r="182" spans="1:16" x14ac:dyDescent="0.15">
      <c r="A182" s="10" t="s">
        <v>99</v>
      </c>
      <c r="B182" s="10" t="s">
        <v>100</v>
      </c>
      <c r="C182" s="10">
        <v>2022</v>
      </c>
      <c r="D182" s="10">
        <v>4435</v>
      </c>
      <c r="E182" s="10">
        <v>45</v>
      </c>
      <c r="F182" s="10">
        <v>-32</v>
      </c>
      <c r="G182" s="10">
        <v>-31</v>
      </c>
      <c r="H182" s="10">
        <v>77</v>
      </c>
      <c r="I182" s="10">
        <v>2037</v>
      </c>
      <c r="L182" s="10">
        <v>4377</v>
      </c>
      <c r="M182" s="10">
        <v>10</v>
      </c>
      <c r="P182" s="10">
        <v>2.1487481590000002</v>
      </c>
    </row>
    <row r="183" spans="1:16" x14ac:dyDescent="0.15">
      <c r="A183" s="10" t="s">
        <v>101</v>
      </c>
      <c r="B183" s="10" t="s">
        <v>102</v>
      </c>
      <c r="C183" s="10">
        <v>2022</v>
      </c>
      <c r="D183" s="10">
        <v>16856</v>
      </c>
      <c r="E183" s="10">
        <v>119</v>
      </c>
      <c r="F183" s="10">
        <v>52</v>
      </c>
      <c r="G183" s="10">
        <v>-532</v>
      </c>
      <c r="H183" s="10">
        <v>67</v>
      </c>
      <c r="I183" s="10">
        <v>13504</v>
      </c>
      <c r="L183" s="10">
        <v>16809</v>
      </c>
      <c r="M183" s="10">
        <v>99</v>
      </c>
      <c r="P183" s="10">
        <v>1.2447422990000001</v>
      </c>
    </row>
    <row r="184" spans="1:16" x14ac:dyDescent="0.15">
      <c r="A184" s="10" t="s">
        <v>103</v>
      </c>
      <c r="B184" s="10" t="s">
        <v>104</v>
      </c>
      <c r="C184" s="10">
        <v>2022</v>
      </c>
      <c r="D184" s="10">
        <v>11850</v>
      </c>
      <c r="E184" s="10">
        <v>140</v>
      </c>
      <c r="F184" s="10">
        <v>-25</v>
      </c>
      <c r="G184" s="10">
        <v>-110</v>
      </c>
      <c r="H184" s="10">
        <v>165</v>
      </c>
      <c r="I184" s="10">
        <v>5474</v>
      </c>
      <c r="L184" s="10">
        <v>11523</v>
      </c>
      <c r="M184" s="10">
        <v>15</v>
      </c>
      <c r="P184" s="10">
        <v>2.1050420170000002</v>
      </c>
    </row>
    <row r="185" spans="1:16" x14ac:dyDescent="0.15">
      <c r="A185" s="10" t="s">
        <v>105</v>
      </c>
      <c r="B185" s="10" t="s">
        <v>106</v>
      </c>
      <c r="C185" s="10">
        <v>2022</v>
      </c>
      <c r="D185" s="10">
        <v>169383</v>
      </c>
      <c r="E185" s="10">
        <v>1709</v>
      </c>
      <c r="F185" s="10">
        <v>-896</v>
      </c>
      <c r="G185" s="10">
        <v>1007</v>
      </c>
      <c r="H185" s="10">
        <v>2605</v>
      </c>
      <c r="I185" s="10">
        <v>73971</v>
      </c>
      <c r="L185" s="10">
        <v>165925</v>
      </c>
      <c r="M185" s="10">
        <v>497</v>
      </c>
      <c r="P185" s="10">
        <v>2.2431087860000001</v>
      </c>
    </row>
    <row r="186" spans="1:16" x14ac:dyDescent="0.15">
      <c r="A186" s="10" t="s">
        <v>107</v>
      </c>
      <c r="B186" s="10" t="s">
        <v>108</v>
      </c>
      <c r="C186" s="10">
        <v>2022</v>
      </c>
      <c r="D186" s="10">
        <v>6558</v>
      </c>
      <c r="E186" s="10">
        <v>63</v>
      </c>
      <c r="F186" s="10">
        <v>-9</v>
      </c>
      <c r="G186" s="10">
        <v>124</v>
      </c>
      <c r="H186" s="10">
        <v>72</v>
      </c>
      <c r="I186" s="10">
        <v>3296</v>
      </c>
      <c r="L186" s="10">
        <v>6352</v>
      </c>
      <c r="M186" s="10">
        <v>32</v>
      </c>
      <c r="P186" s="10">
        <v>1.9271844659999999</v>
      </c>
    </row>
    <row r="187" spans="1:16" x14ac:dyDescent="0.15">
      <c r="A187" s="10" t="s">
        <v>109</v>
      </c>
      <c r="B187" s="10" t="s">
        <v>110</v>
      </c>
      <c r="C187" s="10">
        <v>2022</v>
      </c>
      <c r="D187" s="10">
        <v>11336</v>
      </c>
      <c r="E187" s="10">
        <v>109</v>
      </c>
      <c r="F187" s="10">
        <v>-62</v>
      </c>
      <c r="G187" s="10">
        <v>-6</v>
      </c>
      <c r="H187" s="10">
        <v>171</v>
      </c>
      <c r="I187" s="10">
        <v>6606</v>
      </c>
      <c r="L187" s="10">
        <v>11229</v>
      </c>
      <c r="M187" s="10">
        <v>48</v>
      </c>
      <c r="P187" s="10">
        <v>1.6998183469999999</v>
      </c>
    </row>
    <row r="188" spans="1:16" x14ac:dyDescent="0.15">
      <c r="A188" s="10" t="s">
        <v>111</v>
      </c>
      <c r="B188" s="10" t="s">
        <v>112</v>
      </c>
      <c r="C188" s="10">
        <v>2022</v>
      </c>
      <c r="D188" s="10">
        <v>25027</v>
      </c>
      <c r="E188" s="10">
        <v>219</v>
      </c>
      <c r="F188" s="10">
        <v>74</v>
      </c>
      <c r="G188" s="10">
        <v>-108</v>
      </c>
      <c r="H188" s="10">
        <v>145</v>
      </c>
      <c r="I188" s="10">
        <v>17102</v>
      </c>
      <c r="L188" s="10">
        <v>24687</v>
      </c>
      <c r="M188" s="10">
        <v>438</v>
      </c>
      <c r="P188" s="10">
        <v>1.4435153780000001</v>
      </c>
    </row>
    <row r="189" spans="1:16" x14ac:dyDescent="0.15">
      <c r="A189" s="10" t="s">
        <v>113</v>
      </c>
      <c r="B189" s="10" t="s">
        <v>114</v>
      </c>
      <c r="C189" s="10">
        <v>2022</v>
      </c>
      <c r="D189" s="10">
        <v>6616</v>
      </c>
      <c r="E189" s="10">
        <v>65</v>
      </c>
      <c r="F189" s="10">
        <v>-21</v>
      </c>
      <c r="G189" s="10">
        <v>130</v>
      </c>
      <c r="H189" s="10">
        <v>86</v>
      </c>
      <c r="I189" s="10">
        <v>3914</v>
      </c>
      <c r="L189" s="10">
        <v>6600</v>
      </c>
      <c r="M189" s="10">
        <v>84</v>
      </c>
      <c r="P189" s="10">
        <v>1.686254471</v>
      </c>
    </row>
    <row r="190" spans="1:16" x14ac:dyDescent="0.15">
      <c r="A190" s="10" t="s">
        <v>115</v>
      </c>
      <c r="B190" s="10" t="s">
        <v>116</v>
      </c>
      <c r="C190" s="10">
        <v>2022</v>
      </c>
      <c r="D190" s="10">
        <v>801</v>
      </c>
      <c r="E190" s="10">
        <v>4</v>
      </c>
      <c r="F190" s="10">
        <v>-4</v>
      </c>
      <c r="G190" s="10">
        <v>64</v>
      </c>
      <c r="H190" s="10">
        <v>8</v>
      </c>
      <c r="I190" s="10">
        <v>805</v>
      </c>
      <c r="L190" s="10">
        <v>801</v>
      </c>
      <c r="M190" s="10">
        <v>5</v>
      </c>
      <c r="P190" s="10">
        <v>0.99503105599999997</v>
      </c>
    </row>
    <row r="191" spans="1:16" x14ac:dyDescent="0.15">
      <c r="A191" s="10" t="s">
        <v>117</v>
      </c>
      <c r="B191" s="10" t="s">
        <v>118</v>
      </c>
      <c r="C191" s="10">
        <v>2022</v>
      </c>
      <c r="D191" s="10">
        <v>7993</v>
      </c>
      <c r="E191" s="10">
        <v>50</v>
      </c>
      <c r="F191" s="10">
        <v>8</v>
      </c>
      <c r="G191" s="10">
        <v>-93</v>
      </c>
      <c r="H191" s="10">
        <v>42</v>
      </c>
      <c r="I191" s="10">
        <v>6711</v>
      </c>
      <c r="L191" s="10">
        <v>7988</v>
      </c>
      <c r="M191" s="10">
        <v>70</v>
      </c>
      <c r="P191" s="10">
        <v>1.1902846069999999</v>
      </c>
    </row>
    <row r="192" spans="1:16" x14ac:dyDescent="0.15">
      <c r="A192" s="10" t="s">
        <v>119</v>
      </c>
      <c r="B192" s="10" t="s">
        <v>120</v>
      </c>
      <c r="C192" s="10">
        <v>2022</v>
      </c>
      <c r="D192" s="10">
        <v>2297</v>
      </c>
      <c r="E192" s="10">
        <v>12</v>
      </c>
      <c r="F192" s="10">
        <v>-28</v>
      </c>
      <c r="G192" s="10">
        <v>-5</v>
      </c>
      <c r="H192" s="10">
        <v>40</v>
      </c>
      <c r="I192" s="10">
        <v>1343</v>
      </c>
      <c r="L192" s="10">
        <v>2265</v>
      </c>
      <c r="M192" s="10">
        <v>3</v>
      </c>
      <c r="P192" s="10">
        <v>1.68652271</v>
      </c>
    </row>
    <row r="193" spans="1:16" x14ac:dyDescent="0.15">
      <c r="A193" s="10" t="s">
        <v>121</v>
      </c>
      <c r="B193" s="10" t="s">
        <v>122</v>
      </c>
      <c r="C193" s="10">
        <v>2022</v>
      </c>
      <c r="D193" s="10">
        <v>30583</v>
      </c>
      <c r="E193" s="10">
        <v>252</v>
      </c>
      <c r="F193" s="10">
        <v>161</v>
      </c>
      <c r="G193" s="10">
        <v>-572</v>
      </c>
      <c r="H193" s="10">
        <v>91</v>
      </c>
      <c r="I193" s="10">
        <v>32147</v>
      </c>
      <c r="L193" s="10">
        <v>30004</v>
      </c>
      <c r="M193" s="10">
        <v>400</v>
      </c>
      <c r="P193" s="10">
        <v>0.93333748100000002</v>
      </c>
    </row>
    <row r="194" spans="1:16" x14ac:dyDescent="0.15">
      <c r="A194" s="10" t="s">
        <v>123</v>
      </c>
      <c r="B194" s="10" t="s">
        <v>124</v>
      </c>
      <c r="C194" s="10">
        <v>2022</v>
      </c>
      <c r="D194" s="10">
        <v>24852</v>
      </c>
      <c r="E194" s="10">
        <v>178</v>
      </c>
      <c r="F194" s="10">
        <v>-97</v>
      </c>
      <c r="G194" s="10">
        <v>2</v>
      </c>
      <c r="H194" s="10">
        <v>275</v>
      </c>
      <c r="I194" s="10">
        <v>13657</v>
      </c>
      <c r="L194" s="10">
        <v>24688</v>
      </c>
      <c r="M194" s="10">
        <v>159</v>
      </c>
      <c r="P194" s="10">
        <v>1.807717654</v>
      </c>
    </row>
    <row r="195" spans="1:16" x14ac:dyDescent="0.15">
      <c r="A195" s="10" t="s">
        <v>125</v>
      </c>
      <c r="B195" s="10" t="s">
        <v>126</v>
      </c>
      <c r="C195" s="10">
        <v>2022</v>
      </c>
      <c r="D195" s="10">
        <v>4835</v>
      </c>
      <c r="E195" s="10">
        <v>49</v>
      </c>
      <c r="F195" s="10">
        <v>-28</v>
      </c>
      <c r="G195" s="10">
        <v>-7</v>
      </c>
      <c r="H195" s="10">
        <v>77</v>
      </c>
      <c r="I195" s="10">
        <v>2289</v>
      </c>
      <c r="L195" s="10">
        <v>4671</v>
      </c>
      <c r="M195" s="10">
        <v>4</v>
      </c>
      <c r="P195" s="10">
        <v>2.040629096</v>
      </c>
    </row>
    <row r="196" spans="1:16" x14ac:dyDescent="0.15">
      <c r="A196" s="10" t="s">
        <v>127</v>
      </c>
      <c r="B196" s="10" t="s">
        <v>128</v>
      </c>
      <c r="C196" s="10">
        <v>2022</v>
      </c>
      <c r="D196" s="10">
        <v>350206</v>
      </c>
      <c r="E196" s="10">
        <v>4613</v>
      </c>
      <c r="F196" s="10">
        <v>2016</v>
      </c>
      <c r="G196" s="10">
        <v>8325</v>
      </c>
      <c r="H196" s="10">
        <v>2597</v>
      </c>
      <c r="I196" s="10">
        <v>129656</v>
      </c>
      <c r="L196" s="10">
        <v>345788</v>
      </c>
      <c r="M196" s="10">
        <v>6143</v>
      </c>
      <c r="P196" s="10">
        <v>2.6669648920000002</v>
      </c>
    </row>
    <row r="197" spans="1:16" x14ac:dyDescent="0.15">
      <c r="A197" s="10" t="s">
        <v>129</v>
      </c>
      <c r="B197" s="10" t="s">
        <v>130</v>
      </c>
      <c r="C197" s="10">
        <v>2022</v>
      </c>
      <c r="D197" s="10">
        <v>9920</v>
      </c>
      <c r="E197" s="10">
        <v>140</v>
      </c>
      <c r="F197" s="10">
        <v>45</v>
      </c>
      <c r="G197" s="10">
        <v>-57</v>
      </c>
      <c r="H197" s="10">
        <v>95</v>
      </c>
      <c r="I197" s="10">
        <v>4326</v>
      </c>
      <c r="L197" s="10">
        <v>9757</v>
      </c>
      <c r="M197" s="10">
        <v>20</v>
      </c>
      <c r="P197" s="10">
        <v>2.25543227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0F29-F47C-244D-8639-58C6AB1DDDC9}">
  <sheetPr>
    <tabColor theme="9"/>
  </sheetPr>
  <dimension ref="A1:L847"/>
  <sheetViews>
    <sheetView workbookViewId="0">
      <selection activeCell="O793" sqref="O793"/>
    </sheetView>
  </sheetViews>
  <sheetFormatPr baseColWidth="10" defaultColWidth="7.5703125" defaultRowHeight="13" x14ac:dyDescent="0.15"/>
  <cols>
    <col min="1" max="1" width="6.140625" style="1" customWidth="1"/>
    <col min="2" max="2" width="15.28515625" style="10" customWidth="1"/>
    <col min="3" max="3" width="7.5703125" style="11"/>
    <col min="4" max="6" width="8.7109375" style="12" customWidth="1"/>
    <col min="7" max="7" width="8.7109375" style="13" customWidth="1"/>
    <col min="8" max="10" width="8.7109375" style="12" customWidth="1"/>
    <col min="11" max="11" width="8.7109375" style="10" customWidth="1"/>
    <col min="12" max="12" width="8.7109375" style="13" customWidth="1"/>
    <col min="13" max="16384" width="7.5703125" style="10"/>
  </cols>
  <sheetData>
    <row r="1" spans="1:12" s="2" customFormat="1" x14ac:dyDescent="0.15">
      <c r="A1" s="1" t="s">
        <v>131</v>
      </c>
      <c r="D1" s="3"/>
      <c r="E1" s="3"/>
      <c r="F1" s="3"/>
      <c r="G1" s="4"/>
      <c r="H1" s="3"/>
      <c r="I1" s="3"/>
      <c r="J1" s="3"/>
      <c r="L1" s="4"/>
    </row>
    <row r="2" spans="1:12" s="2" customFormat="1" ht="70" x14ac:dyDescent="0.15">
      <c r="A2" s="5" t="s">
        <v>132</v>
      </c>
      <c r="B2" s="6" t="s">
        <v>133</v>
      </c>
      <c r="C2" s="7" t="s">
        <v>134</v>
      </c>
      <c r="D2" s="8" t="s">
        <v>135</v>
      </c>
      <c r="E2" s="8" t="s">
        <v>0</v>
      </c>
      <c r="F2" s="8" t="s">
        <v>136</v>
      </c>
      <c r="G2" s="9" t="s">
        <v>137</v>
      </c>
      <c r="H2" s="8" t="s">
        <v>138</v>
      </c>
      <c r="I2" s="8" t="s">
        <v>139</v>
      </c>
      <c r="J2" s="8" t="s">
        <v>140</v>
      </c>
      <c r="K2" s="7" t="s">
        <v>141</v>
      </c>
      <c r="L2" s="9" t="s">
        <v>142</v>
      </c>
    </row>
    <row r="3" spans="1:12" x14ac:dyDescent="0.15">
      <c r="A3" s="1">
        <v>0</v>
      </c>
      <c r="B3" s="10" t="s">
        <v>143</v>
      </c>
      <c r="C3" s="11">
        <v>2010</v>
      </c>
      <c r="D3" s="12">
        <v>5050332</v>
      </c>
      <c r="E3" s="12">
        <v>4933380</v>
      </c>
      <c r="F3" s="12">
        <v>116952</v>
      </c>
      <c r="G3" s="13">
        <v>2.5</v>
      </c>
      <c r="H3" s="12">
        <v>2205618</v>
      </c>
      <c r="I3" s="12">
        <v>1971855</v>
      </c>
      <c r="J3" s="12">
        <v>233763</v>
      </c>
      <c r="K3" s="10">
        <v>10.6</v>
      </c>
      <c r="L3" s="13">
        <v>2.2367336500000001</v>
      </c>
    </row>
    <row r="4" spans="1:12" x14ac:dyDescent="0.15">
      <c r="A4" s="1">
        <v>1</v>
      </c>
      <c r="B4" s="10" t="s">
        <v>144</v>
      </c>
      <c r="C4" s="11">
        <v>2010</v>
      </c>
      <c r="D4" s="12">
        <v>443711</v>
      </c>
      <c r="E4" s="12">
        <v>439684</v>
      </c>
      <c r="F4" s="12">
        <v>4027</v>
      </c>
      <c r="G4" s="13">
        <v>2.85</v>
      </c>
      <c r="H4" s="12">
        <v>163435</v>
      </c>
      <c r="I4" s="12">
        <v>154505</v>
      </c>
      <c r="J4" s="12">
        <v>8930</v>
      </c>
      <c r="K4" s="10">
        <v>5.46</v>
      </c>
      <c r="L4" s="13">
        <v>2.6902683019999998</v>
      </c>
    </row>
    <row r="5" spans="1:12" x14ac:dyDescent="0.15">
      <c r="A5" s="1">
        <v>3</v>
      </c>
      <c r="B5" s="10" t="s">
        <v>145</v>
      </c>
      <c r="C5" s="11">
        <v>2010</v>
      </c>
      <c r="D5" s="12">
        <v>15474</v>
      </c>
      <c r="E5" s="12">
        <v>14734</v>
      </c>
      <c r="F5" s="12">
        <v>740</v>
      </c>
      <c r="G5" s="13">
        <v>2.4500000000000002</v>
      </c>
      <c r="H5" s="12">
        <v>6561</v>
      </c>
      <c r="I5" s="12">
        <v>6007</v>
      </c>
      <c r="J5" s="12">
        <v>554</v>
      </c>
      <c r="K5" s="10">
        <v>8.44</v>
      </c>
      <c r="L5" s="13">
        <v>2.245694254</v>
      </c>
    </row>
    <row r="6" spans="1:12" x14ac:dyDescent="0.15">
      <c r="A6" s="1">
        <v>5</v>
      </c>
      <c r="B6" s="10" t="s">
        <v>146</v>
      </c>
      <c r="C6" s="11">
        <v>2010</v>
      </c>
      <c r="D6" s="12">
        <v>574819</v>
      </c>
      <c r="E6" s="12">
        <v>569899</v>
      </c>
      <c r="F6" s="12">
        <v>4920</v>
      </c>
      <c r="G6" s="13">
        <v>2.5299999999999998</v>
      </c>
      <c r="H6" s="12">
        <v>239171</v>
      </c>
      <c r="I6" s="12">
        <v>225108</v>
      </c>
      <c r="J6" s="12">
        <v>14063</v>
      </c>
      <c r="K6" s="10">
        <v>5.88</v>
      </c>
      <c r="L6" s="13">
        <v>2.382809789</v>
      </c>
    </row>
    <row r="7" spans="1:12" x14ac:dyDescent="0.15">
      <c r="A7" s="1">
        <v>7</v>
      </c>
      <c r="B7" s="10" t="s">
        <v>147</v>
      </c>
      <c r="C7" s="11">
        <v>2010</v>
      </c>
      <c r="D7" s="12">
        <v>12060</v>
      </c>
      <c r="E7" s="12">
        <v>11931</v>
      </c>
      <c r="F7" s="12">
        <v>129</v>
      </c>
      <c r="G7" s="13">
        <v>2.27</v>
      </c>
      <c r="H7" s="12">
        <v>8762</v>
      </c>
      <c r="I7" s="12">
        <v>5257</v>
      </c>
      <c r="J7" s="12">
        <v>3505</v>
      </c>
      <c r="K7" s="10">
        <v>40</v>
      </c>
      <c r="L7" s="13">
        <v>1.3616754170000001</v>
      </c>
    </row>
    <row r="8" spans="1:12" x14ac:dyDescent="0.15">
      <c r="A8" s="1">
        <v>9</v>
      </c>
      <c r="B8" s="10" t="s">
        <v>148</v>
      </c>
      <c r="C8" s="11">
        <v>2010</v>
      </c>
      <c r="D8" s="12">
        <v>3795</v>
      </c>
      <c r="E8" s="12">
        <v>3713</v>
      </c>
      <c r="F8" s="12">
        <v>82</v>
      </c>
      <c r="G8" s="13">
        <v>2.52</v>
      </c>
      <c r="H8" s="12">
        <v>1964</v>
      </c>
      <c r="I8" s="12">
        <v>1475</v>
      </c>
      <c r="J8" s="12">
        <v>489</v>
      </c>
      <c r="K8" s="10">
        <v>24.9</v>
      </c>
      <c r="L8" s="13">
        <v>1.890529532</v>
      </c>
    </row>
    <row r="9" spans="1:12" x14ac:dyDescent="0.15">
      <c r="A9" s="1">
        <v>11</v>
      </c>
      <c r="B9" s="10" t="s">
        <v>149</v>
      </c>
      <c r="C9" s="11">
        <v>2010</v>
      </c>
      <c r="D9" s="12">
        <v>6506</v>
      </c>
      <c r="E9" s="12">
        <v>4298</v>
      </c>
      <c r="F9" s="12">
        <v>2208</v>
      </c>
      <c r="G9" s="13">
        <v>2.4900000000000002</v>
      </c>
      <c r="H9" s="12">
        <v>2111</v>
      </c>
      <c r="I9" s="12">
        <v>1728</v>
      </c>
      <c r="J9" s="12">
        <v>383</v>
      </c>
      <c r="K9" s="10">
        <v>18.14</v>
      </c>
      <c r="L9" s="13">
        <v>2.0360018950000001</v>
      </c>
    </row>
    <row r="10" spans="1:12" x14ac:dyDescent="0.15">
      <c r="A10" s="1">
        <v>13</v>
      </c>
      <c r="B10" s="10" t="s">
        <v>150</v>
      </c>
      <c r="C10" s="11">
        <v>2010</v>
      </c>
      <c r="D10" s="12">
        <v>295605</v>
      </c>
      <c r="E10" s="12">
        <v>286209</v>
      </c>
      <c r="F10" s="12">
        <v>9396</v>
      </c>
      <c r="G10" s="13">
        <v>2.39</v>
      </c>
      <c r="H10" s="12">
        <v>127213</v>
      </c>
      <c r="I10" s="12">
        <v>119568</v>
      </c>
      <c r="J10" s="12">
        <v>7645</v>
      </c>
      <c r="K10" s="10">
        <v>6.01</v>
      </c>
      <c r="L10" s="13">
        <v>2.249840818</v>
      </c>
    </row>
    <row r="11" spans="1:12" x14ac:dyDescent="0.15">
      <c r="A11" s="1">
        <v>14</v>
      </c>
      <c r="B11" s="10" t="s">
        <v>151</v>
      </c>
      <c r="C11" s="11">
        <v>2010</v>
      </c>
      <c r="D11" s="12">
        <v>56107</v>
      </c>
      <c r="E11" s="12">
        <v>55825</v>
      </c>
      <c r="F11" s="12">
        <v>282</v>
      </c>
      <c r="G11" s="13">
        <v>2.6</v>
      </c>
      <c r="H11" s="12">
        <v>22685</v>
      </c>
      <c r="I11" s="12">
        <v>21498</v>
      </c>
      <c r="J11" s="12">
        <v>1187</v>
      </c>
      <c r="K11" s="10">
        <v>5.23</v>
      </c>
      <c r="L11" s="13">
        <v>2.4608772320000001</v>
      </c>
    </row>
    <row r="12" spans="1:12" x14ac:dyDescent="0.15">
      <c r="A12" s="1">
        <v>15</v>
      </c>
      <c r="B12" s="10" t="s">
        <v>152</v>
      </c>
      <c r="C12" s="11">
        <v>2010</v>
      </c>
      <c r="D12" s="12">
        <v>17797</v>
      </c>
      <c r="E12" s="12">
        <v>16361</v>
      </c>
      <c r="F12" s="12">
        <v>1436</v>
      </c>
      <c r="G12" s="13">
        <v>2.15</v>
      </c>
      <c r="H12" s="12">
        <v>10030</v>
      </c>
      <c r="I12" s="12">
        <v>7595</v>
      </c>
      <c r="J12" s="12">
        <v>2435</v>
      </c>
      <c r="K12" s="10">
        <v>24.28</v>
      </c>
      <c r="L12" s="13">
        <v>1.6312063809999999</v>
      </c>
    </row>
    <row r="13" spans="1:12" x14ac:dyDescent="0.15">
      <c r="A13" s="1">
        <v>17</v>
      </c>
      <c r="B13" s="10" t="s">
        <v>153</v>
      </c>
      <c r="C13" s="11">
        <v>2010</v>
      </c>
      <c r="D13" s="12">
        <v>1834</v>
      </c>
      <c r="E13" s="12">
        <v>1792</v>
      </c>
      <c r="F13" s="12">
        <v>42</v>
      </c>
      <c r="G13" s="13">
        <v>2.5499999999999998</v>
      </c>
      <c r="H13" s="12">
        <v>868</v>
      </c>
      <c r="I13" s="12">
        <v>702</v>
      </c>
      <c r="J13" s="12">
        <v>166</v>
      </c>
      <c r="K13" s="10">
        <v>19.12</v>
      </c>
      <c r="L13" s="13">
        <v>2.0645161289999998</v>
      </c>
    </row>
    <row r="14" spans="1:12" x14ac:dyDescent="0.15">
      <c r="A14" s="1">
        <v>19</v>
      </c>
      <c r="B14" s="10" t="s">
        <v>154</v>
      </c>
      <c r="C14" s="11">
        <v>2010</v>
      </c>
      <c r="D14" s="12">
        <v>9155</v>
      </c>
      <c r="E14" s="12">
        <v>9024</v>
      </c>
      <c r="F14" s="12">
        <v>131</v>
      </c>
      <c r="G14" s="13">
        <v>2.2200000000000002</v>
      </c>
      <c r="H14" s="12">
        <v>5472</v>
      </c>
      <c r="I14" s="12">
        <v>4060</v>
      </c>
      <c r="J14" s="12">
        <v>1412</v>
      </c>
      <c r="K14" s="10">
        <v>25.8</v>
      </c>
      <c r="L14" s="13">
        <v>1.6491228069999999</v>
      </c>
    </row>
    <row r="15" spans="1:12" x14ac:dyDescent="0.15">
      <c r="A15" s="1">
        <v>21</v>
      </c>
      <c r="B15" s="10" t="s">
        <v>155</v>
      </c>
      <c r="C15" s="11">
        <v>2010</v>
      </c>
      <c r="D15" s="12">
        <v>8282</v>
      </c>
      <c r="E15" s="12">
        <v>8246</v>
      </c>
      <c r="F15" s="12">
        <v>36</v>
      </c>
      <c r="G15" s="13">
        <v>2.96</v>
      </c>
      <c r="H15" s="12">
        <v>3810</v>
      </c>
      <c r="I15" s="12">
        <v>2785</v>
      </c>
      <c r="J15" s="12">
        <v>1025</v>
      </c>
      <c r="K15" s="10">
        <v>26.9</v>
      </c>
      <c r="L15" s="13">
        <v>2.164304462</v>
      </c>
    </row>
    <row r="16" spans="1:12" x14ac:dyDescent="0.15">
      <c r="A16" s="1">
        <v>23</v>
      </c>
      <c r="B16" s="10" t="s">
        <v>156</v>
      </c>
      <c r="C16" s="11">
        <v>2010</v>
      </c>
      <c r="D16" s="12">
        <v>3532</v>
      </c>
      <c r="E16" s="12">
        <v>3532</v>
      </c>
      <c r="F16" s="12">
        <v>0</v>
      </c>
      <c r="G16" s="13">
        <v>2.68</v>
      </c>
      <c r="H16" s="12">
        <v>2241</v>
      </c>
      <c r="I16" s="12">
        <v>1317</v>
      </c>
      <c r="J16" s="12">
        <v>924</v>
      </c>
      <c r="K16" s="10">
        <v>41.23</v>
      </c>
      <c r="L16" s="13">
        <v>1.5760821060000001</v>
      </c>
    </row>
    <row r="17" spans="1:12" x14ac:dyDescent="0.15">
      <c r="A17" s="1">
        <v>25</v>
      </c>
      <c r="B17" s="10" t="s">
        <v>157</v>
      </c>
      <c r="C17" s="11">
        <v>2010</v>
      </c>
      <c r="D17" s="12">
        <v>5838</v>
      </c>
      <c r="E17" s="12">
        <v>3156</v>
      </c>
      <c r="F17" s="12">
        <v>2682</v>
      </c>
      <c r="G17" s="13">
        <v>2.54</v>
      </c>
      <c r="H17" s="12">
        <v>1479</v>
      </c>
      <c r="I17" s="12">
        <v>1244</v>
      </c>
      <c r="J17" s="12">
        <v>235</v>
      </c>
      <c r="K17" s="10">
        <v>15.89</v>
      </c>
      <c r="L17" s="13">
        <v>2.1338742389999998</v>
      </c>
    </row>
    <row r="18" spans="1:12" x14ac:dyDescent="0.15">
      <c r="A18" s="1">
        <v>27</v>
      </c>
      <c r="B18" s="10" t="s">
        <v>158</v>
      </c>
      <c r="C18" s="11">
        <v>2010</v>
      </c>
      <c r="D18" s="12">
        <v>4272</v>
      </c>
      <c r="E18" s="12">
        <v>4257</v>
      </c>
      <c r="F18" s="12">
        <v>15</v>
      </c>
      <c r="G18" s="13">
        <v>2.34</v>
      </c>
      <c r="H18" s="12">
        <v>3593</v>
      </c>
      <c r="I18" s="12">
        <v>1816</v>
      </c>
      <c r="J18" s="12">
        <v>1777</v>
      </c>
      <c r="K18" s="10">
        <v>49.46</v>
      </c>
      <c r="L18" s="13">
        <v>1.1848037849999999</v>
      </c>
    </row>
    <row r="19" spans="1:12" x14ac:dyDescent="0.15">
      <c r="A19" s="1">
        <v>29</v>
      </c>
      <c r="B19" s="10" t="s">
        <v>159</v>
      </c>
      <c r="C19" s="11">
        <v>2010</v>
      </c>
      <c r="D19" s="12">
        <v>30889</v>
      </c>
      <c r="E19" s="12">
        <v>30176</v>
      </c>
      <c r="F19" s="12">
        <v>713</v>
      </c>
      <c r="G19" s="13">
        <v>2.38</v>
      </c>
      <c r="H19" s="12">
        <v>14575</v>
      </c>
      <c r="I19" s="12">
        <v>12679</v>
      </c>
      <c r="J19" s="12">
        <v>1896</v>
      </c>
      <c r="K19" s="10">
        <v>13.01</v>
      </c>
      <c r="L19" s="13">
        <v>2.0703945109999999</v>
      </c>
    </row>
    <row r="20" spans="1:12" x14ac:dyDescent="0.15">
      <c r="A20" s="1">
        <v>31</v>
      </c>
      <c r="B20" s="10" t="s">
        <v>160</v>
      </c>
      <c r="C20" s="11">
        <v>2010</v>
      </c>
      <c r="D20" s="12">
        <v>604879</v>
      </c>
      <c r="E20" s="12">
        <v>588898</v>
      </c>
      <c r="F20" s="12">
        <v>15981</v>
      </c>
      <c r="G20" s="13">
        <v>2.2200000000000002</v>
      </c>
      <c r="H20" s="12">
        <v>287392</v>
      </c>
      <c r="I20" s="12">
        <v>265233</v>
      </c>
      <c r="J20" s="12">
        <v>22159</v>
      </c>
      <c r="K20" s="10">
        <v>7.71</v>
      </c>
      <c r="L20" s="13">
        <v>2.0491106220000002</v>
      </c>
    </row>
    <row r="21" spans="1:12" x14ac:dyDescent="0.15">
      <c r="A21" s="1">
        <v>33</v>
      </c>
      <c r="B21" s="10" t="s">
        <v>161</v>
      </c>
      <c r="C21" s="11">
        <v>2010</v>
      </c>
      <c r="D21" s="12">
        <v>2060</v>
      </c>
      <c r="E21" s="12">
        <v>2060</v>
      </c>
      <c r="F21" s="12">
        <v>0</v>
      </c>
      <c r="G21" s="13">
        <v>3.04</v>
      </c>
      <c r="H21" s="12">
        <v>1060</v>
      </c>
      <c r="I21" s="12">
        <v>678</v>
      </c>
      <c r="J21" s="12">
        <v>382</v>
      </c>
      <c r="K21" s="10">
        <v>36.04</v>
      </c>
      <c r="L21" s="13">
        <v>1.9433962259999999</v>
      </c>
    </row>
    <row r="22" spans="1:12" x14ac:dyDescent="0.15">
      <c r="A22" s="1">
        <v>35</v>
      </c>
      <c r="B22" s="10" t="s">
        <v>162</v>
      </c>
      <c r="C22" s="11">
        <v>2010</v>
      </c>
      <c r="D22" s="12">
        <v>287124</v>
      </c>
      <c r="E22" s="12">
        <v>286324</v>
      </c>
      <c r="F22" s="12">
        <v>800</v>
      </c>
      <c r="G22" s="13">
        <v>2.79</v>
      </c>
      <c r="H22" s="12">
        <v>107260</v>
      </c>
      <c r="I22" s="12">
        <v>102559</v>
      </c>
      <c r="J22" s="12">
        <v>4701</v>
      </c>
      <c r="K22" s="10">
        <v>4.38</v>
      </c>
      <c r="L22" s="13">
        <v>2.6694387470000001</v>
      </c>
    </row>
    <row r="23" spans="1:12" x14ac:dyDescent="0.15">
      <c r="A23" s="1">
        <v>37</v>
      </c>
      <c r="B23" s="10" t="s">
        <v>163</v>
      </c>
      <c r="C23" s="11">
        <v>2010</v>
      </c>
      <c r="D23" s="12">
        <v>52057</v>
      </c>
      <c r="E23" s="12">
        <v>52002</v>
      </c>
      <c r="F23" s="12">
        <v>55</v>
      </c>
      <c r="G23" s="13">
        <v>2.75</v>
      </c>
      <c r="H23" s="12">
        <v>30810</v>
      </c>
      <c r="I23" s="12">
        <v>18902</v>
      </c>
      <c r="J23" s="12">
        <v>11908</v>
      </c>
      <c r="K23" s="10">
        <v>38.65</v>
      </c>
      <c r="L23" s="13">
        <v>1.687828627</v>
      </c>
    </row>
    <row r="24" spans="1:12" x14ac:dyDescent="0.15">
      <c r="A24" s="1">
        <v>39</v>
      </c>
      <c r="B24" s="10" t="s">
        <v>164</v>
      </c>
      <c r="C24" s="11">
        <v>2010</v>
      </c>
      <c r="D24" s="12">
        <v>23107</v>
      </c>
      <c r="E24" s="12">
        <v>23034</v>
      </c>
      <c r="F24" s="12">
        <v>73</v>
      </c>
      <c r="G24" s="13">
        <v>2.75</v>
      </c>
      <c r="H24" s="12">
        <v>8949</v>
      </c>
      <c r="I24" s="12">
        <v>8388</v>
      </c>
      <c r="J24" s="12">
        <v>561</v>
      </c>
      <c r="K24" s="10">
        <v>6.27</v>
      </c>
      <c r="L24" s="13">
        <v>2.5739188739999999</v>
      </c>
    </row>
    <row r="25" spans="1:12" x14ac:dyDescent="0.15">
      <c r="A25" s="1">
        <v>41</v>
      </c>
      <c r="B25" s="10" t="s">
        <v>165</v>
      </c>
      <c r="C25" s="11">
        <v>2010</v>
      </c>
      <c r="D25" s="12">
        <v>627232</v>
      </c>
      <c r="E25" s="12">
        <v>608091</v>
      </c>
      <c r="F25" s="12">
        <v>19141</v>
      </c>
      <c r="G25" s="13">
        <v>2.56</v>
      </c>
      <c r="H25" s="12">
        <v>253716</v>
      </c>
      <c r="I25" s="12">
        <v>237924</v>
      </c>
      <c r="J25" s="12">
        <v>15792</v>
      </c>
      <c r="K25" s="10">
        <v>6.22</v>
      </c>
      <c r="L25" s="13">
        <v>2.3967388729999999</v>
      </c>
    </row>
    <row r="26" spans="1:12" x14ac:dyDescent="0.15">
      <c r="A26" s="1">
        <v>43</v>
      </c>
      <c r="B26" s="10" t="s">
        <v>166</v>
      </c>
      <c r="C26" s="11">
        <v>2010</v>
      </c>
      <c r="D26" s="12">
        <v>46854</v>
      </c>
      <c r="E26" s="12">
        <v>38150</v>
      </c>
      <c r="F26" s="12">
        <v>8704</v>
      </c>
      <c r="G26" s="13">
        <v>2.2799999999999998</v>
      </c>
      <c r="H26" s="12">
        <v>19448</v>
      </c>
      <c r="I26" s="12">
        <v>16744</v>
      </c>
      <c r="J26" s="12">
        <v>2704</v>
      </c>
      <c r="K26" s="10">
        <v>13.9</v>
      </c>
      <c r="L26" s="13">
        <v>1.9616412999999999</v>
      </c>
    </row>
    <row r="27" spans="1:12" x14ac:dyDescent="0.15">
      <c r="A27" s="1">
        <v>45</v>
      </c>
      <c r="B27" s="10" t="s">
        <v>167</v>
      </c>
      <c r="C27" s="11">
        <v>2010</v>
      </c>
      <c r="D27" s="12">
        <v>56150</v>
      </c>
      <c r="E27" s="12">
        <v>55266</v>
      </c>
      <c r="F27" s="12">
        <v>884</v>
      </c>
      <c r="G27" s="13">
        <v>2.77</v>
      </c>
      <c r="H27" s="12">
        <v>22892</v>
      </c>
      <c r="I27" s="12">
        <v>19921</v>
      </c>
      <c r="J27" s="12">
        <v>2971</v>
      </c>
      <c r="K27" s="10">
        <v>12.98</v>
      </c>
      <c r="L27" s="13">
        <v>2.4142058359999998</v>
      </c>
    </row>
    <row r="28" spans="1:12" x14ac:dyDescent="0.15">
      <c r="A28" s="1">
        <v>47</v>
      </c>
      <c r="B28" s="10" t="s">
        <v>168</v>
      </c>
      <c r="C28" s="11">
        <v>2010</v>
      </c>
      <c r="D28" s="12">
        <v>5463</v>
      </c>
      <c r="E28" s="12">
        <v>5414</v>
      </c>
      <c r="F28" s="12">
        <v>49</v>
      </c>
      <c r="G28" s="13">
        <v>2.37</v>
      </c>
      <c r="H28" s="12">
        <v>3298</v>
      </c>
      <c r="I28" s="12">
        <v>2289</v>
      </c>
      <c r="J28" s="12">
        <v>1009</v>
      </c>
      <c r="K28" s="10">
        <v>30.59</v>
      </c>
      <c r="L28" s="13">
        <v>1.64160097</v>
      </c>
    </row>
    <row r="29" spans="1:12" x14ac:dyDescent="0.15">
      <c r="A29" s="1">
        <v>49</v>
      </c>
      <c r="B29" s="10" t="s">
        <v>169</v>
      </c>
      <c r="C29" s="11">
        <v>2010</v>
      </c>
      <c r="D29" s="12">
        <v>14790</v>
      </c>
      <c r="E29" s="12">
        <v>14568</v>
      </c>
      <c r="F29" s="12">
        <v>222</v>
      </c>
      <c r="G29" s="13">
        <v>2.36</v>
      </c>
      <c r="H29" s="12">
        <v>15396</v>
      </c>
      <c r="I29" s="12">
        <v>6168</v>
      </c>
      <c r="J29" s="12">
        <v>9228</v>
      </c>
      <c r="K29" s="10">
        <v>59.94</v>
      </c>
      <c r="L29" s="13">
        <v>0.94621979700000003</v>
      </c>
    </row>
    <row r="30" spans="1:12" x14ac:dyDescent="0.15">
      <c r="A30" s="1">
        <v>51</v>
      </c>
      <c r="B30" s="10" t="s">
        <v>170</v>
      </c>
      <c r="C30" s="11">
        <v>2010</v>
      </c>
      <c r="D30" s="12">
        <v>15309</v>
      </c>
      <c r="E30" s="12">
        <v>14459</v>
      </c>
      <c r="F30" s="12">
        <v>850</v>
      </c>
      <c r="G30" s="13">
        <v>2.2200000000000002</v>
      </c>
      <c r="H30" s="12">
        <v>11431</v>
      </c>
      <c r="I30" s="12">
        <v>6511</v>
      </c>
      <c r="J30" s="12">
        <v>4920</v>
      </c>
      <c r="K30" s="10">
        <v>43.04</v>
      </c>
      <c r="L30" s="13">
        <v>1.2648937099999999</v>
      </c>
    </row>
    <row r="31" spans="1:12" x14ac:dyDescent="0.15">
      <c r="A31" s="1">
        <v>53</v>
      </c>
      <c r="B31" s="10" t="s">
        <v>171</v>
      </c>
      <c r="C31" s="11">
        <v>2010</v>
      </c>
      <c r="D31" s="12">
        <v>843</v>
      </c>
      <c r="E31" s="12">
        <v>787</v>
      </c>
      <c r="F31" s="12">
        <v>56</v>
      </c>
      <c r="G31" s="13">
        <v>2.34</v>
      </c>
      <c r="H31" s="12">
        <v>1274</v>
      </c>
      <c r="I31" s="12">
        <v>337</v>
      </c>
      <c r="J31" s="12">
        <v>937</v>
      </c>
      <c r="K31" s="10">
        <v>73.55</v>
      </c>
      <c r="L31" s="13">
        <v>0.61773940299999996</v>
      </c>
    </row>
    <row r="32" spans="1:12" x14ac:dyDescent="0.15">
      <c r="A32" s="1">
        <v>55</v>
      </c>
      <c r="B32" s="10" t="s">
        <v>172</v>
      </c>
      <c r="C32" s="11">
        <v>2010</v>
      </c>
      <c r="D32" s="12">
        <v>6655</v>
      </c>
      <c r="E32" s="12">
        <v>6490</v>
      </c>
      <c r="F32" s="12">
        <v>165</v>
      </c>
      <c r="G32" s="13">
        <v>2.35</v>
      </c>
      <c r="H32" s="12">
        <v>4445</v>
      </c>
      <c r="I32" s="12">
        <v>2764</v>
      </c>
      <c r="J32" s="12">
        <v>1681</v>
      </c>
      <c r="K32" s="10">
        <v>37.82</v>
      </c>
      <c r="L32" s="13">
        <v>1.4600674920000001</v>
      </c>
    </row>
    <row r="33" spans="1:12" x14ac:dyDescent="0.15">
      <c r="A33" s="1">
        <v>57</v>
      </c>
      <c r="B33" s="10" t="s">
        <v>173</v>
      </c>
      <c r="C33" s="11">
        <v>2010</v>
      </c>
      <c r="D33" s="12">
        <v>1387</v>
      </c>
      <c r="E33" s="12">
        <v>1385</v>
      </c>
      <c r="F33" s="12">
        <v>2</v>
      </c>
      <c r="G33" s="13">
        <v>2.4</v>
      </c>
      <c r="H33" s="12">
        <v>1140</v>
      </c>
      <c r="I33" s="12">
        <v>578</v>
      </c>
      <c r="J33" s="12">
        <v>562</v>
      </c>
      <c r="K33" s="10">
        <v>49.3</v>
      </c>
      <c r="L33" s="13">
        <v>1.2149122809999999</v>
      </c>
    </row>
    <row r="34" spans="1:12" x14ac:dyDescent="0.15">
      <c r="A34" s="1">
        <v>59</v>
      </c>
      <c r="B34" s="10" t="s">
        <v>174</v>
      </c>
      <c r="C34" s="11">
        <v>2010</v>
      </c>
      <c r="D34" s="12">
        <v>535651</v>
      </c>
      <c r="E34" s="12">
        <v>528224</v>
      </c>
      <c r="F34" s="12">
        <v>7427</v>
      </c>
      <c r="G34" s="13">
        <v>2.42</v>
      </c>
      <c r="H34" s="12">
        <v>230181</v>
      </c>
      <c r="I34" s="12">
        <v>218630</v>
      </c>
      <c r="J34" s="12">
        <v>11551</v>
      </c>
      <c r="K34" s="10">
        <v>5.0199999999999996</v>
      </c>
      <c r="L34" s="13">
        <v>2.2948201629999998</v>
      </c>
    </row>
    <row r="35" spans="1:12" x14ac:dyDescent="0.15">
      <c r="A35" s="1">
        <v>61</v>
      </c>
      <c r="B35" s="10" t="s">
        <v>175</v>
      </c>
      <c r="C35" s="11">
        <v>2010</v>
      </c>
      <c r="D35" s="12">
        <v>1399</v>
      </c>
      <c r="E35" s="12">
        <v>1385</v>
      </c>
      <c r="F35" s="12">
        <v>14</v>
      </c>
      <c r="G35" s="13">
        <v>2.4900000000000002</v>
      </c>
      <c r="H35" s="12">
        <v>720</v>
      </c>
      <c r="I35" s="12">
        <v>557</v>
      </c>
      <c r="J35" s="12">
        <v>163</v>
      </c>
      <c r="K35" s="10">
        <v>22.64</v>
      </c>
      <c r="L35" s="13">
        <v>1.923611111</v>
      </c>
    </row>
    <row r="36" spans="1:12" x14ac:dyDescent="0.15">
      <c r="A36" s="1">
        <v>63</v>
      </c>
      <c r="B36" s="10" t="s">
        <v>176</v>
      </c>
      <c r="C36" s="11">
        <v>2010</v>
      </c>
      <c r="D36" s="12">
        <v>8267</v>
      </c>
      <c r="E36" s="12">
        <v>7192</v>
      </c>
      <c r="F36" s="12">
        <v>1075</v>
      </c>
      <c r="G36" s="13">
        <v>2.4700000000000002</v>
      </c>
      <c r="H36" s="12">
        <v>3377</v>
      </c>
      <c r="I36" s="12">
        <v>2916</v>
      </c>
      <c r="J36" s="12">
        <v>461</v>
      </c>
      <c r="K36" s="10">
        <v>13.65</v>
      </c>
      <c r="L36" s="13">
        <v>2.1297009180000002</v>
      </c>
    </row>
    <row r="37" spans="1:12" x14ac:dyDescent="0.15">
      <c r="A37" s="1">
        <v>65</v>
      </c>
      <c r="B37" s="10" t="s">
        <v>177</v>
      </c>
      <c r="C37" s="11">
        <v>2010</v>
      </c>
      <c r="D37" s="12">
        <v>7282</v>
      </c>
      <c r="E37" s="12">
        <v>7149</v>
      </c>
      <c r="F37" s="12">
        <v>133</v>
      </c>
      <c r="G37" s="13">
        <v>2.4300000000000002</v>
      </c>
      <c r="H37" s="12">
        <v>4271</v>
      </c>
      <c r="I37" s="12">
        <v>2941</v>
      </c>
      <c r="J37" s="12">
        <v>1330</v>
      </c>
      <c r="K37" s="10">
        <v>31.14</v>
      </c>
      <c r="L37" s="13">
        <v>1.6738468740000001</v>
      </c>
    </row>
    <row r="38" spans="1:12" x14ac:dyDescent="0.15">
      <c r="A38" s="1">
        <v>67</v>
      </c>
      <c r="B38" s="10" t="s">
        <v>178</v>
      </c>
      <c r="C38" s="11">
        <v>2010</v>
      </c>
      <c r="D38" s="12">
        <v>51441</v>
      </c>
      <c r="E38" s="12">
        <v>49726</v>
      </c>
      <c r="F38" s="12">
        <v>1715</v>
      </c>
      <c r="G38" s="13">
        <v>2.35</v>
      </c>
      <c r="H38" s="12">
        <v>25910</v>
      </c>
      <c r="I38" s="12">
        <v>21143</v>
      </c>
      <c r="J38" s="12">
        <v>4767</v>
      </c>
      <c r="K38" s="10">
        <v>18.399999999999999</v>
      </c>
      <c r="L38" s="13">
        <v>1.919181783</v>
      </c>
    </row>
    <row r="39" spans="1:12" x14ac:dyDescent="0.15">
      <c r="A39" s="1">
        <v>69</v>
      </c>
      <c r="B39" s="10" t="s">
        <v>179</v>
      </c>
      <c r="C39" s="11">
        <v>2010</v>
      </c>
      <c r="D39" s="12">
        <v>300532</v>
      </c>
      <c r="E39" s="12">
        <v>292002</v>
      </c>
      <c r="F39" s="12">
        <v>8530</v>
      </c>
      <c r="G39" s="13">
        <v>2.42</v>
      </c>
      <c r="H39" s="12">
        <v>133171</v>
      </c>
      <c r="I39" s="12">
        <v>120666</v>
      </c>
      <c r="J39" s="12">
        <v>12505</v>
      </c>
      <c r="K39" s="10">
        <v>9.39</v>
      </c>
      <c r="L39" s="13">
        <v>2.1926845930000001</v>
      </c>
    </row>
    <row r="40" spans="1:12" x14ac:dyDescent="0.15">
      <c r="A40" s="1">
        <v>71</v>
      </c>
      <c r="B40" s="10" t="s">
        <v>180</v>
      </c>
      <c r="C40" s="11">
        <v>2010</v>
      </c>
      <c r="D40" s="12">
        <v>15407</v>
      </c>
      <c r="E40" s="12">
        <v>14549</v>
      </c>
      <c r="F40" s="12">
        <v>858</v>
      </c>
      <c r="G40" s="13">
        <v>2.4500000000000002</v>
      </c>
      <c r="H40" s="12">
        <v>7648</v>
      </c>
      <c r="I40" s="12">
        <v>5934</v>
      </c>
      <c r="J40" s="12">
        <v>1714</v>
      </c>
      <c r="K40" s="10">
        <v>22.41</v>
      </c>
      <c r="L40" s="13">
        <v>1.9023274059999999</v>
      </c>
    </row>
    <row r="41" spans="1:12" x14ac:dyDescent="0.15">
      <c r="A41" s="1">
        <v>73</v>
      </c>
      <c r="B41" s="10" t="s">
        <v>181</v>
      </c>
      <c r="C41" s="11">
        <v>2010</v>
      </c>
      <c r="D41" s="12">
        <v>5474</v>
      </c>
      <c r="E41" s="12">
        <v>4444</v>
      </c>
      <c r="F41" s="12">
        <v>1030</v>
      </c>
      <c r="G41" s="13">
        <v>2.46</v>
      </c>
      <c r="H41" s="12">
        <v>2242</v>
      </c>
      <c r="I41" s="12">
        <v>1810</v>
      </c>
      <c r="J41" s="12">
        <v>432</v>
      </c>
      <c r="K41" s="10">
        <v>19.27</v>
      </c>
      <c r="L41" s="13">
        <v>1.9821587869999999</v>
      </c>
    </row>
    <row r="42" spans="1:12" x14ac:dyDescent="0.15">
      <c r="A42" s="1">
        <v>75</v>
      </c>
      <c r="B42" s="10" t="s">
        <v>182</v>
      </c>
      <c r="C42" s="11">
        <v>2010</v>
      </c>
      <c r="D42" s="12">
        <v>22293</v>
      </c>
      <c r="E42" s="12">
        <v>18819</v>
      </c>
      <c r="F42" s="12">
        <v>3474</v>
      </c>
      <c r="G42" s="13">
        <v>2.4700000000000002</v>
      </c>
      <c r="H42" s="12">
        <v>8488</v>
      </c>
      <c r="I42" s="12">
        <v>7608</v>
      </c>
      <c r="J42" s="12">
        <v>880</v>
      </c>
      <c r="K42" s="10">
        <v>10.37</v>
      </c>
      <c r="L42" s="13">
        <v>2.2171300660000002</v>
      </c>
    </row>
    <row r="43" spans="1:12" x14ac:dyDescent="0.15">
      <c r="A43" s="1">
        <v>77</v>
      </c>
      <c r="B43" s="10" t="s">
        <v>183</v>
      </c>
      <c r="C43" s="11">
        <v>2010</v>
      </c>
      <c r="D43" s="12">
        <v>147155</v>
      </c>
      <c r="E43" s="12">
        <v>142688</v>
      </c>
      <c r="F43" s="12">
        <v>4467</v>
      </c>
      <c r="G43" s="13">
        <v>2.46</v>
      </c>
      <c r="H43" s="12">
        <v>62994</v>
      </c>
      <c r="I43" s="12">
        <v>57942</v>
      </c>
      <c r="J43" s="12">
        <v>5052</v>
      </c>
      <c r="K43" s="10">
        <v>8.02</v>
      </c>
      <c r="L43" s="13">
        <v>2.2651046130000001</v>
      </c>
    </row>
    <row r="44" spans="1:12" x14ac:dyDescent="0.15">
      <c r="A44" s="1">
        <v>79</v>
      </c>
      <c r="B44" s="10" t="s">
        <v>184</v>
      </c>
      <c r="C44" s="11">
        <v>2010</v>
      </c>
      <c r="D44" s="12">
        <v>705</v>
      </c>
      <c r="E44" s="12">
        <v>705</v>
      </c>
      <c r="F44" s="12">
        <v>0</v>
      </c>
      <c r="G44" s="13">
        <v>2.2599999999999998</v>
      </c>
      <c r="H44" s="12">
        <v>1097</v>
      </c>
      <c r="I44" s="12">
        <v>312</v>
      </c>
      <c r="J44" s="12">
        <v>785</v>
      </c>
      <c r="K44" s="10">
        <v>71.56</v>
      </c>
      <c r="L44" s="13">
        <v>0.64266180500000003</v>
      </c>
    </row>
    <row r="45" spans="1:12" x14ac:dyDescent="0.15">
      <c r="A45" s="1">
        <v>81</v>
      </c>
      <c r="B45" s="10" t="s">
        <v>185</v>
      </c>
      <c r="C45" s="11">
        <v>2010</v>
      </c>
      <c r="D45" s="12">
        <v>13806</v>
      </c>
      <c r="E45" s="12">
        <v>13704</v>
      </c>
      <c r="F45" s="12">
        <v>102</v>
      </c>
      <c r="G45" s="13">
        <v>2.6</v>
      </c>
      <c r="H45" s="12">
        <v>5962</v>
      </c>
      <c r="I45" s="12">
        <v>5269</v>
      </c>
      <c r="J45" s="12">
        <v>693</v>
      </c>
      <c r="K45" s="10">
        <v>11.62</v>
      </c>
      <c r="L45" s="13">
        <v>2.2985575310000002</v>
      </c>
    </row>
    <row r="46" spans="1:12" x14ac:dyDescent="0.15">
      <c r="A46" s="1">
        <v>83</v>
      </c>
      <c r="B46" s="10" t="s">
        <v>186</v>
      </c>
      <c r="C46" s="11">
        <v>2010</v>
      </c>
      <c r="D46" s="12">
        <v>25532</v>
      </c>
      <c r="E46" s="12">
        <v>25295</v>
      </c>
      <c r="F46" s="12">
        <v>237</v>
      </c>
      <c r="G46" s="13">
        <v>2.4300000000000002</v>
      </c>
      <c r="H46" s="12">
        <v>11932</v>
      </c>
      <c r="I46" s="12">
        <v>10397</v>
      </c>
      <c r="J46" s="12">
        <v>1535</v>
      </c>
      <c r="K46" s="10">
        <v>12.86</v>
      </c>
      <c r="L46" s="13">
        <v>2.1199296009999999</v>
      </c>
    </row>
    <row r="47" spans="1:12" x14ac:dyDescent="0.15">
      <c r="A47" s="1">
        <v>85</v>
      </c>
      <c r="B47" s="10" t="s">
        <v>187</v>
      </c>
      <c r="C47" s="11">
        <v>2010</v>
      </c>
      <c r="D47" s="12">
        <v>41188</v>
      </c>
      <c r="E47" s="12">
        <v>40646</v>
      </c>
      <c r="F47" s="12">
        <v>542</v>
      </c>
      <c r="G47" s="13">
        <v>2.63</v>
      </c>
      <c r="H47" s="12">
        <v>17198</v>
      </c>
      <c r="I47" s="12">
        <v>15455</v>
      </c>
      <c r="J47" s="12">
        <v>1743</v>
      </c>
      <c r="K47" s="10">
        <v>10.130000000000001</v>
      </c>
      <c r="L47" s="13">
        <v>2.3634143509999999</v>
      </c>
    </row>
    <row r="48" spans="1:12" x14ac:dyDescent="0.15">
      <c r="A48" s="1">
        <v>87</v>
      </c>
      <c r="B48" s="10" t="s">
        <v>188</v>
      </c>
      <c r="C48" s="11">
        <v>2010</v>
      </c>
      <c r="D48" s="12">
        <v>28196</v>
      </c>
      <c r="E48" s="12">
        <v>27632</v>
      </c>
      <c r="F48" s="12">
        <v>564</v>
      </c>
      <c r="G48" s="13">
        <v>2.81</v>
      </c>
      <c r="H48" s="12">
        <v>10960</v>
      </c>
      <c r="I48" s="12">
        <v>9841</v>
      </c>
      <c r="J48" s="12">
        <v>1119</v>
      </c>
      <c r="K48" s="10">
        <v>10.210000000000001</v>
      </c>
      <c r="L48" s="13">
        <v>2.5211678829999999</v>
      </c>
    </row>
    <row r="49" spans="1:12" x14ac:dyDescent="0.15">
      <c r="A49" s="1">
        <v>89</v>
      </c>
      <c r="B49" s="10" t="s">
        <v>189</v>
      </c>
      <c r="C49" s="11">
        <v>2010</v>
      </c>
      <c r="D49" s="12">
        <v>18838</v>
      </c>
      <c r="E49" s="12">
        <v>18405</v>
      </c>
      <c r="F49" s="12">
        <v>433</v>
      </c>
      <c r="G49" s="13">
        <v>2.46</v>
      </c>
      <c r="H49" s="12">
        <v>8689</v>
      </c>
      <c r="I49" s="12">
        <v>7490</v>
      </c>
      <c r="J49" s="12">
        <v>1199</v>
      </c>
      <c r="K49" s="10">
        <v>13.8</v>
      </c>
      <c r="L49" s="13">
        <v>2.1181954190000001</v>
      </c>
    </row>
    <row r="50" spans="1:12" x14ac:dyDescent="0.15">
      <c r="A50" s="1">
        <v>91</v>
      </c>
      <c r="B50" s="10" t="s">
        <v>190</v>
      </c>
      <c r="C50" s="11">
        <v>2010</v>
      </c>
      <c r="D50" s="12">
        <v>4446</v>
      </c>
      <c r="E50" s="12">
        <v>4446</v>
      </c>
      <c r="F50" s="12">
        <v>0</v>
      </c>
      <c r="G50" s="13">
        <v>2.19</v>
      </c>
      <c r="H50" s="12">
        <v>3088</v>
      </c>
      <c r="I50" s="12">
        <v>2026</v>
      </c>
      <c r="J50" s="12">
        <v>1062</v>
      </c>
      <c r="K50" s="10">
        <v>34.39</v>
      </c>
      <c r="L50" s="13">
        <v>1.439766839</v>
      </c>
    </row>
    <row r="51" spans="1:12" x14ac:dyDescent="0.15">
      <c r="A51" s="1">
        <v>93</v>
      </c>
      <c r="B51" s="10" t="s">
        <v>191</v>
      </c>
      <c r="C51" s="11">
        <v>2010</v>
      </c>
      <c r="D51" s="12">
        <v>16262</v>
      </c>
      <c r="E51" s="12">
        <v>16170</v>
      </c>
      <c r="F51" s="12">
        <v>92</v>
      </c>
      <c r="G51" s="13">
        <v>2.27</v>
      </c>
      <c r="H51" s="12">
        <v>13798</v>
      </c>
      <c r="I51" s="12">
        <v>7120</v>
      </c>
      <c r="J51" s="12">
        <v>6678</v>
      </c>
      <c r="K51" s="10">
        <v>48.4</v>
      </c>
      <c r="L51" s="13">
        <v>1.171908972</v>
      </c>
    </row>
    <row r="52" spans="1:12" x14ac:dyDescent="0.15">
      <c r="A52" s="1">
        <v>95</v>
      </c>
      <c r="B52" s="10" t="s">
        <v>192</v>
      </c>
      <c r="C52" s="11">
        <v>2010</v>
      </c>
      <c r="D52" s="12">
        <v>4465</v>
      </c>
      <c r="E52" s="12">
        <v>4405</v>
      </c>
      <c r="F52" s="12">
        <v>60</v>
      </c>
      <c r="G52" s="13">
        <v>2.59</v>
      </c>
      <c r="H52" s="12">
        <v>1945</v>
      </c>
      <c r="I52" s="12">
        <v>1704</v>
      </c>
      <c r="J52" s="12">
        <v>241</v>
      </c>
      <c r="K52" s="10">
        <v>12.39</v>
      </c>
      <c r="L52" s="13">
        <v>2.2647814909999999</v>
      </c>
    </row>
    <row r="53" spans="1:12" x14ac:dyDescent="0.15">
      <c r="A53" s="1">
        <v>97</v>
      </c>
      <c r="B53" s="10" t="s">
        <v>193</v>
      </c>
      <c r="C53" s="11">
        <v>2010</v>
      </c>
      <c r="D53" s="12">
        <v>17156</v>
      </c>
      <c r="E53" s="12">
        <v>17084</v>
      </c>
      <c r="F53" s="12">
        <v>72</v>
      </c>
      <c r="G53" s="13">
        <v>2.1800000000000002</v>
      </c>
      <c r="H53" s="12">
        <v>12488</v>
      </c>
      <c r="I53" s="12">
        <v>7825</v>
      </c>
      <c r="J53" s="12">
        <v>4663</v>
      </c>
      <c r="K53" s="10">
        <v>37.340000000000003</v>
      </c>
      <c r="L53" s="13">
        <v>1.3680333119999999</v>
      </c>
    </row>
    <row r="54" spans="1:12" x14ac:dyDescent="0.15">
      <c r="A54" s="1">
        <v>99</v>
      </c>
      <c r="B54" s="10" t="s">
        <v>194</v>
      </c>
      <c r="C54" s="11">
        <v>2010</v>
      </c>
      <c r="D54" s="12">
        <v>12531</v>
      </c>
      <c r="E54" s="12">
        <v>12216</v>
      </c>
      <c r="F54" s="12">
        <v>315</v>
      </c>
      <c r="G54" s="13">
        <v>2.72</v>
      </c>
      <c r="H54" s="12">
        <v>5419</v>
      </c>
      <c r="I54" s="12">
        <v>4499</v>
      </c>
      <c r="J54" s="12">
        <v>920</v>
      </c>
      <c r="K54" s="10">
        <v>16.98</v>
      </c>
      <c r="L54" s="13">
        <v>2.2542904589999999</v>
      </c>
    </row>
    <row r="55" spans="1:12" x14ac:dyDescent="0.15">
      <c r="A55" s="1">
        <v>101</v>
      </c>
      <c r="B55" s="10" t="s">
        <v>195</v>
      </c>
      <c r="C55" s="11">
        <v>2010</v>
      </c>
      <c r="D55" s="12">
        <v>159496</v>
      </c>
      <c r="E55" s="12">
        <v>155175</v>
      </c>
      <c r="F55" s="12">
        <v>4321</v>
      </c>
      <c r="G55" s="13">
        <v>2.46</v>
      </c>
      <c r="H55" s="12">
        <v>69614</v>
      </c>
      <c r="I55" s="12">
        <v>63148</v>
      </c>
      <c r="J55" s="12">
        <v>6466</v>
      </c>
      <c r="K55" s="10">
        <v>9.2899999999999991</v>
      </c>
      <c r="L55" s="13">
        <v>2.2290774839999998</v>
      </c>
    </row>
    <row r="56" spans="1:12" x14ac:dyDescent="0.15">
      <c r="A56" s="1">
        <v>103</v>
      </c>
      <c r="B56" s="10" t="s">
        <v>196</v>
      </c>
      <c r="C56" s="11">
        <v>2010</v>
      </c>
      <c r="D56" s="12">
        <v>6617</v>
      </c>
      <c r="E56" s="12">
        <v>6382</v>
      </c>
      <c r="F56" s="12">
        <v>235</v>
      </c>
      <c r="G56" s="13">
        <v>2.52</v>
      </c>
      <c r="H56" s="12">
        <v>3172</v>
      </c>
      <c r="I56" s="12">
        <v>2531</v>
      </c>
      <c r="J56" s="12">
        <v>641</v>
      </c>
      <c r="K56" s="10">
        <v>20.21</v>
      </c>
      <c r="L56" s="13">
        <v>2.0119798229999999</v>
      </c>
    </row>
    <row r="57" spans="1:12" x14ac:dyDescent="0.15">
      <c r="A57" s="1">
        <v>105</v>
      </c>
      <c r="B57" s="10" t="s">
        <v>197</v>
      </c>
      <c r="C57" s="11">
        <v>2010</v>
      </c>
      <c r="D57" s="12">
        <v>12001</v>
      </c>
      <c r="E57" s="12">
        <v>11803</v>
      </c>
      <c r="F57" s="12">
        <v>198</v>
      </c>
      <c r="G57" s="13">
        <v>2.6</v>
      </c>
      <c r="H57" s="12">
        <v>6266</v>
      </c>
      <c r="I57" s="12">
        <v>4534</v>
      </c>
      <c r="J57" s="12">
        <v>1732</v>
      </c>
      <c r="K57" s="10">
        <v>27.64</v>
      </c>
      <c r="L57" s="13">
        <v>1.883657836</v>
      </c>
    </row>
    <row r="58" spans="1:12" x14ac:dyDescent="0.15">
      <c r="A58" s="1">
        <v>107</v>
      </c>
      <c r="B58" s="10" t="s">
        <v>198</v>
      </c>
      <c r="C58" s="11">
        <v>2010</v>
      </c>
      <c r="D58" s="12">
        <v>23439</v>
      </c>
      <c r="E58" s="12">
        <v>23104</v>
      </c>
      <c r="F58" s="12">
        <v>335</v>
      </c>
      <c r="G58" s="13">
        <v>2.4500000000000002</v>
      </c>
      <c r="H58" s="12">
        <v>15591</v>
      </c>
      <c r="I58" s="12">
        <v>9440</v>
      </c>
      <c r="J58" s="12">
        <v>6151</v>
      </c>
      <c r="K58" s="10">
        <v>39.450000000000003</v>
      </c>
      <c r="L58" s="13">
        <v>1.4818805719999999</v>
      </c>
    </row>
    <row r="59" spans="1:12" x14ac:dyDescent="0.15">
      <c r="A59" s="1">
        <v>109</v>
      </c>
      <c r="B59" s="10" t="s">
        <v>199</v>
      </c>
      <c r="C59" s="11">
        <v>2010</v>
      </c>
      <c r="D59" s="12">
        <v>6144</v>
      </c>
      <c r="E59" s="12">
        <v>6126</v>
      </c>
      <c r="F59" s="12">
        <v>18</v>
      </c>
      <c r="G59" s="13">
        <v>2.72</v>
      </c>
      <c r="H59" s="12">
        <v>3231</v>
      </c>
      <c r="I59" s="12">
        <v>2249</v>
      </c>
      <c r="J59" s="12">
        <v>982</v>
      </c>
      <c r="K59" s="10">
        <v>30.39</v>
      </c>
      <c r="L59" s="13">
        <v>1.8960074280000001</v>
      </c>
    </row>
    <row r="60" spans="1:12" x14ac:dyDescent="0.15">
      <c r="A60" s="1">
        <v>111</v>
      </c>
      <c r="B60" s="10" t="s">
        <v>200</v>
      </c>
      <c r="C60" s="11">
        <v>2010</v>
      </c>
      <c r="D60" s="12">
        <v>709</v>
      </c>
      <c r="E60" s="12">
        <v>709</v>
      </c>
      <c r="F60" s="12">
        <v>0</v>
      </c>
      <c r="G60" s="13">
        <v>2.0499999999999998</v>
      </c>
      <c r="H60" s="12">
        <v>739</v>
      </c>
      <c r="I60" s="12">
        <v>346</v>
      </c>
      <c r="J60" s="12">
        <v>393</v>
      </c>
      <c r="K60" s="10">
        <v>53.18</v>
      </c>
      <c r="L60" s="13">
        <v>0.95940460100000002</v>
      </c>
    </row>
    <row r="61" spans="1:12" x14ac:dyDescent="0.15">
      <c r="A61" s="1">
        <v>113</v>
      </c>
      <c r="B61" s="10" t="s">
        <v>201</v>
      </c>
      <c r="C61" s="11">
        <v>2010</v>
      </c>
      <c r="D61" s="12">
        <v>7356</v>
      </c>
      <c r="E61" s="12">
        <v>7347</v>
      </c>
      <c r="F61" s="12">
        <v>9</v>
      </c>
      <c r="G61" s="13">
        <v>2.2599999999999998</v>
      </c>
      <c r="H61" s="12">
        <v>6165</v>
      </c>
      <c r="I61" s="12">
        <v>3253</v>
      </c>
      <c r="J61" s="12">
        <v>2912</v>
      </c>
      <c r="K61" s="10">
        <v>47.23</v>
      </c>
      <c r="L61" s="13">
        <v>1.191727494</v>
      </c>
    </row>
    <row r="62" spans="1:12" x14ac:dyDescent="0.15">
      <c r="A62" s="1">
        <v>115</v>
      </c>
      <c r="B62" s="10" t="s">
        <v>202</v>
      </c>
      <c r="C62" s="11">
        <v>2010</v>
      </c>
      <c r="D62" s="12">
        <v>2367</v>
      </c>
      <c r="E62" s="12">
        <v>2332</v>
      </c>
      <c r="F62" s="12">
        <v>35</v>
      </c>
      <c r="G62" s="13">
        <v>2.2999999999999998</v>
      </c>
      <c r="H62" s="12">
        <v>1325</v>
      </c>
      <c r="I62" s="12">
        <v>1016</v>
      </c>
      <c r="J62" s="12">
        <v>309</v>
      </c>
      <c r="K62" s="10">
        <v>23.32</v>
      </c>
      <c r="L62" s="13">
        <v>1.76</v>
      </c>
    </row>
    <row r="63" spans="1:12" x14ac:dyDescent="0.15">
      <c r="A63" s="1">
        <v>117</v>
      </c>
      <c r="B63" s="10" t="s">
        <v>203</v>
      </c>
      <c r="C63" s="11">
        <v>2010</v>
      </c>
      <c r="D63" s="12">
        <v>28073</v>
      </c>
      <c r="E63" s="12">
        <v>27800</v>
      </c>
      <c r="F63" s="12">
        <v>273</v>
      </c>
      <c r="G63" s="13">
        <v>2.36</v>
      </c>
      <c r="H63" s="12">
        <v>29861</v>
      </c>
      <c r="I63" s="12">
        <v>11787</v>
      </c>
      <c r="J63" s="12">
        <v>18074</v>
      </c>
      <c r="K63" s="10">
        <v>60.53</v>
      </c>
      <c r="L63" s="13">
        <v>0.93098020800000003</v>
      </c>
    </row>
    <row r="64" spans="1:12" x14ac:dyDescent="0.15">
      <c r="A64" s="1">
        <v>119</v>
      </c>
      <c r="B64" s="10" t="s">
        <v>204</v>
      </c>
      <c r="C64" s="11">
        <v>2010</v>
      </c>
      <c r="D64" s="12">
        <v>23441</v>
      </c>
      <c r="E64" s="12">
        <v>23309</v>
      </c>
      <c r="F64" s="12">
        <v>132</v>
      </c>
      <c r="G64" s="13">
        <v>2.37</v>
      </c>
      <c r="H64" s="12">
        <v>12651</v>
      </c>
      <c r="I64" s="12">
        <v>9844</v>
      </c>
      <c r="J64" s="12">
        <v>2807</v>
      </c>
      <c r="K64" s="10">
        <v>22.19</v>
      </c>
      <c r="L64" s="13">
        <v>1.842463046</v>
      </c>
    </row>
    <row r="65" spans="1:12" x14ac:dyDescent="0.15">
      <c r="A65" s="1">
        <v>121</v>
      </c>
      <c r="B65" s="10" t="s">
        <v>205</v>
      </c>
      <c r="C65" s="11">
        <v>2010</v>
      </c>
      <c r="D65" s="12">
        <v>4815</v>
      </c>
      <c r="E65" s="12">
        <v>4471</v>
      </c>
      <c r="F65" s="12">
        <v>344</v>
      </c>
      <c r="G65" s="13">
        <v>2.61</v>
      </c>
      <c r="H65" s="12">
        <v>2177</v>
      </c>
      <c r="I65" s="12">
        <v>1711</v>
      </c>
      <c r="J65" s="12">
        <v>466</v>
      </c>
      <c r="K65" s="10">
        <v>21.41</v>
      </c>
      <c r="L65" s="13">
        <v>2.0537436840000001</v>
      </c>
    </row>
    <row r="66" spans="1:12" x14ac:dyDescent="0.15">
      <c r="A66" s="1">
        <v>123</v>
      </c>
      <c r="B66" s="10" t="s">
        <v>206</v>
      </c>
      <c r="C66" s="11">
        <v>2010</v>
      </c>
      <c r="D66" s="12">
        <v>254230</v>
      </c>
      <c r="E66" s="12">
        <v>248335</v>
      </c>
      <c r="F66" s="12">
        <v>5895</v>
      </c>
      <c r="G66" s="13">
        <v>2.76</v>
      </c>
      <c r="H66" s="12">
        <v>96540</v>
      </c>
      <c r="I66" s="12">
        <v>89831</v>
      </c>
      <c r="J66" s="12">
        <v>6709</v>
      </c>
      <c r="K66" s="10">
        <v>6.95</v>
      </c>
      <c r="L66" s="13">
        <v>2.5723534290000001</v>
      </c>
    </row>
    <row r="67" spans="1:12" x14ac:dyDescent="0.15">
      <c r="A67" s="1">
        <v>125</v>
      </c>
      <c r="B67" s="10" t="s">
        <v>207</v>
      </c>
      <c r="C67" s="11">
        <v>2010</v>
      </c>
      <c r="D67" s="12">
        <v>10032</v>
      </c>
      <c r="E67" s="12">
        <v>9836</v>
      </c>
      <c r="F67" s="12">
        <v>196</v>
      </c>
      <c r="G67" s="13">
        <v>2.63</v>
      </c>
      <c r="H67" s="12">
        <v>4227</v>
      </c>
      <c r="I67" s="12">
        <v>3740</v>
      </c>
      <c r="J67" s="12">
        <v>487</v>
      </c>
      <c r="K67" s="10">
        <v>11.52</v>
      </c>
      <c r="L67" s="13">
        <v>2.3269458240000001</v>
      </c>
    </row>
    <row r="68" spans="1:12" x14ac:dyDescent="0.15">
      <c r="A68" s="1">
        <v>0</v>
      </c>
      <c r="B68" s="10" t="s">
        <v>143</v>
      </c>
      <c r="C68" s="11">
        <v>2011</v>
      </c>
      <c r="D68" s="12">
        <v>5123553</v>
      </c>
      <c r="E68" s="12">
        <v>5004680</v>
      </c>
      <c r="F68" s="12">
        <v>118873</v>
      </c>
      <c r="G68" s="13">
        <v>2.4900000000000002</v>
      </c>
      <c r="H68" s="12">
        <v>2217639</v>
      </c>
      <c r="I68" s="12">
        <v>2008680</v>
      </c>
      <c r="J68" s="12">
        <v>208959</v>
      </c>
      <c r="K68" s="10">
        <v>9.42</v>
      </c>
      <c r="L68" s="13">
        <v>2.2567604559999999</v>
      </c>
    </row>
    <row r="69" spans="1:12" x14ac:dyDescent="0.15">
      <c r="A69" s="1">
        <v>1</v>
      </c>
      <c r="B69" s="10" t="s">
        <v>144</v>
      </c>
      <c r="C69" s="11">
        <v>2011</v>
      </c>
      <c r="D69" s="12">
        <v>452181</v>
      </c>
      <c r="E69" s="12">
        <v>448120</v>
      </c>
      <c r="F69" s="12">
        <v>4061</v>
      </c>
      <c r="G69" s="13">
        <v>2.85</v>
      </c>
      <c r="H69" s="12">
        <v>164593</v>
      </c>
      <c r="I69" s="12">
        <v>157248</v>
      </c>
      <c r="J69" s="12">
        <v>7345</v>
      </c>
      <c r="K69" s="10">
        <v>4.46</v>
      </c>
      <c r="L69" s="13">
        <v>2.722594521</v>
      </c>
    </row>
    <row r="70" spans="1:12" x14ac:dyDescent="0.15">
      <c r="A70" s="1">
        <v>3</v>
      </c>
      <c r="B70" s="10" t="s">
        <v>145</v>
      </c>
      <c r="C70" s="11">
        <v>2011</v>
      </c>
      <c r="D70" s="12">
        <v>15528</v>
      </c>
      <c r="E70" s="12">
        <v>14788</v>
      </c>
      <c r="F70" s="12">
        <v>740</v>
      </c>
      <c r="G70" s="13">
        <v>2.4500000000000002</v>
      </c>
      <c r="H70" s="12">
        <v>6591</v>
      </c>
      <c r="I70" s="12">
        <v>6037</v>
      </c>
      <c r="J70" s="12">
        <v>554</v>
      </c>
      <c r="K70" s="10">
        <v>8.41</v>
      </c>
      <c r="L70" s="13">
        <v>2.2436656049999999</v>
      </c>
    </row>
    <row r="71" spans="1:12" x14ac:dyDescent="0.15">
      <c r="A71" s="1">
        <v>5</v>
      </c>
      <c r="B71" s="10" t="s">
        <v>146</v>
      </c>
      <c r="C71" s="11">
        <v>2011</v>
      </c>
      <c r="D71" s="12">
        <v>585817</v>
      </c>
      <c r="E71" s="12">
        <v>580907</v>
      </c>
      <c r="F71" s="12">
        <v>4910</v>
      </c>
      <c r="G71" s="13">
        <v>2.54</v>
      </c>
      <c r="H71" s="12">
        <v>240616</v>
      </c>
      <c r="I71" s="12">
        <v>228868</v>
      </c>
      <c r="J71" s="12">
        <v>11748</v>
      </c>
      <c r="K71" s="10">
        <v>4.88</v>
      </c>
      <c r="L71" s="13">
        <v>2.4142492600000001</v>
      </c>
    </row>
    <row r="72" spans="1:12" x14ac:dyDescent="0.15">
      <c r="A72" s="1">
        <v>7</v>
      </c>
      <c r="B72" s="10" t="s">
        <v>147</v>
      </c>
      <c r="C72" s="11">
        <v>2011</v>
      </c>
      <c r="D72" s="12">
        <v>11955</v>
      </c>
      <c r="E72" s="12">
        <v>11830</v>
      </c>
      <c r="F72" s="12">
        <v>125</v>
      </c>
      <c r="G72" s="13">
        <v>2.27</v>
      </c>
      <c r="H72" s="12">
        <v>8781</v>
      </c>
      <c r="I72" s="12">
        <v>5208</v>
      </c>
      <c r="J72" s="12">
        <v>3573</v>
      </c>
      <c r="K72" s="10">
        <v>40.69</v>
      </c>
      <c r="L72" s="13">
        <v>1.3472269670000001</v>
      </c>
    </row>
    <row r="73" spans="1:12" x14ac:dyDescent="0.15">
      <c r="A73" s="1">
        <v>9</v>
      </c>
      <c r="B73" s="10" t="s">
        <v>148</v>
      </c>
      <c r="C73" s="11">
        <v>2011</v>
      </c>
      <c r="D73" s="12">
        <v>3767</v>
      </c>
      <c r="E73" s="12">
        <v>3689</v>
      </c>
      <c r="F73" s="12">
        <v>78</v>
      </c>
      <c r="G73" s="13">
        <v>2.2200000000000002</v>
      </c>
      <c r="H73" s="12">
        <v>1966</v>
      </c>
      <c r="I73" s="12">
        <v>1661</v>
      </c>
      <c r="J73" s="12">
        <v>305</v>
      </c>
      <c r="K73" s="10">
        <v>15.54</v>
      </c>
      <c r="L73" s="13">
        <v>1.8763987790000001</v>
      </c>
    </row>
    <row r="74" spans="1:12" x14ac:dyDescent="0.15">
      <c r="A74" s="1">
        <v>11</v>
      </c>
      <c r="B74" s="10" t="s">
        <v>149</v>
      </c>
      <c r="C74" s="11">
        <v>2011</v>
      </c>
      <c r="D74" s="12">
        <v>6355</v>
      </c>
      <c r="E74" s="12">
        <v>4241</v>
      </c>
      <c r="F74" s="12">
        <v>2114</v>
      </c>
      <c r="G74" s="13">
        <v>2.34</v>
      </c>
      <c r="H74" s="12">
        <v>2116</v>
      </c>
      <c r="I74" s="12">
        <v>1816</v>
      </c>
      <c r="J74" s="12">
        <v>300</v>
      </c>
      <c r="K74" s="10">
        <v>14.19</v>
      </c>
      <c r="L74" s="13">
        <v>2.004253308</v>
      </c>
    </row>
    <row r="75" spans="1:12" x14ac:dyDescent="0.15">
      <c r="A75" s="1">
        <v>13</v>
      </c>
      <c r="B75" s="10" t="s">
        <v>150</v>
      </c>
      <c r="C75" s="11">
        <v>2011</v>
      </c>
      <c r="D75" s="12">
        <v>300526</v>
      </c>
      <c r="E75" s="12">
        <v>290383</v>
      </c>
      <c r="F75" s="12">
        <v>10143</v>
      </c>
      <c r="G75" s="13">
        <v>2.39</v>
      </c>
      <c r="H75" s="12">
        <v>127865</v>
      </c>
      <c r="I75" s="12">
        <v>121382</v>
      </c>
      <c r="J75" s="12">
        <v>6483</v>
      </c>
      <c r="K75" s="10">
        <v>5.07</v>
      </c>
      <c r="L75" s="13">
        <v>2.2710123960000002</v>
      </c>
    </row>
    <row r="76" spans="1:12" x14ac:dyDescent="0.15">
      <c r="A76" s="1">
        <v>14</v>
      </c>
      <c r="B76" s="10" t="s">
        <v>151</v>
      </c>
      <c r="C76" s="11">
        <v>2011</v>
      </c>
      <c r="D76" s="12">
        <v>57584</v>
      </c>
      <c r="E76" s="12">
        <v>57307</v>
      </c>
      <c r="F76" s="12">
        <v>277</v>
      </c>
      <c r="G76" s="13">
        <v>2.59</v>
      </c>
      <c r="H76" s="12">
        <v>23056</v>
      </c>
      <c r="I76" s="12">
        <v>22168</v>
      </c>
      <c r="J76" s="12">
        <v>888</v>
      </c>
      <c r="K76" s="10">
        <v>3.85</v>
      </c>
      <c r="L76" s="13">
        <v>2.4855569050000001</v>
      </c>
    </row>
    <row r="77" spans="1:12" x14ac:dyDescent="0.15">
      <c r="A77" s="1">
        <v>15</v>
      </c>
      <c r="B77" s="10" t="s">
        <v>152</v>
      </c>
      <c r="C77" s="11">
        <v>2011</v>
      </c>
      <c r="D77" s="12">
        <v>17932</v>
      </c>
      <c r="E77" s="12">
        <v>16449</v>
      </c>
      <c r="F77" s="12">
        <v>1483</v>
      </c>
      <c r="G77" s="13">
        <v>2.15</v>
      </c>
      <c r="H77" s="12">
        <v>10058</v>
      </c>
      <c r="I77" s="12">
        <v>7634</v>
      </c>
      <c r="J77" s="12">
        <v>2424</v>
      </c>
      <c r="K77" s="10">
        <v>24.1</v>
      </c>
      <c r="L77" s="13">
        <v>1.6354145950000001</v>
      </c>
    </row>
    <row r="78" spans="1:12" x14ac:dyDescent="0.15">
      <c r="A78" s="1">
        <v>17</v>
      </c>
      <c r="B78" s="10" t="s">
        <v>153</v>
      </c>
      <c r="C78" s="11">
        <v>2011</v>
      </c>
      <c r="D78" s="12">
        <v>1832</v>
      </c>
      <c r="E78" s="12">
        <v>1790</v>
      </c>
      <c r="F78" s="12">
        <v>42</v>
      </c>
      <c r="G78" s="13">
        <v>2.2799999999999998</v>
      </c>
      <c r="H78" s="12">
        <v>869</v>
      </c>
      <c r="I78" s="12">
        <v>784</v>
      </c>
      <c r="J78" s="12">
        <v>85</v>
      </c>
      <c r="K78" s="10">
        <v>9.76</v>
      </c>
      <c r="L78" s="13">
        <v>2.0598388949999999</v>
      </c>
    </row>
    <row r="79" spans="1:12" x14ac:dyDescent="0.15">
      <c r="A79" s="1">
        <v>19</v>
      </c>
      <c r="B79" s="10" t="s">
        <v>154</v>
      </c>
      <c r="C79" s="11">
        <v>2011</v>
      </c>
      <c r="D79" s="12">
        <v>9027</v>
      </c>
      <c r="E79" s="12">
        <v>8923</v>
      </c>
      <c r="F79" s="12">
        <v>104</v>
      </c>
      <c r="G79" s="13">
        <v>2.14</v>
      </c>
      <c r="H79" s="12">
        <v>5485</v>
      </c>
      <c r="I79" s="12">
        <v>4173</v>
      </c>
      <c r="J79" s="12">
        <v>1312</v>
      </c>
      <c r="K79" s="10">
        <v>23.92</v>
      </c>
      <c r="L79" s="13">
        <v>1.626800365</v>
      </c>
    </row>
    <row r="80" spans="1:12" x14ac:dyDescent="0.15">
      <c r="A80" s="1">
        <v>21</v>
      </c>
      <c r="B80" s="10" t="s">
        <v>155</v>
      </c>
      <c r="C80" s="11">
        <v>2011</v>
      </c>
      <c r="D80" s="12">
        <v>8201</v>
      </c>
      <c r="E80" s="12">
        <v>8163</v>
      </c>
      <c r="F80" s="12">
        <v>39</v>
      </c>
      <c r="G80" s="13">
        <v>2.63</v>
      </c>
      <c r="H80" s="12">
        <v>3828</v>
      </c>
      <c r="I80" s="12">
        <v>3106</v>
      </c>
      <c r="J80" s="12">
        <v>722</v>
      </c>
      <c r="K80" s="10">
        <v>18.86</v>
      </c>
      <c r="L80" s="13">
        <v>2.1324451409999998</v>
      </c>
    </row>
    <row r="81" spans="1:12" x14ac:dyDescent="0.15">
      <c r="A81" s="1">
        <v>23</v>
      </c>
      <c r="B81" s="10" t="s">
        <v>156</v>
      </c>
      <c r="C81" s="11">
        <v>2011</v>
      </c>
      <c r="D81" s="12">
        <v>3518</v>
      </c>
      <c r="E81" s="12">
        <v>3518</v>
      </c>
      <c r="F81" s="12">
        <v>0</v>
      </c>
      <c r="G81" s="13">
        <v>2.27</v>
      </c>
      <c r="H81" s="12">
        <v>2301</v>
      </c>
      <c r="I81" s="12">
        <v>1553</v>
      </c>
      <c r="J81" s="12">
        <v>748</v>
      </c>
      <c r="K81" s="10">
        <v>32.5</v>
      </c>
      <c r="L81" s="13">
        <v>1.528900478</v>
      </c>
    </row>
    <row r="82" spans="1:12" x14ac:dyDescent="0.15">
      <c r="A82" s="1">
        <v>25</v>
      </c>
      <c r="B82" s="10" t="s">
        <v>157</v>
      </c>
      <c r="C82" s="11">
        <v>2011</v>
      </c>
      <c r="D82" s="12">
        <v>5837</v>
      </c>
      <c r="E82" s="12">
        <v>3139</v>
      </c>
      <c r="F82" s="12">
        <v>2698</v>
      </c>
      <c r="G82" s="13">
        <v>2.4</v>
      </c>
      <c r="H82" s="12">
        <v>1483</v>
      </c>
      <c r="I82" s="12">
        <v>1309</v>
      </c>
      <c r="J82" s="12">
        <v>174</v>
      </c>
      <c r="K82" s="10">
        <v>11.72</v>
      </c>
      <c r="L82" s="13">
        <v>2.1166554280000001</v>
      </c>
    </row>
    <row r="83" spans="1:12" x14ac:dyDescent="0.15">
      <c r="A83" s="1">
        <v>27</v>
      </c>
      <c r="B83" s="10" t="s">
        <v>158</v>
      </c>
      <c r="C83" s="11">
        <v>2011</v>
      </c>
      <c r="D83" s="12">
        <v>4318</v>
      </c>
      <c r="E83" s="12">
        <v>4304</v>
      </c>
      <c r="F83" s="12">
        <v>15</v>
      </c>
      <c r="G83" s="13">
        <v>2.13</v>
      </c>
      <c r="H83" s="12">
        <v>3656</v>
      </c>
      <c r="I83" s="12">
        <v>2020</v>
      </c>
      <c r="J83" s="12">
        <v>1636</v>
      </c>
      <c r="K83" s="10">
        <v>44.74</v>
      </c>
      <c r="L83" s="13">
        <v>1.1772428880000001</v>
      </c>
    </row>
    <row r="84" spans="1:12" x14ac:dyDescent="0.15">
      <c r="A84" s="1">
        <v>29</v>
      </c>
      <c r="B84" s="10" t="s">
        <v>159</v>
      </c>
      <c r="C84" s="11">
        <v>2011</v>
      </c>
      <c r="D84" s="12">
        <v>30433</v>
      </c>
      <c r="E84" s="12">
        <v>29737</v>
      </c>
      <c r="F84" s="12">
        <v>696</v>
      </c>
      <c r="G84" s="13">
        <v>2.37</v>
      </c>
      <c r="H84" s="12">
        <v>14577</v>
      </c>
      <c r="I84" s="12">
        <v>12523</v>
      </c>
      <c r="J84" s="12">
        <v>2054</v>
      </c>
      <c r="K84" s="10">
        <v>14.09</v>
      </c>
      <c r="L84" s="13">
        <v>2.0399945119999998</v>
      </c>
    </row>
    <row r="85" spans="1:12" x14ac:dyDescent="0.15">
      <c r="A85" s="1">
        <v>31</v>
      </c>
      <c r="B85" s="10" t="s">
        <v>160</v>
      </c>
      <c r="C85" s="11">
        <v>2011</v>
      </c>
      <c r="D85" s="12">
        <v>620229</v>
      </c>
      <c r="E85" s="12">
        <v>604024</v>
      </c>
      <c r="F85" s="12">
        <v>16205</v>
      </c>
      <c r="G85" s="13">
        <v>2.2200000000000002</v>
      </c>
      <c r="H85" s="12">
        <v>288388</v>
      </c>
      <c r="I85" s="12">
        <v>272237</v>
      </c>
      <c r="J85" s="12">
        <v>16151</v>
      </c>
      <c r="K85" s="10">
        <v>5.6</v>
      </c>
      <c r="L85" s="13">
        <v>2.0944838200000002</v>
      </c>
    </row>
    <row r="86" spans="1:12" x14ac:dyDescent="0.15">
      <c r="A86" s="1">
        <v>33</v>
      </c>
      <c r="B86" s="10" t="s">
        <v>161</v>
      </c>
      <c r="C86" s="11">
        <v>2011</v>
      </c>
      <c r="D86" s="12">
        <v>2065</v>
      </c>
      <c r="E86" s="12">
        <v>2065</v>
      </c>
      <c r="F86" s="12">
        <v>0</v>
      </c>
      <c r="G86" s="13">
        <v>2.29</v>
      </c>
      <c r="H86" s="12">
        <v>1096</v>
      </c>
      <c r="I86" s="12">
        <v>903</v>
      </c>
      <c r="J86" s="12">
        <v>193</v>
      </c>
      <c r="K86" s="10">
        <v>17.600000000000001</v>
      </c>
      <c r="L86" s="13">
        <v>1.8841240880000001</v>
      </c>
    </row>
    <row r="87" spans="1:12" x14ac:dyDescent="0.15">
      <c r="A87" s="1">
        <v>35</v>
      </c>
      <c r="B87" s="10" t="s">
        <v>162</v>
      </c>
      <c r="C87" s="11">
        <v>2011</v>
      </c>
      <c r="D87" s="12">
        <v>292623</v>
      </c>
      <c r="E87" s="12">
        <v>291772</v>
      </c>
      <c r="F87" s="12">
        <v>851</v>
      </c>
      <c r="G87" s="13">
        <v>2.79</v>
      </c>
      <c r="H87" s="12">
        <v>108031</v>
      </c>
      <c r="I87" s="12">
        <v>104563</v>
      </c>
      <c r="J87" s="12">
        <v>3468</v>
      </c>
      <c r="K87" s="10">
        <v>3.21</v>
      </c>
      <c r="L87" s="13">
        <v>2.7008173580000001</v>
      </c>
    </row>
    <row r="88" spans="1:12" x14ac:dyDescent="0.15">
      <c r="A88" s="1">
        <v>37</v>
      </c>
      <c r="B88" s="10" t="s">
        <v>163</v>
      </c>
      <c r="C88" s="11">
        <v>2011</v>
      </c>
      <c r="D88" s="12">
        <v>52120</v>
      </c>
      <c r="E88" s="12">
        <v>52060</v>
      </c>
      <c r="F88" s="12">
        <v>60</v>
      </c>
      <c r="G88" s="13">
        <v>2.71</v>
      </c>
      <c r="H88" s="12">
        <v>30875</v>
      </c>
      <c r="I88" s="12">
        <v>19227</v>
      </c>
      <c r="J88" s="12">
        <v>11648</v>
      </c>
      <c r="K88" s="10">
        <v>37.729999999999997</v>
      </c>
      <c r="L88" s="13">
        <v>1.6861538460000001</v>
      </c>
    </row>
    <row r="89" spans="1:12" x14ac:dyDescent="0.15">
      <c r="A89" s="1">
        <v>39</v>
      </c>
      <c r="B89" s="10" t="s">
        <v>164</v>
      </c>
      <c r="C89" s="11">
        <v>2011</v>
      </c>
      <c r="D89" s="12">
        <v>23032</v>
      </c>
      <c r="E89" s="12">
        <v>22959</v>
      </c>
      <c r="F89" s="12">
        <v>73</v>
      </c>
      <c r="G89" s="13">
        <v>2.75</v>
      </c>
      <c r="H89" s="12">
        <v>8956</v>
      </c>
      <c r="I89" s="12">
        <v>8353</v>
      </c>
      <c r="J89" s="12">
        <v>603</v>
      </c>
      <c r="K89" s="10">
        <v>6.73</v>
      </c>
      <c r="L89" s="13">
        <v>2.563532827</v>
      </c>
    </row>
    <row r="90" spans="1:12" x14ac:dyDescent="0.15">
      <c r="A90" s="1">
        <v>41</v>
      </c>
      <c r="B90" s="10" t="s">
        <v>165</v>
      </c>
      <c r="C90" s="11">
        <v>2011</v>
      </c>
      <c r="D90" s="12">
        <v>639139</v>
      </c>
      <c r="E90" s="12">
        <v>618897</v>
      </c>
      <c r="F90" s="12">
        <v>20242</v>
      </c>
      <c r="G90" s="13">
        <v>2.56</v>
      </c>
      <c r="H90" s="12">
        <v>255593</v>
      </c>
      <c r="I90" s="12">
        <v>241699</v>
      </c>
      <c r="J90" s="12">
        <v>13894</v>
      </c>
      <c r="K90" s="10">
        <v>5.44</v>
      </c>
      <c r="L90" s="13">
        <v>2.4214160790000001</v>
      </c>
    </row>
    <row r="91" spans="1:12" x14ac:dyDescent="0.15">
      <c r="A91" s="1">
        <v>43</v>
      </c>
      <c r="B91" s="10" t="s">
        <v>166</v>
      </c>
      <c r="C91" s="11">
        <v>2011</v>
      </c>
      <c r="D91" s="12">
        <v>47076</v>
      </c>
      <c r="E91" s="12">
        <v>38459</v>
      </c>
      <c r="F91" s="12">
        <v>8618</v>
      </c>
      <c r="G91" s="13">
        <v>2.2999999999999998</v>
      </c>
      <c r="H91" s="12">
        <v>19536</v>
      </c>
      <c r="I91" s="12">
        <v>16735</v>
      </c>
      <c r="J91" s="12">
        <v>2801</v>
      </c>
      <c r="K91" s="10">
        <v>14.34</v>
      </c>
      <c r="L91" s="13">
        <v>1.968622031</v>
      </c>
    </row>
    <row r="92" spans="1:12" x14ac:dyDescent="0.15">
      <c r="A92" s="1">
        <v>45</v>
      </c>
      <c r="B92" s="10" t="s">
        <v>167</v>
      </c>
      <c r="C92" s="11">
        <v>2011</v>
      </c>
      <c r="D92" s="12">
        <v>56267</v>
      </c>
      <c r="E92" s="12">
        <v>55358</v>
      </c>
      <c r="F92" s="12">
        <v>909</v>
      </c>
      <c r="G92" s="13">
        <v>2.72</v>
      </c>
      <c r="H92" s="12">
        <v>22920</v>
      </c>
      <c r="I92" s="12">
        <v>20319</v>
      </c>
      <c r="J92" s="12">
        <v>2601</v>
      </c>
      <c r="K92" s="10">
        <v>11.35</v>
      </c>
      <c r="L92" s="13">
        <v>2.4152705060000002</v>
      </c>
    </row>
    <row r="93" spans="1:12" x14ac:dyDescent="0.15">
      <c r="A93" s="1">
        <v>47</v>
      </c>
      <c r="B93" s="10" t="s">
        <v>168</v>
      </c>
      <c r="C93" s="11">
        <v>2011</v>
      </c>
      <c r="D93" s="12">
        <v>5477</v>
      </c>
      <c r="E93" s="12">
        <v>5429</v>
      </c>
      <c r="F93" s="12">
        <v>48</v>
      </c>
      <c r="G93" s="13">
        <v>2.19</v>
      </c>
      <c r="H93" s="12">
        <v>3306</v>
      </c>
      <c r="I93" s="12">
        <v>2475</v>
      </c>
      <c r="J93" s="12">
        <v>831</v>
      </c>
      <c r="K93" s="10">
        <v>25.14</v>
      </c>
      <c r="L93" s="13">
        <v>1.6421657590000001</v>
      </c>
    </row>
    <row r="94" spans="1:12" x14ac:dyDescent="0.15">
      <c r="A94" s="1">
        <v>49</v>
      </c>
      <c r="B94" s="10" t="s">
        <v>169</v>
      </c>
      <c r="C94" s="11">
        <v>2011</v>
      </c>
      <c r="D94" s="12">
        <v>14836</v>
      </c>
      <c r="E94" s="12">
        <v>14617</v>
      </c>
      <c r="F94" s="12">
        <v>220</v>
      </c>
      <c r="G94" s="13">
        <v>2.2599999999999998</v>
      </c>
      <c r="H94" s="12">
        <v>15482</v>
      </c>
      <c r="I94" s="12">
        <v>6478</v>
      </c>
      <c r="J94" s="12">
        <v>9004</v>
      </c>
      <c r="K94" s="10">
        <v>58.15</v>
      </c>
      <c r="L94" s="13">
        <v>0.94412866600000001</v>
      </c>
    </row>
    <row r="95" spans="1:12" x14ac:dyDescent="0.15">
      <c r="A95" s="1">
        <v>51</v>
      </c>
      <c r="B95" s="10" t="s">
        <v>170</v>
      </c>
      <c r="C95" s="11">
        <v>2011</v>
      </c>
      <c r="D95" s="12">
        <v>15348</v>
      </c>
      <c r="E95" s="12">
        <v>14477</v>
      </c>
      <c r="F95" s="12">
        <v>871</v>
      </c>
      <c r="G95" s="13">
        <v>2.2200000000000002</v>
      </c>
      <c r="H95" s="12">
        <v>11448</v>
      </c>
      <c r="I95" s="12">
        <v>6517</v>
      </c>
      <c r="J95" s="12">
        <v>4931</v>
      </c>
      <c r="K95" s="10">
        <v>43.07</v>
      </c>
      <c r="L95" s="13">
        <v>1.264587701</v>
      </c>
    </row>
    <row r="96" spans="1:12" x14ac:dyDescent="0.15">
      <c r="A96" s="1">
        <v>53</v>
      </c>
      <c r="B96" s="10" t="s">
        <v>171</v>
      </c>
      <c r="C96" s="11">
        <v>2011</v>
      </c>
      <c r="D96" s="12">
        <v>835</v>
      </c>
      <c r="E96" s="12">
        <v>785</v>
      </c>
      <c r="F96" s="12">
        <v>50</v>
      </c>
      <c r="G96" s="13">
        <v>2.17</v>
      </c>
      <c r="H96" s="12">
        <v>1275</v>
      </c>
      <c r="I96" s="12">
        <v>362</v>
      </c>
      <c r="J96" s="12">
        <v>913</v>
      </c>
      <c r="K96" s="10">
        <v>71.59</v>
      </c>
      <c r="L96" s="13">
        <v>0.61568627499999995</v>
      </c>
    </row>
    <row r="97" spans="1:12" x14ac:dyDescent="0.15">
      <c r="A97" s="1">
        <v>55</v>
      </c>
      <c r="B97" s="10" t="s">
        <v>172</v>
      </c>
      <c r="C97" s="11">
        <v>2011</v>
      </c>
      <c r="D97" s="12">
        <v>6671</v>
      </c>
      <c r="E97" s="12">
        <v>6512</v>
      </c>
      <c r="F97" s="12">
        <v>159</v>
      </c>
      <c r="G97" s="13">
        <v>2.09</v>
      </c>
      <c r="H97" s="12">
        <v>4474</v>
      </c>
      <c r="I97" s="12">
        <v>3118</v>
      </c>
      <c r="J97" s="12">
        <v>1356</v>
      </c>
      <c r="K97" s="10">
        <v>30.3</v>
      </c>
      <c r="L97" s="13">
        <v>1.455520787</v>
      </c>
    </row>
    <row r="98" spans="1:12" x14ac:dyDescent="0.15">
      <c r="A98" s="1">
        <v>57</v>
      </c>
      <c r="B98" s="10" t="s">
        <v>173</v>
      </c>
      <c r="C98" s="11">
        <v>2011</v>
      </c>
      <c r="D98" s="12">
        <v>1387</v>
      </c>
      <c r="E98" s="12">
        <v>1385</v>
      </c>
      <c r="F98" s="12">
        <v>2</v>
      </c>
      <c r="G98" s="13">
        <v>2.14</v>
      </c>
      <c r="H98" s="12">
        <v>1147</v>
      </c>
      <c r="I98" s="12">
        <v>647</v>
      </c>
      <c r="J98" s="12">
        <v>500</v>
      </c>
      <c r="K98" s="10">
        <v>43.56</v>
      </c>
      <c r="L98" s="13">
        <v>1.2074978199999999</v>
      </c>
    </row>
    <row r="99" spans="1:12" x14ac:dyDescent="0.15">
      <c r="A99" s="1">
        <v>59</v>
      </c>
      <c r="B99" s="10" t="s">
        <v>174</v>
      </c>
      <c r="C99" s="11">
        <v>2011</v>
      </c>
      <c r="D99" s="12">
        <v>540625</v>
      </c>
      <c r="E99" s="12">
        <v>532839</v>
      </c>
      <c r="F99" s="12">
        <v>7786</v>
      </c>
      <c r="G99" s="13">
        <v>2.42</v>
      </c>
      <c r="H99" s="12">
        <v>230936</v>
      </c>
      <c r="I99" s="12">
        <v>220545</v>
      </c>
      <c r="J99" s="12">
        <v>10391</v>
      </c>
      <c r="K99" s="10">
        <v>4.5</v>
      </c>
      <c r="L99" s="13">
        <v>2.3073015899999998</v>
      </c>
    </row>
    <row r="100" spans="1:12" x14ac:dyDescent="0.15">
      <c r="A100" s="1">
        <v>61</v>
      </c>
      <c r="B100" s="10" t="s">
        <v>175</v>
      </c>
      <c r="C100" s="11">
        <v>2011</v>
      </c>
      <c r="D100" s="12">
        <v>1383</v>
      </c>
      <c r="E100" s="12">
        <v>1367</v>
      </c>
      <c r="F100" s="12">
        <v>16</v>
      </c>
      <c r="G100" s="13">
        <v>2.25</v>
      </c>
      <c r="H100" s="12">
        <v>727</v>
      </c>
      <c r="I100" s="12">
        <v>607</v>
      </c>
      <c r="J100" s="12">
        <v>120</v>
      </c>
      <c r="K100" s="10">
        <v>16.53</v>
      </c>
      <c r="L100" s="13">
        <v>1.8803301240000001</v>
      </c>
    </row>
    <row r="101" spans="1:12" x14ac:dyDescent="0.15">
      <c r="A101" s="1">
        <v>63</v>
      </c>
      <c r="B101" s="10" t="s">
        <v>176</v>
      </c>
      <c r="C101" s="11">
        <v>2011</v>
      </c>
      <c r="D101" s="12">
        <v>8165</v>
      </c>
      <c r="E101" s="12">
        <v>7188</v>
      </c>
      <c r="F101" s="12">
        <v>977</v>
      </c>
      <c r="G101" s="13">
        <v>2.37</v>
      </c>
      <c r="H101" s="12">
        <v>3379</v>
      </c>
      <c r="I101" s="12">
        <v>3028</v>
      </c>
      <c r="J101" s="12">
        <v>351</v>
      </c>
      <c r="K101" s="10">
        <v>10.37</v>
      </c>
      <c r="L101" s="13">
        <v>2.127256585</v>
      </c>
    </row>
    <row r="102" spans="1:12" x14ac:dyDescent="0.15">
      <c r="A102" s="1">
        <v>65</v>
      </c>
      <c r="B102" s="10" t="s">
        <v>177</v>
      </c>
      <c r="C102" s="11">
        <v>2011</v>
      </c>
      <c r="D102" s="12">
        <v>7242</v>
      </c>
      <c r="E102" s="12">
        <v>7170</v>
      </c>
      <c r="F102" s="12">
        <v>72</v>
      </c>
      <c r="G102" s="13">
        <v>2.4300000000000002</v>
      </c>
      <c r="H102" s="12">
        <v>4272</v>
      </c>
      <c r="I102" s="12">
        <v>2956</v>
      </c>
      <c r="J102" s="12">
        <v>1316</v>
      </c>
      <c r="K102" s="10">
        <v>30.81</v>
      </c>
      <c r="L102" s="13">
        <v>1.678370787</v>
      </c>
    </row>
    <row r="103" spans="1:12" x14ac:dyDescent="0.15">
      <c r="A103" s="1">
        <v>67</v>
      </c>
      <c r="B103" s="10" t="s">
        <v>178</v>
      </c>
      <c r="C103" s="11">
        <v>2011</v>
      </c>
      <c r="D103" s="12">
        <v>51803</v>
      </c>
      <c r="E103" s="12">
        <v>50096</v>
      </c>
      <c r="F103" s="12">
        <v>1707</v>
      </c>
      <c r="G103" s="13">
        <v>2.35</v>
      </c>
      <c r="H103" s="12">
        <v>26063</v>
      </c>
      <c r="I103" s="12">
        <v>21354</v>
      </c>
      <c r="J103" s="12">
        <v>4709</v>
      </c>
      <c r="K103" s="10">
        <v>18.07</v>
      </c>
      <c r="L103" s="13">
        <v>1.922111806</v>
      </c>
    </row>
    <row r="104" spans="1:12" x14ac:dyDescent="0.15">
      <c r="A104" s="1">
        <v>69</v>
      </c>
      <c r="B104" s="10" t="s">
        <v>179</v>
      </c>
      <c r="C104" s="11">
        <v>2011</v>
      </c>
      <c r="D104" s="12">
        <v>305342</v>
      </c>
      <c r="E104" s="12">
        <v>296781</v>
      </c>
      <c r="F104" s="12">
        <v>8561</v>
      </c>
      <c r="G104" s="13">
        <v>2.42</v>
      </c>
      <c r="H104" s="12">
        <v>134606</v>
      </c>
      <c r="I104" s="12">
        <v>122705</v>
      </c>
      <c r="J104" s="12">
        <v>11901</v>
      </c>
      <c r="K104" s="10">
        <v>8.84</v>
      </c>
      <c r="L104" s="13">
        <v>2.204812564</v>
      </c>
    </row>
    <row r="105" spans="1:12" x14ac:dyDescent="0.15">
      <c r="A105" s="1">
        <v>71</v>
      </c>
      <c r="B105" s="10" t="s">
        <v>180</v>
      </c>
      <c r="C105" s="11">
        <v>2011</v>
      </c>
      <c r="D105" s="12">
        <v>15325</v>
      </c>
      <c r="E105" s="12">
        <v>14483</v>
      </c>
      <c r="F105" s="12">
        <v>842</v>
      </c>
      <c r="G105" s="13">
        <v>2.2799999999999998</v>
      </c>
      <c r="H105" s="12">
        <v>7712</v>
      </c>
      <c r="I105" s="12">
        <v>6344</v>
      </c>
      <c r="J105" s="12">
        <v>1368</v>
      </c>
      <c r="K105" s="10">
        <v>17.739999999999998</v>
      </c>
      <c r="L105" s="13">
        <v>1.877982365</v>
      </c>
    </row>
    <row r="106" spans="1:12" x14ac:dyDescent="0.15">
      <c r="A106" s="1">
        <v>73</v>
      </c>
      <c r="B106" s="10" t="s">
        <v>181</v>
      </c>
      <c r="C106" s="11">
        <v>2011</v>
      </c>
      <c r="D106" s="12">
        <v>5488</v>
      </c>
      <c r="E106" s="12">
        <v>4462</v>
      </c>
      <c r="F106" s="12">
        <v>1026</v>
      </c>
      <c r="G106" s="13">
        <v>2.29</v>
      </c>
      <c r="H106" s="12">
        <v>2243</v>
      </c>
      <c r="I106" s="12">
        <v>1950</v>
      </c>
      <c r="J106" s="12">
        <v>293</v>
      </c>
      <c r="K106" s="10">
        <v>13.06</v>
      </c>
      <c r="L106" s="13">
        <v>1.989300045</v>
      </c>
    </row>
    <row r="107" spans="1:12" x14ac:dyDescent="0.15">
      <c r="A107" s="1">
        <v>75</v>
      </c>
      <c r="B107" s="10" t="s">
        <v>182</v>
      </c>
      <c r="C107" s="11">
        <v>2011</v>
      </c>
      <c r="D107" s="12">
        <v>22210</v>
      </c>
      <c r="E107" s="12">
        <v>18777</v>
      </c>
      <c r="F107" s="12">
        <v>3433</v>
      </c>
      <c r="G107" s="13">
        <v>2.34</v>
      </c>
      <c r="H107" s="12">
        <v>8503</v>
      </c>
      <c r="I107" s="12">
        <v>8041</v>
      </c>
      <c r="J107" s="12">
        <v>462</v>
      </c>
      <c r="K107" s="10">
        <v>5.43</v>
      </c>
      <c r="L107" s="13">
        <v>2.2082794309999998</v>
      </c>
    </row>
    <row r="108" spans="1:12" x14ac:dyDescent="0.15">
      <c r="A108" s="1">
        <v>77</v>
      </c>
      <c r="B108" s="10" t="s">
        <v>183</v>
      </c>
      <c r="C108" s="11">
        <v>2011</v>
      </c>
      <c r="D108" s="12">
        <v>147957</v>
      </c>
      <c r="E108" s="12">
        <v>143425</v>
      </c>
      <c r="F108" s="12">
        <v>4532</v>
      </c>
      <c r="G108" s="13">
        <v>2.46</v>
      </c>
      <c r="H108" s="12">
        <v>63269</v>
      </c>
      <c r="I108" s="12">
        <v>58381</v>
      </c>
      <c r="J108" s="12">
        <v>4888</v>
      </c>
      <c r="K108" s="10">
        <v>7.73</v>
      </c>
      <c r="L108" s="13">
        <v>2.2669079640000001</v>
      </c>
    </row>
    <row r="109" spans="1:12" x14ac:dyDescent="0.15">
      <c r="A109" s="1">
        <v>79</v>
      </c>
      <c r="B109" s="10" t="s">
        <v>184</v>
      </c>
      <c r="C109" s="11">
        <v>2011</v>
      </c>
      <c r="D109" s="12">
        <v>712</v>
      </c>
      <c r="E109" s="12">
        <v>712</v>
      </c>
      <c r="F109" s="12">
        <v>0</v>
      </c>
      <c r="G109" s="13">
        <v>2.0099999999999998</v>
      </c>
      <c r="H109" s="12">
        <v>1102</v>
      </c>
      <c r="I109" s="12">
        <v>354</v>
      </c>
      <c r="J109" s="12">
        <v>748</v>
      </c>
      <c r="K109" s="10">
        <v>67.89</v>
      </c>
      <c r="L109" s="13">
        <v>0.64609800399999995</v>
      </c>
    </row>
    <row r="110" spans="1:12" x14ac:dyDescent="0.15">
      <c r="A110" s="1">
        <v>81</v>
      </c>
      <c r="B110" s="10" t="s">
        <v>185</v>
      </c>
      <c r="C110" s="11">
        <v>2011</v>
      </c>
      <c r="D110" s="12">
        <v>13452</v>
      </c>
      <c r="E110" s="12">
        <v>13348</v>
      </c>
      <c r="F110" s="12">
        <v>104</v>
      </c>
      <c r="G110" s="13">
        <v>2.5</v>
      </c>
      <c r="H110" s="12">
        <v>5969</v>
      </c>
      <c r="I110" s="12">
        <v>5337</v>
      </c>
      <c r="J110" s="12">
        <v>632</v>
      </c>
      <c r="K110" s="10">
        <v>10.58</v>
      </c>
      <c r="L110" s="13">
        <v>2.2362204719999998</v>
      </c>
    </row>
    <row r="111" spans="1:12" x14ac:dyDescent="0.15">
      <c r="A111" s="1">
        <v>83</v>
      </c>
      <c r="B111" s="10" t="s">
        <v>186</v>
      </c>
      <c r="C111" s="11">
        <v>2011</v>
      </c>
      <c r="D111" s="12">
        <v>25519</v>
      </c>
      <c r="E111" s="12">
        <v>25277</v>
      </c>
      <c r="F111" s="12">
        <v>242</v>
      </c>
      <c r="G111" s="13">
        <v>2.4</v>
      </c>
      <c r="H111" s="12">
        <v>11943</v>
      </c>
      <c r="I111" s="12">
        <v>10548</v>
      </c>
      <c r="J111" s="12">
        <v>1395</v>
      </c>
      <c r="K111" s="10">
        <v>11.68</v>
      </c>
      <c r="L111" s="13">
        <v>2.1164698990000002</v>
      </c>
    </row>
    <row r="112" spans="1:12" x14ac:dyDescent="0.15">
      <c r="A112" s="1">
        <v>85</v>
      </c>
      <c r="B112" s="10" t="s">
        <v>187</v>
      </c>
      <c r="C112" s="11">
        <v>2011</v>
      </c>
      <c r="D112" s="12">
        <v>41260</v>
      </c>
      <c r="E112" s="12">
        <v>40707</v>
      </c>
      <c r="F112" s="12">
        <v>554</v>
      </c>
      <c r="G112" s="13">
        <v>2.46</v>
      </c>
      <c r="H112" s="12">
        <v>17315</v>
      </c>
      <c r="I112" s="12">
        <v>16521</v>
      </c>
      <c r="J112" s="12">
        <v>794</v>
      </c>
      <c r="K112" s="10">
        <v>4.59</v>
      </c>
      <c r="L112" s="13">
        <v>2.3509673690000001</v>
      </c>
    </row>
    <row r="113" spans="1:12" x14ac:dyDescent="0.15">
      <c r="A113" s="1">
        <v>87</v>
      </c>
      <c r="B113" s="10" t="s">
        <v>188</v>
      </c>
      <c r="C113" s="11">
        <v>2011</v>
      </c>
      <c r="D113" s="12">
        <v>28430</v>
      </c>
      <c r="E113" s="12">
        <v>27876</v>
      </c>
      <c r="F113" s="12">
        <v>554</v>
      </c>
      <c r="G113" s="13">
        <v>2.7</v>
      </c>
      <c r="H113" s="12">
        <v>10972</v>
      </c>
      <c r="I113" s="12">
        <v>10311</v>
      </c>
      <c r="J113" s="12">
        <v>661</v>
      </c>
      <c r="K113" s="10">
        <v>6.02</v>
      </c>
      <c r="L113" s="13">
        <v>2.5406489250000002</v>
      </c>
    </row>
    <row r="114" spans="1:12" x14ac:dyDescent="0.15">
      <c r="A114" s="1">
        <v>89</v>
      </c>
      <c r="B114" s="10" t="s">
        <v>189</v>
      </c>
      <c r="C114" s="11">
        <v>2011</v>
      </c>
      <c r="D114" s="12">
        <v>18831</v>
      </c>
      <c r="E114" s="12">
        <v>18400</v>
      </c>
      <c r="F114" s="12">
        <v>432</v>
      </c>
      <c r="G114" s="13">
        <v>2.38</v>
      </c>
      <c r="H114" s="12">
        <v>8690</v>
      </c>
      <c r="I114" s="12">
        <v>7729</v>
      </c>
      <c r="J114" s="12">
        <v>961</v>
      </c>
      <c r="K114" s="10">
        <v>11.06</v>
      </c>
      <c r="L114" s="13">
        <v>2.1173762950000001</v>
      </c>
    </row>
    <row r="115" spans="1:12" x14ac:dyDescent="0.15">
      <c r="A115" s="1">
        <v>91</v>
      </c>
      <c r="B115" s="10" t="s">
        <v>190</v>
      </c>
      <c r="C115" s="11">
        <v>2011</v>
      </c>
      <c r="D115" s="12">
        <v>4404</v>
      </c>
      <c r="E115" s="12">
        <v>4404</v>
      </c>
      <c r="F115" s="12">
        <v>0</v>
      </c>
      <c r="G115" s="13">
        <v>2.19</v>
      </c>
      <c r="H115" s="12">
        <v>3097</v>
      </c>
      <c r="I115" s="12">
        <v>2013</v>
      </c>
      <c r="J115" s="12">
        <v>1084</v>
      </c>
      <c r="K115" s="10">
        <v>35</v>
      </c>
      <c r="L115" s="13">
        <v>1.422021311</v>
      </c>
    </row>
    <row r="116" spans="1:12" x14ac:dyDescent="0.15">
      <c r="A116" s="1">
        <v>93</v>
      </c>
      <c r="B116" s="10" t="s">
        <v>191</v>
      </c>
      <c r="C116" s="11">
        <v>2011</v>
      </c>
      <c r="D116" s="12">
        <v>15896</v>
      </c>
      <c r="E116" s="12">
        <v>15811</v>
      </c>
      <c r="F116" s="12">
        <v>85</v>
      </c>
      <c r="G116" s="13">
        <v>2.2400000000000002</v>
      </c>
      <c r="H116" s="12">
        <v>13803</v>
      </c>
      <c r="I116" s="12">
        <v>7047</v>
      </c>
      <c r="J116" s="12">
        <v>6756</v>
      </c>
      <c r="K116" s="10">
        <v>48.95</v>
      </c>
      <c r="L116" s="13">
        <v>1.1454756210000001</v>
      </c>
    </row>
    <row r="117" spans="1:12" x14ac:dyDescent="0.15">
      <c r="A117" s="1">
        <v>95</v>
      </c>
      <c r="B117" s="10" t="s">
        <v>192</v>
      </c>
      <c r="C117" s="11">
        <v>2011</v>
      </c>
      <c r="D117" s="12">
        <v>4473</v>
      </c>
      <c r="E117" s="12">
        <v>4412</v>
      </c>
      <c r="F117" s="12">
        <v>61</v>
      </c>
      <c r="G117" s="13">
        <v>2.41</v>
      </c>
      <c r="H117" s="12">
        <v>1948</v>
      </c>
      <c r="I117" s="12">
        <v>1829</v>
      </c>
      <c r="J117" s="12">
        <v>119</v>
      </c>
      <c r="K117" s="10">
        <v>6.13</v>
      </c>
      <c r="L117" s="13">
        <v>2.2648870639999998</v>
      </c>
    </row>
    <row r="118" spans="1:12" x14ac:dyDescent="0.15">
      <c r="A118" s="1">
        <v>97</v>
      </c>
      <c r="B118" s="10" t="s">
        <v>193</v>
      </c>
      <c r="C118" s="11">
        <v>2011</v>
      </c>
      <c r="D118" s="12">
        <v>17128</v>
      </c>
      <c r="E118" s="12">
        <v>17056</v>
      </c>
      <c r="F118" s="12">
        <v>72</v>
      </c>
      <c r="G118" s="13">
        <v>2.1</v>
      </c>
      <c r="H118" s="12">
        <v>12567</v>
      </c>
      <c r="I118" s="12">
        <v>8120</v>
      </c>
      <c r="J118" s="12">
        <v>4447</v>
      </c>
      <c r="K118" s="10">
        <v>35.39</v>
      </c>
      <c r="L118" s="13">
        <v>1.357205379</v>
      </c>
    </row>
    <row r="119" spans="1:12" x14ac:dyDescent="0.15">
      <c r="A119" s="1">
        <v>99</v>
      </c>
      <c r="B119" s="10" t="s">
        <v>194</v>
      </c>
      <c r="C119" s="11">
        <v>2011</v>
      </c>
      <c r="D119" s="12">
        <v>12478</v>
      </c>
      <c r="E119" s="12">
        <v>12158</v>
      </c>
      <c r="F119" s="12">
        <v>320</v>
      </c>
      <c r="G119" s="13">
        <v>2.48</v>
      </c>
      <c r="H119" s="12">
        <v>5422</v>
      </c>
      <c r="I119" s="12">
        <v>4899</v>
      </c>
      <c r="J119" s="12">
        <v>523</v>
      </c>
      <c r="K119" s="10">
        <v>9.64</v>
      </c>
      <c r="L119" s="13">
        <v>2.2423459979999998</v>
      </c>
    </row>
    <row r="120" spans="1:12" x14ac:dyDescent="0.15">
      <c r="A120" s="1">
        <v>101</v>
      </c>
      <c r="B120" s="10" t="s">
        <v>195</v>
      </c>
      <c r="C120" s="11">
        <v>2011</v>
      </c>
      <c r="D120" s="12">
        <v>159838</v>
      </c>
      <c r="E120" s="12">
        <v>155934</v>
      </c>
      <c r="F120" s="12">
        <v>3904</v>
      </c>
      <c r="G120" s="13">
        <v>2.46</v>
      </c>
      <c r="H120" s="12">
        <v>69825</v>
      </c>
      <c r="I120" s="12">
        <v>63467</v>
      </c>
      <c r="J120" s="12">
        <v>6358</v>
      </c>
      <c r="K120" s="10">
        <v>9.11</v>
      </c>
      <c r="L120" s="13">
        <v>2.2332116000000002</v>
      </c>
    </row>
    <row r="121" spans="1:12" x14ac:dyDescent="0.15">
      <c r="A121" s="1">
        <v>103</v>
      </c>
      <c r="B121" s="10" t="s">
        <v>196</v>
      </c>
      <c r="C121" s="11">
        <v>2011</v>
      </c>
      <c r="D121" s="12">
        <v>6736</v>
      </c>
      <c r="E121" s="12">
        <v>6369</v>
      </c>
      <c r="F121" s="12">
        <v>367</v>
      </c>
      <c r="G121" s="13">
        <v>2.4300000000000002</v>
      </c>
      <c r="H121" s="12">
        <v>3195</v>
      </c>
      <c r="I121" s="12">
        <v>2620</v>
      </c>
      <c r="J121" s="12">
        <v>575</v>
      </c>
      <c r="K121" s="10">
        <v>17.98</v>
      </c>
      <c r="L121" s="13">
        <v>1.99342723</v>
      </c>
    </row>
    <row r="122" spans="1:12" x14ac:dyDescent="0.15">
      <c r="A122" s="1">
        <v>105</v>
      </c>
      <c r="B122" s="10" t="s">
        <v>197</v>
      </c>
      <c r="C122" s="11">
        <v>2011</v>
      </c>
      <c r="D122" s="12">
        <v>11957</v>
      </c>
      <c r="E122" s="12">
        <v>11765</v>
      </c>
      <c r="F122" s="12">
        <v>192</v>
      </c>
      <c r="G122" s="13">
        <v>2.46</v>
      </c>
      <c r="H122" s="12">
        <v>6301</v>
      </c>
      <c r="I122" s="12">
        <v>4788</v>
      </c>
      <c r="J122" s="12">
        <v>1513</v>
      </c>
      <c r="K122" s="10">
        <v>24.02</v>
      </c>
      <c r="L122" s="13">
        <v>1.8671639419999999</v>
      </c>
    </row>
    <row r="123" spans="1:12" x14ac:dyDescent="0.15">
      <c r="A123" s="1">
        <v>107</v>
      </c>
      <c r="B123" s="10" t="s">
        <v>198</v>
      </c>
      <c r="C123" s="11">
        <v>2011</v>
      </c>
      <c r="D123" s="12">
        <v>23485</v>
      </c>
      <c r="E123" s="12">
        <v>23148</v>
      </c>
      <c r="F123" s="12">
        <v>337</v>
      </c>
      <c r="G123" s="13">
        <v>2.34</v>
      </c>
      <c r="H123" s="12">
        <v>15617</v>
      </c>
      <c r="I123" s="12">
        <v>9876</v>
      </c>
      <c r="J123" s="12">
        <v>5741</v>
      </c>
      <c r="K123" s="10">
        <v>36.76</v>
      </c>
      <c r="L123" s="13">
        <v>1.482230902</v>
      </c>
    </row>
    <row r="124" spans="1:12" x14ac:dyDescent="0.15">
      <c r="A124" s="1">
        <v>109</v>
      </c>
      <c r="B124" s="10" t="s">
        <v>199</v>
      </c>
      <c r="C124" s="11">
        <v>2011</v>
      </c>
      <c r="D124" s="12">
        <v>6156</v>
      </c>
      <c r="E124" s="12">
        <v>6136</v>
      </c>
      <c r="F124" s="12">
        <v>20</v>
      </c>
      <c r="G124" s="13">
        <v>2.2999999999999998</v>
      </c>
      <c r="H124" s="12">
        <v>3266</v>
      </c>
      <c r="I124" s="12">
        <v>2665</v>
      </c>
      <c r="J124" s="12">
        <v>601</v>
      </c>
      <c r="K124" s="10">
        <v>18.39</v>
      </c>
      <c r="L124" s="13">
        <v>1.8787507649999999</v>
      </c>
    </row>
    <row r="125" spans="1:12" x14ac:dyDescent="0.15">
      <c r="A125" s="1">
        <v>111</v>
      </c>
      <c r="B125" s="10" t="s">
        <v>200</v>
      </c>
      <c r="C125" s="11">
        <v>2011</v>
      </c>
      <c r="D125" s="12">
        <v>706</v>
      </c>
      <c r="E125" s="12">
        <v>706</v>
      </c>
      <c r="F125" s="12">
        <v>0</v>
      </c>
      <c r="G125" s="13">
        <v>2.02</v>
      </c>
      <c r="H125" s="12">
        <v>740</v>
      </c>
      <c r="I125" s="12">
        <v>349</v>
      </c>
      <c r="J125" s="12">
        <v>391</v>
      </c>
      <c r="K125" s="10">
        <v>52.77</v>
      </c>
      <c r="L125" s="13">
        <v>0.95405405399999998</v>
      </c>
    </row>
    <row r="126" spans="1:12" x14ac:dyDescent="0.15">
      <c r="A126" s="1">
        <v>113</v>
      </c>
      <c r="B126" s="10" t="s">
        <v>201</v>
      </c>
      <c r="C126" s="11">
        <v>2011</v>
      </c>
      <c r="D126" s="12">
        <v>7486</v>
      </c>
      <c r="E126" s="12">
        <v>7405</v>
      </c>
      <c r="F126" s="12">
        <v>81</v>
      </c>
      <c r="G126" s="13">
        <v>2.14</v>
      </c>
      <c r="H126" s="12">
        <v>6190</v>
      </c>
      <c r="I126" s="12">
        <v>3460</v>
      </c>
      <c r="J126" s="12">
        <v>2730</v>
      </c>
      <c r="K126" s="10">
        <v>44.1</v>
      </c>
      <c r="L126" s="13">
        <v>1.1962843299999999</v>
      </c>
    </row>
    <row r="127" spans="1:12" x14ac:dyDescent="0.15">
      <c r="A127" s="1">
        <v>115</v>
      </c>
      <c r="B127" s="10" t="s">
        <v>202</v>
      </c>
      <c r="C127" s="11">
        <v>2011</v>
      </c>
      <c r="D127" s="12">
        <v>2371</v>
      </c>
      <c r="E127" s="12">
        <v>2335</v>
      </c>
      <c r="F127" s="12">
        <v>36</v>
      </c>
      <c r="G127" s="13">
        <v>2.15</v>
      </c>
      <c r="H127" s="12">
        <v>1325</v>
      </c>
      <c r="I127" s="12">
        <v>1086</v>
      </c>
      <c r="J127" s="12">
        <v>239</v>
      </c>
      <c r="K127" s="10">
        <v>18.04</v>
      </c>
      <c r="L127" s="13">
        <v>1.7622641509999999</v>
      </c>
    </row>
    <row r="128" spans="1:12" x14ac:dyDescent="0.15">
      <c r="A128" s="1">
        <v>117</v>
      </c>
      <c r="B128" s="10" t="s">
        <v>203</v>
      </c>
      <c r="C128" s="11">
        <v>2011</v>
      </c>
      <c r="D128" s="12">
        <v>28087</v>
      </c>
      <c r="E128" s="12">
        <v>27786</v>
      </c>
      <c r="F128" s="12">
        <v>301</v>
      </c>
      <c r="G128" s="13">
        <v>2.36</v>
      </c>
      <c r="H128" s="12">
        <v>29866</v>
      </c>
      <c r="I128" s="12">
        <v>11781</v>
      </c>
      <c r="J128" s="12">
        <v>18085</v>
      </c>
      <c r="K128" s="10">
        <v>60.55</v>
      </c>
      <c r="L128" s="13">
        <v>0.93035558799999996</v>
      </c>
    </row>
    <row r="129" spans="1:12" x14ac:dyDescent="0.15">
      <c r="A129" s="1">
        <v>119</v>
      </c>
      <c r="B129" s="10" t="s">
        <v>204</v>
      </c>
      <c r="C129" s="11">
        <v>2011</v>
      </c>
      <c r="D129" s="12">
        <v>23268</v>
      </c>
      <c r="E129" s="12">
        <v>23131</v>
      </c>
      <c r="F129" s="12">
        <v>137</v>
      </c>
      <c r="G129" s="13">
        <v>2.36</v>
      </c>
      <c r="H129" s="12">
        <v>12663</v>
      </c>
      <c r="I129" s="12">
        <v>9793</v>
      </c>
      <c r="J129" s="12">
        <v>2870</v>
      </c>
      <c r="K129" s="10">
        <v>22.66</v>
      </c>
      <c r="L129" s="13">
        <v>1.826660349</v>
      </c>
    </row>
    <row r="130" spans="1:12" x14ac:dyDescent="0.15">
      <c r="A130" s="1">
        <v>121</v>
      </c>
      <c r="B130" s="10" t="s">
        <v>205</v>
      </c>
      <c r="C130" s="11">
        <v>2011</v>
      </c>
      <c r="D130" s="12">
        <v>4608</v>
      </c>
      <c r="E130" s="12">
        <v>4489</v>
      </c>
      <c r="F130" s="12">
        <v>119</v>
      </c>
      <c r="G130" s="13">
        <v>2.35</v>
      </c>
      <c r="H130" s="12">
        <v>2187</v>
      </c>
      <c r="I130" s="12">
        <v>1914</v>
      </c>
      <c r="J130" s="12">
        <v>273</v>
      </c>
      <c r="K130" s="10">
        <v>12.47</v>
      </c>
      <c r="L130" s="13">
        <v>2.052583448</v>
      </c>
    </row>
    <row r="131" spans="1:12" x14ac:dyDescent="0.15">
      <c r="A131" s="1">
        <v>123</v>
      </c>
      <c r="B131" s="10" t="s">
        <v>206</v>
      </c>
      <c r="C131" s="11">
        <v>2011</v>
      </c>
      <c r="D131" s="12">
        <v>258702</v>
      </c>
      <c r="E131" s="12">
        <v>252808</v>
      </c>
      <c r="F131" s="12">
        <v>5894</v>
      </c>
      <c r="G131" s="13">
        <v>2.77</v>
      </c>
      <c r="H131" s="12">
        <v>97321</v>
      </c>
      <c r="I131" s="12">
        <v>91197</v>
      </c>
      <c r="J131" s="12">
        <v>6124</v>
      </c>
      <c r="K131" s="10">
        <v>6.29</v>
      </c>
      <c r="L131" s="13">
        <v>2.5976716230000001</v>
      </c>
    </row>
    <row r="132" spans="1:12" x14ac:dyDescent="0.15">
      <c r="A132" s="1">
        <v>125</v>
      </c>
      <c r="B132" s="10" t="s">
        <v>207</v>
      </c>
      <c r="C132" s="11">
        <v>2011</v>
      </c>
      <c r="D132" s="12">
        <v>10111</v>
      </c>
      <c r="E132" s="12">
        <v>9832</v>
      </c>
      <c r="F132" s="12">
        <v>279</v>
      </c>
      <c r="G132" s="13">
        <v>2.5</v>
      </c>
      <c r="H132" s="12">
        <v>4237</v>
      </c>
      <c r="I132" s="12">
        <v>3938</v>
      </c>
      <c r="J132" s="12">
        <v>299</v>
      </c>
      <c r="K132" s="10">
        <v>7.07</v>
      </c>
      <c r="L132" s="13">
        <v>2.320509795</v>
      </c>
    </row>
    <row r="133" spans="1:12" x14ac:dyDescent="0.15">
      <c r="A133" s="1">
        <v>0</v>
      </c>
      <c r="B133" s="10" t="s">
        <v>143</v>
      </c>
      <c r="C133" s="11">
        <v>2012</v>
      </c>
      <c r="D133" s="12">
        <v>5194662</v>
      </c>
      <c r="E133" s="12">
        <v>5075290</v>
      </c>
      <c r="F133" s="12">
        <v>119372</v>
      </c>
      <c r="G133" s="13">
        <v>2.4900000000000002</v>
      </c>
      <c r="H133" s="12">
        <v>2230882</v>
      </c>
      <c r="I133" s="12">
        <v>2036224</v>
      </c>
      <c r="J133" s="12">
        <v>194658</v>
      </c>
      <c r="K133" s="10">
        <v>8.73</v>
      </c>
      <c r="L133" s="13">
        <v>2.2750149940000002</v>
      </c>
    </row>
    <row r="134" spans="1:12" x14ac:dyDescent="0.15">
      <c r="A134" s="1">
        <v>1</v>
      </c>
      <c r="B134" s="10" t="s">
        <v>144</v>
      </c>
      <c r="C134" s="11">
        <v>2012</v>
      </c>
      <c r="D134" s="12">
        <v>460468</v>
      </c>
      <c r="E134" s="12">
        <v>456411</v>
      </c>
      <c r="F134" s="12">
        <v>4057</v>
      </c>
      <c r="G134" s="13">
        <v>2.85</v>
      </c>
      <c r="H134" s="12">
        <v>165858</v>
      </c>
      <c r="I134" s="12">
        <v>159932</v>
      </c>
      <c r="J134" s="12">
        <v>5926</v>
      </c>
      <c r="K134" s="10">
        <v>3.57</v>
      </c>
      <c r="L134" s="13">
        <v>2.7518178199999999</v>
      </c>
    </row>
    <row r="135" spans="1:12" x14ac:dyDescent="0.15">
      <c r="A135" s="1">
        <v>3</v>
      </c>
      <c r="B135" s="10" t="s">
        <v>145</v>
      </c>
      <c r="C135" s="11">
        <v>2012</v>
      </c>
      <c r="D135" s="12">
        <v>15604</v>
      </c>
      <c r="E135" s="12">
        <v>14864</v>
      </c>
      <c r="F135" s="12">
        <v>740</v>
      </c>
      <c r="G135" s="13">
        <v>2.4500000000000002</v>
      </c>
      <c r="H135" s="12">
        <v>6636</v>
      </c>
      <c r="I135" s="12">
        <v>6075</v>
      </c>
      <c r="J135" s="12">
        <v>561</v>
      </c>
      <c r="K135" s="10">
        <v>8.4499999999999993</v>
      </c>
      <c r="L135" s="13">
        <v>2.2399035559999998</v>
      </c>
    </row>
    <row r="136" spans="1:12" x14ac:dyDescent="0.15">
      <c r="A136" s="1">
        <v>5</v>
      </c>
      <c r="B136" s="10" t="s">
        <v>146</v>
      </c>
      <c r="C136" s="11">
        <v>2012</v>
      </c>
      <c r="D136" s="12">
        <v>596228</v>
      </c>
      <c r="E136" s="12">
        <v>591240</v>
      </c>
      <c r="F136" s="12">
        <v>4988</v>
      </c>
      <c r="G136" s="13">
        <v>2.54</v>
      </c>
      <c r="H136" s="12">
        <v>241137</v>
      </c>
      <c r="I136" s="12">
        <v>232344</v>
      </c>
      <c r="J136" s="12">
        <v>8793</v>
      </c>
      <c r="K136" s="10">
        <v>3.65</v>
      </c>
      <c r="L136" s="13">
        <v>2.4518841990000002</v>
      </c>
    </row>
    <row r="137" spans="1:12" x14ac:dyDescent="0.15">
      <c r="A137" s="1">
        <v>7</v>
      </c>
      <c r="B137" s="10" t="s">
        <v>147</v>
      </c>
      <c r="C137" s="11">
        <v>2012</v>
      </c>
      <c r="D137" s="12">
        <v>11990</v>
      </c>
      <c r="E137" s="12">
        <v>11869</v>
      </c>
      <c r="F137" s="12">
        <v>121</v>
      </c>
      <c r="G137" s="13">
        <v>2.27</v>
      </c>
      <c r="H137" s="12">
        <v>8807</v>
      </c>
      <c r="I137" s="12">
        <v>5220</v>
      </c>
      <c r="J137" s="12">
        <v>3587</v>
      </c>
      <c r="K137" s="10">
        <v>40.729999999999997</v>
      </c>
      <c r="L137" s="13">
        <v>1.3476779830000001</v>
      </c>
    </row>
    <row r="138" spans="1:12" x14ac:dyDescent="0.15">
      <c r="A138" s="1">
        <v>9</v>
      </c>
      <c r="B138" s="10" t="s">
        <v>148</v>
      </c>
      <c r="C138" s="11">
        <v>2012</v>
      </c>
      <c r="D138" s="12">
        <v>3704</v>
      </c>
      <c r="E138" s="12">
        <v>3631</v>
      </c>
      <c r="F138" s="12">
        <v>73</v>
      </c>
      <c r="G138" s="13">
        <v>2.2200000000000002</v>
      </c>
      <c r="H138" s="12">
        <v>1968</v>
      </c>
      <c r="I138" s="12">
        <v>1634</v>
      </c>
      <c r="J138" s="12">
        <v>334</v>
      </c>
      <c r="K138" s="10">
        <v>16.97</v>
      </c>
      <c r="L138" s="13">
        <v>1.8450203249999999</v>
      </c>
    </row>
    <row r="139" spans="1:12" x14ac:dyDescent="0.15">
      <c r="A139" s="1">
        <v>11</v>
      </c>
      <c r="B139" s="10" t="s">
        <v>149</v>
      </c>
      <c r="C139" s="11">
        <v>2012</v>
      </c>
      <c r="D139" s="12">
        <v>5864</v>
      </c>
      <c r="E139" s="12">
        <v>4178</v>
      </c>
      <c r="F139" s="12">
        <v>1686</v>
      </c>
      <c r="G139" s="13">
        <v>2.33</v>
      </c>
      <c r="H139" s="12">
        <v>2118</v>
      </c>
      <c r="I139" s="12">
        <v>1794</v>
      </c>
      <c r="J139" s="12">
        <v>324</v>
      </c>
      <c r="K139" s="10">
        <v>15.31</v>
      </c>
      <c r="L139" s="13">
        <v>1.9726156749999999</v>
      </c>
    </row>
    <row r="140" spans="1:12" x14ac:dyDescent="0.15">
      <c r="A140" s="1">
        <v>13</v>
      </c>
      <c r="B140" s="10" t="s">
        <v>150</v>
      </c>
      <c r="C140" s="11">
        <v>2012</v>
      </c>
      <c r="D140" s="12">
        <v>305881</v>
      </c>
      <c r="E140" s="12">
        <v>294996</v>
      </c>
      <c r="F140" s="12">
        <v>10885</v>
      </c>
      <c r="G140" s="13">
        <v>2.39</v>
      </c>
      <c r="H140" s="12">
        <v>128405</v>
      </c>
      <c r="I140" s="12">
        <v>123381</v>
      </c>
      <c r="J140" s="12">
        <v>5024</v>
      </c>
      <c r="K140" s="10">
        <v>3.91</v>
      </c>
      <c r="L140" s="13">
        <v>2.2973871730000002</v>
      </c>
    </row>
    <row r="141" spans="1:12" x14ac:dyDescent="0.15">
      <c r="A141" s="1">
        <v>14</v>
      </c>
      <c r="B141" s="10" t="s">
        <v>151</v>
      </c>
      <c r="C141" s="11">
        <v>2012</v>
      </c>
      <c r="D141" s="12">
        <v>59271</v>
      </c>
      <c r="E141" s="12">
        <v>59001</v>
      </c>
      <c r="F141" s="12">
        <v>270</v>
      </c>
      <c r="G141" s="13">
        <v>2.57</v>
      </c>
      <c r="H141" s="12">
        <v>23426</v>
      </c>
      <c r="I141" s="12">
        <v>22927</v>
      </c>
      <c r="J141" s="12">
        <v>499</v>
      </c>
      <c r="K141" s="10">
        <v>2.13</v>
      </c>
      <c r="L141" s="13">
        <v>2.5186117989999999</v>
      </c>
    </row>
    <row r="142" spans="1:12" x14ac:dyDescent="0.15">
      <c r="A142" s="1">
        <v>15</v>
      </c>
      <c r="B142" s="10" t="s">
        <v>152</v>
      </c>
      <c r="C142" s="11">
        <v>2012</v>
      </c>
      <c r="D142" s="12">
        <v>17967</v>
      </c>
      <c r="E142" s="12">
        <v>16497</v>
      </c>
      <c r="F142" s="12">
        <v>1470</v>
      </c>
      <c r="G142" s="13">
        <v>2.16</v>
      </c>
      <c r="H142" s="12">
        <v>10056</v>
      </c>
      <c r="I142" s="12">
        <v>7654</v>
      </c>
      <c r="J142" s="12">
        <v>2402</v>
      </c>
      <c r="K142" s="10">
        <v>23.89</v>
      </c>
      <c r="L142" s="13">
        <v>1.6405131260000001</v>
      </c>
    </row>
    <row r="143" spans="1:12" x14ac:dyDescent="0.15">
      <c r="A143" s="1">
        <v>17</v>
      </c>
      <c r="B143" s="10" t="s">
        <v>153</v>
      </c>
      <c r="C143" s="11">
        <v>2012</v>
      </c>
      <c r="D143" s="12">
        <v>1832</v>
      </c>
      <c r="E143" s="12">
        <v>1790</v>
      </c>
      <c r="F143" s="12">
        <v>42</v>
      </c>
      <c r="G143" s="13">
        <v>2.29</v>
      </c>
      <c r="H143" s="12">
        <v>869</v>
      </c>
      <c r="I143" s="12">
        <v>783</v>
      </c>
      <c r="J143" s="12">
        <v>86</v>
      </c>
      <c r="K143" s="10">
        <v>9.89</v>
      </c>
      <c r="L143" s="13">
        <v>2.0598388949999999</v>
      </c>
    </row>
    <row r="144" spans="1:12" x14ac:dyDescent="0.15">
      <c r="A144" s="1">
        <v>19</v>
      </c>
      <c r="B144" s="10" t="s">
        <v>154</v>
      </c>
      <c r="C144" s="11">
        <v>2012</v>
      </c>
      <c r="D144" s="12">
        <v>9016</v>
      </c>
      <c r="E144" s="12">
        <v>8895</v>
      </c>
      <c r="F144" s="12">
        <v>121</v>
      </c>
      <c r="G144" s="13">
        <v>2.14</v>
      </c>
      <c r="H144" s="12">
        <v>5501</v>
      </c>
      <c r="I144" s="12">
        <v>4163</v>
      </c>
      <c r="J144" s="12">
        <v>1338</v>
      </c>
      <c r="K144" s="10">
        <v>24.33</v>
      </c>
      <c r="L144" s="13">
        <v>1.6169787309999999</v>
      </c>
    </row>
    <row r="145" spans="1:12" x14ac:dyDescent="0.15">
      <c r="A145" s="1">
        <v>21</v>
      </c>
      <c r="B145" s="10" t="s">
        <v>155</v>
      </c>
      <c r="C145" s="11">
        <v>2012</v>
      </c>
      <c r="D145" s="12">
        <v>8134</v>
      </c>
      <c r="E145" s="12">
        <v>8093</v>
      </c>
      <c r="F145" s="12">
        <v>41</v>
      </c>
      <c r="G145" s="13">
        <v>2.62</v>
      </c>
      <c r="H145" s="12">
        <v>3842</v>
      </c>
      <c r="I145" s="12">
        <v>3089</v>
      </c>
      <c r="J145" s="12">
        <v>753</v>
      </c>
      <c r="K145" s="10">
        <v>19.600000000000001</v>
      </c>
      <c r="L145" s="13">
        <v>2.1064549709999998</v>
      </c>
    </row>
    <row r="146" spans="1:12" x14ac:dyDescent="0.15">
      <c r="A146" s="1">
        <v>23</v>
      </c>
      <c r="B146" s="10" t="s">
        <v>156</v>
      </c>
      <c r="C146" s="11">
        <v>2012</v>
      </c>
      <c r="D146" s="12">
        <v>3517</v>
      </c>
      <c r="E146" s="12">
        <v>3517</v>
      </c>
      <c r="F146" s="12">
        <v>0</v>
      </c>
      <c r="G146" s="13">
        <v>2.2599999999999998</v>
      </c>
      <c r="H146" s="12">
        <v>2305</v>
      </c>
      <c r="I146" s="12">
        <v>1558</v>
      </c>
      <c r="J146" s="12">
        <v>747</v>
      </c>
      <c r="K146" s="10">
        <v>32.39</v>
      </c>
      <c r="L146" s="13">
        <v>1.5258134489999999</v>
      </c>
    </row>
    <row r="147" spans="1:12" x14ac:dyDescent="0.15">
      <c r="A147" s="1">
        <v>25</v>
      </c>
      <c r="B147" s="10" t="s">
        <v>157</v>
      </c>
      <c r="C147" s="11">
        <v>2012</v>
      </c>
      <c r="D147" s="12">
        <v>5839</v>
      </c>
      <c r="E147" s="12">
        <v>3125</v>
      </c>
      <c r="F147" s="12">
        <v>2714</v>
      </c>
      <c r="G147" s="13">
        <v>2.39</v>
      </c>
      <c r="H147" s="12">
        <v>1485</v>
      </c>
      <c r="I147" s="12">
        <v>1308</v>
      </c>
      <c r="J147" s="12">
        <v>177</v>
      </c>
      <c r="K147" s="10">
        <v>11.91</v>
      </c>
      <c r="L147" s="13">
        <v>2.1043771040000001</v>
      </c>
    </row>
    <row r="148" spans="1:12" x14ac:dyDescent="0.15">
      <c r="A148" s="1">
        <v>27</v>
      </c>
      <c r="B148" s="10" t="s">
        <v>158</v>
      </c>
      <c r="C148" s="11">
        <v>2012</v>
      </c>
      <c r="D148" s="12">
        <v>4367</v>
      </c>
      <c r="E148" s="12">
        <v>4353</v>
      </c>
      <c r="F148" s="12">
        <v>14</v>
      </c>
      <c r="G148" s="13">
        <v>2.13</v>
      </c>
      <c r="H148" s="12">
        <v>3722</v>
      </c>
      <c r="I148" s="12">
        <v>2045</v>
      </c>
      <c r="J148" s="12">
        <v>1677</v>
      </c>
      <c r="K148" s="10">
        <v>45.06</v>
      </c>
      <c r="L148" s="13">
        <v>1.1695325089999999</v>
      </c>
    </row>
    <row r="149" spans="1:12" x14ac:dyDescent="0.15">
      <c r="A149" s="1">
        <v>29</v>
      </c>
      <c r="B149" s="10" t="s">
        <v>159</v>
      </c>
      <c r="C149" s="11">
        <v>2012</v>
      </c>
      <c r="D149" s="12">
        <v>30554</v>
      </c>
      <c r="E149" s="12">
        <v>29799</v>
      </c>
      <c r="F149" s="12">
        <v>755</v>
      </c>
      <c r="G149" s="13">
        <v>2.37</v>
      </c>
      <c r="H149" s="12">
        <v>14616</v>
      </c>
      <c r="I149" s="12">
        <v>12577</v>
      </c>
      <c r="J149" s="12">
        <v>2039</v>
      </c>
      <c r="K149" s="10">
        <v>13.95</v>
      </c>
      <c r="L149" s="13">
        <v>2.0387931030000002</v>
      </c>
    </row>
    <row r="150" spans="1:12" x14ac:dyDescent="0.15">
      <c r="A150" s="1">
        <v>31</v>
      </c>
      <c r="B150" s="10" t="s">
        <v>160</v>
      </c>
      <c r="C150" s="11">
        <v>2012</v>
      </c>
      <c r="D150" s="12">
        <v>632924</v>
      </c>
      <c r="E150" s="12">
        <v>616740</v>
      </c>
      <c r="F150" s="12">
        <v>16184</v>
      </c>
      <c r="G150" s="13">
        <v>2.2200000000000002</v>
      </c>
      <c r="H150" s="12">
        <v>290342</v>
      </c>
      <c r="I150" s="12">
        <v>278164</v>
      </c>
      <c r="J150" s="12">
        <v>12178</v>
      </c>
      <c r="K150" s="10">
        <v>4.1900000000000004</v>
      </c>
      <c r="L150" s="13">
        <v>2.1241845819999998</v>
      </c>
    </row>
    <row r="151" spans="1:12" x14ac:dyDescent="0.15">
      <c r="A151" s="1">
        <v>33</v>
      </c>
      <c r="B151" s="10" t="s">
        <v>161</v>
      </c>
      <c r="C151" s="11">
        <v>2012</v>
      </c>
      <c r="D151" s="12">
        <v>2078</v>
      </c>
      <c r="E151" s="12">
        <v>2078</v>
      </c>
      <c r="F151" s="12">
        <v>0</v>
      </c>
      <c r="G151" s="13">
        <v>2.2799999999999998</v>
      </c>
      <c r="H151" s="12">
        <v>1156</v>
      </c>
      <c r="I151" s="12">
        <v>912</v>
      </c>
      <c r="J151" s="12">
        <v>244</v>
      </c>
      <c r="K151" s="10">
        <v>21.15</v>
      </c>
      <c r="L151" s="13">
        <v>1.7975778549999999</v>
      </c>
    </row>
    <row r="152" spans="1:12" x14ac:dyDescent="0.15">
      <c r="A152" s="1">
        <v>35</v>
      </c>
      <c r="B152" s="10" t="s">
        <v>162</v>
      </c>
      <c r="C152" s="11">
        <v>2012</v>
      </c>
      <c r="D152" s="12">
        <v>298733</v>
      </c>
      <c r="E152" s="12">
        <v>297801</v>
      </c>
      <c r="F152" s="12">
        <v>932</v>
      </c>
      <c r="G152" s="13">
        <v>2.79</v>
      </c>
      <c r="H152" s="12">
        <v>109233</v>
      </c>
      <c r="I152" s="12">
        <v>106782</v>
      </c>
      <c r="J152" s="12">
        <v>2451</v>
      </c>
      <c r="K152" s="10">
        <v>2.2400000000000002</v>
      </c>
      <c r="L152" s="13">
        <v>2.7262915049999998</v>
      </c>
    </row>
    <row r="153" spans="1:12" x14ac:dyDescent="0.15">
      <c r="A153" s="1">
        <v>37</v>
      </c>
      <c r="B153" s="10" t="s">
        <v>163</v>
      </c>
      <c r="C153" s="11">
        <v>2012</v>
      </c>
      <c r="D153" s="12">
        <v>52160</v>
      </c>
      <c r="E153" s="12">
        <v>52094</v>
      </c>
      <c r="F153" s="12">
        <v>65</v>
      </c>
      <c r="G153" s="13">
        <v>2.7</v>
      </c>
      <c r="H153" s="12">
        <v>30927</v>
      </c>
      <c r="I153" s="12">
        <v>19262</v>
      </c>
      <c r="J153" s="12">
        <v>11665</v>
      </c>
      <c r="K153" s="10">
        <v>37.72</v>
      </c>
      <c r="L153" s="13">
        <v>1.6844181460000001</v>
      </c>
    </row>
    <row r="154" spans="1:12" x14ac:dyDescent="0.15">
      <c r="A154" s="1">
        <v>39</v>
      </c>
      <c r="B154" s="10" t="s">
        <v>164</v>
      </c>
      <c r="C154" s="11">
        <v>2012</v>
      </c>
      <c r="D154" s="12">
        <v>23034</v>
      </c>
      <c r="E154" s="12">
        <v>22961</v>
      </c>
      <c r="F154" s="12">
        <v>73</v>
      </c>
      <c r="G154" s="13">
        <v>2.75</v>
      </c>
      <c r="H154" s="12">
        <v>8960</v>
      </c>
      <c r="I154" s="12">
        <v>8345</v>
      </c>
      <c r="J154" s="12">
        <v>615</v>
      </c>
      <c r="K154" s="10">
        <v>6.86</v>
      </c>
      <c r="L154" s="13">
        <v>2.562611607</v>
      </c>
    </row>
    <row r="155" spans="1:12" x14ac:dyDescent="0.15">
      <c r="A155" s="1">
        <v>41</v>
      </c>
      <c r="B155" s="10" t="s">
        <v>165</v>
      </c>
      <c r="C155" s="11">
        <v>2012</v>
      </c>
      <c r="D155" s="12">
        <v>648445</v>
      </c>
      <c r="E155" s="12">
        <v>628404</v>
      </c>
      <c r="F155" s="12">
        <v>20041</v>
      </c>
      <c r="G155" s="13">
        <v>2.57</v>
      </c>
      <c r="H155" s="12">
        <v>257927</v>
      </c>
      <c r="I155" s="12">
        <v>244953</v>
      </c>
      <c r="J155" s="12">
        <v>12974</v>
      </c>
      <c r="K155" s="10">
        <v>5.03</v>
      </c>
      <c r="L155" s="13">
        <v>2.436363777</v>
      </c>
    </row>
    <row r="156" spans="1:12" x14ac:dyDescent="0.15">
      <c r="A156" s="1">
        <v>43</v>
      </c>
      <c r="B156" s="10" t="s">
        <v>166</v>
      </c>
      <c r="C156" s="11">
        <v>2012</v>
      </c>
      <c r="D156" s="12">
        <v>47130</v>
      </c>
      <c r="E156" s="12">
        <v>38599</v>
      </c>
      <c r="F156" s="12">
        <v>8531</v>
      </c>
      <c r="G156" s="13">
        <v>2.2999999999999998</v>
      </c>
      <c r="H156" s="12">
        <v>19578</v>
      </c>
      <c r="I156" s="12">
        <v>16803</v>
      </c>
      <c r="J156" s="12">
        <v>2775</v>
      </c>
      <c r="K156" s="10">
        <v>14.18</v>
      </c>
      <c r="L156" s="13">
        <v>1.9715496990000001</v>
      </c>
    </row>
    <row r="157" spans="1:12" x14ac:dyDescent="0.15">
      <c r="A157" s="1">
        <v>45</v>
      </c>
      <c r="B157" s="10" t="s">
        <v>167</v>
      </c>
      <c r="C157" s="11">
        <v>2012</v>
      </c>
      <c r="D157" s="12">
        <v>56415</v>
      </c>
      <c r="E157" s="12">
        <v>55481</v>
      </c>
      <c r="F157" s="12">
        <v>934</v>
      </c>
      <c r="G157" s="13">
        <v>2.72</v>
      </c>
      <c r="H157" s="12">
        <v>22955</v>
      </c>
      <c r="I157" s="12">
        <v>20378</v>
      </c>
      <c r="J157" s="12">
        <v>2577</v>
      </c>
      <c r="K157" s="10">
        <v>11.23</v>
      </c>
      <c r="L157" s="13">
        <v>2.4169461989999999</v>
      </c>
    </row>
    <row r="158" spans="1:12" x14ac:dyDescent="0.15">
      <c r="A158" s="1">
        <v>47</v>
      </c>
      <c r="B158" s="10" t="s">
        <v>168</v>
      </c>
      <c r="C158" s="11">
        <v>2012</v>
      </c>
      <c r="D158" s="12">
        <v>5500</v>
      </c>
      <c r="E158" s="12">
        <v>5453</v>
      </c>
      <c r="F158" s="12">
        <v>47</v>
      </c>
      <c r="G158" s="13">
        <v>2.2000000000000002</v>
      </c>
      <c r="H158" s="12">
        <v>3321</v>
      </c>
      <c r="I158" s="12">
        <v>2484</v>
      </c>
      <c r="J158" s="12">
        <v>837</v>
      </c>
      <c r="K158" s="10">
        <v>25.2</v>
      </c>
      <c r="L158" s="13">
        <v>1.641975309</v>
      </c>
    </row>
    <row r="159" spans="1:12" x14ac:dyDescent="0.15">
      <c r="A159" s="1">
        <v>49</v>
      </c>
      <c r="B159" s="10" t="s">
        <v>169</v>
      </c>
      <c r="C159" s="11">
        <v>2012</v>
      </c>
      <c r="D159" s="12">
        <v>14925</v>
      </c>
      <c r="E159" s="12">
        <v>14707</v>
      </c>
      <c r="F159" s="12">
        <v>217</v>
      </c>
      <c r="G159" s="13">
        <v>2.25</v>
      </c>
      <c r="H159" s="12">
        <v>15615</v>
      </c>
      <c r="I159" s="12">
        <v>6532</v>
      </c>
      <c r="J159" s="12">
        <v>9083</v>
      </c>
      <c r="K159" s="10">
        <v>58.17</v>
      </c>
      <c r="L159" s="13">
        <v>0.94185078499999997</v>
      </c>
    </row>
    <row r="160" spans="1:12" x14ac:dyDescent="0.15">
      <c r="A160" s="1">
        <v>51</v>
      </c>
      <c r="B160" s="10" t="s">
        <v>170</v>
      </c>
      <c r="C160" s="11">
        <v>2012</v>
      </c>
      <c r="D160" s="12">
        <v>15270</v>
      </c>
      <c r="E160" s="12">
        <v>14440</v>
      </c>
      <c r="F160" s="12">
        <v>830</v>
      </c>
      <c r="G160" s="13">
        <v>2.2200000000000002</v>
      </c>
      <c r="H160" s="12">
        <v>11459</v>
      </c>
      <c r="I160" s="12">
        <v>6499</v>
      </c>
      <c r="J160" s="12">
        <v>4960</v>
      </c>
      <c r="K160" s="10">
        <v>43.28</v>
      </c>
      <c r="L160" s="13">
        <v>1.2601448639999999</v>
      </c>
    </row>
    <row r="161" spans="1:12" x14ac:dyDescent="0.15">
      <c r="A161" s="1">
        <v>53</v>
      </c>
      <c r="B161" s="10" t="s">
        <v>171</v>
      </c>
      <c r="C161" s="11">
        <v>2012</v>
      </c>
      <c r="D161" s="12">
        <v>831</v>
      </c>
      <c r="E161" s="12">
        <v>786</v>
      </c>
      <c r="F161" s="12">
        <v>45</v>
      </c>
      <c r="G161" s="13">
        <v>2.16</v>
      </c>
      <c r="H161" s="12">
        <v>1281</v>
      </c>
      <c r="I161" s="12">
        <v>364</v>
      </c>
      <c r="J161" s="12">
        <v>917</v>
      </c>
      <c r="K161" s="10">
        <v>71.58</v>
      </c>
      <c r="L161" s="13">
        <v>0.61358313799999997</v>
      </c>
    </row>
    <row r="162" spans="1:12" x14ac:dyDescent="0.15">
      <c r="A162" s="1">
        <v>55</v>
      </c>
      <c r="B162" s="10" t="s">
        <v>172</v>
      </c>
      <c r="C162" s="11">
        <v>2012</v>
      </c>
      <c r="D162" s="12">
        <v>6686</v>
      </c>
      <c r="E162" s="12">
        <v>6533</v>
      </c>
      <c r="F162" s="12">
        <v>153</v>
      </c>
      <c r="G162" s="13">
        <v>2.09</v>
      </c>
      <c r="H162" s="12">
        <v>4502</v>
      </c>
      <c r="I162" s="12">
        <v>3126</v>
      </c>
      <c r="J162" s="12">
        <v>1376</v>
      </c>
      <c r="K162" s="10">
        <v>30.55</v>
      </c>
      <c r="L162" s="13">
        <v>1.4511328299999999</v>
      </c>
    </row>
    <row r="163" spans="1:12" x14ac:dyDescent="0.15">
      <c r="A163" s="1">
        <v>57</v>
      </c>
      <c r="B163" s="10" t="s">
        <v>173</v>
      </c>
      <c r="C163" s="11">
        <v>2012</v>
      </c>
      <c r="D163" s="12">
        <v>1385</v>
      </c>
      <c r="E163" s="12">
        <v>1383</v>
      </c>
      <c r="F163" s="12">
        <v>2</v>
      </c>
      <c r="G163" s="13">
        <v>2.13</v>
      </c>
      <c r="H163" s="12">
        <v>1149</v>
      </c>
      <c r="I163" s="12">
        <v>648</v>
      </c>
      <c r="J163" s="12">
        <v>501</v>
      </c>
      <c r="K163" s="10">
        <v>43.62</v>
      </c>
      <c r="L163" s="13">
        <v>1.203655352</v>
      </c>
    </row>
    <row r="164" spans="1:12" x14ac:dyDescent="0.15">
      <c r="A164" s="1">
        <v>59</v>
      </c>
      <c r="B164" s="10" t="s">
        <v>174</v>
      </c>
      <c r="C164" s="11">
        <v>2012</v>
      </c>
      <c r="D164" s="12">
        <v>546631</v>
      </c>
      <c r="E164" s="12">
        <v>538930</v>
      </c>
      <c r="F164" s="12">
        <v>7701</v>
      </c>
      <c r="G164" s="13">
        <v>2.42</v>
      </c>
      <c r="H164" s="12">
        <v>232054</v>
      </c>
      <c r="I164" s="12">
        <v>223071</v>
      </c>
      <c r="J164" s="12">
        <v>8983</v>
      </c>
      <c r="K164" s="10">
        <v>3.87</v>
      </c>
      <c r="L164" s="13">
        <v>2.3224335709999999</v>
      </c>
    </row>
    <row r="165" spans="1:12" x14ac:dyDescent="0.15">
      <c r="A165" s="1">
        <v>61</v>
      </c>
      <c r="B165" s="10" t="s">
        <v>175</v>
      </c>
      <c r="C165" s="11">
        <v>2012</v>
      </c>
      <c r="D165" s="12">
        <v>1392</v>
      </c>
      <c r="E165" s="12">
        <v>1375</v>
      </c>
      <c r="F165" s="12">
        <v>18</v>
      </c>
      <c r="G165" s="13">
        <v>2.27</v>
      </c>
      <c r="H165" s="12">
        <v>728</v>
      </c>
      <c r="I165" s="12">
        <v>605</v>
      </c>
      <c r="J165" s="12">
        <v>123</v>
      </c>
      <c r="K165" s="10">
        <v>16.899999999999999</v>
      </c>
      <c r="L165" s="13">
        <v>1.8887362640000001</v>
      </c>
    </row>
    <row r="166" spans="1:12" x14ac:dyDescent="0.15">
      <c r="A166" s="1">
        <v>63</v>
      </c>
      <c r="B166" s="10" t="s">
        <v>176</v>
      </c>
      <c r="C166" s="11">
        <v>2012</v>
      </c>
      <c r="D166" s="12">
        <v>8085</v>
      </c>
      <c r="E166" s="12">
        <v>7207</v>
      </c>
      <c r="F166" s="12">
        <v>879</v>
      </c>
      <c r="G166" s="13">
        <v>2.38</v>
      </c>
      <c r="H166" s="12">
        <v>3379</v>
      </c>
      <c r="I166" s="12">
        <v>3028</v>
      </c>
      <c r="J166" s="12">
        <v>351</v>
      </c>
      <c r="K166" s="10">
        <v>10.37</v>
      </c>
      <c r="L166" s="13">
        <v>2.1328795500000002</v>
      </c>
    </row>
    <row r="167" spans="1:12" x14ac:dyDescent="0.15">
      <c r="A167" s="1">
        <v>65</v>
      </c>
      <c r="B167" s="10" t="s">
        <v>177</v>
      </c>
      <c r="C167" s="11">
        <v>2012</v>
      </c>
      <c r="D167" s="12">
        <v>7103</v>
      </c>
      <c r="E167" s="12">
        <v>7031</v>
      </c>
      <c r="F167" s="12">
        <v>72</v>
      </c>
      <c r="G167" s="13">
        <v>2.42</v>
      </c>
      <c r="H167" s="12">
        <v>4277</v>
      </c>
      <c r="I167" s="12">
        <v>2904</v>
      </c>
      <c r="J167" s="12">
        <v>1373</v>
      </c>
      <c r="K167" s="10">
        <v>32.1</v>
      </c>
      <c r="L167" s="13">
        <v>1.6439092820000001</v>
      </c>
    </row>
    <row r="168" spans="1:12" x14ac:dyDescent="0.15">
      <c r="A168" s="1">
        <v>67</v>
      </c>
      <c r="B168" s="10" t="s">
        <v>178</v>
      </c>
      <c r="C168" s="11">
        <v>2012</v>
      </c>
      <c r="D168" s="12">
        <v>52314</v>
      </c>
      <c r="E168" s="12">
        <v>50450</v>
      </c>
      <c r="F168" s="12">
        <v>1864</v>
      </c>
      <c r="G168" s="13">
        <v>2.34</v>
      </c>
      <c r="H168" s="12">
        <v>26154</v>
      </c>
      <c r="I168" s="12">
        <v>21559</v>
      </c>
      <c r="J168" s="12">
        <v>4595</v>
      </c>
      <c r="K168" s="10">
        <v>17.57</v>
      </c>
      <c r="L168" s="13">
        <v>1.928959241</v>
      </c>
    </row>
    <row r="169" spans="1:12" x14ac:dyDescent="0.15">
      <c r="A169" s="1">
        <v>69</v>
      </c>
      <c r="B169" s="10" t="s">
        <v>179</v>
      </c>
      <c r="C169" s="11">
        <v>2012</v>
      </c>
      <c r="D169" s="12">
        <v>310952</v>
      </c>
      <c r="E169" s="12">
        <v>302135</v>
      </c>
      <c r="F169" s="12">
        <v>8817</v>
      </c>
      <c r="G169" s="13">
        <v>2.42</v>
      </c>
      <c r="H169" s="12">
        <v>136123</v>
      </c>
      <c r="I169" s="12">
        <v>124983</v>
      </c>
      <c r="J169" s="12">
        <v>11140</v>
      </c>
      <c r="K169" s="10">
        <v>8.18</v>
      </c>
      <c r="L169" s="13">
        <v>2.2195734740000002</v>
      </c>
    </row>
    <row r="170" spans="1:12" x14ac:dyDescent="0.15">
      <c r="A170" s="1">
        <v>71</v>
      </c>
      <c r="B170" s="10" t="s">
        <v>180</v>
      </c>
      <c r="C170" s="11">
        <v>2012</v>
      </c>
      <c r="D170" s="12">
        <v>15245</v>
      </c>
      <c r="E170" s="12">
        <v>14419</v>
      </c>
      <c r="F170" s="12">
        <v>826</v>
      </c>
      <c r="G170" s="13">
        <v>2.27</v>
      </c>
      <c r="H170" s="12">
        <v>7789</v>
      </c>
      <c r="I170" s="12">
        <v>6348</v>
      </c>
      <c r="J170" s="12">
        <v>1441</v>
      </c>
      <c r="K170" s="10">
        <v>18.5</v>
      </c>
      <c r="L170" s="13">
        <v>1.851200411</v>
      </c>
    </row>
    <row r="171" spans="1:12" x14ac:dyDescent="0.15">
      <c r="A171" s="1">
        <v>73</v>
      </c>
      <c r="B171" s="10" t="s">
        <v>181</v>
      </c>
      <c r="C171" s="11">
        <v>2012</v>
      </c>
      <c r="D171" s="12">
        <v>5503</v>
      </c>
      <c r="E171" s="12">
        <v>4481</v>
      </c>
      <c r="F171" s="12">
        <v>1022</v>
      </c>
      <c r="G171" s="13">
        <v>2.2999999999999998</v>
      </c>
      <c r="H171" s="12">
        <v>2246</v>
      </c>
      <c r="I171" s="12">
        <v>1951</v>
      </c>
      <c r="J171" s="12">
        <v>295</v>
      </c>
      <c r="K171" s="10">
        <v>13.15</v>
      </c>
      <c r="L171" s="13">
        <v>1.9951024040000001</v>
      </c>
    </row>
    <row r="172" spans="1:12" x14ac:dyDescent="0.15">
      <c r="A172" s="1">
        <v>75</v>
      </c>
      <c r="B172" s="10" t="s">
        <v>182</v>
      </c>
      <c r="C172" s="11">
        <v>2012</v>
      </c>
      <c r="D172" s="12">
        <v>22131</v>
      </c>
      <c r="E172" s="12">
        <v>18738</v>
      </c>
      <c r="F172" s="12">
        <v>3393</v>
      </c>
      <c r="G172" s="13">
        <v>2.33</v>
      </c>
      <c r="H172" s="12">
        <v>8516</v>
      </c>
      <c r="I172" s="12">
        <v>8032</v>
      </c>
      <c r="J172" s="12">
        <v>484</v>
      </c>
      <c r="K172" s="10">
        <v>5.68</v>
      </c>
      <c r="L172" s="13">
        <v>2.2003287930000002</v>
      </c>
    </row>
    <row r="173" spans="1:12" x14ac:dyDescent="0.15">
      <c r="A173" s="1">
        <v>77</v>
      </c>
      <c r="B173" s="10" t="s">
        <v>183</v>
      </c>
      <c r="C173" s="11">
        <v>2012</v>
      </c>
      <c r="D173" s="12">
        <v>147939</v>
      </c>
      <c r="E173" s="12">
        <v>143494</v>
      </c>
      <c r="F173" s="12">
        <v>4445</v>
      </c>
      <c r="G173" s="13">
        <v>2.4500000000000002</v>
      </c>
      <c r="H173" s="12">
        <v>63472</v>
      </c>
      <c r="I173" s="12">
        <v>58549</v>
      </c>
      <c r="J173" s="12">
        <v>4923</v>
      </c>
      <c r="K173" s="10">
        <v>7.76</v>
      </c>
      <c r="L173" s="13">
        <v>2.2607448950000002</v>
      </c>
    </row>
    <row r="174" spans="1:12" x14ac:dyDescent="0.15">
      <c r="A174" s="1">
        <v>79</v>
      </c>
      <c r="B174" s="10" t="s">
        <v>184</v>
      </c>
      <c r="C174" s="11">
        <v>2012</v>
      </c>
      <c r="D174" s="12">
        <v>723</v>
      </c>
      <c r="E174" s="12">
        <v>723</v>
      </c>
      <c r="F174" s="12">
        <v>0</v>
      </c>
      <c r="G174" s="13">
        <v>2.0099999999999998</v>
      </c>
      <c r="H174" s="12">
        <v>1111</v>
      </c>
      <c r="I174" s="12">
        <v>359</v>
      </c>
      <c r="J174" s="12">
        <v>752</v>
      </c>
      <c r="K174" s="10">
        <v>67.69</v>
      </c>
      <c r="L174" s="13">
        <v>0.65076507699999997</v>
      </c>
    </row>
    <row r="175" spans="1:12" x14ac:dyDescent="0.15">
      <c r="A175" s="1">
        <v>81</v>
      </c>
      <c r="B175" s="10" t="s">
        <v>185</v>
      </c>
      <c r="C175" s="11">
        <v>2012</v>
      </c>
      <c r="D175" s="12">
        <v>13216</v>
      </c>
      <c r="E175" s="12">
        <v>13111</v>
      </c>
      <c r="F175" s="12">
        <v>105</v>
      </c>
      <c r="G175" s="13">
        <v>2.5</v>
      </c>
      <c r="H175" s="12">
        <v>5979</v>
      </c>
      <c r="I175" s="12">
        <v>5252</v>
      </c>
      <c r="J175" s="12">
        <v>727</v>
      </c>
      <c r="K175" s="10">
        <v>12.16</v>
      </c>
      <c r="L175" s="13">
        <v>2.1928416120000001</v>
      </c>
    </row>
    <row r="176" spans="1:12" x14ac:dyDescent="0.15">
      <c r="A176" s="1">
        <v>83</v>
      </c>
      <c r="B176" s="10" t="s">
        <v>186</v>
      </c>
      <c r="C176" s="11">
        <v>2012</v>
      </c>
      <c r="D176" s="12">
        <v>25501</v>
      </c>
      <c r="E176" s="12">
        <v>25254</v>
      </c>
      <c r="F176" s="12">
        <v>247</v>
      </c>
      <c r="G176" s="13">
        <v>2.39</v>
      </c>
      <c r="H176" s="12">
        <v>11951</v>
      </c>
      <c r="I176" s="12">
        <v>10553</v>
      </c>
      <c r="J176" s="12">
        <v>1398</v>
      </c>
      <c r="K176" s="10">
        <v>11.7</v>
      </c>
      <c r="L176" s="13">
        <v>2.1131286079999998</v>
      </c>
    </row>
    <row r="177" spans="1:12" x14ac:dyDescent="0.15">
      <c r="A177" s="1">
        <v>85</v>
      </c>
      <c r="B177" s="10" t="s">
        <v>187</v>
      </c>
      <c r="C177" s="11">
        <v>2012</v>
      </c>
      <c r="D177" s="12">
        <v>41303</v>
      </c>
      <c r="E177" s="12">
        <v>40737</v>
      </c>
      <c r="F177" s="12">
        <v>566</v>
      </c>
      <c r="G177" s="13">
        <v>2.46</v>
      </c>
      <c r="H177" s="12">
        <v>17412</v>
      </c>
      <c r="I177" s="12">
        <v>16578</v>
      </c>
      <c r="J177" s="12">
        <v>834</v>
      </c>
      <c r="K177" s="10">
        <v>4.79</v>
      </c>
      <c r="L177" s="13">
        <v>2.3395933840000001</v>
      </c>
    </row>
    <row r="178" spans="1:12" x14ac:dyDescent="0.15">
      <c r="A178" s="1">
        <v>87</v>
      </c>
      <c r="B178" s="10" t="s">
        <v>188</v>
      </c>
      <c r="C178" s="11">
        <v>2012</v>
      </c>
      <c r="D178" s="12">
        <v>28247</v>
      </c>
      <c r="E178" s="12">
        <v>27703</v>
      </c>
      <c r="F178" s="12">
        <v>544</v>
      </c>
      <c r="G178" s="13">
        <v>2.68</v>
      </c>
      <c r="H178" s="12">
        <v>10997</v>
      </c>
      <c r="I178" s="12">
        <v>10321</v>
      </c>
      <c r="J178" s="12">
        <v>676</v>
      </c>
      <c r="K178" s="10">
        <v>6.15</v>
      </c>
      <c r="L178" s="13">
        <v>2.5191415840000002</v>
      </c>
    </row>
    <row r="179" spans="1:12" x14ac:dyDescent="0.15">
      <c r="A179" s="1">
        <v>89</v>
      </c>
      <c r="B179" s="10" t="s">
        <v>189</v>
      </c>
      <c r="C179" s="11">
        <v>2012</v>
      </c>
      <c r="D179" s="12">
        <v>18815</v>
      </c>
      <c r="E179" s="12">
        <v>18385</v>
      </c>
      <c r="F179" s="12">
        <v>430</v>
      </c>
      <c r="G179" s="13">
        <v>2.38</v>
      </c>
      <c r="H179" s="12">
        <v>8693</v>
      </c>
      <c r="I179" s="12">
        <v>7723</v>
      </c>
      <c r="J179" s="12">
        <v>970</v>
      </c>
      <c r="K179" s="10">
        <v>11.15</v>
      </c>
      <c r="L179" s="13">
        <v>2.1149200509999999</v>
      </c>
    </row>
    <row r="180" spans="1:12" x14ac:dyDescent="0.15">
      <c r="A180" s="1">
        <v>91</v>
      </c>
      <c r="B180" s="10" t="s">
        <v>190</v>
      </c>
      <c r="C180" s="11">
        <v>2012</v>
      </c>
      <c r="D180" s="12">
        <v>4478</v>
      </c>
      <c r="E180" s="12">
        <v>4478</v>
      </c>
      <c r="F180" s="12">
        <v>0</v>
      </c>
      <c r="G180" s="13">
        <v>2.1800000000000002</v>
      </c>
      <c r="H180" s="12">
        <v>3104</v>
      </c>
      <c r="I180" s="12">
        <v>2054</v>
      </c>
      <c r="J180" s="12">
        <v>1050</v>
      </c>
      <c r="K180" s="10">
        <v>33.83</v>
      </c>
      <c r="L180" s="13">
        <v>1.4426546389999999</v>
      </c>
    </row>
    <row r="181" spans="1:12" x14ac:dyDescent="0.15">
      <c r="A181" s="1">
        <v>93</v>
      </c>
      <c r="B181" s="10" t="s">
        <v>191</v>
      </c>
      <c r="C181" s="11">
        <v>2012</v>
      </c>
      <c r="D181" s="12">
        <v>15739</v>
      </c>
      <c r="E181" s="12">
        <v>15660</v>
      </c>
      <c r="F181" s="12">
        <v>79</v>
      </c>
      <c r="G181" s="13">
        <v>2.2400000000000002</v>
      </c>
      <c r="H181" s="12">
        <v>13806</v>
      </c>
      <c r="I181" s="12">
        <v>6987</v>
      </c>
      <c r="J181" s="12">
        <v>6819</v>
      </c>
      <c r="K181" s="10">
        <v>49.39</v>
      </c>
      <c r="L181" s="13">
        <v>1.134289439</v>
      </c>
    </row>
    <row r="182" spans="1:12" x14ac:dyDescent="0.15">
      <c r="A182" s="1">
        <v>95</v>
      </c>
      <c r="B182" s="10" t="s">
        <v>192</v>
      </c>
      <c r="C182" s="11">
        <v>2012</v>
      </c>
      <c r="D182" s="12">
        <v>4482</v>
      </c>
      <c r="E182" s="12">
        <v>4419</v>
      </c>
      <c r="F182" s="12">
        <v>62</v>
      </c>
      <c r="G182" s="13">
        <v>2.42</v>
      </c>
      <c r="H182" s="12">
        <v>1950</v>
      </c>
      <c r="I182" s="12">
        <v>1828</v>
      </c>
      <c r="J182" s="12">
        <v>122</v>
      </c>
      <c r="K182" s="10">
        <v>6.24</v>
      </c>
      <c r="L182" s="13">
        <v>2.2661538459999999</v>
      </c>
    </row>
    <row r="183" spans="1:12" x14ac:dyDescent="0.15">
      <c r="A183" s="1">
        <v>97</v>
      </c>
      <c r="B183" s="10" t="s">
        <v>193</v>
      </c>
      <c r="C183" s="11">
        <v>2012</v>
      </c>
      <c r="D183" s="12">
        <v>17201</v>
      </c>
      <c r="E183" s="12">
        <v>17129</v>
      </c>
      <c r="F183" s="12">
        <v>72</v>
      </c>
      <c r="G183" s="13">
        <v>2.11</v>
      </c>
      <c r="H183" s="12">
        <v>12636</v>
      </c>
      <c r="I183" s="12">
        <v>8132</v>
      </c>
      <c r="J183" s="12">
        <v>4504</v>
      </c>
      <c r="K183" s="10">
        <v>35.64</v>
      </c>
      <c r="L183" s="13">
        <v>1.355571383</v>
      </c>
    </row>
    <row r="184" spans="1:12" x14ac:dyDescent="0.15">
      <c r="A184" s="1">
        <v>99</v>
      </c>
      <c r="B184" s="10" t="s">
        <v>194</v>
      </c>
      <c r="C184" s="11">
        <v>2012</v>
      </c>
      <c r="D184" s="12">
        <v>12398</v>
      </c>
      <c r="E184" s="12">
        <v>12072</v>
      </c>
      <c r="F184" s="12">
        <v>326</v>
      </c>
      <c r="G184" s="13">
        <v>2.4900000000000002</v>
      </c>
      <c r="H184" s="12">
        <v>5428</v>
      </c>
      <c r="I184" s="12">
        <v>4842</v>
      </c>
      <c r="J184" s="12">
        <v>586</v>
      </c>
      <c r="K184" s="10">
        <v>10.79</v>
      </c>
      <c r="L184" s="13">
        <v>2.224023581</v>
      </c>
    </row>
    <row r="185" spans="1:12" x14ac:dyDescent="0.15">
      <c r="A185" s="1">
        <v>101</v>
      </c>
      <c r="B185" s="10" t="s">
        <v>195</v>
      </c>
      <c r="C185" s="11">
        <v>2012</v>
      </c>
      <c r="D185" s="12">
        <v>160327</v>
      </c>
      <c r="E185" s="12">
        <v>156264</v>
      </c>
      <c r="F185" s="12">
        <v>4063</v>
      </c>
      <c r="G185" s="13">
        <v>2.46</v>
      </c>
      <c r="H185" s="12">
        <v>69927</v>
      </c>
      <c r="I185" s="12">
        <v>63612</v>
      </c>
      <c r="J185" s="12">
        <v>6315</v>
      </c>
      <c r="K185" s="10">
        <v>9.0299999999999994</v>
      </c>
      <c r="L185" s="13">
        <v>2.234673302</v>
      </c>
    </row>
    <row r="186" spans="1:12" x14ac:dyDescent="0.15">
      <c r="A186" s="1">
        <v>103</v>
      </c>
      <c r="B186" s="10" t="s">
        <v>196</v>
      </c>
      <c r="C186" s="11">
        <v>2012</v>
      </c>
      <c r="D186" s="12">
        <v>6793</v>
      </c>
      <c r="E186" s="12">
        <v>6359</v>
      </c>
      <c r="F186" s="12">
        <v>434</v>
      </c>
      <c r="G186" s="13">
        <v>2.4300000000000002</v>
      </c>
      <c r="H186" s="12">
        <v>3213</v>
      </c>
      <c r="I186" s="12">
        <v>2616</v>
      </c>
      <c r="J186" s="12">
        <v>597</v>
      </c>
      <c r="K186" s="10">
        <v>18.579999999999998</v>
      </c>
      <c r="L186" s="13">
        <v>1.9791472139999999</v>
      </c>
    </row>
    <row r="187" spans="1:12" x14ac:dyDescent="0.15">
      <c r="A187" s="1">
        <v>105</v>
      </c>
      <c r="B187" s="10" t="s">
        <v>197</v>
      </c>
      <c r="C187" s="11">
        <v>2012</v>
      </c>
      <c r="D187" s="12">
        <v>11912</v>
      </c>
      <c r="E187" s="12">
        <v>11727</v>
      </c>
      <c r="F187" s="12">
        <v>185</v>
      </c>
      <c r="G187" s="13">
        <v>2.4500000000000002</v>
      </c>
      <c r="H187" s="12">
        <v>6327</v>
      </c>
      <c r="I187" s="12">
        <v>4788</v>
      </c>
      <c r="J187" s="12">
        <v>1539</v>
      </c>
      <c r="K187" s="10">
        <v>24.33</v>
      </c>
      <c r="L187" s="13">
        <v>1.853485064</v>
      </c>
    </row>
    <row r="188" spans="1:12" x14ac:dyDescent="0.15">
      <c r="A188" s="1">
        <v>107</v>
      </c>
      <c r="B188" s="10" t="s">
        <v>198</v>
      </c>
      <c r="C188" s="11">
        <v>2012</v>
      </c>
      <c r="D188" s="12">
        <v>23525</v>
      </c>
      <c r="E188" s="12">
        <v>23186</v>
      </c>
      <c r="F188" s="12">
        <v>338</v>
      </c>
      <c r="G188" s="13">
        <v>2.35</v>
      </c>
      <c r="H188" s="12">
        <v>15638</v>
      </c>
      <c r="I188" s="12">
        <v>9887</v>
      </c>
      <c r="J188" s="12">
        <v>5751</v>
      </c>
      <c r="K188" s="10">
        <v>36.78</v>
      </c>
      <c r="L188" s="13">
        <v>1.4826704180000001</v>
      </c>
    </row>
    <row r="189" spans="1:12" x14ac:dyDescent="0.15">
      <c r="A189" s="1">
        <v>109</v>
      </c>
      <c r="B189" s="10" t="s">
        <v>199</v>
      </c>
      <c r="C189" s="11">
        <v>2012</v>
      </c>
      <c r="D189" s="12">
        <v>6158</v>
      </c>
      <c r="E189" s="12">
        <v>6137</v>
      </c>
      <c r="F189" s="12">
        <v>21</v>
      </c>
      <c r="G189" s="13">
        <v>2.29</v>
      </c>
      <c r="H189" s="12">
        <v>3290</v>
      </c>
      <c r="I189" s="12">
        <v>2675</v>
      </c>
      <c r="J189" s="12">
        <v>615</v>
      </c>
      <c r="K189" s="10">
        <v>18.71</v>
      </c>
      <c r="L189" s="13">
        <v>1.8653495440000001</v>
      </c>
    </row>
    <row r="190" spans="1:12" x14ac:dyDescent="0.15">
      <c r="A190" s="1">
        <v>111</v>
      </c>
      <c r="B190" s="10" t="s">
        <v>200</v>
      </c>
      <c r="C190" s="11">
        <v>2012</v>
      </c>
      <c r="D190" s="12">
        <v>703</v>
      </c>
      <c r="E190" s="12">
        <v>703</v>
      </c>
      <c r="F190" s="12">
        <v>0</v>
      </c>
      <c r="G190" s="13">
        <v>2.0099999999999998</v>
      </c>
      <c r="H190" s="12">
        <v>741</v>
      </c>
      <c r="I190" s="12">
        <v>350</v>
      </c>
      <c r="J190" s="12">
        <v>391</v>
      </c>
      <c r="K190" s="10">
        <v>52.77</v>
      </c>
      <c r="L190" s="13">
        <v>0.94871794899999995</v>
      </c>
    </row>
    <row r="191" spans="1:12" x14ac:dyDescent="0.15">
      <c r="A191" s="1">
        <v>113</v>
      </c>
      <c r="B191" s="10" t="s">
        <v>201</v>
      </c>
      <c r="C191" s="11">
        <v>2012</v>
      </c>
      <c r="D191" s="12">
        <v>7576</v>
      </c>
      <c r="E191" s="12">
        <v>7450</v>
      </c>
      <c r="F191" s="12">
        <v>126</v>
      </c>
      <c r="G191" s="13">
        <v>2.15</v>
      </c>
      <c r="H191" s="12">
        <v>6197</v>
      </c>
      <c r="I191" s="12">
        <v>3462</v>
      </c>
      <c r="J191" s="12">
        <v>2735</v>
      </c>
      <c r="K191" s="10">
        <v>44.13</v>
      </c>
      <c r="L191" s="13">
        <v>1.2021946100000001</v>
      </c>
    </row>
    <row r="192" spans="1:12" x14ac:dyDescent="0.15">
      <c r="A192" s="1">
        <v>115</v>
      </c>
      <c r="B192" s="10" t="s">
        <v>202</v>
      </c>
      <c r="C192" s="11">
        <v>2012</v>
      </c>
      <c r="D192" s="12">
        <v>2375</v>
      </c>
      <c r="E192" s="12">
        <v>2338</v>
      </c>
      <c r="F192" s="12">
        <v>37</v>
      </c>
      <c r="G192" s="13">
        <v>2.15</v>
      </c>
      <c r="H192" s="12">
        <v>1325</v>
      </c>
      <c r="I192" s="12">
        <v>1086</v>
      </c>
      <c r="J192" s="12">
        <v>239</v>
      </c>
      <c r="K192" s="10">
        <v>18.04</v>
      </c>
      <c r="L192" s="13">
        <v>1.764528302</v>
      </c>
    </row>
    <row r="193" spans="1:12" x14ac:dyDescent="0.15">
      <c r="A193" s="1">
        <v>117</v>
      </c>
      <c r="B193" s="10" t="s">
        <v>203</v>
      </c>
      <c r="C193" s="11">
        <v>2012</v>
      </c>
      <c r="D193" s="12">
        <v>28385</v>
      </c>
      <c r="E193" s="12">
        <v>28055</v>
      </c>
      <c r="F193" s="12">
        <v>330</v>
      </c>
      <c r="G193" s="13">
        <v>2.36</v>
      </c>
      <c r="H193" s="12">
        <v>29866</v>
      </c>
      <c r="I193" s="12">
        <v>11895</v>
      </c>
      <c r="J193" s="12">
        <v>17971</v>
      </c>
      <c r="K193" s="10">
        <v>60.17</v>
      </c>
      <c r="L193" s="13">
        <v>0.93936248600000005</v>
      </c>
    </row>
    <row r="194" spans="1:12" x14ac:dyDescent="0.15">
      <c r="A194" s="1">
        <v>119</v>
      </c>
      <c r="B194" s="10" t="s">
        <v>204</v>
      </c>
      <c r="C194" s="11">
        <v>2012</v>
      </c>
      <c r="D194" s="12">
        <v>23270</v>
      </c>
      <c r="E194" s="12">
        <v>23128</v>
      </c>
      <c r="F194" s="12">
        <v>142</v>
      </c>
      <c r="G194" s="13">
        <v>2.36</v>
      </c>
      <c r="H194" s="12">
        <v>12699</v>
      </c>
      <c r="I194" s="12">
        <v>9815</v>
      </c>
      <c r="J194" s="12">
        <v>2884</v>
      </c>
      <c r="K194" s="10">
        <v>22.71</v>
      </c>
      <c r="L194" s="13">
        <v>1.821245767</v>
      </c>
    </row>
    <row r="195" spans="1:12" x14ac:dyDescent="0.15">
      <c r="A195" s="1">
        <v>121</v>
      </c>
      <c r="B195" s="10" t="s">
        <v>205</v>
      </c>
      <c r="C195" s="11">
        <v>2012</v>
      </c>
      <c r="D195" s="12">
        <v>4560</v>
      </c>
      <c r="E195" s="12">
        <v>4506</v>
      </c>
      <c r="F195" s="12">
        <v>54</v>
      </c>
      <c r="G195" s="13">
        <v>2.35</v>
      </c>
      <c r="H195" s="12">
        <v>2195</v>
      </c>
      <c r="I195" s="12">
        <v>1916</v>
      </c>
      <c r="J195" s="12">
        <v>279</v>
      </c>
      <c r="K195" s="10">
        <v>12.71</v>
      </c>
      <c r="L195" s="13">
        <v>2.0528473800000002</v>
      </c>
    </row>
    <row r="196" spans="1:12" x14ac:dyDescent="0.15">
      <c r="A196" s="1">
        <v>123</v>
      </c>
      <c r="B196" s="10" t="s">
        <v>206</v>
      </c>
      <c r="C196" s="11">
        <v>2012</v>
      </c>
      <c r="D196" s="12">
        <v>263850</v>
      </c>
      <c r="E196" s="12">
        <v>257957</v>
      </c>
      <c r="F196" s="12">
        <v>5893</v>
      </c>
      <c r="G196" s="13">
        <v>2.78</v>
      </c>
      <c r="H196" s="12">
        <v>98257</v>
      </c>
      <c r="I196" s="12">
        <v>92799</v>
      </c>
      <c r="J196" s="12">
        <v>5458</v>
      </c>
      <c r="K196" s="10">
        <v>5.55</v>
      </c>
      <c r="L196" s="13">
        <v>2.6253294930000002</v>
      </c>
    </row>
    <row r="197" spans="1:12" x14ac:dyDescent="0.15">
      <c r="A197" s="1">
        <v>125</v>
      </c>
      <c r="B197" s="10" t="s">
        <v>207</v>
      </c>
      <c r="C197" s="11">
        <v>2012</v>
      </c>
      <c r="D197" s="12">
        <v>10078</v>
      </c>
      <c r="E197" s="12">
        <v>9830</v>
      </c>
      <c r="F197" s="12">
        <v>248</v>
      </c>
      <c r="G197" s="13">
        <v>2.5</v>
      </c>
      <c r="H197" s="12">
        <v>4246</v>
      </c>
      <c r="I197" s="12">
        <v>3929</v>
      </c>
      <c r="J197" s="12">
        <v>317</v>
      </c>
      <c r="K197" s="10">
        <v>7.47</v>
      </c>
      <c r="L197" s="13">
        <v>2.3151201129999999</v>
      </c>
    </row>
    <row r="198" spans="1:12" x14ac:dyDescent="0.15">
      <c r="A198" s="1">
        <v>0</v>
      </c>
      <c r="B198" s="10" t="s">
        <v>143</v>
      </c>
      <c r="C198" s="11">
        <v>2013</v>
      </c>
      <c r="D198" s="12">
        <v>5270883</v>
      </c>
      <c r="E198" s="12">
        <v>5149736</v>
      </c>
      <c r="F198" s="12">
        <v>121147</v>
      </c>
      <c r="G198" s="13">
        <v>2.4900000000000002</v>
      </c>
      <c r="H198" s="12">
        <v>2254094</v>
      </c>
      <c r="I198" s="12">
        <v>2065107</v>
      </c>
      <c r="J198" s="12">
        <v>188987</v>
      </c>
      <c r="K198" s="10">
        <v>8.3800000000000008</v>
      </c>
      <c r="L198" s="13">
        <v>2.2846145720000002</v>
      </c>
    </row>
    <row r="199" spans="1:12" x14ac:dyDescent="0.15">
      <c r="A199" s="1">
        <v>1</v>
      </c>
      <c r="B199" s="10" t="s">
        <v>144</v>
      </c>
      <c r="C199" s="11">
        <v>2013</v>
      </c>
      <c r="D199" s="12">
        <v>469878</v>
      </c>
      <c r="E199" s="12">
        <v>465792</v>
      </c>
      <c r="F199" s="12">
        <v>4086</v>
      </c>
      <c r="G199" s="13">
        <v>2.86</v>
      </c>
      <c r="H199" s="12">
        <v>167459</v>
      </c>
      <c r="I199" s="12">
        <v>162991</v>
      </c>
      <c r="J199" s="12">
        <v>4468</v>
      </c>
      <c r="K199" s="10">
        <v>2.67</v>
      </c>
      <c r="L199" s="13">
        <v>2.7815286129999999</v>
      </c>
    </row>
    <row r="200" spans="1:12" x14ac:dyDescent="0.15">
      <c r="A200" s="1">
        <v>3</v>
      </c>
      <c r="B200" s="10" t="s">
        <v>145</v>
      </c>
      <c r="C200" s="11">
        <v>2013</v>
      </c>
      <c r="D200" s="12">
        <v>15709</v>
      </c>
      <c r="E200" s="12">
        <v>14969</v>
      </c>
      <c r="F200" s="12">
        <v>740</v>
      </c>
      <c r="G200" s="13">
        <v>2.44</v>
      </c>
      <c r="H200" s="12">
        <v>6700</v>
      </c>
      <c r="I200" s="12">
        <v>6126</v>
      </c>
      <c r="J200" s="12">
        <v>574</v>
      </c>
      <c r="K200" s="10">
        <v>8.57</v>
      </c>
      <c r="L200" s="13">
        <v>2.2341791039999999</v>
      </c>
    </row>
    <row r="201" spans="1:12" x14ac:dyDescent="0.15">
      <c r="A201" s="1">
        <v>5</v>
      </c>
      <c r="B201" s="10" t="s">
        <v>146</v>
      </c>
      <c r="C201" s="11">
        <v>2013</v>
      </c>
      <c r="D201" s="12">
        <v>607861</v>
      </c>
      <c r="E201" s="12">
        <v>602977</v>
      </c>
      <c r="F201" s="12">
        <v>4884</v>
      </c>
      <c r="G201" s="13">
        <v>2.5499999999999998</v>
      </c>
      <c r="H201" s="12">
        <v>242604</v>
      </c>
      <c r="I201" s="12">
        <v>236352</v>
      </c>
      <c r="J201" s="12">
        <v>6252</v>
      </c>
      <c r="K201" s="10">
        <v>2.58</v>
      </c>
      <c r="L201" s="13">
        <v>2.4854371730000002</v>
      </c>
    </row>
    <row r="202" spans="1:12" x14ac:dyDescent="0.15">
      <c r="A202" s="1">
        <v>7</v>
      </c>
      <c r="B202" s="10" t="s">
        <v>147</v>
      </c>
      <c r="C202" s="11">
        <v>2013</v>
      </c>
      <c r="D202" s="12">
        <v>11995</v>
      </c>
      <c r="E202" s="12">
        <v>11878</v>
      </c>
      <c r="F202" s="12">
        <v>117</v>
      </c>
      <c r="G202" s="13">
        <v>2.2799999999999998</v>
      </c>
      <c r="H202" s="12">
        <v>8840</v>
      </c>
      <c r="I202" s="12">
        <v>5219</v>
      </c>
      <c r="J202" s="12">
        <v>3621</v>
      </c>
      <c r="K202" s="10">
        <v>40.96</v>
      </c>
      <c r="L202" s="13">
        <v>1.3436651580000001</v>
      </c>
    </row>
    <row r="203" spans="1:12" x14ac:dyDescent="0.15">
      <c r="A203" s="1">
        <v>9</v>
      </c>
      <c r="B203" s="10" t="s">
        <v>148</v>
      </c>
      <c r="C203" s="11">
        <v>2013</v>
      </c>
      <c r="D203" s="12">
        <v>3637</v>
      </c>
      <c r="E203" s="12">
        <v>3568</v>
      </c>
      <c r="F203" s="12">
        <v>69</v>
      </c>
      <c r="G203" s="13">
        <v>2.1800000000000002</v>
      </c>
      <c r="H203" s="12">
        <v>1968</v>
      </c>
      <c r="I203" s="12">
        <v>1634</v>
      </c>
      <c r="J203" s="12">
        <v>334</v>
      </c>
      <c r="K203" s="10">
        <v>16.97</v>
      </c>
      <c r="L203" s="13">
        <v>1.8130081300000001</v>
      </c>
    </row>
    <row r="204" spans="1:12" x14ac:dyDescent="0.15">
      <c r="A204" s="1">
        <v>11</v>
      </c>
      <c r="B204" s="10" t="s">
        <v>149</v>
      </c>
      <c r="C204" s="11">
        <v>2013</v>
      </c>
      <c r="D204" s="12">
        <v>5800</v>
      </c>
      <c r="E204" s="12">
        <v>4085</v>
      </c>
      <c r="F204" s="12">
        <v>1715</v>
      </c>
      <c r="G204" s="13">
        <v>2.3199999999999998</v>
      </c>
      <c r="H204" s="12">
        <v>2122</v>
      </c>
      <c r="I204" s="12">
        <v>1759</v>
      </c>
      <c r="J204" s="12">
        <v>363</v>
      </c>
      <c r="K204" s="10">
        <v>17.12</v>
      </c>
      <c r="L204" s="13">
        <v>1.9250706879999999</v>
      </c>
    </row>
    <row r="205" spans="1:12" x14ac:dyDescent="0.15">
      <c r="A205" s="1">
        <v>13</v>
      </c>
      <c r="B205" s="10" t="s">
        <v>150</v>
      </c>
      <c r="C205" s="11">
        <v>2013</v>
      </c>
      <c r="D205" s="12">
        <v>310896</v>
      </c>
      <c r="E205" s="12">
        <v>299300</v>
      </c>
      <c r="F205" s="12">
        <v>11596</v>
      </c>
      <c r="G205" s="13">
        <v>2.39</v>
      </c>
      <c r="H205" s="12">
        <v>129616</v>
      </c>
      <c r="I205" s="12">
        <v>125254</v>
      </c>
      <c r="J205" s="12">
        <v>4362</v>
      </c>
      <c r="K205" s="10">
        <v>3.37</v>
      </c>
      <c r="L205" s="13">
        <v>2.3091285030000002</v>
      </c>
    </row>
    <row r="206" spans="1:12" x14ac:dyDescent="0.15">
      <c r="A206" s="1">
        <v>14</v>
      </c>
      <c r="B206" s="10" t="s">
        <v>151</v>
      </c>
      <c r="C206" s="11">
        <v>2013</v>
      </c>
      <c r="D206" s="12">
        <v>60669</v>
      </c>
      <c r="E206" s="12">
        <v>60404</v>
      </c>
      <c r="F206" s="12">
        <v>265</v>
      </c>
      <c r="G206" s="13">
        <v>2.56</v>
      </c>
      <c r="H206" s="12">
        <v>25541</v>
      </c>
      <c r="I206" s="12">
        <v>23579</v>
      </c>
      <c r="J206" s="12">
        <v>1962</v>
      </c>
      <c r="K206" s="10">
        <v>7.68</v>
      </c>
      <c r="L206" s="13">
        <v>2.3649817940000002</v>
      </c>
    </row>
    <row r="207" spans="1:12" x14ac:dyDescent="0.15">
      <c r="A207" s="1">
        <v>15</v>
      </c>
      <c r="B207" s="10" t="s">
        <v>152</v>
      </c>
      <c r="C207" s="11">
        <v>2013</v>
      </c>
      <c r="D207" s="12">
        <v>18036</v>
      </c>
      <c r="E207" s="12">
        <v>16720</v>
      </c>
      <c r="F207" s="12">
        <v>1316</v>
      </c>
      <c r="G207" s="13">
        <v>2.16</v>
      </c>
      <c r="H207" s="12">
        <v>10085</v>
      </c>
      <c r="I207" s="12">
        <v>7756</v>
      </c>
      <c r="J207" s="12">
        <v>2329</v>
      </c>
      <c r="K207" s="10">
        <v>23.09</v>
      </c>
      <c r="L207" s="13">
        <v>1.6579077840000001</v>
      </c>
    </row>
    <row r="208" spans="1:12" x14ac:dyDescent="0.15">
      <c r="A208" s="1">
        <v>17</v>
      </c>
      <c r="B208" s="10" t="s">
        <v>153</v>
      </c>
      <c r="C208" s="11">
        <v>2013</v>
      </c>
      <c r="D208" s="12">
        <v>1818</v>
      </c>
      <c r="E208" s="12">
        <v>1776</v>
      </c>
      <c r="F208" s="12">
        <v>42</v>
      </c>
      <c r="G208" s="13">
        <v>2.29</v>
      </c>
      <c r="H208" s="12">
        <v>878</v>
      </c>
      <c r="I208" s="12">
        <v>776</v>
      </c>
      <c r="J208" s="12">
        <v>102</v>
      </c>
      <c r="K208" s="10">
        <v>11.64</v>
      </c>
      <c r="L208" s="13">
        <v>2.0227790429999999</v>
      </c>
    </row>
    <row r="209" spans="1:12" x14ac:dyDescent="0.15">
      <c r="A209" s="1">
        <v>19</v>
      </c>
      <c r="B209" s="10" t="s">
        <v>154</v>
      </c>
      <c r="C209" s="11">
        <v>2013</v>
      </c>
      <c r="D209" s="12">
        <v>8966</v>
      </c>
      <c r="E209" s="12">
        <v>8876</v>
      </c>
      <c r="F209" s="12">
        <v>90</v>
      </c>
      <c r="G209" s="13">
        <v>2.14</v>
      </c>
      <c r="H209" s="12">
        <v>5496</v>
      </c>
      <c r="I209" s="12">
        <v>4157</v>
      </c>
      <c r="J209" s="12">
        <v>1339</v>
      </c>
      <c r="K209" s="10">
        <v>24.36</v>
      </c>
      <c r="L209" s="13">
        <v>1.614992722</v>
      </c>
    </row>
    <row r="210" spans="1:12" x14ac:dyDescent="0.15">
      <c r="A210" s="1">
        <v>21</v>
      </c>
      <c r="B210" s="10" t="s">
        <v>155</v>
      </c>
      <c r="C210" s="11">
        <v>2013</v>
      </c>
      <c r="D210" s="12">
        <v>8067</v>
      </c>
      <c r="E210" s="12">
        <v>8023</v>
      </c>
      <c r="F210" s="12">
        <v>44</v>
      </c>
      <c r="G210" s="13">
        <v>2.61</v>
      </c>
      <c r="H210" s="12">
        <v>3856</v>
      </c>
      <c r="I210" s="12">
        <v>3072</v>
      </c>
      <c r="J210" s="12">
        <v>784</v>
      </c>
      <c r="K210" s="10">
        <v>20.34</v>
      </c>
      <c r="L210" s="13">
        <v>2.0806535269999999</v>
      </c>
    </row>
    <row r="211" spans="1:12" x14ac:dyDescent="0.15">
      <c r="A211" s="1">
        <v>23</v>
      </c>
      <c r="B211" s="10" t="s">
        <v>156</v>
      </c>
      <c r="C211" s="11">
        <v>2013</v>
      </c>
      <c r="D211" s="12">
        <v>3516</v>
      </c>
      <c r="E211" s="12">
        <v>3516</v>
      </c>
      <c r="F211" s="12">
        <v>0</v>
      </c>
      <c r="G211" s="13">
        <v>2.25</v>
      </c>
      <c r="H211" s="12">
        <v>2310</v>
      </c>
      <c r="I211" s="12">
        <v>1563</v>
      </c>
      <c r="J211" s="12">
        <v>747</v>
      </c>
      <c r="K211" s="10">
        <v>32.32</v>
      </c>
      <c r="L211" s="13">
        <v>1.522077922</v>
      </c>
    </row>
    <row r="212" spans="1:12" x14ac:dyDescent="0.15">
      <c r="A212" s="1">
        <v>25</v>
      </c>
      <c r="B212" s="10" t="s">
        <v>157</v>
      </c>
      <c r="C212" s="11">
        <v>2013</v>
      </c>
      <c r="D212" s="12">
        <v>5843</v>
      </c>
      <c r="E212" s="12">
        <v>3112</v>
      </c>
      <c r="F212" s="12">
        <v>2730</v>
      </c>
      <c r="G212" s="13">
        <v>2.38</v>
      </c>
      <c r="H212" s="12">
        <v>1485</v>
      </c>
      <c r="I212" s="12">
        <v>1308</v>
      </c>
      <c r="J212" s="12">
        <v>177</v>
      </c>
      <c r="K212" s="10">
        <v>11.91</v>
      </c>
      <c r="L212" s="13">
        <v>2.0956228960000001</v>
      </c>
    </row>
    <row r="213" spans="1:12" x14ac:dyDescent="0.15">
      <c r="A213" s="1">
        <v>27</v>
      </c>
      <c r="B213" s="10" t="s">
        <v>158</v>
      </c>
      <c r="C213" s="11">
        <v>2013</v>
      </c>
      <c r="D213" s="12">
        <v>4405</v>
      </c>
      <c r="E213" s="12">
        <v>4391</v>
      </c>
      <c r="F213" s="12">
        <v>14</v>
      </c>
      <c r="G213" s="13">
        <v>2.13</v>
      </c>
      <c r="H213" s="12">
        <v>3775</v>
      </c>
      <c r="I213" s="12">
        <v>2065</v>
      </c>
      <c r="J213" s="12">
        <v>1710</v>
      </c>
      <c r="K213" s="10">
        <v>45.31</v>
      </c>
      <c r="L213" s="13">
        <v>1.1631788080000001</v>
      </c>
    </row>
    <row r="214" spans="1:12" x14ac:dyDescent="0.15">
      <c r="A214" s="1">
        <v>29</v>
      </c>
      <c r="B214" s="10" t="s">
        <v>159</v>
      </c>
      <c r="C214" s="11">
        <v>2013</v>
      </c>
      <c r="D214" s="12">
        <v>30428</v>
      </c>
      <c r="E214" s="12">
        <v>29835</v>
      </c>
      <c r="F214" s="12">
        <v>593</v>
      </c>
      <c r="G214" s="13">
        <v>2.36</v>
      </c>
      <c r="H214" s="12">
        <v>14616</v>
      </c>
      <c r="I214" s="12">
        <v>12620</v>
      </c>
      <c r="J214" s="12">
        <v>1996</v>
      </c>
      <c r="K214" s="10">
        <v>13.66</v>
      </c>
      <c r="L214" s="13">
        <v>2.0412561579999999</v>
      </c>
    </row>
    <row r="215" spans="1:12" x14ac:dyDescent="0.15">
      <c r="A215" s="1">
        <v>31</v>
      </c>
      <c r="B215" s="10" t="s">
        <v>160</v>
      </c>
      <c r="C215" s="11">
        <v>2013</v>
      </c>
      <c r="D215" s="12">
        <v>645302</v>
      </c>
      <c r="E215" s="12">
        <v>629224</v>
      </c>
      <c r="F215" s="12">
        <v>16078</v>
      </c>
      <c r="G215" s="13">
        <v>2.2200000000000002</v>
      </c>
      <c r="H215" s="12">
        <v>295120</v>
      </c>
      <c r="I215" s="12">
        <v>283994</v>
      </c>
      <c r="J215" s="12">
        <v>11126</v>
      </c>
      <c r="K215" s="10">
        <v>3.77</v>
      </c>
      <c r="L215" s="13">
        <v>2.1320954190000001</v>
      </c>
    </row>
    <row r="216" spans="1:12" x14ac:dyDescent="0.15">
      <c r="A216" s="1">
        <v>33</v>
      </c>
      <c r="B216" s="10" t="s">
        <v>161</v>
      </c>
      <c r="C216" s="11">
        <v>2013</v>
      </c>
      <c r="D216" s="12">
        <v>2082</v>
      </c>
      <c r="E216" s="12">
        <v>2082</v>
      </c>
      <c r="F216" s="12">
        <v>0</v>
      </c>
      <c r="G216" s="13">
        <v>2.27</v>
      </c>
      <c r="H216" s="12">
        <v>1186</v>
      </c>
      <c r="I216" s="12">
        <v>916</v>
      </c>
      <c r="J216" s="12">
        <v>270</v>
      </c>
      <c r="K216" s="10">
        <v>22.78</v>
      </c>
      <c r="L216" s="13">
        <v>1.755480607</v>
      </c>
    </row>
    <row r="217" spans="1:12" x14ac:dyDescent="0.15">
      <c r="A217" s="1">
        <v>35</v>
      </c>
      <c r="B217" s="10" t="s">
        <v>162</v>
      </c>
      <c r="C217" s="11">
        <v>2013</v>
      </c>
      <c r="D217" s="12">
        <v>306327</v>
      </c>
      <c r="E217" s="12">
        <v>305221</v>
      </c>
      <c r="F217" s="12">
        <v>1106</v>
      </c>
      <c r="G217" s="13">
        <v>2.79</v>
      </c>
      <c r="H217" s="12">
        <v>111597</v>
      </c>
      <c r="I217" s="12">
        <v>109511</v>
      </c>
      <c r="J217" s="12">
        <v>2086</v>
      </c>
      <c r="K217" s="10">
        <v>1.87</v>
      </c>
      <c r="L217" s="13">
        <v>2.7350287190000002</v>
      </c>
    </row>
    <row r="218" spans="1:12" x14ac:dyDescent="0.15">
      <c r="A218" s="1">
        <v>37</v>
      </c>
      <c r="B218" s="10" t="s">
        <v>163</v>
      </c>
      <c r="C218" s="11">
        <v>2013</v>
      </c>
      <c r="D218" s="12">
        <v>52262</v>
      </c>
      <c r="E218" s="12">
        <v>52192</v>
      </c>
      <c r="F218" s="12">
        <v>71</v>
      </c>
      <c r="G218" s="13">
        <v>2.7</v>
      </c>
      <c r="H218" s="12">
        <v>31014</v>
      </c>
      <c r="I218" s="12">
        <v>19320</v>
      </c>
      <c r="J218" s="12">
        <v>11694</v>
      </c>
      <c r="K218" s="10">
        <v>37.71</v>
      </c>
      <c r="L218" s="13">
        <v>1.6828529050000001</v>
      </c>
    </row>
    <row r="219" spans="1:12" x14ac:dyDescent="0.15">
      <c r="A219" s="1">
        <v>39</v>
      </c>
      <c r="B219" s="10" t="s">
        <v>164</v>
      </c>
      <c r="C219" s="11">
        <v>2013</v>
      </c>
      <c r="D219" s="12">
        <v>23183</v>
      </c>
      <c r="E219" s="12">
        <v>23111</v>
      </c>
      <c r="F219" s="12">
        <v>72</v>
      </c>
      <c r="G219" s="13">
        <v>2.75</v>
      </c>
      <c r="H219" s="12">
        <v>8978</v>
      </c>
      <c r="I219" s="12">
        <v>8392</v>
      </c>
      <c r="J219" s="12">
        <v>586</v>
      </c>
      <c r="K219" s="10">
        <v>6.53</v>
      </c>
      <c r="L219" s="13">
        <v>2.5741813320000002</v>
      </c>
    </row>
    <row r="220" spans="1:12" x14ac:dyDescent="0.15">
      <c r="A220" s="1">
        <v>41</v>
      </c>
      <c r="B220" s="10" t="s">
        <v>165</v>
      </c>
      <c r="C220" s="11">
        <v>2013</v>
      </c>
      <c r="D220" s="12">
        <v>658303</v>
      </c>
      <c r="E220" s="12">
        <v>637964</v>
      </c>
      <c r="F220" s="12">
        <v>20339</v>
      </c>
      <c r="G220" s="13">
        <v>2.57</v>
      </c>
      <c r="H220" s="12">
        <v>261089</v>
      </c>
      <c r="I220" s="12">
        <v>248215</v>
      </c>
      <c r="J220" s="12">
        <v>12874</v>
      </c>
      <c r="K220" s="10">
        <v>4.93</v>
      </c>
      <c r="L220" s="13">
        <v>2.4434732979999998</v>
      </c>
    </row>
    <row r="221" spans="1:12" x14ac:dyDescent="0.15">
      <c r="A221" s="1">
        <v>43</v>
      </c>
      <c r="B221" s="10" t="s">
        <v>166</v>
      </c>
      <c r="C221" s="11">
        <v>2013</v>
      </c>
      <c r="D221" s="12">
        <v>47183</v>
      </c>
      <c r="E221" s="12">
        <v>38739</v>
      </c>
      <c r="F221" s="12">
        <v>8445</v>
      </c>
      <c r="G221" s="13">
        <v>2.2999999999999998</v>
      </c>
      <c r="H221" s="12">
        <v>19620</v>
      </c>
      <c r="I221" s="12">
        <v>16870</v>
      </c>
      <c r="J221" s="12">
        <v>2750</v>
      </c>
      <c r="K221" s="10">
        <v>14.02</v>
      </c>
      <c r="L221" s="13">
        <v>1.974464832</v>
      </c>
    </row>
    <row r="222" spans="1:12" x14ac:dyDescent="0.15">
      <c r="A222" s="1">
        <v>45</v>
      </c>
      <c r="B222" s="10" t="s">
        <v>167</v>
      </c>
      <c r="C222" s="11">
        <v>2013</v>
      </c>
      <c r="D222" s="12">
        <v>56798</v>
      </c>
      <c r="E222" s="12">
        <v>55839</v>
      </c>
      <c r="F222" s="12">
        <v>959</v>
      </c>
      <c r="G222" s="13">
        <v>2.72</v>
      </c>
      <c r="H222" s="12">
        <v>23042</v>
      </c>
      <c r="I222" s="12">
        <v>20522</v>
      </c>
      <c r="J222" s="12">
        <v>2520</v>
      </c>
      <c r="K222" s="10">
        <v>10.94</v>
      </c>
      <c r="L222" s="13">
        <v>2.4233573470000001</v>
      </c>
    </row>
    <row r="223" spans="1:12" x14ac:dyDescent="0.15">
      <c r="A223" s="1">
        <v>47</v>
      </c>
      <c r="B223" s="10" t="s">
        <v>168</v>
      </c>
      <c r="C223" s="11">
        <v>2013</v>
      </c>
      <c r="D223" s="12">
        <v>5512</v>
      </c>
      <c r="E223" s="12">
        <v>5466</v>
      </c>
      <c r="F223" s="12">
        <v>46</v>
      </c>
      <c r="G223" s="13">
        <v>2.2000000000000002</v>
      </c>
      <c r="H223" s="12">
        <v>3328</v>
      </c>
      <c r="I223" s="12">
        <v>2488</v>
      </c>
      <c r="J223" s="12">
        <v>840</v>
      </c>
      <c r="K223" s="10">
        <v>25.23</v>
      </c>
      <c r="L223" s="13">
        <v>1.642427885</v>
      </c>
    </row>
    <row r="224" spans="1:12" x14ac:dyDescent="0.15">
      <c r="A224" s="1">
        <v>49</v>
      </c>
      <c r="B224" s="10" t="s">
        <v>169</v>
      </c>
      <c r="C224" s="11">
        <v>2013</v>
      </c>
      <c r="D224" s="12">
        <v>14948</v>
      </c>
      <c r="E224" s="12">
        <v>14733</v>
      </c>
      <c r="F224" s="12">
        <v>215</v>
      </c>
      <c r="G224" s="13">
        <v>2.25</v>
      </c>
      <c r="H224" s="12">
        <v>15676</v>
      </c>
      <c r="I224" s="12">
        <v>6556</v>
      </c>
      <c r="J224" s="12">
        <v>9120</v>
      </c>
      <c r="K224" s="10">
        <v>58.18</v>
      </c>
      <c r="L224" s="13">
        <v>0.93984434800000005</v>
      </c>
    </row>
    <row r="225" spans="1:12" x14ac:dyDescent="0.15">
      <c r="A225" s="1">
        <v>51</v>
      </c>
      <c r="B225" s="10" t="s">
        <v>170</v>
      </c>
      <c r="C225" s="11">
        <v>2013</v>
      </c>
      <c r="D225" s="12">
        <v>15425</v>
      </c>
      <c r="E225" s="12">
        <v>14414</v>
      </c>
      <c r="F225" s="12">
        <v>1011</v>
      </c>
      <c r="G225" s="13">
        <v>2.2200000000000002</v>
      </c>
      <c r="H225" s="12">
        <v>11475</v>
      </c>
      <c r="I225" s="12">
        <v>6486</v>
      </c>
      <c r="J225" s="12">
        <v>4989</v>
      </c>
      <c r="K225" s="10">
        <v>43.48</v>
      </c>
      <c r="L225" s="13">
        <v>1.2561220040000001</v>
      </c>
    </row>
    <row r="226" spans="1:12" x14ac:dyDescent="0.15">
      <c r="A226" s="1">
        <v>53</v>
      </c>
      <c r="B226" s="10" t="s">
        <v>171</v>
      </c>
      <c r="C226" s="11">
        <v>2013</v>
      </c>
      <c r="D226" s="12">
        <v>825</v>
      </c>
      <c r="E226" s="12">
        <v>785</v>
      </c>
      <c r="F226" s="12">
        <v>39</v>
      </c>
      <c r="G226" s="13">
        <v>2.15</v>
      </c>
      <c r="H226" s="12">
        <v>1284</v>
      </c>
      <c r="I226" s="12">
        <v>365</v>
      </c>
      <c r="J226" s="12">
        <v>919</v>
      </c>
      <c r="K226" s="10">
        <v>71.58</v>
      </c>
      <c r="L226" s="13">
        <v>0.61137071700000001</v>
      </c>
    </row>
    <row r="227" spans="1:12" x14ac:dyDescent="0.15">
      <c r="A227" s="1">
        <v>55</v>
      </c>
      <c r="B227" s="10" t="s">
        <v>172</v>
      </c>
      <c r="C227" s="11">
        <v>2013</v>
      </c>
      <c r="D227" s="12">
        <v>6697</v>
      </c>
      <c r="E227" s="12">
        <v>6551</v>
      </c>
      <c r="F227" s="12">
        <v>146</v>
      </c>
      <c r="G227" s="13">
        <v>2.09</v>
      </c>
      <c r="H227" s="12">
        <v>4523</v>
      </c>
      <c r="I227" s="12">
        <v>3132</v>
      </c>
      <c r="J227" s="12">
        <v>1391</v>
      </c>
      <c r="K227" s="10">
        <v>30.74</v>
      </c>
      <c r="L227" s="13">
        <v>1.4483749720000001</v>
      </c>
    </row>
    <row r="228" spans="1:12" x14ac:dyDescent="0.15">
      <c r="A228" s="1">
        <v>57</v>
      </c>
      <c r="B228" s="10" t="s">
        <v>173</v>
      </c>
      <c r="C228" s="11">
        <v>2013</v>
      </c>
      <c r="D228" s="12">
        <v>1383</v>
      </c>
      <c r="E228" s="12">
        <v>1381</v>
      </c>
      <c r="F228" s="12">
        <v>2</v>
      </c>
      <c r="G228" s="13">
        <v>2.13</v>
      </c>
      <c r="H228" s="12">
        <v>1151</v>
      </c>
      <c r="I228" s="12">
        <v>648</v>
      </c>
      <c r="J228" s="12">
        <v>503</v>
      </c>
      <c r="K228" s="10">
        <v>43.69</v>
      </c>
      <c r="L228" s="13">
        <v>1.199826238</v>
      </c>
    </row>
    <row r="229" spans="1:12" x14ac:dyDescent="0.15">
      <c r="A229" s="1">
        <v>59</v>
      </c>
      <c r="B229" s="10" t="s">
        <v>174</v>
      </c>
      <c r="C229" s="11">
        <v>2013</v>
      </c>
      <c r="D229" s="12">
        <v>552236</v>
      </c>
      <c r="E229" s="12">
        <v>544284</v>
      </c>
      <c r="F229" s="12">
        <v>7952</v>
      </c>
      <c r="G229" s="13">
        <v>2.42</v>
      </c>
      <c r="H229" s="12">
        <v>233257</v>
      </c>
      <c r="I229" s="12">
        <v>225291</v>
      </c>
      <c r="J229" s="12">
        <v>7966</v>
      </c>
      <c r="K229" s="10">
        <v>3.42</v>
      </c>
      <c r="L229" s="13">
        <v>2.3334090719999998</v>
      </c>
    </row>
    <row r="230" spans="1:12" x14ac:dyDescent="0.15">
      <c r="A230" s="1">
        <v>61</v>
      </c>
      <c r="B230" s="10" t="s">
        <v>175</v>
      </c>
      <c r="C230" s="11">
        <v>2013</v>
      </c>
      <c r="D230" s="12">
        <v>1397</v>
      </c>
      <c r="E230" s="12">
        <v>1377</v>
      </c>
      <c r="F230" s="12">
        <v>20</v>
      </c>
      <c r="G230" s="13">
        <v>2.29</v>
      </c>
      <c r="H230" s="12">
        <v>730</v>
      </c>
      <c r="I230" s="12">
        <v>601</v>
      </c>
      <c r="J230" s="12">
        <v>129</v>
      </c>
      <c r="K230" s="10">
        <v>17.649999999999999</v>
      </c>
      <c r="L230" s="13">
        <v>1.88630137</v>
      </c>
    </row>
    <row r="231" spans="1:12" x14ac:dyDescent="0.15">
      <c r="A231" s="1">
        <v>63</v>
      </c>
      <c r="B231" s="10" t="s">
        <v>176</v>
      </c>
      <c r="C231" s="11">
        <v>2013</v>
      </c>
      <c r="D231" s="12">
        <v>8006</v>
      </c>
      <c r="E231" s="12">
        <v>7225</v>
      </c>
      <c r="F231" s="12">
        <v>780</v>
      </c>
      <c r="G231" s="13">
        <v>2.39</v>
      </c>
      <c r="H231" s="12">
        <v>3379</v>
      </c>
      <c r="I231" s="12">
        <v>3028</v>
      </c>
      <c r="J231" s="12">
        <v>351</v>
      </c>
      <c r="K231" s="10">
        <v>10.37</v>
      </c>
      <c r="L231" s="13">
        <v>2.1382065699999999</v>
      </c>
    </row>
    <row r="232" spans="1:12" x14ac:dyDescent="0.15">
      <c r="A232" s="1">
        <v>65</v>
      </c>
      <c r="B232" s="10" t="s">
        <v>177</v>
      </c>
      <c r="C232" s="11">
        <v>2013</v>
      </c>
      <c r="D232" s="12">
        <v>7071</v>
      </c>
      <c r="E232" s="12">
        <v>6997</v>
      </c>
      <c r="F232" s="12">
        <v>74</v>
      </c>
      <c r="G232" s="13">
        <v>2.42</v>
      </c>
      <c r="H232" s="12">
        <v>4277</v>
      </c>
      <c r="I232" s="12">
        <v>2896</v>
      </c>
      <c r="J232" s="12">
        <v>1381</v>
      </c>
      <c r="K232" s="10">
        <v>32.29</v>
      </c>
      <c r="L232" s="13">
        <v>1.6359597850000001</v>
      </c>
    </row>
    <row r="233" spans="1:12" x14ac:dyDescent="0.15">
      <c r="A233" s="1">
        <v>67</v>
      </c>
      <c r="B233" s="10" t="s">
        <v>178</v>
      </c>
      <c r="C233" s="11">
        <v>2013</v>
      </c>
      <c r="D233" s="12">
        <v>53146</v>
      </c>
      <c r="E233" s="12">
        <v>51067</v>
      </c>
      <c r="F233" s="12">
        <v>2079</v>
      </c>
      <c r="G233" s="13">
        <v>2.33</v>
      </c>
      <c r="H233" s="12">
        <v>26262</v>
      </c>
      <c r="I233" s="12">
        <v>21878</v>
      </c>
      <c r="J233" s="12">
        <v>4384</v>
      </c>
      <c r="K233" s="10">
        <v>16.690000000000001</v>
      </c>
      <c r="L233" s="13">
        <v>1.9445205999999999</v>
      </c>
    </row>
    <row r="234" spans="1:12" x14ac:dyDescent="0.15">
      <c r="A234" s="1">
        <v>69</v>
      </c>
      <c r="B234" s="10" t="s">
        <v>179</v>
      </c>
      <c r="C234" s="11">
        <v>2013</v>
      </c>
      <c r="D234" s="12">
        <v>316337</v>
      </c>
      <c r="E234" s="12">
        <v>307160</v>
      </c>
      <c r="F234" s="12">
        <v>9177</v>
      </c>
      <c r="G234" s="13">
        <v>2.42</v>
      </c>
      <c r="H234" s="12">
        <v>138277</v>
      </c>
      <c r="I234" s="12">
        <v>127128</v>
      </c>
      <c r="J234" s="12">
        <v>11149</v>
      </c>
      <c r="K234" s="10">
        <v>8.06</v>
      </c>
      <c r="L234" s="13">
        <v>2.2213383279999999</v>
      </c>
    </row>
    <row r="235" spans="1:12" x14ac:dyDescent="0.15">
      <c r="A235" s="1">
        <v>71</v>
      </c>
      <c r="B235" s="10" t="s">
        <v>180</v>
      </c>
      <c r="C235" s="11">
        <v>2013</v>
      </c>
      <c r="D235" s="12">
        <v>15172</v>
      </c>
      <c r="E235" s="12">
        <v>14362</v>
      </c>
      <c r="F235" s="12">
        <v>810</v>
      </c>
      <c r="G235" s="13">
        <v>2.2599999999999998</v>
      </c>
      <c r="H235" s="12">
        <v>7915</v>
      </c>
      <c r="I235" s="12">
        <v>6356</v>
      </c>
      <c r="J235" s="12">
        <v>1559</v>
      </c>
      <c r="K235" s="10">
        <v>19.7</v>
      </c>
      <c r="L235" s="13">
        <v>1.814529375</v>
      </c>
    </row>
    <row r="236" spans="1:12" x14ac:dyDescent="0.15">
      <c r="A236" s="1">
        <v>73</v>
      </c>
      <c r="B236" s="10" t="s">
        <v>181</v>
      </c>
      <c r="C236" s="11">
        <v>2013</v>
      </c>
      <c r="D236" s="12">
        <v>5522</v>
      </c>
      <c r="E236" s="12">
        <v>4504</v>
      </c>
      <c r="F236" s="12">
        <v>1018</v>
      </c>
      <c r="G236" s="13">
        <v>2.31</v>
      </c>
      <c r="H236" s="12">
        <v>2257</v>
      </c>
      <c r="I236" s="12">
        <v>1953</v>
      </c>
      <c r="J236" s="12">
        <v>304</v>
      </c>
      <c r="K236" s="10">
        <v>13.49</v>
      </c>
      <c r="L236" s="13">
        <v>1.9955693400000001</v>
      </c>
    </row>
    <row r="237" spans="1:12" x14ac:dyDescent="0.15">
      <c r="A237" s="1">
        <v>75</v>
      </c>
      <c r="B237" s="10" t="s">
        <v>182</v>
      </c>
      <c r="C237" s="11">
        <v>2013</v>
      </c>
      <c r="D237" s="12">
        <v>22056</v>
      </c>
      <c r="E237" s="12">
        <v>18704</v>
      </c>
      <c r="F237" s="12">
        <v>3352</v>
      </c>
      <c r="G237" s="13">
        <v>2.33</v>
      </c>
      <c r="H237" s="12">
        <v>8526</v>
      </c>
      <c r="I237" s="12">
        <v>8025</v>
      </c>
      <c r="J237" s="12">
        <v>501</v>
      </c>
      <c r="K237" s="10">
        <v>5.88</v>
      </c>
      <c r="L237" s="13">
        <v>2.1937602630000002</v>
      </c>
    </row>
    <row r="238" spans="1:12" x14ac:dyDescent="0.15">
      <c r="A238" s="1">
        <v>77</v>
      </c>
      <c r="B238" s="10" t="s">
        <v>183</v>
      </c>
      <c r="C238" s="11">
        <v>2013</v>
      </c>
      <c r="D238" s="12">
        <v>147926</v>
      </c>
      <c r="E238" s="12">
        <v>143247</v>
      </c>
      <c r="F238" s="12">
        <v>4679</v>
      </c>
      <c r="G238" s="13">
        <v>2.44</v>
      </c>
      <c r="H238" s="12">
        <v>63811</v>
      </c>
      <c r="I238" s="12">
        <v>58589</v>
      </c>
      <c r="J238" s="12">
        <v>5222</v>
      </c>
      <c r="K238" s="10">
        <v>8.18</v>
      </c>
      <c r="L238" s="13">
        <v>2.2448637379999998</v>
      </c>
    </row>
    <row r="239" spans="1:12" x14ac:dyDescent="0.15">
      <c r="A239" s="1">
        <v>79</v>
      </c>
      <c r="B239" s="10" t="s">
        <v>184</v>
      </c>
      <c r="C239" s="11">
        <v>2013</v>
      </c>
      <c r="D239" s="12">
        <v>734</v>
      </c>
      <c r="E239" s="12">
        <v>734</v>
      </c>
      <c r="F239" s="12">
        <v>0</v>
      </c>
      <c r="G239" s="13">
        <v>2.02</v>
      </c>
      <c r="H239" s="12">
        <v>1119</v>
      </c>
      <c r="I239" s="12">
        <v>363</v>
      </c>
      <c r="J239" s="12">
        <v>756</v>
      </c>
      <c r="K239" s="10">
        <v>67.52</v>
      </c>
      <c r="L239" s="13">
        <v>0.65594280599999999</v>
      </c>
    </row>
    <row r="240" spans="1:12" x14ac:dyDescent="0.15">
      <c r="A240" s="1">
        <v>81</v>
      </c>
      <c r="B240" s="10" t="s">
        <v>185</v>
      </c>
      <c r="C240" s="11">
        <v>2013</v>
      </c>
      <c r="D240" s="12">
        <v>13187</v>
      </c>
      <c r="E240" s="12">
        <v>13080</v>
      </c>
      <c r="F240" s="12">
        <v>107</v>
      </c>
      <c r="G240" s="13">
        <v>2.4900000000000002</v>
      </c>
      <c r="H240" s="12">
        <v>5990</v>
      </c>
      <c r="I240" s="12">
        <v>5249</v>
      </c>
      <c r="J240" s="12">
        <v>741</v>
      </c>
      <c r="K240" s="10">
        <v>12.38</v>
      </c>
      <c r="L240" s="13">
        <v>2.183639399</v>
      </c>
    </row>
    <row r="241" spans="1:12" x14ac:dyDescent="0.15">
      <c r="A241" s="1">
        <v>83</v>
      </c>
      <c r="B241" s="10" t="s">
        <v>186</v>
      </c>
      <c r="C241" s="11">
        <v>2013</v>
      </c>
      <c r="D241" s="12">
        <v>25485</v>
      </c>
      <c r="E241" s="12">
        <v>25233</v>
      </c>
      <c r="F241" s="12">
        <v>253</v>
      </c>
      <c r="G241" s="13">
        <v>2.39</v>
      </c>
      <c r="H241" s="12">
        <v>11960</v>
      </c>
      <c r="I241" s="12">
        <v>10559</v>
      </c>
      <c r="J241" s="12">
        <v>1401</v>
      </c>
      <c r="K241" s="10">
        <v>11.71</v>
      </c>
      <c r="L241" s="13">
        <v>2.1097826089999998</v>
      </c>
    </row>
    <row r="242" spans="1:12" x14ac:dyDescent="0.15">
      <c r="A242" s="1">
        <v>85</v>
      </c>
      <c r="B242" s="10" t="s">
        <v>187</v>
      </c>
      <c r="C242" s="11">
        <v>2013</v>
      </c>
      <c r="D242" s="12">
        <v>41331</v>
      </c>
      <c r="E242" s="12">
        <v>40754</v>
      </c>
      <c r="F242" s="12">
        <v>577</v>
      </c>
      <c r="G242" s="13">
        <v>2.4500000000000002</v>
      </c>
      <c r="H242" s="12">
        <v>17500</v>
      </c>
      <c r="I242" s="12">
        <v>16631</v>
      </c>
      <c r="J242" s="12">
        <v>869</v>
      </c>
      <c r="K242" s="10">
        <v>4.97</v>
      </c>
      <c r="L242" s="13">
        <v>2.3288000000000002</v>
      </c>
    </row>
    <row r="243" spans="1:12" x14ac:dyDescent="0.15">
      <c r="A243" s="1">
        <v>87</v>
      </c>
      <c r="B243" s="10" t="s">
        <v>188</v>
      </c>
      <c r="C243" s="11">
        <v>2013</v>
      </c>
      <c r="D243" s="12">
        <v>28249</v>
      </c>
      <c r="E243" s="12">
        <v>27715</v>
      </c>
      <c r="F243" s="12">
        <v>534</v>
      </c>
      <c r="G243" s="13">
        <v>2.68</v>
      </c>
      <c r="H243" s="12">
        <v>11033</v>
      </c>
      <c r="I243" s="12">
        <v>10334</v>
      </c>
      <c r="J243" s="12">
        <v>699</v>
      </c>
      <c r="K243" s="10">
        <v>6.34</v>
      </c>
      <c r="L243" s="13">
        <v>2.5120094260000001</v>
      </c>
    </row>
    <row r="244" spans="1:12" x14ac:dyDescent="0.15">
      <c r="A244" s="1">
        <v>89</v>
      </c>
      <c r="B244" s="10" t="s">
        <v>189</v>
      </c>
      <c r="C244" s="11">
        <v>2013</v>
      </c>
      <c r="D244" s="12">
        <v>18799</v>
      </c>
      <c r="E244" s="12">
        <v>18371</v>
      </c>
      <c r="F244" s="12">
        <v>428</v>
      </c>
      <c r="G244" s="13">
        <v>2.38</v>
      </c>
      <c r="H244" s="12">
        <v>8696</v>
      </c>
      <c r="I244" s="12">
        <v>7718</v>
      </c>
      <c r="J244" s="12">
        <v>978</v>
      </c>
      <c r="K244" s="10">
        <v>11.25</v>
      </c>
      <c r="L244" s="13">
        <v>2.1125804970000002</v>
      </c>
    </row>
    <row r="245" spans="1:12" x14ac:dyDescent="0.15">
      <c r="A245" s="1">
        <v>91</v>
      </c>
      <c r="B245" s="10" t="s">
        <v>190</v>
      </c>
      <c r="C245" s="11">
        <v>2013</v>
      </c>
      <c r="D245" s="12">
        <v>4515</v>
      </c>
      <c r="E245" s="12">
        <v>4515</v>
      </c>
      <c r="F245" s="12">
        <v>0</v>
      </c>
      <c r="G245" s="13">
        <v>2.17</v>
      </c>
      <c r="H245" s="12">
        <v>3112</v>
      </c>
      <c r="I245" s="12">
        <v>2078</v>
      </c>
      <c r="J245" s="12">
        <v>1034</v>
      </c>
      <c r="K245" s="10">
        <v>33.229999999999997</v>
      </c>
      <c r="L245" s="13">
        <v>1.450835476</v>
      </c>
    </row>
    <row r="246" spans="1:12" x14ac:dyDescent="0.15">
      <c r="A246" s="1">
        <v>93</v>
      </c>
      <c r="B246" s="10" t="s">
        <v>191</v>
      </c>
      <c r="C246" s="11">
        <v>2013</v>
      </c>
      <c r="D246" s="12">
        <v>15730</v>
      </c>
      <c r="E246" s="12">
        <v>15657</v>
      </c>
      <c r="F246" s="12">
        <v>73</v>
      </c>
      <c r="G246" s="13">
        <v>2.2400000000000002</v>
      </c>
      <c r="H246" s="12">
        <v>13809</v>
      </c>
      <c r="I246" s="12">
        <v>6993</v>
      </c>
      <c r="J246" s="12">
        <v>6816</v>
      </c>
      <c r="K246" s="10">
        <v>49.36</v>
      </c>
      <c r="L246" s="13">
        <v>1.133825766</v>
      </c>
    </row>
    <row r="247" spans="1:12" x14ac:dyDescent="0.15">
      <c r="A247" s="1">
        <v>95</v>
      </c>
      <c r="B247" s="10" t="s">
        <v>192</v>
      </c>
      <c r="C247" s="11">
        <v>2013</v>
      </c>
      <c r="D247" s="12">
        <v>4486</v>
      </c>
      <c r="E247" s="12">
        <v>4423</v>
      </c>
      <c r="F247" s="12">
        <v>63</v>
      </c>
      <c r="G247" s="13">
        <v>2.42</v>
      </c>
      <c r="H247" s="12">
        <v>1964</v>
      </c>
      <c r="I247" s="12">
        <v>1826</v>
      </c>
      <c r="J247" s="12">
        <v>138</v>
      </c>
      <c r="K247" s="10">
        <v>7.02</v>
      </c>
      <c r="L247" s="13">
        <v>2.2520366599999999</v>
      </c>
    </row>
    <row r="248" spans="1:12" x14ac:dyDescent="0.15">
      <c r="A248" s="1">
        <v>97</v>
      </c>
      <c r="B248" s="10" t="s">
        <v>193</v>
      </c>
      <c r="C248" s="11">
        <v>2013</v>
      </c>
      <c r="D248" s="12">
        <v>17321</v>
      </c>
      <c r="E248" s="12">
        <v>17249</v>
      </c>
      <c r="F248" s="12">
        <v>72</v>
      </c>
      <c r="G248" s="13">
        <v>2.11</v>
      </c>
      <c r="H248" s="12">
        <v>12699</v>
      </c>
      <c r="I248" s="12">
        <v>8166</v>
      </c>
      <c r="J248" s="12">
        <v>4533</v>
      </c>
      <c r="K248" s="10">
        <v>35.700000000000003</v>
      </c>
      <c r="L248" s="13">
        <v>1.3582959290000001</v>
      </c>
    </row>
    <row r="249" spans="1:12" x14ac:dyDescent="0.15">
      <c r="A249" s="1">
        <v>99</v>
      </c>
      <c r="B249" s="10" t="s">
        <v>194</v>
      </c>
      <c r="C249" s="11">
        <v>2013</v>
      </c>
      <c r="D249" s="12">
        <v>12287</v>
      </c>
      <c r="E249" s="12">
        <v>11956</v>
      </c>
      <c r="F249" s="12">
        <v>331</v>
      </c>
      <c r="G249" s="13">
        <v>2.4900000000000002</v>
      </c>
      <c r="H249" s="12">
        <v>5432</v>
      </c>
      <c r="I249" s="12">
        <v>4804</v>
      </c>
      <c r="J249" s="12">
        <v>628</v>
      </c>
      <c r="K249" s="10">
        <v>11.56</v>
      </c>
      <c r="L249" s="13">
        <v>2.2010309280000002</v>
      </c>
    </row>
    <row r="250" spans="1:12" x14ac:dyDescent="0.15">
      <c r="A250" s="1">
        <v>101</v>
      </c>
      <c r="B250" s="10" t="s">
        <v>195</v>
      </c>
      <c r="C250" s="11">
        <v>2013</v>
      </c>
      <c r="D250" s="12">
        <v>160565</v>
      </c>
      <c r="E250" s="12">
        <v>156556</v>
      </c>
      <c r="F250" s="12">
        <v>4009</v>
      </c>
      <c r="G250" s="13">
        <v>2.46</v>
      </c>
      <c r="H250" s="12">
        <v>70176</v>
      </c>
      <c r="I250" s="12">
        <v>63742</v>
      </c>
      <c r="J250" s="12">
        <v>6434</v>
      </c>
      <c r="K250" s="10">
        <v>9.17</v>
      </c>
      <c r="L250" s="13">
        <v>2.2309051530000001</v>
      </c>
    </row>
    <row r="251" spans="1:12" x14ac:dyDescent="0.15">
      <c r="A251" s="1">
        <v>103</v>
      </c>
      <c r="B251" s="10" t="s">
        <v>196</v>
      </c>
      <c r="C251" s="11">
        <v>2013</v>
      </c>
      <c r="D251" s="12">
        <v>6764</v>
      </c>
      <c r="E251" s="12">
        <v>6358</v>
      </c>
      <c r="F251" s="12">
        <v>406</v>
      </c>
      <c r="G251" s="13">
        <v>2.4300000000000002</v>
      </c>
      <c r="H251" s="12">
        <v>3214</v>
      </c>
      <c r="I251" s="12">
        <v>2616</v>
      </c>
      <c r="J251" s="12">
        <v>598</v>
      </c>
      <c r="K251" s="10">
        <v>18.61</v>
      </c>
      <c r="L251" s="13">
        <v>1.978220286</v>
      </c>
    </row>
    <row r="252" spans="1:12" x14ac:dyDescent="0.15">
      <c r="A252" s="1">
        <v>105</v>
      </c>
      <c r="B252" s="10" t="s">
        <v>197</v>
      </c>
      <c r="C252" s="11">
        <v>2013</v>
      </c>
      <c r="D252" s="12">
        <v>11868</v>
      </c>
      <c r="E252" s="12">
        <v>11689</v>
      </c>
      <c r="F252" s="12">
        <v>179</v>
      </c>
      <c r="G252" s="13">
        <v>2.44</v>
      </c>
      <c r="H252" s="12">
        <v>6365</v>
      </c>
      <c r="I252" s="12">
        <v>4788</v>
      </c>
      <c r="J252" s="12">
        <v>1577</v>
      </c>
      <c r="K252" s="10">
        <v>24.77</v>
      </c>
      <c r="L252" s="13">
        <v>1.8364493319999999</v>
      </c>
    </row>
    <row r="253" spans="1:12" x14ac:dyDescent="0.15">
      <c r="A253" s="1">
        <v>107</v>
      </c>
      <c r="B253" s="10" t="s">
        <v>198</v>
      </c>
      <c r="C253" s="11">
        <v>2013</v>
      </c>
      <c r="D253" s="12">
        <v>23578</v>
      </c>
      <c r="E253" s="12">
        <v>23238</v>
      </c>
      <c r="F253" s="12">
        <v>340</v>
      </c>
      <c r="G253" s="13">
        <v>2.35</v>
      </c>
      <c r="H253" s="12">
        <v>15670</v>
      </c>
      <c r="I253" s="12">
        <v>9903</v>
      </c>
      <c r="J253" s="12">
        <v>5767</v>
      </c>
      <c r="K253" s="10">
        <v>36.799999999999997</v>
      </c>
      <c r="L253" s="13">
        <v>1.4829610719999999</v>
      </c>
    </row>
    <row r="254" spans="1:12" x14ac:dyDescent="0.15">
      <c r="A254" s="1">
        <v>109</v>
      </c>
      <c r="B254" s="10" t="s">
        <v>199</v>
      </c>
      <c r="C254" s="11">
        <v>2013</v>
      </c>
      <c r="D254" s="12">
        <v>6166</v>
      </c>
      <c r="E254" s="12">
        <v>6144</v>
      </c>
      <c r="F254" s="12">
        <v>23</v>
      </c>
      <c r="G254" s="13">
        <v>2.29</v>
      </c>
      <c r="H254" s="12">
        <v>3321</v>
      </c>
      <c r="I254" s="12">
        <v>2686</v>
      </c>
      <c r="J254" s="12">
        <v>635</v>
      </c>
      <c r="K254" s="10">
        <v>19.11</v>
      </c>
      <c r="L254" s="13">
        <v>1.850045167</v>
      </c>
    </row>
    <row r="255" spans="1:12" x14ac:dyDescent="0.15">
      <c r="A255" s="1">
        <v>111</v>
      </c>
      <c r="B255" s="10" t="s">
        <v>200</v>
      </c>
      <c r="C255" s="11">
        <v>2013</v>
      </c>
      <c r="D255" s="12">
        <v>704</v>
      </c>
      <c r="E255" s="12">
        <v>704</v>
      </c>
      <c r="F255" s="12">
        <v>0</v>
      </c>
      <c r="G255" s="13">
        <v>1.99</v>
      </c>
      <c r="H255" s="12">
        <v>747</v>
      </c>
      <c r="I255" s="12">
        <v>353</v>
      </c>
      <c r="J255" s="12">
        <v>394</v>
      </c>
      <c r="K255" s="10">
        <v>52.76</v>
      </c>
      <c r="L255" s="13">
        <v>0.94243641199999995</v>
      </c>
    </row>
    <row r="256" spans="1:12" x14ac:dyDescent="0.15">
      <c r="A256" s="1">
        <v>113</v>
      </c>
      <c r="B256" s="10" t="s">
        <v>201</v>
      </c>
      <c r="C256" s="11">
        <v>2013</v>
      </c>
      <c r="D256" s="12">
        <v>7615</v>
      </c>
      <c r="E256" s="12">
        <v>7499</v>
      </c>
      <c r="F256" s="12">
        <v>116</v>
      </c>
      <c r="G256" s="13">
        <v>2.16</v>
      </c>
      <c r="H256" s="12">
        <v>6209</v>
      </c>
      <c r="I256" s="12">
        <v>3467</v>
      </c>
      <c r="J256" s="12">
        <v>2742</v>
      </c>
      <c r="K256" s="10">
        <v>44.17</v>
      </c>
      <c r="L256" s="13">
        <v>1.2077629249999999</v>
      </c>
    </row>
    <row r="257" spans="1:12" x14ac:dyDescent="0.15">
      <c r="A257" s="1">
        <v>115</v>
      </c>
      <c r="B257" s="10" t="s">
        <v>202</v>
      </c>
      <c r="C257" s="11">
        <v>2013</v>
      </c>
      <c r="D257" s="12">
        <v>2379</v>
      </c>
      <c r="E257" s="12">
        <v>2342</v>
      </c>
      <c r="F257" s="12">
        <v>37</v>
      </c>
      <c r="G257" s="13">
        <v>2.16</v>
      </c>
      <c r="H257" s="12">
        <v>1327</v>
      </c>
      <c r="I257" s="12">
        <v>1086</v>
      </c>
      <c r="J257" s="12">
        <v>241</v>
      </c>
      <c r="K257" s="10">
        <v>18.149999999999999</v>
      </c>
      <c r="L257" s="13">
        <v>1.7648831949999999</v>
      </c>
    </row>
    <row r="258" spans="1:12" x14ac:dyDescent="0.15">
      <c r="A258" s="1">
        <v>117</v>
      </c>
      <c r="B258" s="10" t="s">
        <v>203</v>
      </c>
      <c r="C258" s="11">
        <v>2013</v>
      </c>
      <c r="D258" s="12">
        <v>28860</v>
      </c>
      <c r="E258" s="12">
        <v>28502</v>
      </c>
      <c r="F258" s="12">
        <v>358</v>
      </c>
      <c r="G258" s="13">
        <v>2.36</v>
      </c>
      <c r="H258" s="12">
        <v>29882</v>
      </c>
      <c r="I258" s="12">
        <v>12085</v>
      </c>
      <c r="J258" s="12">
        <v>17797</v>
      </c>
      <c r="K258" s="10">
        <v>59.56</v>
      </c>
      <c r="L258" s="13">
        <v>0.95381835199999998</v>
      </c>
    </row>
    <row r="259" spans="1:12" x14ac:dyDescent="0.15">
      <c r="A259" s="1">
        <v>119</v>
      </c>
      <c r="B259" s="10" t="s">
        <v>204</v>
      </c>
      <c r="C259" s="11">
        <v>2013</v>
      </c>
      <c r="D259" s="12">
        <v>23110</v>
      </c>
      <c r="E259" s="12">
        <v>22963</v>
      </c>
      <c r="F259" s="12">
        <v>147</v>
      </c>
      <c r="G259" s="13">
        <v>2.35</v>
      </c>
      <c r="H259" s="12">
        <v>12744</v>
      </c>
      <c r="I259" s="12">
        <v>9769</v>
      </c>
      <c r="J259" s="12">
        <v>2975</v>
      </c>
      <c r="K259" s="10">
        <v>23.34</v>
      </c>
      <c r="L259" s="13">
        <v>1.801867546</v>
      </c>
    </row>
    <row r="260" spans="1:12" x14ac:dyDescent="0.15">
      <c r="A260" s="1">
        <v>121</v>
      </c>
      <c r="B260" s="10" t="s">
        <v>205</v>
      </c>
      <c r="C260" s="11">
        <v>2013</v>
      </c>
      <c r="D260" s="12">
        <v>4614</v>
      </c>
      <c r="E260" s="12">
        <v>4521</v>
      </c>
      <c r="F260" s="12">
        <v>93</v>
      </c>
      <c r="G260" s="13">
        <v>2.36</v>
      </c>
      <c r="H260" s="12">
        <v>2199</v>
      </c>
      <c r="I260" s="12">
        <v>1917</v>
      </c>
      <c r="J260" s="12">
        <v>282</v>
      </c>
      <c r="K260" s="10">
        <v>12.82</v>
      </c>
      <c r="L260" s="13">
        <v>2.0559345160000002</v>
      </c>
    </row>
    <row r="261" spans="1:12" x14ac:dyDescent="0.15">
      <c r="A261" s="1">
        <v>123</v>
      </c>
      <c r="B261" s="10" t="s">
        <v>206</v>
      </c>
      <c r="C261" s="11">
        <v>2013</v>
      </c>
      <c r="D261" s="12">
        <v>269770</v>
      </c>
      <c r="E261" s="12">
        <v>263855</v>
      </c>
      <c r="F261" s="12">
        <v>5915</v>
      </c>
      <c r="G261" s="13">
        <v>2.79</v>
      </c>
      <c r="H261" s="12">
        <v>99547</v>
      </c>
      <c r="I261" s="12">
        <v>94661</v>
      </c>
      <c r="J261" s="12">
        <v>4886</v>
      </c>
      <c r="K261" s="10">
        <v>4.91</v>
      </c>
      <c r="L261" s="13">
        <v>2.6505570230000002</v>
      </c>
    </row>
    <row r="262" spans="1:12" x14ac:dyDescent="0.15">
      <c r="A262" s="1">
        <v>125</v>
      </c>
      <c r="B262" s="10" t="s">
        <v>207</v>
      </c>
      <c r="C262" s="11">
        <v>2013</v>
      </c>
      <c r="D262" s="12">
        <v>10143</v>
      </c>
      <c r="E262" s="12">
        <v>9830</v>
      </c>
      <c r="F262" s="12">
        <v>313</v>
      </c>
      <c r="G262" s="13">
        <v>2.5099999999999998</v>
      </c>
      <c r="H262" s="12">
        <v>4254</v>
      </c>
      <c r="I262" s="12">
        <v>3921</v>
      </c>
      <c r="J262" s="12">
        <v>333</v>
      </c>
      <c r="K262" s="10">
        <v>7.82</v>
      </c>
      <c r="L262" s="13">
        <v>2.3107663380000001</v>
      </c>
    </row>
    <row r="263" spans="1:12" x14ac:dyDescent="0.15">
      <c r="A263" s="1">
        <v>0</v>
      </c>
      <c r="B263" s="10" t="s">
        <v>143</v>
      </c>
      <c r="C263" s="11">
        <v>2014</v>
      </c>
      <c r="D263" s="12">
        <v>5347655</v>
      </c>
      <c r="E263" s="12">
        <v>5225942</v>
      </c>
      <c r="F263" s="12">
        <v>121712</v>
      </c>
      <c r="G263" s="13">
        <v>2.4900000000000002</v>
      </c>
      <c r="H263" s="12">
        <v>2281231</v>
      </c>
      <c r="I263" s="12">
        <v>2094728</v>
      </c>
      <c r="J263" s="12">
        <v>186503</v>
      </c>
      <c r="K263" s="10">
        <v>8.18</v>
      </c>
      <c r="L263" s="13">
        <v>2.2908429699999999</v>
      </c>
    </row>
    <row r="264" spans="1:12" x14ac:dyDescent="0.15">
      <c r="A264" s="1">
        <v>1</v>
      </c>
      <c r="B264" s="10" t="s">
        <v>144</v>
      </c>
      <c r="C264" s="11">
        <v>2014</v>
      </c>
      <c r="D264" s="12">
        <v>479901</v>
      </c>
      <c r="E264" s="12">
        <v>475690</v>
      </c>
      <c r="F264" s="12">
        <v>4211</v>
      </c>
      <c r="G264" s="13">
        <v>2.86</v>
      </c>
      <c r="H264" s="12">
        <v>169377</v>
      </c>
      <c r="I264" s="12">
        <v>166221</v>
      </c>
      <c r="J264" s="12">
        <v>3156</v>
      </c>
      <c r="K264" s="10">
        <v>1.86</v>
      </c>
      <c r="L264" s="13">
        <v>2.808468682</v>
      </c>
    </row>
    <row r="265" spans="1:12" x14ac:dyDescent="0.15">
      <c r="A265" s="1">
        <v>3</v>
      </c>
      <c r="B265" s="10" t="s">
        <v>145</v>
      </c>
      <c r="C265" s="11">
        <v>2014</v>
      </c>
      <c r="D265" s="12">
        <v>15788</v>
      </c>
      <c r="E265" s="12">
        <v>14923</v>
      </c>
      <c r="F265" s="12">
        <v>865</v>
      </c>
      <c r="G265" s="13">
        <v>2.44</v>
      </c>
      <c r="H265" s="12">
        <v>6747</v>
      </c>
      <c r="I265" s="12">
        <v>6115</v>
      </c>
      <c r="J265" s="12">
        <v>632</v>
      </c>
      <c r="K265" s="10">
        <v>9.3699999999999992</v>
      </c>
      <c r="L265" s="13">
        <v>2.2117978360000001</v>
      </c>
    </row>
    <row r="266" spans="1:12" x14ac:dyDescent="0.15">
      <c r="A266" s="1">
        <v>5</v>
      </c>
      <c r="B266" s="10" t="s">
        <v>146</v>
      </c>
      <c r="C266" s="11">
        <v>2014</v>
      </c>
      <c r="D266" s="12">
        <v>618310</v>
      </c>
      <c r="E266" s="12">
        <v>613335</v>
      </c>
      <c r="F266" s="12">
        <v>4975</v>
      </c>
      <c r="G266" s="13">
        <v>2.56</v>
      </c>
      <c r="H266" s="12">
        <v>245659</v>
      </c>
      <c r="I266" s="12">
        <v>239801</v>
      </c>
      <c r="J266" s="12">
        <v>5858</v>
      </c>
      <c r="K266" s="10">
        <v>2.38</v>
      </c>
      <c r="L266" s="13">
        <v>2.49669257</v>
      </c>
    </row>
    <row r="267" spans="1:12" x14ac:dyDescent="0.15">
      <c r="A267" s="1">
        <v>7</v>
      </c>
      <c r="B267" s="10" t="s">
        <v>147</v>
      </c>
      <c r="C267" s="11">
        <v>2014</v>
      </c>
      <c r="D267" s="12">
        <v>11931</v>
      </c>
      <c r="E267" s="12">
        <v>11818</v>
      </c>
      <c r="F267" s="12">
        <v>113</v>
      </c>
      <c r="G267" s="13">
        <v>2.2799999999999998</v>
      </c>
      <c r="H267" s="12">
        <v>8899</v>
      </c>
      <c r="I267" s="12">
        <v>5187</v>
      </c>
      <c r="J267" s="12">
        <v>3712</v>
      </c>
      <c r="K267" s="10">
        <v>41.71</v>
      </c>
      <c r="L267" s="13">
        <v>1.328014384</v>
      </c>
    </row>
    <row r="268" spans="1:12" x14ac:dyDescent="0.15">
      <c r="A268" s="1">
        <v>9</v>
      </c>
      <c r="B268" s="10" t="s">
        <v>148</v>
      </c>
      <c r="C268" s="11">
        <v>2014</v>
      </c>
      <c r="D268" s="12">
        <v>3564</v>
      </c>
      <c r="E268" s="12">
        <v>3500</v>
      </c>
      <c r="F268" s="12">
        <v>64</v>
      </c>
      <c r="G268" s="13">
        <v>2.14</v>
      </c>
      <c r="H268" s="12">
        <v>1968</v>
      </c>
      <c r="I268" s="12">
        <v>1634</v>
      </c>
      <c r="J268" s="12">
        <v>334</v>
      </c>
      <c r="K268" s="10">
        <v>16.97</v>
      </c>
      <c r="L268" s="13">
        <v>1.7784552849999999</v>
      </c>
    </row>
    <row r="269" spans="1:12" x14ac:dyDescent="0.15">
      <c r="A269" s="1">
        <v>11</v>
      </c>
      <c r="B269" s="10" t="s">
        <v>149</v>
      </c>
      <c r="C269" s="11">
        <v>2014</v>
      </c>
      <c r="D269" s="12">
        <v>5851</v>
      </c>
      <c r="E269" s="12">
        <v>3982</v>
      </c>
      <c r="F269" s="12">
        <v>1869</v>
      </c>
      <c r="G269" s="13">
        <v>2.3199999999999998</v>
      </c>
      <c r="H269" s="12">
        <v>2124</v>
      </c>
      <c r="I269" s="12">
        <v>1719</v>
      </c>
      <c r="J269" s="12">
        <v>405</v>
      </c>
      <c r="K269" s="10">
        <v>19.05</v>
      </c>
      <c r="L269" s="13">
        <v>1.874764595</v>
      </c>
    </row>
    <row r="270" spans="1:12" x14ac:dyDescent="0.15">
      <c r="A270" s="1">
        <v>13</v>
      </c>
      <c r="B270" s="10" t="s">
        <v>150</v>
      </c>
      <c r="C270" s="11">
        <v>2014</v>
      </c>
      <c r="D270" s="12">
        <v>314213</v>
      </c>
      <c r="E270" s="12">
        <v>301907</v>
      </c>
      <c r="F270" s="12">
        <v>12306</v>
      </c>
      <c r="G270" s="13">
        <v>2.39</v>
      </c>
      <c r="H270" s="12">
        <v>131002</v>
      </c>
      <c r="I270" s="12">
        <v>126418</v>
      </c>
      <c r="J270" s="12">
        <v>4584</v>
      </c>
      <c r="K270" s="10">
        <v>3.5</v>
      </c>
      <c r="L270" s="13">
        <v>2.304598403</v>
      </c>
    </row>
    <row r="271" spans="1:12" x14ac:dyDescent="0.15">
      <c r="A271" s="1">
        <v>14</v>
      </c>
      <c r="B271" s="10" t="s">
        <v>151</v>
      </c>
      <c r="C271" s="11">
        <v>2014</v>
      </c>
      <c r="D271" s="12">
        <v>62504</v>
      </c>
      <c r="E271" s="12">
        <v>62245</v>
      </c>
      <c r="F271" s="12">
        <v>259</v>
      </c>
      <c r="G271" s="13">
        <v>2.5499999999999998</v>
      </c>
      <c r="H271" s="12">
        <v>26564</v>
      </c>
      <c r="I271" s="12">
        <v>24409</v>
      </c>
      <c r="J271" s="12">
        <v>2155</v>
      </c>
      <c r="K271" s="10">
        <v>8.11</v>
      </c>
      <c r="L271" s="13">
        <v>2.3432088539999998</v>
      </c>
    </row>
    <row r="272" spans="1:12" x14ac:dyDescent="0.15">
      <c r="A272" s="1">
        <v>15</v>
      </c>
      <c r="B272" s="10" t="s">
        <v>152</v>
      </c>
      <c r="C272" s="11">
        <v>2014</v>
      </c>
      <c r="D272" s="12">
        <v>18066</v>
      </c>
      <c r="E272" s="12">
        <v>16614</v>
      </c>
      <c r="F272" s="12">
        <v>1452</v>
      </c>
      <c r="G272" s="13">
        <v>2.16</v>
      </c>
      <c r="H272" s="12">
        <v>10114</v>
      </c>
      <c r="I272" s="12">
        <v>7705</v>
      </c>
      <c r="J272" s="12">
        <v>2409</v>
      </c>
      <c r="K272" s="10">
        <v>23.82</v>
      </c>
      <c r="L272" s="13">
        <v>1.6426735219999999</v>
      </c>
    </row>
    <row r="273" spans="1:12" x14ac:dyDescent="0.15">
      <c r="A273" s="1">
        <v>17</v>
      </c>
      <c r="B273" s="10" t="s">
        <v>153</v>
      </c>
      <c r="C273" s="11">
        <v>2014</v>
      </c>
      <c r="D273" s="12">
        <v>1817</v>
      </c>
      <c r="E273" s="12">
        <v>1775</v>
      </c>
      <c r="F273" s="12">
        <v>42</v>
      </c>
      <c r="G273" s="13">
        <v>2.29</v>
      </c>
      <c r="H273" s="12">
        <v>879</v>
      </c>
      <c r="I273" s="12">
        <v>774</v>
      </c>
      <c r="J273" s="12">
        <v>105</v>
      </c>
      <c r="K273" s="10">
        <v>11.94</v>
      </c>
      <c r="L273" s="13">
        <v>2.019340159</v>
      </c>
    </row>
    <row r="274" spans="1:12" x14ac:dyDescent="0.15">
      <c r="A274" s="1">
        <v>19</v>
      </c>
      <c r="B274" s="10" t="s">
        <v>154</v>
      </c>
      <c r="C274" s="11">
        <v>2014</v>
      </c>
      <c r="D274" s="12">
        <v>9034</v>
      </c>
      <c r="E274" s="12">
        <v>8949</v>
      </c>
      <c r="F274" s="12">
        <v>85</v>
      </c>
      <c r="G274" s="13">
        <v>2.13</v>
      </c>
      <c r="H274" s="12">
        <v>5535</v>
      </c>
      <c r="I274" s="12">
        <v>4194</v>
      </c>
      <c r="J274" s="12">
        <v>1341</v>
      </c>
      <c r="K274" s="10">
        <v>24.22</v>
      </c>
      <c r="L274" s="13">
        <v>1.616802168</v>
      </c>
    </row>
    <row r="275" spans="1:12" x14ac:dyDescent="0.15">
      <c r="A275" s="1">
        <v>21</v>
      </c>
      <c r="B275" s="10" t="s">
        <v>155</v>
      </c>
      <c r="C275" s="11">
        <v>2014</v>
      </c>
      <c r="D275" s="12">
        <v>7997</v>
      </c>
      <c r="E275" s="12">
        <v>7950</v>
      </c>
      <c r="F275" s="12">
        <v>47</v>
      </c>
      <c r="G275" s="13">
        <v>2.6</v>
      </c>
      <c r="H275" s="12">
        <v>3871</v>
      </c>
      <c r="I275" s="12">
        <v>3053</v>
      </c>
      <c r="J275" s="12">
        <v>818</v>
      </c>
      <c r="K275" s="10">
        <v>21.12</v>
      </c>
      <c r="L275" s="13">
        <v>2.0537328860000001</v>
      </c>
    </row>
    <row r="276" spans="1:12" x14ac:dyDescent="0.15">
      <c r="A276" s="1">
        <v>23</v>
      </c>
      <c r="B276" s="10" t="s">
        <v>156</v>
      </c>
      <c r="C276" s="11">
        <v>2014</v>
      </c>
      <c r="D276" s="12">
        <v>3516</v>
      </c>
      <c r="E276" s="12">
        <v>3516</v>
      </c>
      <c r="F276" s="12">
        <v>0</v>
      </c>
      <c r="G276" s="13">
        <v>2.2400000000000002</v>
      </c>
      <c r="H276" s="12">
        <v>2310</v>
      </c>
      <c r="I276" s="12">
        <v>1569</v>
      </c>
      <c r="J276" s="12">
        <v>741</v>
      </c>
      <c r="K276" s="10">
        <v>32.08</v>
      </c>
      <c r="L276" s="13">
        <v>1.522077922</v>
      </c>
    </row>
    <row r="277" spans="1:12" x14ac:dyDescent="0.15">
      <c r="A277" s="1">
        <v>25</v>
      </c>
      <c r="B277" s="10" t="s">
        <v>157</v>
      </c>
      <c r="C277" s="11">
        <v>2014</v>
      </c>
      <c r="D277" s="12">
        <v>5843</v>
      </c>
      <c r="E277" s="12">
        <v>3097</v>
      </c>
      <c r="F277" s="12">
        <v>2746</v>
      </c>
      <c r="G277" s="13">
        <v>2.37</v>
      </c>
      <c r="H277" s="12">
        <v>1488</v>
      </c>
      <c r="I277" s="12">
        <v>1307</v>
      </c>
      <c r="J277" s="12">
        <v>181</v>
      </c>
      <c r="K277" s="10">
        <v>12.18</v>
      </c>
      <c r="L277" s="13">
        <v>2.0813172039999999</v>
      </c>
    </row>
    <row r="278" spans="1:12" x14ac:dyDescent="0.15">
      <c r="A278" s="1">
        <v>27</v>
      </c>
      <c r="B278" s="10" t="s">
        <v>158</v>
      </c>
      <c r="C278" s="11">
        <v>2014</v>
      </c>
      <c r="D278" s="12">
        <v>4437</v>
      </c>
      <c r="E278" s="12">
        <v>4424</v>
      </c>
      <c r="F278" s="12">
        <v>13</v>
      </c>
      <c r="G278" s="13">
        <v>2.12</v>
      </c>
      <c r="H278" s="12">
        <v>3821</v>
      </c>
      <c r="I278" s="12">
        <v>2082</v>
      </c>
      <c r="J278" s="12">
        <v>1739</v>
      </c>
      <c r="K278" s="10">
        <v>45.52</v>
      </c>
      <c r="L278" s="13">
        <v>1.157812091</v>
      </c>
    </row>
    <row r="279" spans="1:12" x14ac:dyDescent="0.15">
      <c r="A279" s="1">
        <v>29</v>
      </c>
      <c r="B279" s="10" t="s">
        <v>159</v>
      </c>
      <c r="C279" s="11">
        <v>2014</v>
      </c>
      <c r="D279" s="12">
        <v>30066</v>
      </c>
      <c r="E279" s="12">
        <v>29319</v>
      </c>
      <c r="F279" s="12">
        <v>747</v>
      </c>
      <c r="G279" s="13">
        <v>2.36</v>
      </c>
      <c r="H279" s="12">
        <v>14623</v>
      </c>
      <c r="I279" s="12">
        <v>12430</v>
      </c>
      <c r="J279" s="12">
        <v>2193</v>
      </c>
      <c r="K279" s="10">
        <v>15</v>
      </c>
      <c r="L279" s="13">
        <v>2.0049921359999998</v>
      </c>
    </row>
    <row r="280" spans="1:12" x14ac:dyDescent="0.15">
      <c r="A280" s="1">
        <v>31</v>
      </c>
      <c r="B280" s="10" t="s">
        <v>160</v>
      </c>
      <c r="C280" s="11">
        <v>2014</v>
      </c>
      <c r="D280" s="12">
        <v>658632</v>
      </c>
      <c r="E280" s="12">
        <v>642474</v>
      </c>
      <c r="F280" s="12">
        <v>16158</v>
      </c>
      <c r="G280" s="13">
        <v>2.21</v>
      </c>
      <c r="H280" s="12">
        <v>300889</v>
      </c>
      <c r="I280" s="12">
        <v>290179</v>
      </c>
      <c r="J280" s="12">
        <v>10710</v>
      </c>
      <c r="K280" s="10">
        <v>3.56</v>
      </c>
      <c r="L280" s="13">
        <v>2.1352525349999998</v>
      </c>
    </row>
    <row r="281" spans="1:12" x14ac:dyDescent="0.15">
      <c r="A281" s="1">
        <v>33</v>
      </c>
      <c r="B281" s="10" t="s">
        <v>161</v>
      </c>
      <c r="C281" s="11">
        <v>2014</v>
      </c>
      <c r="D281" s="12">
        <v>2084</v>
      </c>
      <c r="E281" s="12">
        <v>2084</v>
      </c>
      <c r="F281" s="12">
        <v>0</v>
      </c>
      <c r="G281" s="13">
        <v>2.27</v>
      </c>
      <c r="H281" s="12">
        <v>1212</v>
      </c>
      <c r="I281" s="12">
        <v>919</v>
      </c>
      <c r="J281" s="12">
        <v>293</v>
      </c>
      <c r="K281" s="10">
        <v>24.14</v>
      </c>
      <c r="L281" s="13">
        <v>1.7194719469999999</v>
      </c>
    </row>
    <row r="282" spans="1:12" x14ac:dyDescent="0.15">
      <c r="A282" s="1">
        <v>35</v>
      </c>
      <c r="B282" s="10" t="s">
        <v>162</v>
      </c>
      <c r="C282" s="11">
        <v>2014</v>
      </c>
      <c r="D282" s="12">
        <v>314609</v>
      </c>
      <c r="E282" s="12">
        <v>313424</v>
      </c>
      <c r="F282" s="12">
        <v>1185</v>
      </c>
      <c r="G282" s="13">
        <v>2.79</v>
      </c>
      <c r="H282" s="12">
        <v>114036</v>
      </c>
      <c r="I282" s="12">
        <v>112530</v>
      </c>
      <c r="J282" s="12">
        <v>1506</v>
      </c>
      <c r="K282" s="10">
        <v>1.32</v>
      </c>
      <c r="L282" s="13">
        <v>2.7484653969999999</v>
      </c>
    </row>
    <row r="283" spans="1:12" x14ac:dyDescent="0.15">
      <c r="A283" s="1">
        <v>37</v>
      </c>
      <c r="B283" s="10" t="s">
        <v>163</v>
      </c>
      <c r="C283" s="11">
        <v>2014</v>
      </c>
      <c r="D283" s="12">
        <v>52398</v>
      </c>
      <c r="E283" s="12">
        <v>52323</v>
      </c>
      <c r="F283" s="12">
        <v>76</v>
      </c>
      <c r="G283" s="13">
        <v>2.7</v>
      </c>
      <c r="H283" s="12">
        <v>31120</v>
      </c>
      <c r="I283" s="12">
        <v>19391</v>
      </c>
      <c r="J283" s="12">
        <v>11729</v>
      </c>
      <c r="K283" s="10">
        <v>37.69</v>
      </c>
      <c r="L283" s="13">
        <v>1.6813303340000001</v>
      </c>
    </row>
    <row r="284" spans="1:12" x14ac:dyDescent="0.15">
      <c r="A284" s="1">
        <v>39</v>
      </c>
      <c r="B284" s="10" t="s">
        <v>164</v>
      </c>
      <c r="C284" s="11">
        <v>2014</v>
      </c>
      <c r="D284" s="12">
        <v>23569</v>
      </c>
      <c r="E284" s="12">
        <v>23497</v>
      </c>
      <c r="F284" s="12">
        <v>72</v>
      </c>
      <c r="G284" s="13">
        <v>2.76</v>
      </c>
      <c r="H284" s="12">
        <v>9029</v>
      </c>
      <c r="I284" s="12">
        <v>8524</v>
      </c>
      <c r="J284" s="12">
        <v>505</v>
      </c>
      <c r="K284" s="10">
        <v>5.59</v>
      </c>
      <c r="L284" s="13">
        <v>2.6023922920000002</v>
      </c>
    </row>
    <row r="285" spans="1:12" x14ac:dyDescent="0.15">
      <c r="A285" s="1">
        <v>41</v>
      </c>
      <c r="B285" s="10" t="s">
        <v>165</v>
      </c>
      <c r="C285" s="11">
        <v>2014</v>
      </c>
      <c r="D285" s="12">
        <v>665754</v>
      </c>
      <c r="E285" s="12">
        <v>645729</v>
      </c>
      <c r="F285" s="12">
        <v>20025</v>
      </c>
      <c r="G285" s="13">
        <v>2.57</v>
      </c>
      <c r="H285" s="12">
        <v>264933</v>
      </c>
      <c r="I285" s="12">
        <v>250769</v>
      </c>
      <c r="J285" s="12">
        <v>14164</v>
      </c>
      <c r="K285" s="10">
        <v>5.35</v>
      </c>
      <c r="L285" s="13">
        <v>2.4373294379999999</v>
      </c>
    </row>
    <row r="286" spans="1:12" x14ac:dyDescent="0.15">
      <c r="A286" s="1">
        <v>43</v>
      </c>
      <c r="B286" s="10" t="s">
        <v>166</v>
      </c>
      <c r="C286" s="11">
        <v>2014</v>
      </c>
      <c r="D286" s="12">
        <v>47119</v>
      </c>
      <c r="E286" s="12">
        <v>38761</v>
      </c>
      <c r="F286" s="12">
        <v>8358</v>
      </c>
      <c r="G286" s="13">
        <v>2.2999999999999998</v>
      </c>
      <c r="H286" s="12">
        <v>19630</v>
      </c>
      <c r="I286" s="12">
        <v>16886</v>
      </c>
      <c r="J286" s="12">
        <v>2744</v>
      </c>
      <c r="K286" s="10">
        <v>13.98</v>
      </c>
      <c r="L286" s="13">
        <v>1.9745797249999999</v>
      </c>
    </row>
    <row r="287" spans="1:12" x14ac:dyDescent="0.15">
      <c r="A287" s="1">
        <v>45</v>
      </c>
      <c r="B287" s="10" t="s">
        <v>167</v>
      </c>
      <c r="C287" s="11">
        <v>2014</v>
      </c>
      <c r="D287" s="12">
        <v>57131</v>
      </c>
      <c r="E287" s="12">
        <v>56147</v>
      </c>
      <c r="F287" s="12">
        <v>984</v>
      </c>
      <c r="G287" s="13">
        <v>2.72</v>
      </c>
      <c r="H287" s="12">
        <v>23118</v>
      </c>
      <c r="I287" s="12">
        <v>20648</v>
      </c>
      <c r="J287" s="12">
        <v>2470</v>
      </c>
      <c r="K287" s="10">
        <v>10.68</v>
      </c>
      <c r="L287" s="13">
        <v>2.428713557</v>
      </c>
    </row>
    <row r="288" spans="1:12" x14ac:dyDescent="0.15">
      <c r="A288" s="1">
        <v>47</v>
      </c>
      <c r="B288" s="10" t="s">
        <v>168</v>
      </c>
      <c r="C288" s="11">
        <v>2014</v>
      </c>
      <c r="D288" s="12">
        <v>5536</v>
      </c>
      <c r="E288" s="12">
        <v>5490</v>
      </c>
      <c r="F288" s="12">
        <v>45</v>
      </c>
      <c r="G288" s="13">
        <v>2.2000000000000002</v>
      </c>
      <c r="H288" s="12">
        <v>3343</v>
      </c>
      <c r="I288" s="12">
        <v>2498</v>
      </c>
      <c r="J288" s="12">
        <v>845</v>
      </c>
      <c r="K288" s="10">
        <v>25.29</v>
      </c>
      <c r="L288" s="13">
        <v>1.642237511</v>
      </c>
    </row>
    <row r="289" spans="1:12" x14ac:dyDescent="0.15">
      <c r="A289" s="1">
        <v>49</v>
      </c>
      <c r="B289" s="10" t="s">
        <v>169</v>
      </c>
      <c r="C289" s="11">
        <v>2014</v>
      </c>
      <c r="D289" s="12">
        <v>14934</v>
      </c>
      <c r="E289" s="12">
        <v>14722</v>
      </c>
      <c r="F289" s="12">
        <v>212</v>
      </c>
      <c r="G289" s="13">
        <v>2.2400000000000002</v>
      </c>
      <c r="H289" s="12">
        <v>15697</v>
      </c>
      <c r="I289" s="12">
        <v>6565</v>
      </c>
      <c r="J289" s="12">
        <v>9132</v>
      </c>
      <c r="K289" s="10">
        <v>58.18</v>
      </c>
      <c r="L289" s="13">
        <v>0.93788621999999999</v>
      </c>
    </row>
    <row r="290" spans="1:12" x14ac:dyDescent="0.15">
      <c r="A290" s="1">
        <v>51</v>
      </c>
      <c r="B290" s="10" t="s">
        <v>170</v>
      </c>
      <c r="C290" s="11">
        <v>2014</v>
      </c>
      <c r="D290" s="12">
        <v>15552</v>
      </c>
      <c r="E290" s="12">
        <v>14549</v>
      </c>
      <c r="F290" s="12">
        <v>1003</v>
      </c>
      <c r="G290" s="13">
        <v>2.2200000000000002</v>
      </c>
      <c r="H290" s="12">
        <v>11497</v>
      </c>
      <c r="I290" s="12">
        <v>6545</v>
      </c>
      <c r="J290" s="12">
        <v>4952</v>
      </c>
      <c r="K290" s="10">
        <v>43.07</v>
      </c>
      <c r="L290" s="13">
        <v>1.265460555</v>
      </c>
    </row>
    <row r="291" spans="1:12" x14ac:dyDescent="0.15">
      <c r="A291" s="1">
        <v>53</v>
      </c>
      <c r="B291" s="10" t="s">
        <v>171</v>
      </c>
      <c r="C291" s="11">
        <v>2014</v>
      </c>
      <c r="D291" s="12">
        <v>819</v>
      </c>
      <c r="E291" s="12">
        <v>785</v>
      </c>
      <c r="F291" s="12">
        <v>34</v>
      </c>
      <c r="G291" s="13">
        <v>2.14</v>
      </c>
      <c r="H291" s="12">
        <v>1288</v>
      </c>
      <c r="I291" s="12">
        <v>366</v>
      </c>
      <c r="J291" s="12">
        <v>922</v>
      </c>
      <c r="K291" s="10">
        <v>71.58</v>
      </c>
      <c r="L291" s="13">
        <v>0.60947205000000004</v>
      </c>
    </row>
    <row r="292" spans="1:12" x14ac:dyDescent="0.15">
      <c r="A292" s="1">
        <v>55</v>
      </c>
      <c r="B292" s="10" t="s">
        <v>172</v>
      </c>
      <c r="C292" s="11">
        <v>2014</v>
      </c>
      <c r="D292" s="12">
        <v>6700</v>
      </c>
      <c r="E292" s="12">
        <v>6560</v>
      </c>
      <c r="F292" s="12">
        <v>140</v>
      </c>
      <c r="G292" s="13">
        <v>2.09</v>
      </c>
      <c r="H292" s="12">
        <v>4531</v>
      </c>
      <c r="I292" s="12">
        <v>3135</v>
      </c>
      <c r="J292" s="12">
        <v>1396</v>
      </c>
      <c r="K292" s="10">
        <v>30.81</v>
      </c>
      <c r="L292" s="13">
        <v>1.4478040169999999</v>
      </c>
    </row>
    <row r="293" spans="1:12" x14ac:dyDescent="0.15">
      <c r="A293" s="1">
        <v>57</v>
      </c>
      <c r="B293" s="10" t="s">
        <v>173</v>
      </c>
      <c r="C293" s="11">
        <v>2014</v>
      </c>
      <c r="D293" s="12">
        <v>1381</v>
      </c>
      <c r="E293" s="12">
        <v>1379</v>
      </c>
      <c r="F293" s="12">
        <v>2</v>
      </c>
      <c r="G293" s="13">
        <v>2.12</v>
      </c>
      <c r="H293" s="12">
        <v>1155</v>
      </c>
      <c r="I293" s="12">
        <v>649</v>
      </c>
      <c r="J293" s="12">
        <v>506</v>
      </c>
      <c r="K293" s="10">
        <v>43.81</v>
      </c>
      <c r="L293" s="13">
        <v>1.193939394</v>
      </c>
    </row>
    <row r="294" spans="1:12" x14ac:dyDescent="0.15">
      <c r="A294" s="1">
        <v>59</v>
      </c>
      <c r="B294" s="10" t="s">
        <v>174</v>
      </c>
      <c r="C294" s="11">
        <v>2014</v>
      </c>
      <c r="D294" s="12">
        <v>559016</v>
      </c>
      <c r="E294" s="12">
        <v>550990</v>
      </c>
      <c r="F294" s="12">
        <v>8026</v>
      </c>
      <c r="G294" s="13">
        <v>2.42</v>
      </c>
      <c r="H294" s="12">
        <v>234710</v>
      </c>
      <c r="I294" s="12">
        <v>228072</v>
      </c>
      <c r="J294" s="12">
        <v>6638</v>
      </c>
      <c r="K294" s="10">
        <v>2.83</v>
      </c>
      <c r="L294" s="13">
        <v>2.347535256</v>
      </c>
    </row>
    <row r="295" spans="1:12" x14ac:dyDescent="0.15">
      <c r="A295" s="1">
        <v>61</v>
      </c>
      <c r="B295" s="10" t="s">
        <v>175</v>
      </c>
      <c r="C295" s="11">
        <v>2014</v>
      </c>
      <c r="D295" s="12">
        <v>1393</v>
      </c>
      <c r="E295" s="12">
        <v>1372</v>
      </c>
      <c r="F295" s="12">
        <v>22</v>
      </c>
      <c r="G295" s="13">
        <v>2.31</v>
      </c>
      <c r="H295" s="12">
        <v>734</v>
      </c>
      <c r="I295" s="12">
        <v>594</v>
      </c>
      <c r="J295" s="12">
        <v>140</v>
      </c>
      <c r="K295" s="10">
        <v>19.12</v>
      </c>
      <c r="L295" s="13">
        <v>1.869209809</v>
      </c>
    </row>
    <row r="296" spans="1:12" x14ac:dyDescent="0.15">
      <c r="A296" s="1">
        <v>63</v>
      </c>
      <c r="B296" s="10" t="s">
        <v>176</v>
      </c>
      <c r="C296" s="11">
        <v>2014</v>
      </c>
      <c r="D296" s="12">
        <v>7664</v>
      </c>
      <c r="E296" s="12">
        <v>6982</v>
      </c>
      <c r="F296" s="12">
        <v>682</v>
      </c>
      <c r="G296" s="13">
        <v>2.39</v>
      </c>
      <c r="H296" s="12">
        <v>3402</v>
      </c>
      <c r="I296" s="12">
        <v>2919</v>
      </c>
      <c r="J296" s="12">
        <v>483</v>
      </c>
      <c r="K296" s="10">
        <v>14.2</v>
      </c>
      <c r="L296" s="13">
        <v>2.0523221629999999</v>
      </c>
    </row>
    <row r="297" spans="1:12" x14ac:dyDescent="0.15">
      <c r="A297" s="1">
        <v>65</v>
      </c>
      <c r="B297" s="10" t="s">
        <v>177</v>
      </c>
      <c r="C297" s="11">
        <v>2014</v>
      </c>
      <c r="D297" s="12">
        <v>7085</v>
      </c>
      <c r="E297" s="12">
        <v>6995</v>
      </c>
      <c r="F297" s="12">
        <v>90</v>
      </c>
      <c r="G297" s="13">
        <v>2.41</v>
      </c>
      <c r="H297" s="12">
        <v>4277</v>
      </c>
      <c r="I297" s="12">
        <v>2901</v>
      </c>
      <c r="J297" s="12">
        <v>1376</v>
      </c>
      <c r="K297" s="10">
        <v>32.17</v>
      </c>
      <c r="L297" s="13">
        <v>1.635492167</v>
      </c>
    </row>
    <row r="298" spans="1:12" x14ac:dyDescent="0.15">
      <c r="A298" s="1">
        <v>67</v>
      </c>
      <c r="B298" s="10" t="s">
        <v>178</v>
      </c>
      <c r="C298" s="11">
        <v>2014</v>
      </c>
      <c r="D298" s="12">
        <v>53557</v>
      </c>
      <c r="E298" s="12">
        <v>51603</v>
      </c>
      <c r="F298" s="12">
        <v>1954</v>
      </c>
      <c r="G298" s="13">
        <v>2.33</v>
      </c>
      <c r="H298" s="12">
        <v>26464</v>
      </c>
      <c r="I298" s="12">
        <v>22164</v>
      </c>
      <c r="J298" s="12">
        <v>4300</v>
      </c>
      <c r="K298" s="10">
        <v>16.25</v>
      </c>
      <c r="L298" s="13">
        <v>1.9499319829999999</v>
      </c>
    </row>
    <row r="299" spans="1:12" x14ac:dyDescent="0.15">
      <c r="A299" s="1">
        <v>69</v>
      </c>
      <c r="B299" s="10" t="s">
        <v>179</v>
      </c>
      <c r="C299" s="11">
        <v>2014</v>
      </c>
      <c r="D299" s="12">
        <v>324123</v>
      </c>
      <c r="E299" s="12">
        <v>314446</v>
      </c>
      <c r="F299" s="12">
        <v>9677</v>
      </c>
      <c r="G299" s="13">
        <v>2.41</v>
      </c>
      <c r="H299" s="12">
        <v>140988</v>
      </c>
      <c r="I299" s="12">
        <v>130211</v>
      </c>
      <c r="J299" s="12">
        <v>10777</v>
      </c>
      <c r="K299" s="10">
        <v>7.64</v>
      </c>
      <c r="L299" s="13">
        <v>2.230303288</v>
      </c>
    </row>
    <row r="300" spans="1:12" x14ac:dyDescent="0.15">
      <c r="A300" s="1">
        <v>71</v>
      </c>
      <c r="B300" s="10" t="s">
        <v>180</v>
      </c>
      <c r="C300" s="11">
        <v>2014</v>
      </c>
      <c r="D300" s="12">
        <v>15086</v>
      </c>
      <c r="E300" s="12">
        <v>14292</v>
      </c>
      <c r="F300" s="12">
        <v>794</v>
      </c>
      <c r="G300" s="13">
        <v>2.25</v>
      </c>
      <c r="H300" s="12">
        <v>7953</v>
      </c>
      <c r="I300" s="12">
        <v>6358</v>
      </c>
      <c r="J300" s="12">
        <v>1595</v>
      </c>
      <c r="K300" s="10">
        <v>20.05</v>
      </c>
      <c r="L300" s="13">
        <v>1.7970577139999999</v>
      </c>
    </row>
    <row r="301" spans="1:12" x14ac:dyDescent="0.15">
      <c r="A301" s="1">
        <v>73</v>
      </c>
      <c r="B301" s="10" t="s">
        <v>181</v>
      </c>
      <c r="C301" s="11">
        <v>2014</v>
      </c>
      <c r="D301" s="12">
        <v>5538</v>
      </c>
      <c r="E301" s="12">
        <v>4524</v>
      </c>
      <c r="F301" s="12">
        <v>1014</v>
      </c>
      <c r="G301" s="13">
        <v>2.3199999999999998</v>
      </c>
      <c r="H301" s="12">
        <v>2264</v>
      </c>
      <c r="I301" s="12">
        <v>1954</v>
      </c>
      <c r="J301" s="12">
        <v>310</v>
      </c>
      <c r="K301" s="10">
        <v>13.71</v>
      </c>
      <c r="L301" s="13">
        <v>1.998233216</v>
      </c>
    </row>
    <row r="302" spans="1:12" x14ac:dyDescent="0.15">
      <c r="A302" s="1">
        <v>75</v>
      </c>
      <c r="B302" s="10" t="s">
        <v>182</v>
      </c>
      <c r="C302" s="11">
        <v>2014</v>
      </c>
      <c r="D302" s="12">
        <v>21964</v>
      </c>
      <c r="E302" s="12">
        <v>18652</v>
      </c>
      <c r="F302" s="12">
        <v>3312</v>
      </c>
      <c r="G302" s="13">
        <v>2.33</v>
      </c>
      <c r="H302" s="12">
        <v>8547</v>
      </c>
      <c r="I302" s="12">
        <v>8010</v>
      </c>
      <c r="J302" s="12">
        <v>537</v>
      </c>
      <c r="K302" s="10">
        <v>6.28</v>
      </c>
      <c r="L302" s="13">
        <v>2.1822861819999999</v>
      </c>
    </row>
    <row r="303" spans="1:12" x14ac:dyDescent="0.15">
      <c r="A303" s="1">
        <v>77</v>
      </c>
      <c r="B303" s="10" t="s">
        <v>183</v>
      </c>
      <c r="C303" s="11">
        <v>2014</v>
      </c>
      <c r="D303" s="12">
        <v>147876</v>
      </c>
      <c r="E303" s="12">
        <v>143573</v>
      </c>
      <c r="F303" s="12">
        <v>4303</v>
      </c>
      <c r="G303" s="13">
        <v>2.44</v>
      </c>
      <c r="H303" s="12">
        <v>64108</v>
      </c>
      <c r="I303" s="12">
        <v>58864</v>
      </c>
      <c r="J303" s="12">
        <v>5244</v>
      </c>
      <c r="K303" s="10">
        <v>8.18</v>
      </c>
      <c r="L303" s="13">
        <v>2.2395488860000001</v>
      </c>
    </row>
    <row r="304" spans="1:12" x14ac:dyDescent="0.15">
      <c r="A304" s="1">
        <v>79</v>
      </c>
      <c r="B304" s="10" t="s">
        <v>184</v>
      </c>
      <c r="C304" s="11">
        <v>2014</v>
      </c>
      <c r="D304" s="12">
        <v>747</v>
      </c>
      <c r="E304" s="12">
        <v>747</v>
      </c>
      <c r="F304" s="12">
        <v>0</v>
      </c>
      <c r="G304" s="13">
        <v>2.02</v>
      </c>
      <c r="H304" s="12">
        <v>1130</v>
      </c>
      <c r="I304" s="12">
        <v>370</v>
      </c>
      <c r="J304" s="12">
        <v>760</v>
      </c>
      <c r="K304" s="10">
        <v>67.28</v>
      </c>
      <c r="L304" s="13">
        <v>0.66106194699999998</v>
      </c>
    </row>
    <row r="305" spans="1:12" x14ac:dyDescent="0.15">
      <c r="A305" s="1">
        <v>81</v>
      </c>
      <c r="B305" s="10" t="s">
        <v>185</v>
      </c>
      <c r="C305" s="11">
        <v>2014</v>
      </c>
      <c r="D305" s="12">
        <v>13016</v>
      </c>
      <c r="E305" s="12">
        <v>12907</v>
      </c>
      <c r="F305" s="12">
        <v>109</v>
      </c>
      <c r="G305" s="13">
        <v>2.4900000000000002</v>
      </c>
      <c r="H305" s="12">
        <v>5999</v>
      </c>
      <c r="I305" s="12">
        <v>5189</v>
      </c>
      <c r="J305" s="12">
        <v>810</v>
      </c>
      <c r="K305" s="10">
        <v>13.51</v>
      </c>
      <c r="L305" s="13">
        <v>2.1515252540000001</v>
      </c>
    </row>
    <row r="306" spans="1:12" x14ac:dyDescent="0.15">
      <c r="A306" s="1">
        <v>83</v>
      </c>
      <c r="B306" s="10" t="s">
        <v>186</v>
      </c>
      <c r="C306" s="11">
        <v>2014</v>
      </c>
      <c r="D306" s="12">
        <v>25464</v>
      </c>
      <c r="E306" s="12">
        <v>25206</v>
      </c>
      <c r="F306" s="12">
        <v>258</v>
      </c>
      <c r="G306" s="13">
        <v>2.39</v>
      </c>
      <c r="H306" s="12">
        <v>11966</v>
      </c>
      <c r="I306" s="12">
        <v>10564</v>
      </c>
      <c r="J306" s="12">
        <v>1402</v>
      </c>
      <c r="K306" s="10">
        <v>11.72</v>
      </c>
      <c r="L306" s="13">
        <v>2.106468327</v>
      </c>
    </row>
    <row r="307" spans="1:12" x14ac:dyDescent="0.15">
      <c r="A307" s="1">
        <v>85</v>
      </c>
      <c r="B307" s="10" t="s">
        <v>187</v>
      </c>
      <c r="C307" s="11">
        <v>2014</v>
      </c>
      <c r="D307" s="12">
        <v>41388</v>
      </c>
      <c r="E307" s="12">
        <v>40799</v>
      </c>
      <c r="F307" s="12">
        <v>589</v>
      </c>
      <c r="G307" s="13">
        <v>2.44</v>
      </c>
      <c r="H307" s="12">
        <v>17608</v>
      </c>
      <c r="I307" s="12">
        <v>16695</v>
      </c>
      <c r="J307" s="12">
        <v>913</v>
      </c>
      <c r="K307" s="10">
        <v>5.19</v>
      </c>
      <c r="L307" s="13">
        <v>2.3170717860000001</v>
      </c>
    </row>
    <row r="308" spans="1:12" x14ac:dyDescent="0.15">
      <c r="A308" s="1">
        <v>87</v>
      </c>
      <c r="B308" s="10" t="s">
        <v>188</v>
      </c>
      <c r="C308" s="11">
        <v>2014</v>
      </c>
      <c r="D308" s="12">
        <v>28162</v>
      </c>
      <c r="E308" s="12">
        <v>27638</v>
      </c>
      <c r="F308" s="12">
        <v>524</v>
      </c>
      <c r="G308" s="13">
        <v>2.67</v>
      </c>
      <c r="H308" s="12">
        <v>11069</v>
      </c>
      <c r="I308" s="12">
        <v>10347</v>
      </c>
      <c r="J308" s="12">
        <v>722</v>
      </c>
      <c r="K308" s="10">
        <v>6.52</v>
      </c>
      <c r="L308" s="13">
        <v>2.4968831869999999</v>
      </c>
    </row>
    <row r="309" spans="1:12" x14ac:dyDescent="0.15">
      <c r="A309" s="1">
        <v>89</v>
      </c>
      <c r="B309" s="10" t="s">
        <v>189</v>
      </c>
      <c r="C309" s="11">
        <v>2014</v>
      </c>
      <c r="D309" s="12">
        <v>18779</v>
      </c>
      <c r="E309" s="12">
        <v>18352</v>
      </c>
      <c r="F309" s="12">
        <v>427</v>
      </c>
      <c r="G309" s="13">
        <v>2.38</v>
      </c>
      <c r="H309" s="12">
        <v>8700</v>
      </c>
      <c r="I309" s="12">
        <v>7710</v>
      </c>
      <c r="J309" s="12">
        <v>990</v>
      </c>
      <c r="K309" s="10">
        <v>11.38</v>
      </c>
      <c r="L309" s="13">
        <v>2.1094252870000001</v>
      </c>
    </row>
    <row r="310" spans="1:12" x14ac:dyDescent="0.15">
      <c r="A310" s="1">
        <v>91</v>
      </c>
      <c r="B310" s="10" t="s">
        <v>190</v>
      </c>
      <c r="C310" s="11">
        <v>2014</v>
      </c>
      <c r="D310" s="12">
        <v>4528</v>
      </c>
      <c r="E310" s="12">
        <v>4528</v>
      </c>
      <c r="F310" s="12">
        <v>0</v>
      </c>
      <c r="G310" s="13">
        <v>2.17</v>
      </c>
      <c r="H310" s="12">
        <v>3126</v>
      </c>
      <c r="I310" s="12">
        <v>2091</v>
      </c>
      <c r="J310" s="12">
        <v>1035</v>
      </c>
      <c r="K310" s="10">
        <v>33.11</v>
      </c>
      <c r="L310" s="13">
        <v>1.4484964810000001</v>
      </c>
    </row>
    <row r="311" spans="1:12" x14ac:dyDescent="0.15">
      <c r="A311" s="1">
        <v>93</v>
      </c>
      <c r="B311" s="10" t="s">
        <v>191</v>
      </c>
      <c r="C311" s="11">
        <v>2014</v>
      </c>
      <c r="D311" s="12">
        <v>15778</v>
      </c>
      <c r="E311" s="12">
        <v>15711</v>
      </c>
      <c r="F311" s="12">
        <v>67</v>
      </c>
      <c r="G311" s="13">
        <v>2.2400000000000002</v>
      </c>
      <c r="H311" s="12">
        <v>13811</v>
      </c>
      <c r="I311" s="12">
        <v>7024</v>
      </c>
      <c r="J311" s="12">
        <v>6787</v>
      </c>
      <c r="K311" s="10">
        <v>49.14</v>
      </c>
      <c r="L311" s="13">
        <v>1.137571501</v>
      </c>
    </row>
    <row r="312" spans="1:12" x14ac:dyDescent="0.15">
      <c r="A312" s="1">
        <v>95</v>
      </c>
      <c r="B312" s="10" t="s">
        <v>192</v>
      </c>
      <c r="C312" s="11">
        <v>2014</v>
      </c>
      <c r="D312" s="12">
        <v>4494</v>
      </c>
      <c r="E312" s="12">
        <v>4430</v>
      </c>
      <c r="F312" s="12">
        <v>64</v>
      </c>
      <c r="G312" s="13">
        <v>2.4300000000000002</v>
      </c>
      <c r="H312" s="12">
        <v>1967</v>
      </c>
      <c r="I312" s="12">
        <v>1826</v>
      </c>
      <c r="J312" s="12">
        <v>141</v>
      </c>
      <c r="K312" s="10">
        <v>7.18</v>
      </c>
      <c r="L312" s="13">
        <v>2.2521606510000001</v>
      </c>
    </row>
    <row r="313" spans="1:12" x14ac:dyDescent="0.15">
      <c r="A313" s="1">
        <v>97</v>
      </c>
      <c r="B313" s="10" t="s">
        <v>193</v>
      </c>
      <c r="C313" s="11">
        <v>2014</v>
      </c>
      <c r="D313" s="12">
        <v>17521</v>
      </c>
      <c r="E313" s="12">
        <v>17449</v>
      </c>
      <c r="F313" s="12">
        <v>72</v>
      </c>
      <c r="G313" s="13">
        <v>2.12</v>
      </c>
      <c r="H313" s="12">
        <v>12780</v>
      </c>
      <c r="I313" s="12">
        <v>8237</v>
      </c>
      <c r="J313" s="12">
        <v>4543</v>
      </c>
      <c r="K313" s="10">
        <v>35.549999999999997</v>
      </c>
      <c r="L313" s="13">
        <v>1.365336463</v>
      </c>
    </row>
    <row r="314" spans="1:12" x14ac:dyDescent="0.15">
      <c r="A314" s="1">
        <v>99</v>
      </c>
      <c r="B314" s="10" t="s">
        <v>194</v>
      </c>
      <c r="C314" s="11">
        <v>2014</v>
      </c>
      <c r="D314" s="12">
        <v>12023</v>
      </c>
      <c r="E314" s="12">
        <v>11687</v>
      </c>
      <c r="F314" s="12">
        <v>336</v>
      </c>
      <c r="G314" s="13">
        <v>2.46</v>
      </c>
      <c r="H314" s="12">
        <v>5437</v>
      </c>
      <c r="I314" s="12">
        <v>4756</v>
      </c>
      <c r="J314" s="12">
        <v>681</v>
      </c>
      <c r="K314" s="10">
        <v>12.52</v>
      </c>
      <c r="L314" s="13">
        <v>2.1495309909999998</v>
      </c>
    </row>
    <row r="315" spans="1:12" x14ac:dyDescent="0.15">
      <c r="A315" s="1">
        <v>101</v>
      </c>
      <c r="B315" s="10" t="s">
        <v>195</v>
      </c>
      <c r="C315" s="11">
        <v>2014</v>
      </c>
      <c r="D315" s="12">
        <v>160867</v>
      </c>
      <c r="E315" s="12">
        <v>156926</v>
      </c>
      <c r="F315" s="12">
        <v>3941</v>
      </c>
      <c r="G315" s="13">
        <v>2.46</v>
      </c>
      <c r="H315" s="12">
        <v>70410</v>
      </c>
      <c r="I315" s="12">
        <v>63902</v>
      </c>
      <c r="J315" s="12">
        <v>6508</v>
      </c>
      <c r="K315" s="10">
        <v>9.24</v>
      </c>
      <c r="L315" s="13">
        <v>2.2287459169999999</v>
      </c>
    </row>
    <row r="316" spans="1:12" x14ac:dyDescent="0.15">
      <c r="A316" s="1">
        <v>103</v>
      </c>
      <c r="B316" s="10" t="s">
        <v>196</v>
      </c>
      <c r="C316" s="11">
        <v>2014</v>
      </c>
      <c r="D316" s="12">
        <v>6644</v>
      </c>
      <c r="E316" s="12">
        <v>6354</v>
      </c>
      <c r="F316" s="12">
        <v>290</v>
      </c>
      <c r="G316" s="13">
        <v>2.4300000000000002</v>
      </c>
      <c r="H316" s="12">
        <v>3223</v>
      </c>
      <c r="I316" s="12">
        <v>2614</v>
      </c>
      <c r="J316" s="12">
        <v>609</v>
      </c>
      <c r="K316" s="10">
        <v>18.91</v>
      </c>
      <c r="L316" s="13">
        <v>1.9714551659999999</v>
      </c>
    </row>
    <row r="317" spans="1:12" x14ac:dyDescent="0.15">
      <c r="A317" s="1">
        <v>105</v>
      </c>
      <c r="B317" s="10" t="s">
        <v>197</v>
      </c>
      <c r="C317" s="11">
        <v>2014</v>
      </c>
      <c r="D317" s="12">
        <v>11823</v>
      </c>
      <c r="E317" s="12">
        <v>11651</v>
      </c>
      <c r="F317" s="12">
        <v>172</v>
      </c>
      <c r="G317" s="13">
        <v>2.4300000000000002</v>
      </c>
      <c r="H317" s="12">
        <v>6384</v>
      </c>
      <c r="I317" s="12">
        <v>4789</v>
      </c>
      <c r="J317" s="12">
        <v>1595</v>
      </c>
      <c r="K317" s="10">
        <v>24.99</v>
      </c>
      <c r="L317" s="13">
        <v>1.8250313279999999</v>
      </c>
    </row>
    <row r="318" spans="1:12" x14ac:dyDescent="0.15">
      <c r="A318" s="1">
        <v>107</v>
      </c>
      <c r="B318" s="10" t="s">
        <v>198</v>
      </c>
      <c r="C318" s="11">
        <v>2014</v>
      </c>
      <c r="D318" s="12">
        <v>23659</v>
      </c>
      <c r="E318" s="12">
        <v>23318</v>
      </c>
      <c r="F318" s="12">
        <v>341</v>
      </c>
      <c r="G318" s="13">
        <v>2.35</v>
      </c>
      <c r="H318" s="12">
        <v>15725</v>
      </c>
      <c r="I318" s="12">
        <v>9932</v>
      </c>
      <c r="J318" s="12">
        <v>5793</v>
      </c>
      <c r="K318" s="10">
        <v>36.840000000000003</v>
      </c>
      <c r="L318" s="13">
        <v>1.482861685</v>
      </c>
    </row>
    <row r="319" spans="1:12" x14ac:dyDescent="0.15">
      <c r="A319" s="1">
        <v>109</v>
      </c>
      <c r="B319" s="10" t="s">
        <v>199</v>
      </c>
      <c r="C319" s="11">
        <v>2014</v>
      </c>
      <c r="D319" s="12">
        <v>6175</v>
      </c>
      <c r="E319" s="12">
        <v>6151</v>
      </c>
      <c r="F319" s="12">
        <v>24</v>
      </c>
      <c r="G319" s="13">
        <v>2.2799999999999998</v>
      </c>
      <c r="H319" s="12">
        <v>3353</v>
      </c>
      <c r="I319" s="12">
        <v>2699</v>
      </c>
      <c r="J319" s="12">
        <v>654</v>
      </c>
      <c r="K319" s="10">
        <v>19.510000000000002</v>
      </c>
      <c r="L319" s="13">
        <v>1.834476588</v>
      </c>
    </row>
    <row r="320" spans="1:12" x14ac:dyDescent="0.15">
      <c r="A320" s="1">
        <v>111</v>
      </c>
      <c r="B320" s="10" t="s">
        <v>200</v>
      </c>
      <c r="C320" s="11">
        <v>2014</v>
      </c>
      <c r="D320" s="12">
        <v>700</v>
      </c>
      <c r="E320" s="12">
        <v>700</v>
      </c>
      <c r="F320" s="12">
        <v>0</v>
      </c>
      <c r="G320" s="13">
        <v>1.98</v>
      </c>
      <c r="H320" s="12">
        <v>747</v>
      </c>
      <c r="I320" s="12">
        <v>353</v>
      </c>
      <c r="J320" s="12">
        <v>394</v>
      </c>
      <c r="K320" s="10">
        <v>52.76</v>
      </c>
      <c r="L320" s="13">
        <v>0.93708166000000004</v>
      </c>
    </row>
    <row r="321" spans="1:12" x14ac:dyDescent="0.15">
      <c r="A321" s="1">
        <v>113</v>
      </c>
      <c r="B321" s="10" t="s">
        <v>201</v>
      </c>
      <c r="C321" s="11">
        <v>2014</v>
      </c>
      <c r="D321" s="12">
        <v>7728</v>
      </c>
      <c r="E321" s="12">
        <v>7561</v>
      </c>
      <c r="F321" s="12">
        <v>167</v>
      </c>
      <c r="G321" s="13">
        <v>2.17</v>
      </c>
      <c r="H321" s="12">
        <v>6238</v>
      </c>
      <c r="I321" s="12">
        <v>3477</v>
      </c>
      <c r="J321" s="12">
        <v>2761</v>
      </c>
      <c r="K321" s="10">
        <v>44.26</v>
      </c>
      <c r="L321" s="13">
        <v>1.2120872069999999</v>
      </c>
    </row>
    <row r="322" spans="1:12" x14ac:dyDescent="0.15">
      <c r="A322" s="1">
        <v>115</v>
      </c>
      <c r="B322" s="10" t="s">
        <v>202</v>
      </c>
      <c r="C322" s="11">
        <v>2014</v>
      </c>
      <c r="D322" s="12">
        <v>2384</v>
      </c>
      <c r="E322" s="12">
        <v>2345</v>
      </c>
      <c r="F322" s="12">
        <v>38</v>
      </c>
      <c r="G322" s="13">
        <v>2.16</v>
      </c>
      <c r="H322" s="12">
        <v>1330</v>
      </c>
      <c r="I322" s="12">
        <v>1086</v>
      </c>
      <c r="J322" s="12">
        <v>244</v>
      </c>
      <c r="K322" s="10">
        <v>18.32</v>
      </c>
      <c r="L322" s="13">
        <v>1.763157895</v>
      </c>
    </row>
    <row r="323" spans="1:12" x14ac:dyDescent="0.15">
      <c r="A323" s="1">
        <v>117</v>
      </c>
      <c r="B323" s="10" t="s">
        <v>203</v>
      </c>
      <c r="C323" s="11">
        <v>2014</v>
      </c>
      <c r="D323" s="12">
        <v>29496</v>
      </c>
      <c r="E323" s="12">
        <v>29109</v>
      </c>
      <c r="F323" s="12">
        <v>387</v>
      </c>
      <c r="G323" s="13">
        <v>2.36</v>
      </c>
      <c r="H323" s="12">
        <v>30034</v>
      </c>
      <c r="I323" s="12">
        <v>12342</v>
      </c>
      <c r="J323" s="12">
        <v>17692</v>
      </c>
      <c r="K323" s="10">
        <v>58.91</v>
      </c>
      <c r="L323" s="13">
        <v>0.96920157200000001</v>
      </c>
    </row>
    <row r="324" spans="1:12" x14ac:dyDescent="0.15">
      <c r="A324" s="1">
        <v>119</v>
      </c>
      <c r="B324" s="10" t="s">
        <v>204</v>
      </c>
      <c r="C324" s="11">
        <v>2014</v>
      </c>
      <c r="D324" s="12">
        <v>23121</v>
      </c>
      <c r="E324" s="12">
        <v>22970</v>
      </c>
      <c r="F324" s="12">
        <v>151</v>
      </c>
      <c r="G324" s="13">
        <v>2.34</v>
      </c>
      <c r="H324" s="12">
        <v>12772</v>
      </c>
      <c r="I324" s="12">
        <v>9796</v>
      </c>
      <c r="J324" s="12">
        <v>2976</v>
      </c>
      <c r="K324" s="10">
        <v>23.3</v>
      </c>
      <c r="L324" s="13">
        <v>1.7984653930000001</v>
      </c>
    </row>
    <row r="325" spans="1:12" x14ac:dyDescent="0.15">
      <c r="A325" s="1">
        <v>121</v>
      </c>
      <c r="B325" s="10" t="s">
        <v>205</v>
      </c>
      <c r="C325" s="11">
        <v>2014</v>
      </c>
      <c r="D325" s="12">
        <v>4617</v>
      </c>
      <c r="E325" s="12">
        <v>4537</v>
      </c>
      <c r="F325" s="12">
        <v>80</v>
      </c>
      <c r="G325" s="13">
        <v>2.37</v>
      </c>
      <c r="H325" s="12">
        <v>2205</v>
      </c>
      <c r="I325" s="12">
        <v>1918</v>
      </c>
      <c r="J325" s="12">
        <v>287</v>
      </c>
      <c r="K325" s="10">
        <v>13</v>
      </c>
      <c r="L325" s="13">
        <v>2.0575963719999999</v>
      </c>
    </row>
    <row r="326" spans="1:12" x14ac:dyDescent="0.15">
      <c r="A326" s="1">
        <v>123</v>
      </c>
      <c r="B326" s="10" t="s">
        <v>206</v>
      </c>
      <c r="C326" s="11">
        <v>2014</v>
      </c>
      <c r="D326" s="12">
        <v>275994</v>
      </c>
      <c r="E326" s="12">
        <v>270649</v>
      </c>
      <c r="F326" s="12">
        <v>5345</v>
      </c>
      <c r="G326" s="13">
        <v>2.79</v>
      </c>
      <c r="H326" s="12">
        <v>101046</v>
      </c>
      <c r="I326" s="12">
        <v>96834</v>
      </c>
      <c r="J326" s="12">
        <v>4212</v>
      </c>
      <c r="K326" s="10">
        <v>4.17</v>
      </c>
      <c r="L326" s="13">
        <v>2.6784731709999998</v>
      </c>
    </row>
    <row r="327" spans="1:12" x14ac:dyDescent="0.15">
      <c r="A327" s="1">
        <v>125</v>
      </c>
      <c r="B327" s="10" t="s">
        <v>207</v>
      </c>
      <c r="C327" s="11">
        <v>2014</v>
      </c>
      <c r="D327" s="12">
        <v>10188</v>
      </c>
      <c r="E327" s="12">
        <v>9823</v>
      </c>
      <c r="F327" s="12">
        <v>365</v>
      </c>
      <c r="G327" s="13">
        <v>2.5099999999999998</v>
      </c>
      <c r="H327" s="12">
        <v>4265</v>
      </c>
      <c r="I327" s="12">
        <v>3911</v>
      </c>
      <c r="J327" s="12">
        <v>354</v>
      </c>
      <c r="K327" s="10">
        <v>8.3000000000000007</v>
      </c>
      <c r="L327" s="13">
        <v>2.3031652990000002</v>
      </c>
    </row>
    <row r="328" spans="1:12" x14ac:dyDescent="0.15">
      <c r="A328" s="1">
        <v>0</v>
      </c>
      <c r="B328" s="10" t="s">
        <v>143</v>
      </c>
      <c r="C328" s="11">
        <v>2015</v>
      </c>
      <c r="D328" s="12">
        <v>5446594</v>
      </c>
      <c r="E328" s="12">
        <v>5322337</v>
      </c>
      <c r="F328" s="12">
        <v>124256</v>
      </c>
      <c r="G328" s="13">
        <v>2.5</v>
      </c>
      <c r="H328" s="12">
        <v>2310630</v>
      </c>
      <c r="I328" s="12">
        <v>2132504</v>
      </c>
      <c r="J328" s="12">
        <v>178126</v>
      </c>
      <c r="K328" s="10">
        <v>7.71</v>
      </c>
      <c r="L328" s="13">
        <v>2.3034137879999999</v>
      </c>
    </row>
    <row r="329" spans="1:12" x14ac:dyDescent="0.15">
      <c r="A329" s="1">
        <v>1</v>
      </c>
      <c r="B329" s="10" t="s">
        <v>144</v>
      </c>
      <c r="C329" s="11">
        <v>2015</v>
      </c>
      <c r="D329" s="12">
        <v>490351</v>
      </c>
      <c r="E329" s="12">
        <v>486126</v>
      </c>
      <c r="F329" s="12">
        <v>4225</v>
      </c>
      <c r="G329" s="13">
        <v>2.87</v>
      </c>
      <c r="H329" s="12">
        <v>171361</v>
      </c>
      <c r="I329" s="12">
        <v>169630</v>
      </c>
      <c r="J329" s="12">
        <v>1731</v>
      </c>
      <c r="K329" s="10">
        <v>1.01</v>
      </c>
      <c r="L329" s="13">
        <v>2.8368531930000001</v>
      </c>
    </row>
    <row r="330" spans="1:12" x14ac:dyDescent="0.15">
      <c r="A330" s="1">
        <v>3</v>
      </c>
      <c r="B330" s="10" t="s">
        <v>145</v>
      </c>
      <c r="C330" s="11">
        <v>2015</v>
      </c>
      <c r="D330" s="12">
        <v>15885</v>
      </c>
      <c r="E330" s="12">
        <v>15020</v>
      </c>
      <c r="F330" s="12">
        <v>865</v>
      </c>
      <c r="G330" s="13">
        <v>2.44</v>
      </c>
      <c r="H330" s="12">
        <v>6807</v>
      </c>
      <c r="I330" s="12">
        <v>6163</v>
      </c>
      <c r="J330" s="12">
        <v>644</v>
      </c>
      <c r="K330" s="10">
        <v>9.4600000000000009</v>
      </c>
      <c r="L330" s="13">
        <v>2.2065520790000002</v>
      </c>
    </row>
    <row r="331" spans="1:12" x14ac:dyDescent="0.15">
      <c r="A331" s="1">
        <v>5</v>
      </c>
      <c r="B331" s="10" t="s">
        <v>146</v>
      </c>
      <c r="C331" s="11">
        <v>2015</v>
      </c>
      <c r="D331" s="12">
        <v>629965</v>
      </c>
      <c r="E331" s="12">
        <v>625080</v>
      </c>
      <c r="F331" s="12">
        <v>4885</v>
      </c>
      <c r="G331" s="13">
        <v>2.56</v>
      </c>
      <c r="H331" s="12">
        <v>247801</v>
      </c>
      <c r="I331" s="12">
        <v>243773</v>
      </c>
      <c r="J331" s="12">
        <v>4028</v>
      </c>
      <c r="K331" s="10">
        <v>1.63</v>
      </c>
      <c r="L331" s="13">
        <v>2.5225079799999999</v>
      </c>
    </row>
    <row r="332" spans="1:12" x14ac:dyDescent="0.15">
      <c r="A332" s="1">
        <v>7</v>
      </c>
      <c r="B332" s="10" t="s">
        <v>147</v>
      </c>
      <c r="C332" s="11">
        <v>2015</v>
      </c>
      <c r="D332" s="12">
        <v>12009</v>
      </c>
      <c r="E332" s="12">
        <v>11900</v>
      </c>
      <c r="F332" s="12">
        <v>109</v>
      </c>
      <c r="G332" s="13">
        <v>2.2799999999999998</v>
      </c>
      <c r="H332" s="12">
        <v>8952</v>
      </c>
      <c r="I332" s="12">
        <v>5218</v>
      </c>
      <c r="J332" s="12">
        <v>3734</v>
      </c>
      <c r="K332" s="10">
        <v>41.71</v>
      </c>
      <c r="L332" s="13">
        <v>1.3293118859999999</v>
      </c>
    </row>
    <row r="333" spans="1:12" x14ac:dyDescent="0.15">
      <c r="A333" s="1">
        <v>9</v>
      </c>
      <c r="B333" s="10" t="s">
        <v>148</v>
      </c>
      <c r="C333" s="11">
        <v>2015</v>
      </c>
      <c r="D333" s="12">
        <v>3530</v>
      </c>
      <c r="E333" s="12">
        <v>3470</v>
      </c>
      <c r="F333" s="12">
        <v>60</v>
      </c>
      <c r="G333" s="13">
        <v>2.12</v>
      </c>
      <c r="H333" s="12">
        <v>1968</v>
      </c>
      <c r="I333" s="12">
        <v>1634</v>
      </c>
      <c r="J333" s="12">
        <v>334</v>
      </c>
      <c r="K333" s="10">
        <v>16.97</v>
      </c>
      <c r="L333" s="13">
        <v>1.7632113819999999</v>
      </c>
    </row>
    <row r="334" spans="1:12" x14ac:dyDescent="0.15">
      <c r="A334" s="1">
        <v>11</v>
      </c>
      <c r="B334" s="10" t="s">
        <v>149</v>
      </c>
      <c r="C334" s="11">
        <v>2015</v>
      </c>
      <c r="D334" s="12">
        <v>5966</v>
      </c>
      <c r="E334" s="12">
        <v>4059</v>
      </c>
      <c r="F334" s="12">
        <v>1907</v>
      </c>
      <c r="G334" s="13">
        <v>2.31</v>
      </c>
      <c r="H334" s="12">
        <v>2124</v>
      </c>
      <c r="I334" s="12">
        <v>1758</v>
      </c>
      <c r="J334" s="12">
        <v>366</v>
      </c>
      <c r="K334" s="10">
        <v>17.25</v>
      </c>
      <c r="L334" s="13">
        <v>1.911016949</v>
      </c>
    </row>
    <row r="335" spans="1:12" x14ac:dyDescent="0.15">
      <c r="A335" s="1">
        <v>13</v>
      </c>
      <c r="B335" s="10" t="s">
        <v>150</v>
      </c>
      <c r="C335" s="11">
        <v>2015</v>
      </c>
      <c r="D335" s="12">
        <v>320352</v>
      </c>
      <c r="E335" s="12">
        <v>307247</v>
      </c>
      <c r="F335" s="12">
        <v>13105</v>
      </c>
      <c r="G335" s="13">
        <v>2.39</v>
      </c>
      <c r="H335" s="12">
        <v>132127</v>
      </c>
      <c r="I335" s="12">
        <v>128728</v>
      </c>
      <c r="J335" s="12">
        <v>3399</v>
      </c>
      <c r="K335" s="10">
        <v>2.57</v>
      </c>
      <c r="L335" s="13">
        <v>2.3253914789999999</v>
      </c>
    </row>
    <row r="336" spans="1:12" x14ac:dyDescent="0.15">
      <c r="A336" s="1">
        <v>14</v>
      </c>
      <c r="B336" s="10" t="s">
        <v>151</v>
      </c>
      <c r="C336" s="11">
        <v>2015</v>
      </c>
      <c r="D336" s="12">
        <v>65831</v>
      </c>
      <c r="E336" s="12">
        <v>65577</v>
      </c>
      <c r="F336" s="12">
        <v>254</v>
      </c>
      <c r="G336" s="13">
        <v>2.54</v>
      </c>
      <c r="H336" s="12">
        <v>27750</v>
      </c>
      <c r="I336" s="12">
        <v>25834</v>
      </c>
      <c r="J336" s="12">
        <v>1916</v>
      </c>
      <c r="K336" s="10">
        <v>6.9</v>
      </c>
      <c r="L336" s="13">
        <v>2.3631351349999998</v>
      </c>
    </row>
    <row r="337" spans="1:12" x14ac:dyDescent="0.15">
      <c r="A337" s="1">
        <v>15</v>
      </c>
      <c r="B337" s="10" t="s">
        <v>152</v>
      </c>
      <c r="C337" s="11">
        <v>2015</v>
      </c>
      <c r="D337" s="12">
        <v>18108</v>
      </c>
      <c r="E337" s="12">
        <v>16713</v>
      </c>
      <c r="F337" s="12">
        <v>1395</v>
      </c>
      <c r="G337" s="13">
        <v>2.16</v>
      </c>
      <c r="H337" s="12">
        <v>10183</v>
      </c>
      <c r="I337" s="12">
        <v>7749</v>
      </c>
      <c r="J337" s="12">
        <v>2434</v>
      </c>
      <c r="K337" s="10">
        <v>23.9</v>
      </c>
      <c r="L337" s="13">
        <v>1.641264853</v>
      </c>
    </row>
    <row r="338" spans="1:12" x14ac:dyDescent="0.15">
      <c r="A338" s="1">
        <v>17</v>
      </c>
      <c r="B338" s="10" t="s">
        <v>153</v>
      </c>
      <c r="C338" s="11">
        <v>2015</v>
      </c>
      <c r="D338" s="12">
        <v>1806</v>
      </c>
      <c r="E338" s="12">
        <v>1764</v>
      </c>
      <c r="F338" s="12">
        <v>42</v>
      </c>
      <c r="G338" s="13">
        <v>2.2999999999999998</v>
      </c>
      <c r="H338" s="12">
        <v>886</v>
      </c>
      <c r="I338" s="12">
        <v>768</v>
      </c>
      <c r="J338" s="12">
        <v>118</v>
      </c>
      <c r="K338" s="10">
        <v>13.3</v>
      </c>
      <c r="L338" s="13">
        <v>1.9909706549999999</v>
      </c>
    </row>
    <row r="339" spans="1:12" x14ac:dyDescent="0.15">
      <c r="A339" s="1">
        <v>19</v>
      </c>
      <c r="B339" s="10" t="s">
        <v>154</v>
      </c>
      <c r="C339" s="11">
        <v>2015</v>
      </c>
      <c r="D339" s="12">
        <v>9158</v>
      </c>
      <c r="E339" s="12">
        <v>9047</v>
      </c>
      <c r="F339" s="12">
        <v>111</v>
      </c>
      <c r="G339" s="13">
        <v>2.13</v>
      </c>
      <c r="H339" s="12">
        <v>5544</v>
      </c>
      <c r="I339" s="12">
        <v>4243</v>
      </c>
      <c r="J339" s="12">
        <v>1301</v>
      </c>
      <c r="K339" s="10">
        <v>23.46</v>
      </c>
      <c r="L339" s="13">
        <v>1.6318542570000001</v>
      </c>
    </row>
    <row r="340" spans="1:12" x14ac:dyDescent="0.15">
      <c r="A340" s="1">
        <v>21</v>
      </c>
      <c r="B340" s="10" t="s">
        <v>155</v>
      </c>
      <c r="C340" s="11">
        <v>2015</v>
      </c>
      <c r="D340" s="12">
        <v>7930</v>
      </c>
      <c r="E340" s="12">
        <v>7881</v>
      </c>
      <c r="F340" s="12">
        <v>50</v>
      </c>
      <c r="G340" s="13">
        <v>2.6</v>
      </c>
      <c r="H340" s="12">
        <v>3885</v>
      </c>
      <c r="I340" s="12">
        <v>3036</v>
      </c>
      <c r="J340" s="12">
        <v>849</v>
      </c>
      <c r="K340" s="10">
        <v>21.85</v>
      </c>
      <c r="L340" s="13">
        <v>2.0285714289999999</v>
      </c>
    </row>
    <row r="341" spans="1:12" x14ac:dyDescent="0.15">
      <c r="A341" s="1">
        <v>23</v>
      </c>
      <c r="B341" s="10" t="s">
        <v>156</v>
      </c>
      <c r="C341" s="11">
        <v>2015</v>
      </c>
      <c r="D341" s="12">
        <v>3516</v>
      </c>
      <c r="E341" s="12">
        <v>3516</v>
      </c>
      <c r="F341" s="12">
        <v>0</v>
      </c>
      <c r="G341" s="13">
        <v>2.23</v>
      </c>
      <c r="H341" s="12">
        <v>2310</v>
      </c>
      <c r="I341" s="12">
        <v>1575</v>
      </c>
      <c r="J341" s="12">
        <v>735</v>
      </c>
      <c r="K341" s="10">
        <v>31.84</v>
      </c>
      <c r="L341" s="13">
        <v>1.522077922</v>
      </c>
    </row>
    <row r="342" spans="1:12" x14ac:dyDescent="0.15">
      <c r="A342" s="1">
        <v>25</v>
      </c>
      <c r="B342" s="10" t="s">
        <v>157</v>
      </c>
      <c r="C342" s="11">
        <v>2015</v>
      </c>
      <c r="D342" s="12">
        <v>5839</v>
      </c>
      <c r="E342" s="12">
        <v>3077</v>
      </c>
      <c r="F342" s="12">
        <v>2762</v>
      </c>
      <c r="G342" s="13">
        <v>2.36</v>
      </c>
      <c r="H342" s="12">
        <v>1495</v>
      </c>
      <c r="I342" s="12">
        <v>1304</v>
      </c>
      <c r="J342" s="12">
        <v>191</v>
      </c>
      <c r="K342" s="10">
        <v>12.81</v>
      </c>
      <c r="L342" s="13">
        <v>2.05819398</v>
      </c>
    </row>
    <row r="343" spans="1:12" x14ac:dyDescent="0.15">
      <c r="A343" s="1">
        <v>27</v>
      </c>
      <c r="B343" s="10" t="s">
        <v>158</v>
      </c>
      <c r="C343" s="11">
        <v>2015</v>
      </c>
      <c r="D343" s="12">
        <v>4467</v>
      </c>
      <c r="E343" s="12">
        <v>4454</v>
      </c>
      <c r="F343" s="12">
        <v>13</v>
      </c>
      <c r="G343" s="13">
        <v>2.12</v>
      </c>
      <c r="H343" s="12">
        <v>3863</v>
      </c>
      <c r="I343" s="12">
        <v>2097</v>
      </c>
      <c r="J343" s="12">
        <v>1766</v>
      </c>
      <c r="K343" s="10">
        <v>45.71</v>
      </c>
      <c r="L343" s="13">
        <v>1.152989904</v>
      </c>
    </row>
    <row r="344" spans="1:12" x14ac:dyDescent="0.15">
      <c r="A344" s="1">
        <v>29</v>
      </c>
      <c r="B344" s="10" t="s">
        <v>159</v>
      </c>
      <c r="C344" s="11">
        <v>2015</v>
      </c>
      <c r="D344" s="12">
        <v>30039</v>
      </c>
      <c r="E344" s="12">
        <v>29267</v>
      </c>
      <c r="F344" s="12">
        <v>772</v>
      </c>
      <c r="G344" s="13">
        <v>2.35</v>
      </c>
      <c r="H344" s="12">
        <v>14673</v>
      </c>
      <c r="I344" s="12">
        <v>12436</v>
      </c>
      <c r="J344" s="12">
        <v>2237</v>
      </c>
      <c r="K344" s="10">
        <v>15.25</v>
      </c>
      <c r="L344" s="13">
        <v>1.994615961</v>
      </c>
    </row>
    <row r="345" spans="1:12" x14ac:dyDescent="0.15">
      <c r="A345" s="1">
        <v>31</v>
      </c>
      <c r="B345" s="10" t="s">
        <v>160</v>
      </c>
      <c r="C345" s="11">
        <v>2015</v>
      </c>
      <c r="D345" s="12">
        <v>675534</v>
      </c>
      <c r="E345" s="12">
        <v>659092</v>
      </c>
      <c r="F345" s="12">
        <v>16442</v>
      </c>
      <c r="G345" s="13">
        <v>2.21</v>
      </c>
      <c r="H345" s="12">
        <v>306476</v>
      </c>
      <c r="I345" s="12">
        <v>297895</v>
      </c>
      <c r="J345" s="12">
        <v>8581</v>
      </c>
      <c r="K345" s="10">
        <v>2.8</v>
      </c>
      <c r="L345" s="13">
        <v>2.1505501250000001</v>
      </c>
    </row>
    <row r="346" spans="1:12" x14ac:dyDescent="0.15">
      <c r="A346" s="1">
        <v>33</v>
      </c>
      <c r="B346" s="10" t="s">
        <v>161</v>
      </c>
      <c r="C346" s="11">
        <v>2015</v>
      </c>
      <c r="D346" s="12">
        <v>2087</v>
      </c>
      <c r="E346" s="12">
        <v>2087</v>
      </c>
      <c r="F346" s="12">
        <v>0</v>
      </c>
      <c r="G346" s="13">
        <v>2.2599999999999998</v>
      </c>
      <c r="H346" s="12">
        <v>1243</v>
      </c>
      <c r="I346" s="12">
        <v>924</v>
      </c>
      <c r="J346" s="12">
        <v>319</v>
      </c>
      <c r="K346" s="10">
        <v>25.68</v>
      </c>
      <c r="L346" s="13">
        <v>1.6790024139999999</v>
      </c>
    </row>
    <row r="347" spans="1:12" x14ac:dyDescent="0.15">
      <c r="A347" s="1">
        <v>35</v>
      </c>
      <c r="B347" s="10" t="s">
        <v>162</v>
      </c>
      <c r="C347" s="11">
        <v>2015</v>
      </c>
      <c r="D347" s="12">
        <v>322079</v>
      </c>
      <c r="E347" s="12">
        <v>320816</v>
      </c>
      <c r="F347" s="12">
        <v>1263</v>
      </c>
      <c r="G347" s="13">
        <v>2.78</v>
      </c>
      <c r="H347" s="12">
        <v>117377</v>
      </c>
      <c r="I347" s="12">
        <v>115347</v>
      </c>
      <c r="J347" s="12">
        <v>2030</v>
      </c>
      <c r="K347" s="10">
        <v>1.73</v>
      </c>
      <c r="L347" s="13">
        <v>2.733210084</v>
      </c>
    </row>
    <row r="348" spans="1:12" x14ac:dyDescent="0.15">
      <c r="A348" s="1">
        <v>37</v>
      </c>
      <c r="B348" s="10" t="s">
        <v>163</v>
      </c>
      <c r="C348" s="11">
        <v>2015</v>
      </c>
      <c r="D348" s="12">
        <v>52780</v>
      </c>
      <c r="E348" s="12">
        <v>52699</v>
      </c>
      <c r="F348" s="12">
        <v>81</v>
      </c>
      <c r="G348" s="13">
        <v>2.7</v>
      </c>
      <c r="H348" s="12">
        <v>31363</v>
      </c>
      <c r="I348" s="12">
        <v>19553</v>
      </c>
      <c r="J348" s="12">
        <v>11810</v>
      </c>
      <c r="K348" s="10">
        <v>37.659999999999997</v>
      </c>
      <c r="L348" s="13">
        <v>1.6802920640000001</v>
      </c>
    </row>
    <row r="349" spans="1:12" x14ac:dyDescent="0.15">
      <c r="A349" s="1">
        <v>39</v>
      </c>
      <c r="B349" s="10" t="s">
        <v>164</v>
      </c>
      <c r="C349" s="11">
        <v>2015</v>
      </c>
      <c r="D349" s="12">
        <v>24061</v>
      </c>
      <c r="E349" s="12">
        <v>23989</v>
      </c>
      <c r="F349" s="12">
        <v>72</v>
      </c>
      <c r="G349" s="13">
        <v>2.76</v>
      </c>
      <c r="H349" s="12">
        <v>9116</v>
      </c>
      <c r="I349" s="12">
        <v>8694</v>
      </c>
      <c r="J349" s="12">
        <v>422</v>
      </c>
      <c r="K349" s="10">
        <v>4.63</v>
      </c>
      <c r="L349" s="13">
        <v>2.6315269859999999</v>
      </c>
    </row>
    <row r="350" spans="1:12" x14ac:dyDescent="0.15">
      <c r="A350" s="1">
        <v>41</v>
      </c>
      <c r="B350" s="10" t="s">
        <v>165</v>
      </c>
      <c r="C350" s="11">
        <v>2015</v>
      </c>
      <c r="D350" s="12">
        <v>677969</v>
      </c>
      <c r="E350" s="12">
        <v>657529</v>
      </c>
      <c r="F350" s="12">
        <v>20440</v>
      </c>
      <c r="G350" s="13">
        <v>2.58</v>
      </c>
      <c r="H350" s="12">
        <v>268705</v>
      </c>
      <c r="I350" s="12">
        <v>254877</v>
      </c>
      <c r="J350" s="12">
        <v>13828</v>
      </c>
      <c r="K350" s="10">
        <v>5.15</v>
      </c>
      <c r="L350" s="13">
        <v>2.4470292699999998</v>
      </c>
    </row>
    <row r="351" spans="1:12" x14ac:dyDescent="0.15">
      <c r="A351" s="1">
        <v>43</v>
      </c>
      <c r="B351" s="10" t="s">
        <v>166</v>
      </c>
      <c r="C351" s="11">
        <v>2015</v>
      </c>
      <c r="D351" s="12">
        <v>47213</v>
      </c>
      <c r="E351" s="12">
        <v>38941</v>
      </c>
      <c r="F351" s="12">
        <v>8272</v>
      </c>
      <c r="G351" s="13">
        <v>2.29</v>
      </c>
      <c r="H351" s="12">
        <v>19683</v>
      </c>
      <c r="I351" s="12">
        <v>16970</v>
      </c>
      <c r="J351" s="12">
        <v>2713</v>
      </c>
      <c r="K351" s="10">
        <v>13.78</v>
      </c>
      <c r="L351" s="13">
        <v>1.9784077630000001</v>
      </c>
    </row>
    <row r="352" spans="1:12" x14ac:dyDescent="0.15">
      <c r="A352" s="1">
        <v>45</v>
      </c>
      <c r="B352" s="10" t="s">
        <v>167</v>
      </c>
      <c r="C352" s="11">
        <v>2015</v>
      </c>
      <c r="D352" s="12">
        <v>57495</v>
      </c>
      <c r="E352" s="12">
        <v>56486</v>
      </c>
      <c r="F352" s="12">
        <v>1010</v>
      </c>
      <c r="G352" s="13">
        <v>2.72</v>
      </c>
      <c r="H352" s="12">
        <v>23201</v>
      </c>
      <c r="I352" s="12">
        <v>20786</v>
      </c>
      <c r="J352" s="12">
        <v>2415</v>
      </c>
      <c r="K352" s="10">
        <v>10.41</v>
      </c>
      <c r="L352" s="13">
        <v>2.4346364380000001</v>
      </c>
    </row>
    <row r="353" spans="1:12" x14ac:dyDescent="0.15">
      <c r="A353" s="1">
        <v>47</v>
      </c>
      <c r="B353" s="10" t="s">
        <v>168</v>
      </c>
      <c r="C353" s="11">
        <v>2015</v>
      </c>
      <c r="D353" s="12">
        <v>5553</v>
      </c>
      <c r="E353" s="12">
        <v>5509</v>
      </c>
      <c r="F353" s="12">
        <v>44</v>
      </c>
      <c r="G353" s="13">
        <v>2.2000000000000002</v>
      </c>
      <c r="H353" s="12">
        <v>3354</v>
      </c>
      <c r="I353" s="12">
        <v>2504</v>
      </c>
      <c r="J353" s="12">
        <v>850</v>
      </c>
      <c r="K353" s="10">
        <v>25.33</v>
      </c>
      <c r="L353" s="13">
        <v>1.6425163979999999</v>
      </c>
    </row>
    <row r="354" spans="1:12" x14ac:dyDescent="0.15">
      <c r="A354" s="1">
        <v>49</v>
      </c>
      <c r="B354" s="10" t="s">
        <v>169</v>
      </c>
      <c r="C354" s="11">
        <v>2015</v>
      </c>
      <c r="D354" s="12">
        <v>14961</v>
      </c>
      <c r="E354" s="12">
        <v>14751</v>
      </c>
      <c r="F354" s="12">
        <v>210</v>
      </c>
      <c r="G354" s="13">
        <v>2.2400000000000002</v>
      </c>
      <c r="H354" s="12">
        <v>15762</v>
      </c>
      <c r="I354" s="12">
        <v>6591</v>
      </c>
      <c r="J354" s="12">
        <v>9171</v>
      </c>
      <c r="K354" s="10">
        <v>58.19</v>
      </c>
      <c r="L354" s="13">
        <v>0.93585839400000004</v>
      </c>
    </row>
    <row r="355" spans="1:12" x14ac:dyDescent="0.15">
      <c r="A355" s="1">
        <v>51</v>
      </c>
      <c r="B355" s="10" t="s">
        <v>170</v>
      </c>
      <c r="C355" s="11">
        <v>2015</v>
      </c>
      <c r="D355" s="12">
        <v>15826</v>
      </c>
      <c r="E355" s="12">
        <v>14822</v>
      </c>
      <c r="F355" s="12">
        <v>1004</v>
      </c>
      <c r="G355" s="13">
        <v>2.2200000000000002</v>
      </c>
      <c r="H355" s="12">
        <v>11514</v>
      </c>
      <c r="I355" s="12">
        <v>6666</v>
      </c>
      <c r="J355" s="12">
        <v>4848</v>
      </c>
      <c r="K355" s="10">
        <v>42.11</v>
      </c>
      <c r="L355" s="13">
        <v>1.287302414</v>
      </c>
    </row>
    <row r="356" spans="1:12" x14ac:dyDescent="0.15">
      <c r="A356" s="1">
        <v>53</v>
      </c>
      <c r="B356" s="10" t="s">
        <v>171</v>
      </c>
      <c r="C356" s="11">
        <v>2015</v>
      </c>
      <c r="D356" s="12">
        <v>813</v>
      </c>
      <c r="E356" s="12">
        <v>785</v>
      </c>
      <c r="F356" s="12">
        <v>28</v>
      </c>
      <c r="G356" s="13">
        <v>2.14</v>
      </c>
      <c r="H356" s="12">
        <v>1292</v>
      </c>
      <c r="I356" s="12">
        <v>367</v>
      </c>
      <c r="J356" s="12">
        <v>925</v>
      </c>
      <c r="K356" s="10">
        <v>71.58</v>
      </c>
      <c r="L356" s="13">
        <v>0.607585139</v>
      </c>
    </row>
    <row r="357" spans="1:12" x14ac:dyDescent="0.15">
      <c r="A357" s="1">
        <v>55</v>
      </c>
      <c r="B357" s="10" t="s">
        <v>172</v>
      </c>
      <c r="C357" s="11">
        <v>2015</v>
      </c>
      <c r="D357" s="12">
        <v>6706</v>
      </c>
      <c r="E357" s="12">
        <v>6572</v>
      </c>
      <c r="F357" s="12">
        <v>134</v>
      </c>
      <c r="G357" s="13">
        <v>2.09</v>
      </c>
      <c r="H357" s="12">
        <v>4543</v>
      </c>
      <c r="I357" s="12">
        <v>3138</v>
      </c>
      <c r="J357" s="12">
        <v>1405</v>
      </c>
      <c r="K357" s="10">
        <v>30.92</v>
      </c>
      <c r="L357" s="13">
        <v>1.446621175</v>
      </c>
    </row>
    <row r="358" spans="1:12" x14ac:dyDescent="0.15">
      <c r="A358" s="1">
        <v>57</v>
      </c>
      <c r="B358" s="10" t="s">
        <v>173</v>
      </c>
      <c r="C358" s="11">
        <v>2015</v>
      </c>
      <c r="D358" s="12">
        <v>1381</v>
      </c>
      <c r="E358" s="12">
        <v>1379</v>
      </c>
      <c r="F358" s="12">
        <v>2</v>
      </c>
      <c r="G358" s="13">
        <v>2.12</v>
      </c>
      <c r="H358" s="12">
        <v>1161</v>
      </c>
      <c r="I358" s="12">
        <v>650</v>
      </c>
      <c r="J358" s="12">
        <v>511</v>
      </c>
      <c r="K358" s="10">
        <v>44</v>
      </c>
      <c r="L358" s="13">
        <v>1.187769165</v>
      </c>
    </row>
    <row r="359" spans="1:12" x14ac:dyDescent="0.15">
      <c r="A359" s="1">
        <v>59</v>
      </c>
      <c r="B359" s="10" t="s">
        <v>174</v>
      </c>
      <c r="C359" s="11">
        <v>2015</v>
      </c>
      <c r="D359" s="12">
        <v>565161</v>
      </c>
      <c r="E359" s="12">
        <v>557032</v>
      </c>
      <c r="F359" s="12">
        <v>8129</v>
      </c>
      <c r="G359" s="13">
        <v>2.42</v>
      </c>
      <c r="H359" s="12">
        <v>237424</v>
      </c>
      <c r="I359" s="12">
        <v>230578</v>
      </c>
      <c r="J359" s="12">
        <v>6846</v>
      </c>
      <c r="K359" s="10">
        <v>2.88</v>
      </c>
      <c r="L359" s="13">
        <v>2.3461486620000001</v>
      </c>
    </row>
    <row r="360" spans="1:12" x14ac:dyDescent="0.15">
      <c r="A360" s="1">
        <v>61</v>
      </c>
      <c r="B360" s="10" t="s">
        <v>175</v>
      </c>
      <c r="C360" s="11">
        <v>2015</v>
      </c>
      <c r="D360" s="12">
        <v>1406</v>
      </c>
      <c r="E360" s="12">
        <v>1383</v>
      </c>
      <c r="F360" s="12">
        <v>24</v>
      </c>
      <c r="G360" s="13">
        <v>2.33</v>
      </c>
      <c r="H360" s="12">
        <v>734</v>
      </c>
      <c r="I360" s="12">
        <v>594</v>
      </c>
      <c r="J360" s="12">
        <v>140</v>
      </c>
      <c r="K360" s="10">
        <v>19.12</v>
      </c>
      <c r="L360" s="13">
        <v>1.884196185</v>
      </c>
    </row>
    <row r="361" spans="1:12" x14ac:dyDescent="0.15">
      <c r="A361" s="1">
        <v>63</v>
      </c>
      <c r="B361" s="10" t="s">
        <v>176</v>
      </c>
      <c r="C361" s="11">
        <v>2015</v>
      </c>
      <c r="D361" s="12">
        <v>7561</v>
      </c>
      <c r="E361" s="12">
        <v>6977</v>
      </c>
      <c r="F361" s="12">
        <v>584</v>
      </c>
      <c r="G361" s="13">
        <v>2.4</v>
      </c>
      <c r="H361" s="12">
        <v>3404</v>
      </c>
      <c r="I361" s="12">
        <v>2909</v>
      </c>
      <c r="J361" s="12">
        <v>495</v>
      </c>
      <c r="K361" s="10">
        <v>14.53</v>
      </c>
      <c r="L361" s="13">
        <v>2.0496474739999999</v>
      </c>
    </row>
    <row r="362" spans="1:12" x14ac:dyDescent="0.15">
      <c r="A362" s="1">
        <v>65</v>
      </c>
      <c r="B362" s="10" t="s">
        <v>177</v>
      </c>
      <c r="C362" s="11">
        <v>2015</v>
      </c>
      <c r="D362" s="12">
        <v>7159</v>
      </c>
      <c r="E362" s="12">
        <v>7047</v>
      </c>
      <c r="F362" s="12">
        <v>112</v>
      </c>
      <c r="G362" s="13">
        <v>2.41</v>
      </c>
      <c r="H362" s="12">
        <v>4277</v>
      </c>
      <c r="I362" s="12">
        <v>2928</v>
      </c>
      <c r="J362" s="12">
        <v>1349</v>
      </c>
      <c r="K362" s="10">
        <v>31.54</v>
      </c>
      <c r="L362" s="13">
        <v>1.647650222</v>
      </c>
    </row>
    <row r="363" spans="1:12" x14ac:dyDescent="0.15">
      <c r="A363" s="1">
        <v>67</v>
      </c>
      <c r="B363" s="10" t="s">
        <v>178</v>
      </c>
      <c r="C363" s="11">
        <v>2015</v>
      </c>
      <c r="D363" s="12">
        <v>54300</v>
      </c>
      <c r="E363" s="12">
        <v>52304</v>
      </c>
      <c r="F363" s="12">
        <v>1996</v>
      </c>
      <c r="G363" s="13">
        <v>2.3199999999999998</v>
      </c>
      <c r="H363" s="12">
        <v>26672</v>
      </c>
      <c r="I363" s="12">
        <v>22522</v>
      </c>
      <c r="J363" s="12">
        <v>4150</v>
      </c>
      <c r="K363" s="10">
        <v>15.56</v>
      </c>
      <c r="L363" s="13">
        <v>1.961007798</v>
      </c>
    </row>
    <row r="364" spans="1:12" x14ac:dyDescent="0.15">
      <c r="A364" s="1">
        <v>69</v>
      </c>
      <c r="B364" s="10" t="s">
        <v>179</v>
      </c>
      <c r="C364" s="11">
        <v>2015</v>
      </c>
      <c r="D364" s="12">
        <v>333445</v>
      </c>
      <c r="E364" s="12">
        <v>323148</v>
      </c>
      <c r="F364" s="12">
        <v>10297</v>
      </c>
      <c r="G364" s="13">
        <v>2.41</v>
      </c>
      <c r="H364" s="12">
        <v>143765</v>
      </c>
      <c r="I364" s="12">
        <v>133884</v>
      </c>
      <c r="J364" s="12">
        <v>9881</v>
      </c>
      <c r="K364" s="10">
        <v>6.87</v>
      </c>
      <c r="L364" s="13">
        <v>2.2477515389999998</v>
      </c>
    </row>
    <row r="365" spans="1:12" x14ac:dyDescent="0.15">
      <c r="A365" s="1">
        <v>71</v>
      </c>
      <c r="B365" s="10" t="s">
        <v>180</v>
      </c>
      <c r="C365" s="11">
        <v>2015</v>
      </c>
      <c r="D365" s="12">
        <v>14997</v>
      </c>
      <c r="E365" s="12">
        <v>14219</v>
      </c>
      <c r="F365" s="12">
        <v>778</v>
      </c>
      <c r="G365" s="13">
        <v>2.2400000000000002</v>
      </c>
      <c r="H365" s="12">
        <v>7959</v>
      </c>
      <c r="I365" s="12">
        <v>6359</v>
      </c>
      <c r="J365" s="12">
        <v>1600</v>
      </c>
      <c r="K365" s="10">
        <v>20.11</v>
      </c>
      <c r="L365" s="13">
        <v>1.7865309709999999</v>
      </c>
    </row>
    <row r="366" spans="1:12" x14ac:dyDescent="0.15">
      <c r="A366" s="1">
        <v>73</v>
      </c>
      <c r="B366" s="10" t="s">
        <v>181</v>
      </c>
      <c r="C366" s="11">
        <v>2015</v>
      </c>
      <c r="D366" s="12">
        <v>5553</v>
      </c>
      <c r="E366" s="12">
        <v>4543</v>
      </c>
      <c r="F366" s="12">
        <v>1010</v>
      </c>
      <c r="G366" s="13">
        <v>2.3199999999999998</v>
      </c>
      <c r="H366" s="12">
        <v>2266</v>
      </c>
      <c r="I366" s="12">
        <v>1954</v>
      </c>
      <c r="J366" s="12">
        <v>312</v>
      </c>
      <c r="K366" s="10">
        <v>13.77</v>
      </c>
      <c r="L366" s="13">
        <v>2.0048543689999998</v>
      </c>
    </row>
    <row r="367" spans="1:12" x14ac:dyDescent="0.15">
      <c r="A367" s="1">
        <v>75</v>
      </c>
      <c r="B367" s="10" t="s">
        <v>182</v>
      </c>
      <c r="C367" s="11">
        <v>2015</v>
      </c>
      <c r="D367" s="12">
        <v>21873</v>
      </c>
      <c r="E367" s="12">
        <v>18602</v>
      </c>
      <c r="F367" s="12">
        <v>3271</v>
      </c>
      <c r="G367" s="13">
        <v>2.33</v>
      </c>
      <c r="H367" s="12">
        <v>8567</v>
      </c>
      <c r="I367" s="12">
        <v>7996</v>
      </c>
      <c r="J367" s="12">
        <v>571</v>
      </c>
      <c r="K367" s="10">
        <v>6.67</v>
      </c>
      <c r="L367" s="13">
        <v>2.1713551999999998</v>
      </c>
    </row>
    <row r="368" spans="1:12" x14ac:dyDescent="0.15">
      <c r="A368" s="1">
        <v>77</v>
      </c>
      <c r="B368" s="10" t="s">
        <v>183</v>
      </c>
      <c r="C368" s="11">
        <v>2015</v>
      </c>
      <c r="D368" s="12">
        <v>148774</v>
      </c>
      <c r="E368" s="12">
        <v>144217</v>
      </c>
      <c r="F368" s="12">
        <v>4557</v>
      </c>
      <c r="G368" s="13">
        <v>2.4300000000000002</v>
      </c>
      <c r="H368" s="12">
        <v>64529</v>
      </c>
      <c r="I368" s="12">
        <v>59271</v>
      </c>
      <c r="J368" s="12">
        <v>5258</v>
      </c>
      <c r="K368" s="10">
        <v>8.15</v>
      </c>
      <c r="L368" s="13">
        <v>2.2349176339999999</v>
      </c>
    </row>
    <row r="369" spans="1:12" x14ac:dyDescent="0.15">
      <c r="A369" s="1">
        <v>79</v>
      </c>
      <c r="B369" s="10" t="s">
        <v>184</v>
      </c>
      <c r="C369" s="11">
        <v>2015</v>
      </c>
      <c r="D369" s="12">
        <v>755</v>
      </c>
      <c r="E369" s="12">
        <v>755</v>
      </c>
      <c r="F369" s="12">
        <v>0</v>
      </c>
      <c r="G369" s="13">
        <v>2.02</v>
      </c>
      <c r="H369" s="12">
        <v>1136</v>
      </c>
      <c r="I369" s="12">
        <v>373</v>
      </c>
      <c r="J369" s="12">
        <v>763</v>
      </c>
      <c r="K369" s="10">
        <v>67.16</v>
      </c>
      <c r="L369" s="13">
        <v>0.66461267599999996</v>
      </c>
    </row>
    <row r="370" spans="1:12" x14ac:dyDescent="0.15">
      <c r="A370" s="1">
        <v>81</v>
      </c>
      <c r="B370" s="10" t="s">
        <v>185</v>
      </c>
      <c r="C370" s="11">
        <v>2015</v>
      </c>
      <c r="D370" s="12">
        <v>13038</v>
      </c>
      <c r="E370" s="12">
        <v>12928</v>
      </c>
      <c r="F370" s="12">
        <v>110</v>
      </c>
      <c r="G370" s="13">
        <v>2.48</v>
      </c>
      <c r="H370" s="12">
        <v>6008</v>
      </c>
      <c r="I370" s="12">
        <v>5206</v>
      </c>
      <c r="J370" s="12">
        <v>802</v>
      </c>
      <c r="K370" s="10">
        <v>13.35</v>
      </c>
      <c r="L370" s="13">
        <v>2.1517976029999999</v>
      </c>
    </row>
    <row r="371" spans="1:12" x14ac:dyDescent="0.15">
      <c r="A371" s="1">
        <v>83</v>
      </c>
      <c r="B371" s="10" t="s">
        <v>186</v>
      </c>
      <c r="C371" s="11">
        <v>2015</v>
      </c>
      <c r="D371" s="12">
        <v>25522</v>
      </c>
      <c r="E371" s="12">
        <v>25259</v>
      </c>
      <c r="F371" s="12">
        <v>263</v>
      </c>
      <c r="G371" s="13">
        <v>2.38</v>
      </c>
      <c r="H371" s="12">
        <v>12020</v>
      </c>
      <c r="I371" s="12">
        <v>10601</v>
      </c>
      <c r="J371" s="12">
        <v>1419</v>
      </c>
      <c r="K371" s="10">
        <v>11.81</v>
      </c>
      <c r="L371" s="13">
        <v>2.1014143089999999</v>
      </c>
    </row>
    <row r="372" spans="1:12" x14ac:dyDescent="0.15">
      <c r="A372" s="1">
        <v>85</v>
      </c>
      <c r="B372" s="10" t="s">
        <v>187</v>
      </c>
      <c r="C372" s="11">
        <v>2015</v>
      </c>
      <c r="D372" s="12">
        <v>41457</v>
      </c>
      <c r="E372" s="12">
        <v>40856</v>
      </c>
      <c r="F372" s="12">
        <v>601</v>
      </c>
      <c r="G372" s="13">
        <v>2.44</v>
      </c>
      <c r="H372" s="12">
        <v>17725</v>
      </c>
      <c r="I372" s="12">
        <v>16765</v>
      </c>
      <c r="J372" s="12">
        <v>960</v>
      </c>
      <c r="K372" s="10">
        <v>5.42</v>
      </c>
      <c r="L372" s="13">
        <v>2.3049929480000002</v>
      </c>
    </row>
    <row r="373" spans="1:12" x14ac:dyDescent="0.15">
      <c r="A373" s="1">
        <v>87</v>
      </c>
      <c r="B373" s="10" t="s">
        <v>188</v>
      </c>
      <c r="C373" s="11">
        <v>2015</v>
      </c>
      <c r="D373" s="12">
        <v>28335</v>
      </c>
      <c r="E373" s="12">
        <v>27821</v>
      </c>
      <c r="F373" s="12">
        <v>514</v>
      </c>
      <c r="G373" s="13">
        <v>2.68</v>
      </c>
      <c r="H373" s="12">
        <v>11118</v>
      </c>
      <c r="I373" s="12">
        <v>10365</v>
      </c>
      <c r="J373" s="12">
        <v>753</v>
      </c>
      <c r="K373" s="10">
        <v>6.77</v>
      </c>
      <c r="L373" s="13">
        <v>2.5023385500000002</v>
      </c>
    </row>
    <row r="374" spans="1:12" x14ac:dyDescent="0.15">
      <c r="A374" s="1">
        <v>89</v>
      </c>
      <c r="B374" s="10" t="s">
        <v>189</v>
      </c>
      <c r="C374" s="11">
        <v>2015</v>
      </c>
      <c r="D374" s="12">
        <v>18817</v>
      </c>
      <c r="E374" s="12">
        <v>18392</v>
      </c>
      <c r="F374" s="12">
        <v>426</v>
      </c>
      <c r="G374" s="13">
        <v>2.38</v>
      </c>
      <c r="H374" s="12">
        <v>8691</v>
      </c>
      <c r="I374" s="12">
        <v>7727</v>
      </c>
      <c r="J374" s="12">
        <v>964</v>
      </c>
      <c r="K374" s="10">
        <v>11.09</v>
      </c>
      <c r="L374" s="13">
        <v>2.1162121740000002</v>
      </c>
    </row>
    <row r="375" spans="1:12" x14ac:dyDescent="0.15">
      <c r="A375" s="1">
        <v>91</v>
      </c>
      <c r="B375" s="10" t="s">
        <v>190</v>
      </c>
      <c r="C375" s="11">
        <v>2015</v>
      </c>
      <c r="D375" s="12">
        <v>4550</v>
      </c>
      <c r="E375" s="12">
        <v>4550</v>
      </c>
      <c r="F375" s="12">
        <v>0</v>
      </c>
      <c r="G375" s="13">
        <v>2.16</v>
      </c>
      <c r="H375" s="12">
        <v>3144</v>
      </c>
      <c r="I375" s="12">
        <v>2108</v>
      </c>
      <c r="J375" s="12">
        <v>1036</v>
      </c>
      <c r="K375" s="10">
        <v>32.950000000000003</v>
      </c>
      <c r="L375" s="13">
        <v>1.4472010179999999</v>
      </c>
    </row>
    <row r="376" spans="1:12" x14ac:dyDescent="0.15">
      <c r="A376" s="1">
        <v>93</v>
      </c>
      <c r="B376" s="10" t="s">
        <v>191</v>
      </c>
      <c r="C376" s="11">
        <v>2015</v>
      </c>
      <c r="D376" s="12">
        <v>15975</v>
      </c>
      <c r="E376" s="12">
        <v>15915</v>
      </c>
      <c r="F376" s="12">
        <v>60</v>
      </c>
      <c r="G376" s="13">
        <v>2.23</v>
      </c>
      <c r="H376" s="12">
        <v>13812</v>
      </c>
      <c r="I376" s="12">
        <v>7123</v>
      </c>
      <c r="J376" s="12">
        <v>6689</v>
      </c>
      <c r="K376" s="10">
        <v>48.43</v>
      </c>
      <c r="L376" s="13">
        <v>1.1522589050000001</v>
      </c>
    </row>
    <row r="377" spans="1:12" x14ac:dyDescent="0.15">
      <c r="A377" s="1">
        <v>95</v>
      </c>
      <c r="B377" s="10" t="s">
        <v>192</v>
      </c>
      <c r="C377" s="11">
        <v>2015</v>
      </c>
      <c r="D377" s="12">
        <v>4499</v>
      </c>
      <c r="E377" s="12">
        <v>4433</v>
      </c>
      <c r="F377" s="12">
        <v>66</v>
      </c>
      <c r="G377" s="13">
        <v>2.4300000000000002</v>
      </c>
      <c r="H377" s="12">
        <v>1979</v>
      </c>
      <c r="I377" s="12">
        <v>1824</v>
      </c>
      <c r="J377" s="12">
        <v>155</v>
      </c>
      <c r="K377" s="10">
        <v>7.83</v>
      </c>
      <c r="L377" s="13">
        <v>2.2400202120000001</v>
      </c>
    </row>
    <row r="378" spans="1:12" x14ac:dyDescent="0.15">
      <c r="A378" s="1">
        <v>97</v>
      </c>
      <c r="B378" s="10" t="s">
        <v>193</v>
      </c>
      <c r="C378" s="11">
        <v>2015</v>
      </c>
      <c r="D378" s="12">
        <v>17701</v>
      </c>
      <c r="E378" s="12">
        <v>17629</v>
      </c>
      <c r="F378" s="12">
        <v>72</v>
      </c>
      <c r="G378" s="13">
        <v>2.12</v>
      </c>
      <c r="H378" s="12">
        <v>12853</v>
      </c>
      <c r="I378" s="12">
        <v>8299</v>
      </c>
      <c r="J378" s="12">
        <v>4554</v>
      </c>
      <c r="K378" s="10">
        <v>35.43</v>
      </c>
      <c r="L378" s="13">
        <v>1.3715864</v>
      </c>
    </row>
    <row r="379" spans="1:12" x14ac:dyDescent="0.15">
      <c r="A379" s="1">
        <v>99</v>
      </c>
      <c r="B379" s="10" t="s">
        <v>194</v>
      </c>
      <c r="C379" s="11">
        <v>2015</v>
      </c>
      <c r="D379" s="12">
        <v>11891</v>
      </c>
      <c r="E379" s="12">
        <v>11549</v>
      </c>
      <c r="F379" s="12">
        <v>342</v>
      </c>
      <c r="G379" s="13">
        <v>2.4500000000000002</v>
      </c>
      <c r="H379" s="12">
        <v>5441</v>
      </c>
      <c r="I379" s="12">
        <v>4718</v>
      </c>
      <c r="J379" s="12">
        <v>723</v>
      </c>
      <c r="K379" s="10">
        <v>13.29</v>
      </c>
      <c r="L379" s="13">
        <v>2.12258776</v>
      </c>
    </row>
    <row r="380" spans="1:12" x14ac:dyDescent="0.15">
      <c r="A380" s="1">
        <v>101</v>
      </c>
      <c r="B380" s="10" t="s">
        <v>195</v>
      </c>
      <c r="C380" s="11">
        <v>2015</v>
      </c>
      <c r="D380" s="12">
        <v>162449</v>
      </c>
      <c r="E380" s="12">
        <v>158542</v>
      </c>
      <c r="F380" s="12">
        <v>3907</v>
      </c>
      <c r="G380" s="13">
        <v>2.46</v>
      </c>
      <c r="H380" s="12">
        <v>70455</v>
      </c>
      <c r="I380" s="12">
        <v>64572</v>
      </c>
      <c r="J380" s="12">
        <v>5883</v>
      </c>
      <c r="K380" s="10">
        <v>8.35</v>
      </c>
      <c r="L380" s="13">
        <v>2.2502590310000001</v>
      </c>
    </row>
    <row r="381" spans="1:12" x14ac:dyDescent="0.15">
      <c r="A381" s="1">
        <v>103</v>
      </c>
      <c r="B381" s="10" t="s">
        <v>196</v>
      </c>
      <c r="C381" s="11">
        <v>2015</v>
      </c>
      <c r="D381" s="12">
        <v>6621</v>
      </c>
      <c r="E381" s="12">
        <v>6352</v>
      </c>
      <c r="F381" s="12">
        <v>269</v>
      </c>
      <c r="G381" s="13">
        <v>2.4300000000000002</v>
      </c>
      <c r="H381" s="12">
        <v>3226</v>
      </c>
      <c r="I381" s="12">
        <v>2613</v>
      </c>
      <c r="J381" s="12">
        <v>613</v>
      </c>
      <c r="K381" s="10">
        <v>19.010000000000002</v>
      </c>
      <c r="L381" s="13">
        <v>1.9690018600000001</v>
      </c>
    </row>
    <row r="382" spans="1:12" x14ac:dyDescent="0.15">
      <c r="A382" s="1">
        <v>105</v>
      </c>
      <c r="B382" s="10" t="s">
        <v>197</v>
      </c>
      <c r="C382" s="11">
        <v>2015</v>
      </c>
      <c r="D382" s="12">
        <v>11778</v>
      </c>
      <c r="E382" s="12">
        <v>11612</v>
      </c>
      <c r="F382" s="12">
        <v>166</v>
      </c>
      <c r="G382" s="13">
        <v>2.42</v>
      </c>
      <c r="H382" s="12">
        <v>6407</v>
      </c>
      <c r="I382" s="12">
        <v>4789</v>
      </c>
      <c r="J382" s="12">
        <v>1618</v>
      </c>
      <c r="K382" s="10">
        <v>25.25</v>
      </c>
      <c r="L382" s="13">
        <v>1.812392695</v>
      </c>
    </row>
    <row r="383" spans="1:12" x14ac:dyDescent="0.15">
      <c r="A383" s="1">
        <v>107</v>
      </c>
      <c r="B383" s="10" t="s">
        <v>198</v>
      </c>
      <c r="C383" s="11">
        <v>2015</v>
      </c>
      <c r="D383" s="12">
        <v>23824</v>
      </c>
      <c r="E383" s="12">
        <v>23481</v>
      </c>
      <c r="F383" s="12">
        <v>343</v>
      </c>
      <c r="G383" s="13">
        <v>2.35</v>
      </c>
      <c r="H383" s="12">
        <v>15848</v>
      </c>
      <c r="I383" s="12">
        <v>9996</v>
      </c>
      <c r="J383" s="12">
        <v>5852</v>
      </c>
      <c r="K383" s="10">
        <v>36.93</v>
      </c>
      <c r="L383" s="13">
        <v>1.481638062</v>
      </c>
    </row>
    <row r="384" spans="1:12" x14ac:dyDescent="0.15">
      <c r="A384" s="1">
        <v>109</v>
      </c>
      <c r="B384" s="10" t="s">
        <v>199</v>
      </c>
      <c r="C384" s="11">
        <v>2015</v>
      </c>
      <c r="D384" s="12">
        <v>6183</v>
      </c>
      <c r="E384" s="12">
        <v>6157</v>
      </c>
      <c r="F384" s="12">
        <v>26</v>
      </c>
      <c r="G384" s="13">
        <v>2.27</v>
      </c>
      <c r="H384" s="12">
        <v>3384</v>
      </c>
      <c r="I384" s="12">
        <v>2711</v>
      </c>
      <c r="J384" s="12">
        <v>673</v>
      </c>
      <c r="K384" s="10">
        <v>19.899999999999999</v>
      </c>
      <c r="L384" s="13">
        <v>1.8194444439999999</v>
      </c>
    </row>
    <row r="385" spans="1:12" x14ac:dyDescent="0.15">
      <c r="A385" s="1">
        <v>111</v>
      </c>
      <c r="B385" s="10" t="s">
        <v>200</v>
      </c>
      <c r="C385" s="11">
        <v>2015</v>
      </c>
      <c r="D385" s="12">
        <v>696</v>
      </c>
      <c r="E385" s="12">
        <v>696</v>
      </c>
      <c r="F385" s="12">
        <v>0</v>
      </c>
      <c r="G385" s="13">
        <v>1.97</v>
      </c>
      <c r="H385" s="12">
        <v>747</v>
      </c>
      <c r="I385" s="12">
        <v>353</v>
      </c>
      <c r="J385" s="12">
        <v>394</v>
      </c>
      <c r="K385" s="10">
        <v>52.76</v>
      </c>
      <c r="L385" s="13">
        <v>0.93172690800000002</v>
      </c>
    </row>
    <row r="386" spans="1:12" x14ac:dyDescent="0.15">
      <c r="A386" s="1">
        <v>113</v>
      </c>
      <c r="B386" s="10" t="s">
        <v>201</v>
      </c>
      <c r="C386" s="11">
        <v>2015</v>
      </c>
      <c r="D386" s="12">
        <v>7825</v>
      </c>
      <c r="E386" s="12">
        <v>7665</v>
      </c>
      <c r="F386" s="12">
        <v>160</v>
      </c>
      <c r="G386" s="13">
        <v>2.19</v>
      </c>
      <c r="H386" s="12">
        <v>6320</v>
      </c>
      <c r="I386" s="12">
        <v>3506</v>
      </c>
      <c r="J386" s="12">
        <v>2814</v>
      </c>
      <c r="K386" s="10">
        <v>44.52</v>
      </c>
      <c r="L386" s="13">
        <v>1.2128164560000001</v>
      </c>
    </row>
    <row r="387" spans="1:12" x14ac:dyDescent="0.15">
      <c r="A387" s="1">
        <v>115</v>
      </c>
      <c r="B387" s="10" t="s">
        <v>202</v>
      </c>
      <c r="C387" s="11">
        <v>2015</v>
      </c>
      <c r="D387" s="12">
        <v>2388</v>
      </c>
      <c r="E387" s="12">
        <v>2349</v>
      </c>
      <c r="F387" s="12">
        <v>39</v>
      </c>
      <c r="G387" s="13">
        <v>2.16</v>
      </c>
      <c r="H387" s="12">
        <v>1331</v>
      </c>
      <c r="I387" s="12">
        <v>1086</v>
      </c>
      <c r="J387" s="12">
        <v>245</v>
      </c>
      <c r="K387" s="10">
        <v>18.38</v>
      </c>
      <c r="L387" s="13">
        <v>1.7648384669999999</v>
      </c>
    </row>
    <row r="388" spans="1:12" x14ac:dyDescent="0.15">
      <c r="A388" s="1">
        <v>117</v>
      </c>
      <c r="B388" s="10" t="s">
        <v>203</v>
      </c>
      <c r="C388" s="11">
        <v>2015</v>
      </c>
      <c r="D388" s="12">
        <v>30268</v>
      </c>
      <c r="E388" s="12">
        <v>29852</v>
      </c>
      <c r="F388" s="12">
        <v>416</v>
      </c>
      <c r="G388" s="13">
        <v>2.36</v>
      </c>
      <c r="H388" s="12">
        <v>30121</v>
      </c>
      <c r="I388" s="12">
        <v>12657</v>
      </c>
      <c r="J388" s="12">
        <v>17464</v>
      </c>
      <c r="K388" s="10">
        <v>57.98</v>
      </c>
      <c r="L388" s="13">
        <v>0.99106935399999996</v>
      </c>
    </row>
    <row r="389" spans="1:12" x14ac:dyDescent="0.15">
      <c r="A389" s="1">
        <v>119</v>
      </c>
      <c r="B389" s="10" t="s">
        <v>204</v>
      </c>
      <c r="C389" s="11">
        <v>2015</v>
      </c>
      <c r="D389" s="12">
        <v>23006</v>
      </c>
      <c r="E389" s="12">
        <v>22849</v>
      </c>
      <c r="F389" s="12">
        <v>157</v>
      </c>
      <c r="G389" s="13">
        <v>2.34</v>
      </c>
      <c r="H389" s="12">
        <v>12896</v>
      </c>
      <c r="I389" s="12">
        <v>9768</v>
      </c>
      <c r="J389" s="12">
        <v>3128</v>
      </c>
      <c r="K389" s="10">
        <v>24.26</v>
      </c>
      <c r="L389" s="13">
        <v>1.771789702</v>
      </c>
    </row>
    <row r="390" spans="1:12" x14ac:dyDescent="0.15">
      <c r="A390" s="1">
        <v>121</v>
      </c>
      <c r="B390" s="10" t="s">
        <v>205</v>
      </c>
      <c r="C390" s="11">
        <v>2015</v>
      </c>
      <c r="D390" s="12">
        <v>4682</v>
      </c>
      <c r="E390" s="12">
        <v>4555</v>
      </c>
      <c r="F390" s="12">
        <v>127</v>
      </c>
      <c r="G390" s="13">
        <v>2.37</v>
      </c>
      <c r="H390" s="12">
        <v>2215</v>
      </c>
      <c r="I390" s="12">
        <v>1921</v>
      </c>
      <c r="J390" s="12">
        <v>294</v>
      </c>
      <c r="K390" s="10">
        <v>13.29</v>
      </c>
      <c r="L390" s="13">
        <v>2.0564334089999998</v>
      </c>
    </row>
    <row r="391" spans="1:12" x14ac:dyDescent="0.15">
      <c r="A391" s="1">
        <v>123</v>
      </c>
      <c r="B391" s="10" t="s">
        <v>206</v>
      </c>
      <c r="C391" s="11">
        <v>2015</v>
      </c>
      <c r="D391" s="12">
        <v>284855</v>
      </c>
      <c r="E391" s="12">
        <v>279217</v>
      </c>
      <c r="F391" s="12">
        <v>5638</v>
      </c>
      <c r="G391" s="13">
        <v>2.8</v>
      </c>
      <c r="H391" s="12">
        <v>103354</v>
      </c>
      <c r="I391" s="12">
        <v>99627</v>
      </c>
      <c r="J391" s="12">
        <v>3727</v>
      </c>
      <c r="K391" s="10">
        <v>3.61</v>
      </c>
      <c r="L391" s="13">
        <v>2.7015596880000001</v>
      </c>
    </row>
    <row r="392" spans="1:12" x14ac:dyDescent="0.15">
      <c r="A392" s="1">
        <v>125</v>
      </c>
      <c r="B392" s="10" t="s">
        <v>207</v>
      </c>
      <c r="C392" s="11">
        <v>2015</v>
      </c>
      <c r="D392" s="12">
        <v>10039</v>
      </c>
      <c r="E392" s="12">
        <v>9799</v>
      </c>
      <c r="F392" s="12">
        <v>240</v>
      </c>
      <c r="G392" s="13">
        <v>2.52</v>
      </c>
      <c r="H392" s="12">
        <v>4283</v>
      </c>
      <c r="I392" s="12">
        <v>3894</v>
      </c>
      <c r="J392" s="12">
        <v>389</v>
      </c>
      <c r="K392" s="10">
        <v>9.08</v>
      </c>
      <c r="L392" s="13">
        <v>2.287882325</v>
      </c>
    </row>
    <row r="393" spans="1:12" x14ac:dyDescent="0.15">
      <c r="A393" s="1">
        <v>0</v>
      </c>
      <c r="B393" s="10" t="s">
        <v>143</v>
      </c>
      <c r="C393" s="11">
        <v>2016</v>
      </c>
      <c r="D393" s="12">
        <v>5529631</v>
      </c>
      <c r="E393" s="12">
        <v>5404120</v>
      </c>
      <c r="F393" s="12">
        <v>125511</v>
      </c>
      <c r="G393" s="13">
        <v>2.5</v>
      </c>
      <c r="H393" s="12">
        <v>2339866</v>
      </c>
      <c r="I393" s="12">
        <v>2164521</v>
      </c>
      <c r="J393" s="12">
        <v>175345</v>
      </c>
      <c r="K393" s="10">
        <v>7.49</v>
      </c>
      <c r="L393" s="13">
        <v>2.30958525</v>
      </c>
    </row>
    <row r="394" spans="1:12" x14ac:dyDescent="0.15">
      <c r="A394" s="1">
        <v>1</v>
      </c>
      <c r="B394" s="10" t="s">
        <v>144</v>
      </c>
      <c r="C394" s="11">
        <v>2016</v>
      </c>
      <c r="D394" s="12">
        <v>497822</v>
      </c>
      <c r="E394" s="12">
        <v>493406</v>
      </c>
      <c r="F394" s="12">
        <v>4416</v>
      </c>
      <c r="G394" s="13">
        <v>2.87</v>
      </c>
      <c r="H394" s="12">
        <v>173204</v>
      </c>
      <c r="I394" s="12">
        <v>171930</v>
      </c>
      <c r="J394" s="12">
        <v>1274</v>
      </c>
      <c r="K394" s="10">
        <v>0.74</v>
      </c>
      <c r="L394" s="13">
        <v>2.8486986440000002</v>
      </c>
    </row>
    <row r="395" spans="1:12" x14ac:dyDescent="0.15">
      <c r="A395" s="1">
        <v>3</v>
      </c>
      <c r="B395" s="10" t="s">
        <v>145</v>
      </c>
      <c r="C395" s="11">
        <v>2016</v>
      </c>
      <c r="D395" s="12">
        <v>15936</v>
      </c>
      <c r="E395" s="12">
        <v>15071</v>
      </c>
      <c r="F395" s="12">
        <v>865</v>
      </c>
      <c r="G395" s="13">
        <v>2.4300000000000002</v>
      </c>
      <c r="H395" s="12">
        <v>6835</v>
      </c>
      <c r="I395" s="12">
        <v>6192</v>
      </c>
      <c r="J395" s="12">
        <v>643</v>
      </c>
      <c r="K395" s="10">
        <v>9.41</v>
      </c>
      <c r="L395" s="13">
        <v>2.2049743959999999</v>
      </c>
    </row>
    <row r="396" spans="1:12" x14ac:dyDescent="0.15">
      <c r="A396" s="1">
        <v>5</v>
      </c>
      <c r="B396" s="10" t="s">
        <v>146</v>
      </c>
      <c r="C396" s="11">
        <v>2016</v>
      </c>
      <c r="D396" s="12">
        <v>637656</v>
      </c>
      <c r="E396" s="12">
        <v>632707</v>
      </c>
      <c r="F396" s="12">
        <v>4949</v>
      </c>
      <c r="G396" s="13">
        <v>2.57</v>
      </c>
      <c r="H396" s="12">
        <v>249881</v>
      </c>
      <c r="I396" s="12">
        <v>246123</v>
      </c>
      <c r="J396" s="12">
        <v>3758</v>
      </c>
      <c r="K396" s="10">
        <v>1.5</v>
      </c>
      <c r="L396" s="13">
        <v>2.5320332479999998</v>
      </c>
    </row>
    <row r="397" spans="1:12" x14ac:dyDescent="0.15">
      <c r="A397" s="1">
        <v>7</v>
      </c>
      <c r="B397" s="10" t="s">
        <v>147</v>
      </c>
      <c r="C397" s="11">
        <v>2016</v>
      </c>
      <c r="D397" s="12">
        <v>12362</v>
      </c>
      <c r="E397" s="12">
        <v>12257</v>
      </c>
      <c r="F397" s="12">
        <v>105</v>
      </c>
      <c r="G397" s="13">
        <v>2.2799999999999998</v>
      </c>
      <c r="H397" s="12">
        <v>9033</v>
      </c>
      <c r="I397" s="12">
        <v>5370</v>
      </c>
      <c r="J397" s="12">
        <v>3663</v>
      </c>
      <c r="K397" s="10">
        <v>40.549999999999997</v>
      </c>
      <c r="L397" s="13">
        <v>1.356913539</v>
      </c>
    </row>
    <row r="398" spans="1:12" x14ac:dyDescent="0.15">
      <c r="A398" s="1">
        <v>9</v>
      </c>
      <c r="B398" s="10" t="s">
        <v>148</v>
      </c>
      <c r="C398" s="11">
        <v>2016</v>
      </c>
      <c r="D398" s="12">
        <v>3505</v>
      </c>
      <c r="E398" s="12">
        <v>3450</v>
      </c>
      <c r="F398" s="12">
        <v>55</v>
      </c>
      <c r="G398" s="13">
        <v>2.11</v>
      </c>
      <c r="H398" s="12">
        <v>1968</v>
      </c>
      <c r="I398" s="12">
        <v>1634</v>
      </c>
      <c r="J398" s="12">
        <v>334</v>
      </c>
      <c r="K398" s="10">
        <v>16.97</v>
      </c>
      <c r="L398" s="13">
        <v>1.7530487800000001</v>
      </c>
    </row>
    <row r="399" spans="1:12" x14ac:dyDescent="0.15">
      <c r="A399" s="1">
        <v>11</v>
      </c>
      <c r="B399" s="10" t="s">
        <v>149</v>
      </c>
      <c r="C399" s="11">
        <v>2016</v>
      </c>
      <c r="D399" s="12">
        <v>5753</v>
      </c>
      <c r="E399" s="12">
        <v>4018</v>
      </c>
      <c r="F399" s="12">
        <v>1735</v>
      </c>
      <c r="G399" s="13">
        <v>2.2999999999999998</v>
      </c>
      <c r="H399" s="12">
        <v>2128</v>
      </c>
      <c r="I399" s="12">
        <v>1745</v>
      </c>
      <c r="J399" s="12">
        <v>383</v>
      </c>
      <c r="K399" s="10">
        <v>18.010000000000002</v>
      </c>
      <c r="L399" s="13">
        <v>1.888157895</v>
      </c>
    </row>
    <row r="400" spans="1:12" x14ac:dyDescent="0.15">
      <c r="A400" s="1">
        <v>13</v>
      </c>
      <c r="B400" s="10" t="s">
        <v>150</v>
      </c>
      <c r="C400" s="11">
        <v>2016</v>
      </c>
      <c r="D400" s="12">
        <v>323957</v>
      </c>
      <c r="E400" s="12">
        <v>310498</v>
      </c>
      <c r="F400" s="12">
        <v>13459</v>
      </c>
      <c r="G400" s="13">
        <v>2.39</v>
      </c>
      <c r="H400" s="12">
        <v>133334</v>
      </c>
      <c r="I400" s="12">
        <v>130165</v>
      </c>
      <c r="J400" s="12">
        <v>3169</v>
      </c>
      <c r="K400" s="10">
        <v>2.38</v>
      </c>
      <c r="L400" s="13">
        <v>2.3287233559999998</v>
      </c>
    </row>
    <row r="401" spans="1:12" x14ac:dyDescent="0.15">
      <c r="A401" s="1">
        <v>14</v>
      </c>
      <c r="B401" s="10" t="s">
        <v>151</v>
      </c>
      <c r="C401" s="11">
        <v>2016</v>
      </c>
      <c r="D401" s="12">
        <v>67707</v>
      </c>
      <c r="E401" s="12">
        <v>67459</v>
      </c>
      <c r="F401" s="12">
        <v>248</v>
      </c>
      <c r="G401" s="13">
        <v>2.5299999999999998</v>
      </c>
      <c r="H401" s="12">
        <v>28585</v>
      </c>
      <c r="I401" s="12">
        <v>26698</v>
      </c>
      <c r="J401" s="12">
        <v>1887</v>
      </c>
      <c r="K401" s="10">
        <v>6.6</v>
      </c>
      <c r="L401" s="13">
        <v>2.3599440270000001</v>
      </c>
    </row>
    <row r="402" spans="1:12" x14ac:dyDescent="0.15">
      <c r="A402" s="1">
        <v>15</v>
      </c>
      <c r="B402" s="10" t="s">
        <v>152</v>
      </c>
      <c r="C402" s="11">
        <v>2016</v>
      </c>
      <c r="D402" s="12">
        <v>18519</v>
      </c>
      <c r="E402" s="12">
        <v>17076</v>
      </c>
      <c r="F402" s="12">
        <v>1443</v>
      </c>
      <c r="G402" s="13">
        <v>2.16</v>
      </c>
      <c r="H402" s="12">
        <v>10286</v>
      </c>
      <c r="I402" s="12">
        <v>7915</v>
      </c>
      <c r="J402" s="12">
        <v>2371</v>
      </c>
      <c r="K402" s="10">
        <v>23.05</v>
      </c>
      <c r="L402" s="13">
        <v>1.660120552</v>
      </c>
    </row>
    <row r="403" spans="1:12" x14ac:dyDescent="0.15">
      <c r="A403" s="1">
        <v>17</v>
      </c>
      <c r="B403" s="10" t="s">
        <v>153</v>
      </c>
      <c r="C403" s="11">
        <v>2016</v>
      </c>
      <c r="D403" s="12">
        <v>1794</v>
      </c>
      <c r="E403" s="12">
        <v>1752</v>
      </c>
      <c r="F403" s="12">
        <v>42</v>
      </c>
      <c r="G403" s="13">
        <v>2.2999999999999998</v>
      </c>
      <c r="H403" s="12">
        <v>894</v>
      </c>
      <c r="I403" s="12">
        <v>762</v>
      </c>
      <c r="J403" s="12">
        <v>132</v>
      </c>
      <c r="K403" s="10">
        <v>14.8</v>
      </c>
      <c r="L403" s="13">
        <v>1.959731544</v>
      </c>
    </row>
    <row r="404" spans="1:12" x14ac:dyDescent="0.15">
      <c r="A404" s="1">
        <v>19</v>
      </c>
      <c r="B404" s="10" t="s">
        <v>154</v>
      </c>
      <c r="C404" s="11">
        <v>2016</v>
      </c>
      <c r="D404" s="12">
        <v>9237</v>
      </c>
      <c r="E404" s="12">
        <v>9124</v>
      </c>
      <c r="F404" s="12">
        <v>113</v>
      </c>
      <c r="G404" s="13">
        <v>2.13</v>
      </c>
      <c r="H404" s="12">
        <v>5560</v>
      </c>
      <c r="I404" s="12">
        <v>4283</v>
      </c>
      <c r="J404" s="12">
        <v>1277</v>
      </c>
      <c r="K404" s="10">
        <v>22.98</v>
      </c>
      <c r="L404" s="13">
        <v>1.6410071939999999</v>
      </c>
    </row>
    <row r="405" spans="1:12" x14ac:dyDescent="0.15">
      <c r="A405" s="1">
        <v>21</v>
      </c>
      <c r="B405" s="10" t="s">
        <v>155</v>
      </c>
      <c r="C405" s="11">
        <v>2016</v>
      </c>
      <c r="D405" s="12">
        <v>7842</v>
      </c>
      <c r="E405" s="12">
        <v>7790</v>
      </c>
      <c r="F405" s="12">
        <v>52</v>
      </c>
      <c r="G405" s="13">
        <v>2.59</v>
      </c>
      <c r="H405" s="12">
        <v>3906</v>
      </c>
      <c r="I405" s="12">
        <v>3011</v>
      </c>
      <c r="J405" s="12">
        <v>895</v>
      </c>
      <c r="K405" s="10">
        <v>22.92</v>
      </c>
      <c r="L405" s="13">
        <v>1.9943676400000001</v>
      </c>
    </row>
    <row r="406" spans="1:12" x14ac:dyDescent="0.15">
      <c r="A406" s="1">
        <v>23</v>
      </c>
      <c r="B406" s="10" t="s">
        <v>156</v>
      </c>
      <c r="C406" s="11">
        <v>2016</v>
      </c>
      <c r="D406" s="12">
        <v>3516</v>
      </c>
      <c r="E406" s="12">
        <v>3516</v>
      </c>
      <c r="F406" s="12">
        <v>0</v>
      </c>
      <c r="G406" s="13">
        <v>2.23</v>
      </c>
      <c r="H406" s="12">
        <v>2310</v>
      </c>
      <c r="I406" s="12">
        <v>1580</v>
      </c>
      <c r="J406" s="12">
        <v>730</v>
      </c>
      <c r="K406" s="10">
        <v>31.59</v>
      </c>
      <c r="L406" s="13">
        <v>1.522077922</v>
      </c>
    </row>
    <row r="407" spans="1:12" x14ac:dyDescent="0.15">
      <c r="A407" s="1">
        <v>25</v>
      </c>
      <c r="B407" s="10" t="s">
        <v>157</v>
      </c>
      <c r="C407" s="11">
        <v>2016</v>
      </c>
      <c r="D407" s="12">
        <v>5837</v>
      </c>
      <c r="E407" s="12">
        <v>3059</v>
      </c>
      <c r="F407" s="12">
        <v>2779</v>
      </c>
      <c r="G407" s="13">
        <v>2.35</v>
      </c>
      <c r="H407" s="12">
        <v>1500</v>
      </c>
      <c r="I407" s="12">
        <v>1301</v>
      </c>
      <c r="J407" s="12">
        <v>199</v>
      </c>
      <c r="K407" s="10">
        <v>13.25</v>
      </c>
      <c r="L407" s="13">
        <v>2.0393333330000001</v>
      </c>
    </row>
    <row r="408" spans="1:12" x14ac:dyDescent="0.15">
      <c r="A408" s="1">
        <v>27</v>
      </c>
      <c r="B408" s="10" t="s">
        <v>158</v>
      </c>
      <c r="C408" s="11">
        <v>2016</v>
      </c>
      <c r="D408" s="12">
        <v>4496</v>
      </c>
      <c r="E408" s="12">
        <v>4483</v>
      </c>
      <c r="F408" s="12">
        <v>13</v>
      </c>
      <c r="G408" s="13">
        <v>2.12</v>
      </c>
      <c r="H408" s="12">
        <v>3905</v>
      </c>
      <c r="I408" s="12">
        <v>2113</v>
      </c>
      <c r="J408" s="12">
        <v>1792</v>
      </c>
      <c r="K408" s="10">
        <v>45.89</v>
      </c>
      <c r="L408" s="13">
        <v>1.148015365</v>
      </c>
    </row>
    <row r="409" spans="1:12" x14ac:dyDescent="0.15">
      <c r="A409" s="1">
        <v>29</v>
      </c>
      <c r="B409" s="10" t="s">
        <v>159</v>
      </c>
      <c r="C409" s="11">
        <v>2016</v>
      </c>
      <c r="D409" s="12">
        <v>30489</v>
      </c>
      <c r="E409" s="12">
        <v>29685</v>
      </c>
      <c r="F409" s="12">
        <v>804</v>
      </c>
      <c r="G409" s="13">
        <v>2.35</v>
      </c>
      <c r="H409" s="12">
        <v>14658</v>
      </c>
      <c r="I409" s="12">
        <v>12642</v>
      </c>
      <c r="J409" s="12">
        <v>2016</v>
      </c>
      <c r="K409" s="10">
        <v>13.75</v>
      </c>
      <c r="L409" s="13">
        <v>2.0251739660000001</v>
      </c>
    </row>
    <row r="410" spans="1:12" x14ac:dyDescent="0.15">
      <c r="A410" s="1">
        <v>31</v>
      </c>
      <c r="B410" s="10" t="s">
        <v>160</v>
      </c>
      <c r="C410" s="11">
        <v>2016</v>
      </c>
      <c r="D410" s="12">
        <v>686468</v>
      </c>
      <c r="E410" s="12">
        <v>670083</v>
      </c>
      <c r="F410" s="12">
        <v>16385</v>
      </c>
      <c r="G410" s="13">
        <v>2.21</v>
      </c>
      <c r="H410" s="12">
        <v>314369</v>
      </c>
      <c r="I410" s="12">
        <v>303076</v>
      </c>
      <c r="J410" s="12">
        <v>11293</v>
      </c>
      <c r="K410" s="10">
        <v>3.59</v>
      </c>
      <c r="L410" s="13">
        <v>2.1315174209999999</v>
      </c>
    </row>
    <row r="411" spans="1:12" x14ac:dyDescent="0.15">
      <c r="A411" s="1">
        <v>33</v>
      </c>
      <c r="B411" s="10" t="s">
        <v>161</v>
      </c>
      <c r="C411" s="11">
        <v>2016</v>
      </c>
      <c r="D411" s="12">
        <v>2088</v>
      </c>
      <c r="E411" s="12">
        <v>2088</v>
      </c>
      <c r="F411" s="12">
        <v>0</v>
      </c>
      <c r="G411" s="13">
        <v>2.25</v>
      </c>
      <c r="H411" s="12">
        <v>1267</v>
      </c>
      <c r="I411" s="12">
        <v>927</v>
      </c>
      <c r="J411" s="12">
        <v>340</v>
      </c>
      <c r="K411" s="10">
        <v>26.82</v>
      </c>
      <c r="L411" s="13">
        <v>1.647987372</v>
      </c>
    </row>
    <row r="412" spans="1:12" x14ac:dyDescent="0.15">
      <c r="A412" s="1">
        <v>35</v>
      </c>
      <c r="B412" s="10" t="s">
        <v>162</v>
      </c>
      <c r="C412" s="11">
        <v>2016</v>
      </c>
      <c r="D412" s="12">
        <v>328333</v>
      </c>
      <c r="E412" s="12">
        <v>326991</v>
      </c>
      <c r="F412" s="12">
        <v>1342</v>
      </c>
      <c r="G412" s="13">
        <v>2.77</v>
      </c>
      <c r="H412" s="12">
        <v>119437</v>
      </c>
      <c r="I412" s="12">
        <v>117953</v>
      </c>
      <c r="J412" s="12">
        <v>1484</v>
      </c>
      <c r="K412" s="10">
        <v>1.24</v>
      </c>
      <c r="L412" s="13">
        <v>2.7377697030000001</v>
      </c>
    </row>
    <row r="413" spans="1:12" x14ac:dyDescent="0.15">
      <c r="A413" s="1">
        <v>37</v>
      </c>
      <c r="B413" s="10" t="s">
        <v>163</v>
      </c>
      <c r="C413" s="11">
        <v>2016</v>
      </c>
      <c r="D413" s="12">
        <v>53041</v>
      </c>
      <c r="E413" s="12">
        <v>52955</v>
      </c>
      <c r="F413" s="12">
        <v>86</v>
      </c>
      <c r="G413" s="13">
        <v>2.69</v>
      </c>
      <c r="H413" s="12">
        <v>31539</v>
      </c>
      <c r="I413" s="12">
        <v>19670</v>
      </c>
      <c r="J413" s="12">
        <v>11869</v>
      </c>
      <c r="K413" s="10">
        <v>37.630000000000003</v>
      </c>
      <c r="L413" s="13">
        <v>1.6790323089999999</v>
      </c>
    </row>
    <row r="414" spans="1:12" x14ac:dyDescent="0.15">
      <c r="A414" s="1">
        <v>39</v>
      </c>
      <c r="B414" s="10" t="s">
        <v>164</v>
      </c>
      <c r="C414" s="11">
        <v>2016</v>
      </c>
      <c r="D414" s="12">
        <v>24450</v>
      </c>
      <c r="E414" s="12">
        <v>24379</v>
      </c>
      <c r="F414" s="12">
        <v>71</v>
      </c>
      <c r="G414" s="13">
        <v>2.76</v>
      </c>
      <c r="H414" s="12">
        <v>9236</v>
      </c>
      <c r="I414" s="12">
        <v>8827</v>
      </c>
      <c r="J414" s="12">
        <v>409</v>
      </c>
      <c r="K414" s="10">
        <v>4.43</v>
      </c>
      <c r="L414" s="13">
        <v>2.6395625809999999</v>
      </c>
    </row>
    <row r="415" spans="1:12" x14ac:dyDescent="0.15">
      <c r="A415" s="1">
        <v>41</v>
      </c>
      <c r="B415" s="10" t="s">
        <v>165</v>
      </c>
      <c r="C415" s="11">
        <v>2016</v>
      </c>
      <c r="D415" s="12">
        <v>692295</v>
      </c>
      <c r="E415" s="12">
        <v>671321</v>
      </c>
      <c r="F415" s="12">
        <v>20974</v>
      </c>
      <c r="G415" s="13">
        <v>2.58</v>
      </c>
      <c r="H415" s="12">
        <v>272240</v>
      </c>
      <c r="I415" s="12">
        <v>259740</v>
      </c>
      <c r="J415" s="12">
        <v>12500</v>
      </c>
      <c r="K415" s="10">
        <v>4.59</v>
      </c>
      <c r="L415" s="13">
        <v>2.4659161030000001</v>
      </c>
    </row>
    <row r="416" spans="1:12" x14ac:dyDescent="0.15">
      <c r="A416" s="1">
        <v>43</v>
      </c>
      <c r="B416" s="10" t="s">
        <v>166</v>
      </c>
      <c r="C416" s="11">
        <v>2016</v>
      </c>
      <c r="D416" s="12">
        <v>47284</v>
      </c>
      <c r="E416" s="12">
        <v>39099</v>
      </c>
      <c r="F416" s="12">
        <v>8186</v>
      </c>
      <c r="G416" s="13">
        <v>2.29</v>
      </c>
      <c r="H416" s="12">
        <v>19730</v>
      </c>
      <c r="I416" s="12">
        <v>17045</v>
      </c>
      <c r="J416" s="12">
        <v>2685</v>
      </c>
      <c r="K416" s="10">
        <v>13.61</v>
      </c>
      <c r="L416" s="13">
        <v>1.9817029900000001</v>
      </c>
    </row>
    <row r="417" spans="1:12" x14ac:dyDescent="0.15">
      <c r="A417" s="1">
        <v>45</v>
      </c>
      <c r="B417" s="10" t="s">
        <v>167</v>
      </c>
      <c r="C417" s="11">
        <v>2016</v>
      </c>
      <c r="D417" s="12">
        <v>58161</v>
      </c>
      <c r="E417" s="12">
        <v>57126</v>
      </c>
      <c r="F417" s="12">
        <v>1035</v>
      </c>
      <c r="G417" s="13">
        <v>2.72</v>
      </c>
      <c r="H417" s="12">
        <v>23351</v>
      </c>
      <c r="I417" s="12">
        <v>21035</v>
      </c>
      <c r="J417" s="12">
        <v>2316</v>
      </c>
      <c r="K417" s="10">
        <v>9.92</v>
      </c>
      <c r="L417" s="13">
        <v>2.4464048649999999</v>
      </c>
    </row>
    <row r="418" spans="1:12" x14ac:dyDescent="0.15">
      <c r="A418" s="1">
        <v>47</v>
      </c>
      <c r="B418" s="10" t="s">
        <v>168</v>
      </c>
      <c r="C418" s="11">
        <v>2016</v>
      </c>
      <c r="D418" s="12">
        <v>5578</v>
      </c>
      <c r="E418" s="12">
        <v>5534</v>
      </c>
      <c r="F418" s="12">
        <v>44</v>
      </c>
      <c r="G418" s="13">
        <v>2.2000000000000002</v>
      </c>
      <c r="H418" s="12">
        <v>3370</v>
      </c>
      <c r="I418" s="12">
        <v>2514</v>
      </c>
      <c r="J418" s="12">
        <v>856</v>
      </c>
      <c r="K418" s="10">
        <v>25.39</v>
      </c>
      <c r="L418" s="13">
        <v>1.642136499</v>
      </c>
    </row>
    <row r="419" spans="1:12" x14ac:dyDescent="0.15">
      <c r="A419" s="1">
        <v>49</v>
      </c>
      <c r="B419" s="10" t="s">
        <v>169</v>
      </c>
      <c r="C419" s="11">
        <v>2016</v>
      </c>
      <c r="D419" s="12">
        <v>15042</v>
      </c>
      <c r="E419" s="12">
        <v>14835</v>
      </c>
      <c r="F419" s="12">
        <v>208</v>
      </c>
      <c r="G419" s="13">
        <v>2.23</v>
      </c>
      <c r="H419" s="12">
        <v>15889</v>
      </c>
      <c r="I419" s="12">
        <v>6641</v>
      </c>
      <c r="J419" s="12">
        <v>9248</v>
      </c>
      <c r="K419" s="10">
        <v>58.2</v>
      </c>
      <c r="L419" s="13">
        <v>0.93366479999999996</v>
      </c>
    </row>
    <row r="420" spans="1:12" x14ac:dyDescent="0.15">
      <c r="A420" s="1">
        <v>51</v>
      </c>
      <c r="B420" s="10" t="s">
        <v>170</v>
      </c>
      <c r="C420" s="11">
        <v>2016</v>
      </c>
      <c r="D420" s="12">
        <v>16082</v>
      </c>
      <c r="E420" s="12">
        <v>15045</v>
      </c>
      <c r="F420" s="12">
        <v>1037</v>
      </c>
      <c r="G420" s="13">
        <v>2.2200000000000002</v>
      </c>
      <c r="H420" s="12">
        <v>11539</v>
      </c>
      <c r="I420" s="12">
        <v>6765</v>
      </c>
      <c r="J420" s="12">
        <v>4774</v>
      </c>
      <c r="K420" s="10">
        <v>41.37</v>
      </c>
      <c r="L420" s="13">
        <v>1.3038391540000001</v>
      </c>
    </row>
    <row r="421" spans="1:12" x14ac:dyDescent="0.15">
      <c r="A421" s="1">
        <v>53</v>
      </c>
      <c r="B421" s="10" t="s">
        <v>171</v>
      </c>
      <c r="C421" s="11">
        <v>2016</v>
      </c>
      <c r="D421" s="12">
        <v>809</v>
      </c>
      <c r="E421" s="12">
        <v>786</v>
      </c>
      <c r="F421" s="12">
        <v>22</v>
      </c>
      <c r="G421" s="13">
        <v>2.13</v>
      </c>
      <c r="H421" s="12">
        <v>1298</v>
      </c>
      <c r="I421" s="12">
        <v>369</v>
      </c>
      <c r="J421" s="12">
        <v>929</v>
      </c>
      <c r="K421" s="10">
        <v>71.58</v>
      </c>
      <c r="L421" s="13">
        <v>0.60554699499999998</v>
      </c>
    </row>
    <row r="422" spans="1:12" x14ac:dyDescent="0.15">
      <c r="A422" s="1">
        <v>55</v>
      </c>
      <c r="B422" s="10" t="s">
        <v>172</v>
      </c>
      <c r="C422" s="11">
        <v>2016</v>
      </c>
      <c r="D422" s="12">
        <v>6721</v>
      </c>
      <c r="E422" s="12">
        <v>6593</v>
      </c>
      <c r="F422" s="12">
        <v>128</v>
      </c>
      <c r="G422" s="13">
        <v>2.1</v>
      </c>
      <c r="H422" s="12">
        <v>4571</v>
      </c>
      <c r="I422" s="12">
        <v>3146</v>
      </c>
      <c r="J422" s="12">
        <v>1425</v>
      </c>
      <c r="K422" s="10">
        <v>31.17</v>
      </c>
      <c r="L422" s="13">
        <v>1.442353971</v>
      </c>
    </row>
    <row r="423" spans="1:12" x14ac:dyDescent="0.15">
      <c r="A423" s="1">
        <v>57</v>
      </c>
      <c r="B423" s="10" t="s">
        <v>173</v>
      </c>
      <c r="C423" s="11">
        <v>2016</v>
      </c>
      <c r="D423" s="12">
        <v>1379</v>
      </c>
      <c r="E423" s="12">
        <v>1377</v>
      </c>
      <c r="F423" s="12">
        <v>2</v>
      </c>
      <c r="G423" s="13">
        <v>2.12</v>
      </c>
      <c r="H423" s="12">
        <v>1165</v>
      </c>
      <c r="I423" s="12">
        <v>651</v>
      </c>
      <c r="J423" s="12">
        <v>514</v>
      </c>
      <c r="K423" s="10">
        <v>44.13</v>
      </c>
      <c r="L423" s="13">
        <v>1.181974249</v>
      </c>
    </row>
    <row r="424" spans="1:12" x14ac:dyDescent="0.15">
      <c r="A424" s="1">
        <v>59</v>
      </c>
      <c r="B424" s="10" t="s">
        <v>174</v>
      </c>
      <c r="C424" s="11">
        <v>2016</v>
      </c>
      <c r="D424" s="12">
        <v>571744</v>
      </c>
      <c r="E424" s="12">
        <v>563381</v>
      </c>
      <c r="F424" s="12">
        <v>8363</v>
      </c>
      <c r="G424" s="13">
        <v>2.42</v>
      </c>
      <c r="H424" s="12">
        <v>239371</v>
      </c>
      <c r="I424" s="12">
        <v>233211</v>
      </c>
      <c r="J424" s="12">
        <v>6160</v>
      </c>
      <c r="K424" s="10">
        <v>2.57</v>
      </c>
      <c r="L424" s="13">
        <v>2.3535891979999999</v>
      </c>
    </row>
    <row r="425" spans="1:12" x14ac:dyDescent="0.15">
      <c r="A425" s="1">
        <v>61</v>
      </c>
      <c r="B425" s="10" t="s">
        <v>175</v>
      </c>
      <c r="C425" s="11">
        <v>2016</v>
      </c>
      <c r="D425" s="12">
        <v>1420</v>
      </c>
      <c r="E425" s="12">
        <v>1394</v>
      </c>
      <c r="F425" s="12">
        <v>25</v>
      </c>
      <c r="G425" s="13">
        <v>2.35</v>
      </c>
      <c r="H425" s="12">
        <v>734</v>
      </c>
      <c r="I425" s="12">
        <v>594</v>
      </c>
      <c r="J425" s="12">
        <v>140</v>
      </c>
      <c r="K425" s="10">
        <v>19.12</v>
      </c>
      <c r="L425" s="13">
        <v>1.8991825609999999</v>
      </c>
    </row>
    <row r="426" spans="1:12" x14ac:dyDescent="0.15">
      <c r="A426" s="1">
        <v>63</v>
      </c>
      <c r="B426" s="10" t="s">
        <v>176</v>
      </c>
      <c r="C426" s="11">
        <v>2016</v>
      </c>
      <c r="D426" s="12">
        <v>7480</v>
      </c>
      <c r="E426" s="12">
        <v>6995</v>
      </c>
      <c r="F426" s="12">
        <v>486</v>
      </c>
      <c r="G426" s="13">
        <v>2.4</v>
      </c>
      <c r="H426" s="12">
        <v>3404</v>
      </c>
      <c r="I426" s="12">
        <v>2909</v>
      </c>
      <c r="J426" s="12">
        <v>495</v>
      </c>
      <c r="K426" s="10">
        <v>14.53</v>
      </c>
      <c r="L426" s="13">
        <v>2.0549353699999999</v>
      </c>
    </row>
    <row r="427" spans="1:12" x14ac:dyDescent="0.15">
      <c r="A427" s="1">
        <v>65</v>
      </c>
      <c r="B427" s="10" t="s">
        <v>177</v>
      </c>
      <c r="C427" s="11">
        <v>2016</v>
      </c>
      <c r="D427" s="12">
        <v>7246</v>
      </c>
      <c r="E427" s="12">
        <v>7139</v>
      </c>
      <c r="F427" s="12">
        <v>107</v>
      </c>
      <c r="G427" s="13">
        <v>2.4</v>
      </c>
      <c r="H427" s="12">
        <v>4294</v>
      </c>
      <c r="I427" s="12">
        <v>2972</v>
      </c>
      <c r="J427" s="12">
        <v>1322</v>
      </c>
      <c r="K427" s="10">
        <v>30.79</v>
      </c>
      <c r="L427" s="13">
        <v>1.662552399</v>
      </c>
    </row>
    <row r="428" spans="1:12" x14ac:dyDescent="0.15">
      <c r="A428" s="1">
        <v>67</v>
      </c>
      <c r="B428" s="10" t="s">
        <v>178</v>
      </c>
      <c r="C428" s="11">
        <v>2016</v>
      </c>
      <c r="D428" s="12">
        <v>54884</v>
      </c>
      <c r="E428" s="12">
        <v>52945</v>
      </c>
      <c r="F428" s="12">
        <v>1939</v>
      </c>
      <c r="G428" s="13">
        <v>2.3199999999999998</v>
      </c>
      <c r="H428" s="12">
        <v>26937</v>
      </c>
      <c r="I428" s="12">
        <v>22856</v>
      </c>
      <c r="J428" s="12">
        <v>4081</v>
      </c>
      <c r="K428" s="10">
        <v>15.15</v>
      </c>
      <c r="L428" s="13">
        <v>1.9655121209999999</v>
      </c>
    </row>
    <row r="429" spans="1:12" x14ac:dyDescent="0.15">
      <c r="A429" s="1">
        <v>69</v>
      </c>
      <c r="B429" s="10" t="s">
        <v>179</v>
      </c>
      <c r="C429" s="11">
        <v>2016</v>
      </c>
      <c r="D429" s="12">
        <v>339128</v>
      </c>
      <c r="E429" s="12">
        <v>328696</v>
      </c>
      <c r="F429" s="12">
        <v>10432</v>
      </c>
      <c r="G429" s="13">
        <v>2.41</v>
      </c>
      <c r="H429" s="12">
        <v>146124</v>
      </c>
      <c r="I429" s="12">
        <v>136253</v>
      </c>
      <c r="J429" s="12">
        <v>9871</v>
      </c>
      <c r="K429" s="10">
        <v>6.76</v>
      </c>
      <c r="L429" s="13">
        <v>2.2494319890000001</v>
      </c>
    </row>
    <row r="430" spans="1:12" x14ac:dyDescent="0.15">
      <c r="A430" s="1">
        <v>71</v>
      </c>
      <c r="B430" s="10" t="s">
        <v>180</v>
      </c>
      <c r="C430" s="11">
        <v>2016</v>
      </c>
      <c r="D430" s="12">
        <v>14906</v>
      </c>
      <c r="E430" s="12">
        <v>14144</v>
      </c>
      <c r="F430" s="12">
        <v>762</v>
      </c>
      <c r="G430" s="13">
        <v>2.2200000000000002</v>
      </c>
      <c r="H430" s="12">
        <v>7962</v>
      </c>
      <c r="I430" s="12">
        <v>6359</v>
      </c>
      <c r="J430" s="12">
        <v>1603</v>
      </c>
      <c r="K430" s="10">
        <v>20.14</v>
      </c>
      <c r="L430" s="13">
        <v>1.776438081</v>
      </c>
    </row>
    <row r="431" spans="1:12" x14ac:dyDescent="0.15">
      <c r="A431" s="1">
        <v>73</v>
      </c>
      <c r="B431" s="10" t="s">
        <v>181</v>
      </c>
      <c r="C431" s="11">
        <v>2016</v>
      </c>
      <c r="D431" s="12">
        <v>5573</v>
      </c>
      <c r="E431" s="12">
        <v>4567</v>
      </c>
      <c r="F431" s="12">
        <v>1006</v>
      </c>
      <c r="G431" s="13">
        <v>2.33</v>
      </c>
      <c r="H431" s="12">
        <v>2281</v>
      </c>
      <c r="I431" s="12">
        <v>1957</v>
      </c>
      <c r="J431" s="12">
        <v>324</v>
      </c>
      <c r="K431" s="10">
        <v>14.22</v>
      </c>
      <c r="L431" s="13">
        <v>2.0021920209999999</v>
      </c>
    </row>
    <row r="432" spans="1:12" x14ac:dyDescent="0.15">
      <c r="A432" s="1">
        <v>75</v>
      </c>
      <c r="B432" s="10" t="s">
        <v>182</v>
      </c>
      <c r="C432" s="11">
        <v>2016</v>
      </c>
      <c r="D432" s="12">
        <v>21772</v>
      </c>
      <c r="E432" s="12">
        <v>18542</v>
      </c>
      <c r="F432" s="12">
        <v>3230</v>
      </c>
      <c r="G432" s="13">
        <v>2.3199999999999998</v>
      </c>
      <c r="H432" s="12">
        <v>8593</v>
      </c>
      <c r="I432" s="12">
        <v>7977</v>
      </c>
      <c r="J432" s="12">
        <v>616</v>
      </c>
      <c r="K432" s="10">
        <v>7.16</v>
      </c>
      <c r="L432" s="13">
        <v>2.1578028630000001</v>
      </c>
    </row>
    <row r="433" spans="1:12" x14ac:dyDescent="0.15">
      <c r="A433" s="1">
        <v>77</v>
      </c>
      <c r="B433" s="10" t="s">
        <v>183</v>
      </c>
      <c r="C433" s="11">
        <v>2016</v>
      </c>
      <c r="D433" s="12">
        <v>150346</v>
      </c>
      <c r="E433" s="12">
        <v>145847</v>
      </c>
      <c r="F433" s="12">
        <v>4499</v>
      </c>
      <c r="G433" s="13">
        <v>2.4300000000000002</v>
      </c>
      <c r="H433" s="12">
        <v>64807</v>
      </c>
      <c r="I433" s="12">
        <v>60086</v>
      </c>
      <c r="J433" s="12">
        <v>4721</v>
      </c>
      <c r="K433" s="10">
        <v>7.28</v>
      </c>
      <c r="L433" s="13">
        <v>2.2504822010000001</v>
      </c>
    </row>
    <row r="434" spans="1:12" x14ac:dyDescent="0.15">
      <c r="A434" s="1">
        <v>79</v>
      </c>
      <c r="B434" s="10" t="s">
        <v>184</v>
      </c>
      <c r="C434" s="11">
        <v>2016</v>
      </c>
      <c r="D434" s="12">
        <v>770</v>
      </c>
      <c r="E434" s="12">
        <v>770</v>
      </c>
      <c r="F434" s="12">
        <v>0</v>
      </c>
      <c r="G434" s="13">
        <v>2.0299999999999998</v>
      </c>
      <c r="H434" s="12">
        <v>1148</v>
      </c>
      <c r="I434" s="12">
        <v>380</v>
      </c>
      <c r="J434" s="12">
        <v>768</v>
      </c>
      <c r="K434" s="10">
        <v>66.91</v>
      </c>
      <c r="L434" s="13">
        <v>0.67073170699999995</v>
      </c>
    </row>
    <row r="435" spans="1:12" x14ac:dyDescent="0.15">
      <c r="A435" s="1">
        <v>81</v>
      </c>
      <c r="B435" s="10" t="s">
        <v>185</v>
      </c>
      <c r="C435" s="11">
        <v>2016</v>
      </c>
      <c r="D435" s="12">
        <v>13266</v>
      </c>
      <c r="E435" s="12">
        <v>13154</v>
      </c>
      <c r="F435" s="12">
        <v>112</v>
      </c>
      <c r="G435" s="13">
        <v>2.48</v>
      </c>
      <c r="H435" s="12">
        <v>6015</v>
      </c>
      <c r="I435" s="12">
        <v>5307</v>
      </c>
      <c r="J435" s="12">
        <v>708</v>
      </c>
      <c r="K435" s="10">
        <v>11.78</v>
      </c>
      <c r="L435" s="13">
        <v>2.1868661679999999</v>
      </c>
    </row>
    <row r="436" spans="1:12" x14ac:dyDescent="0.15">
      <c r="A436" s="1">
        <v>83</v>
      </c>
      <c r="B436" s="10" t="s">
        <v>186</v>
      </c>
      <c r="C436" s="11">
        <v>2016</v>
      </c>
      <c r="D436" s="12">
        <v>25543</v>
      </c>
      <c r="E436" s="12">
        <v>25275</v>
      </c>
      <c r="F436" s="12">
        <v>268</v>
      </c>
      <c r="G436" s="13">
        <v>2.38</v>
      </c>
      <c r="H436" s="12">
        <v>12052</v>
      </c>
      <c r="I436" s="12">
        <v>10623</v>
      </c>
      <c r="J436" s="12">
        <v>1429</v>
      </c>
      <c r="K436" s="10">
        <v>11.86</v>
      </c>
      <c r="L436" s="13">
        <v>2.0971622970000001</v>
      </c>
    </row>
    <row r="437" spans="1:12" x14ac:dyDescent="0.15">
      <c r="A437" s="1">
        <v>85</v>
      </c>
      <c r="B437" s="10" t="s">
        <v>187</v>
      </c>
      <c r="C437" s="11">
        <v>2016</v>
      </c>
      <c r="D437" s="12">
        <v>41594</v>
      </c>
      <c r="E437" s="12">
        <v>40982</v>
      </c>
      <c r="F437" s="12">
        <v>613</v>
      </c>
      <c r="G437" s="13">
        <v>2.4300000000000002</v>
      </c>
      <c r="H437" s="12">
        <v>17890</v>
      </c>
      <c r="I437" s="12">
        <v>16863</v>
      </c>
      <c r="J437" s="12">
        <v>1027</v>
      </c>
      <c r="K437" s="10">
        <v>5.74</v>
      </c>
      <c r="L437" s="13">
        <v>2.29077697</v>
      </c>
    </row>
    <row r="438" spans="1:12" x14ac:dyDescent="0.15">
      <c r="A438" s="1">
        <v>87</v>
      </c>
      <c r="B438" s="10" t="s">
        <v>188</v>
      </c>
      <c r="C438" s="11">
        <v>2016</v>
      </c>
      <c r="D438" s="12">
        <v>28294</v>
      </c>
      <c r="E438" s="12">
        <v>27790</v>
      </c>
      <c r="F438" s="12">
        <v>504</v>
      </c>
      <c r="G438" s="13">
        <v>2.68</v>
      </c>
      <c r="H438" s="12">
        <v>11135</v>
      </c>
      <c r="I438" s="12">
        <v>10371</v>
      </c>
      <c r="J438" s="12">
        <v>764</v>
      </c>
      <c r="K438" s="10">
        <v>6.86</v>
      </c>
      <c r="L438" s="13">
        <v>2.4957341720000001</v>
      </c>
    </row>
    <row r="439" spans="1:12" x14ac:dyDescent="0.15">
      <c r="A439" s="1">
        <v>89</v>
      </c>
      <c r="B439" s="10" t="s">
        <v>189</v>
      </c>
      <c r="C439" s="11">
        <v>2016</v>
      </c>
      <c r="D439" s="12">
        <v>18797</v>
      </c>
      <c r="E439" s="12">
        <v>18373</v>
      </c>
      <c r="F439" s="12">
        <v>424</v>
      </c>
      <c r="G439" s="13">
        <v>2.38</v>
      </c>
      <c r="H439" s="12">
        <v>8695</v>
      </c>
      <c r="I439" s="12">
        <v>7720</v>
      </c>
      <c r="J439" s="12">
        <v>975</v>
      </c>
      <c r="K439" s="10">
        <v>11.22</v>
      </c>
      <c r="L439" s="13">
        <v>2.113053479</v>
      </c>
    </row>
    <row r="440" spans="1:12" x14ac:dyDescent="0.15">
      <c r="A440" s="1">
        <v>91</v>
      </c>
      <c r="B440" s="10" t="s">
        <v>190</v>
      </c>
      <c r="C440" s="11">
        <v>2016</v>
      </c>
      <c r="D440" s="12">
        <v>4721</v>
      </c>
      <c r="E440" s="12">
        <v>4721</v>
      </c>
      <c r="F440" s="12">
        <v>0</v>
      </c>
      <c r="G440" s="13">
        <v>2.15</v>
      </c>
      <c r="H440" s="12">
        <v>3164</v>
      </c>
      <c r="I440" s="12">
        <v>2194</v>
      </c>
      <c r="J440" s="12">
        <v>970</v>
      </c>
      <c r="K440" s="10">
        <v>30.66</v>
      </c>
      <c r="L440" s="13">
        <v>1.4920986089999999</v>
      </c>
    </row>
    <row r="441" spans="1:12" x14ac:dyDescent="0.15">
      <c r="A441" s="1">
        <v>93</v>
      </c>
      <c r="B441" s="10" t="s">
        <v>191</v>
      </c>
      <c r="C441" s="11">
        <v>2016</v>
      </c>
      <c r="D441" s="12">
        <v>16461</v>
      </c>
      <c r="E441" s="12">
        <v>16408</v>
      </c>
      <c r="F441" s="12">
        <v>53</v>
      </c>
      <c r="G441" s="13">
        <v>2.23</v>
      </c>
      <c r="H441" s="12">
        <v>13813</v>
      </c>
      <c r="I441" s="12">
        <v>7351</v>
      </c>
      <c r="J441" s="12">
        <v>6462</v>
      </c>
      <c r="K441" s="10">
        <v>46.78</v>
      </c>
      <c r="L441" s="13">
        <v>1.187866503</v>
      </c>
    </row>
    <row r="442" spans="1:12" x14ac:dyDescent="0.15">
      <c r="A442" s="1">
        <v>95</v>
      </c>
      <c r="B442" s="10" t="s">
        <v>192</v>
      </c>
      <c r="C442" s="11">
        <v>2016</v>
      </c>
      <c r="D442" s="12">
        <v>4505</v>
      </c>
      <c r="E442" s="12">
        <v>4438</v>
      </c>
      <c r="F442" s="12">
        <v>67</v>
      </c>
      <c r="G442" s="13">
        <v>2.4300000000000002</v>
      </c>
      <c r="H442" s="12">
        <v>1988</v>
      </c>
      <c r="I442" s="12">
        <v>1823</v>
      </c>
      <c r="J442" s="12">
        <v>165</v>
      </c>
      <c r="K442" s="10">
        <v>8.32</v>
      </c>
      <c r="L442" s="13">
        <v>2.2323943659999999</v>
      </c>
    </row>
    <row r="443" spans="1:12" x14ac:dyDescent="0.15">
      <c r="A443" s="1">
        <v>97</v>
      </c>
      <c r="B443" s="10" t="s">
        <v>193</v>
      </c>
      <c r="C443" s="11">
        <v>2016</v>
      </c>
      <c r="D443" s="12">
        <v>17691</v>
      </c>
      <c r="E443" s="12">
        <v>17619</v>
      </c>
      <c r="F443" s="12">
        <v>72</v>
      </c>
      <c r="G443" s="13">
        <v>2.13</v>
      </c>
      <c r="H443" s="12">
        <v>12940</v>
      </c>
      <c r="I443" s="12">
        <v>8271</v>
      </c>
      <c r="J443" s="12">
        <v>4669</v>
      </c>
      <c r="K443" s="10">
        <v>36.08</v>
      </c>
      <c r="L443" s="13">
        <v>1.361591963</v>
      </c>
    </row>
    <row r="444" spans="1:12" x14ac:dyDescent="0.15">
      <c r="A444" s="1">
        <v>99</v>
      </c>
      <c r="B444" s="10" t="s">
        <v>194</v>
      </c>
      <c r="C444" s="11">
        <v>2016</v>
      </c>
      <c r="D444" s="12">
        <v>11887</v>
      </c>
      <c r="E444" s="12">
        <v>11540</v>
      </c>
      <c r="F444" s="12">
        <v>347</v>
      </c>
      <c r="G444" s="13">
        <v>2.4700000000000002</v>
      </c>
      <c r="H444" s="12">
        <v>5446</v>
      </c>
      <c r="I444" s="12">
        <v>4670</v>
      </c>
      <c r="J444" s="12">
        <v>776</v>
      </c>
      <c r="K444" s="10">
        <v>14.25</v>
      </c>
      <c r="L444" s="13">
        <v>2.1189864119999999</v>
      </c>
    </row>
    <row r="445" spans="1:12" x14ac:dyDescent="0.15">
      <c r="A445" s="1">
        <v>101</v>
      </c>
      <c r="B445" s="10" t="s">
        <v>195</v>
      </c>
      <c r="C445" s="11">
        <v>2016</v>
      </c>
      <c r="D445" s="12">
        <v>164124</v>
      </c>
      <c r="E445" s="12">
        <v>160238</v>
      </c>
      <c r="F445" s="12">
        <v>3886</v>
      </c>
      <c r="G445" s="13">
        <v>2.4500000000000002</v>
      </c>
      <c r="H445" s="12">
        <v>70696</v>
      </c>
      <c r="I445" s="12">
        <v>65275</v>
      </c>
      <c r="J445" s="12">
        <v>5421</v>
      </c>
      <c r="K445" s="10">
        <v>7.67</v>
      </c>
      <c r="L445" s="13">
        <v>2.2665780240000002</v>
      </c>
    </row>
    <row r="446" spans="1:12" x14ac:dyDescent="0.15">
      <c r="A446" s="1">
        <v>103</v>
      </c>
      <c r="B446" s="10" t="s">
        <v>196</v>
      </c>
      <c r="C446" s="11">
        <v>2016</v>
      </c>
      <c r="D446" s="12">
        <v>6616</v>
      </c>
      <c r="E446" s="12">
        <v>6349</v>
      </c>
      <c r="F446" s="12">
        <v>267</v>
      </c>
      <c r="G446" s="13">
        <v>2.4300000000000002</v>
      </c>
      <c r="H446" s="12">
        <v>3232</v>
      </c>
      <c r="I446" s="12">
        <v>2611</v>
      </c>
      <c r="J446" s="12">
        <v>621</v>
      </c>
      <c r="K446" s="10">
        <v>19.2</v>
      </c>
      <c r="L446" s="13">
        <v>1.964418317</v>
      </c>
    </row>
    <row r="447" spans="1:12" x14ac:dyDescent="0.15">
      <c r="A447" s="1">
        <v>105</v>
      </c>
      <c r="B447" s="10" t="s">
        <v>197</v>
      </c>
      <c r="C447" s="11">
        <v>2016</v>
      </c>
      <c r="D447" s="12">
        <v>11734</v>
      </c>
      <c r="E447" s="12">
        <v>11574</v>
      </c>
      <c r="F447" s="12">
        <v>160</v>
      </c>
      <c r="G447" s="13">
        <v>2.42</v>
      </c>
      <c r="H447" s="12">
        <v>6431</v>
      </c>
      <c r="I447" s="12">
        <v>4789</v>
      </c>
      <c r="J447" s="12">
        <v>1642</v>
      </c>
      <c r="K447" s="10">
        <v>25.53</v>
      </c>
      <c r="L447" s="13">
        <v>1.7997201060000001</v>
      </c>
    </row>
    <row r="448" spans="1:12" x14ac:dyDescent="0.15">
      <c r="A448" s="1">
        <v>107</v>
      </c>
      <c r="B448" s="10" t="s">
        <v>198</v>
      </c>
      <c r="C448" s="11">
        <v>2016</v>
      </c>
      <c r="D448" s="12">
        <v>23952</v>
      </c>
      <c r="E448" s="12">
        <v>23608</v>
      </c>
      <c r="F448" s="12">
        <v>345</v>
      </c>
      <c r="G448" s="13">
        <v>2.35</v>
      </c>
      <c r="H448" s="12">
        <v>15941</v>
      </c>
      <c r="I448" s="12">
        <v>10045</v>
      </c>
      <c r="J448" s="12">
        <v>5896</v>
      </c>
      <c r="K448" s="10">
        <v>36.99</v>
      </c>
      <c r="L448" s="13">
        <v>1.4809610440000001</v>
      </c>
    </row>
    <row r="449" spans="1:12" x14ac:dyDescent="0.15">
      <c r="A449" s="1">
        <v>109</v>
      </c>
      <c r="B449" s="10" t="s">
        <v>199</v>
      </c>
      <c r="C449" s="11">
        <v>2016</v>
      </c>
      <c r="D449" s="12">
        <v>6188</v>
      </c>
      <c r="E449" s="12">
        <v>6160</v>
      </c>
      <c r="F449" s="12">
        <v>28</v>
      </c>
      <c r="G449" s="13">
        <v>2.2599999999999998</v>
      </c>
      <c r="H449" s="12">
        <v>3412</v>
      </c>
      <c r="I449" s="12">
        <v>2721</v>
      </c>
      <c r="J449" s="12">
        <v>691</v>
      </c>
      <c r="K449" s="10">
        <v>20.239999999999998</v>
      </c>
      <c r="L449" s="13">
        <v>1.8053927320000001</v>
      </c>
    </row>
    <row r="450" spans="1:12" x14ac:dyDescent="0.15">
      <c r="A450" s="1">
        <v>111</v>
      </c>
      <c r="B450" s="10" t="s">
        <v>200</v>
      </c>
      <c r="C450" s="11">
        <v>2016</v>
      </c>
      <c r="D450" s="12">
        <v>697</v>
      </c>
      <c r="E450" s="12">
        <v>697</v>
      </c>
      <c r="F450" s="12">
        <v>0</v>
      </c>
      <c r="G450" s="13">
        <v>1.96</v>
      </c>
      <c r="H450" s="12">
        <v>753</v>
      </c>
      <c r="I450" s="12">
        <v>356</v>
      </c>
      <c r="J450" s="12">
        <v>397</v>
      </c>
      <c r="K450" s="10">
        <v>52.74</v>
      </c>
      <c r="L450" s="13">
        <v>0.92563081000000003</v>
      </c>
    </row>
    <row r="451" spans="1:12" x14ac:dyDescent="0.15">
      <c r="A451" s="1">
        <v>113</v>
      </c>
      <c r="B451" s="10" t="s">
        <v>201</v>
      </c>
      <c r="C451" s="11">
        <v>2016</v>
      </c>
      <c r="D451" s="12">
        <v>8001</v>
      </c>
      <c r="E451" s="12">
        <v>7732</v>
      </c>
      <c r="F451" s="12">
        <v>269</v>
      </c>
      <c r="G451" s="13">
        <v>2.2000000000000002</v>
      </c>
      <c r="H451" s="12">
        <v>6355</v>
      </c>
      <c r="I451" s="12">
        <v>3519</v>
      </c>
      <c r="J451" s="12">
        <v>2836</v>
      </c>
      <c r="K451" s="10">
        <v>44.63</v>
      </c>
      <c r="L451" s="13">
        <v>1.21667978</v>
      </c>
    </row>
    <row r="452" spans="1:12" x14ac:dyDescent="0.15">
      <c r="A452" s="1">
        <v>115</v>
      </c>
      <c r="B452" s="10" t="s">
        <v>202</v>
      </c>
      <c r="C452" s="11">
        <v>2016</v>
      </c>
      <c r="D452" s="12">
        <v>2392</v>
      </c>
      <c r="E452" s="12">
        <v>2352</v>
      </c>
      <c r="F452" s="12">
        <v>40</v>
      </c>
      <c r="G452" s="13">
        <v>2.17</v>
      </c>
      <c r="H452" s="12">
        <v>1331</v>
      </c>
      <c r="I452" s="12">
        <v>1086</v>
      </c>
      <c r="J452" s="12">
        <v>245</v>
      </c>
      <c r="K452" s="10">
        <v>18.38</v>
      </c>
      <c r="L452" s="13">
        <v>1.767092412</v>
      </c>
    </row>
    <row r="453" spans="1:12" x14ac:dyDescent="0.15">
      <c r="A453" s="1">
        <v>117</v>
      </c>
      <c r="B453" s="10" t="s">
        <v>203</v>
      </c>
      <c r="C453" s="11">
        <v>2016</v>
      </c>
      <c r="D453" s="12">
        <v>30817</v>
      </c>
      <c r="E453" s="12">
        <v>30372</v>
      </c>
      <c r="F453" s="12">
        <v>445</v>
      </c>
      <c r="G453" s="13">
        <v>2.36</v>
      </c>
      <c r="H453" s="12">
        <v>30141</v>
      </c>
      <c r="I453" s="12">
        <v>12878</v>
      </c>
      <c r="J453" s="12">
        <v>17263</v>
      </c>
      <c r="K453" s="10">
        <v>57.27</v>
      </c>
      <c r="L453" s="13">
        <v>1.0076639789999999</v>
      </c>
    </row>
    <row r="454" spans="1:12" x14ac:dyDescent="0.15">
      <c r="A454" s="1">
        <v>119</v>
      </c>
      <c r="B454" s="10" t="s">
        <v>204</v>
      </c>
      <c r="C454" s="11">
        <v>2016</v>
      </c>
      <c r="D454" s="12">
        <v>23607</v>
      </c>
      <c r="E454" s="12">
        <v>23445</v>
      </c>
      <c r="F454" s="12">
        <v>162</v>
      </c>
      <c r="G454" s="13">
        <v>2.33</v>
      </c>
      <c r="H454" s="12">
        <v>12956</v>
      </c>
      <c r="I454" s="12">
        <v>10047</v>
      </c>
      <c r="J454" s="12">
        <v>2909</v>
      </c>
      <c r="K454" s="10">
        <v>22.45</v>
      </c>
      <c r="L454" s="13">
        <v>1.8095862920000001</v>
      </c>
    </row>
    <row r="455" spans="1:12" x14ac:dyDescent="0.15">
      <c r="A455" s="1">
        <v>121</v>
      </c>
      <c r="B455" s="10" t="s">
        <v>205</v>
      </c>
      <c r="C455" s="11">
        <v>2016</v>
      </c>
      <c r="D455" s="12">
        <v>4745</v>
      </c>
      <c r="E455" s="12">
        <v>4574</v>
      </c>
      <c r="F455" s="12">
        <v>171</v>
      </c>
      <c r="G455" s="13">
        <v>2.38</v>
      </c>
      <c r="H455" s="12">
        <v>2227</v>
      </c>
      <c r="I455" s="12">
        <v>1923</v>
      </c>
      <c r="J455" s="12">
        <v>304</v>
      </c>
      <c r="K455" s="10">
        <v>13.63</v>
      </c>
      <c r="L455" s="13">
        <v>2.0538841489999999</v>
      </c>
    </row>
    <row r="456" spans="1:12" x14ac:dyDescent="0.15">
      <c r="A456" s="1">
        <v>123</v>
      </c>
      <c r="B456" s="10" t="s">
        <v>206</v>
      </c>
      <c r="C456" s="11">
        <v>2016</v>
      </c>
      <c r="D456" s="12">
        <v>294513</v>
      </c>
      <c r="E456" s="12">
        <v>288943</v>
      </c>
      <c r="F456" s="12">
        <v>5570</v>
      </c>
      <c r="G456" s="13">
        <v>2.81</v>
      </c>
      <c r="H456" s="12">
        <v>106316</v>
      </c>
      <c r="I456" s="12">
        <v>102818</v>
      </c>
      <c r="J456" s="12">
        <v>3498</v>
      </c>
      <c r="K456" s="10">
        <v>3.29</v>
      </c>
      <c r="L456" s="13">
        <v>2.717775311</v>
      </c>
    </row>
    <row r="457" spans="1:12" x14ac:dyDescent="0.15">
      <c r="A457" s="1">
        <v>125</v>
      </c>
      <c r="B457" s="10" t="s">
        <v>207</v>
      </c>
      <c r="C457" s="11">
        <v>2016</v>
      </c>
      <c r="D457" s="12">
        <v>10056</v>
      </c>
      <c r="E457" s="12">
        <v>9792</v>
      </c>
      <c r="F457" s="12">
        <v>264</v>
      </c>
      <c r="G457" s="13">
        <v>2.52</v>
      </c>
      <c r="H457" s="12">
        <v>4294</v>
      </c>
      <c r="I457" s="12">
        <v>3884</v>
      </c>
      <c r="J457" s="12">
        <v>410</v>
      </c>
      <c r="K457" s="10">
        <v>9.56</v>
      </c>
      <c r="L457" s="13">
        <v>2.280391244</v>
      </c>
    </row>
    <row r="458" spans="1:12" x14ac:dyDescent="0.15">
      <c r="A458" s="1">
        <v>0</v>
      </c>
      <c r="B458" s="10" t="s">
        <v>143</v>
      </c>
      <c r="C458" s="11">
        <v>2017</v>
      </c>
      <c r="D458" s="12">
        <v>5599588</v>
      </c>
      <c r="E458" s="12">
        <v>5472360</v>
      </c>
      <c r="F458" s="12">
        <v>127227</v>
      </c>
      <c r="G458" s="13">
        <v>2.5</v>
      </c>
      <c r="H458" s="12">
        <v>2377152</v>
      </c>
      <c r="I458" s="12">
        <v>2190473</v>
      </c>
      <c r="J458" s="12">
        <v>186679</v>
      </c>
      <c r="K458" s="10">
        <v>7.85</v>
      </c>
      <c r="L458" s="13">
        <v>2.3020656650000002</v>
      </c>
    </row>
    <row r="459" spans="1:12" x14ac:dyDescent="0.15">
      <c r="A459" s="1">
        <v>1</v>
      </c>
      <c r="B459" s="10" t="s">
        <v>144</v>
      </c>
      <c r="C459" s="11">
        <v>2017</v>
      </c>
      <c r="D459" s="12">
        <v>503706</v>
      </c>
      <c r="E459" s="12">
        <v>499300</v>
      </c>
      <c r="F459" s="12">
        <v>4406</v>
      </c>
      <c r="G459" s="13">
        <v>2.87</v>
      </c>
      <c r="H459" s="12">
        <v>176439</v>
      </c>
      <c r="I459" s="12">
        <v>173741</v>
      </c>
      <c r="J459" s="12">
        <v>2698</v>
      </c>
      <c r="K459" s="10">
        <v>1.53</v>
      </c>
      <c r="L459" s="13">
        <v>2.829873214</v>
      </c>
    </row>
    <row r="460" spans="1:12" x14ac:dyDescent="0.15">
      <c r="A460" s="1">
        <v>3</v>
      </c>
      <c r="B460" s="10" t="s">
        <v>145</v>
      </c>
      <c r="C460" s="11">
        <v>2017</v>
      </c>
      <c r="D460" s="12">
        <v>16053</v>
      </c>
      <c r="E460" s="12">
        <v>15188</v>
      </c>
      <c r="F460" s="12">
        <v>865</v>
      </c>
      <c r="G460" s="13">
        <v>2.4300000000000002</v>
      </c>
      <c r="H460" s="12">
        <v>6908</v>
      </c>
      <c r="I460" s="12">
        <v>6247</v>
      </c>
      <c r="J460" s="12">
        <v>661</v>
      </c>
      <c r="K460" s="10">
        <v>9.57</v>
      </c>
      <c r="L460" s="13">
        <v>2.198610307</v>
      </c>
    </row>
    <row r="461" spans="1:12" x14ac:dyDescent="0.15">
      <c r="A461" s="1">
        <v>5</v>
      </c>
      <c r="B461" s="10" t="s">
        <v>146</v>
      </c>
      <c r="C461" s="11">
        <v>2017</v>
      </c>
      <c r="D461" s="12">
        <v>642976</v>
      </c>
      <c r="E461" s="12">
        <v>637915</v>
      </c>
      <c r="F461" s="12">
        <v>5061</v>
      </c>
      <c r="G461" s="13">
        <v>2.58</v>
      </c>
      <c r="H461" s="12">
        <v>254352</v>
      </c>
      <c r="I461" s="12">
        <v>247523</v>
      </c>
      <c r="J461" s="12">
        <v>6829</v>
      </c>
      <c r="K461" s="10">
        <v>2.68</v>
      </c>
      <c r="L461" s="13">
        <v>2.5080007229999999</v>
      </c>
    </row>
    <row r="462" spans="1:12" x14ac:dyDescent="0.15">
      <c r="A462" s="1">
        <v>7</v>
      </c>
      <c r="B462" s="10" t="s">
        <v>147</v>
      </c>
      <c r="C462" s="11">
        <v>2017</v>
      </c>
      <c r="D462" s="12">
        <v>12758</v>
      </c>
      <c r="E462" s="12">
        <v>12657</v>
      </c>
      <c r="F462" s="12">
        <v>101</v>
      </c>
      <c r="G462" s="13">
        <v>2.2799999999999998</v>
      </c>
      <c r="H462" s="12">
        <v>9137</v>
      </c>
      <c r="I462" s="12">
        <v>5540</v>
      </c>
      <c r="J462" s="12">
        <v>3597</v>
      </c>
      <c r="K462" s="10">
        <v>39.369999999999997</v>
      </c>
      <c r="L462" s="13">
        <v>1.3852467989999999</v>
      </c>
    </row>
    <row r="463" spans="1:12" x14ac:dyDescent="0.15">
      <c r="A463" s="1">
        <v>9</v>
      </c>
      <c r="B463" s="10" t="s">
        <v>148</v>
      </c>
      <c r="C463" s="11">
        <v>2017</v>
      </c>
      <c r="D463" s="12">
        <v>3523</v>
      </c>
      <c r="E463" s="12">
        <v>3472</v>
      </c>
      <c r="F463" s="12">
        <v>51</v>
      </c>
      <c r="G463" s="13">
        <v>2.14</v>
      </c>
      <c r="H463" s="12">
        <v>1969</v>
      </c>
      <c r="I463" s="12">
        <v>1621</v>
      </c>
      <c r="J463" s="12">
        <v>348</v>
      </c>
      <c r="K463" s="10">
        <v>17.68</v>
      </c>
      <c r="L463" s="13">
        <v>1.7633316400000001</v>
      </c>
    </row>
    <row r="464" spans="1:12" x14ac:dyDescent="0.15">
      <c r="A464" s="1">
        <v>11</v>
      </c>
      <c r="B464" s="10" t="s">
        <v>149</v>
      </c>
      <c r="C464" s="11">
        <v>2017</v>
      </c>
      <c r="D464" s="12">
        <v>5968</v>
      </c>
      <c r="E464" s="12">
        <v>4034</v>
      </c>
      <c r="F464" s="12">
        <v>1934</v>
      </c>
      <c r="G464" s="13">
        <v>2.2999999999999998</v>
      </c>
      <c r="H464" s="12">
        <v>2130</v>
      </c>
      <c r="I464" s="12">
        <v>1757</v>
      </c>
      <c r="J464" s="12">
        <v>373</v>
      </c>
      <c r="K464" s="10">
        <v>17.53</v>
      </c>
      <c r="L464" s="13">
        <v>1.893896714</v>
      </c>
    </row>
    <row r="465" spans="1:12" x14ac:dyDescent="0.15">
      <c r="A465" s="1">
        <v>13</v>
      </c>
      <c r="B465" s="10" t="s">
        <v>150</v>
      </c>
      <c r="C465" s="11">
        <v>2017</v>
      </c>
      <c r="D465" s="12">
        <v>325414</v>
      </c>
      <c r="E465" s="12">
        <v>311468</v>
      </c>
      <c r="F465" s="12">
        <v>13946</v>
      </c>
      <c r="G465" s="13">
        <v>2.38</v>
      </c>
      <c r="H465" s="12">
        <v>135024</v>
      </c>
      <c r="I465" s="12">
        <v>130647</v>
      </c>
      <c r="J465" s="12">
        <v>4377</v>
      </c>
      <c r="K465" s="10">
        <v>3.24</v>
      </c>
      <c r="L465" s="13">
        <v>2.3067602800000002</v>
      </c>
    </row>
    <row r="466" spans="1:12" x14ac:dyDescent="0.15">
      <c r="A466" s="1">
        <v>14</v>
      </c>
      <c r="B466" s="10" t="s">
        <v>151</v>
      </c>
      <c r="C466" s="11">
        <v>2017</v>
      </c>
      <c r="D466" s="12">
        <v>69655</v>
      </c>
      <c r="E466" s="12">
        <v>69413</v>
      </c>
      <c r="F466" s="12">
        <v>242</v>
      </c>
      <c r="G466" s="13">
        <v>2.52</v>
      </c>
      <c r="H466" s="12">
        <v>29498</v>
      </c>
      <c r="I466" s="12">
        <v>27598</v>
      </c>
      <c r="J466" s="12">
        <v>1900</v>
      </c>
      <c r="K466" s="10">
        <v>6.44</v>
      </c>
      <c r="L466" s="13">
        <v>2.3531425860000001</v>
      </c>
    </row>
    <row r="467" spans="1:12" x14ac:dyDescent="0.15">
      <c r="A467" s="1">
        <v>15</v>
      </c>
      <c r="B467" s="10" t="s">
        <v>152</v>
      </c>
      <c r="C467" s="11">
        <v>2017</v>
      </c>
      <c r="D467" s="12">
        <v>18967</v>
      </c>
      <c r="E467" s="12">
        <v>17546</v>
      </c>
      <c r="F467" s="12">
        <v>1421</v>
      </c>
      <c r="G467" s="13">
        <v>2.16</v>
      </c>
      <c r="H467" s="12">
        <v>10484</v>
      </c>
      <c r="I467" s="12">
        <v>8131</v>
      </c>
      <c r="J467" s="12">
        <v>2353</v>
      </c>
      <c r="K467" s="10">
        <v>22.44</v>
      </c>
      <c r="L467" s="13">
        <v>1.6735978629999999</v>
      </c>
    </row>
    <row r="468" spans="1:12" x14ac:dyDescent="0.15">
      <c r="A468" s="1">
        <v>17</v>
      </c>
      <c r="B468" s="10" t="s">
        <v>153</v>
      </c>
      <c r="C468" s="11">
        <v>2017</v>
      </c>
      <c r="D468" s="12">
        <v>1788</v>
      </c>
      <c r="E468" s="12">
        <v>1746</v>
      </c>
      <c r="F468" s="12">
        <v>42</v>
      </c>
      <c r="G468" s="13">
        <v>2.2999999999999998</v>
      </c>
      <c r="H468" s="12">
        <v>898</v>
      </c>
      <c r="I468" s="12">
        <v>758</v>
      </c>
      <c r="J468" s="12">
        <v>140</v>
      </c>
      <c r="K468" s="10">
        <v>15.6</v>
      </c>
      <c r="L468" s="13">
        <v>1.944320713</v>
      </c>
    </row>
    <row r="469" spans="1:12" x14ac:dyDescent="0.15">
      <c r="A469" s="1">
        <v>19</v>
      </c>
      <c r="B469" s="10" t="s">
        <v>154</v>
      </c>
      <c r="C469" s="11">
        <v>2017</v>
      </c>
      <c r="D469" s="12">
        <v>9427</v>
      </c>
      <c r="E469" s="12">
        <v>9312</v>
      </c>
      <c r="F469" s="12">
        <v>115</v>
      </c>
      <c r="G469" s="13">
        <v>2.13</v>
      </c>
      <c r="H469" s="12">
        <v>5572</v>
      </c>
      <c r="I469" s="12">
        <v>4374</v>
      </c>
      <c r="J469" s="12">
        <v>1198</v>
      </c>
      <c r="K469" s="10">
        <v>21.5</v>
      </c>
      <c r="L469" s="13">
        <v>1.671213209</v>
      </c>
    </row>
    <row r="470" spans="1:12" x14ac:dyDescent="0.15">
      <c r="A470" s="1">
        <v>21</v>
      </c>
      <c r="B470" s="10" t="s">
        <v>155</v>
      </c>
      <c r="C470" s="11">
        <v>2017</v>
      </c>
      <c r="D470" s="12">
        <v>7757</v>
      </c>
      <c r="E470" s="12">
        <v>7702</v>
      </c>
      <c r="F470" s="12">
        <v>55</v>
      </c>
      <c r="G470" s="13">
        <v>2.58</v>
      </c>
      <c r="H470" s="12">
        <v>3926</v>
      </c>
      <c r="I470" s="12">
        <v>2986</v>
      </c>
      <c r="J470" s="12">
        <v>940</v>
      </c>
      <c r="K470" s="10">
        <v>23.94</v>
      </c>
      <c r="L470" s="13">
        <v>1.9617931740000001</v>
      </c>
    </row>
    <row r="471" spans="1:12" x14ac:dyDescent="0.15">
      <c r="A471" s="1">
        <v>23</v>
      </c>
      <c r="B471" s="10" t="s">
        <v>156</v>
      </c>
      <c r="C471" s="11">
        <v>2017</v>
      </c>
      <c r="D471" s="12">
        <v>3516</v>
      </c>
      <c r="E471" s="12">
        <v>3516</v>
      </c>
      <c r="F471" s="12">
        <v>0</v>
      </c>
      <c r="G471" s="13">
        <v>2.2200000000000002</v>
      </c>
      <c r="H471" s="12">
        <v>2311</v>
      </c>
      <c r="I471" s="12">
        <v>1586</v>
      </c>
      <c r="J471" s="12">
        <v>725</v>
      </c>
      <c r="K471" s="10">
        <v>31.38</v>
      </c>
      <c r="L471" s="13">
        <v>1.5214192989999999</v>
      </c>
    </row>
    <row r="472" spans="1:12" x14ac:dyDescent="0.15">
      <c r="A472" s="1">
        <v>25</v>
      </c>
      <c r="B472" s="10" t="s">
        <v>157</v>
      </c>
      <c r="C472" s="11">
        <v>2017</v>
      </c>
      <c r="D472" s="12">
        <v>5837</v>
      </c>
      <c r="E472" s="12">
        <v>3042</v>
      </c>
      <c r="F472" s="12">
        <v>2795</v>
      </c>
      <c r="G472" s="13">
        <v>2.34</v>
      </c>
      <c r="H472" s="12">
        <v>1504</v>
      </c>
      <c r="I472" s="12">
        <v>1299</v>
      </c>
      <c r="J472" s="12">
        <v>205</v>
      </c>
      <c r="K472" s="10">
        <v>13.61</v>
      </c>
      <c r="L472" s="13">
        <v>2.0226063829999998</v>
      </c>
    </row>
    <row r="473" spans="1:12" x14ac:dyDescent="0.15">
      <c r="A473" s="1">
        <v>27</v>
      </c>
      <c r="B473" s="10" t="s">
        <v>158</v>
      </c>
      <c r="C473" s="11">
        <v>2017</v>
      </c>
      <c r="D473" s="12">
        <v>4539</v>
      </c>
      <c r="E473" s="12">
        <v>4526</v>
      </c>
      <c r="F473" s="12">
        <v>12</v>
      </c>
      <c r="G473" s="13">
        <v>2.12</v>
      </c>
      <c r="H473" s="12">
        <v>3964</v>
      </c>
      <c r="I473" s="12">
        <v>2135</v>
      </c>
      <c r="J473" s="12">
        <v>1829</v>
      </c>
      <c r="K473" s="10">
        <v>46.14</v>
      </c>
      <c r="L473" s="13">
        <v>1.1417759839999999</v>
      </c>
    </row>
    <row r="474" spans="1:12" x14ac:dyDescent="0.15">
      <c r="A474" s="1">
        <v>29</v>
      </c>
      <c r="B474" s="10" t="s">
        <v>159</v>
      </c>
      <c r="C474" s="11">
        <v>2017</v>
      </c>
      <c r="D474" s="12">
        <v>30703</v>
      </c>
      <c r="E474" s="12">
        <v>29858</v>
      </c>
      <c r="F474" s="12">
        <v>845</v>
      </c>
      <c r="G474" s="13">
        <v>2.34</v>
      </c>
      <c r="H474" s="12">
        <v>14660</v>
      </c>
      <c r="I474" s="12">
        <v>12745</v>
      </c>
      <c r="J474" s="12">
        <v>1915</v>
      </c>
      <c r="K474" s="10">
        <v>13.06</v>
      </c>
      <c r="L474" s="13">
        <v>2.0366984989999999</v>
      </c>
    </row>
    <row r="475" spans="1:12" x14ac:dyDescent="0.15">
      <c r="A475" s="1">
        <v>31</v>
      </c>
      <c r="B475" s="10" t="s">
        <v>160</v>
      </c>
      <c r="C475" s="11">
        <v>2017</v>
      </c>
      <c r="D475" s="12">
        <v>693134</v>
      </c>
      <c r="E475" s="12">
        <v>676812</v>
      </c>
      <c r="F475" s="12">
        <v>16322</v>
      </c>
      <c r="G475" s="13">
        <v>2.21</v>
      </c>
      <c r="H475" s="12">
        <v>321058</v>
      </c>
      <c r="I475" s="12">
        <v>306336</v>
      </c>
      <c r="J475" s="12">
        <v>14722</v>
      </c>
      <c r="K475" s="10">
        <v>4.59</v>
      </c>
      <c r="L475" s="13">
        <v>2.108067701</v>
      </c>
    </row>
    <row r="476" spans="1:12" x14ac:dyDescent="0.15">
      <c r="A476" s="1">
        <v>33</v>
      </c>
      <c r="B476" s="10" t="s">
        <v>161</v>
      </c>
      <c r="C476" s="11">
        <v>2017</v>
      </c>
      <c r="D476" s="12">
        <v>2088</v>
      </c>
      <c r="E476" s="12">
        <v>2088</v>
      </c>
      <c r="F476" s="12">
        <v>0</v>
      </c>
      <c r="G476" s="13">
        <v>2.25</v>
      </c>
      <c r="H476" s="12">
        <v>1287</v>
      </c>
      <c r="I476" s="12">
        <v>930</v>
      </c>
      <c r="J476" s="12">
        <v>357</v>
      </c>
      <c r="K476" s="10">
        <v>27.73</v>
      </c>
      <c r="L476" s="13">
        <v>1.6223776219999999</v>
      </c>
    </row>
    <row r="477" spans="1:12" x14ac:dyDescent="0.15">
      <c r="A477" s="1">
        <v>35</v>
      </c>
      <c r="B477" s="10" t="s">
        <v>162</v>
      </c>
      <c r="C477" s="11">
        <v>2017</v>
      </c>
      <c r="D477" s="12">
        <v>335933</v>
      </c>
      <c r="E477" s="12">
        <v>334512</v>
      </c>
      <c r="F477" s="12">
        <v>1421</v>
      </c>
      <c r="G477" s="13">
        <v>2.77</v>
      </c>
      <c r="H477" s="12">
        <v>122812</v>
      </c>
      <c r="I477" s="12">
        <v>120764</v>
      </c>
      <c r="J477" s="12">
        <v>2048</v>
      </c>
      <c r="K477" s="10">
        <v>1.67</v>
      </c>
      <c r="L477" s="13">
        <v>2.7237729210000001</v>
      </c>
    </row>
    <row r="478" spans="1:12" x14ac:dyDescent="0.15">
      <c r="A478" s="1">
        <v>37</v>
      </c>
      <c r="B478" s="10" t="s">
        <v>163</v>
      </c>
      <c r="C478" s="11">
        <v>2017</v>
      </c>
      <c r="D478" s="12">
        <v>53724</v>
      </c>
      <c r="E478" s="12">
        <v>53633</v>
      </c>
      <c r="F478" s="12">
        <v>91</v>
      </c>
      <c r="G478" s="13">
        <v>2.69</v>
      </c>
      <c r="H478" s="12">
        <v>31951</v>
      </c>
      <c r="I478" s="12">
        <v>19945</v>
      </c>
      <c r="J478" s="12">
        <v>12006</v>
      </c>
      <c r="K478" s="10">
        <v>37.58</v>
      </c>
      <c r="L478" s="13">
        <v>1.678601609</v>
      </c>
    </row>
    <row r="479" spans="1:12" x14ac:dyDescent="0.15">
      <c r="A479" s="1">
        <v>39</v>
      </c>
      <c r="B479" s="10" t="s">
        <v>164</v>
      </c>
      <c r="C479" s="11">
        <v>2017</v>
      </c>
      <c r="D479" s="12">
        <v>24942</v>
      </c>
      <c r="E479" s="12">
        <v>24871</v>
      </c>
      <c r="F479" s="12">
        <v>71</v>
      </c>
      <c r="G479" s="13">
        <v>2.76</v>
      </c>
      <c r="H479" s="12">
        <v>9328</v>
      </c>
      <c r="I479" s="12">
        <v>8997</v>
      </c>
      <c r="J479" s="12">
        <v>331</v>
      </c>
      <c r="K479" s="10">
        <v>3.55</v>
      </c>
      <c r="L479" s="13">
        <v>2.6662735849999999</v>
      </c>
    </row>
    <row r="480" spans="1:12" x14ac:dyDescent="0.15">
      <c r="A480" s="1">
        <v>41</v>
      </c>
      <c r="B480" s="10" t="s">
        <v>165</v>
      </c>
      <c r="C480" s="11">
        <v>2017</v>
      </c>
      <c r="D480" s="12">
        <v>704797</v>
      </c>
      <c r="E480" s="12">
        <v>683661</v>
      </c>
      <c r="F480" s="12">
        <v>21136</v>
      </c>
      <c r="G480" s="13">
        <v>2.59</v>
      </c>
      <c r="H480" s="12">
        <v>276227</v>
      </c>
      <c r="I480" s="12">
        <v>264025</v>
      </c>
      <c r="J480" s="12">
        <v>12202</v>
      </c>
      <c r="K480" s="10">
        <v>4.42</v>
      </c>
      <c r="L480" s="13">
        <v>2.4749970129999999</v>
      </c>
    </row>
    <row r="481" spans="1:12" x14ac:dyDescent="0.15">
      <c r="A481" s="1">
        <v>43</v>
      </c>
      <c r="B481" s="10" t="s">
        <v>166</v>
      </c>
      <c r="C481" s="11">
        <v>2017</v>
      </c>
      <c r="D481" s="12">
        <v>47564</v>
      </c>
      <c r="E481" s="12">
        <v>39465</v>
      </c>
      <c r="F481" s="12">
        <v>8099</v>
      </c>
      <c r="G481" s="13">
        <v>2.29</v>
      </c>
      <c r="H481" s="12">
        <v>19834</v>
      </c>
      <c r="I481" s="12">
        <v>17211</v>
      </c>
      <c r="J481" s="12">
        <v>2623</v>
      </c>
      <c r="K481" s="10">
        <v>13.22</v>
      </c>
      <c r="L481" s="13">
        <v>1.9897650499999999</v>
      </c>
    </row>
    <row r="482" spans="1:12" x14ac:dyDescent="0.15">
      <c r="A482" s="1">
        <v>45</v>
      </c>
      <c r="B482" s="10" t="s">
        <v>167</v>
      </c>
      <c r="C482" s="11">
        <v>2017</v>
      </c>
      <c r="D482" s="12">
        <v>58871</v>
      </c>
      <c r="E482" s="12">
        <v>57811</v>
      </c>
      <c r="F482" s="12">
        <v>1060</v>
      </c>
      <c r="G482" s="13">
        <v>2.71</v>
      </c>
      <c r="H482" s="12">
        <v>23511</v>
      </c>
      <c r="I482" s="12">
        <v>21300</v>
      </c>
      <c r="J482" s="12">
        <v>2211</v>
      </c>
      <c r="K482" s="10">
        <v>9.4</v>
      </c>
      <c r="L482" s="13">
        <v>2.4588915830000002</v>
      </c>
    </row>
    <row r="483" spans="1:12" x14ac:dyDescent="0.15">
      <c r="A483" s="1">
        <v>47</v>
      </c>
      <c r="B483" s="10" t="s">
        <v>168</v>
      </c>
      <c r="C483" s="11">
        <v>2017</v>
      </c>
      <c r="D483" s="12">
        <v>5635</v>
      </c>
      <c r="E483" s="12">
        <v>5592</v>
      </c>
      <c r="F483" s="12">
        <v>43</v>
      </c>
      <c r="G483" s="13">
        <v>2.2000000000000002</v>
      </c>
      <c r="H483" s="12">
        <v>3410</v>
      </c>
      <c r="I483" s="12">
        <v>2539</v>
      </c>
      <c r="J483" s="12">
        <v>871</v>
      </c>
      <c r="K483" s="10">
        <v>25.55</v>
      </c>
      <c r="L483" s="13">
        <v>1.6398826980000001</v>
      </c>
    </row>
    <row r="484" spans="1:12" x14ac:dyDescent="0.15">
      <c r="A484" s="1">
        <v>49</v>
      </c>
      <c r="B484" s="10" t="s">
        <v>169</v>
      </c>
      <c r="C484" s="11">
        <v>2017</v>
      </c>
      <c r="D484" s="12">
        <v>15147</v>
      </c>
      <c r="E484" s="12">
        <v>14942</v>
      </c>
      <c r="F484" s="12">
        <v>205</v>
      </c>
      <c r="G484" s="13">
        <v>2.23</v>
      </c>
      <c r="H484" s="12">
        <v>16043</v>
      </c>
      <c r="I484" s="12">
        <v>6703</v>
      </c>
      <c r="J484" s="12">
        <v>9340</v>
      </c>
      <c r="K484" s="10">
        <v>58.22</v>
      </c>
      <c r="L484" s="13">
        <v>0.93137193799999995</v>
      </c>
    </row>
    <row r="485" spans="1:12" x14ac:dyDescent="0.15">
      <c r="A485" s="1">
        <v>51</v>
      </c>
      <c r="B485" s="10" t="s">
        <v>170</v>
      </c>
      <c r="C485" s="11">
        <v>2017</v>
      </c>
      <c r="D485" s="12">
        <v>16464</v>
      </c>
      <c r="E485" s="12">
        <v>15411</v>
      </c>
      <c r="F485" s="12">
        <v>1053</v>
      </c>
      <c r="G485" s="13">
        <v>2.2200000000000002</v>
      </c>
      <c r="H485" s="12">
        <v>11633</v>
      </c>
      <c r="I485" s="12">
        <v>6928</v>
      </c>
      <c r="J485" s="12">
        <v>4705</v>
      </c>
      <c r="K485" s="10">
        <v>40.450000000000003</v>
      </c>
      <c r="L485" s="13">
        <v>1.3247657530000001</v>
      </c>
    </row>
    <row r="486" spans="1:12" x14ac:dyDescent="0.15">
      <c r="A486" s="1">
        <v>53</v>
      </c>
      <c r="B486" s="10" t="s">
        <v>171</v>
      </c>
      <c r="C486" s="11">
        <v>2017</v>
      </c>
      <c r="D486" s="12">
        <v>805</v>
      </c>
      <c r="E486" s="12">
        <v>788</v>
      </c>
      <c r="F486" s="12">
        <v>17</v>
      </c>
      <c r="G486" s="13">
        <v>2.12</v>
      </c>
      <c r="H486" s="12">
        <v>1305</v>
      </c>
      <c r="I486" s="12">
        <v>371</v>
      </c>
      <c r="J486" s="12">
        <v>934</v>
      </c>
      <c r="K486" s="10">
        <v>71.58</v>
      </c>
      <c r="L486" s="13">
        <v>0.60383141799999995</v>
      </c>
    </row>
    <row r="487" spans="1:12" x14ac:dyDescent="0.15">
      <c r="A487" s="1">
        <v>55</v>
      </c>
      <c r="B487" s="10" t="s">
        <v>172</v>
      </c>
      <c r="C487" s="11">
        <v>2017</v>
      </c>
      <c r="D487" s="12">
        <v>6737</v>
      </c>
      <c r="E487" s="12">
        <v>6615</v>
      </c>
      <c r="F487" s="12">
        <v>122</v>
      </c>
      <c r="G487" s="13">
        <v>2.1</v>
      </c>
      <c r="H487" s="12">
        <v>4600</v>
      </c>
      <c r="I487" s="12">
        <v>3155</v>
      </c>
      <c r="J487" s="12">
        <v>1445</v>
      </c>
      <c r="K487" s="10">
        <v>31.42</v>
      </c>
      <c r="L487" s="13">
        <v>1.438043478</v>
      </c>
    </row>
    <row r="488" spans="1:12" x14ac:dyDescent="0.15">
      <c r="A488" s="1">
        <v>57</v>
      </c>
      <c r="B488" s="10" t="s">
        <v>173</v>
      </c>
      <c r="C488" s="11">
        <v>2017</v>
      </c>
      <c r="D488" s="12">
        <v>1379</v>
      </c>
      <c r="E488" s="12">
        <v>1377</v>
      </c>
      <c r="F488" s="12">
        <v>2</v>
      </c>
      <c r="G488" s="13">
        <v>2.11</v>
      </c>
      <c r="H488" s="12">
        <v>1172</v>
      </c>
      <c r="I488" s="12">
        <v>652</v>
      </c>
      <c r="J488" s="12">
        <v>520</v>
      </c>
      <c r="K488" s="10">
        <v>44.35</v>
      </c>
      <c r="L488" s="13">
        <v>1.174914676</v>
      </c>
    </row>
    <row r="489" spans="1:12" x14ac:dyDescent="0.15">
      <c r="A489" s="1">
        <v>59</v>
      </c>
      <c r="B489" s="10" t="s">
        <v>174</v>
      </c>
      <c r="C489" s="11">
        <v>2017</v>
      </c>
      <c r="D489" s="12">
        <v>575923</v>
      </c>
      <c r="E489" s="12">
        <v>566813</v>
      </c>
      <c r="F489" s="12">
        <v>9110</v>
      </c>
      <c r="G489" s="13">
        <v>2.42</v>
      </c>
      <c r="H489" s="12">
        <v>242056</v>
      </c>
      <c r="I489" s="12">
        <v>234636</v>
      </c>
      <c r="J489" s="12">
        <v>7420</v>
      </c>
      <c r="K489" s="10">
        <v>3.07</v>
      </c>
      <c r="L489" s="13">
        <v>2.3416606070000001</v>
      </c>
    </row>
    <row r="490" spans="1:12" x14ac:dyDescent="0.15">
      <c r="A490" s="1">
        <v>61</v>
      </c>
      <c r="B490" s="10" t="s">
        <v>175</v>
      </c>
      <c r="C490" s="11">
        <v>2017</v>
      </c>
      <c r="D490" s="12">
        <v>1428</v>
      </c>
      <c r="E490" s="12">
        <v>1401</v>
      </c>
      <c r="F490" s="12">
        <v>27</v>
      </c>
      <c r="G490" s="13">
        <v>2.37</v>
      </c>
      <c r="H490" s="12">
        <v>735</v>
      </c>
      <c r="I490" s="12">
        <v>592</v>
      </c>
      <c r="J490" s="12">
        <v>143</v>
      </c>
      <c r="K490" s="10">
        <v>19.489999999999998</v>
      </c>
      <c r="L490" s="13">
        <v>1.9061224489999999</v>
      </c>
    </row>
    <row r="491" spans="1:12" x14ac:dyDescent="0.15">
      <c r="A491" s="1">
        <v>63</v>
      </c>
      <c r="B491" s="10" t="s">
        <v>176</v>
      </c>
      <c r="C491" s="11">
        <v>2017</v>
      </c>
      <c r="D491" s="12">
        <v>7400</v>
      </c>
      <c r="E491" s="12">
        <v>7012</v>
      </c>
      <c r="F491" s="12">
        <v>388</v>
      </c>
      <c r="G491" s="13">
        <v>2.41</v>
      </c>
      <c r="H491" s="12">
        <v>3404</v>
      </c>
      <c r="I491" s="12">
        <v>2909</v>
      </c>
      <c r="J491" s="12">
        <v>495</v>
      </c>
      <c r="K491" s="10">
        <v>14.53</v>
      </c>
      <c r="L491" s="13">
        <v>2.059929495</v>
      </c>
    </row>
    <row r="492" spans="1:12" x14ac:dyDescent="0.15">
      <c r="A492" s="1">
        <v>65</v>
      </c>
      <c r="B492" s="10" t="s">
        <v>177</v>
      </c>
      <c r="C492" s="11">
        <v>2017</v>
      </c>
      <c r="D492" s="12">
        <v>7352</v>
      </c>
      <c r="E492" s="12">
        <v>7264</v>
      </c>
      <c r="F492" s="12">
        <v>88</v>
      </c>
      <c r="G492" s="13">
        <v>2.4</v>
      </c>
      <c r="H492" s="12">
        <v>4294</v>
      </c>
      <c r="I492" s="12">
        <v>3030</v>
      </c>
      <c r="J492" s="12">
        <v>1264</v>
      </c>
      <c r="K492" s="10">
        <v>29.44</v>
      </c>
      <c r="L492" s="13">
        <v>1.6916627849999999</v>
      </c>
    </row>
    <row r="493" spans="1:12" x14ac:dyDescent="0.15">
      <c r="A493" s="1">
        <v>67</v>
      </c>
      <c r="B493" s="10" t="s">
        <v>178</v>
      </c>
      <c r="C493" s="11">
        <v>2017</v>
      </c>
      <c r="D493" s="12">
        <v>55034</v>
      </c>
      <c r="E493" s="12">
        <v>53179</v>
      </c>
      <c r="F493" s="12">
        <v>1855</v>
      </c>
      <c r="G493" s="13">
        <v>2.31</v>
      </c>
      <c r="H493" s="12">
        <v>27145</v>
      </c>
      <c r="I493" s="12">
        <v>23015</v>
      </c>
      <c r="J493" s="12">
        <v>4130</v>
      </c>
      <c r="K493" s="10">
        <v>15.21</v>
      </c>
      <c r="L493" s="13">
        <v>1.959071652</v>
      </c>
    </row>
    <row r="494" spans="1:12" x14ac:dyDescent="0.15">
      <c r="A494" s="1">
        <v>69</v>
      </c>
      <c r="B494" s="10" t="s">
        <v>179</v>
      </c>
      <c r="C494" s="11">
        <v>2017</v>
      </c>
      <c r="D494" s="12">
        <v>344187</v>
      </c>
      <c r="E494" s="12">
        <v>333518</v>
      </c>
      <c r="F494" s="12">
        <v>10669</v>
      </c>
      <c r="G494" s="13">
        <v>2.41</v>
      </c>
      <c r="H494" s="12">
        <v>149794</v>
      </c>
      <c r="I494" s="12">
        <v>138324</v>
      </c>
      <c r="J494" s="12">
        <v>11470</v>
      </c>
      <c r="K494" s="10">
        <v>7.66</v>
      </c>
      <c r="L494" s="13">
        <v>2.2265110749999999</v>
      </c>
    </row>
    <row r="495" spans="1:12" x14ac:dyDescent="0.15">
      <c r="A495" s="1">
        <v>71</v>
      </c>
      <c r="B495" s="10" t="s">
        <v>180</v>
      </c>
      <c r="C495" s="11">
        <v>2017</v>
      </c>
      <c r="D495" s="12">
        <v>14817</v>
      </c>
      <c r="E495" s="12">
        <v>14071</v>
      </c>
      <c r="F495" s="12">
        <v>746</v>
      </c>
      <c r="G495" s="13">
        <v>2.21</v>
      </c>
      <c r="H495" s="12">
        <v>7969</v>
      </c>
      <c r="I495" s="12">
        <v>6359</v>
      </c>
      <c r="J495" s="12">
        <v>1610</v>
      </c>
      <c r="K495" s="10">
        <v>20.2</v>
      </c>
      <c r="L495" s="13">
        <v>1.7657171540000001</v>
      </c>
    </row>
    <row r="496" spans="1:12" x14ac:dyDescent="0.15">
      <c r="A496" s="1">
        <v>73</v>
      </c>
      <c r="B496" s="10" t="s">
        <v>181</v>
      </c>
      <c r="C496" s="11">
        <v>2017</v>
      </c>
      <c r="D496" s="12">
        <v>5591</v>
      </c>
      <c r="E496" s="12">
        <v>4589</v>
      </c>
      <c r="F496" s="12">
        <v>1002</v>
      </c>
      <c r="G496" s="13">
        <v>2.34</v>
      </c>
      <c r="H496" s="12">
        <v>2290</v>
      </c>
      <c r="I496" s="12">
        <v>1958</v>
      </c>
      <c r="J496" s="12">
        <v>332</v>
      </c>
      <c r="K496" s="10">
        <v>14.49</v>
      </c>
      <c r="L496" s="13">
        <v>2.0039301310000002</v>
      </c>
    </row>
    <row r="497" spans="1:12" x14ac:dyDescent="0.15">
      <c r="A497" s="1">
        <v>75</v>
      </c>
      <c r="B497" s="10" t="s">
        <v>182</v>
      </c>
      <c r="C497" s="11">
        <v>2017</v>
      </c>
      <c r="D497" s="12">
        <v>21691</v>
      </c>
      <c r="E497" s="12">
        <v>18502</v>
      </c>
      <c r="F497" s="12">
        <v>3190</v>
      </c>
      <c r="G497" s="13">
        <v>2.3199999999999998</v>
      </c>
      <c r="H497" s="12">
        <v>8607</v>
      </c>
      <c r="I497" s="12">
        <v>7968</v>
      </c>
      <c r="J497" s="12">
        <v>639</v>
      </c>
      <c r="K497" s="10">
        <v>7.43</v>
      </c>
      <c r="L497" s="13">
        <v>2.1496456369999999</v>
      </c>
    </row>
    <row r="498" spans="1:12" x14ac:dyDescent="0.15">
      <c r="A498" s="1">
        <v>77</v>
      </c>
      <c r="B498" s="10" t="s">
        <v>183</v>
      </c>
      <c r="C498" s="11">
        <v>2017</v>
      </c>
      <c r="D498" s="12">
        <v>152148</v>
      </c>
      <c r="E498" s="12">
        <v>147646</v>
      </c>
      <c r="F498" s="12">
        <v>4502</v>
      </c>
      <c r="G498" s="13">
        <v>2.42</v>
      </c>
      <c r="H498" s="12">
        <v>65240</v>
      </c>
      <c r="I498" s="12">
        <v>60974</v>
      </c>
      <c r="J498" s="12">
        <v>4266</v>
      </c>
      <c r="K498" s="10">
        <v>6.54</v>
      </c>
      <c r="L498" s="13">
        <v>2.2631207849999999</v>
      </c>
    </row>
    <row r="499" spans="1:12" x14ac:dyDescent="0.15">
      <c r="A499" s="1">
        <v>79</v>
      </c>
      <c r="B499" s="10" t="s">
        <v>184</v>
      </c>
      <c r="C499" s="11">
        <v>2017</v>
      </c>
      <c r="D499" s="12">
        <v>788</v>
      </c>
      <c r="E499" s="12">
        <v>788</v>
      </c>
      <c r="F499" s="12">
        <v>0</v>
      </c>
      <c r="G499" s="13">
        <v>2.0299999999999998</v>
      </c>
      <c r="H499" s="12">
        <v>1162</v>
      </c>
      <c r="I499" s="12">
        <v>388</v>
      </c>
      <c r="J499" s="12">
        <v>774</v>
      </c>
      <c r="K499" s="10">
        <v>66.62</v>
      </c>
      <c r="L499" s="13">
        <v>0.67814113600000003</v>
      </c>
    </row>
    <row r="500" spans="1:12" x14ac:dyDescent="0.15">
      <c r="A500" s="1">
        <v>81</v>
      </c>
      <c r="B500" s="10" t="s">
        <v>185</v>
      </c>
      <c r="C500" s="11">
        <v>2017</v>
      </c>
      <c r="D500" s="12">
        <v>13223</v>
      </c>
      <c r="E500" s="12">
        <v>13109</v>
      </c>
      <c r="F500" s="12">
        <v>114</v>
      </c>
      <c r="G500" s="13">
        <v>2.4700000000000002</v>
      </c>
      <c r="H500" s="12">
        <v>6025</v>
      </c>
      <c r="I500" s="12">
        <v>5298</v>
      </c>
      <c r="J500" s="12">
        <v>727</v>
      </c>
      <c r="K500" s="10">
        <v>12.06</v>
      </c>
      <c r="L500" s="13">
        <v>2.1757676350000001</v>
      </c>
    </row>
    <row r="501" spans="1:12" x14ac:dyDescent="0.15">
      <c r="A501" s="1">
        <v>83</v>
      </c>
      <c r="B501" s="10" t="s">
        <v>186</v>
      </c>
      <c r="C501" s="11">
        <v>2017</v>
      </c>
      <c r="D501" s="12">
        <v>25556</v>
      </c>
      <c r="E501" s="12">
        <v>25283</v>
      </c>
      <c r="F501" s="12">
        <v>273</v>
      </c>
      <c r="G501" s="13">
        <v>2.38</v>
      </c>
      <c r="H501" s="12">
        <v>12079</v>
      </c>
      <c r="I501" s="12">
        <v>10642</v>
      </c>
      <c r="J501" s="12">
        <v>1437</v>
      </c>
      <c r="K501" s="10">
        <v>11.9</v>
      </c>
      <c r="L501" s="13">
        <v>2.093136849</v>
      </c>
    </row>
    <row r="502" spans="1:12" x14ac:dyDescent="0.15">
      <c r="A502" s="1">
        <v>85</v>
      </c>
      <c r="B502" s="10" t="s">
        <v>187</v>
      </c>
      <c r="C502" s="11">
        <v>2017</v>
      </c>
      <c r="D502" s="12">
        <v>41768</v>
      </c>
      <c r="E502" s="12">
        <v>41143</v>
      </c>
      <c r="F502" s="12">
        <v>625</v>
      </c>
      <c r="G502" s="13">
        <v>2.42</v>
      </c>
      <c r="H502" s="12">
        <v>18081</v>
      </c>
      <c r="I502" s="12">
        <v>16976</v>
      </c>
      <c r="J502" s="12">
        <v>1105</v>
      </c>
      <c r="K502" s="10">
        <v>6.11</v>
      </c>
      <c r="L502" s="13">
        <v>2.2754825510000001</v>
      </c>
    </row>
    <row r="503" spans="1:12" x14ac:dyDescent="0.15">
      <c r="A503" s="1">
        <v>87</v>
      </c>
      <c r="B503" s="10" t="s">
        <v>188</v>
      </c>
      <c r="C503" s="11">
        <v>2017</v>
      </c>
      <c r="D503" s="12">
        <v>28425</v>
      </c>
      <c r="E503" s="12">
        <v>27931</v>
      </c>
      <c r="F503" s="12">
        <v>494</v>
      </c>
      <c r="G503" s="13">
        <v>2.69</v>
      </c>
      <c r="H503" s="12">
        <v>11164</v>
      </c>
      <c r="I503" s="12">
        <v>10382</v>
      </c>
      <c r="J503" s="12">
        <v>782</v>
      </c>
      <c r="K503" s="10">
        <v>7.01</v>
      </c>
      <c r="L503" s="13">
        <v>2.5018810459999998</v>
      </c>
    </row>
    <row r="504" spans="1:12" x14ac:dyDescent="0.15">
      <c r="A504" s="1">
        <v>89</v>
      </c>
      <c r="B504" s="10" t="s">
        <v>189</v>
      </c>
      <c r="C504" s="11">
        <v>2017</v>
      </c>
      <c r="D504" s="12">
        <v>18763</v>
      </c>
      <c r="E504" s="12">
        <v>18340</v>
      </c>
      <c r="F504" s="12">
        <v>422</v>
      </c>
      <c r="G504" s="13">
        <v>2.38</v>
      </c>
      <c r="H504" s="12">
        <v>8702</v>
      </c>
      <c r="I504" s="12">
        <v>7706</v>
      </c>
      <c r="J504" s="12">
        <v>996</v>
      </c>
      <c r="K504" s="10">
        <v>11.44</v>
      </c>
      <c r="L504" s="13">
        <v>2.1075614800000002</v>
      </c>
    </row>
    <row r="505" spans="1:12" x14ac:dyDescent="0.15">
      <c r="A505" s="1">
        <v>91</v>
      </c>
      <c r="B505" s="10" t="s">
        <v>190</v>
      </c>
      <c r="C505" s="11">
        <v>2017</v>
      </c>
      <c r="D505" s="12">
        <v>4730</v>
      </c>
      <c r="E505" s="12">
        <v>4730</v>
      </c>
      <c r="F505" s="12">
        <v>0</v>
      </c>
      <c r="G505" s="13">
        <v>2.14</v>
      </c>
      <c r="H505" s="12">
        <v>3200</v>
      </c>
      <c r="I505" s="12">
        <v>2206</v>
      </c>
      <c r="J505" s="12">
        <v>994</v>
      </c>
      <c r="K505" s="10">
        <v>31.06</v>
      </c>
      <c r="L505" s="13">
        <v>1.4781249999999999</v>
      </c>
    </row>
    <row r="506" spans="1:12" x14ac:dyDescent="0.15">
      <c r="A506" s="1">
        <v>93</v>
      </c>
      <c r="B506" s="10" t="s">
        <v>191</v>
      </c>
      <c r="C506" s="11">
        <v>2017</v>
      </c>
      <c r="D506" s="12">
        <v>16866</v>
      </c>
      <c r="E506" s="12">
        <v>16819</v>
      </c>
      <c r="F506" s="12">
        <v>47</v>
      </c>
      <c r="G506" s="13">
        <v>2.23</v>
      </c>
      <c r="H506" s="12">
        <v>13814</v>
      </c>
      <c r="I506" s="12">
        <v>7543</v>
      </c>
      <c r="J506" s="12">
        <v>6271</v>
      </c>
      <c r="K506" s="10">
        <v>45.4</v>
      </c>
      <c r="L506" s="13">
        <v>1.217532938</v>
      </c>
    </row>
    <row r="507" spans="1:12" x14ac:dyDescent="0.15">
      <c r="A507" s="1">
        <v>95</v>
      </c>
      <c r="B507" s="10" t="s">
        <v>192</v>
      </c>
      <c r="C507" s="11">
        <v>2017</v>
      </c>
      <c r="D507" s="12">
        <v>4514</v>
      </c>
      <c r="E507" s="12">
        <v>4446</v>
      </c>
      <c r="F507" s="12">
        <v>68</v>
      </c>
      <c r="G507" s="13">
        <v>2.44</v>
      </c>
      <c r="H507" s="12">
        <v>1989</v>
      </c>
      <c r="I507" s="12">
        <v>1822</v>
      </c>
      <c r="J507" s="12">
        <v>167</v>
      </c>
      <c r="K507" s="10">
        <v>8.3699999999999992</v>
      </c>
      <c r="L507" s="13">
        <v>2.2352941180000001</v>
      </c>
    </row>
    <row r="508" spans="1:12" x14ac:dyDescent="0.15">
      <c r="A508" s="1">
        <v>97</v>
      </c>
      <c r="B508" s="10" t="s">
        <v>193</v>
      </c>
      <c r="C508" s="11">
        <v>2017</v>
      </c>
      <c r="D508" s="12">
        <v>17658</v>
      </c>
      <c r="E508" s="12">
        <v>17586</v>
      </c>
      <c r="F508" s="12">
        <v>72</v>
      </c>
      <c r="G508" s="13">
        <v>2.14</v>
      </c>
      <c r="H508" s="12">
        <v>13040</v>
      </c>
      <c r="I508" s="12">
        <v>8233</v>
      </c>
      <c r="J508" s="12">
        <v>4807</v>
      </c>
      <c r="K508" s="10">
        <v>36.86</v>
      </c>
      <c r="L508" s="13">
        <v>1.3486196319999999</v>
      </c>
    </row>
    <row r="509" spans="1:12" x14ac:dyDescent="0.15">
      <c r="A509" s="1">
        <v>99</v>
      </c>
      <c r="B509" s="10" t="s">
        <v>194</v>
      </c>
      <c r="C509" s="11">
        <v>2017</v>
      </c>
      <c r="D509" s="12">
        <v>11930</v>
      </c>
      <c r="E509" s="12">
        <v>11578</v>
      </c>
      <c r="F509" s="12">
        <v>352</v>
      </c>
      <c r="G509" s="13">
        <v>2.4700000000000002</v>
      </c>
      <c r="H509" s="12">
        <v>5445</v>
      </c>
      <c r="I509" s="12">
        <v>4680</v>
      </c>
      <c r="J509" s="12">
        <v>765</v>
      </c>
      <c r="K509" s="10">
        <v>14.06</v>
      </c>
      <c r="L509" s="13">
        <v>2.1263544539999999</v>
      </c>
    </row>
    <row r="510" spans="1:12" x14ac:dyDescent="0.15">
      <c r="A510" s="1">
        <v>101</v>
      </c>
      <c r="B510" s="10" t="s">
        <v>195</v>
      </c>
      <c r="C510" s="11">
        <v>2017</v>
      </c>
      <c r="D510" s="12">
        <v>165549</v>
      </c>
      <c r="E510" s="12">
        <v>161565</v>
      </c>
      <c r="F510" s="12">
        <v>3984</v>
      </c>
      <c r="G510" s="13">
        <v>2.4500000000000002</v>
      </c>
      <c r="H510" s="12">
        <v>70831</v>
      </c>
      <c r="I510" s="12">
        <v>65825</v>
      </c>
      <c r="J510" s="12">
        <v>5006</v>
      </c>
      <c r="K510" s="10">
        <v>7.07</v>
      </c>
      <c r="L510" s="13">
        <v>2.2809927860000001</v>
      </c>
    </row>
    <row r="511" spans="1:12" x14ac:dyDescent="0.15">
      <c r="A511" s="1">
        <v>103</v>
      </c>
      <c r="B511" s="10" t="s">
        <v>196</v>
      </c>
      <c r="C511" s="11">
        <v>2017</v>
      </c>
      <c r="D511" s="12">
        <v>6568</v>
      </c>
      <c r="E511" s="12">
        <v>6344</v>
      </c>
      <c r="F511" s="12">
        <v>224</v>
      </c>
      <c r="G511" s="13">
        <v>2.4300000000000002</v>
      </c>
      <c r="H511" s="12">
        <v>3241</v>
      </c>
      <c r="I511" s="12">
        <v>2609</v>
      </c>
      <c r="J511" s="12">
        <v>632</v>
      </c>
      <c r="K511" s="10">
        <v>19.489999999999998</v>
      </c>
      <c r="L511" s="13">
        <v>1.9574205490000001</v>
      </c>
    </row>
    <row r="512" spans="1:12" x14ac:dyDescent="0.15">
      <c r="A512" s="1">
        <v>105</v>
      </c>
      <c r="B512" s="10" t="s">
        <v>197</v>
      </c>
      <c r="C512" s="11">
        <v>2017</v>
      </c>
      <c r="D512" s="12">
        <v>11688</v>
      </c>
      <c r="E512" s="12">
        <v>11535</v>
      </c>
      <c r="F512" s="12">
        <v>153</v>
      </c>
      <c r="G512" s="13">
        <v>2.41</v>
      </c>
      <c r="H512" s="12">
        <v>6440</v>
      </c>
      <c r="I512" s="12">
        <v>4790</v>
      </c>
      <c r="J512" s="12">
        <v>1650</v>
      </c>
      <c r="K512" s="10">
        <v>25.63</v>
      </c>
      <c r="L512" s="13">
        <v>1.791149068</v>
      </c>
    </row>
    <row r="513" spans="1:12" x14ac:dyDescent="0.15">
      <c r="A513" s="1">
        <v>107</v>
      </c>
      <c r="B513" s="10" t="s">
        <v>198</v>
      </c>
      <c r="C513" s="11">
        <v>2017</v>
      </c>
      <c r="D513" s="12">
        <v>24162</v>
      </c>
      <c r="E513" s="12">
        <v>23816</v>
      </c>
      <c r="F513" s="12">
        <v>346</v>
      </c>
      <c r="G513" s="13">
        <v>2.35</v>
      </c>
      <c r="H513" s="12">
        <v>16100</v>
      </c>
      <c r="I513" s="12">
        <v>10127</v>
      </c>
      <c r="J513" s="12">
        <v>5973</v>
      </c>
      <c r="K513" s="10">
        <v>37.1</v>
      </c>
      <c r="L513" s="13">
        <v>1.4792546579999999</v>
      </c>
    </row>
    <row r="514" spans="1:12" x14ac:dyDescent="0.15">
      <c r="A514" s="1">
        <v>109</v>
      </c>
      <c r="B514" s="10" t="s">
        <v>199</v>
      </c>
      <c r="C514" s="11">
        <v>2017</v>
      </c>
      <c r="D514" s="12">
        <v>6214</v>
      </c>
      <c r="E514" s="12">
        <v>6184</v>
      </c>
      <c r="F514" s="12">
        <v>29</v>
      </c>
      <c r="G514" s="13">
        <v>2.2599999999999998</v>
      </c>
      <c r="H514" s="12">
        <v>3464</v>
      </c>
      <c r="I514" s="12">
        <v>2741</v>
      </c>
      <c r="J514" s="12">
        <v>723</v>
      </c>
      <c r="K514" s="10">
        <v>20.86</v>
      </c>
      <c r="L514" s="13">
        <v>1.7852193999999999</v>
      </c>
    </row>
    <row r="515" spans="1:12" x14ac:dyDescent="0.15">
      <c r="A515" s="1">
        <v>111</v>
      </c>
      <c r="B515" s="10" t="s">
        <v>200</v>
      </c>
      <c r="C515" s="11">
        <v>2017</v>
      </c>
      <c r="D515" s="12">
        <v>700</v>
      </c>
      <c r="E515" s="12">
        <v>700</v>
      </c>
      <c r="F515" s="12">
        <v>0</v>
      </c>
      <c r="G515" s="13">
        <v>1.94</v>
      </c>
      <c r="H515" s="12">
        <v>761</v>
      </c>
      <c r="I515" s="12">
        <v>360</v>
      </c>
      <c r="J515" s="12">
        <v>401</v>
      </c>
      <c r="K515" s="10">
        <v>52.73</v>
      </c>
      <c r="L515" s="13">
        <v>0.91984231299999997</v>
      </c>
    </row>
    <row r="516" spans="1:12" x14ac:dyDescent="0.15">
      <c r="A516" s="1">
        <v>113</v>
      </c>
      <c r="B516" s="10" t="s">
        <v>201</v>
      </c>
      <c r="C516" s="11">
        <v>2017</v>
      </c>
      <c r="D516" s="12">
        <v>8014</v>
      </c>
      <c r="E516" s="12">
        <v>7800</v>
      </c>
      <c r="F516" s="12">
        <v>214</v>
      </c>
      <c r="G516" s="13">
        <v>2.21</v>
      </c>
      <c r="H516" s="12">
        <v>6390</v>
      </c>
      <c r="I516" s="12">
        <v>3531</v>
      </c>
      <c r="J516" s="12">
        <v>2859</v>
      </c>
      <c r="K516" s="10">
        <v>44.74</v>
      </c>
      <c r="L516" s="13">
        <v>1.2206572769999999</v>
      </c>
    </row>
    <row r="517" spans="1:12" x14ac:dyDescent="0.15">
      <c r="A517" s="1">
        <v>115</v>
      </c>
      <c r="B517" s="10" t="s">
        <v>202</v>
      </c>
      <c r="C517" s="11">
        <v>2017</v>
      </c>
      <c r="D517" s="12">
        <v>2396</v>
      </c>
      <c r="E517" s="12">
        <v>2355</v>
      </c>
      <c r="F517" s="12">
        <v>41</v>
      </c>
      <c r="G517" s="13">
        <v>2.17</v>
      </c>
      <c r="H517" s="12">
        <v>1335</v>
      </c>
      <c r="I517" s="12">
        <v>1087</v>
      </c>
      <c r="J517" s="12">
        <v>248</v>
      </c>
      <c r="K517" s="10">
        <v>18.61</v>
      </c>
      <c r="L517" s="13">
        <v>1.7640449439999999</v>
      </c>
    </row>
    <row r="518" spans="1:12" x14ac:dyDescent="0.15">
      <c r="A518" s="1">
        <v>117</v>
      </c>
      <c r="B518" s="10" t="s">
        <v>203</v>
      </c>
      <c r="C518" s="11">
        <v>2017</v>
      </c>
      <c r="D518" s="12">
        <v>31133</v>
      </c>
      <c r="E518" s="12">
        <v>30660</v>
      </c>
      <c r="F518" s="12">
        <v>473</v>
      </c>
      <c r="G518" s="13">
        <v>2.36</v>
      </c>
      <c r="H518" s="12">
        <v>30320</v>
      </c>
      <c r="I518" s="12">
        <v>13000</v>
      </c>
      <c r="J518" s="12">
        <v>17320</v>
      </c>
      <c r="K518" s="10">
        <v>57.12</v>
      </c>
      <c r="L518" s="13">
        <v>1.01121372</v>
      </c>
    </row>
    <row r="519" spans="1:12" x14ac:dyDescent="0.15">
      <c r="A519" s="1">
        <v>119</v>
      </c>
      <c r="B519" s="10" t="s">
        <v>204</v>
      </c>
      <c r="C519" s="11">
        <v>2017</v>
      </c>
      <c r="D519" s="12">
        <v>24153</v>
      </c>
      <c r="E519" s="12">
        <v>23987</v>
      </c>
      <c r="F519" s="12">
        <v>166</v>
      </c>
      <c r="G519" s="13">
        <v>2.33</v>
      </c>
      <c r="H519" s="12">
        <v>13056</v>
      </c>
      <c r="I519" s="12">
        <v>10305</v>
      </c>
      <c r="J519" s="12">
        <v>2751</v>
      </c>
      <c r="K519" s="10">
        <v>21.07</v>
      </c>
      <c r="L519" s="13">
        <v>1.8372395829999999</v>
      </c>
    </row>
    <row r="520" spans="1:12" x14ac:dyDescent="0.15">
      <c r="A520" s="1">
        <v>121</v>
      </c>
      <c r="B520" s="10" t="s">
        <v>205</v>
      </c>
      <c r="C520" s="11">
        <v>2017</v>
      </c>
      <c r="D520" s="12">
        <v>4845</v>
      </c>
      <c r="E520" s="12">
        <v>4593</v>
      </c>
      <c r="F520" s="12">
        <v>252</v>
      </c>
      <c r="G520" s="13">
        <v>2.38</v>
      </c>
      <c r="H520" s="12">
        <v>2239</v>
      </c>
      <c r="I520" s="12">
        <v>1926</v>
      </c>
      <c r="J520" s="12">
        <v>313</v>
      </c>
      <c r="K520" s="10">
        <v>13.97</v>
      </c>
      <c r="L520" s="13">
        <v>2.0513622150000002</v>
      </c>
    </row>
    <row r="521" spans="1:12" x14ac:dyDescent="0.15">
      <c r="A521" s="1">
        <v>123</v>
      </c>
      <c r="B521" s="10" t="s">
        <v>206</v>
      </c>
      <c r="C521" s="11">
        <v>2017</v>
      </c>
      <c r="D521" s="12">
        <v>304595</v>
      </c>
      <c r="E521" s="12">
        <v>299012</v>
      </c>
      <c r="F521" s="12">
        <v>5583</v>
      </c>
      <c r="G521" s="13">
        <v>2.82</v>
      </c>
      <c r="H521" s="12">
        <v>109489</v>
      </c>
      <c r="I521" s="12">
        <v>106113</v>
      </c>
      <c r="J521" s="12">
        <v>3376</v>
      </c>
      <c r="K521" s="10">
        <v>3.08</v>
      </c>
      <c r="L521" s="13">
        <v>2.7309775410000001</v>
      </c>
    </row>
    <row r="522" spans="1:12" x14ac:dyDescent="0.15">
      <c r="A522" s="1">
        <v>125</v>
      </c>
      <c r="B522" s="10" t="s">
        <v>207</v>
      </c>
      <c r="C522" s="11">
        <v>2017</v>
      </c>
      <c r="D522" s="12">
        <v>9973</v>
      </c>
      <c r="E522" s="12">
        <v>9787</v>
      </c>
      <c r="F522" s="12">
        <v>186</v>
      </c>
      <c r="G522" s="13">
        <v>2.5299999999999998</v>
      </c>
      <c r="H522" s="12">
        <v>4304</v>
      </c>
      <c r="I522" s="12">
        <v>3874</v>
      </c>
      <c r="J522" s="12">
        <v>430</v>
      </c>
      <c r="K522" s="10">
        <v>9.99</v>
      </c>
      <c r="L522" s="13">
        <v>2.2739312269999998</v>
      </c>
    </row>
    <row r="523" spans="1:12" x14ac:dyDescent="0.15">
      <c r="A523" s="1">
        <v>0</v>
      </c>
      <c r="B523" s="10" t="s">
        <v>143</v>
      </c>
      <c r="C523" s="11">
        <v>2018</v>
      </c>
      <c r="D523" s="12">
        <v>5676912</v>
      </c>
      <c r="E523" s="12">
        <v>5549371</v>
      </c>
      <c r="F523" s="12">
        <v>127541</v>
      </c>
      <c r="G523" s="13">
        <v>2.5</v>
      </c>
      <c r="H523" s="12">
        <v>2418599</v>
      </c>
      <c r="I523" s="12">
        <v>2220185</v>
      </c>
      <c r="J523" s="12">
        <v>198414</v>
      </c>
      <c r="K523" s="10">
        <v>8.1999999999999993</v>
      </c>
      <c r="L523" s="13">
        <v>2.2944568319999998</v>
      </c>
    </row>
    <row r="524" spans="1:12" x14ac:dyDescent="0.15">
      <c r="A524" s="1">
        <v>1</v>
      </c>
      <c r="B524" s="10" t="s">
        <v>144</v>
      </c>
      <c r="C524" s="11">
        <v>2018</v>
      </c>
      <c r="D524" s="12">
        <v>511422</v>
      </c>
      <c r="E524" s="12">
        <v>506996</v>
      </c>
      <c r="F524" s="12">
        <v>4426</v>
      </c>
      <c r="G524" s="13">
        <v>2.88</v>
      </c>
      <c r="H524" s="12">
        <v>180056</v>
      </c>
      <c r="I524" s="12">
        <v>176173</v>
      </c>
      <c r="J524" s="12">
        <v>3883</v>
      </c>
      <c r="K524" s="10">
        <v>2.16</v>
      </c>
      <c r="L524" s="13">
        <v>2.8157684280000002</v>
      </c>
    </row>
    <row r="525" spans="1:12" x14ac:dyDescent="0.15">
      <c r="A525" s="1">
        <v>3</v>
      </c>
      <c r="B525" s="10" t="s">
        <v>145</v>
      </c>
      <c r="C525" s="11">
        <v>2018</v>
      </c>
      <c r="D525" s="12">
        <v>16184</v>
      </c>
      <c r="E525" s="12">
        <v>15319</v>
      </c>
      <c r="F525" s="12">
        <v>865</v>
      </c>
      <c r="G525" s="13">
        <v>2.4300000000000002</v>
      </c>
      <c r="H525" s="12">
        <v>6990</v>
      </c>
      <c r="I525" s="12">
        <v>6310</v>
      </c>
      <c r="J525" s="12">
        <v>680</v>
      </c>
      <c r="K525" s="10">
        <v>9.73</v>
      </c>
      <c r="L525" s="13">
        <v>2.1915593709999999</v>
      </c>
    </row>
    <row r="526" spans="1:12" x14ac:dyDescent="0.15">
      <c r="A526" s="1">
        <v>5</v>
      </c>
      <c r="B526" s="10" t="s">
        <v>146</v>
      </c>
      <c r="C526" s="11">
        <v>2018</v>
      </c>
      <c r="D526" s="12">
        <v>650167</v>
      </c>
      <c r="E526" s="12">
        <v>644993</v>
      </c>
      <c r="F526" s="12">
        <v>5174</v>
      </c>
      <c r="G526" s="13">
        <v>2.58</v>
      </c>
      <c r="H526" s="12">
        <v>257003</v>
      </c>
      <c r="I526" s="12">
        <v>249640</v>
      </c>
      <c r="J526" s="12">
        <v>7363</v>
      </c>
      <c r="K526" s="10">
        <v>2.86</v>
      </c>
      <c r="L526" s="13">
        <v>2.5096710930000001</v>
      </c>
    </row>
    <row r="527" spans="1:12" x14ac:dyDescent="0.15">
      <c r="A527" s="1">
        <v>7</v>
      </c>
      <c r="B527" s="10" t="s">
        <v>147</v>
      </c>
      <c r="C527" s="11">
        <v>2018</v>
      </c>
      <c r="D527" s="12">
        <v>13034</v>
      </c>
      <c r="E527" s="12">
        <v>12937</v>
      </c>
      <c r="F527" s="12">
        <v>97</v>
      </c>
      <c r="G527" s="13">
        <v>2.29</v>
      </c>
      <c r="H527" s="12">
        <v>9277</v>
      </c>
      <c r="I527" s="12">
        <v>5657</v>
      </c>
      <c r="J527" s="12">
        <v>3620</v>
      </c>
      <c r="K527" s="10">
        <v>39.020000000000003</v>
      </c>
      <c r="L527" s="13">
        <v>1.3945240919999999</v>
      </c>
    </row>
    <row r="528" spans="1:12" x14ac:dyDescent="0.15">
      <c r="A528" s="1">
        <v>9</v>
      </c>
      <c r="B528" s="10" t="s">
        <v>148</v>
      </c>
      <c r="C528" s="11">
        <v>2018</v>
      </c>
      <c r="D528" s="12">
        <v>3550</v>
      </c>
      <c r="E528" s="12">
        <v>3504</v>
      </c>
      <c r="F528" s="12">
        <v>46</v>
      </c>
      <c r="G528" s="13">
        <v>2.16</v>
      </c>
      <c r="H528" s="12">
        <v>1969</v>
      </c>
      <c r="I528" s="12">
        <v>1621</v>
      </c>
      <c r="J528" s="12">
        <v>348</v>
      </c>
      <c r="K528" s="10">
        <v>17.68</v>
      </c>
      <c r="L528" s="13">
        <v>1.7795835449999999</v>
      </c>
    </row>
    <row r="529" spans="1:12" x14ac:dyDescent="0.15">
      <c r="A529" s="1">
        <v>11</v>
      </c>
      <c r="B529" s="10" t="s">
        <v>149</v>
      </c>
      <c r="C529" s="11">
        <v>2018</v>
      </c>
      <c r="D529" s="12">
        <v>5984</v>
      </c>
      <c r="E529" s="12">
        <v>4052</v>
      </c>
      <c r="F529" s="12">
        <v>1932</v>
      </c>
      <c r="G529" s="13">
        <v>2.29</v>
      </c>
      <c r="H529" s="12">
        <v>2133</v>
      </c>
      <c r="I529" s="12">
        <v>1770</v>
      </c>
      <c r="J529" s="12">
        <v>363</v>
      </c>
      <c r="K529" s="10">
        <v>17.04</v>
      </c>
      <c r="L529" s="13">
        <v>1.8996718239999999</v>
      </c>
    </row>
    <row r="530" spans="1:12" x14ac:dyDescent="0.15">
      <c r="A530" s="1">
        <v>13</v>
      </c>
      <c r="B530" s="10" t="s">
        <v>150</v>
      </c>
      <c r="C530" s="11">
        <v>2018</v>
      </c>
      <c r="D530" s="12">
        <v>328055</v>
      </c>
      <c r="E530" s="12">
        <v>313643</v>
      </c>
      <c r="F530" s="12">
        <v>14412</v>
      </c>
      <c r="G530" s="13">
        <v>2.38</v>
      </c>
      <c r="H530" s="12">
        <v>136410</v>
      </c>
      <c r="I530" s="12">
        <v>131636</v>
      </c>
      <c r="J530" s="12">
        <v>4774</v>
      </c>
      <c r="K530" s="10">
        <v>3.5</v>
      </c>
      <c r="L530" s="13">
        <v>2.2992669160000001</v>
      </c>
    </row>
    <row r="531" spans="1:12" x14ac:dyDescent="0.15">
      <c r="A531" s="1">
        <v>14</v>
      </c>
      <c r="B531" s="10" t="s">
        <v>151</v>
      </c>
      <c r="C531" s="11">
        <v>2018</v>
      </c>
      <c r="D531" s="12">
        <v>71322</v>
      </c>
      <c r="E531" s="12">
        <v>70723</v>
      </c>
      <c r="F531" s="12">
        <v>599</v>
      </c>
      <c r="G531" s="13">
        <v>2.5</v>
      </c>
      <c r="H531" s="12">
        <v>30060</v>
      </c>
      <c r="I531" s="12">
        <v>28250</v>
      </c>
      <c r="J531" s="12">
        <v>1810</v>
      </c>
      <c r="K531" s="10">
        <v>6.02</v>
      </c>
      <c r="L531" s="13">
        <v>2.3527278780000001</v>
      </c>
    </row>
    <row r="532" spans="1:12" x14ac:dyDescent="0.15">
      <c r="A532" s="1">
        <v>15</v>
      </c>
      <c r="B532" s="10" t="s">
        <v>152</v>
      </c>
      <c r="C532" s="11">
        <v>2018</v>
      </c>
      <c r="D532" s="12">
        <v>19250</v>
      </c>
      <c r="E532" s="12">
        <v>17829</v>
      </c>
      <c r="F532" s="12">
        <v>1421</v>
      </c>
      <c r="G532" s="13">
        <v>2.16</v>
      </c>
      <c r="H532" s="12">
        <v>10673</v>
      </c>
      <c r="I532" s="12">
        <v>8260</v>
      </c>
      <c r="J532" s="12">
        <v>2413</v>
      </c>
      <c r="K532" s="10">
        <v>22.61</v>
      </c>
      <c r="L532" s="13">
        <v>1.670476904</v>
      </c>
    </row>
    <row r="533" spans="1:12" x14ac:dyDescent="0.15">
      <c r="A533" s="1">
        <v>17</v>
      </c>
      <c r="B533" s="10" t="s">
        <v>153</v>
      </c>
      <c r="C533" s="11">
        <v>2018</v>
      </c>
      <c r="D533" s="12">
        <v>1783</v>
      </c>
      <c r="E533" s="12">
        <v>1741</v>
      </c>
      <c r="F533" s="12">
        <v>42</v>
      </c>
      <c r="G533" s="13">
        <v>2.31</v>
      </c>
      <c r="H533" s="12">
        <v>901</v>
      </c>
      <c r="I533" s="12">
        <v>755</v>
      </c>
      <c r="J533" s="12">
        <v>146</v>
      </c>
      <c r="K533" s="10">
        <v>16.23</v>
      </c>
      <c r="L533" s="13">
        <v>1.9322974470000001</v>
      </c>
    </row>
    <row r="534" spans="1:12" x14ac:dyDescent="0.15">
      <c r="A534" s="1">
        <v>19</v>
      </c>
      <c r="B534" s="10" t="s">
        <v>154</v>
      </c>
      <c r="C534" s="11">
        <v>2018</v>
      </c>
      <c r="D534" s="12">
        <v>9385</v>
      </c>
      <c r="E534" s="12">
        <v>9260</v>
      </c>
      <c r="F534" s="12">
        <v>125</v>
      </c>
      <c r="G534" s="13">
        <v>2.13</v>
      </c>
      <c r="H534" s="12">
        <v>5602</v>
      </c>
      <c r="I534" s="12">
        <v>4353</v>
      </c>
      <c r="J534" s="12">
        <v>1249</v>
      </c>
      <c r="K534" s="10">
        <v>22.3</v>
      </c>
      <c r="L534" s="13">
        <v>1.652981078</v>
      </c>
    </row>
    <row r="535" spans="1:12" x14ac:dyDescent="0.15">
      <c r="A535" s="1">
        <v>21</v>
      </c>
      <c r="B535" s="10" t="s">
        <v>155</v>
      </c>
      <c r="C535" s="11">
        <v>2018</v>
      </c>
      <c r="D535" s="12">
        <v>7660</v>
      </c>
      <c r="E535" s="12">
        <v>7602</v>
      </c>
      <c r="F535" s="12">
        <v>58</v>
      </c>
      <c r="G535" s="13">
        <v>2.57</v>
      </c>
      <c r="H535" s="12">
        <v>3950</v>
      </c>
      <c r="I535" s="12">
        <v>2957</v>
      </c>
      <c r="J535" s="12">
        <v>993</v>
      </c>
      <c r="K535" s="10">
        <v>25.15</v>
      </c>
      <c r="L535" s="13">
        <v>1.924556962</v>
      </c>
    </row>
    <row r="536" spans="1:12" x14ac:dyDescent="0.15">
      <c r="A536" s="1">
        <v>23</v>
      </c>
      <c r="B536" s="10" t="s">
        <v>156</v>
      </c>
      <c r="C536" s="11">
        <v>2018</v>
      </c>
      <c r="D536" s="12">
        <v>3515</v>
      </c>
      <c r="E536" s="12">
        <v>3515</v>
      </c>
      <c r="F536" s="12">
        <v>0</v>
      </c>
      <c r="G536" s="13">
        <v>2.21</v>
      </c>
      <c r="H536" s="12">
        <v>2313</v>
      </c>
      <c r="I536" s="12">
        <v>1591</v>
      </c>
      <c r="J536" s="12">
        <v>722</v>
      </c>
      <c r="K536" s="10">
        <v>31.2</v>
      </c>
      <c r="L536" s="13">
        <v>1.519671422</v>
      </c>
    </row>
    <row r="537" spans="1:12" x14ac:dyDescent="0.15">
      <c r="A537" s="1">
        <v>25</v>
      </c>
      <c r="B537" s="10" t="s">
        <v>157</v>
      </c>
      <c r="C537" s="11">
        <v>2018</v>
      </c>
      <c r="D537" s="12">
        <v>5837</v>
      </c>
      <c r="E537" s="12">
        <v>3027</v>
      </c>
      <c r="F537" s="12">
        <v>2811</v>
      </c>
      <c r="G537" s="13">
        <v>2.33</v>
      </c>
      <c r="H537" s="12">
        <v>1507</v>
      </c>
      <c r="I537" s="12">
        <v>1298</v>
      </c>
      <c r="J537" s="12">
        <v>209</v>
      </c>
      <c r="K537" s="10">
        <v>13.87</v>
      </c>
      <c r="L537" s="13">
        <v>2.0086264100000002</v>
      </c>
    </row>
    <row r="538" spans="1:12" x14ac:dyDescent="0.15">
      <c r="A538" s="1">
        <v>27</v>
      </c>
      <c r="B538" s="10" t="s">
        <v>158</v>
      </c>
      <c r="C538" s="11">
        <v>2018</v>
      </c>
      <c r="D538" s="12">
        <v>4591</v>
      </c>
      <c r="E538" s="12">
        <v>4580</v>
      </c>
      <c r="F538" s="12">
        <v>12</v>
      </c>
      <c r="G538" s="13">
        <v>2.12</v>
      </c>
      <c r="H538" s="12">
        <v>4036</v>
      </c>
      <c r="I538" s="12">
        <v>2162</v>
      </c>
      <c r="J538" s="12">
        <v>1874</v>
      </c>
      <c r="K538" s="10">
        <v>46.44</v>
      </c>
      <c r="L538" s="13">
        <v>1.1347869180000001</v>
      </c>
    </row>
    <row r="539" spans="1:12" x14ac:dyDescent="0.15">
      <c r="A539" s="1">
        <v>29</v>
      </c>
      <c r="B539" s="10" t="s">
        <v>159</v>
      </c>
      <c r="C539" s="11">
        <v>2018</v>
      </c>
      <c r="D539" s="12">
        <v>31033</v>
      </c>
      <c r="E539" s="12">
        <v>30182</v>
      </c>
      <c r="F539" s="12">
        <v>851</v>
      </c>
      <c r="G539" s="13">
        <v>2.34</v>
      </c>
      <c r="H539" s="12">
        <v>14694</v>
      </c>
      <c r="I539" s="12">
        <v>12913</v>
      </c>
      <c r="J539" s="12">
        <v>1781</v>
      </c>
      <c r="K539" s="10">
        <v>12.12</v>
      </c>
      <c r="L539" s="13">
        <v>2.0540356609999999</v>
      </c>
    </row>
    <row r="540" spans="1:12" x14ac:dyDescent="0.15">
      <c r="A540" s="1">
        <v>31</v>
      </c>
      <c r="B540" s="10" t="s">
        <v>160</v>
      </c>
      <c r="C540" s="11">
        <v>2018</v>
      </c>
      <c r="D540" s="12">
        <v>702679</v>
      </c>
      <c r="E540" s="12">
        <v>686379</v>
      </c>
      <c r="F540" s="12">
        <v>16300</v>
      </c>
      <c r="G540" s="13">
        <v>2.21</v>
      </c>
      <c r="H540" s="12">
        <v>331306</v>
      </c>
      <c r="I540" s="12">
        <v>310886</v>
      </c>
      <c r="J540" s="12">
        <v>20420</v>
      </c>
      <c r="K540" s="10">
        <v>6.16</v>
      </c>
      <c r="L540" s="13">
        <v>2.0717373060000002</v>
      </c>
    </row>
    <row r="541" spans="1:12" x14ac:dyDescent="0.15">
      <c r="A541" s="1">
        <v>33</v>
      </c>
      <c r="B541" s="10" t="s">
        <v>161</v>
      </c>
      <c r="C541" s="11">
        <v>2018</v>
      </c>
      <c r="D541" s="12">
        <v>2091</v>
      </c>
      <c r="E541" s="12">
        <v>2091</v>
      </c>
      <c r="F541" s="12">
        <v>0</v>
      </c>
      <c r="G541" s="13">
        <v>2.2400000000000002</v>
      </c>
      <c r="H541" s="12">
        <v>1317</v>
      </c>
      <c r="I541" s="12">
        <v>934</v>
      </c>
      <c r="J541" s="12">
        <v>383</v>
      </c>
      <c r="K541" s="10">
        <v>29.06</v>
      </c>
      <c r="L541" s="13">
        <v>1.587699317</v>
      </c>
    </row>
    <row r="542" spans="1:12" x14ac:dyDescent="0.15">
      <c r="A542" s="1">
        <v>35</v>
      </c>
      <c r="B542" s="10" t="s">
        <v>162</v>
      </c>
      <c r="C542" s="11">
        <v>2018</v>
      </c>
      <c r="D542" s="12">
        <v>343267</v>
      </c>
      <c r="E542" s="12">
        <v>341768</v>
      </c>
      <c r="F542" s="12">
        <v>1499</v>
      </c>
      <c r="G542" s="13">
        <v>2.76</v>
      </c>
      <c r="H542" s="12">
        <v>128333</v>
      </c>
      <c r="I542" s="12">
        <v>123660</v>
      </c>
      <c r="J542" s="12">
        <v>4673</v>
      </c>
      <c r="K542" s="10">
        <v>3.64</v>
      </c>
      <c r="L542" s="13">
        <v>2.6631341900000001</v>
      </c>
    </row>
    <row r="543" spans="1:12" x14ac:dyDescent="0.15">
      <c r="A543" s="1">
        <v>37</v>
      </c>
      <c r="B543" s="10" t="s">
        <v>163</v>
      </c>
      <c r="C543" s="11">
        <v>2018</v>
      </c>
      <c r="D543" s="12">
        <v>54205</v>
      </c>
      <c r="E543" s="12">
        <v>54108</v>
      </c>
      <c r="F543" s="12">
        <v>97</v>
      </c>
      <c r="G543" s="13">
        <v>2.69</v>
      </c>
      <c r="H543" s="12">
        <v>32251</v>
      </c>
      <c r="I543" s="12">
        <v>20145</v>
      </c>
      <c r="J543" s="12">
        <v>12106</v>
      </c>
      <c r="K543" s="10">
        <v>37.54</v>
      </c>
      <c r="L543" s="13">
        <v>1.67771542</v>
      </c>
    </row>
    <row r="544" spans="1:12" x14ac:dyDescent="0.15">
      <c r="A544" s="1">
        <v>39</v>
      </c>
      <c r="B544" s="10" t="s">
        <v>164</v>
      </c>
      <c r="C544" s="11">
        <v>2018</v>
      </c>
      <c r="D544" s="12">
        <v>25366</v>
      </c>
      <c r="E544" s="12">
        <v>25296</v>
      </c>
      <c r="F544" s="12">
        <v>70</v>
      </c>
      <c r="G544" s="13">
        <v>2.77</v>
      </c>
      <c r="H544" s="12">
        <v>9463</v>
      </c>
      <c r="I544" s="12">
        <v>9142</v>
      </c>
      <c r="J544" s="12">
        <v>321</v>
      </c>
      <c r="K544" s="10">
        <v>3.39</v>
      </c>
      <c r="L544" s="13">
        <v>2.67314805</v>
      </c>
    </row>
    <row r="545" spans="1:12" x14ac:dyDescent="0.15">
      <c r="A545" s="1">
        <v>41</v>
      </c>
      <c r="B545" s="10" t="s">
        <v>165</v>
      </c>
      <c r="C545" s="11">
        <v>2018</v>
      </c>
      <c r="D545" s="12">
        <v>717812</v>
      </c>
      <c r="E545" s="12">
        <v>696781</v>
      </c>
      <c r="F545" s="12">
        <v>21031</v>
      </c>
      <c r="G545" s="13">
        <v>2.59</v>
      </c>
      <c r="H545" s="12">
        <v>280240</v>
      </c>
      <c r="I545" s="12">
        <v>268594</v>
      </c>
      <c r="J545" s="12">
        <v>11646</v>
      </c>
      <c r="K545" s="10">
        <v>4.16</v>
      </c>
      <c r="L545" s="13">
        <v>2.4863723950000001</v>
      </c>
    </row>
    <row r="546" spans="1:12" x14ac:dyDescent="0.15">
      <c r="A546" s="1">
        <v>43</v>
      </c>
      <c r="B546" s="10" t="s">
        <v>166</v>
      </c>
      <c r="C546" s="11">
        <v>2018</v>
      </c>
      <c r="D546" s="12">
        <v>47990</v>
      </c>
      <c r="E546" s="12">
        <v>39977</v>
      </c>
      <c r="F546" s="12">
        <v>8013</v>
      </c>
      <c r="G546" s="13">
        <v>2.29</v>
      </c>
      <c r="H546" s="12">
        <v>19978</v>
      </c>
      <c r="I546" s="12">
        <v>17441</v>
      </c>
      <c r="J546" s="12">
        <v>2537</v>
      </c>
      <c r="K546" s="10">
        <v>12.7</v>
      </c>
      <c r="L546" s="13">
        <v>2.0010511559999999</v>
      </c>
    </row>
    <row r="547" spans="1:12" x14ac:dyDescent="0.15">
      <c r="A547" s="1">
        <v>45</v>
      </c>
      <c r="B547" s="10" t="s">
        <v>167</v>
      </c>
      <c r="C547" s="11">
        <v>2018</v>
      </c>
      <c r="D547" s="12">
        <v>59769</v>
      </c>
      <c r="E547" s="12">
        <v>58684</v>
      </c>
      <c r="F547" s="12">
        <v>1085</v>
      </c>
      <c r="G547" s="13">
        <v>2.71</v>
      </c>
      <c r="H547" s="12">
        <v>23713</v>
      </c>
      <c r="I547" s="12">
        <v>21636</v>
      </c>
      <c r="J547" s="12">
        <v>2077</v>
      </c>
      <c r="K547" s="10">
        <v>8.76</v>
      </c>
      <c r="L547" s="13">
        <v>2.4747606800000002</v>
      </c>
    </row>
    <row r="548" spans="1:12" x14ac:dyDescent="0.15">
      <c r="A548" s="1">
        <v>47</v>
      </c>
      <c r="B548" s="10" t="s">
        <v>168</v>
      </c>
      <c r="C548" s="11">
        <v>2018</v>
      </c>
      <c r="D548" s="12">
        <v>5707</v>
      </c>
      <c r="E548" s="12">
        <v>5666</v>
      </c>
      <c r="F548" s="12">
        <v>42</v>
      </c>
      <c r="G548" s="13">
        <v>2.2000000000000002</v>
      </c>
      <c r="H548" s="12">
        <v>3461</v>
      </c>
      <c r="I548" s="12">
        <v>2570</v>
      </c>
      <c r="J548" s="12">
        <v>891</v>
      </c>
      <c r="K548" s="10">
        <v>25.74</v>
      </c>
      <c r="L548" s="13">
        <v>1.637099104</v>
      </c>
    </row>
    <row r="549" spans="1:12" x14ac:dyDescent="0.15">
      <c r="A549" s="1">
        <v>49</v>
      </c>
      <c r="B549" s="10" t="s">
        <v>169</v>
      </c>
      <c r="C549" s="11">
        <v>2018</v>
      </c>
      <c r="D549" s="12">
        <v>15268</v>
      </c>
      <c r="E549" s="12">
        <v>15065</v>
      </c>
      <c r="F549" s="12">
        <v>203</v>
      </c>
      <c r="G549" s="13">
        <v>2.2200000000000002</v>
      </c>
      <c r="H549" s="12">
        <v>16215</v>
      </c>
      <c r="I549" s="12">
        <v>6772</v>
      </c>
      <c r="J549" s="12">
        <v>9443</v>
      </c>
      <c r="K549" s="10">
        <v>58.24</v>
      </c>
      <c r="L549" s="13">
        <v>0.92907801400000001</v>
      </c>
    </row>
    <row r="550" spans="1:12" x14ac:dyDescent="0.15">
      <c r="A550" s="1">
        <v>51</v>
      </c>
      <c r="B550" s="10" t="s">
        <v>170</v>
      </c>
      <c r="C550" s="11">
        <v>2018</v>
      </c>
      <c r="D550" s="12">
        <v>16681</v>
      </c>
      <c r="E550" s="12">
        <v>15625</v>
      </c>
      <c r="F550" s="12">
        <v>1056</v>
      </c>
      <c r="G550" s="13">
        <v>2.23</v>
      </c>
      <c r="H550" s="12">
        <v>11766</v>
      </c>
      <c r="I550" s="12">
        <v>7022</v>
      </c>
      <c r="J550" s="12">
        <v>4744</v>
      </c>
      <c r="K550" s="10">
        <v>40.32</v>
      </c>
      <c r="L550" s="13">
        <v>1.327978922</v>
      </c>
    </row>
    <row r="551" spans="1:12" x14ac:dyDescent="0.15">
      <c r="A551" s="1">
        <v>53</v>
      </c>
      <c r="B551" s="10" t="s">
        <v>171</v>
      </c>
      <c r="C551" s="11">
        <v>2018</v>
      </c>
      <c r="D551" s="12">
        <v>801</v>
      </c>
      <c r="E551" s="12">
        <v>790</v>
      </c>
      <c r="F551" s="12">
        <v>11</v>
      </c>
      <c r="G551" s="13">
        <v>2.12</v>
      </c>
      <c r="H551" s="12">
        <v>1313</v>
      </c>
      <c r="I551" s="12">
        <v>373</v>
      </c>
      <c r="J551" s="12">
        <v>940</v>
      </c>
      <c r="K551" s="10">
        <v>71.58</v>
      </c>
      <c r="L551" s="13">
        <v>0.601675552</v>
      </c>
    </row>
    <row r="552" spans="1:12" x14ac:dyDescent="0.15">
      <c r="A552" s="1">
        <v>55</v>
      </c>
      <c r="B552" s="10" t="s">
        <v>172</v>
      </c>
      <c r="C552" s="11">
        <v>2018</v>
      </c>
      <c r="D552" s="12">
        <v>6758</v>
      </c>
      <c r="E552" s="12">
        <v>6642</v>
      </c>
      <c r="F552" s="12">
        <v>115</v>
      </c>
      <c r="G552" s="13">
        <v>2.1</v>
      </c>
      <c r="H552" s="12">
        <v>4637</v>
      </c>
      <c r="I552" s="12">
        <v>3165</v>
      </c>
      <c r="J552" s="12">
        <v>1472</v>
      </c>
      <c r="K552" s="10">
        <v>31.74</v>
      </c>
      <c r="L552" s="13">
        <v>1.4323916329999999</v>
      </c>
    </row>
    <row r="553" spans="1:12" x14ac:dyDescent="0.15">
      <c r="A553" s="1">
        <v>57</v>
      </c>
      <c r="B553" s="10" t="s">
        <v>173</v>
      </c>
      <c r="C553" s="11">
        <v>2018</v>
      </c>
      <c r="D553" s="12">
        <v>1379</v>
      </c>
      <c r="E553" s="12">
        <v>1377</v>
      </c>
      <c r="F553" s="12">
        <v>2</v>
      </c>
      <c r="G553" s="13">
        <v>2.11</v>
      </c>
      <c r="H553" s="12">
        <v>1179</v>
      </c>
      <c r="I553" s="12">
        <v>654</v>
      </c>
      <c r="J553" s="12">
        <v>525</v>
      </c>
      <c r="K553" s="10">
        <v>44.56</v>
      </c>
      <c r="L553" s="13">
        <v>1.1679389309999999</v>
      </c>
    </row>
    <row r="554" spans="1:12" x14ac:dyDescent="0.15">
      <c r="A554" s="1">
        <v>59</v>
      </c>
      <c r="B554" s="10" t="s">
        <v>174</v>
      </c>
      <c r="C554" s="11">
        <v>2018</v>
      </c>
      <c r="D554" s="12">
        <v>579821</v>
      </c>
      <c r="E554" s="12">
        <v>570999</v>
      </c>
      <c r="F554" s="12">
        <v>8822</v>
      </c>
      <c r="G554" s="13">
        <v>2.42</v>
      </c>
      <c r="H554" s="12">
        <v>244236</v>
      </c>
      <c r="I554" s="12">
        <v>236374</v>
      </c>
      <c r="J554" s="12">
        <v>7862</v>
      </c>
      <c r="K554" s="10">
        <v>3.22</v>
      </c>
      <c r="L554" s="13">
        <v>2.33789859</v>
      </c>
    </row>
    <row r="555" spans="1:12" x14ac:dyDescent="0.15">
      <c r="A555" s="1">
        <v>61</v>
      </c>
      <c r="B555" s="10" t="s">
        <v>175</v>
      </c>
      <c r="C555" s="11">
        <v>2018</v>
      </c>
      <c r="D555" s="12">
        <v>1442</v>
      </c>
      <c r="E555" s="12">
        <v>1412</v>
      </c>
      <c r="F555" s="12">
        <v>29</v>
      </c>
      <c r="G555" s="13">
        <v>2.39</v>
      </c>
      <c r="H555" s="12">
        <v>735</v>
      </c>
      <c r="I555" s="12">
        <v>592</v>
      </c>
      <c r="J555" s="12">
        <v>143</v>
      </c>
      <c r="K555" s="10">
        <v>19.489999999999998</v>
      </c>
      <c r="L555" s="13">
        <v>1.9210884349999999</v>
      </c>
    </row>
    <row r="556" spans="1:12" x14ac:dyDescent="0.15">
      <c r="A556" s="1">
        <v>63</v>
      </c>
      <c r="B556" s="10" t="s">
        <v>176</v>
      </c>
      <c r="C556" s="11">
        <v>2018</v>
      </c>
      <c r="D556" s="12">
        <v>7285</v>
      </c>
      <c r="E556" s="12">
        <v>6996</v>
      </c>
      <c r="F556" s="12">
        <v>289</v>
      </c>
      <c r="G556" s="13">
        <v>2.42</v>
      </c>
      <c r="H556" s="12">
        <v>3407</v>
      </c>
      <c r="I556" s="12">
        <v>2895</v>
      </c>
      <c r="J556" s="12">
        <v>512</v>
      </c>
      <c r="K556" s="10">
        <v>15.03</v>
      </c>
      <c r="L556" s="13">
        <v>2.053419431</v>
      </c>
    </row>
    <row r="557" spans="1:12" x14ac:dyDescent="0.15">
      <c r="A557" s="1">
        <v>65</v>
      </c>
      <c r="B557" s="10" t="s">
        <v>177</v>
      </c>
      <c r="C557" s="11">
        <v>2018</v>
      </c>
      <c r="D557" s="12">
        <v>7332</v>
      </c>
      <c r="E557" s="12">
        <v>7249</v>
      </c>
      <c r="F557" s="12">
        <v>83</v>
      </c>
      <c r="G557" s="13">
        <v>2.39</v>
      </c>
      <c r="H557" s="12">
        <v>4300</v>
      </c>
      <c r="I557" s="12">
        <v>3030</v>
      </c>
      <c r="J557" s="12">
        <v>1270</v>
      </c>
      <c r="K557" s="10">
        <v>29.53</v>
      </c>
      <c r="L557" s="13">
        <v>1.685813953</v>
      </c>
    </row>
    <row r="558" spans="1:12" x14ac:dyDescent="0.15">
      <c r="A558" s="1">
        <v>67</v>
      </c>
      <c r="B558" s="10" t="s">
        <v>178</v>
      </c>
      <c r="C558" s="11">
        <v>2018</v>
      </c>
      <c r="D558" s="12">
        <v>55731</v>
      </c>
      <c r="E558" s="12">
        <v>53884</v>
      </c>
      <c r="F558" s="12">
        <v>1847</v>
      </c>
      <c r="G558" s="13">
        <v>2.2999999999999998</v>
      </c>
      <c r="H558" s="12">
        <v>27670</v>
      </c>
      <c r="I558" s="12">
        <v>23380</v>
      </c>
      <c r="J558" s="12">
        <v>4290</v>
      </c>
      <c r="K558" s="10">
        <v>15.5</v>
      </c>
      <c r="L558" s="13">
        <v>1.9473798339999999</v>
      </c>
    </row>
    <row r="559" spans="1:12" x14ac:dyDescent="0.15">
      <c r="A559" s="1">
        <v>69</v>
      </c>
      <c r="B559" s="10" t="s">
        <v>179</v>
      </c>
      <c r="C559" s="11">
        <v>2018</v>
      </c>
      <c r="D559" s="12">
        <v>350661</v>
      </c>
      <c r="E559" s="12">
        <v>339773</v>
      </c>
      <c r="F559" s="12">
        <v>10888</v>
      </c>
      <c r="G559" s="13">
        <v>2.41</v>
      </c>
      <c r="H559" s="12">
        <v>152984</v>
      </c>
      <c r="I559" s="12">
        <v>140992</v>
      </c>
      <c r="J559" s="12">
        <v>11992</v>
      </c>
      <c r="K559" s="10">
        <v>7.84</v>
      </c>
      <c r="L559" s="13">
        <v>2.2209708199999998</v>
      </c>
    </row>
    <row r="560" spans="1:12" x14ac:dyDescent="0.15">
      <c r="A560" s="1">
        <v>71</v>
      </c>
      <c r="B560" s="10" t="s">
        <v>180</v>
      </c>
      <c r="C560" s="11">
        <v>2018</v>
      </c>
      <c r="D560" s="12">
        <v>14729</v>
      </c>
      <c r="E560" s="12">
        <v>13999</v>
      </c>
      <c r="F560" s="12">
        <v>730</v>
      </c>
      <c r="G560" s="13">
        <v>2.2000000000000002</v>
      </c>
      <c r="H560" s="12">
        <v>7989</v>
      </c>
      <c r="I560" s="12">
        <v>6360</v>
      </c>
      <c r="J560" s="12">
        <v>1629</v>
      </c>
      <c r="K560" s="10">
        <v>20.39</v>
      </c>
      <c r="L560" s="13">
        <v>1.7522843910000001</v>
      </c>
    </row>
    <row r="561" spans="1:12" x14ac:dyDescent="0.15">
      <c r="A561" s="1">
        <v>73</v>
      </c>
      <c r="B561" s="10" t="s">
        <v>181</v>
      </c>
      <c r="C561" s="11">
        <v>2018</v>
      </c>
      <c r="D561" s="12">
        <v>5621</v>
      </c>
      <c r="E561" s="12">
        <v>4623</v>
      </c>
      <c r="F561" s="12">
        <v>998</v>
      </c>
      <c r="G561" s="13">
        <v>2.35</v>
      </c>
      <c r="H561" s="12">
        <v>2331</v>
      </c>
      <c r="I561" s="12">
        <v>1965</v>
      </c>
      <c r="J561" s="12">
        <v>366</v>
      </c>
      <c r="K561" s="10">
        <v>15.7</v>
      </c>
      <c r="L561" s="13">
        <v>1.9832689830000001</v>
      </c>
    </row>
    <row r="562" spans="1:12" x14ac:dyDescent="0.15">
      <c r="A562" s="1">
        <v>75</v>
      </c>
      <c r="B562" s="10" t="s">
        <v>182</v>
      </c>
      <c r="C562" s="11">
        <v>2018</v>
      </c>
      <c r="D562" s="12">
        <v>21611</v>
      </c>
      <c r="E562" s="12">
        <v>18461</v>
      </c>
      <c r="F562" s="12">
        <v>3149</v>
      </c>
      <c r="G562" s="13">
        <v>2.3199999999999998</v>
      </c>
      <c r="H562" s="12">
        <v>8621</v>
      </c>
      <c r="I562" s="12">
        <v>7958</v>
      </c>
      <c r="J562" s="12">
        <v>663</v>
      </c>
      <c r="K562" s="10">
        <v>7.7</v>
      </c>
      <c r="L562" s="13">
        <v>2.1413989099999999</v>
      </c>
    </row>
    <row r="563" spans="1:12" x14ac:dyDescent="0.15">
      <c r="A563" s="1">
        <v>77</v>
      </c>
      <c r="B563" s="10" t="s">
        <v>183</v>
      </c>
      <c r="C563" s="11">
        <v>2018</v>
      </c>
      <c r="D563" s="12">
        <v>154047</v>
      </c>
      <c r="E563" s="12">
        <v>149639</v>
      </c>
      <c r="F563" s="12">
        <v>4408</v>
      </c>
      <c r="G563" s="13">
        <v>2.42</v>
      </c>
      <c r="H563" s="12">
        <v>65823</v>
      </c>
      <c r="I563" s="12">
        <v>61948</v>
      </c>
      <c r="J563" s="12">
        <v>3875</v>
      </c>
      <c r="K563" s="10">
        <v>5.89</v>
      </c>
      <c r="L563" s="13">
        <v>2.2733542990000002</v>
      </c>
    </row>
    <row r="564" spans="1:12" x14ac:dyDescent="0.15">
      <c r="A564" s="1">
        <v>79</v>
      </c>
      <c r="B564" s="10" t="s">
        <v>184</v>
      </c>
      <c r="C564" s="11">
        <v>2018</v>
      </c>
      <c r="D564" s="12">
        <v>811</v>
      </c>
      <c r="E564" s="12">
        <v>811</v>
      </c>
      <c r="F564" s="12">
        <v>0</v>
      </c>
      <c r="G564" s="13">
        <v>2.0299999999999998</v>
      </c>
      <c r="H564" s="12">
        <v>1181</v>
      </c>
      <c r="I564" s="12">
        <v>399</v>
      </c>
      <c r="J564" s="12">
        <v>782</v>
      </c>
      <c r="K564" s="10">
        <v>66.25</v>
      </c>
      <c r="L564" s="13">
        <v>0.68670618100000003</v>
      </c>
    </row>
    <row r="565" spans="1:12" x14ac:dyDescent="0.15">
      <c r="A565" s="1">
        <v>81</v>
      </c>
      <c r="B565" s="10" t="s">
        <v>185</v>
      </c>
      <c r="C565" s="11">
        <v>2018</v>
      </c>
      <c r="D565" s="12">
        <v>13291</v>
      </c>
      <c r="E565" s="12">
        <v>13175</v>
      </c>
      <c r="F565" s="12">
        <v>116</v>
      </c>
      <c r="G565" s="13">
        <v>2.4700000000000002</v>
      </c>
      <c r="H565" s="12">
        <v>6047</v>
      </c>
      <c r="I565" s="12">
        <v>5334</v>
      </c>
      <c r="J565" s="12">
        <v>713</v>
      </c>
      <c r="K565" s="10">
        <v>11.78</v>
      </c>
      <c r="L565" s="13">
        <v>2.1787663300000002</v>
      </c>
    </row>
    <row r="566" spans="1:12" x14ac:dyDescent="0.15">
      <c r="A566" s="1">
        <v>83</v>
      </c>
      <c r="B566" s="10" t="s">
        <v>186</v>
      </c>
      <c r="C566" s="11">
        <v>2018</v>
      </c>
      <c r="D566" s="12">
        <v>25612</v>
      </c>
      <c r="E566" s="12">
        <v>25333</v>
      </c>
      <c r="F566" s="12">
        <v>279</v>
      </c>
      <c r="G566" s="13">
        <v>2.37</v>
      </c>
      <c r="H566" s="12">
        <v>12132</v>
      </c>
      <c r="I566" s="12">
        <v>10678</v>
      </c>
      <c r="J566" s="12">
        <v>1454</v>
      </c>
      <c r="K566" s="10">
        <v>11.98</v>
      </c>
      <c r="L566" s="13">
        <v>2.0881140779999998</v>
      </c>
    </row>
    <row r="567" spans="1:12" x14ac:dyDescent="0.15">
      <c r="A567" s="1">
        <v>85</v>
      </c>
      <c r="B567" s="10" t="s">
        <v>187</v>
      </c>
      <c r="C567" s="11">
        <v>2018</v>
      </c>
      <c r="D567" s="12">
        <v>42084</v>
      </c>
      <c r="E567" s="12">
        <v>41447</v>
      </c>
      <c r="F567" s="12">
        <v>636</v>
      </c>
      <c r="G567" s="13">
        <v>2.42</v>
      </c>
      <c r="H567" s="12">
        <v>18372</v>
      </c>
      <c r="I567" s="12">
        <v>17149</v>
      </c>
      <c r="J567" s="12">
        <v>1223</v>
      </c>
      <c r="K567" s="10">
        <v>6.65</v>
      </c>
      <c r="L567" s="13">
        <v>2.2559873719999999</v>
      </c>
    </row>
    <row r="568" spans="1:12" x14ac:dyDescent="0.15">
      <c r="A568" s="1">
        <v>87</v>
      </c>
      <c r="B568" s="10" t="s">
        <v>188</v>
      </c>
      <c r="C568" s="11">
        <v>2018</v>
      </c>
      <c r="D568" s="12">
        <v>28933</v>
      </c>
      <c r="E568" s="12">
        <v>28449</v>
      </c>
      <c r="F568" s="12">
        <v>484</v>
      </c>
      <c r="G568" s="13">
        <v>2.73</v>
      </c>
      <c r="H568" s="12">
        <v>11251</v>
      </c>
      <c r="I568" s="12">
        <v>10414</v>
      </c>
      <c r="J568" s="12">
        <v>837</v>
      </c>
      <c r="K568" s="10">
        <v>7.44</v>
      </c>
      <c r="L568" s="13">
        <v>2.5285752380000002</v>
      </c>
    </row>
    <row r="569" spans="1:12" x14ac:dyDescent="0.15">
      <c r="A569" s="1">
        <v>89</v>
      </c>
      <c r="B569" s="10" t="s">
        <v>189</v>
      </c>
      <c r="C569" s="11">
        <v>2018</v>
      </c>
      <c r="D569" s="12">
        <v>18756</v>
      </c>
      <c r="E569" s="12">
        <v>18335</v>
      </c>
      <c r="F569" s="12">
        <v>421</v>
      </c>
      <c r="G569" s="13">
        <v>2.38</v>
      </c>
      <c r="H569" s="12">
        <v>8703</v>
      </c>
      <c r="I569" s="12">
        <v>7704</v>
      </c>
      <c r="J569" s="12">
        <v>999</v>
      </c>
      <c r="K569" s="10">
        <v>11.47</v>
      </c>
      <c r="L569" s="13">
        <v>2.1067448010000001</v>
      </c>
    </row>
    <row r="570" spans="1:12" x14ac:dyDescent="0.15">
      <c r="A570" s="1">
        <v>91</v>
      </c>
      <c r="B570" s="10" t="s">
        <v>190</v>
      </c>
      <c r="C570" s="11">
        <v>2018</v>
      </c>
      <c r="D570" s="12">
        <v>4736</v>
      </c>
      <c r="E570" s="12">
        <v>4736</v>
      </c>
      <c r="F570" s="12">
        <v>0</v>
      </c>
      <c r="G570" s="13">
        <v>2.14</v>
      </c>
      <c r="H570" s="12">
        <v>3242</v>
      </c>
      <c r="I570" s="12">
        <v>2216</v>
      </c>
      <c r="J570" s="12">
        <v>1026</v>
      </c>
      <c r="K570" s="10">
        <v>31.65</v>
      </c>
      <c r="L570" s="13">
        <v>1.46082665</v>
      </c>
    </row>
    <row r="571" spans="1:12" x14ac:dyDescent="0.15">
      <c r="A571" s="1">
        <v>93</v>
      </c>
      <c r="B571" s="10" t="s">
        <v>191</v>
      </c>
      <c r="C571" s="11">
        <v>2018</v>
      </c>
      <c r="D571" s="12">
        <v>17366</v>
      </c>
      <c r="E571" s="12">
        <v>17325</v>
      </c>
      <c r="F571" s="12">
        <v>41</v>
      </c>
      <c r="G571" s="13">
        <v>2.23</v>
      </c>
      <c r="H571" s="12">
        <v>13820</v>
      </c>
      <c r="I571" s="12">
        <v>7777</v>
      </c>
      <c r="J571" s="12">
        <v>6043</v>
      </c>
      <c r="K571" s="10">
        <v>43.73</v>
      </c>
      <c r="L571" s="13">
        <v>1.253617945</v>
      </c>
    </row>
    <row r="572" spans="1:12" x14ac:dyDescent="0.15">
      <c r="A572" s="1">
        <v>95</v>
      </c>
      <c r="B572" s="10" t="s">
        <v>192</v>
      </c>
      <c r="C572" s="11">
        <v>2018</v>
      </c>
      <c r="D572" s="12">
        <v>4515</v>
      </c>
      <c r="E572" s="12">
        <v>4447</v>
      </c>
      <c r="F572" s="12">
        <v>69</v>
      </c>
      <c r="G572" s="13">
        <v>2.44</v>
      </c>
      <c r="H572" s="12">
        <v>2010</v>
      </c>
      <c r="I572" s="12">
        <v>1819</v>
      </c>
      <c r="J572" s="12">
        <v>191</v>
      </c>
      <c r="K572" s="10">
        <v>9.48</v>
      </c>
      <c r="L572" s="13">
        <v>2.212437811</v>
      </c>
    </row>
    <row r="573" spans="1:12" x14ac:dyDescent="0.15">
      <c r="A573" s="1">
        <v>97</v>
      </c>
      <c r="B573" s="10" t="s">
        <v>193</v>
      </c>
      <c r="C573" s="11">
        <v>2018</v>
      </c>
      <c r="D573" s="12">
        <v>17643</v>
      </c>
      <c r="E573" s="12">
        <v>17571</v>
      </c>
      <c r="F573" s="12">
        <v>72</v>
      </c>
      <c r="G573" s="13">
        <v>2.14</v>
      </c>
      <c r="H573" s="12">
        <v>13107</v>
      </c>
      <c r="I573" s="12">
        <v>8203</v>
      </c>
      <c r="J573" s="12">
        <v>4904</v>
      </c>
      <c r="K573" s="10">
        <v>37.42</v>
      </c>
      <c r="L573" s="13">
        <v>1.3405813689999999</v>
      </c>
    </row>
    <row r="574" spans="1:12" x14ac:dyDescent="0.15">
      <c r="A574" s="1">
        <v>99</v>
      </c>
      <c r="B574" s="10" t="s">
        <v>194</v>
      </c>
      <c r="C574" s="11">
        <v>2018</v>
      </c>
      <c r="D574" s="12">
        <v>11971</v>
      </c>
      <c r="E574" s="12">
        <v>11614</v>
      </c>
      <c r="F574" s="12">
        <v>357</v>
      </c>
      <c r="G574" s="13">
        <v>2.44</v>
      </c>
      <c r="H574" s="12">
        <v>5436</v>
      </c>
      <c r="I574" s="12">
        <v>4766</v>
      </c>
      <c r="J574" s="12">
        <v>670</v>
      </c>
      <c r="K574" s="10">
        <v>12.33</v>
      </c>
      <c r="L574" s="13">
        <v>2.136497425</v>
      </c>
    </row>
    <row r="575" spans="1:12" x14ac:dyDescent="0.15">
      <c r="A575" s="1">
        <v>101</v>
      </c>
      <c r="B575" s="10" t="s">
        <v>195</v>
      </c>
      <c r="C575" s="11">
        <v>2018</v>
      </c>
      <c r="D575" s="12">
        <v>166686</v>
      </c>
      <c r="E575" s="12">
        <v>162731</v>
      </c>
      <c r="F575" s="12">
        <v>3955</v>
      </c>
      <c r="G575" s="13">
        <v>2.4500000000000002</v>
      </c>
      <c r="H575" s="12">
        <v>71066</v>
      </c>
      <c r="I575" s="12">
        <v>66311</v>
      </c>
      <c r="J575" s="12">
        <v>4755</v>
      </c>
      <c r="K575" s="10">
        <v>6.69</v>
      </c>
      <c r="L575" s="13">
        <v>2.289857316</v>
      </c>
    </row>
    <row r="576" spans="1:12" x14ac:dyDescent="0.15">
      <c r="A576" s="1">
        <v>103</v>
      </c>
      <c r="B576" s="10" t="s">
        <v>196</v>
      </c>
      <c r="C576" s="11">
        <v>2018</v>
      </c>
      <c r="D576" s="12">
        <v>6588</v>
      </c>
      <c r="E576" s="12">
        <v>6338</v>
      </c>
      <c r="F576" s="12">
        <v>250</v>
      </c>
      <c r="G576" s="13">
        <v>2.4300000000000002</v>
      </c>
      <c r="H576" s="12">
        <v>3252</v>
      </c>
      <c r="I576" s="12">
        <v>2607</v>
      </c>
      <c r="J576" s="12">
        <v>645</v>
      </c>
      <c r="K576" s="10">
        <v>19.850000000000001</v>
      </c>
      <c r="L576" s="13">
        <v>1.94895449</v>
      </c>
    </row>
    <row r="577" spans="1:12" x14ac:dyDescent="0.15">
      <c r="A577" s="1">
        <v>105</v>
      </c>
      <c r="B577" s="10" t="s">
        <v>197</v>
      </c>
      <c r="C577" s="11">
        <v>2018</v>
      </c>
      <c r="D577" s="12">
        <v>11644</v>
      </c>
      <c r="E577" s="12">
        <v>11498</v>
      </c>
      <c r="F577" s="12">
        <v>147</v>
      </c>
      <c r="G577" s="13">
        <v>2.4</v>
      </c>
      <c r="H577" s="12">
        <v>6483</v>
      </c>
      <c r="I577" s="12">
        <v>4790</v>
      </c>
      <c r="J577" s="12">
        <v>1693</v>
      </c>
      <c r="K577" s="10">
        <v>26.11</v>
      </c>
      <c r="L577" s="13">
        <v>1.773561623</v>
      </c>
    </row>
    <row r="578" spans="1:12" x14ac:dyDescent="0.15">
      <c r="A578" s="1">
        <v>107</v>
      </c>
      <c r="B578" s="10" t="s">
        <v>198</v>
      </c>
      <c r="C578" s="11">
        <v>2018</v>
      </c>
      <c r="D578" s="12">
        <v>24314</v>
      </c>
      <c r="E578" s="12">
        <v>23966</v>
      </c>
      <c r="F578" s="12">
        <v>348</v>
      </c>
      <c r="G578" s="13">
        <v>2.35</v>
      </c>
      <c r="H578" s="12">
        <v>16212</v>
      </c>
      <c r="I578" s="12">
        <v>10186</v>
      </c>
      <c r="J578" s="12">
        <v>6026</v>
      </c>
      <c r="K578" s="10">
        <v>37.17</v>
      </c>
      <c r="L578" s="13">
        <v>1.478287688</v>
      </c>
    </row>
    <row r="579" spans="1:12" x14ac:dyDescent="0.15">
      <c r="A579" s="1">
        <v>109</v>
      </c>
      <c r="B579" s="10" t="s">
        <v>199</v>
      </c>
      <c r="C579" s="11">
        <v>2018</v>
      </c>
      <c r="D579" s="12">
        <v>6276</v>
      </c>
      <c r="E579" s="12">
        <v>6245</v>
      </c>
      <c r="F579" s="12">
        <v>31</v>
      </c>
      <c r="G579" s="13">
        <v>2.25</v>
      </c>
      <c r="H579" s="12">
        <v>3559</v>
      </c>
      <c r="I579" s="12">
        <v>2778</v>
      </c>
      <c r="J579" s="12">
        <v>781</v>
      </c>
      <c r="K579" s="10">
        <v>21.95</v>
      </c>
      <c r="L579" s="13">
        <v>1.7547063780000001</v>
      </c>
    </row>
    <row r="580" spans="1:12" x14ac:dyDescent="0.15">
      <c r="A580" s="1">
        <v>111</v>
      </c>
      <c r="B580" s="10" t="s">
        <v>200</v>
      </c>
      <c r="C580" s="11">
        <v>2018</v>
      </c>
      <c r="D580" s="12">
        <v>703</v>
      </c>
      <c r="E580" s="12">
        <v>703</v>
      </c>
      <c r="F580" s="12">
        <v>0</v>
      </c>
      <c r="G580" s="13">
        <v>1.94</v>
      </c>
      <c r="H580" s="12">
        <v>768</v>
      </c>
      <c r="I580" s="12">
        <v>363</v>
      </c>
      <c r="J580" s="12">
        <v>405</v>
      </c>
      <c r="K580" s="10">
        <v>52.71</v>
      </c>
      <c r="L580" s="13">
        <v>0.91536458300000001</v>
      </c>
    </row>
    <row r="581" spans="1:12" x14ac:dyDescent="0.15">
      <c r="A581" s="1">
        <v>113</v>
      </c>
      <c r="B581" s="10" t="s">
        <v>201</v>
      </c>
      <c r="C581" s="11">
        <v>2018</v>
      </c>
      <c r="D581" s="12">
        <v>8154</v>
      </c>
      <c r="E581" s="12">
        <v>7901</v>
      </c>
      <c r="F581" s="12">
        <v>253</v>
      </c>
      <c r="G581" s="13">
        <v>2.2200000000000002</v>
      </c>
      <c r="H581" s="12">
        <v>6467</v>
      </c>
      <c r="I581" s="12">
        <v>3559</v>
      </c>
      <c r="J581" s="12">
        <v>2908</v>
      </c>
      <c r="K581" s="10">
        <v>44.97</v>
      </c>
      <c r="L581" s="13">
        <v>1.2217411469999999</v>
      </c>
    </row>
    <row r="582" spans="1:12" x14ac:dyDescent="0.15">
      <c r="A582" s="1">
        <v>115</v>
      </c>
      <c r="B582" s="10" t="s">
        <v>202</v>
      </c>
      <c r="C582" s="11">
        <v>2018</v>
      </c>
      <c r="D582" s="12">
        <v>2401</v>
      </c>
      <c r="E582" s="12">
        <v>2359</v>
      </c>
      <c r="F582" s="12">
        <v>41</v>
      </c>
      <c r="G582" s="13">
        <v>2.17</v>
      </c>
      <c r="H582" s="12">
        <v>1339</v>
      </c>
      <c r="I582" s="12">
        <v>1087</v>
      </c>
      <c r="J582" s="12">
        <v>252</v>
      </c>
      <c r="K582" s="10">
        <v>18.84</v>
      </c>
      <c r="L582" s="13">
        <v>1.761762509</v>
      </c>
    </row>
    <row r="583" spans="1:12" x14ac:dyDescent="0.15">
      <c r="A583" s="1">
        <v>117</v>
      </c>
      <c r="B583" s="10" t="s">
        <v>203</v>
      </c>
      <c r="C583" s="11">
        <v>2018</v>
      </c>
      <c r="D583" s="12">
        <v>31095</v>
      </c>
      <c r="E583" s="12">
        <v>30593</v>
      </c>
      <c r="F583" s="12">
        <v>502</v>
      </c>
      <c r="G583" s="13">
        <v>2.36</v>
      </c>
      <c r="H583" s="12">
        <v>30593</v>
      </c>
      <c r="I583" s="12">
        <v>12972</v>
      </c>
      <c r="J583" s="12">
        <v>17621</v>
      </c>
      <c r="K583" s="10">
        <v>57.6</v>
      </c>
      <c r="L583" s="13">
        <v>1</v>
      </c>
    </row>
    <row r="584" spans="1:12" x14ac:dyDescent="0.15">
      <c r="A584" s="1">
        <v>119</v>
      </c>
      <c r="B584" s="10" t="s">
        <v>204</v>
      </c>
      <c r="C584" s="11">
        <v>2018</v>
      </c>
      <c r="D584" s="12">
        <v>24523</v>
      </c>
      <c r="E584" s="12">
        <v>24352</v>
      </c>
      <c r="F584" s="12">
        <v>171</v>
      </c>
      <c r="G584" s="13">
        <v>2.3199999999999998</v>
      </c>
      <c r="H584" s="12">
        <v>13138</v>
      </c>
      <c r="I584" s="12">
        <v>10488</v>
      </c>
      <c r="J584" s="12">
        <v>2650</v>
      </c>
      <c r="K584" s="10">
        <v>20.170000000000002</v>
      </c>
      <c r="L584" s="13">
        <v>1.853554575</v>
      </c>
    </row>
    <row r="585" spans="1:12" x14ac:dyDescent="0.15">
      <c r="A585" s="1">
        <v>121</v>
      </c>
      <c r="B585" s="10" t="s">
        <v>205</v>
      </c>
      <c r="C585" s="11">
        <v>2018</v>
      </c>
      <c r="D585" s="12">
        <v>4812</v>
      </c>
      <c r="E585" s="12">
        <v>4612</v>
      </c>
      <c r="F585" s="12">
        <v>200</v>
      </c>
      <c r="G585" s="13">
        <v>2.39</v>
      </c>
      <c r="H585" s="12">
        <v>2249</v>
      </c>
      <c r="I585" s="12">
        <v>1928</v>
      </c>
      <c r="J585" s="12">
        <v>321</v>
      </c>
      <c r="K585" s="10">
        <v>14.26</v>
      </c>
      <c r="L585" s="13">
        <v>2.0506891949999999</v>
      </c>
    </row>
    <row r="586" spans="1:12" x14ac:dyDescent="0.15">
      <c r="A586" s="1">
        <v>123</v>
      </c>
      <c r="B586" s="10" t="s">
        <v>206</v>
      </c>
      <c r="C586" s="11">
        <v>2018</v>
      </c>
      <c r="D586" s="12">
        <v>313219</v>
      </c>
      <c r="E586" s="12">
        <v>307854</v>
      </c>
      <c r="F586" s="12">
        <v>5365</v>
      </c>
      <c r="G586" s="13">
        <v>2.83</v>
      </c>
      <c r="H586" s="12">
        <v>113019</v>
      </c>
      <c r="I586" s="12">
        <v>108956</v>
      </c>
      <c r="J586" s="12">
        <v>4063</v>
      </c>
      <c r="K586" s="10">
        <v>3.59</v>
      </c>
      <c r="L586" s="13">
        <v>2.7239136780000002</v>
      </c>
    </row>
    <row r="587" spans="1:12" x14ac:dyDescent="0.15">
      <c r="A587" s="1">
        <v>125</v>
      </c>
      <c r="B587" s="10" t="s">
        <v>207</v>
      </c>
      <c r="C587" s="11">
        <v>2018</v>
      </c>
      <c r="D587" s="12">
        <v>9955</v>
      </c>
      <c r="E587" s="12">
        <v>9789</v>
      </c>
      <c r="F587" s="12">
        <v>166</v>
      </c>
      <c r="G587" s="13">
        <v>2.5299999999999998</v>
      </c>
      <c r="H587" s="12">
        <v>4311</v>
      </c>
      <c r="I587" s="12">
        <v>3867</v>
      </c>
      <c r="J587" s="12">
        <v>444</v>
      </c>
      <c r="K587" s="10">
        <v>10.29</v>
      </c>
      <c r="L587" s="13">
        <v>2.270702853</v>
      </c>
    </row>
    <row r="588" spans="1:12" x14ac:dyDescent="0.15">
      <c r="A588" s="1">
        <v>0</v>
      </c>
      <c r="B588" s="10" t="s">
        <v>143</v>
      </c>
      <c r="C588" s="11">
        <v>2019</v>
      </c>
      <c r="D588" s="12">
        <v>5734909</v>
      </c>
      <c r="E588" s="12">
        <v>5606576</v>
      </c>
      <c r="F588" s="12">
        <v>128333</v>
      </c>
      <c r="G588" s="13">
        <v>2.5</v>
      </c>
      <c r="H588" s="12">
        <v>2460839</v>
      </c>
      <c r="I588" s="12">
        <v>2242111</v>
      </c>
      <c r="J588" s="12">
        <v>218728</v>
      </c>
      <c r="K588" s="10">
        <v>8.89</v>
      </c>
      <c r="L588" s="13">
        <v>2.2783188989999998</v>
      </c>
    </row>
    <row r="589" spans="1:12" x14ac:dyDescent="0.15">
      <c r="A589" s="1">
        <v>1</v>
      </c>
      <c r="B589" s="10" t="s">
        <v>144</v>
      </c>
      <c r="C589" s="11">
        <v>2019</v>
      </c>
      <c r="D589" s="12">
        <v>516482</v>
      </c>
      <c r="E589" s="12">
        <v>512038</v>
      </c>
      <c r="F589" s="12">
        <v>4444</v>
      </c>
      <c r="G589" s="13">
        <v>2.88</v>
      </c>
      <c r="H589" s="12">
        <v>183751</v>
      </c>
      <c r="I589" s="12">
        <v>177677</v>
      </c>
      <c r="J589" s="12">
        <v>6074</v>
      </c>
      <c r="K589" s="10">
        <v>3.31</v>
      </c>
      <c r="L589" s="13">
        <v>2.7865861949999999</v>
      </c>
    </row>
    <row r="590" spans="1:12" x14ac:dyDescent="0.15">
      <c r="A590" s="1">
        <v>3</v>
      </c>
      <c r="B590" s="10" t="s">
        <v>145</v>
      </c>
      <c r="C590" s="11">
        <v>2019</v>
      </c>
      <c r="D590" s="12">
        <v>16247</v>
      </c>
      <c r="E590" s="12">
        <v>15382</v>
      </c>
      <c r="F590" s="12">
        <v>865</v>
      </c>
      <c r="G590" s="13">
        <v>2.4300000000000002</v>
      </c>
      <c r="H590" s="12">
        <v>7026</v>
      </c>
      <c r="I590" s="12">
        <v>6343</v>
      </c>
      <c r="J590" s="12">
        <v>683</v>
      </c>
      <c r="K590" s="10">
        <v>9.7200000000000006</v>
      </c>
      <c r="L590" s="13">
        <v>2.1892968970000002</v>
      </c>
    </row>
    <row r="591" spans="1:12" x14ac:dyDescent="0.15">
      <c r="A591" s="1">
        <v>5</v>
      </c>
      <c r="B591" s="10" t="s">
        <v>146</v>
      </c>
      <c r="C591" s="11">
        <v>2019</v>
      </c>
      <c r="D591" s="12">
        <v>653804</v>
      </c>
      <c r="E591" s="12">
        <v>648519</v>
      </c>
      <c r="F591" s="12">
        <v>5285</v>
      </c>
      <c r="G591" s="13">
        <v>2.59</v>
      </c>
      <c r="H591" s="12">
        <v>259939</v>
      </c>
      <c r="I591" s="12">
        <v>250374</v>
      </c>
      <c r="J591" s="12">
        <v>9565</v>
      </c>
      <c r="K591" s="10">
        <v>3.68</v>
      </c>
      <c r="L591" s="13">
        <v>2.494889186</v>
      </c>
    </row>
    <row r="592" spans="1:12" x14ac:dyDescent="0.15">
      <c r="A592" s="1">
        <v>7</v>
      </c>
      <c r="B592" s="10" t="s">
        <v>147</v>
      </c>
      <c r="C592" s="11">
        <v>2019</v>
      </c>
      <c r="D592" s="12">
        <v>13194</v>
      </c>
      <c r="E592" s="12">
        <v>13101</v>
      </c>
      <c r="F592" s="12">
        <v>93</v>
      </c>
      <c r="G592" s="13">
        <v>2.29</v>
      </c>
      <c r="H592" s="12">
        <v>9411</v>
      </c>
      <c r="I592" s="12">
        <v>5723</v>
      </c>
      <c r="J592" s="12">
        <v>3688</v>
      </c>
      <c r="K592" s="10">
        <v>39.19</v>
      </c>
      <c r="L592" s="13">
        <v>1.392094358</v>
      </c>
    </row>
    <row r="593" spans="1:12" x14ac:dyDescent="0.15">
      <c r="A593" s="1">
        <v>9</v>
      </c>
      <c r="B593" s="10" t="s">
        <v>148</v>
      </c>
      <c r="C593" s="11">
        <v>2019</v>
      </c>
      <c r="D593" s="12">
        <v>3565</v>
      </c>
      <c r="E593" s="12">
        <v>3523</v>
      </c>
      <c r="F593" s="12">
        <v>42</v>
      </c>
      <c r="G593" s="13">
        <v>2.17</v>
      </c>
      <c r="H593" s="12">
        <v>1969</v>
      </c>
      <c r="I593" s="12">
        <v>1621</v>
      </c>
      <c r="J593" s="12">
        <v>348</v>
      </c>
      <c r="K593" s="10">
        <v>17.68</v>
      </c>
      <c r="L593" s="13">
        <v>1.7892331130000001</v>
      </c>
    </row>
    <row r="594" spans="1:12" x14ac:dyDescent="0.15">
      <c r="A594" s="1">
        <v>11</v>
      </c>
      <c r="B594" s="10" t="s">
        <v>149</v>
      </c>
      <c r="C594" s="11">
        <v>2019</v>
      </c>
      <c r="D594" s="12">
        <v>5980</v>
      </c>
      <c r="E594" s="12">
        <v>4046</v>
      </c>
      <c r="F594" s="12">
        <v>1934</v>
      </c>
      <c r="G594" s="13">
        <v>2.2799999999999998</v>
      </c>
      <c r="H594" s="12">
        <v>2135</v>
      </c>
      <c r="I594" s="12">
        <v>1772</v>
      </c>
      <c r="J594" s="12">
        <v>363</v>
      </c>
      <c r="K594" s="10">
        <v>17</v>
      </c>
      <c r="L594" s="13">
        <v>1.8950819670000001</v>
      </c>
    </row>
    <row r="595" spans="1:12" x14ac:dyDescent="0.15">
      <c r="A595" s="1">
        <v>13</v>
      </c>
      <c r="B595" s="10" t="s">
        <v>150</v>
      </c>
      <c r="C595" s="11">
        <v>2019</v>
      </c>
      <c r="D595" s="12">
        <v>328827</v>
      </c>
      <c r="E595" s="12">
        <v>314030</v>
      </c>
      <c r="F595" s="12">
        <v>14797</v>
      </c>
      <c r="G595" s="13">
        <v>2.38</v>
      </c>
      <c r="H595" s="12">
        <v>139591</v>
      </c>
      <c r="I595" s="12">
        <v>131875</v>
      </c>
      <c r="J595" s="12">
        <v>7716</v>
      </c>
      <c r="K595" s="10">
        <v>5.53</v>
      </c>
      <c r="L595" s="13">
        <v>2.2496436019999999</v>
      </c>
    </row>
    <row r="596" spans="1:12" x14ac:dyDescent="0.15">
      <c r="A596" s="1">
        <v>14</v>
      </c>
      <c r="B596" s="10" t="s">
        <v>151</v>
      </c>
      <c r="C596" s="11">
        <v>2019</v>
      </c>
      <c r="D596" s="12">
        <v>72669</v>
      </c>
      <c r="E596" s="12">
        <v>72439</v>
      </c>
      <c r="F596" s="12">
        <v>230</v>
      </c>
      <c r="G596" s="13">
        <v>2.4900000000000002</v>
      </c>
      <c r="H596" s="12">
        <v>30982</v>
      </c>
      <c r="I596" s="12">
        <v>29071</v>
      </c>
      <c r="J596" s="12">
        <v>1911</v>
      </c>
      <c r="K596" s="10">
        <v>6.17</v>
      </c>
      <c r="L596" s="13">
        <v>2.3380995420000001</v>
      </c>
    </row>
    <row r="597" spans="1:12" x14ac:dyDescent="0.15">
      <c r="A597" s="1">
        <v>15</v>
      </c>
      <c r="B597" s="10" t="s">
        <v>152</v>
      </c>
      <c r="C597" s="11">
        <v>2019</v>
      </c>
      <c r="D597" s="12">
        <v>19391</v>
      </c>
      <c r="E597" s="12">
        <v>17990</v>
      </c>
      <c r="F597" s="12">
        <v>1401</v>
      </c>
      <c r="G597" s="13">
        <v>2.16</v>
      </c>
      <c r="H597" s="12">
        <v>10806</v>
      </c>
      <c r="I597" s="12">
        <v>8332</v>
      </c>
      <c r="J597" s="12">
        <v>2474</v>
      </c>
      <c r="K597" s="10">
        <v>22.89</v>
      </c>
      <c r="L597" s="13">
        <v>1.664815843</v>
      </c>
    </row>
    <row r="598" spans="1:12" x14ac:dyDescent="0.15">
      <c r="A598" s="1">
        <v>17</v>
      </c>
      <c r="B598" s="10" t="s">
        <v>153</v>
      </c>
      <c r="C598" s="11">
        <v>2019</v>
      </c>
      <c r="D598" s="12">
        <v>1777</v>
      </c>
      <c r="E598" s="12">
        <v>1735</v>
      </c>
      <c r="F598" s="12">
        <v>42</v>
      </c>
      <c r="G598" s="13">
        <v>2.31</v>
      </c>
      <c r="H598" s="12">
        <v>905</v>
      </c>
      <c r="I598" s="12">
        <v>751</v>
      </c>
      <c r="J598" s="12">
        <v>154</v>
      </c>
      <c r="K598" s="10">
        <v>17.02</v>
      </c>
      <c r="L598" s="13">
        <v>1.917127072</v>
      </c>
    </row>
    <row r="599" spans="1:12" x14ac:dyDescent="0.15">
      <c r="A599" s="1">
        <v>19</v>
      </c>
      <c r="B599" s="10" t="s">
        <v>154</v>
      </c>
      <c r="C599" s="11">
        <v>2019</v>
      </c>
      <c r="D599" s="12">
        <v>9414</v>
      </c>
      <c r="E599" s="12">
        <v>9299</v>
      </c>
      <c r="F599" s="12">
        <v>115</v>
      </c>
      <c r="G599" s="13">
        <v>2.13</v>
      </c>
      <c r="H599" s="12">
        <v>5634</v>
      </c>
      <c r="I599" s="12">
        <v>4374</v>
      </c>
      <c r="J599" s="12">
        <v>1260</v>
      </c>
      <c r="K599" s="10">
        <v>22.36</v>
      </c>
      <c r="L599" s="13">
        <v>1.650514732</v>
      </c>
    </row>
    <row r="600" spans="1:12" x14ac:dyDescent="0.15">
      <c r="A600" s="1">
        <v>21</v>
      </c>
      <c r="B600" s="10" t="s">
        <v>155</v>
      </c>
      <c r="C600" s="11">
        <v>2019</v>
      </c>
      <c r="D600" s="12">
        <v>7551</v>
      </c>
      <c r="E600" s="12">
        <v>7490</v>
      </c>
      <c r="F600" s="12">
        <v>60</v>
      </c>
      <c r="G600" s="13">
        <v>2.56</v>
      </c>
      <c r="H600" s="12">
        <v>3978</v>
      </c>
      <c r="I600" s="12">
        <v>2922</v>
      </c>
      <c r="J600" s="12">
        <v>1056</v>
      </c>
      <c r="K600" s="10">
        <v>26.53</v>
      </c>
      <c r="L600" s="13">
        <v>1.882855706</v>
      </c>
    </row>
    <row r="601" spans="1:12" x14ac:dyDescent="0.15">
      <c r="A601" s="1">
        <v>23</v>
      </c>
      <c r="B601" s="10" t="s">
        <v>156</v>
      </c>
      <c r="C601" s="11">
        <v>2019</v>
      </c>
      <c r="D601" s="12">
        <v>3501</v>
      </c>
      <c r="E601" s="12">
        <v>3501</v>
      </c>
      <c r="F601" s="12">
        <v>0</v>
      </c>
      <c r="G601" s="13">
        <v>2.2000000000000002</v>
      </c>
      <c r="H601" s="12">
        <v>2374</v>
      </c>
      <c r="I601" s="12">
        <v>1591</v>
      </c>
      <c r="J601" s="12">
        <v>783</v>
      </c>
      <c r="K601" s="10">
        <v>33</v>
      </c>
      <c r="L601" s="13">
        <v>1.474726201</v>
      </c>
    </row>
    <row r="602" spans="1:12" x14ac:dyDescent="0.15">
      <c r="A602" s="1">
        <v>25</v>
      </c>
      <c r="B602" s="10" t="s">
        <v>157</v>
      </c>
      <c r="C602" s="11">
        <v>2019</v>
      </c>
      <c r="D602" s="12">
        <v>5840</v>
      </c>
      <c r="E602" s="12">
        <v>3013</v>
      </c>
      <c r="F602" s="12">
        <v>2827</v>
      </c>
      <c r="G602" s="13">
        <v>2.3199999999999998</v>
      </c>
      <c r="H602" s="12">
        <v>1508</v>
      </c>
      <c r="I602" s="12">
        <v>1297</v>
      </c>
      <c r="J602" s="12">
        <v>211</v>
      </c>
      <c r="K602" s="10">
        <v>13.96</v>
      </c>
      <c r="L602" s="13">
        <v>1.9980106099999999</v>
      </c>
    </row>
    <row r="603" spans="1:12" x14ac:dyDescent="0.15">
      <c r="A603" s="1">
        <v>27</v>
      </c>
      <c r="B603" s="10" t="s">
        <v>158</v>
      </c>
      <c r="C603" s="11">
        <v>2019</v>
      </c>
      <c r="D603" s="12">
        <v>4646</v>
      </c>
      <c r="E603" s="12">
        <v>4634</v>
      </c>
      <c r="F603" s="12">
        <v>11</v>
      </c>
      <c r="G603" s="13">
        <v>2.12</v>
      </c>
      <c r="H603" s="12">
        <v>4110</v>
      </c>
      <c r="I603" s="12">
        <v>2189</v>
      </c>
      <c r="J603" s="12">
        <v>1921</v>
      </c>
      <c r="K603" s="10">
        <v>46.73</v>
      </c>
      <c r="L603" s="13">
        <v>1.127493917</v>
      </c>
    </row>
    <row r="604" spans="1:12" x14ac:dyDescent="0.15">
      <c r="A604" s="1">
        <v>29</v>
      </c>
      <c r="B604" s="10" t="s">
        <v>159</v>
      </c>
      <c r="C604" s="11">
        <v>2019</v>
      </c>
      <c r="D604" s="12">
        <v>31237</v>
      </c>
      <c r="E604" s="12">
        <v>30360</v>
      </c>
      <c r="F604" s="12">
        <v>877</v>
      </c>
      <c r="G604" s="13">
        <v>2.33</v>
      </c>
      <c r="H604" s="12">
        <v>14728</v>
      </c>
      <c r="I604" s="12">
        <v>13018</v>
      </c>
      <c r="J604" s="12">
        <v>1710</v>
      </c>
      <c r="K604" s="10">
        <v>11.61</v>
      </c>
      <c r="L604" s="13">
        <v>2.0613796849999999</v>
      </c>
    </row>
    <row r="605" spans="1:12" x14ac:dyDescent="0.15">
      <c r="A605" s="1">
        <v>31</v>
      </c>
      <c r="B605" s="10" t="s">
        <v>160</v>
      </c>
      <c r="C605" s="11">
        <v>2019</v>
      </c>
      <c r="D605" s="12">
        <v>710143</v>
      </c>
      <c r="E605" s="12">
        <v>693851</v>
      </c>
      <c r="F605" s="12">
        <v>16292</v>
      </c>
      <c r="G605" s="13">
        <v>2.21</v>
      </c>
      <c r="H605" s="12">
        <v>338605</v>
      </c>
      <c r="I605" s="12">
        <v>314493</v>
      </c>
      <c r="J605" s="12">
        <v>24112</v>
      </c>
      <c r="K605" s="10">
        <v>7.12</v>
      </c>
      <c r="L605" s="13">
        <v>2.04914576</v>
      </c>
    </row>
    <row r="606" spans="1:12" x14ac:dyDescent="0.15">
      <c r="A606" s="1">
        <v>33</v>
      </c>
      <c r="B606" s="10" t="s">
        <v>161</v>
      </c>
      <c r="C606" s="11">
        <v>2019</v>
      </c>
      <c r="D606" s="12">
        <v>2085</v>
      </c>
      <c r="E606" s="12">
        <v>2085</v>
      </c>
      <c r="F606" s="12">
        <v>0</v>
      </c>
      <c r="G606" s="13">
        <v>2.23</v>
      </c>
      <c r="H606" s="12">
        <v>1318</v>
      </c>
      <c r="I606" s="12">
        <v>934</v>
      </c>
      <c r="J606" s="12">
        <v>384</v>
      </c>
      <c r="K606" s="10">
        <v>29.1</v>
      </c>
      <c r="L606" s="13">
        <v>1.5819423370000001</v>
      </c>
    </row>
    <row r="607" spans="1:12" x14ac:dyDescent="0.15">
      <c r="A607" s="1">
        <v>35</v>
      </c>
      <c r="B607" s="10" t="s">
        <v>162</v>
      </c>
      <c r="C607" s="11">
        <v>2019</v>
      </c>
      <c r="D607" s="12">
        <v>351212</v>
      </c>
      <c r="E607" s="12">
        <v>349635</v>
      </c>
      <c r="F607" s="12">
        <v>1577</v>
      </c>
      <c r="G607" s="13">
        <v>2.76</v>
      </c>
      <c r="H607" s="12">
        <v>132630</v>
      </c>
      <c r="I607" s="12">
        <v>126845</v>
      </c>
      <c r="J607" s="12">
        <v>5785</v>
      </c>
      <c r="K607" s="10">
        <v>4.3600000000000003</v>
      </c>
      <c r="L607" s="13">
        <v>2.6361682879999999</v>
      </c>
    </row>
    <row r="608" spans="1:12" x14ac:dyDescent="0.15">
      <c r="A608" s="1">
        <v>37</v>
      </c>
      <c r="B608" s="10" t="s">
        <v>163</v>
      </c>
      <c r="C608" s="11">
        <v>2019</v>
      </c>
      <c r="D608" s="12">
        <v>54819</v>
      </c>
      <c r="E608" s="12">
        <v>54717</v>
      </c>
      <c r="F608" s="12">
        <v>102</v>
      </c>
      <c r="G608" s="13">
        <v>2.68</v>
      </c>
      <c r="H608" s="12">
        <v>32626</v>
      </c>
      <c r="I608" s="12">
        <v>20395</v>
      </c>
      <c r="J608" s="12">
        <v>12231</v>
      </c>
      <c r="K608" s="10">
        <v>37.49</v>
      </c>
      <c r="L608" s="13">
        <v>1.6770980200000001</v>
      </c>
    </row>
    <row r="609" spans="1:12" x14ac:dyDescent="0.15">
      <c r="A609" s="1">
        <v>39</v>
      </c>
      <c r="B609" s="10" t="s">
        <v>164</v>
      </c>
      <c r="C609" s="11">
        <v>2019</v>
      </c>
      <c r="D609" s="12">
        <v>25667</v>
      </c>
      <c r="E609" s="12">
        <v>25597</v>
      </c>
      <c r="F609" s="12">
        <v>70</v>
      </c>
      <c r="G609" s="13">
        <v>2.77</v>
      </c>
      <c r="H609" s="12">
        <v>9673</v>
      </c>
      <c r="I609" s="12">
        <v>9242</v>
      </c>
      <c r="J609" s="12">
        <v>431</v>
      </c>
      <c r="K609" s="10">
        <v>4.46</v>
      </c>
      <c r="L609" s="13">
        <v>2.6462317789999998</v>
      </c>
    </row>
    <row r="610" spans="1:12" x14ac:dyDescent="0.15">
      <c r="A610" s="1">
        <v>41</v>
      </c>
      <c r="B610" s="10" t="s">
        <v>165</v>
      </c>
      <c r="C610" s="11">
        <v>2019</v>
      </c>
      <c r="D610" s="12">
        <v>725497</v>
      </c>
      <c r="E610" s="12">
        <v>704321</v>
      </c>
      <c r="F610" s="12">
        <v>21176</v>
      </c>
      <c r="G610" s="13">
        <v>2.6</v>
      </c>
      <c r="H610" s="12">
        <v>284340</v>
      </c>
      <c r="I610" s="12">
        <v>271000</v>
      </c>
      <c r="J610" s="12">
        <v>13340</v>
      </c>
      <c r="K610" s="10">
        <v>4.6900000000000004</v>
      </c>
      <c r="L610" s="13">
        <v>2.4770380529999998</v>
      </c>
    </row>
    <row r="611" spans="1:12" x14ac:dyDescent="0.15">
      <c r="A611" s="1">
        <v>43</v>
      </c>
      <c r="B611" s="10" t="s">
        <v>166</v>
      </c>
      <c r="C611" s="11">
        <v>2019</v>
      </c>
      <c r="D611" s="12">
        <v>48379</v>
      </c>
      <c r="E611" s="12">
        <v>40453</v>
      </c>
      <c r="F611" s="12">
        <v>7926</v>
      </c>
      <c r="G611" s="13">
        <v>2.29</v>
      </c>
      <c r="H611" s="12">
        <v>20112</v>
      </c>
      <c r="I611" s="12">
        <v>17655</v>
      </c>
      <c r="J611" s="12">
        <v>2457</v>
      </c>
      <c r="K611" s="10">
        <v>12.22</v>
      </c>
      <c r="L611" s="13">
        <v>2.011386237</v>
      </c>
    </row>
    <row r="612" spans="1:12" x14ac:dyDescent="0.15">
      <c r="A612" s="1">
        <v>45</v>
      </c>
      <c r="B612" s="10" t="s">
        <v>167</v>
      </c>
      <c r="C612" s="11">
        <v>2019</v>
      </c>
      <c r="D612" s="12">
        <v>60558</v>
      </c>
      <c r="E612" s="12">
        <v>59448</v>
      </c>
      <c r="F612" s="12">
        <v>1110</v>
      </c>
      <c r="G612" s="13">
        <v>2.71</v>
      </c>
      <c r="H612" s="12">
        <v>23891</v>
      </c>
      <c r="I612" s="12">
        <v>21931</v>
      </c>
      <c r="J612" s="12">
        <v>1960</v>
      </c>
      <c r="K612" s="10">
        <v>8.1999999999999993</v>
      </c>
      <c r="L612" s="13">
        <v>2.488301034</v>
      </c>
    </row>
    <row r="613" spans="1:12" x14ac:dyDescent="0.15">
      <c r="A613" s="1">
        <v>47</v>
      </c>
      <c r="B613" s="10" t="s">
        <v>168</v>
      </c>
      <c r="C613" s="11">
        <v>2019</v>
      </c>
      <c r="D613" s="12">
        <v>5751</v>
      </c>
      <c r="E613" s="12">
        <v>5710</v>
      </c>
      <c r="F613" s="12">
        <v>41</v>
      </c>
      <c r="G613" s="13">
        <v>2.21</v>
      </c>
      <c r="H613" s="12">
        <v>3491</v>
      </c>
      <c r="I613" s="12">
        <v>2589</v>
      </c>
      <c r="J613" s="12">
        <v>902</v>
      </c>
      <c r="K613" s="10">
        <v>25.85</v>
      </c>
      <c r="L613" s="13">
        <v>1.6356344890000001</v>
      </c>
    </row>
    <row r="614" spans="1:12" x14ac:dyDescent="0.15">
      <c r="A614" s="1">
        <v>49</v>
      </c>
      <c r="B614" s="10" t="s">
        <v>169</v>
      </c>
      <c r="C614" s="11">
        <v>2019</v>
      </c>
      <c r="D614" s="12">
        <v>15408</v>
      </c>
      <c r="E614" s="12">
        <v>15207</v>
      </c>
      <c r="F614" s="12">
        <v>200</v>
      </c>
      <c r="G614" s="13">
        <v>2.2200000000000002</v>
      </c>
      <c r="H614" s="12">
        <v>16409</v>
      </c>
      <c r="I614" s="12">
        <v>6850</v>
      </c>
      <c r="J614" s="12">
        <v>9559</v>
      </c>
      <c r="K614" s="10">
        <v>58.26</v>
      </c>
      <c r="L614" s="13">
        <v>0.92674751700000002</v>
      </c>
    </row>
    <row r="615" spans="1:12" x14ac:dyDescent="0.15">
      <c r="A615" s="1">
        <v>51</v>
      </c>
      <c r="B615" s="10" t="s">
        <v>170</v>
      </c>
      <c r="C615" s="11">
        <v>2019</v>
      </c>
      <c r="D615" s="12">
        <v>16941</v>
      </c>
      <c r="E615" s="12">
        <v>15882</v>
      </c>
      <c r="F615" s="12">
        <v>1059</v>
      </c>
      <c r="G615" s="13">
        <v>2.23</v>
      </c>
      <c r="H615" s="12">
        <v>11882</v>
      </c>
      <c r="I615" s="12">
        <v>7136</v>
      </c>
      <c r="J615" s="12">
        <v>4746</v>
      </c>
      <c r="K615" s="10">
        <v>39.94</v>
      </c>
      <c r="L615" s="13">
        <v>1.336643663</v>
      </c>
    </row>
    <row r="616" spans="1:12" x14ac:dyDescent="0.15">
      <c r="A616" s="1">
        <v>53</v>
      </c>
      <c r="B616" s="10" t="s">
        <v>171</v>
      </c>
      <c r="C616" s="11">
        <v>2019</v>
      </c>
      <c r="D616" s="12">
        <v>798</v>
      </c>
      <c r="E616" s="12">
        <v>792</v>
      </c>
      <c r="F616" s="12">
        <v>6</v>
      </c>
      <c r="G616" s="13">
        <v>2.11</v>
      </c>
      <c r="H616" s="12">
        <v>1321</v>
      </c>
      <c r="I616" s="12">
        <v>375</v>
      </c>
      <c r="J616" s="12">
        <v>946</v>
      </c>
      <c r="K616" s="10">
        <v>71.58</v>
      </c>
      <c r="L616" s="13">
        <v>0.59954579900000005</v>
      </c>
    </row>
    <row r="617" spans="1:12" x14ac:dyDescent="0.15">
      <c r="A617" s="1">
        <v>55</v>
      </c>
      <c r="B617" s="10" t="s">
        <v>172</v>
      </c>
      <c r="C617" s="11">
        <v>2019</v>
      </c>
      <c r="D617" s="12">
        <v>6778</v>
      </c>
      <c r="E617" s="12">
        <v>6669</v>
      </c>
      <c r="F617" s="12">
        <v>109</v>
      </c>
      <c r="G617" s="13">
        <v>2.1</v>
      </c>
      <c r="H617" s="12">
        <v>4674</v>
      </c>
      <c r="I617" s="12">
        <v>3176</v>
      </c>
      <c r="J617" s="12">
        <v>1498</v>
      </c>
      <c r="K617" s="10">
        <v>32.049999999999997</v>
      </c>
      <c r="L617" s="13">
        <v>1.4268292680000001</v>
      </c>
    </row>
    <row r="618" spans="1:12" x14ac:dyDescent="0.15">
      <c r="A618" s="1">
        <v>57</v>
      </c>
      <c r="B618" s="10" t="s">
        <v>173</v>
      </c>
      <c r="C618" s="11">
        <v>2019</v>
      </c>
      <c r="D618" s="12">
        <v>1379</v>
      </c>
      <c r="E618" s="12">
        <v>1377</v>
      </c>
      <c r="F618" s="12">
        <v>2</v>
      </c>
      <c r="G618" s="13">
        <v>2.1</v>
      </c>
      <c r="H618" s="12">
        <v>1186</v>
      </c>
      <c r="I618" s="12">
        <v>655</v>
      </c>
      <c r="J618" s="12">
        <v>531</v>
      </c>
      <c r="K618" s="10">
        <v>44.77</v>
      </c>
      <c r="L618" s="13">
        <v>1.1610455310000001</v>
      </c>
    </row>
    <row r="619" spans="1:12" x14ac:dyDescent="0.15">
      <c r="A619" s="1">
        <v>59</v>
      </c>
      <c r="B619" s="10" t="s">
        <v>174</v>
      </c>
      <c r="C619" s="11">
        <v>2019</v>
      </c>
      <c r="D619" s="12">
        <v>582568</v>
      </c>
      <c r="E619" s="12">
        <v>573332</v>
      </c>
      <c r="F619" s="12">
        <v>9236</v>
      </c>
      <c r="G619" s="13">
        <v>2.42</v>
      </c>
      <c r="H619" s="12">
        <v>246873</v>
      </c>
      <c r="I619" s="12">
        <v>237345</v>
      </c>
      <c r="J619" s="12">
        <v>9528</v>
      </c>
      <c r="K619" s="10">
        <v>3.86</v>
      </c>
      <c r="L619" s="13">
        <v>2.3223762830000001</v>
      </c>
    </row>
    <row r="620" spans="1:12" x14ac:dyDescent="0.15">
      <c r="A620" s="1">
        <v>61</v>
      </c>
      <c r="B620" s="10" t="s">
        <v>175</v>
      </c>
      <c r="C620" s="11">
        <v>2019</v>
      </c>
      <c r="D620" s="12">
        <v>1455</v>
      </c>
      <c r="E620" s="12">
        <v>1424</v>
      </c>
      <c r="F620" s="12">
        <v>31</v>
      </c>
      <c r="G620" s="13">
        <v>2.41</v>
      </c>
      <c r="H620" s="12">
        <v>735</v>
      </c>
      <c r="I620" s="12">
        <v>592</v>
      </c>
      <c r="J620" s="12">
        <v>143</v>
      </c>
      <c r="K620" s="10">
        <v>19.489999999999998</v>
      </c>
      <c r="L620" s="13">
        <v>1.937414966</v>
      </c>
    </row>
    <row r="621" spans="1:12" x14ac:dyDescent="0.15">
      <c r="A621" s="1">
        <v>63</v>
      </c>
      <c r="B621" s="10" t="s">
        <v>176</v>
      </c>
      <c r="C621" s="11">
        <v>2019</v>
      </c>
      <c r="D621" s="12">
        <v>7182</v>
      </c>
      <c r="E621" s="12">
        <v>6990</v>
      </c>
      <c r="F621" s="12">
        <v>191</v>
      </c>
      <c r="G621" s="13">
        <v>2.42</v>
      </c>
      <c r="H621" s="12">
        <v>3409</v>
      </c>
      <c r="I621" s="12">
        <v>2886</v>
      </c>
      <c r="J621" s="12">
        <v>523</v>
      </c>
      <c r="K621" s="10">
        <v>15.36</v>
      </c>
      <c r="L621" s="13">
        <v>2.050454679</v>
      </c>
    </row>
    <row r="622" spans="1:12" x14ac:dyDescent="0.15">
      <c r="A622" s="1">
        <v>65</v>
      </c>
      <c r="B622" s="10" t="s">
        <v>177</v>
      </c>
      <c r="C622" s="11">
        <v>2019</v>
      </c>
      <c r="D622" s="12">
        <v>7555</v>
      </c>
      <c r="E622" s="12">
        <v>7459</v>
      </c>
      <c r="F622" s="12">
        <v>96</v>
      </c>
      <c r="G622" s="13">
        <v>2.39</v>
      </c>
      <c r="H622" s="12">
        <v>4302</v>
      </c>
      <c r="I622" s="12">
        <v>3124</v>
      </c>
      <c r="J622" s="12">
        <v>1178</v>
      </c>
      <c r="K622" s="10">
        <v>27.38</v>
      </c>
      <c r="L622" s="13">
        <v>1.733844723</v>
      </c>
    </row>
    <row r="623" spans="1:12" x14ac:dyDescent="0.15">
      <c r="A623" s="1">
        <v>67</v>
      </c>
      <c r="B623" s="10" t="s">
        <v>178</v>
      </c>
      <c r="C623" s="11">
        <v>2019</v>
      </c>
      <c r="D623" s="12">
        <v>55509</v>
      </c>
      <c r="E623" s="12">
        <v>53666</v>
      </c>
      <c r="F623" s="12">
        <v>1843</v>
      </c>
      <c r="G623" s="13">
        <v>2.2999999999999998</v>
      </c>
      <c r="H623" s="12">
        <v>27983</v>
      </c>
      <c r="I623" s="12">
        <v>23346</v>
      </c>
      <c r="J623" s="12">
        <v>4637</v>
      </c>
      <c r="K623" s="10">
        <v>16.57</v>
      </c>
      <c r="L623" s="13">
        <v>1.9178072399999999</v>
      </c>
    </row>
    <row r="624" spans="1:12" x14ac:dyDescent="0.15">
      <c r="A624" s="1">
        <v>69</v>
      </c>
      <c r="B624" s="10" t="s">
        <v>179</v>
      </c>
      <c r="C624" s="11">
        <v>2019</v>
      </c>
      <c r="D624" s="12">
        <v>356800</v>
      </c>
      <c r="E624" s="12">
        <v>345762</v>
      </c>
      <c r="F624" s="12">
        <v>11038</v>
      </c>
      <c r="G624" s="13">
        <v>2.41</v>
      </c>
      <c r="H624" s="12">
        <v>156745</v>
      </c>
      <c r="I624" s="12">
        <v>143552</v>
      </c>
      <c r="J624" s="12">
        <v>13193</v>
      </c>
      <c r="K624" s="10">
        <v>8.42</v>
      </c>
      <c r="L624" s="13">
        <v>2.2058885450000001</v>
      </c>
    </row>
    <row r="625" spans="1:12" x14ac:dyDescent="0.15">
      <c r="A625" s="1">
        <v>71</v>
      </c>
      <c r="B625" s="10" t="s">
        <v>180</v>
      </c>
      <c r="C625" s="11">
        <v>2019</v>
      </c>
      <c r="D625" s="12">
        <v>14643</v>
      </c>
      <c r="E625" s="12">
        <v>13929</v>
      </c>
      <c r="F625" s="12">
        <v>714</v>
      </c>
      <c r="G625" s="13">
        <v>2.19</v>
      </c>
      <c r="H625" s="12">
        <v>8027</v>
      </c>
      <c r="I625" s="12">
        <v>6363</v>
      </c>
      <c r="J625" s="12">
        <v>1664</v>
      </c>
      <c r="K625" s="10">
        <v>20.74</v>
      </c>
      <c r="L625" s="13">
        <v>1.735268469</v>
      </c>
    </row>
    <row r="626" spans="1:12" x14ac:dyDescent="0.15">
      <c r="A626" s="1">
        <v>73</v>
      </c>
      <c r="B626" s="10" t="s">
        <v>181</v>
      </c>
      <c r="C626" s="11">
        <v>2019</v>
      </c>
      <c r="D626" s="12">
        <v>5642</v>
      </c>
      <c r="E626" s="12">
        <v>4648</v>
      </c>
      <c r="F626" s="12">
        <v>994</v>
      </c>
      <c r="G626" s="13">
        <v>2.36</v>
      </c>
      <c r="H626" s="12">
        <v>2348</v>
      </c>
      <c r="I626" s="12">
        <v>1968</v>
      </c>
      <c r="J626" s="12">
        <v>380</v>
      </c>
      <c r="K626" s="10">
        <v>16.190000000000001</v>
      </c>
      <c r="L626" s="13">
        <v>1.97955707</v>
      </c>
    </row>
    <row r="627" spans="1:12" x14ac:dyDescent="0.15">
      <c r="A627" s="1">
        <v>75</v>
      </c>
      <c r="B627" s="10" t="s">
        <v>182</v>
      </c>
      <c r="C627" s="11">
        <v>2019</v>
      </c>
      <c r="D627" s="12">
        <v>21505</v>
      </c>
      <c r="E627" s="12">
        <v>18397</v>
      </c>
      <c r="F627" s="12">
        <v>3109</v>
      </c>
      <c r="G627" s="13">
        <v>2.3199999999999998</v>
      </c>
      <c r="H627" s="12">
        <v>8650</v>
      </c>
      <c r="I627" s="12">
        <v>7937</v>
      </c>
      <c r="J627" s="12">
        <v>713</v>
      </c>
      <c r="K627" s="10">
        <v>8.24</v>
      </c>
      <c r="L627" s="13">
        <v>2.1268208089999998</v>
      </c>
    </row>
    <row r="628" spans="1:12" x14ac:dyDescent="0.15">
      <c r="A628" s="1">
        <v>77</v>
      </c>
      <c r="B628" s="10" t="s">
        <v>183</v>
      </c>
      <c r="C628" s="11">
        <v>2019</v>
      </c>
      <c r="D628" s="12">
        <v>155109</v>
      </c>
      <c r="E628" s="12">
        <v>150803</v>
      </c>
      <c r="F628" s="12">
        <v>4306</v>
      </c>
      <c r="G628" s="13">
        <v>2.41</v>
      </c>
      <c r="H628" s="12">
        <v>66587</v>
      </c>
      <c r="I628" s="12">
        <v>62582</v>
      </c>
      <c r="J628" s="12">
        <v>4005</v>
      </c>
      <c r="K628" s="10">
        <v>6.01</v>
      </c>
      <c r="L628" s="13">
        <v>2.2647513780000001</v>
      </c>
    </row>
    <row r="629" spans="1:12" x14ac:dyDescent="0.15">
      <c r="A629" s="1">
        <v>79</v>
      </c>
      <c r="B629" s="10" t="s">
        <v>184</v>
      </c>
      <c r="C629" s="11">
        <v>2019</v>
      </c>
      <c r="D629" s="12">
        <v>834</v>
      </c>
      <c r="E629" s="12">
        <v>834</v>
      </c>
      <c r="F629" s="12">
        <v>0</v>
      </c>
      <c r="G629" s="13">
        <v>2.04</v>
      </c>
      <c r="H629" s="12">
        <v>1200</v>
      </c>
      <c r="I629" s="12">
        <v>409</v>
      </c>
      <c r="J629" s="12">
        <v>791</v>
      </c>
      <c r="K629" s="10">
        <v>65.88</v>
      </c>
      <c r="L629" s="13">
        <v>0.69499999999999995</v>
      </c>
    </row>
    <row r="630" spans="1:12" x14ac:dyDescent="0.15">
      <c r="A630" s="1">
        <v>81</v>
      </c>
      <c r="B630" s="10" t="s">
        <v>185</v>
      </c>
      <c r="C630" s="11">
        <v>2019</v>
      </c>
      <c r="D630" s="12">
        <v>13364</v>
      </c>
      <c r="E630" s="12">
        <v>13247</v>
      </c>
      <c r="F630" s="12">
        <v>117</v>
      </c>
      <c r="G630" s="13">
        <v>2.4700000000000002</v>
      </c>
      <c r="H630" s="12">
        <v>6072</v>
      </c>
      <c r="I630" s="12">
        <v>5373</v>
      </c>
      <c r="J630" s="12">
        <v>699</v>
      </c>
      <c r="K630" s="10">
        <v>11.51</v>
      </c>
      <c r="L630" s="13">
        <v>2.1816534910000001</v>
      </c>
    </row>
    <row r="631" spans="1:12" x14ac:dyDescent="0.15">
      <c r="A631" s="1">
        <v>83</v>
      </c>
      <c r="B631" s="10" t="s">
        <v>186</v>
      </c>
      <c r="C631" s="11">
        <v>2019</v>
      </c>
      <c r="D631" s="12">
        <v>25731</v>
      </c>
      <c r="E631" s="12">
        <v>25447</v>
      </c>
      <c r="F631" s="12">
        <v>284</v>
      </c>
      <c r="G631" s="13">
        <v>2.37</v>
      </c>
      <c r="H631" s="12">
        <v>12224</v>
      </c>
      <c r="I631" s="12">
        <v>10742</v>
      </c>
      <c r="J631" s="12">
        <v>1482</v>
      </c>
      <c r="K631" s="10">
        <v>12.12</v>
      </c>
      <c r="L631" s="13">
        <v>2.0817244760000002</v>
      </c>
    </row>
    <row r="632" spans="1:12" x14ac:dyDescent="0.15">
      <c r="A632" s="1">
        <v>85</v>
      </c>
      <c r="B632" s="10" t="s">
        <v>187</v>
      </c>
      <c r="C632" s="11">
        <v>2019</v>
      </c>
      <c r="D632" s="12">
        <v>42501</v>
      </c>
      <c r="E632" s="12">
        <v>41852</v>
      </c>
      <c r="F632" s="12">
        <v>648</v>
      </c>
      <c r="G632" s="13">
        <v>2.41</v>
      </c>
      <c r="H632" s="12">
        <v>18735</v>
      </c>
      <c r="I632" s="12">
        <v>17365</v>
      </c>
      <c r="J632" s="12">
        <v>1370</v>
      </c>
      <c r="K632" s="10">
        <v>7.31</v>
      </c>
      <c r="L632" s="13">
        <v>2.233893782</v>
      </c>
    </row>
    <row r="633" spans="1:12" x14ac:dyDescent="0.15">
      <c r="A633" s="1">
        <v>87</v>
      </c>
      <c r="B633" s="10" t="s">
        <v>188</v>
      </c>
      <c r="C633" s="11">
        <v>2019</v>
      </c>
      <c r="D633" s="12">
        <v>29130</v>
      </c>
      <c r="E633" s="12">
        <v>28656</v>
      </c>
      <c r="F633" s="12">
        <v>474</v>
      </c>
      <c r="G633" s="13">
        <v>2.74</v>
      </c>
      <c r="H633" s="12">
        <v>11393</v>
      </c>
      <c r="I633" s="12">
        <v>10466</v>
      </c>
      <c r="J633" s="12">
        <v>927</v>
      </c>
      <c r="K633" s="10">
        <v>8.14</v>
      </c>
      <c r="L633" s="13">
        <v>2.515228649</v>
      </c>
    </row>
    <row r="634" spans="1:12" x14ac:dyDescent="0.15">
      <c r="A634" s="1">
        <v>89</v>
      </c>
      <c r="B634" s="10" t="s">
        <v>189</v>
      </c>
      <c r="C634" s="11">
        <v>2019</v>
      </c>
      <c r="D634" s="12">
        <v>18736</v>
      </c>
      <c r="E634" s="12">
        <v>18316</v>
      </c>
      <c r="F634" s="12">
        <v>420</v>
      </c>
      <c r="G634" s="13">
        <v>2.38</v>
      </c>
      <c r="H634" s="12">
        <v>8707</v>
      </c>
      <c r="I634" s="12">
        <v>7697</v>
      </c>
      <c r="J634" s="12">
        <v>1010</v>
      </c>
      <c r="K634" s="10">
        <v>11.6</v>
      </c>
      <c r="L634" s="13">
        <v>2.1035948090000001</v>
      </c>
    </row>
    <row r="635" spans="1:12" x14ac:dyDescent="0.15">
      <c r="A635" s="1">
        <v>91</v>
      </c>
      <c r="B635" s="10" t="s">
        <v>190</v>
      </c>
      <c r="C635" s="11">
        <v>2019</v>
      </c>
      <c r="D635" s="12">
        <v>4887</v>
      </c>
      <c r="E635" s="12">
        <v>4887</v>
      </c>
      <c r="F635" s="12">
        <v>0</v>
      </c>
      <c r="G635" s="13">
        <v>2.13</v>
      </c>
      <c r="H635" s="12">
        <v>3289</v>
      </c>
      <c r="I635" s="12">
        <v>2295</v>
      </c>
      <c r="J635" s="12">
        <v>994</v>
      </c>
      <c r="K635" s="10">
        <v>30.22</v>
      </c>
      <c r="L635" s="13">
        <v>1.4858619639999999</v>
      </c>
    </row>
    <row r="636" spans="1:12" x14ac:dyDescent="0.15">
      <c r="A636" s="1">
        <v>93</v>
      </c>
      <c r="B636" s="10" t="s">
        <v>191</v>
      </c>
      <c r="C636" s="11">
        <v>2019</v>
      </c>
      <c r="D636" s="12">
        <v>17511</v>
      </c>
      <c r="E636" s="12">
        <v>17476</v>
      </c>
      <c r="F636" s="12">
        <v>35</v>
      </c>
      <c r="G636" s="13">
        <v>2.23</v>
      </c>
      <c r="H636" s="12">
        <v>13992</v>
      </c>
      <c r="I636" s="12">
        <v>7853</v>
      </c>
      <c r="J636" s="12">
        <v>6139</v>
      </c>
      <c r="K636" s="10">
        <v>43.88</v>
      </c>
      <c r="L636" s="13">
        <v>1.2489994280000001</v>
      </c>
    </row>
    <row r="637" spans="1:12" x14ac:dyDescent="0.15">
      <c r="A637" s="1">
        <v>95</v>
      </c>
      <c r="B637" s="10" t="s">
        <v>192</v>
      </c>
      <c r="C637" s="11">
        <v>2019</v>
      </c>
      <c r="D637" s="12">
        <v>4521</v>
      </c>
      <c r="E637" s="12">
        <v>4451</v>
      </c>
      <c r="F637" s="12">
        <v>70</v>
      </c>
      <c r="G637" s="13">
        <v>2.4500000000000002</v>
      </c>
      <c r="H637" s="12">
        <v>2021</v>
      </c>
      <c r="I637" s="12">
        <v>1818</v>
      </c>
      <c r="J637" s="12">
        <v>203</v>
      </c>
      <c r="K637" s="10">
        <v>10.06</v>
      </c>
      <c r="L637" s="13">
        <v>2.2023750620000002</v>
      </c>
    </row>
    <row r="638" spans="1:12" x14ac:dyDescent="0.15">
      <c r="A638" s="1">
        <v>97</v>
      </c>
      <c r="B638" s="10" t="s">
        <v>193</v>
      </c>
      <c r="C638" s="11">
        <v>2019</v>
      </c>
      <c r="D638" s="12">
        <v>17413</v>
      </c>
      <c r="E638" s="12">
        <v>17341</v>
      </c>
      <c r="F638" s="12">
        <v>72</v>
      </c>
      <c r="G638" s="13">
        <v>2.15</v>
      </c>
      <c r="H638" s="12">
        <v>13183</v>
      </c>
      <c r="I638" s="12">
        <v>8073</v>
      </c>
      <c r="J638" s="12">
        <v>5110</v>
      </c>
      <c r="K638" s="10">
        <v>38.76</v>
      </c>
      <c r="L638" s="13">
        <v>1.3154062049999999</v>
      </c>
    </row>
    <row r="639" spans="1:12" x14ac:dyDescent="0.15">
      <c r="A639" s="1">
        <v>99</v>
      </c>
      <c r="B639" s="10" t="s">
        <v>194</v>
      </c>
      <c r="C639" s="11">
        <v>2019</v>
      </c>
      <c r="D639" s="12">
        <v>12011</v>
      </c>
      <c r="E639" s="12">
        <v>11648</v>
      </c>
      <c r="F639" s="12">
        <v>363</v>
      </c>
      <c r="G639" s="13">
        <v>2.4300000000000002</v>
      </c>
      <c r="H639" s="12">
        <v>5433</v>
      </c>
      <c r="I639" s="12">
        <v>4794</v>
      </c>
      <c r="J639" s="12">
        <v>639</v>
      </c>
      <c r="K639" s="10">
        <v>11.76</v>
      </c>
      <c r="L639" s="13">
        <v>2.1439352110000001</v>
      </c>
    </row>
    <row r="640" spans="1:12" x14ac:dyDescent="0.15">
      <c r="A640" s="1">
        <v>101</v>
      </c>
      <c r="B640" s="10" t="s">
        <v>195</v>
      </c>
      <c r="C640" s="11">
        <v>2019</v>
      </c>
      <c r="D640" s="12">
        <v>167485</v>
      </c>
      <c r="E640" s="12">
        <v>163539</v>
      </c>
      <c r="F640" s="12">
        <v>3946</v>
      </c>
      <c r="G640" s="13">
        <v>2.4500000000000002</v>
      </c>
      <c r="H640" s="12">
        <v>71576</v>
      </c>
      <c r="I640" s="12">
        <v>66652</v>
      </c>
      <c r="J640" s="12">
        <v>4924</v>
      </c>
      <c r="K640" s="10">
        <v>6.88</v>
      </c>
      <c r="L640" s="13">
        <v>2.2848301110000002</v>
      </c>
    </row>
    <row r="641" spans="1:12" x14ac:dyDescent="0.15">
      <c r="A641" s="1">
        <v>103</v>
      </c>
      <c r="B641" s="10" t="s">
        <v>196</v>
      </c>
      <c r="C641" s="11">
        <v>2019</v>
      </c>
      <c r="D641" s="12">
        <v>6528</v>
      </c>
      <c r="E641" s="12">
        <v>6328</v>
      </c>
      <c r="F641" s="12">
        <v>200</v>
      </c>
      <c r="G641" s="13">
        <v>2.4300000000000002</v>
      </c>
      <c r="H641" s="12">
        <v>3269</v>
      </c>
      <c r="I641" s="12">
        <v>2602</v>
      </c>
      <c r="J641" s="12">
        <v>667</v>
      </c>
      <c r="K641" s="10">
        <v>20.39</v>
      </c>
      <c r="L641" s="13">
        <v>1.9357601710000001</v>
      </c>
    </row>
    <row r="642" spans="1:12" x14ac:dyDescent="0.15">
      <c r="A642" s="1">
        <v>105</v>
      </c>
      <c r="B642" s="10" t="s">
        <v>197</v>
      </c>
      <c r="C642" s="11">
        <v>2019</v>
      </c>
      <c r="D642" s="12">
        <v>11600</v>
      </c>
      <c r="E642" s="12">
        <v>11459</v>
      </c>
      <c r="F642" s="12">
        <v>140</v>
      </c>
      <c r="G642" s="13">
        <v>2.39</v>
      </c>
      <c r="H642" s="12">
        <v>6506</v>
      </c>
      <c r="I642" s="12">
        <v>4791</v>
      </c>
      <c r="J642" s="12">
        <v>1715</v>
      </c>
      <c r="K642" s="10">
        <v>26.37</v>
      </c>
      <c r="L642" s="13">
        <v>1.761297264</v>
      </c>
    </row>
    <row r="643" spans="1:12" x14ac:dyDescent="0.15">
      <c r="A643" s="1">
        <v>107</v>
      </c>
      <c r="B643" s="10" t="s">
        <v>198</v>
      </c>
      <c r="C643" s="11">
        <v>2019</v>
      </c>
      <c r="D643" s="12">
        <v>24521</v>
      </c>
      <c r="E643" s="12">
        <v>24171</v>
      </c>
      <c r="F643" s="12">
        <v>349</v>
      </c>
      <c r="G643" s="13">
        <v>2.35</v>
      </c>
      <c r="H643" s="12">
        <v>16369</v>
      </c>
      <c r="I643" s="12">
        <v>10268</v>
      </c>
      <c r="J643" s="12">
        <v>6101</v>
      </c>
      <c r="K643" s="10">
        <v>37.270000000000003</v>
      </c>
      <c r="L643" s="13">
        <v>1.4766326590000001</v>
      </c>
    </row>
    <row r="644" spans="1:12" x14ac:dyDescent="0.15">
      <c r="A644" s="1">
        <v>109</v>
      </c>
      <c r="B644" s="10" t="s">
        <v>199</v>
      </c>
      <c r="C644" s="11">
        <v>2019</v>
      </c>
      <c r="D644" s="12">
        <v>6359</v>
      </c>
      <c r="E644" s="12">
        <v>6327</v>
      </c>
      <c r="F644" s="12">
        <v>32</v>
      </c>
      <c r="G644" s="13">
        <v>2.2400000000000002</v>
      </c>
      <c r="H644" s="12">
        <v>3679</v>
      </c>
      <c r="I644" s="12">
        <v>2824</v>
      </c>
      <c r="J644" s="12">
        <v>855</v>
      </c>
      <c r="K644" s="10">
        <v>23.25</v>
      </c>
      <c r="L644" s="13">
        <v>1.7197608049999999</v>
      </c>
    </row>
    <row r="645" spans="1:12" x14ac:dyDescent="0.15">
      <c r="A645" s="1">
        <v>111</v>
      </c>
      <c r="B645" s="10" t="s">
        <v>200</v>
      </c>
      <c r="C645" s="11">
        <v>2019</v>
      </c>
      <c r="D645" s="12">
        <v>705</v>
      </c>
      <c r="E645" s="12">
        <v>705</v>
      </c>
      <c r="F645" s="12">
        <v>0</v>
      </c>
      <c r="G645" s="13">
        <v>1.92</v>
      </c>
      <c r="H645" s="12">
        <v>775</v>
      </c>
      <c r="I645" s="12">
        <v>367</v>
      </c>
      <c r="J645" s="12">
        <v>408</v>
      </c>
      <c r="K645" s="10">
        <v>52.7</v>
      </c>
      <c r="L645" s="13">
        <v>0.90967741899999999</v>
      </c>
    </row>
    <row r="646" spans="1:12" x14ac:dyDescent="0.15">
      <c r="A646" s="1">
        <v>113</v>
      </c>
      <c r="B646" s="10" t="s">
        <v>201</v>
      </c>
      <c r="C646" s="11">
        <v>2019</v>
      </c>
      <c r="D646" s="12">
        <v>8123</v>
      </c>
      <c r="E646" s="12">
        <v>7977</v>
      </c>
      <c r="F646" s="12">
        <v>146</v>
      </c>
      <c r="G646" s="13">
        <v>2.23</v>
      </c>
      <c r="H646" s="12">
        <v>6512</v>
      </c>
      <c r="I646" s="12">
        <v>3575</v>
      </c>
      <c r="J646" s="12">
        <v>2937</v>
      </c>
      <c r="K646" s="10">
        <v>45.1</v>
      </c>
      <c r="L646" s="13">
        <v>1.224969287</v>
      </c>
    </row>
    <row r="647" spans="1:12" x14ac:dyDescent="0.15">
      <c r="A647" s="1">
        <v>115</v>
      </c>
      <c r="B647" s="10" t="s">
        <v>202</v>
      </c>
      <c r="C647" s="11">
        <v>2019</v>
      </c>
      <c r="D647" s="12">
        <v>2405</v>
      </c>
      <c r="E647" s="12">
        <v>2363</v>
      </c>
      <c r="F647" s="12">
        <v>42</v>
      </c>
      <c r="G647" s="13">
        <v>2.17</v>
      </c>
      <c r="H647" s="12">
        <v>1341</v>
      </c>
      <c r="I647" s="12">
        <v>1087</v>
      </c>
      <c r="J647" s="12">
        <v>254</v>
      </c>
      <c r="K647" s="10">
        <v>18.95</v>
      </c>
      <c r="L647" s="13">
        <v>1.7621178230000001</v>
      </c>
    </row>
    <row r="648" spans="1:12" x14ac:dyDescent="0.15">
      <c r="A648" s="1">
        <v>117</v>
      </c>
      <c r="B648" s="10" t="s">
        <v>203</v>
      </c>
      <c r="C648" s="11">
        <v>2019</v>
      </c>
      <c r="D648" s="12">
        <v>31190</v>
      </c>
      <c r="E648" s="12">
        <v>30660</v>
      </c>
      <c r="F648" s="12">
        <v>530</v>
      </c>
      <c r="G648" s="13">
        <v>2.36</v>
      </c>
      <c r="H648" s="12">
        <v>31123</v>
      </c>
      <c r="I648" s="12">
        <v>13000</v>
      </c>
      <c r="J648" s="12">
        <v>18123</v>
      </c>
      <c r="K648" s="10">
        <v>58.23</v>
      </c>
      <c r="L648" s="13">
        <v>0.98512354199999996</v>
      </c>
    </row>
    <row r="649" spans="1:12" x14ac:dyDescent="0.15">
      <c r="A649" s="1">
        <v>119</v>
      </c>
      <c r="B649" s="10" t="s">
        <v>204</v>
      </c>
      <c r="C649" s="11">
        <v>2019</v>
      </c>
      <c r="D649" s="12">
        <v>24679</v>
      </c>
      <c r="E649" s="12">
        <v>24503</v>
      </c>
      <c r="F649" s="12">
        <v>176</v>
      </c>
      <c r="G649" s="13">
        <v>2.3199999999999998</v>
      </c>
      <c r="H649" s="12">
        <v>13254</v>
      </c>
      <c r="I649" s="12">
        <v>10579</v>
      </c>
      <c r="J649" s="12">
        <v>2675</v>
      </c>
      <c r="K649" s="10">
        <v>20.18</v>
      </c>
      <c r="L649" s="13">
        <v>1.8487249130000001</v>
      </c>
    </row>
    <row r="650" spans="1:12" x14ac:dyDescent="0.15">
      <c r="A650" s="1">
        <v>121</v>
      </c>
      <c r="B650" s="10" t="s">
        <v>205</v>
      </c>
      <c r="C650" s="11">
        <v>2019</v>
      </c>
      <c r="D650" s="12">
        <v>4826</v>
      </c>
      <c r="E650" s="12">
        <v>4635</v>
      </c>
      <c r="F650" s="12">
        <v>191</v>
      </c>
      <c r="G650" s="13">
        <v>2.4</v>
      </c>
      <c r="H650" s="12">
        <v>2268</v>
      </c>
      <c r="I650" s="12">
        <v>1933</v>
      </c>
      <c r="J650" s="12">
        <v>335</v>
      </c>
      <c r="K650" s="10">
        <v>14.78</v>
      </c>
      <c r="L650" s="13">
        <v>2.0436507939999999</v>
      </c>
    </row>
    <row r="651" spans="1:12" x14ac:dyDescent="0.15">
      <c r="A651" s="1">
        <v>123</v>
      </c>
      <c r="B651" s="10" t="s">
        <v>206</v>
      </c>
      <c r="C651" s="11">
        <v>2019</v>
      </c>
      <c r="D651" s="12">
        <v>322335</v>
      </c>
      <c r="E651" s="12">
        <v>316706</v>
      </c>
      <c r="F651" s="12">
        <v>5629</v>
      </c>
      <c r="G651" s="13">
        <v>2.83</v>
      </c>
      <c r="H651" s="12">
        <v>116937</v>
      </c>
      <c r="I651" s="12">
        <v>111787</v>
      </c>
      <c r="J651" s="12">
        <v>5150</v>
      </c>
      <c r="K651" s="10">
        <v>4.4000000000000004</v>
      </c>
      <c r="L651" s="13">
        <v>2.7083472300000002</v>
      </c>
    </row>
    <row r="652" spans="1:12" x14ac:dyDescent="0.15">
      <c r="A652" s="1">
        <v>125</v>
      </c>
      <c r="B652" s="10" t="s">
        <v>207</v>
      </c>
      <c r="C652" s="11">
        <v>2019</v>
      </c>
      <c r="D652" s="12">
        <v>10010</v>
      </c>
      <c r="E652" s="12">
        <v>9793</v>
      </c>
      <c r="F652" s="12">
        <v>217</v>
      </c>
      <c r="G652" s="13">
        <v>2.54</v>
      </c>
      <c r="H652" s="12">
        <v>4317</v>
      </c>
      <c r="I652" s="12">
        <v>3862</v>
      </c>
      <c r="J652" s="12">
        <v>455</v>
      </c>
      <c r="K652" s="10">
        <v>10.55</v>
      </c>
      <c r="L652" s="13">
        <v>2.2684734770000001</v>
      </c>
    </row>
    <row r="653" spans="1:12" x14ac:dyDescent="0.15">
      <c r="A653" s="1">
        <v>0</v>
      </c>
      <c r="B653" s="10" t="s">
        <v>143</v>
      </c>
      <c r="C653" s="11">
        <v>2020</v>
      </c>
      <c r="D653" s="12">
        <v>5784584</v>
      </c>
      <c r="E653" s="12">
        <v>5659934</v>
      </c>
      <c r="F653" s="12">
        <v>124650</v>
      </c>
      <c r="H653" s="12">
        <v>2501178</v>
      </c>
      <c r="L653" s="13">
        <v>2.2629073179999999</v>
      </c>
    </row>
    <row r="654" spans="1:12" x14ac:dyDescent="0.15">
      <c r="A654" s="1">
        <v>1</v>
      </c>
      <c r="B654" s="10" t="s">
        <v>144</v>
      </c>
      <c r="C654" s="11">
        <v>2020</v>
      </c>
      <c r="D654" s="12">
        <v>520433</v>
      </c>
      <c r="E654" s="12">
        <v>515957</v>
      </c>
      <c r="F654" s="12">
        <v>4476</v>
      </c>
      <c r="H654" s="12">
        <v>187288</v>
      </c>
      <c r="L654" s="13">
        <v>2.7548855240000001</v>
      </c>
    </row>
    <row r="655" spans="1:12" x14ac:dyDescent="0.15">
      <c r="A655" s="1">
        <v>3</v>
      </c>
      <c r="B655" s="10" t="s">
        <v>145</v>
      </c>
      <c r="C655" s="11">
        <v>2020</v>
      </c>
      <c r="D655" s="12">
        <v>16371</v>
      </c>
      <c r="E655" s="12">
        <v>15411</v>
      </c>
      <c r="F655" s="12">
        <v>960</v>
      </c>
      <c r="H655" s="12">
        <v>7072</v>
      </c>
      <c r="L655" s="13">
        <v>2.1791572399999999</v>
      </c>
    </row>
    <row r="656" spans="1:12" x14ac:dyDescent="0.15">
      <c r="A656" s="1">
        <v>5</v>
      </c>
      <c r="B656" s="10" t="s">
        <v>146</v>
      </c>
      <c r="C656" s="11">
        <v>2020</v>
      </c>
      <c r="D656" s="12">
        <v>655212</v>
      </c>
      <c r="E656" s="12">
        <v>649825</v>
      </c>
      <c r="F656" s="12">
        <v>5387</v>
      </c>
      <c r="H656" s="12">
        <v>263241</v>
      </c>
      <c r="L656" s="13">
        <v>2.4685554299999999</v>
      </c>
    </row>
    <row r="657" spans="1:12" x14ac:dyDescent="0.15">
      <c r="A657" s="1">
        <v>7</v>
      </c>
      <c r="B657" s="10" t="s">
        <v>147</v>
      </c>
      <c r="C657" s="11">
        <v>2020</v>
      </c>
      <c r="D657" s="12">
        <v>13428</v>
      </c>
      <c r="E657" s="12">
        <v>13330</v>
      </c>
      <c r="F657" s="12">
        <v>98</v>
      </c>
      <c r="H657" s="12">
        <v>9537</v>
      </c>
      <c r="L657" s="13">
        <v>1.3977141660000001</v>
      </c>
    </row>
    <row r="658" spans="1:12" x14ac:dyDescent="0.15">
      <c r="A658" s="1">
        <v>9</v>
      </c>
      <c r="B658" s="10" t="s">
        <v>148</v>
      </c>
      <c r="C658" s="11">
        <v>2020</v>
      </c>
      <c r="D658" s="12">
        <v>3478</v>
      </c>
      <c r="E658" s="12">
        <v>3424</v>
      </c>
      <c r="F658" s="12">
        <v>54</v>
      </c>
      <c r="H658" s="12">
        <v>1972</v>
      </c>
      <c r="L658" s="13">
        <v>1.7363083159999999</v>
      </c>
    </row>
    <row r="659" spans="1:12" x14ac:dyDescent="0.15">
      <c r="A659" s="1">
        <v>11</v>
      </c>
      <c r="B659" s="10" t="s">
        <v>149</v>
      </c>
      <c r="C659" s="11">
        <v>2020</v>
      </c>
      <c r="D659" s="12">
        <v>5477</v>
      </c>
      <c r="E659" s="12">
        <v>4071</v>
      </c>
      <c r="F659" s="12">
        <v>1406</v>
      </c>
      <c r="H659" s="12">
        <v>2136</v>
      </c>
      <c r="L659" s="13">
        <v>1.905898876</v>
      </c>
    </row>
    <row r="660" spans="1:12" x14ac:dyDescent="0.15">
      <c r="A660" s="1">
        <v>13</v>
      </c>
      <c r="B660" s="10" t="s">
        <v>150</v>
      </c>
      <c r="C660" s="11">
        <v>2020</v>
      </c>
      <c r="D660" s="12">
        <v>330923</v>
      </c>
      <c r="E660" s="12">
        <v>315633</v>
      </c>
      <c r="F660" s="12">
        <v>15290</v>
      </c>
      <c r="H660" s="12">
        <v>141291</v>
      </c>
      <c r="L660" s="13">
        <v>2.2339214809999999</v>
      </c>
    </row>
    <row r="661" spans="1:12" x14ac:dyDescent="0.15">
      <c r="A661" s="1">
        <v>14</v>
      </c>
      <c r="B661" s="10" t="s">
        <v>151</v>
      </c>
      <c r="C661" s="11">
        <v>2020</v>
      </c>
      <c r="D661" s="12">
        <v>74494</v>
      </c>
      <c r="E661" s="12">
        <v>74013</v>
      </c>
      <c r="F661" s="12">
        <v>481</v>
      </c>
      <c r="H661" s="12">
        <v>31463</v>
      </c>
      <c r="L661" s="13">
        <v>2.3523821630000001</v>
      </c>
    </row>
    <row r="662" spans="1:12" x14ac:dyDescent="0.15">
      <c r="A662" s="1">
        <v>15</v>
      </c>
      <c r="B662" s="10" t="s">
        <v>152</v>
      </c>
      <c r="C662" s="11">
        <v>2020</v>
      </c>
      <c r="D662" s="12">
        <v>19478</v>
      </c>
      <c r="E662" s="12">
        <v>18247</v>
      </c>
      <c r="F662" s="12">
        <v>1231</v>
      </c>
      <c r="H662" s="12">
        <v>10993</v>
      </c>
      <c r="L662" s="13">
        <v>1.659874466</v>
      </c>
    </row>
    <row r="663" spans="1:12" x14ac:dyDescent="0.15">
      <c r="A663" s="1">
        <v>17</v>
      </c>
      <c r="B663" s="10" t="s">
        <v>153</v>
      </c>
      <c r="C663" s="11">
        <v>2020</v>
      </c>
      <c r="D663" s="12">
        <v>1744</v>
      </c>
      <c r="E663" s="12">
        <v>1722</v>
      </c>
      <c r="F663" s="12">
        <v>22</v>
      </c>
      <c r="H663" s="12">
        <v>929</v>
      </c>
      <c r="L663" s="13">
        <v>1.853606028</v>
      </c>
    </row>
    <row r="664" spans="1:12" x14ac:dyDescent="0.15">
      <c r="A664" s="1">
        <v>19</v>
      </c>
      <c r="B664" s="10" t="s">
        <v>154</v>
      </c>
      <c r="C664" s="11">
        <v>2020</v>
      </c>
      <c r="D664" s="12">
        <v>9397</v>
      </c>
      <c r="E664" s="12">
        <v>9315</v>
      </c>
      <c r="F664" s="12">
        <v>82</v>
      </c>
      <c r="H664" s="12">
        <v>5688</v>
      </c>
      <c r="L664" s="13">
        <v>1.637658228</v>
      </c>
    </row>
    <row r="665" spans="1:12" x14ac:dyDescent="0.15">
      <c r="A665" s="1">
        <v>21</v>
      </c>
      <c r="B665" s="10" t="s">
        <v>155</v>
      </c>
      <c r="C665" s="11">
        <v>2020</v>
      </c>
      <c r="D665" s="12">
        <v>7454</v>
      </c>
      <c r="E665" s="12">
        <v>7395</v>
      </c>
      <c r="F665" s="12">
        <v>59</v>
      </c>
      <c r="H665" s="12">
        <v>4009</v>
      </c>
      <c r="L665" s="13">
        <v>1.844599651</v>
      </c>
    </row>
    <row r="666" spans="1:12" x14ac:dyDescent="0.15">
      <c r="A666" s="1">
        <v>23</v>
      </c>
      <c r="B666" s="10" t="s">
        <v>156</v>
      </c>
      <c r="C666" s="11">
        <v>2020</v>
      </c>
      <c r="D666" s="12">
        <v>3503</v>
      </c>
      <c r="E666" s="12">
        <v>3491</v>
      </c>
      <c r="F666" s="12">
        <v>12</v>
      </c>
      <c r="H666" s="12">
        <v>2424</v>
      </c>
      <c r="L666" s="13">
        <v>1.4401815179999999</v>
      </c>
    </row>
    <row r="667" spans="1:12" x14ac:dyDescent="0.15">
      <c r="A667" s="1">
        <v>25</v>
      </c>
      <c r="B667" s="10" t="s">
        <v>157</v>
      </c>
      <c r="C667" s="11">
        <v>2020</v>
      </c>
      <c r="D667" s="12">
        <v>5696</v>
      </c>
      <c r="E667" s="12">
        <v>3022</v>
      </c>
      <c r="F667" s="12">
        <v>2674</v>
      </c>
      <c r="H667" s="12">
        <v>1509</v>
      </c>
      <c r="L667" s="13">
        <v>2.002650762</v>
      </c>
    </row>
    <row r="668" spans="1:12" x14ac:dyDescent="0.15">
      <c r="A668" s="1">
        <v>27</v>
      </c>
      <c r="B668" s="10" t="s">
        <v>158</v>
      </c>
      <c r="C668" s="11">
        <v>2020</v>
      </c>
      <c r="D668" s="12">
        <v>4720</v>
      </c>
      <c r="E668" s="12">
        <v>4717</v>
      </c>
      <c r="F668" s="12">
        <v>3</v>
      </c>
      <c r="H668" s="12">
        <v>4198</v>
      </c>
      <c r="L668" s="13">
        <v>1.1236303000000001</v>
      </c>
    </row>
    <row r="669" spans="1:12" x14ac:dyDescent="0.15">
      <c r="A669" s="1">
        <v>29</v>
      </c>
      <c r="B669" s="10" t="s">
        <v>159</v>
      </c>
      <c r="C669" s="11">
        <v>2020</v>
      </c>
      <c r="D669" s="12">
        <v>31052</v>
      </c>
      <c r="E669" s="12">
        <v>30486</v>
      </c>
      <c r="F669" s="12">
        <v>566</v>
      </c>
      <c r="H669" s="12">
        <v>14794</v>
      </c>
      <c r="L669" s="13">
        <v>2.0607002840000002</v>
      </c>
    </row>
    <row r="670" spans="1:12" x14ac:dyDescent="0.15">
      <c r="A670" s="1">
        <v>31</v>
      </c>
      <c r="B670" s="10" t="s">
        <v>160</v>
      </c>
      <c r="C670" s="11">
        <v>2020</v>
      </c>
      <c r="D670" s="12">
        <v>717545</v>
      </c>
      <c r="E670" s="12">
        <v>701933</v>
      </c>
      <c r="F670" s="12">
        <v>15612</v>
      </c>
      <c r="H670" s="12">
        <v>347042</v>
      </c>
      <c r="L670" s="13">
        <v>2.0226168590000002</v>
      </c>
    </row>
    <row r="671" spans="1:12" x14ac:dyDescent="0.15">
      <c r="A671" s="1">
        <v>33</v>
      </c>
      <c r="B671" s="10" t="s">
        <v>161</v>
      </c>
      <c r="C671" s="11">
        <v>2020</v>
      </c>
      <c r="D671" s="12">
        <v>2078</v>
      </c>
      <c r="E671" s="12">
        <v>2078</v>
      </c>
      <c r="F671" s="12">
        <v>0</v>
      </c>
      <c r="H671" s="12">
        <v>1321</v>
      </c>
      <c r="L671" s="13">
        <v>1.573050719</v>
      </c>
    </row>
    <row r="672" spans="1:12" x14ac:dyDescent="0.15">
      <c r="A672" s="1">
        <v>35</v>
      </c>
      <c r="B672" s="10" t="s">
        <v>162</v>
      </c>
      <c r="C672" s="11">
        <v>2020</v>
      </c>
      <c r="D672" s="12">
        <v>360272</v>
      </c>
      <c r="E672" s="12">
        <v>358629</v>
      </c>
      <c r="F672" s="12">
        <v>1643</v>
      </c>
      <c r="H672" s="12">
        <v>136477</v>
      </c>
      <c r="L672" s="13">
        <v>2.6277614539999998</v>
      </c>
    </row>
    <row r="673" spans="1:12" x14ac:dyDescent="0.15">
      <c r="A673" s="1">
        <v>37</v>
      </c>
      <c r="B673" s="10" t="s">
        <v>163</v>
      </c>
      <c r="C673" s="11">
        <v>2020</v>
      </c>
      <c r="D673" s="12">
        <v>55667</v>
      </c>
      <c r="E673" s="12">
        <v>55568</v>
      </c>
      <c r="F673" s="12">
        <v>99</v>
      </c>
      <c r="H673" s="12">
        <v>33102</v>
      </c>
      <c r="L673" s="13">
        <v>1.6786901089999999</v>
      </c>
    </row>
    <row r="674" spans="1:12" x14ac:dyDescent="0.15">
      <c r="A674" s="1">
        <v>39</v>
      </c>
      <c r="B674" s="10" t="s">
        <v>164</v>
      </c>
      <c r="C674" s="11">
        <v>2020</v>
      </c>
      <c r="D674" s="12">
        <v>26220</v>
      </c>
      <c r="E674" s="12">
        <v>26159</v>
      </c>
      <c r="F674" s="12">
        <v>61</v>
      </c>
      <c r="H674" s="12">
        <v>9858</v>
      </c>
      <c r="L674" s="13">
        <v>2.6535808479999998</v>
      </c>
    </row>
    <row r="675" spans="1:12" x14ac:dyDescent="0.15">
      <c r="A675" s="1">
        <v>41</v>
      </c>
      <c r="B675" s="10" t="s">
        <v>165</v>
      </c>
      <c r="C675" s="11">
        <v>2020</v>
      </c>
      <c r="D675" s="12">
        <v>732366</v>
      </c>
      <c r="E675" s="12">
        <v>711877</v>
      </c>
      <c r="F675" s="12">
        <v>20489</v>
      </c>
      <c r="H675" s="12">
        <v>288421</v>
      </c>
      <c r="L675" s="13">
        <v>2.4681871289999999</v>
      </c>
    </row>
    <row r="676" spans="1:12" x14ac:dyDescent="0.15">
      <c r="A676" s="1">
        <v>43</v>
      </c>
      <c r="B676" s="10" t="s">
        <v>166</v>
      </c>
      <c r="C676" s="11">
        <v>2020</v>
      </c>
      <c r="D676" s="12">
        <v>48881</v>
      </c>
      <c r="E676" s="12">
        <v>41006</v>
      </c>
      <c r="F676" s="12">
        <v>7875</v>
      </c>
      <c r="H676" s="12">
        <v>20281</v>
      </c>
      <c r="L676" s="13">
        <v>2.0218924120000001</v>
      </c>
    </row>
    <row r="677" spans="1:12" x14ac:dyDescent="0.15">
      <c r="A677" s="1">
        <v>45</v>
      </c>
      <c r="B677" s="10" t="s">
        <v>167</v>
      </c>
      <c r="C677" s="11">
        <v>2020</v>
      </c>
      <c r="D677" s="12">
        <v>61791</v>
      </c>
      <c r="E677" s="12">
        <v>60735</v>
      </c>
      <c r="F677" s="12">
        <v>1056</v>
      </c>
      <c r="H677" s="12">
        <v>24169</v>
      </c>
      <c r="L677" s="13">
        <v>2.5129297859999999</v>
      </c>
    </row>
    <row r="678" spans="1:12" x14ac:dyDescent="0.15">
      <c r="A678" s="1">
        <v>47</v>
      </c>
      <c r="B678" s="10" t="s">
        <v>168</v>
      </c>
      <c r="C678" s="11">
        <v>2020</v>
      </c>
      <c r="D678" s="12">
        <v>5823</v>
      </c>
      <c r="E678" s="12">
        <v>5775</v>
      </c>
      <c r="F678" s="12">
        <v>48</v>
      </c>
      <c r="H678" s="12">
        <v>3523</v>
      </c>
      <c r="L678" s="13">
        <v>1.639227931</v>
      </c>
    </row>
    <row r="679" spans="1:12" x14ac:dyDescent="0.15">
      <c r="A679" s="1">
        <v>49</v>
      </c>
      <c r="B679" s="10" t="s">
        <v>169</v>
      </c>
      <c r="C679" s="11">
        <v>2020</v>
      </c>
      <c r="D679" s="12">
        <v>15748</v>
      </c>
      <c r="E679" s="12">
        <v>15536</v>
      </c>
      <c r="F679" s="12">
        <v>212</v>
      </c>
      <c r="H679" s="12">
        <v>16805</v>
      </c>
      <c r="L679" s="13">
        <v>0.92448675999999996</v>
      </c>
    </row>
    <row r="680" spans="1:12" x14ac:dyDescent="0.15">
      <c r="A680" s="1">
        <v>51</v>
      </c>
      <c r="B680" s="10" t="s">
        <v>170</v>
      </c>
      <c r="C680" s="11">
        <v>2020</v>
      </c>
      <c r="D680" s="12">
        <v>16946</v>
      </c>
      <c r="E680" s="12">
        <v>15926</v>
      </c>
      <c r="F680" s="12">
        <v>1020</v>
      </c>
      <c r="H680" s="12">
        <v>12220</v>
      </c>
      <c r="L680" s="13">
        <v>1.3032733219999999</v>
      </c>
    </row>
    <row r="681" spans="1:12" x14ac:dyDescent="0.15">
      <c r="A681" s="1">
        <v>53</v>
      </c>
      <c r="B681" s="10" t="s">
        <v>171</v>
      </c>
      <c r="C681" s="11">
        <v>2020</v>
      </c>
      <c r="D681" s="12">
        <v>792</v>
      </c>
      <c r="E681" s="12">
        <v>792</v>
      </c>
      <c r="F681" s="12">
        <v>0</v>
      </c>
      <c r="H681" s="12">
        <v>1332</v>
      </c>
      <c r="L681" s="13">
        <v>0.594594595</v>
      </c>
    </row>
    <row r="682" spans="1:12" x14ac:dyDescent="0.15">
      <c r="A682" s="1">
        <v>55</v>
      </c>
      <c r="B682" s="10" t="s">
        <v>172</v>
      </c>
      <c r="C682" s="11">
        <v>2020</v>
      </c>
      <c r="D682" s="12">
        <v>6833</v>
      </c>
      <c r="E682" s="12">
        <v>6713</v>
      </c>
      <c r="F682" s="12">
        <v>120</v>
      </c>
      <c r="H682" s="12">
        <v>4690</v>
      </c>
      <c r="L682" s="13">
        <v>1.431343284</v>
      </c>
    </row>
    <row r="683" spans="1:12" x14ac:dyDescent="0.15">
      <c r="A683" s="1">
        <v>57</v>
      </c>
      <c r="B683" s="10" t="s">
        <v>173</v>
      </c>
      <c r="C683" s="11">
        <v>2020</v>
      </c>
      <c r="D683" s="12">
        <v>1378</v>
      </c>
      <c r="E683" s="12">
        <v>1376</v>
      </c>
      <c r="F683" s="12">
        <v>2</v>
      </c>
      <c r="H683" s="12">
        <v>1191</v>
      </c>
      <c r="L683" s="13">
        <v>1.155331654</v>
      </c>
    </row>
    <row r="684" spans="1:12" x14ac:dyDescent="0.15">
      <c r="A684" s="1">
        <v>59</v>
      </c>
      <c r="B684" s="10" t="s">
        <v>174</v>
      </c>
      <c r="C684" s="11">
        <v>2020</v>
      </c>
      <c r="D684" s="12">
        <v>583063</v>
      </c>
      <c r="E684" s="12">
        <v>574379</v>
      </c>
      <c r="F684" s="12">
        <v>8684</v>
      </c>
      <c r="H684" s="12">
        <v>248886</v>
      </c>
      <c r="L684" s="13">
        <v>2.3077995549999999</v>
      </c>
    </row>
    <row r="685" spans="1:12" x14ac:dyDescent="0.15">
      <c r="A685" s="1">
        <v>61</v>
      </c>
      <c r="B685" s="10" t="s">
        <v>175</v>
      </c>
      <c r="C685" s="11">
        <v>2020</v>
      </c>
      <c r="D685" s="12">
        <v>1454</v>
      </c>
      <c r="E685" s="12">
        <v>1425</v>
      </c>
      <c r="F685" s="12">
        <v>29</v>
      </c>
      <c r="H685" s="12">
        <v>737</v>
      </c>
      <c r="L685" s="13">
        <v>1.933514247</v>
      </c>
    </row>
    <row r="686" spans="1:12" x14ac:dyDescent="0.15">
      <c r="A686" s="1">
        <v>63</v>
      </c>
      <c r="B686" s="10" t="s">
        <v>176</v>
      </c>
      <c r="C686" s="11">
        <v>2020</v>
      </c>
      <c r="D686" s="12">
        <v>7067</v>
      </c>
      <c r="E686" s="12">
        <v>6973</v>
      </c>
      <c r="F686" s="12">
        <v>94</v>
      </c>
      <c r="H686" s="12">
        <v>3411</v>
      </c>
      <c r="L686" s="13">
        <v>2.0442685429999998</v>
      </c>
    </row>
    <row r="687" spans="1:12" x14ac:dyDescent="0.15">
      <c r="A687" s="1">
        <v>65</v>
      </c>
      <c r="B687" s="10" t="s">
        <v>177</v>
      </c>
      <c r="C687" s="11">
        <v>2020</v>
      </c>
      <c r="D687" s="12">
        <v>7412</v>
      </c>
      <c r="E687" s="12">
        <v>7309</v>
      </c>
      <c r="F687" s="12">
        <v>103</v>
      </c>
      <c r="H687" s="12">
        <v>4303</v>
      </c>
      <c r="L687" s="13">
        <v>1.6985823840000001</v>
      </c>
    </row>
    <row r="688" spans="1:12" x14ac:dyDescent="0.15">
      <c r="A688" s="1">
        <v>67</v>
      </c>
      <c r="B688" s="10" t="s">
        <v>178</v>
      </c>
      <c r="C688" s="11">
        <v>2020</v>
      </c>
      <c r="D688" s="12">
        <v>55668</v>
      </c>
      <c r="E688" s="12">
        <v>53928</v>
      </c>
      <c r="F688" s="12">
        <v>1740</v>
      </c>
      <c r="H688" s="12">
        <v>28285</v>
      </c>
      <c r="L688" s="13">
        <v>1.906593601</v>
      </c>
    </row>
    <row r="689" spans="1:12" x14ac:dyDescent="0.15">
      <c r="A689" s="1">
        <v>69</v>
      </c>
      <c r="B689" s="10" t="s">
        <v>179</v>
      </c>
      <c r="C689" s="11">
        <v>2020</v>
      </c>
      <c r="D689" s="12">
        <v>359920</v>
      </c>
      <c r="E689" s="12">
        <v>348236</v>
      </c>
      <c r="F689" s="12">
        <v>11684</v>
      </c>
      <c r="H689" s="12">
        <v>159406</v>
      </c>
      <c r="L689" s="13">
        <v>2.1845852730000002</v>
      </c>
    </row>
    <row r="690" spans="1:12" x14ac:dyDescent="0.15">
      <c r="A690" s="1">
        <v>71</v>
      </c>
      <c r="B690" s="10" t="s">
        <v>180</v>
      </c>
      <c r="C690" s="11">
        <v>2020</v>
      </c>
      <c r="D690" s="12">
        <v>14479</v>
      </c>
      <c r="E690" s="12">
        <v>13850</v>
      </c>
      <c r="F690" s="12">
        <v>629</v>
      </c>
      <c r="H690" s="12">
        <v>8085</v>
      </c>
      <c r="L690" s="13">
        <v>1.7130488559999999</v>
      </c>
    </row>
    <row r="691" spans="1:12" x14ac:dyDescent="0.15">
      <c r="A691" s="1">
        <v>73</v>
      </c>
      <c r="B691" s="10" t="s">
        <v>181</v>
      </c>
      <c r="C691" s="11">
        <v>2020</v>
      </c>
      <c r="D691" s="12">
        <v>5662</v>
      </c>
      <c r="E691" s="12">
        <v>4678</v>
      </c>
      <c r="F691" s="12">
        <v>984</v>
      </c>
      <c r="H691" s="12">
        <v>2360</v>
      </c>
      <c r="L691" s="13">
        <v>1.98220339</v>
      </c>
    </row>
    <row r="692" spans="1:12" x14ac:dyDescent="0.15">
      <c r="A692" s="1">
        <v>75</v>
      </c>
      <c r="B692" s="10" t="s">
        <v>182</v>
      </c>
      <c r="C692" s="11">
        <v>2020</v>
      </c>
      <c r="D692" s="12">
        <v>21203</v>
      </c>
      <c r="E692" s="12">
        <v>18354</v>
      </c>
      <c r="F692" s="12">
        <v>2849</v>
      </c>
      <c r="H692" s="12">
        <v>8674</v>
      </c>
      <c r="L692" s="13">
        <v>2.115978787</v>
      </c>
    </row>
    <row r="693" spans="1:12" x14ac:dyDescent="0.15">
      <c r="A693" s="1">
        <v>77</v>
      </c>
      <c r="B693" s="10" t="s">
        <v>183</v>
      </c>
      <c r="C693" s="11">
        <v>2020</v>
      </c>
      <c r="D693" s="12">
        <v>155993</v>
      </c>
      <c r="E693" s="12">
        <v>152045</v>
      </c>
      <c r="F693" s="12">
        <v>3948</v>
      </c>
      <c r="H693" s="12">
        <v>67680</v>
      </c>
      <c r="L693" s="13">
        <v>2.2465277779999999</v>
      </c>
    </row>
    <row r="694" spans="1:12" x14ac:dyDescent="0.15">
      <c r="A694" s="1">
        <v>79</v>
      </c>
      <c r="B694" s="10" t="s">
        <v>184</v>
      </c>
      <c r="C694" s="11">
        <v>2020</v>
      </c>
      <c r="D694" s="12">
        <v>871</v>
      </c>
      <c r="E694" s="12">
        <v>871</v>
      </c>
      <c r="F694" s="12">
        <v>0</v>
      </c>
      <c r="H694" s="12">
        <v>1221</v>
      </c>
      <c r="L694" s="13">
        <v>0.71334971300000005</v>
      </c>
    </row>
    <row r="695" spans="1:12" x14ac:dyDescent="0.15">
      <c r="A695" s="1">
        <v>81</v>
      </c>
      <c r="B695" s="10" t="s">
        <v>185</v>
      </c>
      <c r="C695" s="11">
        <v>2020</v>
      </c>
      <c r="D695" s="12">
        <v>13265</v>
      </c>
      <c r="E695" s="12">
        <v>13145</v>
      </c>
      <c r="F695" s="12">
        <v>120</v>
      </c>
      <c r="H695" s="12">
        <v>6105</v>
      </c>
      <c r="L695" s="13">
        <v>2.1531531529999999</v>
      </c>
    </row>
    <row r="696" spans="1:12" x14ac:dyDescent="0.15">
      <c r="A696" s="1">
        <v>83</v>
      </c>
      <c r="B696" s="10" t="s">
        <v>186</v>
      </c>
      <c r="C696" s="11">
        <v>2020</v>
      </c>
      <c r="D696" s="12">
        <v>25888</v>
      </c>
      <c r="E696" s="12">
        <v>25628</v>
      </c>
      <c r="F696" s="12">
        <v>260</v>
      </c>
      <c r="H696" s="12">
        <v>12302</v>
      </c>
      <c r="L696" s="13">
        <v>2.083238498</v>
      </c>
    </row>
    <row r="697" spans="1:12" x14ac:dyDescent="0.15">
      <c r="A697" s="1">
        <v>85</v>
      </c>
      <c r="B697" s="10" t="s">
        <v>187</v>
      </c>
      <c r="C697" s="11">
        <v>2020</v>
      </c>
      <c r="D697" s="12">
        <v>42810</v>
      </c>
      <c r="E697" s="12">
        <v>42126</v>
      </c>
      <c r="F697" s="12">
        <v>684</v>
      </c>
      <c r="H697" s="12">
        <v>19029</v>
      </c>
      <c r="L697" s="13">
        <v>2.2137789689999998</v>
      </c>
    </row>
    <row r="698" spans="1:12" x14ac:dyDescent="0.15">
      <c r="A698" s="1">
        <v>87</v>
      </c>
      <c r="B698" s="10" t="s">
        <v>188</v>
      </c>
      <c r="C698" s="11">
        <v>2020</v>
      </c>
      <c r="D698" s="12">
        <v>29078</v>
      </c>
      <c r="E698" s="12">
        <v>28610</v>
      </c>
      <c r="F698" s="12">
        <v>468</v>
      </c>
      <c r="H698" s="12">
        <v>11514</v>
      </c>
      <c r="L698" s="13">
        <v>2.484801112</v>
      </c>
    </row>
    <row r="699" spans="1:12" x14ac:dyDescent="0.15">
      <c r="A699" s="1">
        <v>89</v>
      </c>
      <c r="B699" s="10" t="s">
        <v>189</v>
      </c>
      <c r="C699" s="11">
        <v>2020</v>
      </c>
      <c r="D699" s="12">
        <v>18668</v>
      </c>
      <c r="E699" s="12">
        <v>18262</v>
      </c>
      <c r="F699" s="12">
        <v>406</v>
      </c>
      <c r="H699" s="12">
        <v>8720</v>
      </c>
      <c r="L699" s="13">
        <v>2.0942660549999998</v>
      </c>
    </row>
    <row r="700" spans="1:12" x14ac:dyDescent="0.15">
      <c r="A700" s="1">
        <v>91</v>
      </c>
      <c r="B700" s="10" t="s">
        <v>190</v>
      </c>
      <c r="C700" s="11">
        <v>2020</v>
      </c>
      <c r="D700" s="12">
        <v>4876</v>
      </c>
      <c r="E700" s="12">
        <v>4876</v>
      </c>
      <c r="F700" s="12">
        <v>0</v>
      </c>
      <c r="H700" s="12">
        <v>3326</v>
      </c>
      <c r="L700" s="13">
        <v>1.466025256</v>
      </c>
    </row>
    <row r="701" spans="1:12" x14ac:dyDescent="0.15">
      <c r="A701" s="1">
        <v>93</v>
      </c>
      <c r="B701" s="10" t="s">
        <v>191</v>
      </c>
      <c r="C701" s="11">
        <v>2020</v>
      </c>
      <c r="D701" s="12">
        <v>17416</v>
      </c>
      <c r="E701" s="12">
        <v>17390</v>
      </c>
      <c r="F701" s="12">
        <v>26</v>
      </c>
      <c r="H701" s="12">
        <v>14154</v>
      </c>
      <c r="L701" s="13">
        <v>1.2286279499999999</v>
      </c>
    </row>
    <row r="702" spans="1:12" x14ac:dyDescent="0.15">
      <c r="A702" s="1">
        <v>95</v>
      </c>
      <c r="B702" s="10" t="s">
        <v>192</v>
      </c>
      <c r="C702" s="11">
        <v>2020</v>
      </c>
      <c r="D702" s="12">
        <v>4523</v>
      </c>
      <c r="E702" s="12">
        <v>4453</v>
      </c>
      <c r="F702" s="12">
        <v>70</v>
      </c>
      <c r="H702" s="12">
        <v>2026</v>
      </c>
      <c r="L702" s="13">
        <v>2.1979269499999998</v>
      </c>
    </row>
    <row r="703" spans="1:12" x14ac:dyDescent="0.15">
      <c r="A703" s="1">
        <v>97</v>
      </c>
      <c r="B703" s="10" t="s">
        <v>193</v>
      </c>
      <c r="C703" s="11">
        <v>2020</v>
      </c>
      <c r="D703" s="12">
        <v>17355</v>
      </c>
      <c r="E703" s="12">
        <v>17308</v>
      </c>
      <c r="F703" s="12">
        <v>47</v>
      </c>
      <c r="H703" s="12">
        <v>13260</v>
      </c>
      <c r="L703" s="13">
        <v>1.3052790350000001</v>
      </c>
    </row>
    <row r="704" spans="1:12" x14ac:dyDescent="0.15">
      <c r="A704" s="1">
        <v>99</v>
      </c>
      <c r="B704" s="10" t="s">
        <v>194</v>
      </c>
      <c r="C704" s="11">
        <v>2020</v>
      </c>
      <c r="D704" s="12">
        <v>12012</v>
      </c>
      <c r="E704" s="12">
        <v>11651</v>
      </c>
      <c r="F704" s="12">
        <v>361</v>
      </c>
      <c r="H704" s="12">
        <v>5438</v>
      </c>
      <c r="L704" s="13">
        <v>2.1425156310000002</v>
      </c>
    </row>
    <row r="705" spans="1:12" x14ac:dyDescent="0.15">
      <c r="A705" s="1">
        <v>101</v>
      </c>
      <c r="B705" s="10" t="s">
        <v>195</v>
      </c>
      <c r="C705" s="11">
        <v>2020</v>
      </c>
      <c r="D705" s="12">
        <v>168311</v>
      </c>
      <c r="E705" s="12">
        <v>164967</v>
      </c>
      <c r="F705" s="12">
        <v>3344</v>
      </c>
      <c r="H705" s="12">
        <v>72144</v>
      </c>
      <c r="L705" s="13">
        <v>2.2866350629999999</v>
      </c>
    </row>
    <row r="706" spans="1:12" x14ac:dyDescent="0.15">
      <c r="A706" s="1">
        <v>103</v>
      </c>
      <c r="B706" s="10" t="s">
        <v>196</v>
      </c>
      <c r="C706" s="11">
        <v>2020</v>
      </c>
      <c r="D706" s="12">
        <v>6521</v>
      </c>
      <c r="E706" s="12">
        <v>6301</v>
      </c>
      <c r="F706" s="12">
        <v>220</v>
      </c>
      <c r="H706" s="12">
        <v>3279</v>
      </c>
      <c r="L706" s="13">
        <v>1.921622446</v>
      </c>
    </row>
    <row r="707" spans="1:12" x14ac:dyDescent="0.15">
      <c r="A707" s="1">
        <v>105</v>
      </c>
      <c r="B707" s="10" t="s">
        <v>197</v>
      </c>
      <c r="C707" s="11">
        <v>2020</v>
      </c>
      <c r="D707" s="12">
        <v>11536</v>
      </c>
      <c r="E707" s="12">
        <v>11402</v>
      </c>
      <c r="F707" s="12">
        <v>134</v>
      </c>
      <c r="H707" s="12">
        <v>6533</v>
      </c>
      <c r="L707" s="13">
        <v>1.7452931270000001</v>
      </c>
    </row>
    <row r="708" spans="1:12" x14ac:dyDescent="0.15">
      <c r="A708" s="1">
        <v>107</v>
      </c>
      <c r="B708" s="10" t="s">
        <v>198</v>
      </c>
      <c r="C708" s="11">
        <v>2020</v>
      </c>
      <c r="D708" s="12">
        <v>24834</v>
      </c>
      <c r="E708" s="12">
        <v>24483</v>
      </c>
      <c r="F708" s="12">
        <v>351</v>
      </c>
      <c r="H708" s="12">
        <v>16572</v>
      </c>
      <c r="L708" s="13">
        <v>1.47737147</v>
      </c>
    </row>
    <row r="709" spans="1:12" x14ac:dyDescent="0.15">
      <c r="A709" s="1">
        <v>109</v>
      </c>
      <c r="B709" s="10" t="s">
        <v>199</v>
      </c>
      <c r="C709" s="11">
        <v>2020</v>
      </c>
      <c r="D709" s="12">
        <v>6390</v>
      </c>
      <c r="E709" s="12">
        <v>6374</v>
      </c>
      <c r="F709" s="12">
        <v>16</v>
      </c>
      <c r="H709" s="12">
        <v>3760</v>
      </c>
      <c r="L709" s="13">
        <v>1.695212766</v>
      </c>
    </row>
    <row r="710" spans="1:12" x14ac:dyDescent="0.15">
      <c r="A710" s="1">
        <v>111</v>
      </c>
      <c r="B710" s="10" t="s">
        <v>200</v>
      </c>
      <c r="C710" s="11">
        <v>2020</v>
      </c>
      <c r="D710" s="12">
        <v>711</v>
      </c>
      <c r="E710" s="12">
        <v>711</v>
      </c>
      <c r="F710" s="12">
        <v>0</v>
      </c>
      <c r="H710" s="12">
        <v>781</v>
      </c>
      <c r="L710" s="13">
        <v>0.91037131900000001</v>
      </c>
    </row>
    <row r="711" spans="1:12" x14ac:dyDescent="0.15">
      <c r="A711" s="1">
        <v>113</v>
      </c>
      <c r="B711" s="10" t="s">
        <v>201</v>
      </c>
      <c r="C711" s="11">
        <v>2020</v>
      </c>
      <c r="D711" s="12">
        <v>8055</v>
      </c>
      <c r="E711" s="12">
        <v>8050</v>
      </c>
      <c r="F711" s="12">
        <v>5</v>
      </c>
      <c r="H711" s="12">
        <v>6564</v>
      </c>
      <c r="L711" s="13">
        <v>1.2263863500000001</v>
      </c>
    </row>
    <row r="712" spans="1:12" x14ac:dyDescent="0.15">
      <c r="A712" s="1">
        <v>115</v>
      </c>
      <c r="B712" s="10" t="s">
        <v>202</v>
      </c>
      <c r="C712" s="11">
        <v>2020</v>
      </c>
      <c r="D712" s="12">
        <v>2391</v>
      </c>
      <c r="E712" s="12">
        <v>2352</v>
      </c>
      <c r="F712" s="12">
        <v>39</v>
      </c>
      <c r="H712" s="12">
        <v>1343</v>
      </c>
      <c r="L712" s="13">
        <v>1.751303053</v>
      </c>
    </row>
    <row r="713" spans="1:12" x14ac:dyDescent="0.15">
      <c r="A713" s="1">
        <v>117</v>
      </c>
      <c r="B713" s="10" t="s">
        <v>203</v>
      </c>
      <c r="C713" s="11">
        <v>2020</v>
      </c>
      <c r="D713" s="12">
        <v>30996</v>
      </c>
      <c r="E713" s="12">
        <v>30417</v>
      </c>
      <c r="F713" s="12">
        <v>579</v>
      </c>
      <c r="H713" s="12">
        <v>31416</v>
      </c>
      <c r="L713" s="13">
        <v>0.96820091699999999</v>
      </c>
    </row>
    <row r="714" spans="1:12" x14ac:dyDescent="0.15">
      <c r="A714" s="1">
        <v>119</v>
      </c>
      <c r="B714" s="10" t="s">
        <v>204</v>
      </c>
      <c r="C714" s="11">
        <v>2020</v>
      </c>
      <c r="D714" s="12">
        <v>24745</v>
      </c>
      <c r="E714" s="12">
        <v>24581</v>
      </c>
      <c r="F714" s="12">
        <v>164</v>
      </c>
      <c r="H714" s="12">
        <v>13346</v>
      </c>
      <c r="L714" s="13">
        <v>1.8418252660000001</v>
      </c>
    </row>
    <row r="715" spans="1:12" x14ac:dyDescent="0.15">
      <c r="A715" s="1">
        <v>121</v>
      </c>
      <c r="B715" s="10" t="s">
        <v>205</v>
      </c>
      <c r="C715" s="11">
        <v>2020</v>
      </c>
      <c r="D715" s="12">
        <v>4811</v>
      </c>
      <c r="E715" s="12">
        <v>4645</v>
      </c>
      <c r="F715" s="12">
        <v>166</v>
      </c>
      <c r="H715" s="12">
        <v>2278</v>
      </c>
      <c r="L715" s="13">
        <v>2.039069359</v>
      </c>
    </row>
    <row r="716" spans="1:12" x14ac:dyDescent="0.15">
      <c r="A716" s="1">
        <v>123</v>
      </c>
      <c r="B716" s="10" t="s">
        <v>206</v>
      </c>
      <c r="C716" s="11">
        <v>2020</v>
      </c>
      <c r="D716" s="12">
        <v>331423</v>
      </c>
      <c r="E716" s="12">
        <v>326233</v>
      </c>
      <c r="F716" s="12">
        <v>5190</v>
      </c>
      <c r="H716" s="12">
        <v>120949</v>
      </c>
      <c r="L716" s="13">
        <v>2.6972773650000001</v>
      </c>
    </row>
    <row r="717" spans="1:12" x14ac:dyDescent="0.15">
      <c r="A717" s="1">
        <v>125</v>
      </c>
      <c r="B717" s="10" t="s">
        <v>207</v>
      </c>
      <c r="C717" s="11">
        <v>2020</v>
      </c>
      <c r="D717" s="12">
        <v>9977</v>
      </c>
      <c r="E717" s="12">
        <v>9759</v>
      </c>
      <c r="F717" s="12">
        <v>218</v>
      </c>
      <c r="H717" s="12">
        <v>4315</v>
      </c>
      <c r="L717" s="13">
        <v>2.261645423</v>
      </c>
    </row>
    <row r="718" spans="1:12" x14ac:dyDescent="0.15">
      <c r="A718" s="1">
        <v>0</v>
      </c>
      <c r="B718" s="10" t="s">
        <v>143</v>
      </c>
      <c r="C718" s="11">
        <v>2021</v>
      </c>
      <c r="D718" s="12">
        <v>5811026</v>
      </c>
      <c r="E718" s="12">
        <v>5696338</v>
      </c>
      <c r="F718" s="12">
        <v>114688</v>
      </c>
      <c r="H718" s="12">
        <v>2542505</v>
      </c>
      <c r="L718" s="13">
        <v>2.2404431850000002</v>
      </c>
    </row>
    <row r="719" spans="1:12" x14ac:dyDescent="0.15">
      <c r="A719" s="1">
        <v>1</v>
      </c>
      <c r="B719" s="10" t="s">
        <v>144</v>
      </c>
      <c r="C719" s="11">
        <v>2021</v>
      </c>
      <c r="D719" s="12">
        <v>523417</v>
      </c>
      <c r="E719" s="12">
        <v>518896</v>
      </c>
      <c r="F719" s="12">
        <v>4521</v>
      </c>
      <c r="H719" s="12">
        <v>191198</v>
      </c>
      <c r="L719" s="13">
        <v>2.7139196019999998</v>
      </c>
    </row>
    <row r="720" spans="1:12" x14ac:dyDescent="0.15">
      <c r="A720" s="1">
        <v>3</v>
      </c>
      <c r="B720" s="10" t="s">
        <v>145</v>
      </c>
      <c r="C720" s="11">
        <v>2021</v>
      </c>
      <c r="D720" s="12">
        <v>16574</v>
      </c>
      <c r="E720" s="12">
        <v>15590</v>
      </c>
      <c r="F720" s="12">
        <v>984</v>
      </c>
      <c r="H720" s="12">
        <v>7137</v>
      </c>
      <c r="L720" s="13">
        <v>2.1843912009999999</v>
      </c>
    </row>
    <row r="721" spans="1:12" x14ac:dyDescent="0.15">
      <c r="A721" s="1">
        <v>5</v>
      </c>
      <c r="B721" s="10" t="s">
        <v>146</v>
      </c>
      <c r="C721" s="11">
        <v>2021</v>
      </c>
      <c r="D721" s="12">
        <v>656722</v>
      </c>
      <c r="E721" s="12">
        <v>651475</v>
      </c>
      <c r="F721" s="12">
        <v>5247</v>
      </c>
      <c r="H721" s="12">
        <v>266515</v>
      </c>
      <c r="L721" s="13">
        <v>2.4444215150000002</v>
      </c>
    </row>
    <row r="722" spans="1:12" x14ac:dyDescent="0.15">
      <c r="A722" s="1">
        <v>7</v>
      </c>
      <c r="B722" s="10" t="s">
        <v>147</v>
      </c>
      <c r="C722" s="11">
        <v>2021</v>
      </c>
      <c r="D722" s="12">
        <v>13812</v>
      </c>
      <c r="E722" s="12">
        <v>13720</v>
      </c>
      <c r="F722" s="12">
        <v>92</v>
      </c>
      <c r="H722" s="12">
        <v>9687</v>
      </c>
      <c r="L722" s="13">
        <v>1.4163311649999999</v>
      </c>
    </row>
    <row r="723" spans="1:12" x14ac:dyDescent="0.15">
      <c r="A723" s="1">
        <v>9</v>
      </c>
      <c r="B723" s="10" t="s">
        <v>148</v>
      </c>
      <c r="C723" s="11">
        <v>2021</v>
      </c>
      <c r="D723" s="12">
        <v>3491</v>
      </c>
      <c r="E723" s="12">
        <v>3443</v>
      </c>
      <c r="F723" s="12">
        <v>48</v>
      </c>
      <c r="H723" s="12">
        <v>1977</v>
      </c>
      <c r="L723" s="13">
        <v>1.7415275670000001</v>
      </c>
    </row>
    <row r="724" spans="1:12" x14ac:dyDescent="0.15">
      <c r="A724" s="1">
        <v>11</v>
      </c>
      <c r="B724" s="10" t="s">
        <v>149</v>
      </c>
      <c r="C724" s="11">
        <v>2021</v>
      </c>
      <c r="D724" s="12">
        <v>5334</v>
      </c>
      <c r="E724" s="12">
        <v>4166</v>
      </c>
      <c r="F724" s="12">
        <v>1168</v>
      </c>
      <c r="H724" s="12">
        <v>2143</v>
      </c>
      <c r="L724" s="13">
        <v>1.944003733</v>
      </c>
    </row>
    <row r="725" spans="1:12" x14ac:dyDescent="0.15">
      <c r="A725" s="1">
        <v>13</v>
      </c>
      <c r="B725" s="10" t="s">
        <v>150</v>
      </c>
      <c r="C725" s="11">
        <v>2021</v>
      </c>
      <c r="D725" s="12">
        <v>327080</v>
      </c>
      <c r="E725" s="12">
        <v>315126</v>
      </c>
      <c r="F725" s="12">
        <v>11954</v>
      </c>
      <c r="H725" s="12">
        <v>143362</v>
      </c>
      <c r="L725" s="13">
        <v>2.1981138659999999</v>
      </c>
    </row>
    <row r="726" spans="1:12" x14ac:dyDescent="0.15">
      <c r="A726" s="1">
        <v>14</v>
      </c>
      <c r="B726" s="10" t="s">
        <v>151</v>
      </c>
      <c r="C726" s="11">
        <v>2021</v>
      </c>
      <c r="D726" s="12">
        <v>75415</v>
      </c>
      <c r="E726" s="12">
        <v>74984</v>
      </c>
      <c r="F726" s="12">
        <v>431</v>
      </c>
      <c r="H726" s="12">
        <v>32231</v>
      </c>
      <c r="L726" s="13">
        <v>2.3264558960000001</v>
      </c>
    </row>
    <row r="727" spans="1:12" x14ac:dyDescent="0.15">
      <c r="A727" s="1">
        <v>15</v>
      </c>
      <c r="B727" s="10" t="s">
        <v>152</v>
      </c>
      <c r="C727" s="11">
        <v>2021</v>
      </c>
      <c r="D727" s="12">
        <v>19737</v>
      </c>
      <c r="E727" s="12">
        <v>18809</v>
      </c>
      <c r="F727" s="12">
        <v>928</v>
      </c>
      <c r="H727" s="12">
        <v>11322</v>
      </c>
      <c r="L727" s="13">
        <v>1.661278926</v>
      </c>
    </row>
    <row r="728" spans="1:12" x14ac:dyDescent="0.15">
      <c r="A728" s="1">
        <v>17</v>
      </c>
      <c r="B728" s="10" t="s">
        <v>153</v>
      </c>
      <c r="C728" s="11">
        <v>2021</v>
      </c>
      <c r="D728" s="12">
        <v>1716</v>
      </c>
      <c r="E728" s="12">
        <v>1690</v>
      </c>
      <c r="F728" s="12">
        <v>26</v>
      </c>
      <c r="H728" s="12">
        <v>933</v>
      </c>
      <c r="L728" s="13">
        <v>1.8113611999999999</v>
      </c>
    </row>
    <row r="729" spans="1:12" x14ac:dyDescent="0.15">
      <c r="A729" s="1">
        <v>19</v>
      </c>
      <c r="B729" s="10" t="s">
        <v>154</v>
      </c>
      <c r="C729" s="11">
        <v>2021</v>
      </c>
      <c r="D729" s="12">
        <v>9457</v>
      </c>
      <c r="E729" s="12">
        <v>9375</v>
      </c>
      <c r="F729" s="12">
        <v>82</v>
      </c>
      <c r="H729" s="12">
        <v>5771</v>
      </c>
      <c r="L729" s="13">
        <v>1.624501819</v>
      </c>
    </row>
    <row r="730" spans="1:12" x14ac:dyDescent="0.15">
      <c r="A730" s="1">
        <v>21</v>
      </c>
      <c r="B730" s="10" t="s">
        <v>155</v>
      </c>
      <c r="C730" s="11">
        <v>2021</v>
      </c>
      <c r="D730" s="12">
        <v>7586</v>
      </c>
      <c r="E730" s="12">
        <v>7535</v>
      </c>
      <c r="F730" s="12">
        <v>51</v>
      </c>
      <c r="H730" s="12">
        <v>4062</v>
      </c>
      <c r="L730" s="13">
        <v>1.8549975379999999</v>
      </c>
    </row>
    <row r="731" spans="1:12" x14ac:dyDescent="0.15">
      <c r="A731" s="1">
        <v>23</v>
      </c>
      <c r="B731" s="10" t="s">
        <v>156</v>
      </c>
      <c r="C731" s="11">
        <v>2021</v>
      </c>
      <c r="D731" s="12">
        <v>3617</v>
      </c>
      <c r="E731" s="12">
        <v>3605</v>
      </c>
      <c r="F731" s="12">
        <v>12</v>
      </c>
      <c r="H731" s="12">
        <v>2424</v>
      </c>
      <c r="L731" s="13">
        <v>1.4872112209999999</v>
      </c>
    </row>
    <row r="732" spans="1:12" x14ac:dyDescent="0.15">
      <c r="A732" s="1">
        <v>25</v>
      </c>
      <c r="B732" s="10" t="s">
        <v>157</v>
      </c>
      <c r="C732" s="11">
        <v>2021</v>
      </c>
      <c r="D732" s="12">
        <v>5744</v>
      </c>
      <c r="E732" s="12">
        <v>3143</v>
      </c>
      <c r="F732" s="12">
        <v>2601</v>
      </c>
      <c r="H732" s="12">
        <v>1521</v>
      </c>
      <c r="L732" s="13">
        <v>2.0664036819999998</v>
      </c>
    </row>
    <row r="733" spans="1:12" x14ac:dyDescent="0.15">
      <c r="A733" s="1">
        <v>27</v>
      </c>
      <c r="B733" s="10" t="s">
        <v>158</v>
      </c>
      <c r="C733" s="11">
        <v>2021</v>
      </c>
      <c r="D733" s="12">
        <v>5064</v>
      </c>
      <c r="E733" s="12">
        <v>5061</v>
      </c>
      <c r="F733" s="12">
        <v>3</v>
      </c>
      <c r="H733" s="12">
        <v>4326</v>
      </c>
      <c r="L733" s="13">
        <v>1.169902913</v>
      </c>
    </row>
    <row r="734" spans="1:12" x14ac:dyDescent="0.15">
      <c r="A734" s="1">
        <v>29</v>
      </c>
      <c r="B734" s="10" t="s">
        <v>159</v>
      </c>
      <c r="C734" s="11">
        <v>2021</v>
      </c>
      <c r="D734" s="12">
        <v>31386</v>
      </c>
      <c r="E734" s="12">
        <v>30916</v>
      </c>
      <c r="F734" s="12">
        <v>470</v>
      </c>
      <c r="H734" s="12">
        <v>14860</v>
      </c>
      <c r="L734" s="13">
        <v>2.0804845219999999</v>
      </c>
    </row>
    <row r="735" spans="1:12" x14ac:dyDescent="0.15">
      <c r="A735" s="1">
        <v>31</v>
      </c>
      <c r="B735" s="10" t="s">
        <v>160</v>
      </c>
      <c r="C735" s="11">
        <v>2021</v>
      </c>
      <c r="D735" s="12">
        <v>711375</v>
      </c>
      <c r="E735" s="12">
        <v>697456</v>
      </c>
      <c r="F735" s="12">
        <v>13919</v>
      </c>
      <c r="H735" s="12">
        <v>352130</v>
      </c>
      <c r="L735" s="13">
        <v>1.9806775910000001</v>
      </c>
    </row>
    <row r="736" spans="1:12" x14ac:dyDescent="0.15">
      <c r="A736" s="1">
        <v>33</v>
      </c>
      <c r="B736" s="10" t="s">
        <v>161</v>
      </c>
      <c r="C736" s="11">
        <v>2021</v>
      </c>
      <c r="D736" s="12">
        <v>2121</v>
      </c>
      <c r="E736" s="12">
        <v>2121</v>
      </c>
      <c r="F736" s="12">
        <v>0</v>
      </c>
      <c r="H736" s="12">
        <v>1337</v>
      </c>
      <c r="L736" s="13">
        <v>1.586387435</v>
      </c>
    </row>
    <row r="737" spans="1:12" x14ac:dyDescent="0.15">
      <c r="A737" s="1">
        <v>35</v>
      </c>
      <c r="B737" s="10" t="s">
        <v>162</v>
      </c>
      <c r="C737" s="11">
        <v>2021</v>
      </c>
      <c r="D737" s="12">
        <v>369758</v>
      </c>
      <c r="E737" s="12">
        <v>368151</v>
      </c>
      <c r="F737" s="12">
        <v>1607</v>
      </c>
      <c r="H737" s="12">
        <v>140356</v>
      </c>
      <c r="L737" s="13">
        <v>2.6229801359999998</v>
      </c>
    </row>
    <row r="738" spans="1:12" x14ac:dyDescent="0.15">
      <c r="A738" s="1">
        <v>37</v>
      </c>
      <c r="B738" s="10" t="s">
        <v>163</v>
      </c>
      <c r="C738" s="11">
        <v>2021</v>
      </c>
      <c r="D738" s="12">
        <v>55785</v>
      </c>
      <c r="E738" s="12">
        <v>55688</v>
      </c>
      <c r="F738" s="12">
        <v>97</v>
      </c>
      <c r="H738" s="12">
        <v>33694</v>
      </c>
      <c r="L738" s="13">
        <v>1.6527571670000001</v>
      </c>
    </row>
    <row r="739" spans="1:12" x14ac:dyDescent="0.15">
      <c r="A739" s="1">
        <v>39</v>
      </c>
      <c r="B739" s="10" t="s">
        <v>164</v>
      </c>
      <c r="C739" s="11">
        <v>2021</v>
      </c>
      <c r="D739" s="12">
        <v>27144</v>
      </c>
      <c r="E739" s="12">
        <v>27082</v>
      </c>
      <c r="F739" s="12">
        <v>62</v>
      </c>
      <c r="H739" s="12">
        <v>10145</v>
      </c>
      <c r="L739" s="13">
        <v>2.6694923610000001</v>
      </c>
    </row>
    <row r="740" spans="1:12" x14ac:dyDescent="0.15">
      <c r="A740" s="1">
        <v>41</v>
      </c>
      <c r="B740" s="10" t="s">
        <v>165</v>
      </c>
      <c r="C740" s="11">
        <v>2021</v>
      </c>
      <c r="D740" s="12">
        <v>737202</v>
      </c>
      <c r="E740" s="12">
        <v>718092</v>
      </c>
      <c r="F740" s="12">
        <v>19110</v>
      </c>
      <c r="H740" s="12">
        <v>295128</v>
      </c>
      <c r="L740" s="13">
        <v>2.4331544279999999</v>
      </c>
    </row>
    <row r="741" spans="1:12" x14ac:dyDescent="0.15">
      <c r="A741" s="1">
        <v>43</v>
      </c>
      <c r="B741" s="10" t="s">
        <v>166</v>
      </c>
      <c r="C741" s="11">
        <v>2021</v>
      </c>
      <c r="D741" s="12">
        <v>49249</v>
      </c>
      <c r="E741" s="12">
        <v>41707</v>
      </c>
      <c r="F741" s="12">
        <v>7542</v>
      </c>
      <c r="H741" s="12">
        <v>20408</v>
      </c>
      <c r="L741" s="13">
        <v>2.0436593489999999</v>
      </c>
    </row>
    <row r="742" spans="1:12" x14ac:dyDescent="0.15">
      <c r="A742" s="1">
        <v>45</v>
      </c>
      <c r="B742" s="10" t="s">
        <v>167</v>
      </c>
      <c r="C742" s="11">
        <v>2021</v>
      </c>
      <c r="D742" s="12">
        <v>62164</v>
      </c>
      <c r="E742" s="12">
        <v>61254</v>
      </c>
      <c r="F742" s="12">
        <v>910</v>
      </c>
      <c r="H742" s="12">
        <v>24500</v>
      </c>
      <c r="L742" s="13">
        <v>2.5001632649999999</v>
      </c>
    </row>
    <row r="743" spans="1:12" x14ac:dyDescent="0.15">
      <c r="A743" s="1">
        <v>47</v>
      </c>
      <c r="B743" s="10" t="s">
        <v>168</v>
      </c>
      <c r="C743" s="11">
        <v>2021</v>
      </c>
      <c r="D743" s="12">
        <v>5894</v>
      </c>
      <c r="E743" s="12">
        <v>5846</v>
      </c>
      <c r="F743" s="12">
        <v>48</v>
      </c>
      <c r="H743" s="12">
        <v>3543</v>
      </c>
      <c r="L743" s="13">
        <v>1.650014112</v>
      </c>
    </row>
    <row r="744" spans="1:12" x14ac:dyDescent="0.15">
      <c r="A744" s="1">
        <v>49</v>
      </c>
      <c r="B744" s="10" t="s">
        <v>169</v>
      </c>
      <c r="C744" s="11">
        <v>2021</v>
      </c>
      <c r="D744" s="12">
        <v>15860</v>
      </c>
      <c r="E744" s="12">
        <v>15648</v>
      </c>
      <c r="F744" s="12">
        <v>212</v>
      </c>
      <c r="H744" s="12">
        <v>16627</v>
      </c>
      <c r="L744" s="13">
        <v>0.941119865</v>
      </c>
    </row>
    <row r="745" spans="1:12" x14ac:dyDescent="0.15">
      <c r="A745" s="1">
        <v>51</v>
      </c>
      <c r="B745" s="10" t="s">
        <v>170</v>
      </c>
      <c r="C745" s="11">
        <v>2021</v>
      </c>
      <c r="D745" s="12">
        <v>17313</v>
      </c>
      <c r="E745" s="12">
        <v>16316</v>
      </c>
      <c r="F745" s="12">
        <v>997</v>
      </c>
      <c r="H745" s="12">
        <v>12421</v>
      </c>
      <c r="L745" s="13">
        <v>1.3135818370000001</v>
      </c>
    </row>
    <row r="746" spans="1:12" x14ac:dyDescent="0.15">
      <c r="A746" s="1">
        <v>53</v>
      </c>
      <c r="B746" s="10" t="s">
        <v>171</v>
      </c>
      <c r="C746" s="11">
        <v>2021</v>
      </c>
      <c r="D746" s="12">
        <v>778</v>
      </c>
      <c r="E746" s="12">
        <v>778</v>
      </c>
      <c r="F746" s="12">
        <v>0</v>
      </c>
      <c r="H746" s="12">
        <v>1347</v>
      </c>
      <c r="L746" s="13">
        <v>0.577579807</v>
      </c>
    </row>
    <row r="747" spans="1:12" x14ac:dyDescent="0.15">
      <c r="A747" s="1">
        <v>55</v>
      </c>
      <c r="B747" s="10" t="s">
        <v>172</v>
      </c>
      <c r="C747" s="11">
        <v>2021</v>
      </c>
      <c r="D747" s="12">
        <v>6948</v>
      </c>
      <c r="E747" s="12">
        <v>6842</v>
      </c>
      <c r="F747" s="12">
        <v>106</v>
      </c>
      <c r="H747" s="12">
        <v>4702</v>
      </c>
      <c r="L747" s="13">
        <v>1.4551254790000001</v>
      </c>
    </row>
    <row r="748" spans="1:12" x14ac:dyDescent="0.15">
      <c r="A748" s="1">
        <v>57</v>
      </c>
      <c r="B748" s="10" t="s">
        <v>173</v>
      </c>
      <c r="C748" s="11">
        <v>2021</v>
      </c>
      <c r="D748" s="12">
        <v>1358</v>
      </c>
      <c r="E748" s="12">
        <v>1356</v>
      </c>
      <c r="F748" s="12">
        <v>2</v>
      </c>
      <c r="H748" s="12">
        <v>1195</v>
      </c>
      <c r="L748" s="13">
        <v>1.134728033</v>
      </c>
    </row>
    <row r="749" spans="1:12" x14ac:dyDescent="0.15">
      <c r="A749" s="1">
        <v>59</v>
      </c>
      <c r="B749" s="10" t="s">
        <v>174</v>
      </c>
      <c r="C749" s="11">
        <v>2021</v>
      </c>
      <c r="D749" s="12">
        <v>580726</v>
      </c>
      <c r="E749" s="12">
        <v>571625</v>
      </c>
      <c r="F749" s="12">
        <v>9101</v>
      </c>
      <c r="H749" s="12">
        <v>251462</v>
      </c>
      <c r="L749" s="13">
        <v>2.2732062900000001</v>
      </c>
    </row>
    <row r="750" spans="1:12" x14ac:dyDescent="0.15">
      <c r="A750" s="1">
        <v>61</v>
      </c>
      <c r="B750" s="10" t="s">
        <v>175</v>
      </c>
      <c r="C750" s="11">
        <v>2021</v>
      </c>
      <c r="D750" s="12">
        <v>1453</v>
      </c>
      <c r="E750" s="12">
        <v>1424</v>
      </c>
      <c r="F750" s="12">
        <v>29</v>
      </c>
      <c r="H750" s="12">
        <v>742</v>
      </c>
      <c r="L750" s="13">
        <v>1.919137466</v>
      </c>
    </row>
    <row r="751" spans="1:12" x14ac:dyDescent="0.15">
      <c r="A751" s="1">
        <v>63</v>
      </c>
      <c r="B751" s="10" t="s">
        <v>176</v>
      </c>
      <c r="C751" s="11">
        <v>2021</v>
      </c>
      <c r="D751" s="12">
        <v>6929</v>
      </c>
      <c r="E751" s="12">
        <v>6838</v>
      </c>
      <c r="F751" s="12">
        <v>91</v>
      </c>
      <c r="H751" s="12">
        <v>3422</v>
      </c>
      <c r="L751" s="13">
        <v>1.998246639</v>
      </c>
    </row>
    <row r="752" spans="1:12" x14ac:dyDescent="0.15">
      <c r="A752" s="1">
        <v>65</v>
      </c>
      <c r="B752" s="10" t="s">
        <v>177</v>
      </c>
      <c r="C752" s="11">
        <v>2021</v>
      </c>
      <c r="D752" s="12">
        <v>7399</v>
      </c>
      <c r="E752" s="12">
        <v>7309</v>
      </c>
      <c r="F752" s="12">
        <v>90</v>
      </c>
      <c r="H752" s="12">
        <v>4348</v>
      </c>
      <c r="L752" s="13">
        <v>1.6810027599999999</v>
      </c>
    </row>
    <row r="753" spans="1:12" x14ac:dyDescent="0.15">
      <c r="A753" s="1">
        <v>67</v>
      </c>
      <c r="B753" s="10" t="s">
        <v>178</v>
      </c>
      <c r="C753" s="11">
        <v>2021</v>
      </c>
      <c r="D753" s="12">
        <v>56171</v>
      </c>
      <c r="E753" s="12">
        <v>54621</v>
      </c>
      <c r="F753" s="12">
        <v>1550</v>
      </c>
      <c r="H753" s="12">
        <v>28533</v>
      </c>
      <c r="L753" s="13">
        <v>1.9143097469999999</v>
      </c>
    </row>
    <row r="754" spans="1:12" x14ac:dyDescent="0.15">
      <c r="A754" s="1">
        <v>69</v>
      </c>
      <c r="B754" s="10" t="s">
        <v>179</v>
      </c>
      <c r="C754" s="11">
        <v>2021</v>
      </c>
      <c r="D754" s="12">
        <v>362774</v>
      </c>
      <c r="E754" s="12">
        <v>351596</v>
      </c>
      <c r="F754" s="12">
        <v>11178</v>
      </c>
      <c r="H754" s="12">
        <v>162284</v>
      </c>
      <c r="L754" s="13">
        <v>2.1665475340000002</v>
      </c>
    </row>
    <row r="755" spans="1:12" x14ac:dyDescent="0.15">
      <c r="A755" s="1">
        <v>71</v>
      </c>
      <c r="B755" s="10" t="s">
        <v>180</v>
      </c>
      <c r="C755" s="11">
        <v>2021</v>
      </c>
      <c r="D755" s="12">
        <v>14330</v>
      </c>
      <c r="E755" s="12">
        <v>13931</v>
      </c>
      <c r="F755" s="12">
        <v>399</v>
      </c>
      <c r="H755" s="12">
        <v>8114</v>
      </c>
      <c r="L755" s="13">
        <v>1.716909046</v>
      </c>
    </row>
    <row r="756" spans="1:12" x14ac:dyDescent="0.15">
      <c r="A756" s="1">
        <v>73</v>
      </c>
      <c r="B756" s="10" t="s">
        <v>181</v>
      </c>
      <c r="C756" s="11">
        <v>2021</v>
      </c>
      <c r="D756" s="12">
        <v>5470</v>
      </c>
      <c r="E756" s="12">
        <v>4696</v>
      </c>
      <c r="F756" s="12">
        <v>774</v>
      </c>
      <c r="H756" s="12">
        <v>2374</v>
      </c>
      <c r="L756" s="13">
        <v>1.9780960400000001</v>
      </c>
    </row>
    <row r="757" spans="1:12" x14ac:dyDescent="0.15">
      <c r="A757" s="1">
        <v>75</v>
      </c>
      <c r="B757" s="10" t="s">
        <v>182</v>
      </c>
      <c r="C757" s="11">
        <v>2021</v>
      </c>
      <c r="D757" s="12">
        <v>21089</v>
      </c>
      <c r="E757" s="12">
        <v>18415</v>
      </c>
      <c r="F757" s="12">
        <v>2674</v>
      </c>
      <c r="H757" s="12">
        <v>8687</v>
      </c>
      <c r="L757" s="13">
        <v>2.1198342349999999</v>
      </c>
    </row>
    <row r="758" spans="1:12" x14ac:dyDescent="0.15">
      <c r="A758" s="1">
        <v>77</v>
      </c>
      <c r="B758" s="10" t="s">
        <v>183</v>
      </c>
      <c r="C758" s="11">
        <v>2021</v>
      </c>
      <c r="D758" s="12">
        <v>157432</v>
      </c>
      <c r="E758" s="12">
        <v>153559</v>
      </c>
      <c r="F758" s="12">
        <v>3873</v>
      </c>
      <c r="H758" s="12">
        <v>68720</v>
      </c>
      <c r="L758" s="13">
        <v>2.234560536</v>
      </c>
    </row>
    <row r="759" spans="1:12" x14ac:dyDescent="0.15">
      <c r="A759" s="1">
        <v>79</v>
      </c>
      <c r="B759" s="10" t="s">
        <v>184</v>
      </c>
      <c r="C759" s="11">
        <v>2021</v>
      </c>
      <c r="D759" s="12">
        <v>926</v>
      </c>
      <c r="E759" s="12">
        <v>926</v>
      </c>
      <c r="F759" s="12">
        <v>0</v>
      </c>
      <c r="H759" s="12">
        <v>1290</v>
      </c>
      <c r="L759" s="13">
        <v>0.717829457</v>
      </c>
    </row>
    <row r="760" spans="1:12" x14ac:dyDescent="0.15">
      <c r="A760" s="1">
        <v>81</v>
      </c>
      <c r="B760" s="10" t="s">
        <v>185</v>
      </c>
      <c r="C760" s="11">
        <v>2021</v>
      </c>
      <c r="D760" s="12">
        <v>13161</v>
      </c>
      <c r="E760" s="12">
        <v>13051</v>
      </c>
      <c r="F760" s="12">
        <v>110</v>
      </c>
      <c r="H760" s="12">
        <v>6119</v>
      </c>
      <c r="L760" s="13">
        <v>2.132864847</v>
      </c>
    </row>
    <row r="761" spans="1:12" x14ac:dyDescent="0.15">
      <c r="A761" s="1">
        <v>83</v>
      </c>
      <c r="B761" s="10" t="s">
        <v>186</v>
      </c>
      <c r="C761" s="11">
        <v>2021</v>
      </c>
      <c r="D761" s="12">
        <v>26248</v>
      </c>
      <c r="E761" s="12">
        <v>25994</v>
      </c>
      <c r="F761" s="12">
        <v>254</v>
      </c>
      <c r="H761" s="12">
        <v>12328</v>
      </c>
      <c r="L761" s="13">
        <v>2.1085334200000001</v>
      </c>
    </row>
    <row r="762" spans="1:12" x14ac:dyDescent="0.15">
      <c r="A762" s="1">
        <v>85</v>
      </c>
      <c r="B762" s="10" t="s">
        <v>187</v>
      </c>
      <c r="C762" s="11">
        <v>2021</v>
      </c>
      <c r="D762" s="12">
        <v>43234</v>
      </c>
      <c r="E762" s="12">
        <v>42540</v>
      </c>
      <c r="F762" s="12">
        <v>694</v>
      </c>
      <c r="H762" s="12">
        <v>19330</v>
      </c>
      <c r="L762" s="13">
        <v>2.2007242630000001</v>
      </c>
    </row>
    <row r="763" spans="1:12" x14ac:dyDescent="0.15">
      <c r="A763" s="1">
        <v>87</v>
      </c>
      <c r="B763" s="10" t="s">
        <v>188</v>
      </c>
      <c r="C763" s="11">
        <v>2021</v>
      </c>
      <c r="D763" s="12">
        <v>29011</v>
      </c>
      <c r="E763" s="12">
        <v>28594</v>
      </c>
      <c r="F763" s="12">
        <v>417</v>
      </c>
      <c r="H763" s="12">
        <v>11639</v>
      </c>
      <c r="L763" s="13">
        <v>2.4567402700000001</v>
      </c>
    </row>
    <row r="764" spans="1:12" x14ac:dyDescent="0.15">
      <c r="A764" s="1">
        <v>89</v>
      </c>
      <c r="B764" s="10" t="s">
        <v>189</v>
      </c>
      <c r="C764" s="11">
        <v>2021</v>
      </c>
      <c r="D764" s="12">
        <v>18523</v>
      </c>
      <c r="E764" s="12">
        <v>18180</v>
      </c>
      <c r="F764" s="12">
        <v>343</v>
      </c>
      <c r="H764" s="12">
        <v>8723</v>
      </c>
      <c r="L764" s="13">
        <v>2.0841453630000002</v>
      </c>
    </row>
    <row r="765" spans="1:12" x14ac:dyDescent="0.15">
      <c r="A765" s="1">
        <v>91</v>
      </c>
      <c r="B765" s="10" t="s">
        <v>190</v>
      </c>
      <c r="C765" s="11">
        <v>2021</v>
      </c>
      <c r="D765" s="12">
        <v>5051</v>
      </c>
      <c r="E765" s="12">
        <v>5051</v>
      </c>
      <c r="F765" s="12">
        <v>0</v>
      </c>
      <c r="H765" s="12">
        <v>3391</v>
      </c>
      <c r="L765" s="13">
        <v>1.4895311120000001</v>
      </c>
    </row>
    <row r="766" spans="1:12" x14ac:dyDescent="0.15">
      <c r="A766" s="1">
        <v>93</v>
      </c>
      <c r="B766" s="10" t="s">
        <v>191</v>
      </c>
      <c r="C766" s="11">
        <v>2021</v>
      </c>
      <c r="D766" s="12">
        <v>17735</v>
      </c>
      <c r="E766" s="12">
        <v>17709</v>
      </c>
      <c r="F766" s="12">
        <v>26</v>
      </c>
      <c r="H766" s="12">
        <v>14327</v>
      </c>
      <c r="L766" s="13">
        <v>1.2360577930000001</v>
      </c>
    </row>
    <row r="767" spans="1:12" x14ac:dyDescent="0.15">
      <c r="A767" s="1">
        <v>95</v>
      </c>
      <c r="B767" s="10" t="s">
        <v>192</v>
      </c>
      <c r="C767" s="11">
        <v>2021</v>
      </c>
      <c r="D767" s="12">
        <v>4498</v>
      </c>
      <c r="E767" s="12">
        <v>4439</v>
      </c>
      <c r="F767" s="12">
        <v>59</v>
      </c>
      <c r="H767" s="12">
        <v>2029</v>
      </c>
      <c r="L767" s="13">
        <v>2.18777723</v>
      </c>
    </row>
    <row r="768" spans="1:12" x14ac:dyDescent="0.15">
      <c r="A768" s="1">
        <v>97</v>
      </c>
      <c r="B768" s="10" t="s">
        <v>193</v>
      </c>
      <c r="C768" s="11">
        <v>2021</v>
      </c>
      <c r="D768" s="12">
        <v>17336</v>
      </c>
      <c r="E768" s="12">
        <v>17289</v>
      </c>
      <c r="F768" s="12">
        <v>47</v>
      </c>
      <c r="H768" s="12">
        <v>13315</v>
      </c>
      <c r="L768" s="13">
        <v>1.2984603830000001</v>
      </c>
    </row>
    <row r="769" spans="1:12" x14ac:dyDescent="0.15">
      <c r="A769" s="1">
        <v>99</v>
      </c>
      <c r="B769" s="10" t="s">
        <v>194</v>
      </c>
      <c r="C769" s="11">
        <v>2021</v>
      </c>
      <c r="D769" s="12">
        <v>11985</v>
      </c>
      <c r="E769" s="12">
        <v>11644</v>
      </c>
      <c r="F769" s="12">
        <v>341</v>
      </c>
      <c r="H769" s="12">
        <v>5466</v>
      </c>
      <c r="L769" s="13">
        <v>2.130259788</v>
      </c>
    </row>
    <row r="770" spans="1:12" x14ac:dyDescent="0.15">
      <c r="A770" s="1">
        <v>101</v>
      </c>
      <c r="B770" s="10" t="s">
        <v>195</v>
      </c>
      <c r="C770" s="11">
        <v>2021</v>
      </c>
      <c r="D770" s="12">
        <v>169272</v>
      </c>
      <c r="E770" s="12">
        <v>166035</v>
      </c>
      <c r="F770" s="12">
        <v>3237</v>
      </c>
      <c r="H770" s="12">
        <v>73047</v>
      </c>
      <c r="L770" s="13">
        <v>2.2729886239999999</v>
      </c>
    </row>
    <row r="771" spans="1:12" x14ac:dyDescent="0.15">
      <c r="A771" s="1">
        <v>103</v>
      </c>
      <c r="B771" s="10" t="s">
        <v>196</v>
      </c>
      <c r="C771" s="11">
        <v>2021</v>
      </c>
      <c r="D771" s="12">
        <v>6443</v>
      </c>
      <c r="E771" s="12">
        <v>6258</v>
      </c>
      <c r="F771" s="12">
        <v>185</v>
      </c>
      <c r="H771" s="12">
        <v>3284</v>
      </c>
      <c r="L771" s="13">
        <v>1.905602923</v>
      </c>
    </row>
    <row r="772" spans="1:12" x14ac:dyDescent="0.15">
      <c r="A772" s="1">
        <v>105</v>
      </c>
      <c r="B772" s="10" t="s">
        <v>197</v>
      </c>
      <c r="C772" s="11">
        <v>2021</v>
      </c>
      <c r="D772" s="12">
        <v>11404</v>
      </c>
      <c r="E772" s="12">
        <v>11280</v>
      </c>
      <c r="F772" s="12">
        <v>124</v>
      </c>
      <c r="H772" s="12">
        <v>6563</v>
      </c>
      <c r="L772" s="13">
        <v>1.7187261920000001</v>
      </c>
    </row>
    <row r="773" spans="1:12" x14ac:dyDescent="0.15">
      <c r="A773" s="1">
        <v>107</v>
      </c>
      <c r="B773" s="10" t="s">
        <v>198</v>
      </c>
      <c r="C773" s="11">
        <v>2021</v>
      </c>
      <c r="D773" s="12">
        <v>25061</v>
      </c>
      <c r="E773" s="12">
        <v>24779</v>
      </c>
      <c r="F773" s="12">
        <v>282</v>
      </c>
      <c r="H773" s="12">
        <v>16824</v>
      </c>
      <c r="L773" s="13">
        <v>1.472836424</v>
      </c>
    </row>
    <row r="774" spans="1:12" x14ac:dyDescent="0.15">
      <c r="A774" s="1">
        <v>109</v>
      </c>
      <c r="B774" s="10" t="s">
        <v>199</v>
      </c>
      <c r="C774" s="11">
        <v>2021</v>
      </c>
      <c r="D774" s="12">
        <v>6507</v>
      </c>
      <c r="E774" s="12">
        <v>6491</v>
      </c>
      <c r="F774" s="12">
        <v>16</v>
      </c>
      <c r="H774" s="12">
        <v>3814</v>
      </c>
      <c r="L774" s="13">
        <v>1.701887782</v>
      </c>
    </row>
    <row r="775" spans="1:12" x14ac:dyDescent="0.15">
      <c r="A775" s="1">
        <v>111</v>
      </c>
      <c r="B775" s="10" t="s">
        <v>200</v>
      </c>
      <c r="C775" s="11">
        <v>2021</v>
      </c>
      <c r="D775" s="12">
        <v>741</v>
      </c>
      <c r="E775" s="12">
        <v>741</v>
      </c>
      <c r="F775" s="12">
        <v>0</v>
      </c>
      <c r="H775" s="12">
        <v>788</v>
      </c>
      <c r="L775" s="13">
        <v>0.94035533000000004</v>
      </c>
    </row>
    <row r="776" spans="1:12" x14ac:dyDescent="0.15">
      <c r="A776" s="1">
        <v>113</v>
      </c>
      <c r="B776" s="10" t="s">
        <v>201</v>
      </c>
      <c r="C776" s="11">
        <v>2021</v>
      </c>
      <c r="D776" s="12">
        <v>8078</v>
      </c>
      <c r="E776" s="12">
        <v>8073</v>
      </c>
      <c r="F776" s="12">
        <v>5</v>
      </c>
      <c r="H776" s="12">
        <v>6595</v>
      </c>
      <c r="L776" s="13">
        <v>1.2241091740000001</v>
      </c>
    </row>
    <row r="777" spans="1:12" x14ac:dyDescent="0.15">
      <c r="A777" s="1">
        <v>115</v>
      </c>
      <c r="B777" s="10" t="s">
        <v>202</v>
      </c>
      <c r="C777" s="11">
        <v>2021</v>
      </c>
      <c r="D777" s="12">
        <v>2330</v>
      </c>
      <c r="E777" s="12">
        <v>2293</v>
      </c>
      <c r="F777" s="12">
        <v>37</v>
      </c>
      <c r="H777" s="12">
        <v>1343</v>
      </c>
      <c r="L777" s="13">
        <v>1.707371556</v>
      </c>
    </row>
    <row r="778" spans="1:12" x14ac:dyDescent="0.15">
      <c r="A778" s="1">
        <v>117</v>
      </c>
      <c r="B778" s="10" t="s">
        <v>203</v>
      </c>
      <c r="C778" s="11">
        <v>2021</v>
      </c>
      <c r="D778" s="12">
        <v>30994</v>
      </c>
      <c r="E778" s="12">
        <v>30415</v>
      </c>
      <c r="F778" s="12">
        <v>579</v>
      </c>
      <c r="H778" s="12">
        <v>31737</v>
      </c>
      <c r="L778" s="13">
        <v>0.95834514900000001</v>
      </c>
    </row>
    <row r="779" spans="1:12" x14ac:dyDescent="0.15">
      <c r="A779" s="1">
        <v>119</v>
      </c>
      <c r="B779" s="10" t="s">
        <v>204</v>
      </c>
      <c r="C779" s="11">
        <v>2021</v>
      </c>
      <c r="D779" s="12">
        <v>24947</v>
      </c>
      <c r="E779" s="12">
        <v>24784</v>
      </c>
      <c r="F779" s="12">
        <v>163</v>
      </c>
      <c r="H779" s="12">
        <v>13509</v>
      </c>
      <c r="L779" s="13">
        <v>1.834628766</v>
      </c>
    </row>
    <row r="780" spans="1:12" x14ac:dyDescent="0.15">
      <c r="A780" s="1">
        <v>121</v>
      </c>
      <c r="B780" s="10" t="s">
        <v>205</v>
      </c>
      <c r="C780" s="11">
        <v>2021</v>
      </c>
      <c r="D780" s="12">
        <v>4870</v>
      </c>
      <c r="E780" s="12">
        <v>4705</v>
      </c>
      <c r="F780" s="12">
        <v>165</v>
      </c>
      <c r="H780" s="12">
        <v>2287</v>
      </c>
      <c r="L780" s="13">
        <v>2.0572802800000001</v>
      </c>
    </row>
    <row r="781" spans="1:12" x14ac:dyDescent="0.15">
      <c r="A781" s="1">
        <v>123</v>
      </c>
      <c r="B781" s="10" t="s">
        <v>206</v>
      </c>
      <c r="C781" s="11">
        <v>2021</v>
      </c>
      <c r="D781" s="12">
        <v>339865</v>
      </c>
      <c r="E781" s="12">
        <v>335432</v>
      </c>
      <c r="F781" s="12">
        <v>4433</v>
      </c>
      <c r="H781" s="12">
        <v>124749</v>
      </c>
      <c r="L781" s="13">
        <v>2.6888552209999999</v>
      </c>
    </row>
    <row r="782" spans="1:12" x14ac:dyDescent="0.15">
      <c r="A782" s="1">
        <v>125</v>
      </c>
      <c r="B782" s="10" t="s">
        <v>207</v>
      </c>
      <c r="C782" s="11">
        <v>2021</v>
      </c>
      <c r="D782" s="12">
        <v>9932</v>
      </c>
      <c r="E782" s="12">
        <v>9750</v>
      </c>
      <c r="F782" s="12">
        <v>182</v>
      </c>
      <c r="H782" s="12">
        <v>4320</v>
      </c>
      <c r="L782" s="13">
        <v>2.2569444440000002</v>
      </c>
    </row>
    <row r="783" spans="1:12" x14ac:dyDescent="0.15">
      <c r="A783" s="1">
        <v>0</v>
      </c>
      <c r="B783" s="10" t="s">
        <v>143</v>
      </c>
      <c r="C783" s="11">
        <v>2022</v>
      </c>
      <c r="D783" s="12">
        <v>5838736</v>
      </c>
      <c r="E783" s="12">
        <v>5715606</v>
      </c>
      <c r="F783" s="12">
        <v>123130</v>
      </c>
      <c r="H783" s="12">
        <v>2598686</v>
      </c>
      <c r="L783" s="13">
        <v>2.1994215540000002</v>
      </c>
    </row>
    <row r="784" spans="1:12" x14ac:dyDescent="0.15">
      <c r="A784" s="1">
        <v>1</v>
      </c>
      <c r="B784" s="10" t="s">
        <v>144</v>
      </c>
      <c r="C784" s="11">
        <v>2022</v>
      </c>
      <c r="D784" s="12">
        <v>527501</v>
      </c>
      <c r="E784" s="12">
        <v>522937</v>
      </c>
      <c r="F784" s="12">
        <v>4564</v>
      </c>
      <c r="H784" s="12">
        <v>196741</v>
      </c>
      <c r="L784" s="13">
        <v>2.6579970620000002</v>
      </c>
    </row>
    <row r="785" spans="1:12" x14ac:dyDescent="0.15">
      <c r="A785" s="1">
        <v>3</v>
      </c>
      <c r="B785" s="10" t="s">
        <v>145</v>
      </c>
      <c r="C785" s="11">
        <v>2022</v>
      </c>
      <c r="D785" s="12">
        <v>16575</v>
      </c>
      <c r="E785" s="12">
        <v>15609</v>
      </c>
      <c r="F785" s="12">
        <v>966</v>
      </c>
      <c r="H785" s="12">
        <v>7250</v>
      </c>
      <c r="L785" s="13">
        <v>2.1529655170000002</v>
      </c>
    </row>
    <row r="786" spans="1:12" x14ac:dyDescent="0.15">
      <c r="A786" s="1">
        <v>5</v>
      </c>
      <c r="B786" s="10" t="s">
        <v>146</v>
      </c>
      <c r="C786" s="11">
        <v>2022</v>
      </c>
      <c r="D786" s="12">
        <v>656015</v>
      </c>
      <c r="E786" s="12">
        <v>650714</v>
      </c>
      <c r="F786" s="12">
        <v>5301</v>
      </c>
      <c r="H786" s="12">
        <v>270939</v>
      </c>
      <c r="L786" s="13">
        <v>2.4016992749999999</v>
      </c>
    </row>
    <row r="787" spans="1:12" x14ac:dyDescent="0.15">
      <c r="A787" s="1">
        <v>7</v>
      </c>
      <c r="B787" s="10" t="s">
        <v>147</v>
      </c>
      <c r="C787" s="11">
        <v>2022</v>
      </c>
      <c r="D787" s="12">
        <v>13986</v>
      </c>
      <c r="E787" s="12">
        <v>13898</v>
      </c>
      <c r="F787" s="12">
        <v>88</v>
      </c>
      <c r="H787" s="12">
        <v>9879</v>
      </c>
      <c r="L787" s="13">
        <v>1.406822553</v>
      </c>
    </row>
    <row r="788" spans="1:12" x14ac:dyDescent="0.15">
      <c r="A788" s="1">
        <v>9</v>
      </c>
      <c r="B788" s="10" t="s">
        <v>148</v>
      </c>
      <c r="C788" s="11">
        <v>2022</v>
      </c>
      <c r="D788" s="12">
        <v>3431</v>
      </c>
      <c r="E788" s="12">
        <v>3383</v>
      </c>
      <c r="F788" s="12">
        <v>48</v>
      </c>
      <c r="H788" s="12">
        <v>1981</v>
      </c>
      <c r="L788" s="13">
        <v>1.707723372</v>
      </c>
    </row>
    <row r="789" spans="1:12" x14ac:dyDescent="0.15">
      <c r="A789" s="1">
        <v>11</v>
      </c>
      <c r="B789" s="10" t="s">
        <v>149</v>
      </c>
      <c r="C789" s="11">
        <v>2022</v>
      </c>
      <c r="D789" s="12">
        <v>5400</v>
      </c>
      <c r="E789" s="12">
        <v>4105</v>
      </c>
      <c r="F789" s="12">
        <v>1295</v>
      </c>
      <c r="H789" s="12">
        <v>2171</v>
      </c>
      <c r="L789" s="13">
        <v>1.890833717</v>
      </c>
    </row>
    <row r="790" spans="1:12" x14ac:dyDescent="0.15">
      <c r="A790" s="1">
        <v>13</v>
      </c>
      <c r="B790" s="10" t="s">
        <v>150</v>
      </c>
      <c r="C790" s="11">
        <v>2022</v>
      </c>
      <c r="D790" s="12">
        <v>327424</v>
      </c>
      <c r="E790" s="12">
        <v>313031</v>
      </c>
      <c r="F790" s="12">
        <v>14393</v>
      </c>
      <c r="H790" s="12">
        <v>144094</v>
      </c>
      <c r="L790" s="13">
        <v>2.1724082889999998</v>
      </c>
    </row>
    <row r="791" spans="1:12" x14ac:dyDescent="0.15">
      <c r="A791" s="1">
        <v>14</v>
      </c>
      <c r="B791" s="10" t="s">
        <v>151</v>
      </c>
      <c r="C791" s="11">
        <v>2022</v>
      </c>
      <c r="D791" s="12">
        <v>76155</v>
      </c>
      <c r="E791" s="12">
        <v>75704</v>
      </c>
      <c r="F791" s="12">
        <v>451</v>
      </c>
      <c r="H791" s="12">
        <v>33645</v>
      </c>
      <c r="L791" s="13">
        <v>2.2500817359999998</v>
      </c>
    </row>
    <row r="792" spans="1:12" x14ac:dyDescent="0.15">
      <c r="A792" s="1">
        <v>15</v>
      </c>
      <c r="B792" s="10" t="s">
        <v>152</v>
      </c>
      <c r="C792" s="11">
        <v>2022</v>
      </c>
      <c r="D792" s="12">
        <v>20261</v>
      </c>
      <c r="E792" s="12">
        <v>19071</v>
      </c>
      <c r="F792" s="12">
        <v>1190</v>
      </c>
      <c r="H792" s="12">
        <v>11903</v>
      </c>
      <c r="L792" s="13">
        <v>1.602201126</v>
      </c>
    </row>
    <row r="793" spans="1:12" x14ac:dyDescent="0.15">
      <c r="A793" s="1">
        <v>17</v>
      </c>
      <c r="B793" s="10" t="s">
        <v>153</v>
      </c>
      <c r="C793" s="11">
        <v>2022</v>
      </c>
      <c r="D793" s="12">
        <v>1722</v>
      </c>
      <c r="E793" s="12">
        <v>1698</v>
      </c>
      <c r="F793" s="12">
        <v>24</v>
      </c>
      <c r="H793" s="12">
        <v>945</v>
      </c>
      <c r="L793" s="13">
        <v>1.7968253970000001</v>
      </c>
    </row>
    <row r="794" spans="1:12" x14ac:dyDescent="0.15">
      <c r="A794" s="1">
        <v>19</v>
      </c>
      <c r="B794" s="10" t="s">
        <v>154</v>
      </c>
      <c r="C794" s="11">
        <v>2022</v>
      </c>
      <c r="D794" s="12">
        <v>9366</v>
      </c>
      <c r="E794" s="12">
        <v>9284</v>
      </c>
      <c r="F794" s="12">
        <v>82</v>
      </c>
      <c r="H794" s="12">
        <v>5868</v>
      </c>
      <c r="L794" s="13">
        <v>1.582140423</v>
      </c>
    </row>
    <row r="795" spans="1:12" x14ac:dyDescent="0.15">
      <c r="A795" s="1">
        <v>21</v>
      </c>
      <c r="B795" s="10" t="s">
        <v>155</v>
      </c>
      <c r="C795" s="11">
        <v>2022</v>
      </c>
      <c r="D795" s="12">
        <v>7572</v>
      </c>
      <c r="E795" s="12">
        <v>7524</v>
      </c>
      <c r="F795" s="12">
        <v>48</v>
      </c>
      <c r="H795" s="12">
        <v>4119</v>
      </c>
      <c r="L795" s="13">
        <v>1.8266569560000001</v>
      </c>
    </row>
    <row r="796" spans="1:12" x14ac:dyDescent="0.15">
      <c r="A796" s="1">
        <v>23</v>
      </c>
      <c r="B796" s="10" t="s">
        <v>156</v>
      </c>
      <c r="C796" s="11">
        <v>2022</v>
      </c>
      <c r="D796" s="12">
        <v>3614</v>
      </c>
      <c r="E796" s="12">
        <v>3602</v>
      </c>
      <c r="F796" s="12">
        <v>12</v>
      </c>
      <c r="H796" s="12">
        <v>2424</v>
      </c>
      <c r="L796" s="13">
        <v>1.4859735970000001</v>
      </c>
    </row>
    <row r="797" spans="1:12" x14ac:dyDescent="0.15">
      <c r="A797" s="1">
        <v>25</v>
      </c>
      <c r="B797" s="10" t="s">
        <v>157</v>
      </c>
      <c r="C797" s="11">
        <v>2022</v>
      </c>
      <c r="D797" s="12">
        <v>5620</v>
      </c>
      <c r="E797" s="12">
        <v>3116</v>
      </c>
      <c r="F797" s="12">
        <v>2504</v>
      </c>
      <c r="H797" s="12">
        <v>1535</v>
      </c>
      <c r="L797" s="13">
        <v>2.0299674269999999</v>
      </c>
    </row>
    <row r="798" spans="1:12" x14ac:dyDescent="0.15">
      <c r="A798" s="1">
        <v>27</v>
      </c>
      <c r="B798" s="10" t="s">
        <v>158</v>
      </c>
      <c r="C798" s="11">
        <v>2022</v>
      </c>
      <c r="D798" s="12">
        <v>5338</v>
      </c>
      <c r="E798" s="12">
        <v>5335</v>
      </c>
      <c r="F798" s="12">
        <v>3</v>
      </c>
      <c r="H798" s="12">
        <v>4470</v>
      </c>
      <c r="L798" s="13">
        <v>1.193512304</v>
      </c>
    </row>
    <row r="799" spans="1:12" x14ac:dyDescent="0.15">
      <c r="A799" s="1">
        <v>29</v>
      </c>
      <c r="B799" s="10" t="s">
        <v>159</v>
      </c>
      <c r="C799" s="11">
        <v>2022</v>
      </c>
      <c r="D799" s="12">
        <v>31581</v>
      </c>
      <c r="E799" s="12">
        <v>31086</v>
      </c>
      <c r="F799" s="12">
        <v>495</v>
      </c>
      <c r="H799" s="12">
        <v>15081</v>
      </c>
      <c r="L799" s="13">
        <v>2.061269147</v>
      </c>
    </row>
    <row r="800" spans="1:12" x14ac:dyDescent="0.15">
      <c r="A800" s="1">
        <v>31</v>
      </c>
      <c r="B800" s="10" t="s">
        <v>160</v>
      </c>
      <c r="C800" s="11">
        <v>2022</v>
      </c>
      <c r="D800" s="12">
        <v>712637</v>
      </c>
      <c r="E800" s="12">
        <v>697243</v>
      </c>
      <c r="F800" s="12">
        <v>15394</v>
      </c>
      <c r="H800" s="12">
        <v>360938</v>
      </c>
      <c r="L800" s="13">
        <v>1.931752822</v>
      </c>
    </row>
    <row r="801" spans="1:12" x14ac:dyDescent="0.15">
      <c r="A801" s="1">
        <v>33</v>
      </c>
      <c r="B801" s="10" t="s">
        <v>161</v>
      </c>
      <c r="C801" s="11">
        <v>2022</v>
      </c>
      <c r="D801" s="12">
        <v>2203</v>
      </c>
      <c r="E801" s="12">
        <v>2203</v>
      </c>
      <c r="F801" s="12">
        <v>0</v>
      </c>
      <c r="H801" s="12">
        <v>1357</v>
      </c>
      <c r="L801" s="13">
        <v>1.6234340460000001</v>
      </c>
    </row>
    <row r="802" spans="1:12" x14ac:dyDescent="0.15">
      <c r="A802" s="1">
        <v>35</v>
      </c>
      <c r="B802" s="10" t="s">
        <v>162</v>
      </c>
      <c r="C802" s="11">
        <v>2022</v>
      </c>
      <c r="D802" s="12">
        <v>376026</v>
      </c>
      <c r="E802" s="12">
        <v>374404</v>
      </c>
      <c r="F802" s="12">
        <v>1622</v>
      </c>
      <c r="H802" s="12">
        <v>145974</v>
      </c>
      <c r="L802" s="13">
        <v>2.5648677160000002</v>
      </c>
    </row>
    <row r="803" spans="1:12" x14ac:dyDescent="0.15">
      <c r="A803" s="1">
        <v>37</v>
      </c>
      <c r="B803" s="10" t="s">
        <v>163</v>
      </c>
      <c r="C803" s="11">
        <v>2022</v>
      </c>
      <c r="D803" s="12">
        <v>55291</v>
      </c>
      <c r="E803" s="12">
        <v>55190</v>
      </c>
      <c r="F803" s="12">
        <v>101</v>
      </c>
      <c r="H803" s="12">
        <v>34333</v>
      </c>
      <c r="L803" s="13">
        <v>1.607491335</v>
      </c>
    </row>
    <row r="804" spans="1:12" x14ac:dyDescent="0.15">
      <c r="A804" s="1">
        <v>39</v>
      </c>
      <c r="B804" s="10" t="s">
        <v>164</v>
      </c>
      <c r="C804" s="11">
        <v>2022</v>
      </c>
      <c r="D804" s="12">
        <v>27821</v>
      </c>
      <c r="E804" s="12">
        <v>27762</v>
      </c>
      <c r="F804" s="12">
        <v>59</v>
      </c>
      <c r="H804" s="12">
        <v>10555</v>
      </c>
      <c r="L804" s="13">
        <v>2.6302226430000002</v>
      </c>
    </row>
    <row r="805" spans="1:12" x14ac:dyDescent="0.15">
      <c r="A805" s="1">
        <v>41</v>
      </c>
      <c r="B805" s="10" t="s">
        <v>165</v>
      </c>
      <c r="C805" s="11">
        <v>2022</v>
      </c>
      <c r="D805" s="12">
        <v>740552</v>
      </c>
      <c r="E805" s="12">
        <v>720084</v>
      </c>
      <c r="F805" s="12">
        <v>20468</v>
      </c>
      <c r="H805" s="12">
        <v>304114</v>
      </c>
      <c r="L805" s="13">
        <v>2.3678094399999998</v>
      </c>
    </row>
    <row r="806" spans="1:12" x14ac:dyDescent="0.15">
      <c r="A806" s="1">
        <v>43</v>
      </c>
      <c r="B806" s="10" t="s">
        <v>166</v>
      </c>
      <c r="C806" s="11">
        <v>2022</v>
      </c>
      <c r="D806" s="12">
        <v>49570</v>
      </c>
      <c r="E806" s="12">
        <v>41601</v>
      </c>
      <c r="F806" s="12">
        <v>7969</v>
      </c>
      <c r="H806" s="12">
        <v>20610</v>
      </c>
      <c r="L806" s="13">
        <v>2.0184861719999998</v>
      </c>
    </row>
    <row r="807" spans="1:12" x14ac:dyDescent="0.15">
      <c r="A807" s="1">
        <v>45</v>
      </c>
      <c r="B807" s="10" t="s">
        <v>167</v>
      </c>
      <c r="C807" s="11">
        <v>2022</v>
      </c>
      <c r="D807" s="12">
        <v>62254</v>
      </c>
      <c r="E807" s="12">
        <v>61221</v>
      </c>
      <c r="F807" s="12">
        <v>1033</v>
      </c>
      <c r="H807" s="12">
        <v>25068</v>
      </c>
      <c r="L807" s="13">
        <v>2.4421972240000001</v>
      </c>
    </row>
    <row r="808" spans="1:12" x14ac:dyDescent="0.15">
      <c r="A808" s="1">
        <v>47</v>
      </c>
      <c r="B808" s="10" t="s">
        <v>168</v>
      </c>
      <c r="C808" s="11">
        <v>2022</v>
      </c>
      <c r="D808" s="12">
        <v>5895</v>
      </c>
      <c r="E808" s="12">
        <v>5847</v>
      </c>
      <c r="F808" s="12">
        <v>48</v>
      </c>
      <c r="H808" s="12">
        <v>3564</v>
      </c>
      <c r="L808" s="13">
        <v>1.6405723910000001</v>
      </c>
    </row>
    <row r="809" spans="1:12" x14ac:dyDescent="0.15">
      <c r="A809" s="1">
        <v>49</v>
      </c>
      <c r="B809" s="10" t="s">
        <v>169</v>
      </c>
      <c r="C809" s="11">
        <v>2022</v>
      </c>
      <c r="D809" s="12">
        <v>15748</v>
      </c>
      <c r="E809" s="12">
        <v>15536</v>
      </c>
      <c r="F809" s="12">
        <v>212</v>
      </c>
      <c r="H809" s="12">
        <v>17285</v>
      </c>
      <c r="L809" s="13">
        <v>0.89881400099999997</v>
      </c>
    </row>
    <row r="810" spans="1:12" x14ac:dyDescent="0.15">
      <c r="A810" s="1">
        <v>51</v>
      </c>
      <c r="B810" s="10" t="s">
        <v>170</v>
      </c>
      <c r="C810" s="11">
        <v>2022</v>
      </c>
      <c r="D810" s="12">
        <v>17269</v>
      </c>
      <c r="E810" s="12">
        <v>16212</v>
      </c>
      <c r="F810" s="12">
        <v>1057</v>
      </c>
      <c r="H810" s="12">
        <v>12619</v>
      </c>
      <c r="L810" s="13">
        <v>1.284729376</v>
      </c>
    </row>
    <row r="811" spans="1:12" x14ac:dyDescent="0.15">
      <c r="A811" s="1">
        <v>53</v>
      </c>
      <c r="B811" s="10" t="s">
        <v>171</v>
      </c>
      <c r="C811" s="11">
        <v>2022</v>
      </c>
      <c r="D811" s="12">
        <v>779</v>
      </c>
      <c r="E811" s="12">
        <v>779</v>
      </c>
      <c r="F811" s="12">
        <v>0</v>
      </c>
      <c r="H811" s="12">
        <v>1358</v>
      </c>
      <c r="L811" s="13">
        <v>0.57363770300000005</v>
      </c>
    </row>
    <row r="812" spans="1:12" x14ac:dyDescent="0.15">
      <c r="A812" s="1">
        <v>55</v>
      </c>
      <c r="B812" s="10" t="s">
        <v>172</v>
      </c>
      <c r="C812" s="11">
        <v>2022</v>
      </c>
      <c r="D812" s="12">
        <v>7104</v>
      </c>
      <c r="E812" s="12">
        <v>7001</v>
      </c>
      <c r="F812" s="12">
        <v>103</v>
      </c>
      <c r="H812" s="12">
        <v>4747</v>
      </c>
      <c r="L812" s="13">
        <v>1.4748262059999999</v>
      </c>
    </row>
    <row r="813" spans="1:12" x14ac:dyDescent="0.15">
      <c r="A813" s="1">
        <v>57</v>
      </c>
      <c r="B813" s="10" t="s">
        <v>173</v>
      </c>
      <c r="C813" s="11">
        <v>2022</v>
      </c>
      <c r="D813" s="12">
        <v>1314</v>
      </c>
      <c r="E813" s="12">
        <v>1312</v>
      </c>
      <c r="F813" s="12">
        <v>2</v>
      </c>
      <c r="H813" s="12">
        <v>1199</v>
      </c>
      <c r="L813" s="13">
        <v>1.0942452039999999</v>
      </c>
    </row>
    <row r="814" spans="1:12" x14ac:dyDescent="0.15">
      <c r="A814" s="1">
        <v>59</v>
      </c>
      <c r="B814" s="10" t="s">
        <v>174</v>
      </c>
      <c r="C814" s="11">
        <v>2022</v>
      </c>
      <c r="D814" s="12">
        <v>575936</v>
      </c>
      <c r="E814" s="12">
        <v>566554</v>
      </c>
      <c r="F814" s="12">
        <v>9382</v>
      </c>
      <c r="H814" s="12">
        <v>254441</v>
      </c>
      <c r="L814" s="13">
        <v>2.2266615839999999</v>
      </c>
    </row>
    <row r="815" spans="1:12" x14ac:dyDescent="0.15">
      <c r="A815" s="1">
        <v>61</v>
      </c>
      <c r="B815" s="10" t="s">
        <v>175</v>
      </c>
      <c r="C815" s="11">
        <v>2022</v>
      </c>
      <c r="D815" s="12">
        <v>1428</v>
      </c>
      <c r="E815" s="12">
        <v>1399</v>
      </c>
      <c r="F815" s="12">
        <v>29</v>
      </c>
      <c r="H815" s="12">
        <v>748</v>
      </c>
      <c r="L815" s="13">
        <v>1.870320856</v>
      </c>
    </row>
    <row r="816" spans="1:12" x14ac:dyDescent="0.15">
      <c r="A816" s="1">
        <v>63</v>
      </c>
      <c r="B816" s="10" t="s">
        <v>176</v>
      </c>
      <c r="C816" s="11">
        <v>2022</v>
      </c>
      <c r="D816" s="12">
        <v>6974</v>
      </c>
      <c r="E816" s="12">
        <v>6881</v>
      </c>
      <c r="F816" s="12">
        <v>93</v>
      </c>
      <c r="H816" s="12">
        <v>3428</v>
      </c>
      <c r="L816" s="13">
        <v>2.0072928819999998</v>
      </c>
    </row>
    <row r="817" spans="1:12" x14ac:dyDescent="0.15">
      <c r="A817" s="1">
        <v>65</v>
      </c>
      <c r="B817" s="10" t="s">
        <v>177</v>
      </c>
      <c r="C817" s="11">
        <v>2022</v>
      </c>
      <c r="D817" s="12">
        <v>7342</v>
      </c>
      <c r="E817" s="12">
        <v>7229</v>
      </c>
      <c r="F817" s="12">
        <v>113</v>
      </c>
      <c r="H817" s="12">
        <v>4452</v>
      </c>
      <c r="L817" s="13">
        <v>1.6237645999999999</v>
      </c>
    </row>
    <row r="818" spans="1:12" x14ac:dyDescent="0.15">
      <c r="A818" s="1">
        <v>67</v>
      </c>
      <c r="B818" s="10" t="s">
        <v>178</v>
      </c>
      <c r="C818" s="11">
        <v>2022</v>
      </c>
      <c r="D818" s="12">
        <v>56557</v>
      </c>
      <c r="E818" s="12">
        <v>54645</v>
      </c>
      <c r="F818" s="12">
        <v>1912</v>
      </c>
      <c r="H818" s="12">
        <v>28946</v>
      </c>
      <c r="L818" s="13">
        <v>1.887825606</v>
      </c>
    </row>
    <row r="819" spans="1:12" x14ac:dyDescent="0.15">
      <c r="A819" s="1">
        <v>69</v>
      </c>
      <c r="B819" s="10" t="s">
        <v>179</v>
      </c>
      <c r="C819" s="11">
        <v>2022</v>
      </c>
      <c r="D819" s="12">
        <v>366843</v>
      </c>
      <c r="E819" s="12">
        <v>354725</v>
      </c>
      <c r="F819" s="12">
        <v>12118</v>
      </c>
      <c r="H819" s="12">
        <v>165658</v>
      </c>
      <c r="L819" s="13">
        <v>2.141309203</v>
      </c>
    </row>
    <row r="820" spans="1:12" x14ac:dyDescent="0.15">
      <c r="A820" s="1">
        <v>71</v>
      </c>
      <c r="B820" s="10" t="s">
        <v>180</v>
      </c>
      <c r="C820" s="11">
        <v>2022</v>
      </c>
      <c r="D820" s="12">
        <v>14297</v>
      </c>
      <c r="E820" s="12">
        <v>13904</v>
      </c>
      <c r="F820" s="12">
        <v>393</v>
      </c>
      <c r="H820" s="12">
        <v>8155</v>
      </c>
      <c r="L820" s="13">
        <v>1.7049662779999999</v>
      </c>
    </row>
    <row r="821" spans="1:12" x14ac:dyDescent="0.15">
      <c r="A821" s="1">
        <v>73</v>
      </c>
      <c r="B821" s="10" t="s">
        <v>181</v>
      </c>
      <c r="C821" s="11">
        <v>2022</v>
      </c>
      <c r="D821" s="12">
        <v>5513</v>
      </c>
      <c r="E821" s="12">
        <v>4671</v>
      </c>
      <c r="F821" s="12">
        <v>842</v>
      </c>
      <c r="H821" s="12">
        <v>2386</v>
      </c>
      <c r="L821" s="13">
        <v>1.95766974</v>
      </c>
    </row>
    <row r="822" spans="1:12" x14ac:dyDescent="0.15">
      <c r="A822" s="1">
        <v>75</v>
      </c>
      <c r="B822" s="10" t="s">
        <v>182</v>
      </c>
      <c r="C822" s="11">
        <v>2022</v>
      </c>
      <c r="D822" s="12">
        <v>20809</v>
      </c>
      <c r="E822" s="12">
        <v>18116</v>
      </c>
      <c r="F822" s="12">
        <v>2693</v>
      </c>
      <c r="H822" s="12">
        <v>8708</v>
      </c>
      <c r="L822" s="13">
        <v>2.080385852</v>
      </c>
    </row>
    <row r="823" spans="1:12" x14ac:dyDescent="0.15">
      <c r="A823" s="1">
        <v>77</v>
      </c>
      <c r="B823" s="10" t="s">
        <v>183</v>
      </c>
      <c r="C823" s="11">
        <v>2022</v>
      </c>
      <c r="D823" s="12">
        <v>158534</v>
      </c>
      <c r="E823" s="12">
        <v>154405</v>
      </c>
      <c r="F823" s="12">
        <v>4129</v>
      </c>
      <c r="H823" s="12">
        <v>70017</v>
      </c>
      <c r="L823" s="13">
        <v>2.2052501539999998</v>
      </c>
    </row>
    <row r="824" spans="1:12" x14ac:dyDescent="0.15">
      <c r="A824" s="1">
        <v>79</v>
      </c>
      <c r="B824" s="10" t="s">
        <v>184</v>
      </c>
      <c r="C824" s="11">
        <v>2022</v>
      </c>
      <c r="D824" s="12">
        <v>924</v>
      </c>
      <c r="E824" s="12">
        <v>924</v>
      </c>
      <c r="F824" s="12">
        <v>0</v>
      </c>
      <c r="H824" s="12">
        <v>1298</v>
      </c>
      <c r="L824" s="13">
        <v>0.71186440699999998</v>
      </c>
    </row>
    <row r="825" spans="1:12" x14ac:dyDescent="0.15">
      <c r="A825" s="1">
        <v>81</v>
      </c>
      <c r="B825" s="10" t="s">
        <v>185</v>
      </c>
      <c r="C825" s="11">
        <v>2022</v>
      </c>
      <c r="D825" s="12">
        <v>13166</v>
      </c>
      <c r="E825" s="12">
        <v>13056</v>
      </c>
      <c r="F825" s="12">
        <v>110</v>
      </c>
      <c r="H825" s="12">
        <v>6139</v>
      </c>
      <c r="L825" s="13">
        <v>2.126730738</v>
      </c>
    </row>
    <row r="826" spans="1:12" x14ac:dyDescent="0.15">
      <c r="A826" s="1">
        <v>83</v>
      </c>
      <c r="B826" s="10" t="s">
        <v>186</v>
      </c>
      <c r="C826" s="11">
        <v>2022</v>
      </c>
      <c r="D826" s="12">
        <v>26464</v>
      </c>
      <c r="E826" s="12">
        <v>26213</v>
      </c>
      <c r="F826" s="12">
        <v>251</v>
      </c>
      <c r="H826" s="12">
        <v>12348</v>
      </c>
      <c r="L826" s="13">
        <v>2.1228539030000002</v>
      </c>
    </row>
    <row r="827" spans="1:12" x14ac:dyDescent="0.15">
      <c r="A827" s="1">
        <v>85</v>
      </c>
      <c r="B827" s="10" t="s">
        <v>187</v>
      </c>
      <c r="C827" s="11">
        <v>2022</v>
      </c>
      <c r="D827" s="12">
        <v>43799</v>
      </c>
      <c r="E827" s="12">
        <v>43111</v>
      </c>
      <c r="F827" s="12">
        <v>688</v>
      </c>
      <c r="H827" s="12">
        <v>19734</v>
      </c>
      <c r="L827" s="13">
        <v>2.1846052500000002</v>
      </c>
    </row>
    <row r="828" spans="1:12" x14ac:dyDescent="0.15">
      <c r="A828" s="1">
        <v>87</v>
      </c>
      <c r="B828" s="10" t="s">
        <v>188</v>
      </c>
      <c r="C828" s="11">
        <v>2022</v>
      </c>
      <c r="D828" s="12">
        <v>29296</v>
      </c>
      <c r="E828" s="12">
        <v>28880</v>
      </c>
      <c r="F828" s="12">
        <v>416</v>
      </c>
      <c r="H828" s="12">
        <v>11857</v>
      </c>
      <c r="L828" s="13">
        <v>2.4356919960000001</v>
      </c>
    </row>
    <row r="829" spans="1:12" x14ac:dyDescent="0.15">
      <c r="A829" s="1">
        <v>89</v>
      </c>
      <c r="B829" s="10" t="s">
        <v>189</v>
      </c>
      <c r="C829" s="11">
        <v>2022</v>
      </c>
      <c r="D829" s="12">
        <v>18294</v>
      </c>
      <c r="E829" s="12">
        <v>17975</v>
      </c>
      <c r="F829" s="12">
        <v>319</v>
      </c>
      <c r="H829" s="12">
        <v>8738</v>
      </c>
      <c r="L829" s="13">
        <v>2.0571068889999999</v>
      </c>
    </row>
    <row r="830" spans="1:12" x14ac:dyDescent="0.15">
      <c r="A830" s="1">
        <v>91</v>
      </c>
      <c r="B830" s="10" t="s">
        <v>190</v>
      </c>
      <c r="C830" s="11">
        <v>2022</v>
      </c>
      <c r="D830" s="12">
        <v>5088</v>
      </c>
      <c r="E830" s="12">
        <v>5088</v>
      </c>
      <c r="F830" s="12">
        <v>0</v>
      </c>
      <c r="H830" s="12">
        <v>3511</v>
      </c>
      <c r="L830" s="13">
        <v>1.4491597839999999</v>
      </c>
    </row>
    <row r="831" spans="1:12" x14ac:dyDescent="0.15">
      <c r="A831" s="1">
        <v>93</v>
      </c>
      <c r="B831" s="10" t="s">
        <v>191</v>
      </c>
      <c r="C831" s="11">
        <v>2022</v>
      </c>
      <c r="D831" s="12">
        <v>17900</v>
      </c>
      <c r="E831" s="12">
        <v>17874</v>
      </c>
      <c r="F831" s="12">
        <v>26</v>
      </c>
      <c r="H831" s="12">
        <v>14518</v>
      </c>
      <c r="L831" s="13">
        <v>1.231161317</v>
      </c>
    </row>
    <row r="832" spans="1:12" x14ac:dyDescent="0.15">
      <c r="A832" s="1">
        <v>95</v>
      </c>
      <c r="B832" s="10" t="s">
        <v>192</v>
      </c>
      <c r="C832" s="11">
        <v>2022</v>
      </c>
      <c r="D832" s="12">
        <v>4435</v>
      </c>
      <c r="E832" s="12">
        <v>4377</v>
      </c>
      <c r="F832" s="12">
        <v>58</v>
      </c>
      <c r="H832" s="12">
        <v>2037</v>
      </c>
      <c r="L832" s="13">
        <v>2.1487481590000002</v>
      </c>
    </row>
    <row r="833" spans="1:12" x14ac:dyDescent="0.15">
      <c r="A833" s="1">
        <v>97</v>
      </c>
      <c r="B833" s="10" t="s">
        <v>193</v>
      </c>
      <c r="C833" s="11">
        <v>2022</v>
      </c>
      <c r="D833" s="12">
        <v>16856</v>
      </c>
      <c r="E833" s="12">
        <v>16809</v>
      </c>
      <c r="F833" s="12">
        <v>47</v>
      </c>
      <c r="H833" s="12">
        <v>13504</v>
      </c>
      <c r="L833" s="13">
        <v>1.2447422990000001</v>
      </c>
    </row>
    <row r="834" spans="1:12" x14ac:dyDescent="0.15">
      <c r="A834" s="1">
        <v>99</v>
      </c>
      <c r="B834" s="10" t="s">
        <v>194</v>
      </c>
      <c r="C834" s="11">
        <v>2022</v>
      </c>
      <c r="D834" s="12">
        <v>11850</v>
      </c>
      <c r="E834" s="12">
        <v>11523</v>
      </c>
      <c r="F834" s="12">
        <v>327</v>
      </c>
      <c r="H834" s="12">
        <v>5474</v>
      </c>
      <c r="L834" s="13">
        <v>2.1050420170000002</v>
      </c>
    </row>
    <row r="835" spans="1:12" x14ac:dyDescent="0.15">
      <c r="A835" s="1">
        <v>101</v>
      </c>
      <c r="B835" s="10" t="s">
        <v>195</v>
      </c>
      <c r="C835" s="11">
        <v>2022</v>
      </c>
      <c r="D835" s="12">
        <v>169383</v>
      </c>
      <c r="E835" s="12">
        <v>165925</v>
      </c>
      <c r="F835" s="12">
        <v>3458</v>
      </c>
      <c r="H835" s="12">
        <v>73971</v>
      </c>
      <c r="L835" s="13">
        <v>2.2431087860000001</v>
      </c>
    </row>
    <row r="836" spans="1:12" x14ac:dyDescent="0.15">
      <c r="A836" s="1">
        <v>103</v>
      </c>
      <c r="B836" s="10" t="s">
        <v>196</v>
      </c>
      <c r="C836" s="11">
        <v>2022</v>
      </c>
      <c r="D836" s="12">
        <v>6558</v>
      </c>
      <c r="E836" s="12">
        <v>6352</v>
      </c>
      <c r="F836" s="12">
        <v>206</v>
      </c>
      <c r="H836" s="12">
        <v>3296</v>
      </c>
      <c r="L836" s="13">
        <v>1.9271844659999999</v>
      </c>
    </row>
    <row r="837" spans="1:12" x14ac:dyDescent="0.15">
      <c r="A837" s="1">
        <v>105</v>
      </c>
      <c r="B837" s="10" t="s">
        <v>197</v>
      </c>
      <c r="C837" s="11">
        <v>2022</v>
      </c>
      <c r="D837" s="12">
        <v>11336</v>
      </c>
      <c r="E837" s="12">
        <v>11229</v>
      </c>
      <c r="F837" s="12">
        <v>107</v>
      </c>
      <c r="H837" s="12">
        <v>6606</v>
      </c>
      <c r="L837" s="13">
        <v>1.6998183469999999</v>
      </c>
    </row>
    <row r="838" spans="1:12" x14ac:dyDescent="0.15">
      <c r="A838" s="1">
        <v>107</v>
      </c>
      <c r="B838" s="10" t="s">
        <v>198</v>
      </c>
      <c r="C838" s="11">
        <v>2022</v>
      </c>
      <c r="D838" s="12">
        <v>25027</v>
      </c>
      <c r="E838" s="12">
        <v>24687</v>
      </c>
      <c r="F838" s="12">
        <v>340</v>
      </c>
      <c r="H838" s="12">
        <v>17102</v>
      </c>
      <c r="L838" s="13">
        <v>1.4435153780000001</v>
      </c>
    </row>
    <row r="839" spans="1:12" x14ac:dyDescent="0.15">
      <c r="A839" s="1">
        <v>109</v>
      </c>
      <c r="B839" s="10" t="s">
        <v>199</v>
      </c>
      <c r="C839" s="11">
        <v>2022</v>
      </c>
      <c r="D839" s="12">
        <v>6616</v>
      </c>
      <c r="E839" s="12">
        <v>6600</v>
      </c>
      <c r="F839" s="12">
        <v>16</v>
      </c>
      <c r="H839" s="12">
        <v>3914</v>
      </c>
      <c r="L839" s="13">
        <v>1.686254471</v>
      </c>
    </row>
    <row r="840" spans="1:12" x14ac:dyDescent="0.15">
      <c r="A840" s="1">
        <v>111</v>
      </c>
      <c r="B840" s="10" t="s">
        <v>200</v>
      </c>
      <c r="C840" s="11">
        <v>2022</v>
      </c>
      <c r="D840" s="12">
        <v>801</v>
      </c>
      <c r="E840" s="12">
        <v>801</v>
      </c>
      <c r="F840" s="12">
        <v>0</v>
      </c>
      <c r="H840" s="12">
        <v>805</v>
      </c>
      <c r="L840" s="13">
        <v>0.99503105599999997</v>
      </c>
    </row>
    <row r="841" spans="1:12" x14ac:dyDescent="0.15">
      <c r="A841" s="1">
        <v>113</v>
      </c>
      <c r="B841" s="10" t="s">
        <v>201</v>
      </c>
      <c r="C841" s="11">
        <v>2022</v>
      </c>
      <c r="D841" s="12">
        <v>7993</v>
      </c>
      <c r="E841" s="12">
        <v>7988</v>
      </c>
      <c r="F841" s="12">
        <v>5</v>
      </c>
      <c r="H841" s="12">
        <v>6711</v>
      </c>
      <c r="L841" s="13">
        <v>1.1902846069999999</v>
      </c>
    </row>
    <row r="842" spans="1:12" x14ac:dyDescent="0.15">
      <c r="A842" s="1">
        <v>115</v>
      </c>
      <c r="B842" s="10" t="s">
        <v>202</v>
      </c>
      <c r="C842" s="11">
        <v>2022</v>
      </c>
      <c r="D842" s="12">
        <v>2297</v>
      </c>
      <c r="E842" s="12">
        <v>2265</v>
      </c>
      <c r="F842" s="12">
        <v>32</v>
      </c>
      <c r="H842" s="12">
        <v>1343</v>
      </c>
      <c r="L842" s="13">
        <v>1.68652271</v>
      </c>
    </row>
    <row r="843" spans="1:12" x14ac:dyDescent="0.15">
      <c r="A843" s="1">
        <v>117</v>
      </c>
      <c r="B843" s="10" t="s">
        <v>203</v>
      </c>
      <c r="C843" s="11">
        <v>2022</v>
      </c>
      <c r="D843" s="12">
        <v>30583</v>
      </c>
      <c r="E843" s="12">
        <v>30004</v>
      </c>
      <c r="F843" s="12">
        <v>579</v>
      </c>
      <c r="H843" s="12">
        <v>32147</v>
      </c>
      <c r="L843" s="13">
        <v>0.93333748100000002</v>
      </c>
    </row>
    <row r="844" spans="1:12" x14ac:dyDescent="0.15">
      <c r="A844" s="1">
        <v>119</v>
      </c>
      <c r="B844" s="10" t="s">
        <v>204</v>
      </c>
      <c r="C844" s="11">
        <v>2022</v>
      </c>
      <c r="D844" s="12">
        <v>24852</v>
      </c>
      <c r="E844" s="12">
        <v>24688</v>
      </c>
      <c r="F844" s="12">
        <v>164</v>
      </c>
      <c r="H844" s="12">
        <v>13657</v>
      </c>
      <c r="L844" s="13">
        <v>1.807717654</v>
      </c>
    </row>
    <row r="845" spans="1:12" x14ac:dyDescent="0.15">
      <c r="A845" s="1">
        <v>121</v>
      </c>
      <c r="B845" s="10" t="s">
        <v>205</v>
      </c>
      <c r="C845" s="11">
        <v>2022</v>
      </c>
      <c r="D845" s="12">
        <v>4835</v>
      </c>
      <c r="E845" s="12">
        <v>4671</v>
      </c>
      <c r="F845" s="12">
        <v>164</v>
      </c>
      <c r="H845" s="12">
        <v>2289</v>
      </c>
      <c r="L845" s="13">
        <v>2.040629096</v>
      </c>
    </row>
    <row r="846" spans="1:12" x14ac:dyDescent="0.15">
      <c r="A846" s="1">
        <v>123</v>
      </c>
      <c r="B846" s="10" t="s">
        <v>206</v>
      </c>
      <c r="C846" s="11">
        <v>2022</v>
      </c>
      <c r="D846" s="12">
        <v>350206</v>
      </c>
      <c r="E846" s="12">
        <v>345788</v>
      </c>
      <c r="F846" s="12">
        <v>4418</v>
      </c>
      <c r="H846" s="12">
        <v>129656</v>
      </c>
      <c r="L846" s="13">
        <v>2.6669648920000002</v>
      </c>
    </row>
    <row r="847" spans="1:12" x14ac:dyDescent="0.15">
      <c r="A847" s="1">
        <v>125</v>
      </c>
      <c r="B847" s="10" t="s">
        <v>207</v>
      </c>
      <c r="C847" s="11">
        <v>2022</v>
      </c>
      <c r="D847" s="12">
        <v>9920</v>
      </c>
      <c r="E847" s="12">
        <v>9757</v>
      </c>
      <c r="F847" s="12">
        <v>163</v>
      </c>
      <c r="H847" s="12">
        <v>4326</v>
      </c>
      <c r="L847" s="13">
        <v>2.25543227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634D-9A8B-4442-84E6-34EBB9BB9EF8}">
  <dimension ref="A1:D66"/>
  <sheetViews>
    <sheetView workbookViewId="0">
      <selection activeCell="C2" sqref="C2"/>
    </sheetView>
  </sheetViews>
  <sheetFormatPr baseColWidth="10" defaultRowHeight="16" x14ac:dyDescent="0.2"/>
  <cols>
    <col min="1" max="1" width="21.28515625" bestFit="1" customWidth="1"/>
    <col min="3" max="3" width="12.42578125" bestFit="1" customWidth="1"/>
  </cols>
  <sheetData>
    <row r="1" spans="1:4" x14ac:dyDescent="0.2">
      <c r="A1" t="str" cm="1">
        <f t="array" ref="A1:A66">_xlfn.UNIQUE(CountyHousingProf!B2:B197)</f>
        <v>name</v>
      </c>
      <c r="B1" t="str">
        <f>CountyHousingProf!A2</f>
        <v>countyfips</v>
      </c>
      <c r="C1" t="s">
        <v>237</v>
      </c>
      <c r="D1" t="s">
        <v>235</v>
      </c>
    </row>
    <row r="2" spans="1:4" x14ac:dyDescent="0.2">
      <c r="A2" t="str">
        <v>COLORADO STATE</v>
      </c>
      <c r="B2" t="str">
        <f>_xlfn.XLOOKUP(A2,CountyHousingProf!$B$3:$B$197,CountyHousingProf!$A$3:$A$197)</f>
        <v>000</v>
      </c>
      <c r="C2" s="25">
        <f>SUM(C3:C66)</f>
        <v>104095.97000000002</v>
      </c>
    </row>
    <row r="3" spans="1:4" x14ac:dyDescent="0.2">
      <c r="A3" t="str">
        <v>ADAMS COUNTY</v>
      </c>
      <c r="B3" t="str">
        <f>_xlfn.XLOOKUP(A3,CountyHousingProf!$B$3:$B$197,CountyHousingProf!$A$3:$A$197)</f>
        <v>001</v>
      </c>
      <c r="C3" s="25">
        <v>1182.29</v>
      </c>
      <c r="D3">
        <v>3</v>
      </c>
    </row>
    <row r="4" spans="1:4" x14ac:dyDescent="0.2">
      <c r="A4" t="str">
        <v>ALAMOSA COUNTY</v>
      </c>
      <c r="B4" t="str">
        <f>_xlfn.XLOOKUP(A4,CountyHousingProf!$B$3:$B$197,CountyHousingProf!$A$3:$A$197)</f>
        <v>003</v>
      </c>
      <c r="C4" s="25">
        <v>723.21</v>
      </c>
      <c r="D4">
        <v>8</v>
      </c>
    </row>
    <row r="5" spans="1:4" x14ac:dyDescent="0.2">
      <c r="A5" t="str">
        <v>ARAPAHOE COUNTY</v>
      </c>
      <c r="B5" t="str">
        <f>_xlfn.XLOOKUP(A5,CountyHousingProf!$B$3:$B$197,CountyHousingProf!$A$3:$A$197)</f>
        <v>005</v>
      </c>
      <c r="C5" s="25">
        <v>804.41</v>
      </c>
      <c r="D5">
        <v>3</v>
      </c>
    </row>
    <row r="6" spans="1:4" x14ac:dyDescent="0.2">
      <c r="A6" t="str">
        <v>ARCHULETA COUNTY</v>
      </c>
      <c r="B6" t="str">
        <f>_xlfn.XLOOKUP(A6,CountyHousingProf!$B$3:$B$197,CountyHousingProf!$A$3:$A$197)</f>
        <v>007</v>
      </c>
      <c r="C6" s="25">
        <v>1354.53</v>
      </c>
      <c r="D6">
        <v>9</v>
      </c>
    </row>
    <row r="7" spans="1:4" x14ac:dyDescent="0.2">
      <c r="A7" t="str">
        <v>BACA COUNTY</v>
      </c>
      <c r="B7" t="str">
        <f>_xlfn.XLOOKUP(A7,CountyHousingProf!$B$3:$B$197,CountyHousingProf!$A$3:$A$197)</f>
        <v>009</v>
      </c>
      <c r="C7" s="25">
        <v>2558.48</v>
      </c>
      <c r="D7">
        <v>6</v>
      </c>
    </row>
    <row r="8" spans="1:4" x14ac:dyDescent="0.2">
      <c r="A8" t="str">
        <v>BENT COUNTY</v>
      </c>
      <c r="B8" t="str">
        <f>_xlfn.XLOOKUP(A8,CountyHousingProf!$B$3:$B$197,CountyHousingProf!$A$3:$A$197)</f>
        <v>011</v>
      </c>
      <c r="C8" s="25">
        <v>1541.07</v>
      </c>
      <c r="D8">
        <v>6</v>
      </c>
    </row>
    <row r="9" spans="1:4" x14ac:dyDescent="0.2">
      <c r="A9" t="str">
        <v>BOULDER COUNTY</v>
      </c>
      <c r="B9" t="str">
        <f>_xlfn.XLOOKUP(A9,CountyHousingProf!$B$3:$B$197,CountyHousingProf!$A$3:$A$197)</f>
        <v>013</v>
      </c>
      <c r="C9" s="25">
        <v>740.48</v>
      </c>
      <c r="D9">
        <v>3</v>
      </c>
    </row>
    <row r="10" spans="1:4" x14ac:dyDescent="0.2">
      <c r="A10" t="str">
        <v>BROOMFIELD COUNTY</v>
      </c>
      <c r="B10" t="str">
        <f>_xlfn.XLOOKUP(A10,CountyHousingProf!$B$3:$B$197,CountyHousingProf!$A$3:$A$197)</f>
        <v>014</v>
      </c>
      <c r="C10" s="25">
        <v>33.57</v>
      </c>
      <c r="D10">
        <v>3</v>
      </c>
    </row>
    <row r="11" spans="1:4" x14ac:dyDescent="0.2">
      <c r="A11" t="str">
        <v>CHAFFEE COUNTY</v>
      </c>
      <c r="B11" t="str">
        <f>_xlfn.XLOOKUP(A11,CountyHousingProf!$B$3:$B$197,CountyHousingProf!$A$3:$A$197)</f>
        <v>015</v>
      </c>
      <c r="C11" s="25">
        <v>1014.12</v>
      </c>
      <c r="D11">
        <v>13</v>
      </c>
    </row>
    <row r="12" spans="1:4" x14ac:dyDescent="0.2">
      <c r="A12" t="str">
        <v>CHEYENNE COUNTY</v>
      </c>
      <c r="B12" t="str">
        <f>_xlfn.XLOOKUP(A12,CountyHousingProf!$B$3:$B$197,CountyHousingProf!$A$3:$A$197)</f>
        <v>017</v>
      </c>
      <c r="C12" s="25">
        <v>1781.9</v>
      </c>
      <c r="D12">
        <v>5</v>
      </c>
    </row>
    <row r="13" spans="1:4" x14ac:dyDescent="0.2">
      <c r="A13" t="str">
        <v>CLEAR CREEK COUNTY</v>
      </c>
      <c r="B13" t="str">
        <f>_xlfn.XLOOKUP(A13,CountyHousingProf!$B$3:$B$197,CountyHousingProf!$A$3:$A$197)</f>
        <v>019</v>
      </c>
      <c r="C13" s="25">
        <v>396.53</v>
      </c>
      <c r="D13">
        <v>3</v>
      </c>
    </row>
    <row r="14" spans="1:4" x14ac:dyDescent="0.2">
      <c r="A14" t="str">
        <v>CONEJOS COUNTY</v>
      </c>
      <c r="B14" t="str">
        <f>_xlfn.XLOOKUP(A14,CountyHousingProf!$B$3:$B$197,CountyHousingProf!$A$3:$A$197)</f>
        <v>021</v>
      </c>
      <c r="C14" s="25">
        <v>1290.22</v>
      </c>
      <c r="D14">
        <v>8</v>
      </c>
    </row>
    <row r="15" spans="1:4" x14ac:dyDescent="0.2">
      <c r="A15" t="str">
        <v>COSTILLA COUNTY</v>
      </c>
      <c r="B15" t="str">
        <f>_xlfn.XLOOKUP(A15,CountyHousingProf!$B$3:$B$197,CountyHousingProf!$A$3:$A$197)</f>
        <v>023</v>
      </c>
      <c r="C15" s="25">
        <v>1229.3800000000001</v>
      </c>
      <c r="D15">
        <v>8</v>
      </c>
    </row>
    <row r="16" spans="1:4" x14ac:dyDescent="0.2">
      <c r="A16" t="str">
        <v>CROWLEY COUNTY</v>
      </c>
      <c r="B16" t="str">
        <f>_xlfn.XLOOKUP(A16,CountyHousingProf!$B$3:$B$197,CountyHousingProf!$A$3:$A$197)</f>
        <v>025</v>
      </c>
      <c r="C16" s="25">
        <v>800.27</v>
      </c>
      <c r="D16">
        <v>6</v>
      </c>
    </row>
    <row r="17" spans="1:4" x14ac:dyDescent="0.2">
      <c r="A17" t="str">
        <v>CUSTER COUNTY</v>
      </c>
      <c r="B17" t="str">
        <f>_xlfn.XLOOKUP(A17,CountyHousingProf!$B$3:$B$197,CountyHousingProf!$A$3:$A$197)</f>
        <v>027</v>
      </c>
      <c r="C17" s="25">
        <v>739.24</v>
      </c>
      <c r="D17">
        <v>13</v>
      </c>
    </row>
    <row r="18" spans="1:4" x14ac:dyDescent="0.2">
      <c r="A18" t="str">
        <v>DELTA COUNTY</v>
      </c>
      <c r="B18" t="str">
        <f>_xlfn.XLOOKUP(A18,CountyHousingProf!$B$3:$B$197,CountyHousingProf!$A$3:$A$197)</f>
        <v>029</v>
      </c>
      <c r="C18" s="25">
        <v>1149.44</v>
      </c>
      <c r="D18">
        <v>10</v>
      </c>
    </row>
    <row r="19" spans="1:4" x14ac:dyDescent="0.2">
      <c r="A19" t="str">
        <v>DENVER COUNTY</v>
      </c>
      <c r="B19" t="str">
        <f>_xlfn.XLOOKUP(A19,CountyHousingProf!$B$3:$B$197,CountyHousingProf!$A$3:$A$197)</f>
        <v>031</v>
      </c>
      <c r="C19" s="25">
        <v>155.66</v>
      </c>
      <c r="D19">
        <v>3</v>
      </c>
    </row>
    <row r="20" spans="1:4" x14ac:dyDescent="0.2">
      <c r="A20" t="str">
        <v>DOLORES COUNTY</v>
      </c>
      <c r="B20" t="str">
        <f>_xlfn.XLOOKUP(A20,CountyHousingProf!$B$3:$B$197,CountyHousingProf!$A$3:$A$197)</f>
        <v>033</v>
      </c>
      <c r="C20" s="25">
        <v>1076.93</v>
      </c>
      <c r="D20">
        <v>9</v>
      </c>
    </row>
    <row r="21" spans="1:4" x14ac:dyDescent="0.2">
      <c r="A21" t="str">
        <v>DOUGLAS COUNTY</v>
      </c>
      <c r="B21" t="str">
        <f>_xlfn.XLOOKUP(A21,CountyHousingProf!$B$3:$B$197,CountyHousingProf!$A$3:$A$197)</f>
        <v>035</v>
      </c>
      <c r="C21" s="25">
        <v>842.3</v>
      </c>
      <c r="D21">
        <v>3</v>
      </c>
    </row>
    <row r="22" spans="1:4" x14ac:dyDescent="0.2">
      <c r="A22" t="str">
        <v>EAGLE COUNTY</v>
      </c>
      <c r="B22" t="str">
        <f>_xlfn.XLOOKUP(A22,CountyHousingProf!$B$3:$B$197,CountyHousingProf!$A$3:$A$197)</f>
        <v>037</v>
      </c>
      <c r="C22" s="25">
        <v>1700.76</v>
      </c>
      <c r="D22">
        <v>12</v>
      </c>
    </row>
    <row r="23" spans="1:4" x14ac:dyDescent="0.2">
      <c r="A23" t="str">
        <v>ELBERT COUNTY</v>
      </c>
      <c r="B23" t="str">
        <f>_xlfn.XLOOKUP(A23,CountyHousingProf!$B$3:$B$197,CountyHousingProf!$A$3:$A$197)</f>
        <v>039</v>
      </c>
      <c r="C23" s="25">
        <v>1849.08</v>
      </c>
      <c r="D23">
        <v>5</v>
      </c>
    </row>
    <row r="24" spans="1:4" x14ac:dyDescent="0.2">
      <c r="A24" t="str">
        <v>EL PASO COUNTY</v>
      </c>
      <c r="B24" t="str">
        <f>_xlfn.XLOOKUP(A24,CountyHousingProf!$B$3:$B$197,CountyHousingProf!$A$3:$A$197)</f>
        <v>041</v>
      </c>
      <c r="C24" s="25">
        <v>2128.6</v>
      </c>
      <c r="D24">
        <v>4</v>
      </c>
    </row>
    <row r="25" spans="1:4" x14ac:dyDescent="0.2">
      <c r="A25" t="str">
        <v>FREMONT COUNTY</v>
      </c>
      <c r="B25" t="str">
        <f>_xlfn.XLOOKUP(A25,CountyHousingProf!$B$3:$B$197,CountyHousingProf!$A$3:$A$197)</f>
        <v>043</v>
      </c>
      <c r="C25" s="25">
        <v>1533.09</v>
      </c>
      <c r="D25">
        <v>13</v>
      </c>
    </row>
    <row r="26" spans="1:4" x14ac:dyDescent="0.2">
      <c r="A26" t="str">
        <v>GARFIELD COUNTY</v>
      </c>
      <c r="B26" t="str">
        <f>_xlfn.XLOOKUP(A26,CountyHousingProf!$B$3:$B$197,CountyHousingProf!$A$3:$A$197)</f>
        <v>045</v>
      </c>
      <c r="C26" s="25">
        <v>2958.23</v>
      </c>
      <c r="D26">
        <v>11</v>
      </c>
    </row>
    <row r="27" spans="1:4" x14ac:dyDescent="0.2">
      <c r="A27" t="str">
        <v>GILPIN COUNTY</v>
      </c>
      <c r="B27" t="str">
        <f>_xlfn.XLOOKUP(A27,CountyHousingProf!$B$3:$B$197,CountyHousingProf!$A$3:$A$197)</f>
        <v>047</v>
      </c>
      <c r="C27" s="25">
        <v>150.15</v>
      </c>
      <c r="D27">
        <v>3</v>
      </c>
    </row>
    <row r="28" spans="1:4" x14ac:dyDescent="0.2">
      <c r="A28" t="str">
        <v>GRAND COUNTY</v>
      </c>
      <c r="B28" t="str">
        <f>_xlfn.XLOOKUP(A28,CountyHousingProf!$B$3:$B$197,CountyHousingProf!$A$3:$A$197)</f>
        <v>049</v>
      </c>
      <c r="C28" s="25">
        <v>1868.53</v>
      </c>
      <c r="D28">
        <v>12</v>
      </c>
    </row>
    <row r="29" spans="1:4" x14ac:dyDescent="0.2">
      <c r="A29" t="str">
        <v>GUNNISON COUNTY</v>
      </c>
      <c r="B29" t="str">
        <f>_xlfn.XLOOKUP(A29,CountyHousingProf!$B$3:$B$197,CountyHousingProf!$A$3:$A$197)</f>
        <v>051</v>
      </c>
      <c r="C29" s="25">
        <v>3259.22</v>
      </c>
      <c r="D29">
        <v>10</v>
      </c>
    </row>
    <row r="30" spans="1:4" x14ac:dyDescent="0.2">
      <c r="A30" t="str">
        <v>HINSDALE COUNTY</v>
      </c>
      <c r="B30" t="str">
        <f>_xlfn.XLOOKUP(A30,CountyHousingProf!$B$3:$B$197,CountyHousingProf!$A$3:$A$197)</f>
        <v>053</v>
      </c>
      <c r="C30" s="25">
        <v>1123.3499999999999</v>
      </c>
      <c r="D30">
        <v>10</v>
      </c>
    </row>
    <row r="31" spans="1:4" x14ac:dyDescent="0.2">
      <c r="A31" t="str">
        <v>HUERFANO COUNTY</v>
      </c>
      <c r="B31" t="str">
        <f>_xlfn.XLOOKUP(A31,CountyHousingProf!$B$3:$B$197,CountyHousingProf!$A$3:$A$197)</f>
        <v>055</v>
      </c>
      <c r="C31" s="25">
        <v>1592.37</v>
      </c>
      <c r="D31">
        <v>14</v>
      </c>
    </row>
    <row r="32" spans="1:4" x14ac:dyDescent="0.2">
      <c r="A32" t="str">
        <v>JACKSON COUNTY</v>
      </c>
      <c r="B32" t="str">
        <f>_xlfn.XLOOKUP(A32,CountyHousingProf!$B$3:$B$197,CountyHousingProf!$A$3:$A$197)</f>
        <v>057</v>
      </c>
      <c r="C32" s="25">
        <v>1619.75</v>
      </c>
      <c r="D32">
        <v>12</v>
      </c>
    </row>
    <row r="33" spans="1:4" x14ac:dyDescent="0.2">
      <c r="A33" t="str">
        <v>JEFFERSON COUNTY</v>
      </c>
      <c r="B33" t="str">
        <f>_xlfn.XLOOKUP(A33,CountyHousingProf!$B$3:$B$197,CountyHousingProf!$A$3:$A$197)</f>
        <v>059</v>
      </c>
      <c r="C33" s="25">
        <v>772.85</v>
      </c>
      <c r="D33">
        <v>4</v>
      </c>
    </row>
    <row r="34" spans="1:4" x14ac:dyDescent="0.2">
      <c r="A34" t="str">
        <v>KIOWA COUNTY</v>
      </c>
      <c r="B34" t="str">
        <f>_xlfn.XLOOKUP(A34,CountyHousingProf!$B$3:$B$197,CountyHousingProf!$A$3:$A$197)</f>
        <v>061</v>
      </c>
      <c r="C34" s="25">
        <v>1785.9</v>
      </c>
      <c r="D34">
        <v>6</v>
      </c>
    </row>
    <row r="35" spans="1:4" x14ac:dyDescent="0.2">
      <c r="A35" t="str">
        <v>KIT CARSON COUNTY</v>
      </c>
      <c r="B35" t="str">
        <f>_xlfn.XLOOKUP(A35,CountyHousingProf!$B$3:$B$197,CountyHousingProf!$A$3:$A$197)</f>
        <v>063</v>
      </c>
      <c r="C35" s="25">
        <v>2162.4299999999998</v>
      </c>
      <c r="D35">
        <v>5</v>
      </c>
    </row>
    <row r="36" spans="1:4" x14ac:dyDescent="0.2">
      <c r="A36" t="str">
        <v>LAKE COUNTY</v>
      </c>
      <c r="B36" t="str">
        <f>_xlfn.XLOOKUP(A36,CountyHousingProf!$B$3:$B$197,CountyHousingProf!$A$3:$A$197)</f>
        <v>065</v>
      </c>
      <c r="C36" s="25">
        <v>383.55</v>
      </c>
      <c r="D36">
        <v>13</v>
      </c>
    </row>
    <row r="37" spans="1:4" x14ac:dyDescent="0.2">
      <c r="A37" t="str">
        <v>LA PLATA COUNTY</v>
      </c>
      <c r="B37" t="str">
        <f>_xlfn.XLOOKUP(A37,CountyHousingProf!$B$3:$B$197,CountyHousingProf!$A$3:$A$197)</f>
        <v>067</v>
      </c>
      <c r="C37" s="25">
        <v>1700.44</v>
      </c>
      <c r="D37">
        <v>9</v>
      </c>
    </row>
    <row r="38" spans="1:4" x14ac:dyDescent="0.2">
      <c r="A38" t="str">
        <v>LARIMER COUNTY</v>
      </c>
      <c r="B38" t="str">
        <f>_xlfn.XLOOKUP(A38,CountyHousingProf!$B$3:$B$197,CountyHousingProf!$A$3:$A$197)</f>
        <v>069</v>
      </c>
      <c r="C38" s="25">
        <v>2631.75</v>
      </c>
      <c r="D38">
        <v>2</v>
      </c>
    </row>
    <row r="39" spans="1:4" x14ac:dyDescent="0.2">
      <c r="A39" t="str">
        <v>LAS ANIMAS COUNTY</v>
      </c>
      <c r="B39" t="str">
        <f>_xlfn.XLOOKUP(A39,CountyHousingProf!$B$3:$B$197,CountyHousingProf!$A$3:$A$197)</f>
        <v>071</v>
      </c>
      <c r="C39" s="25">
        <v>4773.2700000000004</v>
      </c>
      <c r="D39">
        <v>14</v>
      </c>
    </row>
    <row r="40" spans="1:4" x14ac:dyDescent="0.2">
      <c r="A40" t="str">
        <v>LINCOLN COUNTY</v>
      </c>
      <c r="B40" t="str">
        <f>_xlfn.XLOOKUP(A40,CountyHousingProf!$B$3:$B$197,CountyHousingProf!$A$3:$A$197)</f>
        <v>073</v>
      </c>
      <c r="C40" s="25">
        <v>2585.21</v>
      </c>
      <c r="D40">
        <v>5</v>
      </c>
    </row>
    <row r="41" spans="1:4" x14ac:dyDescent="0.2">
      <c r="A41" t="str">
        <v>LOGAN COUNTY</v>
      </c>
      <c r="B41" t="str">
        <f>_xlfn.XLOOKUP(A41,CountyHousingProf!$B$3:$B$197,CountyHousingProf!$A$3:$A$197)</f>
        <v>075</v>
      </c>
      <c r="C41" s="25">
        <v>1845.31</v>
      </c>
      <c r="D41">
        <v>1</v>
      </c>
    </row>
    <row r="42" spans="1:4" x14ac:dyDescent="0.2">
      <c r="A42" t="str">
        <v>MESA COUNTY</v>
      </c>
      <c r="B42" t="str">
        <f>_xlfn.XLOOKUP(A42,CountyHousingProf!$B$3:$B$197,CountyHousingProf!$A$3:$A$197)</f>
        <v>077</v>
      </c>
      <c r="C42" s="25">
        <v>3345.69</v>
      </c>
      <c r="D42">
        <v>11</v>
      </c>
    </row>
    <row r="43" spans="1:4" x14ac:dyDescent="0.2">
      <c r="A43" t="str">
        <v>MINERAL COUNTY</v>
      </c>
      <c r="B43" t="str">
        <f>_xlfn.XLOOKUP(A43,CountyHousingProf!$B$3:$B$197,CountyHousingProf!$A$3:$A$197)</f>
        <v>079</v>
      </c>
      <c r="C43" s="25">
        <v>878.16</v>
      </c>
      <c r="D43">
        <v>8</v>
      </c>
    </row>
    <row r="44" spans="1:4" x14ac:dyDescent="0.2">
      <c r="A44" t="str">
        <v>MOFFAT COUNTY</v>
      </c>
      <c r="B44" t="str">
        <f>_xlfn.XLOOKUP(A44,CountyHousingProf!$B$3:$B$197,CountyHousingProf!$A$3:$A$197)</f>
        <v>081</v>
      </c>
      <c r="C44" s="25">
        <v>4755.8599999999997</v>
      </c>
      <c r="D44">
        <v>11</v>
      </c>
    </row>
    <row r="45" spans="1:4" x14ac:dyDescent="0.2">
      <c r="A45" t="str">
        <v>MONTEZUMA COUNTY</v>
      </c>
      <c r="B45" t="str">
        <f>_xlfn.XLOOKUP(A45,CountyHousingProf!$B$3:$B$197,CountyHousingProf!$A$3:$A$197)</f>
        <v>083</v>
      </c>
      <c r="C45" s="25">
        <v>2035.8</v>
      </c>
      <c r="D45">
        <v>9</v>
      </c>
    </row>
    <row r="46" spans="1:4" x14ac:dyDescent="0.2">
      <c r="A46" t="str">
        <v>MONTROSE COUNTY</v>
      </c>
      <c r="B46" t="str">
        <f>_xlfn.XLOOKUP(A46,CountyHousingProf!$B$3:$B$197,CountyHousingProf!$A$3:$A$197)</f>
        <v>085</v>
      </c>
      <c r="C46" s="25">
        <v>2246.4299999999998</v>
      </c>
      <c r="D46">
        <v>10</v>
      </c>
    </row>
    <row r="47" spans="1:4" x14ac:dyDescent="0.2">
      <c r="A47" t="str">
        <v>MORGAN COUNTY</v>
      </c>
      <c r="B47" t="str">
        <f>_xlfn.XLOOKUP(A47,CountyHousingProf!$B$3:$B$197,CountyHousingProf!$A$3:$A$197)</f>
        <v>087</v>
      </c>
      <c r="C47" s="25">
        <v>1293.83</v>
      </c>
      <c r="D47">
        <v>1</v>
      </c>
    </row>
    <row r="48" spans="1:4" x14ac:dyDescent="0.2">
      <c r="A48" t="str">
        <v>OTERO COUNTY</v>
      </c>
      <c r="B48" t="str">
        <f>_xlfn.XLOOKUP(A48,CountyHousingProf!$B$3:$B$197,CountyHousingProf!$A$3:$A$197)</f>
        <v>089</v>
      </c>
      <c r="C48" s="25">
        <v>1267.6600000000001</v>
      </c>
      <c r="D48">
        <v>6</v>
      </c>
    </row>
    <row r="49" spans="1:4" x14ac:dyDescent="0.2">
      <c r="A49" t="str">
        <v>OURAY COUNTY</v>
      </c>
      <c r="B49" t="str">
        <f>_xlfn.XLOOKUP(A49,CountyHousingProf!$B$3:$B$197,CountyHousingProf!$A$3:$A$197)</f>
        <v>091</v>
      </c>
      <c r="C49" s="25">
        <v>542.29999999999995</v>
      </c>
      <c r="D49">
        <v>10</v>
      </c>
    </row>
    <row r="50" spans="1:4" x14ac:dyDescent="0.2">
      <c r="A50" t="str">
        <v>PARK COUNTY</v>
      </c>
      <c r="B50" t="str">
        <f>_xlfn.XLOOKUP(A50,CountyHousingProf!$B$3:$B$197,CountyHousingProf!$A$3:$A$197)</f>
        <v>093</v>
      </c>
      <c r="C50" s="25">
        <v>2209.36</v>
      </c>
      <c r="D50">
        <v>4</v>
      </c>
    </row>
    <row r="51" spans="1:4" x14ac:dyDescent="0.2">
      <c r="A51" t="str">
        <v>PHILLIPS COUNTY</v>
      </c>
      <c r="B51" t="str">
        <f>_xlfn.XLOOKUP(A51,CountyHousingProf!$B$3:$B$197,CountyHousingProf!$A$3:$A$197)</f>
        <v>095</v>
      </c>
      <c r="C51" s="25">
        <v>688.3</v>
      </c>
      <c r="D51">
        <v>1</v>
      </c>
    </row>
    <row r="52" spans="1:4" x14ac:dyDescent="0.2">
      <c r="A52" t="str">
        <v>PITKIN COUNTY</v>
      </c>
      <c r="B52" t="str">
        <f>_xlfn.XLOOKUP(A52,CountyHousingProf!$B$3:$B$197,CountyHousingProf!$A$3:$A$197)</f>
        <v>097</v>
      </c>
      <c r="C52" s="25">
        <v>970.37</v>
      </c>
      <c r="D52">
        <v>12</v>
      </c>
    </row>
    <row r="53" spans="1:4" x14ac:dyDescent="0.2">
      <c r="A53" t="str">
        <v>PROWERS COUNTY</v>
      </c>
      <c r="B53" t="str">
        <f>_xlfn.XLOOKUP(A53,CountyHousingProf!$B$3:$B$197,CountyHousingProf!$A$3:$A$197)</f>
        <v>099</v>
      </c>
      <c r="C53" s="25">
        <v>1645.37</v>
      </c>
      <c r="D53">
        <v>6</v>
      </c>
    </row>
    <row r="54" spans="1:4" x14ac:dyDescent="0.2">
      <c r="A54" t="str">
        <v>PUEBLO COUNTY</v>
      </c>
      <c r="B54" t="str">
        <f>_xlfn.XLOOKUP(A54,CountyHousingProf!$B$3:$B$197,CountyHousingProf!$A$3:$A$197)</f>
        <v>101</v>
      </c>
      <c r="C54" s="25">
        <v>2396.77</v>
      </c>
      <c r="D54">
        <v>7</v>
      </c>
    </row>
    <row r="55" spans="1:4" x14ac:dyDescent="0.2">
      <c r="A55" t="str">
        <v>RIO BLANCO COUNTY</v>
      </c>
      <c r="B55" t="str">
        <f>_xlfn.XLOOKUP(A55,CountyHousingProf!$B$3:$B$197,CountyHousingProf!$A$3:$A$197)</f>
        <v>103</v>
      </c>
      <c r="C55" s="25">
        <v>3226.24</v>
      </c>
      <c r="D55">
        <v>11</v>
      </c>
    </row>
    <row r="56" spans="1:4" x14ac:dyDescent="0.2">
      <c r="A56" t="str">
        <v>RIO GRANDE COUNTY</v>
      </c>
      <c r="B56" t="str">
        <f>_xlfn.XLOOKUP(A56,CountyHousingProf!$B$3:$B$197,CountyHousingProf!$A$3:$A$197)</f>
        <v>105</v>
      </c>
      <c r="C56" s="25">
        <v>913.1</v>
      </c>
      <c r="D56">
        <v>8</v>
      </c>
    </row>
    <row r="57" spans="1:4" x14ac:dyDescent="0.2">
      <c r="A57" t="str">
        <v>ROUTT COUNTY</v>
      </c>
      <c r="B57" t="str">
        <f>_xlfn.XLOOKUP(A57,CountyHousingProf!$B$3:$B$197,CountyHousingProf!$A$3:$A$197)</f>
        <v>107</v>
      </c>
      <c r="C57" s="25">
        <v>2362.11</v>
      </c>
      <c r="D57">
        <v>11</v>
      </c>
    </row>
    <row r="58" spans="1:4" x14ac:dyDescent="0.2">
      <c r="A58" t="str">
        <v>SAGUACHE COUNTY</v>
      </c>
      <c r="B58" t="str">
        <f>_xlfn.XLOOKUP(A58,CountyHousingProf!$B$3:$B$197,CountyHousingProf!$A$3:$A$197)</f>
        <v>109</v>
      </c>
      <c r="C58" s="25">
        <v>3168.32</v>
      </c>
      <c r="D58">
        <v>8</v>
      </c>
    </row>
    <row r="59" spans="1:4" x14ac:dyDescent="0.2">
      <c r="A59" t="str">
        <v>SAN JUAN COUNTY</v>
      </c>
      <c r="B59" t="str">
        <f>_xlfn.XLOOKUP(A59,CountyHousingProf!$B$3:$B$197,CountyHousingProf!$A$3:$A$197)</f>
        <v>111</v>
      </c>
      <c r="C59" s="25">
        <v>388.99</v>
      </c>
      <c r="D59">
        <v>9</v>
      </c>
    </row>
    <row r="60" spans="1:4" x14ac:dyDescent="0.2">
      <c r="A60" t="str">
        <v>SAN MIGUEL COUNTY</v>
      </c>
      <c r="B60" t="str">
        <f>_xlfn.XLOOKUP(A60,CountyHousingProf!$B$3:$B$197,CountyHousingProf!$A$3:$A$197)</f>
        <v>113</v>
      </c>
      <c r="C60" s="25">
        <v>1290.76</v>
      </c>
      <c r="D60">
        <v>10</v>
      </c>
    </row>
    <row r="61" spans="1:4" x14ac:dyDescent="0.2">
      <c r="A61" t="str">
        <v>SEDGWICK COUNTY</v>
      </c>
      <c r="B61" t="str">
        <f>_xlfn.XLOOKUP(A61,CountyHousingProf!$B$3:$B$197,CountyHousingProf!$A$3:$A$197)</f>
        <v>115</v>
      </c>
      <c r="C61" s="25">
        <v>548.83000000000004</v>
      </c>
      <c r="D61">
        <v>1</v>
      </c>
    </row>
    <row r="62" spans="1:4" x14ac:dyDescent="0.2">
      <c r="A62" t="str">
        <v>SUMMIT COUNTY</v>
      </c>
      <c r="B62" t="str">
        <f>_xlfn.XLOOKUP(A62,CountyHousingProf!$B$3:$B$197,CountyHousingProf!$A$3:$A$197)</f>
        <v>117</v>
      </c>
      <c r="C62" s="25">
        <v>618.91999999999996</v>
      </c>
      <c r="D62">
        <v>12</v>
      </c>
    </row>
    <row r="63" spans="1:4" x14ac:dyDescent="0.2">
      <c r="A63" t="str">
        <v>TELLER COUNTY</v>
      </c>
      <c r="B63" t="str">
        <f>_xlfn.XLOOKUP(A63,CountyHousingProf!$B$3:$B$197,CountyHousingProf!$A$3:$A$197)</f>
        <v>119</v>
      </c>
      <c r="C63" s="25">
        <v>558.58000000000004</v>
      </c>
      <c r="D63">
        <v>4</v>
      </c>
    </row>
    <row r="64" spans="1:4" x14ac:dyDescent="0.2">
      <c r="A64" t="str">
        <v>WASHINGTON COUNTY</v>
      </c>
      <c r="B64" t="str">
        <f>_xlfn.XLOOKUP(A64,CountyHousingProf!$B$3:$B$197,CountyHousingProf!$A$3:$A$197)</f>
        <v>121</v>
      </c>
      <c r="C64" s="25">
        <v>2522.9</v>
      </c>
      <c r="D64">
        <v>1</v>
      </c>
    </row>
    <row r="65" spans="1:4" x14ac:dyDescent="0.2">
      <c r="A65" t="str">
        <v>WELD COUNTY</v>
      </c>
      <c r="B65" t="str">
        <f>_xlfn.XLOOKUP(A65,CountyHousingProf!$B$3:$B$197,CountyHousingProf!$A$3:$A$197)</f>
        <v>123</v>
      </c>
      <c r="C65" s="25">
        <v>4013.84</v>
      </c>
      <c r="D65">
        <v>2</v>
      </c>
    </row>
    <row r="66" spans="1:4" x14ac:dyDescent="0.2">
      <c r="A66" t="str">
        <v>YUMA COUNTY</v>
      </c>
      <c r="B66" t="str">
        <f>_xlfn.XLOOKUP(A66,CountyHousingProf!$B$3:$B$197,CountyHousingProf!$A$3:$A$197)</f>
        <v>125</v>
      </c>
      <c r="C66" s="25">
        <v>2369.61</v>
      </c>
      <c r="D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1ED3-41C2-3744-9090-5B06C37970E1}">
  <dimension ref="A1:AA846"/>
  <sheetViews>
    <sheetView topLeftCell="F1" workbookViewId="0">
      <selection activeCell="V25" sqref="V25"/>
    </sheetView>
  </sheetViews>
  <sheetFormatPr baseColWidth="10" defaultRowHeight="16" x14ac:dyDescent="0.2"/>
  <cols>
    <col min="14" max="14" width="12.140625" bestFit="1" customWidth="1"/>
  </cols>
  <sheetData>
    <row r="1" spans="1:27" x14ac:dyDescent="0.2">
      <c r="A1" t="s">
        <v>132</v>
      </c>
      <c r="B1" t="s">
        <v>236</v>
      </c>
      <c r="C1" t="s">
        <v>133</v>
      </c>
      <c r="D1" t="s">
        <v>134</v>
      </c>
      <c r="E1" t="s">
        <v>135</v>
      </c>
      <c r="F1" t="s">
        <v>0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243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</row>
    <row r="2" spans="1:27" x14ac:dyDescent="0.2">
      <c r="A2">
        <v>1</v>
      </c>
      <c r="B2">
        <v>3</v>
      </c>
      <c r="C2" t="s">
        <v>144</v>
      </c>
      <c r="D2">
        <v>2010</v>
      </c>
      <c r="E2">
        <v>443711</v>
      </c>
      <c r="F2">
        <v>439684</v>
      </c>
      <c r="G2">
        <v>4027</v>
      </c>
      <c r="H2">
        <v>2.85</v>
      </c>
      <c r="I2">
        <v>163435</v>
      </c>
      <c r="J2">
        <v>154505</v>
      </c>
      <c r="K2">
        <v>8930</v>
      </c>
      <c r="L2">
        <v>5.46</v>
      </c>
      <c r="M2">
        <v>2.6902683019999998</v>
      </c>
      <c r="N2">
        <f>E2/_xlfn.XLOOKUP(C2,Lookups!$A$2:$A$66,Lookups!$C$2:$C$66)</f>
        <v>375.29793874599295</v>
      </c>
    </row>
    <row r="3" spans="1:27" x14ac:dyDescent="0.2">
      <c r="A3">
        <v>1</v>
      </c>
      <c r="B3">
        <v>3</v>
      </c>
      <c r="C3" t="s">
        <v>144</v>
      </c>
      <c r="D3">
        <v>2011</v>
      </c>
      <c r="E3">
        <v>452181</v>
      </c>
      <c r="F3">
        <v>448120</v>
      </c>
      <c r="G3">
        <v>4061</v>
      </c>
      <c r="H3">
        <v>2.85</v>
      </c>
      <c r="I3">
        <v>164593</v>
      </c>
      <c r="J3">
        <v>157248</v>
      </c>
      <c r="K3">
        <v>7345</v>
      </c>
      <c r="L3">
        <v>4.46</v>
      </c>
      <c r="M3">
        <v>2.722594521</v>
      </c>
      <c r="N3">
        <f>E3/_xlfn.XLOOKUP(C3,Lookups!$A$2:$A$66,Lookups!$C$2:$C$66)</f>
        <v>382.46200170854866</v>
      </c>
    </row>
    <row r="4" spans="1:27" x14ac:dyDescent="0.2">
      <c r="A4">
        <v>1</v>
      </c>
      <c r="B4">
        <v>3</v>
      </c>
      <c r="C4" t="s">
        <v>144</v>
      </c>
      <c r="D4">
        <v>2012</v>
      </c>
      <c r="E4">
        <v>460468</v>
      </c>
      <c r="F4">
        <v>456411</v>
      </c>
      <c r="G4">
        <v>4057</v>
      </c>
      <c r="H4">
        <v>2.85</v>
      </c>
      <c r="I4">
        <v>165858</v>
      </c>
      <c r="J4">
        <v>159932</v>
      </c>
      <c r="K4">
        <v>5926</v>
      </c>
      <c r="L4">
        <v>3.57</v>
      </c>
      <c r="M4">
        <v>2.7518178199999999</v>
      </c>
      <c r="N4">
        <f>E4/_xlfn.XLOOKUP(C4,Lookups!$A$2:$A$66,Lookups!$C$2:$C$66)</f>
        <v>389.47128031193699</v>
      </c>
    </row>
    <row r="5" spans="1:27" x14ac:dyDescent="0.2">
      <c r="A5">
        <v>1</v>
      </c>
      <c r="B5">
        <v>3</v>
      </c>
      <c r="C5" t="s">
        <v>144</v>
      </c>
      <c r="D5">
        <v>2013</v>
      </c>
      <c r="E5">
        <v>469878</v>
      </c>
      <c r="F5">
        <v>465792</v>
      </c>
      <c r="G5">
        <v>4086</v>
      </c>
      <c r="H5">
        <v>2.86</v>
      </c>
      <c r="I5">
        <v>167459</v>
      </c>
      <c r="J5">
        <v>162991</v>
      </c>
      <c r="K5">
        <v>4468</v>
      </c>
      <c r="L5">
        <v>2.67</v>
      </c>
      <c r="M5">
        <v>2.7815286129999999</v>
      </c>
      <c r="N5">
        <f>E5/_xlfn.XLOOKUP(C5,Lookups!$A$2:$A$66,Lookups!$C$2:$C$66)</f>
        <v>397.43041047458746</v>
      </c>
    </row>
    <row r="6" spans="1:27" x14ac:dyDescent="0.2">
      <c r="A6">
        <v>1</v>
      </c>
      <c r="B6">
        <v>3</v>
      </c>
      <c r="C6" t="s">
        <v>144</v>
      </c>
      <c r="D6">
        <v>2014</v>
      </c>
      <c r="E6">
        <v>479901</v>
      </c>
      <c r="F6">
        <v>475690</v>
      </c>
      <c r="G6">
        <v>4211</v>
      </c>
      <c r="H6">
        <v>2.86</v>
      </c>
      <c r="I6">
        <v>169377</v>
      </c>
      <c r="J6">
        <v>166221</v>
      </c>
      <c r="K6">
        <v>3156</v>
      </c>
      <c r="L6">
        <v>1.86</v>
      </c>
      <c r="M6">
        <v>2.808468682</v>
      </c>
      <c r="N6">
        <f>E6/_xlfn.XLOOKUP(C6,Lookups!$A$2:$A$66,Lookups!$C$2:$C$66)</f>
        <v>405.90802594964009</v>
      </c>
    </row>
    <row r="7" spans="1:27" x14ac:dyDescent="0.2">
      <c r="A7">
        <v>1</v>
      </c>
      <c r="B7">
        <v>3</v>
      </c>
      <c r="C7" t="s">
        <v>144</v>
      </c>
      <c r="D7">
        <v>2015</v>
      </c>
      <c r="E7">
        <v>490351</v>
      </c>
      <c r="F7">
        <v>486126</v>
      </c>
      <c r="G7">
        <v>4225</v>
      </c>
      <c r="H7">
        <v>2.87</v>
      </c>
      <c r="I7">
        <v>171361</v>
      </c>
      <c r="J7">
        <v>169630</v>
      </c>
      <c r="K7">
        <v>1731</v>
      </c>
      <c r="L7">
        <v>1.01</v>
      </c>
      <c r="M7">
        <v>2.8368531930000001</v>
      </c>
      <c r="N7">
        <f>E7/_xlfn.XLOOKUP(C7,Lookups!$A$2:$A$66,Lookups!$C$2:$C$66)</f>
        <v>414.74680492941667</v>
      </c>
    </row>
    <row r="8" spans="1:27" x14ac:dyDescent="0.2">
      <c r="A8">
        <v>1</v>
      </c>
      <c r="B8">
        <v>3</v>
      </c>
      <c r="C8" t="s">
        <v>144</v>
      </c>
      <c r="D8">
        <v>2016</v>
      </c>
      <c r="E8">
        <v>497822</v>
      </c>
      <c r="F8">
        <v>493406</v>
      </c>
      <c r="G8">
        <v>4416</v>
      </c>
      <c r="H8">
        <v>2.87</v>
      </c>
      <c r="I8">
        <v>173204</v>
      </c>
      <c r="J8">
        <v>171930</v>
      </c>
      <c r="K8">
        <v>1274</v>
      </c>
      <c r="L8">
        <v>0.74</v>
      </c>
      <c r="M8">
        <v>2.8486986440000002</v>
      </c>
      <c r="N8">
        <f>E8/_xlfn.XLOOKUP(C8,Lookups!$A$2:$A$66,Lookups!$C$2:$C$66)</f>
        <v>421.06589753782913</v>
      </c>
    </row>
    <row r="9" spans="1:27" x14ac:dyDescent="0.2">
      <c r="A9">
        <v>1</v>
      </c>
      <c r="B9">
        <v>3</v>
      </c>
      <c r="C9" t="s">
        <v>144</v>
      </c>
      <c r="D9">
        <v>2017</v>
      </c>
      <c r="E9">
        <v>503706</v>
      </c>
      <c r="F9">
        <v>499300</v>
      </c>
      <c r="G9">
        <v>4406</v>
      </c>
      <c r="H9">
        <v>2.87</v>
      </c>
      <c r="I9">
        <v>176439</v>
      </c>
      <c r="J9">
        <v>173741</v>
      </c>
      <c r="K9">
        <v>2698</v>
      </c>
      <c r="L9">
        <v>1.53</v>
      </c>
      <c r="M9">
        <v>2.829873214</v>
      </c>
      <c r="N9">
        <f>E9/_xlfn.XLOOKUP(C9,Lookups!$A$2:$A$66,Lookups!$C$2:$C$66)</f>
        <v>426.04267988395401</v>
      </c>
    </row>
    <row r="10" spans="1:27" x14ac:dyDescent="0.2">
      <c r="A10">
        <v>1</v>
      </c>
      <c r="B10">
        <v>3</v>
      </c>
      <c r="C10" t="s">
        <v>144</v>
      </c>
      <c r="D10">
        <v>2018</v>
      </c>
      <c r="E10">
        <v>511422</v>
      </c>
      <c r="F10">
        <v>506996</v>
      </c>
      <c r="G10">
        <v>4426</v>
      </c>
      <c r="H10">
        <v>2.88</v>
      </c>
      <c r="I10">
        <v>180056</v>
      </c>
      <c r="J10">
        <v>176173</v>
      </c>
      <c r="K10">
        <v>3883</v>
      </c>
      <c r="L10">
        <v>2.16</v>
      </c>
      <c r="M10">
        <v>2.8157684280000002</v>
      </c>
      <c r="N10">
        <f>E10/_xlfn.XLOOKUP(C10,Lookups!$A$2:$A$66,Lookups!$C$2:$C$66)</f>
        <v>432.56899745409333</v>
      </c>
    </row>
    <row r="11" spans="1:27" x14ac:dyDescent="0.2">
      <c r="A11">
        <v>1</v>
      </c>
      <c r="B11">
        <v>3</v>
      </c>
      <c r="C11" t="s">
        <v>144</v>
      </c>
      <c r="D11">
        <v>2019</v>
      </c>
      <c r="E11">
        <v>516482</v>
      </c>
      <c r="F11">
        <v>512038</v>
      </c>
      <c r="G11">
        <v>4444</v>
      </c>
      <c r="H11">
        <v>2.88</v>
      </c>
      <c r="I11">
        <v>183751</v>
      </c>
      <c r="J11">
        <v>177677</v>
      </c>
      <c r="K11">
        <v>6074</v>
      </c>
      <c r="L11">
        <v>3.31</v>
      </c>
      <c r="M11">
        <v>2.7865861949999999</v>
      </c>
      <c r="N11">
        <f>E11/_xlfn.XLOOKUP(C11,Lookups!$A$2:$A$66,Lookups!$C$2:$C$66)</f>
        <v>436.8488272758799</v>
      </c>
    </row>
    <row r="12" spans="1:27" x14ac:dyDescent="0.2">
      <c r="A12">
        <v>1</v>
      </c>
      <c r="B12">
        <v>3</v>
      </c>
      <c r="C12" t="s">
        <v>144</v>
      </c>
      <c r="D12">
        <v>2020</v>
      </c>
      <c r="E12">
        <v>520433</v>
      </c>
      <c r="F12">
        <v>515957</v>
      </c>
      <c r="G12">
        <v>4476</v>
      </c>
      <c r="I12">
        <v>187288</v>
      </c>
      <c r="M12">
        <v>2.7548855240000001</v>
      </c>
      <c r="N12">
        <f>E12/_xlfn.XLOOKUP(C12,Lookups!$A$2:$A$66,Lookups!$C$2:$C$66)</f>
        <v>440.1906469647887</v>
      </c>
      <c r="O12">
        <v>520433</v>
      </c>
      <c r="P12">
        <v>6805</v>
      </c>
      <c r="Q12">
        <v>3403</v>
      </c>
      <c r="R12">
        <v>548</v>
      </c>
      <c r="S12">
        <v>3402</v>
      </c>
      <c r="T12">
        <v>187288</v>
      </c>
      <c r="W12">
        <v>515957</v>
      </c>
      <c r="X12">
        <v>4027</v>
      </c>
      <c r="AA12">
        <v>2.7548855240000001</v>
      </c>
    </row>
    <row r="13" spans="1:27" x14ac:dyDescent="0.2">
      <c r="A13">
        <v>1</v>
      </c>
      <c r="B13">
        <v>3</v>
      </c>
      <c r="C13" t="s">
        <v>144</v>
      </c>
      <c r="D13">
        <v>2021</v>
      </c>
      <c r="E13">
        <v>523417</v>
      </c>
      <c r="F13">
        <v>518896</v>
      </c>
      <c r="G13">
        <v>4521</v>
      </c>
      <c r="I13">
        <v>191198</v>
      </c>
      <c r="M13">
        <v>2.7139196019999998</v>
      </c>
      <c r="N13">
        <f>E13/_xlfn.XLOOKUP(C13,Lookups!$A$2:$A$66,Lookups!$C$2:$C$66)</f>
        <v>442.71456241700429</v>
      </c>
      <c r="O13">
        <v>523417</v>
      </c>
      <c r="P13">
        <v>6644</v>
      </c>
      <c r="Q13">
        <v>2686</v>
      </c>
      <c r="R13">
        <v>298</v>
      </c>
      <c r="S13">
        <v>3958</v>
      </c>
      <c r="T13">
        <v>191198</v>
      </c>
      <c r="W13">
        <v>518896</v>
      </c>
      <c r="X13">
        <v>4687</v>
      </c>
      <c r="AA13">
        <v>2.7139196019999998</v>
      </c>
    </row>
    <row r="14" spans="1:27" x14ac:dyDescent="0.2">
      <c r="A14">
        <v>1</v>
      </c>
      <c r="B14">
        <v>3</v>
      </c>
      <c r="C14" t="s">
        <v>144</v>
      </c>
      <c r="D14">
        <v>2022</v>
      </c>
      <c r="E14">
        <v>527501</v>
      </c>
      <c r="F14">
        <v>522937</v>
      </c>
      <c r="G14">
        <v>4564</v>
      </c>
      <c r="I14">
        <v>196741</v>
      </c>
      <c r="M14">
        <v>2.6579970620000002</v>
      </c>
      <c r="N14">
        <f>E14/_xlfn.XLOOKUP(C14,Lookups!$A$2:$A$66,Lookups!$C$2:$C$66)</f>
        <v>446.16887565656481</v>
      </c>
      <c r="O14">
        <v>527501</v>
      </c>
      <c r="P14">
        <v>6838</v>
      </c>
      <c r="Q14">
        <v>2544</v>
      </c>
      <c r="R14">
        <v>1540</v>
      </c>
      <c r="S14">
        <v>4294</v>
      </c>
      <c r="T14">
        <v>196741</v>
      </c>
      <c r="W14">
        <v>522937</v>
      </c>
      <c r="X14">
        <v>2811</v>
      </c>
      <c r="AA14">
        <v>2.6579970620000002</v>
      </c>
    </row>
    <row r="15" spans="1:27" x14ac:dyDescent="0.2">
      <c r="A15">
        <v>3</v>
      </c>
      <c r="B15">
        <v>8</v>
      </c>
      <c r="C15" t="s">
        <v>145</v>
      </c>
      <c r="D15">
        <v>2010</v>
      </c>
      <c r="E15">
        <v>15474</v>
      </c>
      <c r="F15">
        <v>14734</v>
      </c>
      <c r="G15">
        <v>740</v>
      </c>
      <c r="H15">
        <v>2.4500000000000002</v>
      </c>
      <c r="I15">
        <v>6561</v>
      </c>
      <c r="J15">
        <v>6007</v>
      </c>
      <c r="K15">
        <v>554</v>
      </c>
      <c r="L15">
        <v>8.44</v>
      </c>
      <c r="M15">
        <v>2.245694254</v>
      </c>
      <c r="N15">
        <f>E15/_xlfn.XLOOKUP(C15,Lookups!$A$2:$A$66,Lookups!$C$2:$C$66)</f>
        <v>21.396274940888539</v>
      </c>
    </row>
    <row r="16" spans="1:27" x14ac:dyDescent="0.2">
      <c r="A16">
        <v>3</v>
      </c>
      <c r="B16">
        <v>8</v>
      </c>
      <c r="C16" t="s">
        <v>145</v>
      </c>
      <c r="D16">
        <v>2011</v>
      </c>
      <c r="E16">
        <v>15528</v>
      </c>
      <c r="F16">
        <v>14788</v>
      </c>
      <c r="G16">
        <v>740</v>
      </c>
      <c r="H16">
        <v>2.4500000000000002</v>
      </c>
      <c r="I16">
        <v>6591</v>
      </c>
      <c r="J16">
        <v>6037</v>
      </c>
      <c r="K16">
        <v>554</v>
      </c>
      <c r="L16">
        <v>8.41</v>
      </c>
      <c r="M16">
        <v>2.2436656049999999</v>
      </c>
      <c r="N16">
        <f>E16/_xlfn.XLOOKUP(C16,Lookups!$A$2:$A$66,Lookups!$C$2:$C$66)</f>
        <v>21.470942050026963</v>
      </c>
    </row>
    <row r="17" spans="1:27" x14ac:dyDescent="0.2">
      <c r="A17">
        <v>3</v>
      </c>
      <c r="B17">
        <v>8</v>
      </c>
      <c r="C17" t="s">
        <v>145</v>
      </c>
      <c r="D17">
        <v>2012</v>
      </c>
      <c r="E17">
        <v>15604</v>
      </c>
      <c r="F17">
        <v>14864</v>
      </c>
      <c r="G17">
        <v>740</v>
      </c>
      <c r="H17">
        <v>2.4500000000000002</v>
      </c>
      <c r="I17">
        <v>6636</v>
      </c>
      <c r="J17">
        <v>6075</v>
      </c>
      <c r="K17">
        <v>561</v>
      </c>
      <c r="L17">
        <v>8.4499999999999993</v>
      </c>
      <c r="M17">
        <v>2.2399035559999998</v>
      </c>
      <c r="N17">
        <f>E17/_xlfn.XLOOKUP(C17,Lookups!$A$2:$A$66,Lookups!$C$2:$C$66)</f>
        <v>21.576029092518077</v>
      </c>
    </row>
    <row r="18" spans="1:27" x14ac:dyDescent="0.2">
      <c r="A18">
        <v>3</v>
      </c>
      <c r="B18">
        <v>8</v>
      </c>
      <c r="C18" t="s">
        <v>145</v>
      </c>
      <c r="D18">
        <v>2013</v>
      </c>
      <c r="E18">
        <v>15709</v>
      </c>
      <c r="F18">
        <v>14969</v>
      </c>
      <c r="G18">
        <v>740</v>
      </c>
      <c r="H18">
        <v>2.44</v>
      </c>
      <c r="I18">
        <v>6700</v>
      </c>
      <c r="J18">
        <v>6126</v>
      </c>
      <c r="K18">
        <v>574</v>
      </c>
      <c r="L18">
        <v>8.57</v>
      </c>
      <c r="M18">
        <v>2.2341791039999999</v>
      </c>
      <c r="N18">
        <f>E18/_xlfn.XLOOKUP(C18,Lookups!$A$2:$A$66,Lookups!$C$2:$C$66)</f>
        <v>21.721215138065016</v>
      </c>
    </row>
    <row r="19" spans="1:27" x14ac:dyDescent="0.2">
      <c r="A19">
        <v>3</v>
      </c>
      <c r="B19">
        <v>8</v>
      </c>
      <c r="C19" t="s">
        <v>145</v>
      </c>
      <c r="D19">
        <v>2014</v>
      </c>
      <c r="E19">
        <v>15788</v>
      </c>
      <c r="F19">
        <v>14923</v>
      </c>
      <c r="G19">
        <v>865</v>
      </c>
      <c r="H19">
        <v>2.44</v>
      </c>
      <c r="I19">
        <v>6747</v>
      </c>
      <c r="J19">
        <v>6115</v>
      </c>
      <c r="K19">
        <v>632</v>
      </c>
      <c r="L19">
        <v>9.3699999999999992</v>
      </c>
      <c r="M19">
        <v>2.2117978360000001</v>
      </c>
      <c r="N19">
        <f>E19/_xlfn.XLOOKUP(C19,Lookups!$A$2:$A$66,Lookups!$C$2:$C$66)</f>
        <v>21.830450353286043</v>
      </c>
    </row>
    <row r="20" spans="1:27" x14ac:dyDescent="0.2">
      <c r="A20">
        <v>3</v>
      </c>
      <c r="B20">
        <v>8</v>
      </c>
      <c r="C20" t="s">
        <v>145</v>
      </c>
      <c r="D20">
        <v>2015</v>
      </c>
      <c r="E20">
        <v>15885</v>
      </c>
      <c r="F20">
        <v>15020</v>
      </c>
      <c r="G20">
        <v>865</v>
      </c>
      <c r="H20">
        <v>2.44</v>
      </c>
      <c r="I20">
        <v>6807</v>
      </c>
      <c r="J20">
        <v>6163</v>
      </c>
      <c r="K20">
        <v>644</v>
      </c>
      <c r="L20">
        <v>9.4600000000000009</v>
      </c>
      <c r="M20">
        <v>2.2065520790000002</v>
      </c>
      <c r="N20">
        <f>E20/_xlfn.XLOOKUP(C20,Lookups!$A$2:$A$66,Lookups!$C$2:$C$66)</f>
        <v>21.964574604886547</v>
      </c>
    </row>
    <row r="21" spans="1:27" x14ac:dyDescent="0.2">
      <c r="A21">
        <v>3</v>
      </c>
      <c r="B21">
        <v>8</v>
      </c>
      <c r="C21" t="s">
        <v>145</v>
      </c>
      <c r="D21">
        <v>2016</v>
      </c>
      <c r="E21">
        <v>15936</v>
      </c>
      <c r="F21">
        <v>15071</v>
      </c>
      <c r="G21">
        <v>865</v>
      </c>
      <c r="H21">
        <v>2.4300000000000002</v>
      </c>
      <c r="I21">
        <v>6835</v>
      </c>
      <c r="J21">
        <v>6192</v>
      </c>
      <c r="K21">
        <v>643</v>
      </c>
      <c r="L21">
        <v>9.41</v>
      </c>
      <c r="M21">
        <v>2.2049743959999999</v>
      </c>
      <c r="N21">
        <f>E21/_xlfn.XLOOKUP(C21,Lookups!$A$2:$A$66,Lookups!$C$2:$C$66)</f>
        <v>22.035093541295058</v>
      </c>
    </row>
    <row r="22" spans="1:27" x14ac:dyDescent="0.2">
      <c r="A22">
        <v>3</v>
      </c>
      <c r="B22">
        <v>8</v>
      </c>
      <c r="C22" t="s">
        <v>145</v>
      </c>
      <c r="D22">
        <v>2017</v>
      </c>
      <c r="E22">
        <v>16053</v>
      </c>
      <c r="F22">
        <v>15188</v>
      </c>
      <c r="G22">
        <v>865</v>
      </c>
      <c r="H22">
        <v>2.4300000000000002</v>
      </c>
      <c r="I22">
        <v>6908</v>
      </c>
      <c r="J22">
        <v>6247</v>
      </c>
      <c r="K22">
        <v>661</v>
      </c>
      <c r="L22">
        <v>9.57</v>
      </c>
      <c r="M22">
        <v>2.198610307</v>
      </c>
      <c r="N22">
        <f>E22/_xlfn.XLOOKUP(C22,Lookups!$A$2:$A$66,Lookups!$C$2:$C$66)</f>
        <v>22.196872277761646</v>
      </c>
    </row>
    <row r="23" spans="1:27" x14ac:dyDescent="0.2">
      <c r="A23">
        <v>3</v>
      </c>
      <c r="B23">
        <v>8</v>
      </c>
      <c r="C23" t="s">
        <v>145</v>
      </c>
      <c r="D23">
        <v>2018</v>
      </c>
      <c r="E23">
        <v>16184</v>
      </c>
      <c r="F23">
        <v>15319</v>
      </c>
      <c r="G23">
        <v>865</v>
      </c>
      <c r="H23">
        <v>2.4300000000000002</v>
      </c>
      <c r="I23">
        <v>6990</v>
      </c>
      <c r="J23">
        <v>6310</v>
      </c>
      <c r="K23">
        <v>680</v>
      </c>
      <c r="L23">
        <v>9.73</v>
      </c>
      <c r="M23">
        <v>2.1915593709999999</v>
      </c>
      <c r="N23">
        <f>E23/_xlfn.XLOOKUP(C23,Lookups!$A$2:$A$66,Lookups!$C$2:$C$66)</f>
        <v>22.378009153634491</v>
      </c>
    </row>
    <row r="24" spans="1:27" x14ac:dyDescent="0.2">
      <c r="A24">
        <v>3</v>
      </c>
      <c r="B24">
        <v>8</v>
      </c>
      <c r="C24" t="s">
        <v>145</v>
      </c>
      <c r="D24">
        <v>2019</v>
      </c>
      <c r="E24">
        <v>16247</v>
      </c>
      <c r="F24">
        <v>15382</v>
      </c>
      <c r="G24">
        <v>865</v>
      </c>
      <c r="H24">
        <v>2.4300000000000002</v>
      </c>
      <c r="I24">
        <v>7026</v>
      </c>
      <c r="J24">
        <v>6343</v>
      </c>
      <c r="K24">
        <v>683</v>
      </c>
      <c r="L24">
        <v>9.7200000000000006</v>
      </c>
      <c r="M24">
        <v>2.1892968970000002</v>
      </c>
      <c r="N24">
        <f>E24/_xlfn.XLOOKUP(C24,Lookups!$A$2:$A$66,Lookups!$C$2:$C$66)</f>
        <v>22.46512078096265</v>
      </c>
    </row>
    <row r="25" spans="1:27" x14ac:dyDescent="0.2">
      <c r="A25">
        <v>3</v>
      </c>
      <c r="B25">
        <v>8</v>
      </c>
      <c r="C25" t="s">
        <v>145</v>
      </c>
      <c r="D25">
        <v>2020</v>
      </c>
      <c r="E25">
        <v>16371</v>
      </c>
      <c r="F25">
        <v>15411</v>
      </c>
      <c r="G25">
        <v>960</v>
      </c>
      <c r="I25">
        <v>7072</v>
      </c>
      <c r="M25">
        <v>2.1791572399999999</v>
      </c>
      <c r="N25">
        <f>E25/_xlfn.XLOOKUP(C25,Lookups!$A$2:$A$66,Lookups!$C$2:$C$66)</f>
        <v>22.636578587132366</v>
      </c>
      <c r="O25">
        <v>16371</v>
      </c>
      <c r="P25">
        <v>187</v>
      </c>
      <c r="Q25">
        <v>28</v>
      </c>
      <c r="R25">
        <v>96</v>
      </c>
      <c r="S25">
        <v>159</v>
      </c>
      <c r="T25">
        <v>7072</v>
      </c>
      <c r="W25">
        <v>15411</v>
      </c>
      <c r="X25">
        <v>62</v>
      </c>
      <c r="AA25">
        <v>2.1791572399999999</v>
      </c>
    </row>
    <row r="26" spans="1:27" x14ac:dyDescent="0.2">
      <c r="A26">
        <v>3</v>
      </c>
      <c r="B26">
        <v>8</v>
      </c>
      <c r="C26" t="s">
        <v>145</v>
      </c>
      <c r="D26">
        <v>2021</v>
      </c>
      <c r="E26">
        <v>16574</v>
      </c>
      <c r="F26">
        <v>15590</v>
      </c>
      <c r="G26">
        <v>984</v>
      </c>
      <c r="I26">
        <v>7137</v>
      </c>
      <c r="M26">
        <v>2.1843912009999999</v>
      </c>
      <c r="N26">
        <f>E26/_xlfn.XLOOKUP(C26,Lookups!$A$2:$A$66,Lookups!$C$2:$C$66)</f>
        <v>22.917271608523112</v>
      </c>
      <c r="O26">
        <v>16574</v>
      </c>
      <c r="P26">
        <v>188</v>
      </c>
      <c r="Q26">
        <v>26</v>
      </c>
      <c r="R26">
        <v>177</v>
      </c>
      <c r="S26">
        <v>162</v>
      </c>
      <c r="T26">
        <v>7137</v>
      </c>
      <c r="W26">
        <v>15590</v>
      </c>
      <c r="X26">
        <v>109</v>
      </c>
      <c r="AA26">
        <v>2.1843912009999999</v>
      </c>
    </row>
    <row r="27" spans="1:27" x14ac:dyDescent="0.2">
      <c r="A27">
        <v>3</v>
      </c>
      <c r="B27">
        <v>8</v>
      </c>
      <c r="C27" t="s">
        <v>145</v>
      </c>
      <c r="D27">
        <v>2022</v>
      </c>
      <c r="E27">
        <v>16575</v>
      </c>
      <c r="F27">
        <v>15609</v>
      </c>
      <c r="G27">
        <v>966</v>
      </c>
      <c r="I27">
        <v>7250</v>
      </c>
      <c r="M27">
        <v>2.1529655170000002</v>
      </c>
      <c r="N27">
        <f>E27/_xlfn.XLOOKUP(C27,Lookups!$A$2:$A$66,Lookups!$C$2:$C$66)</f>
        <v>22.918654332766415</v>
      </c>
      <c r="O27">
        <v>16575</v>
      </c>
      <c r="P27">
        <v>196</v>
      </c>
      <c r="Q27">
        <v>-11</v>
      </c>
      <c r="R27">
        <v>12</v>
      </c>
      <c r="S27">
        <v>207</v>
      </c>
      <c r="T27">
        <v>7250</v>
      </c>
      <c r="W27">
        <v>15609</v>
      </c>
      <c r="X27">
        <v>102</v>
      </c>
      <c r="AA27">
        <v>2.1529655170000002</v>
      </c>
    </row>
    <row r="28" spans="1:27" x14ac:dyDescent="0.2">
      <c r="A28">
        <v>5</v>
      </c>
      <c r="B28">
        <v>3</v>
      </c>
      <c r="C28" t="s">
        <v>146</v>
      </c>
      <c r="D28">
        <v>2010</v>
      </c>
      <c r="E28">
        <v>574819</v>
      </c>
      <c r="F28">
        <v>569899</v>
      </c>
      <c r="G28">
        <v>4920</v>
      </c>
      <c r="H28">
        <v>2.5299999999999998</v>
      </c>
      <c r="I28">
        <v>239171</v>
      </c>
      <c r="J28">
        <v>225108</v>
      </c>
      <c r="K28">
        <v>14063</v>
      </c>
      <c r="L28">
        <v>5.88</v>
      </c>
      <c r="M28">
        <v>2.382809789</v>
      </c>
      <c r="N28">
        <f>E28/_xlfn.XLOOKUP(C28,Lookups!$A$2:$A$66,Lookups!$C$2:$C$66)</f>
        <v>714.58460237938368</v>
      </c>
    </row>
    <row r="29" spans="1:27" x14ac:dyDescent="0.2">
      <c r="A29">
        <v>5</v>
      </c>
      <c r="B29">
        <v>3</v>
      </c>
      <c r="C29" t="s">
        <v>146</v>
      </c>
      <c r="D29">
        <v>2011</v>
      </c>
      <c r="E29">
        <v>585817</v>
      </c>
      <c r="F29">
        <v>580907</v>
      </c>
      <c r="G29">
        <v>4910</v>
      </c>
      <c r="H29">
        <v>2.54</v>
      </c>
      <c r="I29">
        <v>240616</v>
      </c>
      <c r="J29">
        <v>228868</v>
      </c>
      <c r="K29">
        <v>11748</v>
      </c>
      <c r="L29">
        <v>4.88</v>
      </c>
      <c r="M29">
        <v>2.4142492600000001</v>
      </c>
      <c r="N29">
        <f>E29/_xlfn.XLOOKUP(C29,Lookups!$A$2:$A$66,Lookups!$C$2:$C$66)</f>
        <v>728.25673474969233</v>
      </c>
    </row>
    <row r="30" spans="1:27" x14ac:dyDescent="0.2">
      <c r="A30">
        <v>5</v>
      </c>
      <c r="B30">
        <v>3</v>
      </c>
      <c r="C30" t="s">
        <v>146</v>
      </c>
      <c r="D30">
        <v>2012</v>
      </c>
      <c r="E30">
        <v>596228</v>
      </c>
      <c r="F30">
        <v>591240</v>
      </c>
      <c r="G30">
        <v>4988</v>
      </c>
      <c r="H30">
        <v>2.54</v>
      </c>
      <c r="I30">
        <v>241137</v>
      </c>
      <c r="J30">
        <v>232344</v>
      </c>
      <c r="K30">
        <v>8793</v>
      </c>
      <c r="L30">
        <v>3.65</v>
      </c>
      <c r="M30">
        <v>2.4518841990000002</v>
      </c>
      <c r="N30">
        <f>E30/_xlfn.XLOOKUP(C30,Lookups!$A$2:$A$66,Lookups!$C$2:$C$66)</f>
        <v>741.19913974217127</v>
      </c>
    </row>
    <row r="31" spans="1:27" x14ac:dyDescent="0.2">
      <c r="A31">
        <v>5</v>
      </c>
      <c r="B31">
        <v>3</v>
      </c>
      <c r="C31" t="s">
        <v>146</v>
      </c>
      <c r="D31">
        <v>2013</v>
      </c>
      <c r="E31">
        <v>607861</v>
      </c>
      <c r="F31">
        <v>602977</v>
      </c>
      <c r="G31">
        <v>4884</v>
      </c>
      <c r="H31">
        <v>2.5499999999999998</v>
      </c>
      <c r="I31">
        <v>242604</v>
      </c>
      <c r="J31">
        <v>236352</v>
      </c>
      <c r="K31">
        <v>6252</v>
      </c>
      <c r="L31">
        <v>2.58</v>
      </c>
      <c r="M31">
        <v>2.4854371730000002</v>
      </c>
      <c r="N31">
        <f>E31/_xlfn.XLOOKUP(C31,Lookups!$A$2:$A$66,Lookups!$C$2:$C$66)</f>
        <v>755.66067055357348</v>
      </c>
    </row>
    <row r="32" spans="1:27" x14ac:dyDescent="0.2">
      <c r="A32">
        <v>5</v>
      </c>
      <c r="B32">
        <v>3</v>
      </c>
      <c r="C32" t="s">
        <v>146</v>
      </c>
      <c r="D32">
        <v>2014</v>
      </c>
      <c r="E32">
        <v>618310</v>
      </c>
      <c r="F32">
        <v>613335</v>
      </c>
      <c r="G32">
        <v>4975</v>
      </c>
      <c r="H32">
        <v>2.56</v>
      </c>
      <c r="I32">
        <v>245659</v>
      </c>
      <c r="J32">
        <v>239801</v>
      </c>
      <c r="K32">
        <v>5858</v>
      </c>
      <c r="L32">
        <v>2.38</v>
      </c>
      <c r="M32">
        <v>2.49669257</v>
      </c>
      <c r="N32">
        <f>E32/_xlfn.XLOOKUP(C32,Lookups!$A$2:$A$66,Lookups!$C$2:$C$66)</f>
        <v>768.65031513780286</v>
      </c>
    </row>
    <row r="33" spans="1:27" x14ac:dyDescent="0.2">
      <c r="A33">
        <v>5</v>
      </c>
      <c r="B33">
        <v>3</v>
      </c>
      <c r="C33" t="s">
        <v>146</v>
      </c>
      <c r="D33">
        <v>2015</v>
      </c>
      <c r="E33">
        <v>629965</v>
      </c>
      <c r="F33">
        <v>625080</v>
      </c>
      <c r="G33">
        <v>4885</v>
      </c>
      <c r="H33">
        <v>2.56</v>
      </c>
      <c r="I33">
        <v>247801</v>
      </c>
      <c r="J33">
        <v>243773</v>
      </c>
      <c r="K33">
        <v>4028</v>
      </c>
      <c r="L33">
        <v>1.63</v>
      </c>
      <c r="M33">
        <v>2.5225079799999999</v>
      </c>
      <c r="N33">
        <f>E33/_xlfn.XLOOKUP(C33,Lookups!$A$2:$A$66,Lookups!$C$2:$C$66)</f>
        <v>783.13919518653427</v>
      </c>
    </row>
    <row r="34" spans="1:27" x14ac:dyDescent="0.2">
      <c r="A34">
        <v>5</v>
      </c>
      <c r="B34">
        <v>3</v>
      </c>
      <c r="C34" t="s">
        <v>146</v>
      </c>
      <c r="D34">
        <v>2016</v>
      </c>
      <c r="E34">
        <v>637656</v>
      </c>
      <c r="F34">
        <v>632707</v>
      </c>
      <c r="G34">
        <v>4949</v>
      </c>
      <c r="H34">
        <v>2.57</v>
      </c>
      <c r="I34">
        <v>249881</v>
      </c>
      <c r="J34">
        <v>246123</v>
      </c>
      <c r="K34">
        <v>3758</v>
      </c>
      <c r="L34">
        <v>1.5</v>
      </c>
      <c r="M34">
        <v>2.5320332479999998</v>
      </c>
      <c r="N34">
        <f>E34/_xlfn.XLOOKUP(C34,Lookups!$A$2:$A$66,Lookups!$C$2:$C$66)</f>
        <v>792.70023992740028</v>
      </c>
    </row>
    <row r="35" spans="1:27" x14ac:dyDescent="0.2">
      <c r="A35">
        <v>5</v>
      </c>
      <c r="B35">
        <v>3</v>
      </c>
      <c r="C35" t="s">
        <v>146</v>
      </c>
      <c r="D35">
        <v>2017</v>
      </c>
      <c r="E35">
        <v>642976</v>
      </c>
      <c r="F35">
        <v>637915</v>
      </c>
      <c r="G35">
        <v>5061</v>
      </c>
      <c r="H35">
        <v>2.58</v>
      </c>
      <c r="I35">
        <v>254352</v>
      </c>
      <c r="J35">
        <v>247523</v>
      </c>
      <c r="K35">
        <v>6829</v>
      </c>
      <c r="L35">
        <v>2.68</v>
      </c>
      <c r="M35">
        <v>2.5080007229999999</v>
      </c>
      <c r="N35">
        <f>E35/_xlfn.XLOOKUP(C35,Lookups!$A$2:$A$66,Lookups!$C$2:$C$66)</f>
        <v>799.31378277246677</v>
      </c>
    </row>
    <row r="36" spans="1:27" x14ac:dyDescent="0.2">
      <c r="A36">
        <v>5</v>
      </c>
      <c r="B36">
        <v>3</v>
      </c>
      <c r="C36" t="s">
        <v>146</v>
      </c>
      <c r="D36">
        <v>2018</v>
      </c>
      <c r="E36">
        <v>650167</v>
      </c>
      <c r="F36">
        <v>644993</v>
      </c>
      <c r="G36">
        <v>5174</v>
      </c>
      <c r="H36">
        <v>2.58</v>
      </c>
      <c r="I36">
        <v>257003</v>
      </c>
      <c r="J36">
        <v>249640</v>
      </c>
      <c r="K36">
        <v>7363</v>
      </c>
      <c r="L36">
        <v>2.86</v>
      </c>
      <c r="M36">
        <v>2.5096710930000001</v>
      </c>
      <c r="N36">
        <f>E36/_xlfn.XLOOKUP(C36,Lookups!$A$2:$A$66,Lookups!$C$2:$C$66)</f>
        <v>808.25325393766866</v>
      </c>
    </row>
    <row r="37" spans="1:27" x14ac:dyDescent="0.2">
      <c r="A37">
        <v>5</v>
      </c>
      <c r="B37">
        <v>3</v>
      </c>
      <c r="C37" t="s">
        <v>146</v>
      </c>
      <c r="D37">
        <v>2019</v>
      </c>
      <c r="E37">
        <v>653804</v>
      </c>
      <c r="F37">
        <v>648519</v>
      </c>
      <c r="G37">
        <v>5285</v>
      </c>
      <c r="H37">
        <v>2.59</v>
      </c>
      <c r="I37">
        <v>259939</v>
      </c>
      <c r="J37">
        <v>250374</v>
      </c>
      <c r="K37">
        <v>9565</v>
      </c>
      <c r="L37">
        <v>3.68</v>
      </c>
      <c r="M37">
        <v>2.494889186</v>
      </c>
      <c r="N37">
        <f>E37/_xlfn.XLOOKUP(C37,Lookups!$A$2:$A$66,Lookups!$C$2:$C$66)</f>
        <v>812.77458012704972</v>
      </c>
    </row>
    <row r="38" spans="1:27" x14ac:dyDescent="0.2">
      <c r="A38">
        <v>5</v>
      </c>
      <c r="B38">
        <v>3</v>
      </c>
      <c r="C38" t="s">
        <v>146</v>
      </c>
      <c r="D38">
        <v>2020</v>
      </c>
      <c r="E38">
        <v>655212</v>
      </c>
      <c r="F38">
        <v>649825</v>
      </c>
      <c r="G38">
        <v>5387</v>
      </c>
      <c r="I38">
        <v>263241</v>
      </c>
      <c r="M38">
        <v>2.4685554299999999</v>
      </c>
      <c r="N38">
        <f>E38/_xlfn.XLOOKUP(C38,Lookups!$A$2:$A$66,Lookups!$C$2:$C$66)</f>
        <v>814.52493131611993</v>
      </c>
      <c r="O38">
        <v>655212</v>
      </c>
      <c r="P38">
        <v>7580</v>
      </c>
      <c r="Q38">
        <v>2964</v>
      </c>
      <c r="R38">
        <v>-1556</v>
      </c>
      <c r="S38">
        <v>4616</v>
      </c>
      <c r="T38">
        <v>263241</v>
      </c>
      <c r="W38">
        <v>649825</v>
      </c>
      <c r="X38">
        <v>4116</v>
      </c>
      <c r="AA38">
        <v>2.4685554299999999</v>
      </c>
    </row>
    <row r="39" spans="1:27" x14ac:dyDescent="0.2">
      <c r="A39">
        <v>5</v>
      </c>
      <c r="B39">
        <v>3</v>
      </c>
      <c r="C39" t="s">
        <v>146</v>
      </c>
      <c r="D39">
        <v>2021</v>
      </c>
      <c r="E39">
        <v>656722</v>
      </c>
      <c r="F39">
        <v>651475</v>
      </c>
      <c r="G39">
        <v>5247</v>
      </c>
      <c r="I39">
        <v>266515</v>
      </c>
      <c r="M39">
        <v>2.4444215150000002</v>
      </c>
      <c r="N39">
        <f>E39/_xlfn.XLOOKUP(C39,Lookups!$A$2:$A$66,Lookups!$C$2:$C$66)</f>
        <v>816.4020835146257</v>
      </c>
      <c r="O39">
        <v>656722</v>
      </c>
      <c r="P39">
        <v>7551</v>
      </c>
      <c r="Q39">
        <v>2814</v>
      </c>
      <c r="R39">
        <v>-1304</v>
      </c>
      <c r="S39">
        <v>4737</v>
      </c>
      <c r="T39">
        <v>266515</v>
      </c>
      <c r="W39">
        <v>651475</v>
      </c>
      <c r="X39">
        <v>5519</v>
      </c>
      <c r="AA39">
        <v>2.4444215150000002</v>
      </c>
    </row>
    <row r="40" spans="1:27" x14ac:dyDescent="0.2">
      <c r="A40">
        <v>5</v>
      </c>
      <c r="B40">
        <v>3</v>
      </c>
      <c r="C40" t="s">
        <v>146</v>
      </c>
      <c r="D40">
        <v>2022</v>
      </c>
      <c r="E40">
        <v>656015</v>
      </c>
      <c r="F40">
        <v>650714</v>
      </c>
      <c r="G40">
        <v>5301</v>
      </c>
      <c r="I40">
        <v>270939</v>
      </c>
      <c r="M40">
        <v>2.4016992749999999</v>
      </c>
      <c r="N40">
        <f>E40/_xlfn.XLOOKUP(C40,Lookups!$A$2:$A$66,Lookups!$C$2:$C$66)</f>
        <v>815.52317847863651</v>
      </c>
      <c r="O40">
        <v>656015</v>
      </c>
      <c r="P40">
        <v>7612</v>
      </c>
      <c r="Q40">
        <v>2532</v>
      </c>
      <c r="R40">
        <v>-3239</v>
      </c>
      <c r="S40">
        <v>5080</v>
      </c>
      <c r="T40">
        <v>270939</v>
      </c>
      <c r="W40">
        <v>650714</v>
      </c>
      <c r="X40">
        <v>4325</v>
      </c>
      <c r="AA40">
        <v>2.4016992749999999</v>
      </c>
    </row>
    <row r="41" spans="1:27" x14ac:dyDescent="0.2">
      <c r="A41">
        <v>7</v>
      </c>
      <c r="B41">
        <v>9</v>
      </c>
      <c r="C41" t="s">
        <v>147</v>
      </c>
      <c r="D41">
        <v>2010</v>
      </c>
      <c r="E41">
        <v>12060</v>
      </c>
      <c r="F41">
        <v>11931</v>
      </c>
      <c r="G41">
        <v>129</v>
      </c>
      <c r="H41">
        <v>2.27</v>
      </c>
      <c r="I41">
        <v>8762</v>
      </c>
      <c r="J41">
        <v>5257</v>
      </c>
      <c r="K41">
        <v>3505</v>
      </c>
      <c r="L41">
        <v>40</v>
      </c>
      <c r="M41">
        <v>1.3616754170000001</v>
      </c>
      <c r="N41">
        <f>E41/_xlfn.XLOOKUP(C41,Lookups!$A$2:$A$66,Lookups!$C$2:$C$66)</f>
        <v>8.9034572877677132</v>
      </c>
    </row>
    <row r="42" spans="1:27" x14ac:dyDescent="0.2">
      <c r="A42">
        <v>7</v>
      </c>
      <c r="B42">
        <v>9</v>
      </c>
      <c r="C42" t="s">
        <v>147</v>
      </c>
      <c r="D42">
        <v>2011</v>
      </c>
      <c r="E42">
        <v>11955</v>
      </c>
      <c r="F42">
        <v>11830</v>
      </c>
      <c r="G42">
        <v>125</v>
      </c>
      <c r="H42">
        <v>2.27</v>
      </c>
      <c r="I42">
        <v>8781</v>
      </c>
      <c r="J42">
        <v>5208</v>
      </c>
      <c r="K42">
        <v>3573</v>
      </c>
      <c r="L42">
        <v>40.69</v>
      </c>
      <c r="M42">
        <v>1.3472269670000001</v>
      </c>
      <c r="N42">
        <f>E42/_xlfn.XLOOKUP(C42,Lookups!$A$2:$A$66,Lookups!$C$2:$C$66)</f>
        <v>8.8259396248145112</v>
      </c>
    </row>
    <row r="43" spans="1:27" x14ac:dyDescent="0.2">
      <c r="A43">
        <v>7</v>
      </c>
      <c r="B43">
        <v>9</v>
      </c>
      <c r="C43" t="s">
        <v>147</v>
      </c>
      <c r="D43">
        <v>2012</v>
      </c>
      <c r="E43">
        <v>11990</v>
      </c>
      <c r="F43">
        <v>11869</v>
      </c>
      <c r="G43">
        <v>121</v>
      </c>
      <c r="H43">
        <v>2.27</v>
      </c>
      <c r="I43">
        <v>8807</v>
      </c>
      <c r="J43">
        <v>5220</v>
      </c>
      <c r="K43">
        <v>3587</v>
      </c>
      <c r="L43">
        <v>40.729999999999997</v>
      </c>
      <c r="M43">
        <v>1.3476779830000001</v>
      </c>
      <c r="N43">
        <f>E43/_xlfn.XLOOKUP(C43,Lookups!$A$2:$A$66,Lookups!$C$2:$C$66)</f>
        <v>8.8517788457989113</v>
      </c>
    </row>
    <row r="44" spans="1:27" x14ac:dyDescent="0.2">
      <c r="A44">
        <v>7</v>
      </c>
      <c r="B44">
        <v>9</v>
      </c>
      <c r="C44" t="s">
        <v>147</v>
      </c>
      <c r="D44">
        <v>2013</v>
      </c>
      <c r="E44">
        <v>11995</v>
      </c>
      <c r="F44">
        <v>11878</v>
      </c>
      <c r="G44">
        <v>117</v>
      </c>
      <c r="H44">
        <v>2.2799999999999998</v>
      </c>
      <c r="I44">
        <v>8840</v>
      </c>
      <c r="J44">
        <v>5219</v>
      </c>
      <c r="K44">
        <v>3621</v>
      </c>
      <c r="L44">
        <v>40.96</v>
      </c>
      <c r="M44">
        <v>1.3436651580000001</v>
      </c>
      <c r="N44">
        <f>E44/_xlfn.XLOOKUP(C44,Lookups!$A$2:$A$66,Lookups!$C$2:$C$66)</f>
        <v>8.8554701630823978</v>
      </c>
    </row>
    <row r="45" spans="1:27" x14ac:dyDescent="0.2">
      <c r="A45">
        <v>7</v>
      </c>
      <c r="B45">
        <v>9</v>
      </c>
      <c r="C45" t="s">
        <v>147</v>
      </c>
      <c r="D45">
        <v>2014</v>
      </c>
      <c r="E45">
        <v>11931</v>
      </c>
      <c r="F45">
        <v>11818</v>
      </c>
      <c r="G45">
        <v>113</v>
      </c>
      <c r="H45">
        <v>2.2799999999999998</v>
      </c>
      <c r="I45">
        <v>8899</v>
      </c>
      <c r="J45">
        <v>5187</v>
      </c>
      <c r="K45">
        <v>3712</v>
      </c>
      <c r="L45">
        <v>41.71</v>
      </c>
      <c r="M45">
        <v>1.328014384</v>
      </c>
      <c r="N45">
        <f>E45/_xlfn.XLOOKUP(C45,Lookups!$A$2:$A$66,Lookups!$C$2:$C$66)</f>
        <v>8.8082213018537789</v>
      </c>
    </row>
    <row r="46" spans="1:27" x14ac:dyDescent="0.2">
      <c r="A46">
        <v>7</v>
      </c>
      <c r="B46">
        <v>9</v>
      </c>
      <c r="C46" t="s">
        <v>147</v>
      </c>
      <c r="D46">
        <v>2015</v>
      </c>
      <c r="E46">
        <v>12009</v>
      </c>
      <c r="F46">
        <v>11900</v>
      </c>
      <c r="G46">
        <v>109</v>
      </c>
      <c r="H46">
        <v>2.2799999999999998</v>
      </c>
      <c r="I46">
        <v>8952</v>
      </c>
      <c r="J46">
        <v>5218</v>
      </c>
      <c r="K46">
        <v>3734</v>
      </c>
      <c r="L46">
        <v>41.71</v>
      </c>
      <c r="M46">
        <v>1.3293118859999999</v>
      </c>
      <c r="N46">
        <f>E46/_xlfn.XLOOKUP(C46,Lookups!$A$2:$A$66,Lookups!$C$2:$C$66)</f>
        <v>8.8658058514761571</v>
      </c>
    </row>
    <row r="47" spans="1:27" x14ac:dyDescent="0.2">
      <c r="A47">
        <v>7</v>
      </c>
      <c r="B47">
        <v>9</v>
      </c>
      <c r="C47" t="s">
        <v>147</v>
      </c>
      <c r="D47">
        <v>2016</v>
      </c>
      <c r="E47">
        <v>12362</v>
      </c>
      <c r="F47">
        <v>12257</v>
      </c>
      <c r="G47">
        <v>105</v>
      </c>
      <c r="H47">
        <v>2.2799999999999998</v>
      </c>
      <c r="I47">
        <v>9033</v>
      </c>
      <c r="J47">
        <v>5370</v>
      </c>
      <c r="K47">
        <v>3663</v>
      </c>
      <c r="L47">
        <v>40.549999999999997</v>
      </c>
      <c r="M47">
        <v>1.356913539</v>
      </c>
      <c r="N47">
        <f>E47/_xlfn.XLOOKUP(C47,Lookups!$A$2:$A$66,Lookups!$C$2:$C$66)</f>
        <v>9.1264128516902545</v>
      </c>
    </row>
    <row r="48" spans="1:27" x14ac:dyDescent="0.2">
      <c r="A48">
        <v>7</v>
      </c>
      <c r="B48">
        <v>9</v>
      </c>
      <c r="C48" t="s">
        <v>147</v>
      </c>
      <c r="D48">
        <v>2017</v>
      </c>
      <c r="E48">
        <v>12758</v>
      </c>
      <c r="F48">
        <v>12657</v>
      </c>
      <c r="G48">
        <v>101</v>
      </c>
      <c r="H48">
        <v>2.2799999999999998</v>
      </c>
      <c r="I48">
        <v>9137</v>
      </c>
      <c r="J48">
        <v>5540</v>
      </c>
      <c r="K48">
        <v>3597</v>
      </c>
      <c r="L48">
        <v>39.369999999999997</v>
      </c>
      <c r="M48">
        <v>1.3852467989999999</v>
      </c>
      <c r="N48">
        <f>E48/_xlfn.XLOOKUP(C48,Lookups!$A$2:$A$66,Lookups!$C$2:$C$66)</f>
        <v>9.4187651805423283</v>
      </c>
    </row>
    <row r="49" spans="1:27" x14ac:dyDescent="0.2">
      <c r="A49">
        <v>7</v>
      </c>
      <c r="B49">
        <v>9</v>
      </c>
      <c r="C49" t="s">
        <v>147</v>
      </c>
      <c r="D49">
        <v>2018</v>
      </c>
      <c r="E49">
        <v>13034</v>
      </c>
      <c r="F49">
        <v>12937</v>
      </c>
      <c r="G49">
        <v>97</v>
      </c>
      <c r="H49">
        <v>2.29</v>
      </c>
      <c r="I49">
        <v>9277</v>
      </c>
      <c r="J49">
        <v>5657</v>
      </c>
      <c r="K49">
        <v>3620</v>
      </c>
      <c r="L49">
        <v>39.020000000000003</v>
      </c>
      <c r="M49">
        <v>1.3945240919999999</v>
      </c>
      <c r="N49">
        <f>E49/_xlfn.XLOOKUP(C49,Lookups!$A$2:$A$66,Lookups!$C$2:$C$66)</f>
        <v>9.6225258945907441</v>
      </c>
    </row>
    <row r="50" spans="1:27" x14ac:dyDescent="0.2">
      <c r="A50">
        <v>7</v>
      </c>
      <c r="B50">
        <v>9</v>
      </c>
      <c r="C50" t="s">
        <v>147</v>
      </c>
      <c r="D50">
        <v>2019</v>
      </c>
      <c r="E50">
        <v>13194</v>
      </c>
      <c r="F50">
        <v>13101</v>
      </c>
      <c r="G50">
        <v>93</v>
      </c>
      <c r="H50">
        <v>2.29</v>
      </c>
      <c r="I50">
        <v>9411</v>
      </c>
      <c r="J50">
        <v>5723</v>
      </c>
      <c r="K50">
        <v>3688</v>
      </c>
      <c r="L50">
        <v>39.19</v>
      </c>
      <c r="M50">
        <v>1.392094358</v>
      </c>
      <c r="N50">
        <f>E50/_xlfn.XLOOKUP(C50,Lookups!$A$2:$A$66,Lookups!$C$2:$C$66)</f>
        <v>9.7406480476622885</v>
      </c>
    </row>
    <row r="51" spans="1:27" x14ac:dyDescent="0.2">
      <c r="A51">
        <v>7</v>
      </c>
      <c r="B51">
        <v>9</v>
      </c>
      <c r="C51" t="s">
        <v>147</v>
      </c>
      <c r="D51">
        <v>2020</v>
      </c>
      <c r="E51">
        <v>13428</v>
      </c>
      <c r="F51">
        <v>13330</v>
      </c>
      <c r="G51">
        <v>98</v>
      </c>
      <c r="I51">
        <v>9537</v>
      </c>
      <c r="M51">
        <v>1.3977141660000001</v>
      </c>
      <c r="N51">
        <f>E51/_xlfn.XLOOKUP(C51,Lookups!$A$2:$A$66,Lookups!$C$2:$C$66)</f>
        <v>9.9134016965294229</v>
      </c>
      <c r="O51">
        <v>13428</v>
      </c>
      <c r="P51">
        <v>102</v>
      </c>
      <c r="Q51">
        <v>-8</v>
      </c>
      <c r="R51">
        <v>242</v>
      </c>
      <c r="S51">
        <v>110</v>
      </c>
      <c r="T51">
        <v>9537</v>
      </c>
      <c r="W51">
        <v>13330</v>
      </c>
      <c r="X51">
        <v>153</v>
      </c>
      <c r="AA51">
        <v>1.3977141660000001</v>
      </c>
    </row>
    <row r="52" spans="1:27" x14ac:dyDescent="0.2">
      <c r="A52">
        <v>7</v>
      </c>
      <c r="B52">
        <v>9</v>
      </c>
      <c r="C52" t="s">
        <v>147</v>
      </c>
      <c r="D52">
        <v>2021</v>
      </c>
      <c r="E52">
        <v>13812</v>
      </c>
      <c r="F52">
        <v>13720</v>
      </c>
      <c r="G52">
        <v>92</v>
      </c>
      <c r="I52">
        <v>9687</v>
      </c>
      <c r="M52">
        <v>1.4163311649999999</v>
      </c>
      <c r="N52">
        <f>E52/_xlfn.XLOOKUP(C52,Lookups!$A$2:$A$66,Lookups!$C$2:$C$66)</f>
        <v>10.196894863901132</v>
      </c>
      <c r="O52">
        <v>13812</v>
      </c>
      <c r="P52">
        <v>118</v>
      </c>
      <c r="Q52">
        <v>-4</v>
      </c>
      <c r="R52">
        <v>388</v>
      </c>
      <c r="S52">
        <v>122</v>
      </c>
      <c r="T52">
        <v>9687</v>
      </c>
      <c r="W52">
        <v>13720</v>
      </c>
      <c r="X52">
        <v>193</v>
      </c>
      <c r="AA52">
        <v>1.4163311649999999</v>
      </c>
    </row>
    <row r="53" spans="1:27" x14ac:dyDescent="0.2">
      <c r="A53">
        <v>7</v>
      </c>
      <c r="B53">
        <v>9</v>
      </c>
      <c r="C53" t="s">
        <v>147</v>
      </c>
      <c r="D53">
        <v>2022</v>
      </c>
      <c r="E53">
        <v>13986</v>
      </c>
      <c r="F53">
        <v>13898</v>
      </c>
      <c r="G53">
        <v>88</v>
      </c>
      <c r="I53">
        <v>9879</v>
      </c>
      <c r="M53">
        <v>1.406822553</v>
      </c>
      <c r="N53">
        <f>E53/_xlfn.XLOOKUP(C53,Lookups!$A$2:$A$66,Lookups!$C$2:$C$66)</f>
        <v>10.325352705366438</v>
      </c>
      <c r="O53">
        <v>13986</v>
      </c>
      <c r="P53">
        <v>104</v>
      </c>
      <c r="Q53">
        <v>-48</v>
      </c>
      <c r="R53">
        <v>222</v>
      </c>
      <c r="S53">
        <v>152</v>
      </c>
      <c r="T53">
        <v>9879</v>
      </c>
      <c r="W53">
        <v>13898</v>
      </c>
      <c r="X53">
        <v>164</v>
      </c>
      <c r="AA53">
        <v>1.406822553</v>
      </c>
    </row>
    <row r="54" spans="1:27" x14ac:dyDescent="0.2">
      <c r="A54">
        <v>9</v>
      </c>
      <c r="B54">
        <v>6</v>
      </c>
      <c r="C54" t="s">
        <v>148</v>
      </c>
      <c r="D54">
        <v>2010</v>
      </c>
      <c r="E54">
        <v>3795</v>
      </c>
      <c r="F54">
        <v>3713</v>
      </c>
      <c r="G54">
        <v>82</v>
      </c>
      <c r="H54">
        <v>2.52</v>
      </c>
      <c r="I54">
        <v>1964</v>
      </c>
      <c r="J54">
        <v>1475</v>
      </c>
      <c r="K54">
        <v>489</v>
      </c>
      <c r="L54">
        <v>24.9</v>
      </c>
      <c r="M54">
        <v>1.890529532</v>
      </c>
      <c r="N54">
        <f>E54/_xlfn.XLOOKUP(C54,Lookups!$A$2:$A$66,Lookups!$C$2:$C$66)</f>
        <v>1.4833025859103843</v>
      </c>
    </row>
    <row r="55" spans="1:27" x14ac:dyDescent="0.2">
      <c r="A55">
        <v>9</v>
      </c>
      <c r="B55">
        <v>6</v>
      </c>
      <c r="C55" t="s">
        <v>148</v>
      </c>
      <c r="D55">
        <v>2011</v>
      </c>
      <c r="E55">
        <v>3767</v>
      </c>
      <c r="F55">
        <v>3689</v>
      </c>
      <c r="G55">
        <v>78</v>
      </c>
      <c r="H55">
        <v>2.2200000000000002</v>
      </c>
      <c r="I55">
        <v>1966</v>
      </c>
      <c r="J55">
        <v>1661</v>
      </c>
      <c r="K55">
        <v>305</v>
      </c>
      <c r="L55">
        <v>15.54</v>
      </c>
      <c r="M55">
        <v>1.8763987790000001</v>
      </c>
      <c r="N55">
        <f>E55/_xlfn.XLOOKUP(C55,Lookups!$A$2:$A$66,Lookups!$C$2:$C$66)</f>
        <v>1.4723585879115726</v>
      </c>
    </row>
    <row r="56" spans="1:27" x14ac:dyDescent="0.2">
      <c r="A56">
        <v>9</v>
      </c>
      <c r="B56">
        <v>6</v>
      </c>
      <c r="C56" t="s">
        <v>148</v>
      </c>
      <c r="D56">
        <v>2012</v>
      </c>
      <c r="E56">
        <v>3704</v>
      </c>
      <c r="F56">
        <v>3631</v>
      </c>
      <c r="G56">
        <v>73</v>
      </c>
      <c r="H56">
        <v>2.2200000000000002</v>
      </c>
      <c r="I56">
        <v>1968</v>
      </c>
      <c r="J56">
        <v>1634</v>
      </c>
      <c r="K56">
        <v>334</v>
      </c>
      <c r="L56">
        <v>16.97</v>
      </c>
      <c r="M56">
        <v>1.8450203249999999</v>
      </c>
      <c r="N56">
        <f>E56/_xlfn.XLOOKUP(C56,Lookups!$A$2:$A$66,Lookups!$C$2:$C$66)</f>
        <v>1.447734592414246</v>
      </c>
    </row>
    <row r="57" spans="1:27" x14ac:dyDescent="0.2">
      <c r="A57">
        <v>9</v>
      </c>
      <c r="B57">
        <v>6</v>
      </c>
      <c r="C57" t="s">
        <v>148</v>
      </c>
      <c r="D57">
        <v>2013</v>
      </c>
      <c r="E57">
        <v>3637</v>
      </c>
      <c r="F57">
        <v>3568</v>
      </c>
      <c r="G57">
        <v>69</v>
      </c>
      <c r="H57">
        <v>2.1800000000000002</v>
      </c>
      <c r="I57">
        <v>1968</v>
      </c>
      <c r="J57">
        <v>1634</v>
      </c>
      <c r="K57">
        <v>334</v>
      </c>
      <c r="L57">
        <v>16.97</v>
      </c>
      <c r="M57">
        <v>1.8130081300000001</v>
      </c>
      <c r="N57">
        <f>E57/_xlfn.XLOOKUP(C57,Lookups!$A$2:$A$66,Lookups!$C$2:$C$66)</f>
        <v>1.4215471686313748</v>
      </c>
    </row>
    <row r="58" spans="1:27" x14ac:dyDescent="0.2">
      <c r="A58">
        <v>9</v>
      </c>
      <c r="B58">
        <v>6</v>
      </c>
      <c r="C58" t="s">
        <v>148</v>
      </c>
      <c r="D58">
        <v>2014</v>
      </c>
      <c r="E58">
        <v>3564</v>
      </c>
      <c r="F58">
        <v>3500</v>
      </c>
      <c r="G58">
        <v>64</v>
      </c>
      <c r="H58">
        <v>2.14</v>
      </c>
      <c r="I58">
        <v>1968</v>
      </c>
      <c r="J58">
        <v>1634</v>
      </c>
      <c r="K58">
        <v>334</v>
      </c>
      <c r="L58">
        <v>16.97</v>
      </c>
      <c r="M58">
        <v>1.7784552849999999</v>
      </c>
      <c r="N58">
        <f>E58/_xlfn.XLOOKUP(C58,Lookups!$A$2:$A$66,Lookups!$C$2:$C$66)</f>
        <v>1.393014602420187</v>
      </c>
    </row>
    <row r="59" spans="1:27" x14ac:dyDescent="0.2">
      <c r="A59">
        <v>9</v>
      </c>
      <c r="B59">
        <v>6</v>
      </c>
      <c r="C59" t="s">
        <v>148</v>
      </c>
      <c r="D59">
        <v>2015</v>
      </c>
      <c r="E59">
        <v>3530</v>
      </c>
      <c r="F59">
        <v>3470</v>
      </c>
      <c r="G59">
        <v>60</v>
      </c>
      <c r="H59">
        <v>2.12</v>
      </c>
      <c r="I59">
        <v>1968</v>
      </c>
      <c r="J59">
        <v>1634</v>
      </c>
      <c r="K59">
        <v>334</v>
      </c>
      <c r="L59">
        <v>16.97</v>
      </c>
      <c r="M59">
        <v>1.7632113819999999</v>
      </c>
      <c r="N59">
        <f>E59/_xlfn.XLOOKUP(C59,Lookups!$A$2:$A$66,Lookups!$C$2:$C$66)</f>
        <v>1.3797254619930583</v>
      </c>
    </row>
    <row r="60" spans="1:27" x14ac:dyDescent="0.2">
      <c r="A60">
        <v>9</v>
      </c>
      <c r="B60">
        <v>6</v>
      </c>
      <c r="C60" t="s">
        <v>148</v>
      </c>
      <c r="D60">
        <v>2016</v>
      </c>
      <c r="E60">
        <v>3505</v>
      </c>
      <c r="F60">
        <v>3450</v>
      </c>
      <c r="G60">
        <v>55</v>
      </c>
      <c r="H60">
        <v>2.11</v>
      </c>
      <c r="I60">
        <v>1968</v>
      </c>
      <c r="J60">
        <v>1634</v>
      </c>
      <c r="K60">
        <v>334</v>
      </c>
      <c r="L60">
        <v>16.97</v>
      </c>
      <c r="M60">
        <v>1.7530487800000001</v>
      </c>
      <c r="N60">
        <f>E60/_xlfn.XLOOKUP(C60,Lookups!$A$2:$A$66,Lookups!$C$2:$C$66)</f>
        <v>1.369954035208405</v>
      </c>
    </row>
    <row r="61" spans="1:27" x14ac:dyDescent="0.2">
      <c r="A61">
        <v>9</v>
      </c>
      <c r="B61">
        <v>6</v>
      </c>
      <c r="C61" t="s">
        <v>148</v>
      </c>
      <c r="D61">
        <v>2017</v>
      </c>
      <c r="E61">
        <v>3523</v>
      </c>
      <c r="F61">
        <v>3472</v>
      </c>
      <c r="G61">
        <v>51</v>
      </c>
      <c r="H61">
        <v>2.14</v>
      </c>
      <c r="I61">
        <v>1969</v>
      </c>
      <c r="J61">
        <v>1621</v>
      </c>
      <c r="K61">
        <v>348</v>
      </c>
      <c r="L61">
        <v>17.68</v>
      </c>
      <c r="M61">
        <v>1.7633316400000001</v>
      </c>
      <c r="N61">
        <f>E61/_xlfn.XLOOKUP(C61,Lookups!$A$2:$A$66,Lookups!$C$2:$C$66)</f>
        <v>1.3769894624933554</v>
      </c>
    </row>
    <row r="62" spans="1:27" x14ac:dyDescent="0.2">
      <c r="A62">
        <v>9</v>
      </c>
      <c r="B62">
        <v>6</v>
      </c>
      <c r="C62" t="s">
        <v>148</v>
      </c>
      <c r="D62">
        <v>2018</v>
      </c>
      <c r="E62">
        <v>3550</v>
      </c>
      <c r="F62">
        <v>3504</v>
      </c>
      <c r="G62">
        <v>46</v>
      </c>
      <c r="H62">
        <v>2.16</v>
      </c>
      <c r="I62">
        <v>1969</v>
      </c>
      <c r="J62">
        <v>1621</v>
      </c>
      <c r="K62">
        <v>348</v>
      </c>
      <c r="L62">
        <v>17.68</v>
      </c>
      <c r="M62">
        <v>1.7795835449999999</v>
      </c>
      <c r="N62">
        <f>E62/_xlfn.XLOOKUP(C62,Lookups!$A$2:$A$66,Lookups!$C$2:$C$66)</f>
        <v>1.3875426034207812</v>
      </c>
    </row>
    <row r="63" spans="1:27" x14ac:dyDescent="0.2">
      <c r="A63">
        <v>9</v>
      </c>
      <c r="B63">
        <v>6</v>
      </c>
      <c r="C63" t="s">
        <v>148</v>
      </c>
      <c r="D63">
        <v>2019</v>
      </c>
      <c r="E63">
        <v>3565</v>
      </c>
      <c r="F63">
        <v>3523</v>
      </c>
      <c r="G63">
        <v>42</v>
      </c>
      <c r="H63">
        <v>2.17</v>
      </c>
      <c r="I63">
        <v>1969</v>
      </c>
      <c r="J63">
        <v>1621</v>
      </c>
      <c r="K63">
        <v>348</v>
      </c>
      <c r="L63">
        <v>17.68</v>
      </c>
      <c r="M63">
        <v>1.7892331130000001</v>
      </c>
      <c r="N63">
        <f>E63/_xlfn.XLOOKUP(C63,Lookups!$A$2:$A$66,Lookups!$C$2:$C$66)</f>
        <v>1.393405459491573</v>
      </c>
    </row>
    <row r="64" spans="1:27" x14ac:dyDescent="0.2">
      <c r="A64">
        <v>9</v>
      </c>
      <c r="B64">
        <v>6</v>
      </c>
      <c r="C64" t="s">
        <v>148</v>
      </c>
      <c r="D64">
        <v>2020</v>
      </c>
      <c r="E64">
        <v>3478</v>
      </c>
      <c r="F64">
        <v>3424</v>
      </c>
      <c r="G64">
        <v>54</v>
      </c>
      <c r="I64">
        <v>1972</v>
      </c>
      <c r="M64">
        <v>1.7363083159999999</v>
      </c>
      <c r="N64">
        <f>E64/_xlfn.XLOOKUP(C64,Lookups!$A$2:$A$66,Lookups!$C$2:$C$66)</f>
        <v>1.3594008942809794</v>
      </c>
      <c r="O64">
        <v>3478</v>
      </c>
      <c r="P64">
        <v>40</v>
      </c>
      <c r="Q64">
        <v>-28</v>
      </c>
      <c r="R64">
        <v>-59</v>
      </c>
      <c r="S64">
        <v>68</v>
      </c>
      <c r="T64">
        <v>1972</v>
      </c>
      <c r="W64">
        <v>3424</v>
      </c>
      <c r="X64">
        <v>2</v>
      </c>
      <c r="AA64">
        <v>1.7363083159999999</v>
      </c>
    </row>
    <row r="65" spans="1:27" x14ac:dyDescent="0.2">
      <c r="A65">
        <v>9</v>
      </c>
      <c r="B65">
        <v>6</v>
      </c>
      <c r="C65" t="s">
        <v>148</v>
      </c>
      <c r="D65">
        <v>2021</v>
      </c>
      <c r="E65">
        <v>3491</v>
      </c>
      <c r="F65">
        <v>3443</v>
      </c>
      <c r="G65">
        <v>48</v>
      </c>
      <c r="I65">
        <v>1977</v>
      </c>
      <c r="M65">
        <v>1.7415275670000001</v>
      </c>
      <c r="N65">
        <f>E65/_xlfn.XLOOKUP(C65,Lookups!$A$2:$A$66,Lookups!$C$2:$C$66)</f>
        <v>1.3644820362089991</v>
      </c>
      <c r="O65">
        <v>3491</v>
      </c>
      <c r="P65">
        <v>35</v>
      </c>
      <c r="Q65">
        <v>-34</v>
      </c>
      <c r="R65">
        <v>47</v>
      </c>
      <c r="S65">
        <v>69</v>
      </c>
      <c r="T65">
        <v>1977</v>
      </c>
      <c r="W65">
        <v>3443</v>
      </c>
      <c r="X65">
        <v>3</v>
      </c>
      <c r="AA65">
        <v>1.7415275670000001</v>
      </c>
    </row>
    <row r="66" spans="1:27" x14ac:dyDescent="0.2">
      <c r="A66">
        <v>9</v>
      </c>
      <c r="B66">
        <v>6</v>
      </c>
      <c r="C66" t="s">
        <v>148</v>
      </c>
      <c r="D66">
        <v>2022</v>
      </c>
      <c r="E66">
        <v>3431</v>
      </c>
      <c r="F66">
        <v>3383</v>
      </c>
      <c r="G66">
        <v>48</v>
      </c>
      <c r="I66">
        <v>1981</v>
      </c>
      <c r="M66">
        <v>1.707723372</v>
      </c>
      <c r="N66">
        <f>E66/_xlfn.XLOOKUP(C66,Lookups!$A$2:$A$66,Lookups!$C$2:$C$66)</f>
        <v>1.3410306119258311</v>
      </c>
      <c r="O66">
        <v>3431</v>
      </c>
      <c r="P66">
        <v>34</v>
      </c>
      <c r="Q66">
        <v>-45</v>
      </c>
      <c r="R66">
        <v>-15</v>
      </c>
      <c r="S66">
        <v>79</v>
      </c>
      <c r="T66">
        <v>1981</v>
      </c>
      <c r="W66">
        <v>3383</v>
      </c>
      <c r="X66">
        <v>26</v>
      </c>
      <c r="AA66">
        <v>1.707723372</v>
      </c>
    </row>
    <row r="67" spans="1:27" x14ac:dyDescent="0.2">
      <c r="A67">
        <v>11</v>
      </c>
      <c r="B67">
        <v>6</v>
      </c>
      <c r="C67" t="s">
        <v>149</v>
      </c>
      <c r="D67">
        <v>2010</v>
      </c>
      <c r="E67">
        <v>6506</v>
      </c>
      <c r="F67">
        <v>4298</v>
      </c>
      <c r="G67">
        <v>2208</v>
      </c>
      <c r="H67">
        <v>2.4900000000000002</v>
      </c>
      <c r="I67">
        <v>2111</v>
      </c>
      <c r="J67">
        <v>1728</v>
      </c>
      <c r="K67">
        <v>383</v>
      </c>
      <c r="L67">
        <v>18.14</v>
      </c>
      <c r="M67">
        <v>2.0360018950000001</v>
      </c>
      <c r="N67">
        <f>E67/_xlfn.XLOOKUP(C67,Lookups!$A$2:$A$66,Lookups!$C$2:$C$66)</f>
        <v>4.2217420363773224</v>
      </c>
    </row>
    <row r="68" spans="1:27" x14ac:dyDescent="0.2">
      <c r="A68">
        <v>11</v>
      </c>
      <c r="B68">
        <v>6</v>
      </c>
      <c r="C68" t="s">
        <v>149</v>
      </c>
      <c r="D68">
        <v>2011</v>
      </c>
      <c r="E68">
        <v>6355</v>
      </c>
      <c r="F68">
        <v>4241</v>
      </c>
      <c r="G68">
        <v>2114</v>
      </c>
      <c r="H68">
        <v>2.34</v>
      </c>
      <c r="I68">
        <v>2116</v>
      </c>
      <c r="J68">
        <v>1816</v>
      </c>
      <c r="K68">
        <v>300</v>
      </c>
      <c r="L68">
        <v>14.19</v>
      </c>
      <c r="M68">
        <v>2.004253308</v>
      </c>
      <c r="N68">
        <f>E68/_xlfn.XLOOKUP(C68,Lookups!$A$2:$A$66,Lookups!$C$2:$C$66)</f>
        <v>4.1237581680261117</v>
      </c>
    </row>
    <row r="69" spans="1:27" x14ac:dyDescent="0.2">
      <c r="A69">
        <v>11</v>
      </c>
      <c r="B69">
        <v>6</v>
      </c>
      <c r="C69" t="s">
        <v>149</v>
      </c>
      <c r="D69">
        <v>2012</v>
      </c>
      <c r="E69">
        <v>5864</v>
      </c>
      <c r="F69">
        <v>4178</v>
      </c>
      <c r="G69">
        <v>1686</v>
      </c>
      <c r="H69">
        <v>2.33</v>
      </c>
      <c r="I69">
        <v>2118</v>
      </c>
      <c r="J69">
        <v>1794</v>
      </c>
      <c r="K69">
        <v>324</v>
      </c>
      <c r="L69">
        <v>15.31</v>
      </c>
      <c r="M69">
        <v>1.9726156749999999</v>
      </c>
      <c r="N69">
        <f>E69/_xlfn.XLOOKUP(C69,Lookups!$A$2:$A$66,Lookups!$C$2:$C$66)</f>
        <v>3.8051483709370761</v>
      </c>
    </row>
    <row r="70" spans="1:27" x14ac:dyDescent="0.2">
      <c r="A70">
        <v>11</v>
      </c>
      <c r="B70">
        <v>6</v>
      </c>
      <c r="C70" t="s">
        <v>149</v>
      </c>
      <c r="D70">
        <v>2013</v>
      </c>
      <c r="E70">
        <v>5800</v>
      </c>
      <c r="F70">
        <v>4085</v>
      </c>
      <c r="G70">
        <v>1715</v>
      </c>
      <c r="H70">
        <v>2.3199999999999998</v>
      </c>
      <c r="I70">
        <v>2122</v>
      </c>
      <c r="J70">
        <v>1759</v>
      </c>
      <c r="K70">
        <v>363</v>
      </c>
      <c r="L70">
        <v>17.12</v>
      </c>
      <c r="M70">
        <v>1.9250706879999999</v>
      </c>
      <c r="N70">
        <f>E70/_xlfn.XLOOKUP(C70,Lookups!$A$2:$A$66,Lookups!$C$2:$C$66)</f>
        <v>3.7636187843511326</v>
      </c>
    </row>
    <row r="71" spans="1:27" x14ac:dyDescent="0.2">
      <c r="A71">
        <v>11</v>
      </c>
      <c r="B71">
        <v>6</v>
      </c>
      <c r="C71" t="s">
        <v>149</v>
      </c>
      <c r="D71">
        <v>2014</v>
      </c>
      <c r="E71">
        <v>5851</v>
      </c>
      <c r="F71">
        <v>3982</v>
      </c>
      <c r="G71">
        <v>1869</v>
      </c>
      <c r="H71">
        <v>2.3199999999999998</v>
      </c>
      <c r="I71">
        <v>2124</v>
      </c>
      <c r="J71">
        <v>1719</v>
      </c>
      <c r="K71">
        <v>405</v>
      </c>
      <c r="L71">
        <v>19.05</v>
      </c>
      <c r="M71">
        <v>1.874764595</v>
      </c>
      <c r="N71">
        <f>E71/_xlfn.XLOOKUP(C71,Lookups!$A$2:$A$66,Lookups!$C$2:$C$66)</f>
        <v>3.7967126736618066</v>
      </c>
    </row>
    <row r="72" spans="1:27" x14ac:dyDescent="0.2">
      <c r="A72">
        <v>11</v>
      </c>
      <c r="B72">
        <v>6</v>
      </c>
      <c r="C72" t="s">
        <v>149</v>
      </c>
      <c r="D72">
        <v>2015</v>
      </c>
      <c r="E72">
        <v>5966</v>
      </c>
      <c r="F72">
        <v>4059</v>
      </c>
      <c r="G72">
        <v>1907</v>
      </c>
      <c r="H72">
        <v>2.31</v>
      </c>
      <c r="I72">
        <v>2124</v>
      </c>
      <c r="J72">
        <v>1758</v>
      </c>
      <c r="K72">
        <v>366</v>
      </c>
      <c r="L72">
        <v>17.25</v>
      </c>
      <c r="M72">
        <v>1.911016949</v>
      </c>
      <c r="N72">
        <f>E72/_xlfn.XLOOKUP(C72,Lookups!$A$2:$A$66,Lookups!$C$2:$C$66)</f>
        <v>3.8713361495584238</v>
      </c>
    </row>
    <row r="73" spans="1:27" x14ac:dyDescent="0.2">
      <c r="A73">
        <v>11</v>
      </c>
      <c r="B73">
        <v>6</v>
      </c>
      <c r="C73" t="s">
        <v>149</v>
      </c>
      <c r="D73">
        <v>2016</v>
      </c>
      <c r="E73">
        <v>5753</v>
      </c>
      <c r="F73">
        <v>4018</v>
      </c>
      <c r="G73">
        <v>1735</v>
      </c>
      <c r="H73">
        <v>2.2999999999999998</v>
      </c>
      <c r="I73">
        <v>2128</v>
      </c>
      <c r="J73">
        <v>1745</v>
      </c>
      <c r="K73">
        <v>383</v>
      </c>
      <c r="L73">
        <v>18.010000000000002</v>
      </c>
      <c r="M73">
        <v>1.888157895</v>
      </c>
      <c r="N73">
        <f>E73/_xlfn.XLOOKUP(C73,Lookups!$A$2:$A$66,Lookups!$C$2:$C$66)</f>
        <v>3.7331204942020806</v>
      </c>
    </row>
    <row r="74" spans="1:27" x14ac:dyDescent="0.2">
      <c r="A74">
        <v>11</v>
      </c>
      <c r="B74">
        <v>6</v>
      </c>
      <c r="C74" t="s">
        <v>149</v>
      </c>
      <c r="D74">
        <v>2017</v>
      </c>
      <c r="E74">
        <v>5968</v>
      </c>
      <c r="F74">
        <v>4034</v>
      </c>
      <c r="G74">
        <v>1934</v>
      </c>
      <c r="H74">
        <v>2.2999999999999998</v>
      </c>
      <c r="I74">
        <v>2130</v>
      </c>
      <c r="J74">
        <v>1757</v>
      </c>
      <c r="K74">
        <v>373</v>
      </c>
      <c r="L74">
        <v>17.53</v>
      </c>
      <c r="M74">
        <v>1.893896714</v>
      </c>
      <c r="N74">
        <f>E74/_xlfn.XLOOKUP(C74,Lookups!$A$2:$A$66,Lookups!$C$2:$C$66)</f>
        <v>3.8726339491392348</v>
      </c>
    </row>
    <row r="75" spans="1:27" x14ac:dyDescent="0.2">
      <c r="A75">
        <v>11</v>
      </c>
      <c r="B75">
        <v>6</v>
      </c>
      <c r="C75" t="s">
        <v>149</v>
      </c>
      <c r="D75">
        <v>2018</v>
      </c>
      <c r="E75">
        <v>5984</v>
      </c>
      <c r="F75">
        <v>4052</v>
      </c>
      <c r="G75">
        <v>1932</v>
      </c>
      <c r="H75">
        <v>2.29</v>
      </c>
      <c r="I75">
        <v>2133</v>
      </c>
      <c r="J75">
        <v>1770</v>
      </c>
      <c r="K75">
        <v>363</v>
      </c>
      <c r="L75">
        <v>17.04</v>
      </c>
      <c r="M75">
        <v>1.8996718239999999</v>
      </c>
      <c r="N75">
        <f>E75/_xlfn.XLOOKUP(C75,Lookups!$A$2:$A$66,Lookups!$C$2:$C$66)</f>
        <v>3.8830163457857205</v>
      </c>
    </row>
    <row r="76" spans="1:27" x14ac:dyDescent="0.2">
      <c r="A76">
        <v>11</v>
      </c>
      <c r="B76">
        <v>6</v>
      </c>
      <c r="C76" t="s">
        <v>149</v>
      </c>
      <c r="D76">
        <v>2019</v>
      </c>
      <c r="E76">
        <v>5980</v>
      </c>
      <c r="F76">
        <v>4046</v>
      </c>
      <c r="G76">
        <v>1934</v>
      </c>
      <c r="H76">
        <v>2.2799999999999998</v>
      </c>
      <c r="I76">
        <v>2135</v>
      </c>
      <c r="J76">
        <v>1772</v>
      </c>
      <c r="K76">
        <v>363</v>
      </c>
      <c r="L76">
        <v>17</v>
      </c>
      <c r="M76">
        <v>1.8950819670000001</v>
      </c>
      <c r="N76">
        <f>E76/_xlfn.XLOOKUP(C76,Lookups!$A$2:$A$66,Lookups!$C$2:$C$66)</f>
        <v>3.880420746624099</v>
      </c>
    </row>
    <row r="77" spans="1:27" x14ac:dyDescent="0.2">
      <c r="A77">
        <v>11</v>
      </c>
      <c r="B77">
        <v>6</v>
      </c>
      <c r="C77" t="s">
        <v>149</v>
      </c>
      <c r="D77">
        <v>2020</v>
      </c>
      <c r="E77">
        <v>5477</v>
      </c>
      <c r="F77">
        <v>4071</v>
      </c>
      <c r="G77">
        <v>1406</v>
      </c>
      <c r="I77">
        <v>2136</v>
      </c>
      <c r="M77">
        <v>1.905898876</v>
      </c>
      <c r="N77">
        <f>E77/_xlfn.XLOOKUP(C77,Lookups!$A$2:$A$66,Lookups!$C$2:$C$66)</f>
        <v>3.5540241520501992</v>
      </c>
      <c r="O77">
        <v>5477</v>
      </c>
      <c r="P77">
        <v>43</v>
      </c>
      <c r="Q77">
        <v>-28</v>
      </c>
      <c r="R77">
        <v>-475</v>
      </c>
      <c r="S77">
        <v>71</v>
      </c>
      <c r="T77">
        <v>2136</v>
      </c>
      <c r="W77">
        <v>4071</v>
      </c>
      <c r="X77">
        <v>5</v>
      </c>
      <c r="AA77">
        <v>1.905898876</v>
      </c>
    </row>
    <row r="78" spans="1:27" x14ac:dyDescent="0.2">
      <c r="A78">
        <v>11</v>
      </c>
      <c r="B78">
        <v>6</v>
      </c>
      <c r="C78" t="s">
        <v>149</v>
      </c>
      <c r="D78">
        <v>2021</v>
      </c>
      <c r="E78">
        <v>5334</v>
      </c>
      <c r="F78">
        <v>4166</v>
      </c>
      <c r="G78">
        <v>1168</v>
      </c>
      <c r="I78">
        <v>2143</v>
      </c>
      <c r="M78">
        <v>1.944003733</v>
      </c>
      <c r="N78">
        <f>E78/_xlfn.XLOOKUP(C78,Lookups!$A$2:$A$66,Lookups!$C$2:$C$66)</f>
        <v>3.4612314820222316</v>
      </c>
      <c r="O78">
        <v>5334</v>
      </c>
      <c r="P78">
        <v>36</v>
      </c>
      <c r="Q78">
        <v>-43</v>
      </c>
      <c r="R78">
        <v>-100</v>
      </c>
      <c r="S78">
        <v>79</v>
      </c>
      <c r="T78">
        <v>2143</v>
      </c>
      <c r="W78">
        <v>4166</v>
      </c>
      <c r="X78">
        <v>8</v>
      </c>
      <c r="AA78">
        <v>1.944003733</v>
      </c>
    </row>
    <row r="79" spans="1:27" x14ac:dyDescent="0.2">
      <c r="A79">
        <v>11</v>
      </c>
      <c r="B79">
        <v>6</v>
      </c>
      <c r="C79" t="s">
        <v>149</v>
      </c>
      <c r="D79">
        <v>2022</v>
      </c>
      <c r="E79">
        <v>5400</v>
      </c>
      <c r="F79">
        <v>4105</v>
      </c>
      <c r="G79">
        <v>1295</v>
      </c>
      <c r="I79">
        <v>2171</v>
      </c>
      <c r="M79">
        <v>1.890833717</v>
      </c>
      <c r="N79">
        <f>E79/_xlfn.XLOOKUP(C79,Lookups!$A$2:$A$66,Lookups!$C$2:$C$66)</f>
        <v>3.5040588681889857</v>
      </c>
      <c r="O79">
        <v>5400</v>
      </c>
      <c r="P79">
        <v>41</v>
      </c>
      <c r="Q79">
        <v>-45</v>
      </c>
      <c r="R79">
        <v>111</v>
      </c>
      <c r="S79">
        <v>86</v>
      </c>
      <c r="T79">
        <v>2171</v>
      </c>
      <c r="W79">
        <v>4105</v>
      </c>
      <c r="X79">
        <v>29</v>
      </c>
      <c r="AA79">
        <v>1.890833717</v>
      </c>
    </row>
    <row r="80" spans="1:27" x14ac:dyDescent="0.2">
      <c r="A80">
        <v>13</v>
      </c>
      <c r="B80">
        <v>3</v>
      </c>
      <c r="C80" t="s">
        <v>150</v>
      </c>
      <c r="D80">
        <v>2010</v>
      </c>
      <c r="E80">
        <v>295605</v>
      </c>
      <c r="F80">
        <v>286209</v>
      </c>
      <c r="G80">
        <v>9396</v>
      </c>
      <c r="H80">
        <v>2.39</v>
      </c>
      <c r="I80">
        <v>127213</v>
      </c>
      <c r="J80">
        <v>119568</v>
      </c>
      <c r="K80">
        <v>7645</v>
      </c>
      <c r="L80">
        <v>6.01</v>
      </c>
      <c r="M80">
        <v>2.249840818</v>
      </c>
      <c r="N80">
        <f>E80/_xlfn.XLOOKUP(C80,Lookups!$A$2:$A$66,Lookups!$C$2:$C$66)</f>
        <v>399.20727095937769</v>
      </c>
    </row>
    <row r="81" spans="1:27" x14ac:dyDescent="0.2">
      <c r="A81">
        <v>13</v>
      </c>
      <c r="B81">
        <v>3</v>
      </c>
      <c r="C81" t="s">
        <v>150</v>
      </c>
      <c r="D81">
        <v>2011</v>
      </c>
      <c r="E81">
        <v>300526</v>
      </c>
      <c r="F81">
        <v>290383</v>
      </c>
      <c r="G81">
        <v>10143</v>
      </c>
      <c r="H81">
        <v>2.39</v>
      </c>
      <c r="I81">
        <v>127865</v>
      </c>
      <c r="J81">
        <v>121382</v>
      </c>
      <c r="K81">
        <v>6483</v>
      </c>
      <c r="L81">
        <v>5.07</v>
      </c>
      <c r="M81">
        <v>2.2710123960000002</v>
      </c>
      <c r="N81">
        <f>E81/_xlfn.XLOOKUP(C81,Lookups!$A$2:$A$66,Lookups!$C$2:$C$66)</f>
        <v>405.85296024200517</v>
      </c>
    </row>
    <row r="82" spans="1:27" x14ac:dyDescent="0.2">
      <c r="A82">
        <v>13</v>
      </c>
      <c r="B82">
        <v>3</v>
      </c>
      <c r="C82" t="s">
        <v>150</v>
      </c>
      <c r="D82">
        <v>2012</v>
      </c>
      <c r="E82">
        <v>305881</v>
      </c>
      <c r="F82">
        <v>294996</v>
      </c>
      <c r="G82">
        <v>10885</v>
      </c>
      <c r="H82">
        <v>2.39</v>
      </c>
      <c r="I82">
        <v>128405</v>
      </c>
      <c r="J82">
        <v>123381</v>
      </c>
      <c r="K82">
        <v>5024</v>
      </c>
      <c r="L82">
        <v>3.91</v>
      </c>
      <c r="M82">
        <v>2.2973871730000002</v>
      </c>
      <c r="N82">
        <f>E82/_xlfn.XLOOKUP(C82,Lookups!$A$2:$A$66,Lookups!$C$2:$C$66)</f>
        <v>413.08475583405357</v>
      </c>
    </row>
    <row r="83" spans="1:27" x14ac:dyDescent="0.2">
      <c r="A83">
        <v>13</v>
      </c>
      <c r="B83">
        <v>3</v>
      </c>
      <c r="C83" t="s">
        <v>150</v>
      </c>
      <c r="D83">
        <v>2013</v>
      </c>
      <c r="E83">
        <v>310896</v>
      </c>
      <c r="F83">
        <v>299300</v>
      </c>
      <c r="G83">
        <v>11596</v>
      </c>
      <c r="H83">
        <v>2.39</v>
      </c>
      <c r="I83">
        <v>129616</v>
      </c>
      <c r="J83">
        <v>125254</v>
      </c>
      <c r="K83">
        <v>4362</v>
      </c>
      <c r="L83">
        <v>3.37</v>
      </c>
      <c r="M83">
        <v>2.3091285030000002</v>
      </c>
      <c r="N83">
        <f>E83/_xlfn.XLOOKUP(C83,Lookups!$A$2:$A$66,Lookups!$C$2:$C$66)</f>
        <v>419.85738980120999</v>
      </c>
    </row>
    <row r="84" spans="1:27" x14ac:dyDescent="0.2">
      <c r="A84">
        <v>13</v>
      </c>
      <c r="B84">
        <v>3</v>
      </c>
      <c r="C84" t="s">
        <v>150</v>
      </c>
      <c r="D84">
        <v>2014</v>
      </c>
      <c r="E84">
        <v>314213</v>
      </c>
      <c r="F84">
        <v>301907</v>
      </c>
      <c r="G84">
        <v>12306</v>
      </c>
      <c r="H84">
        <v>2.39</v>
      </c>
      <c r="I84">
        <v>131002</v>
      </c>
      <c r="J84">
        <v>126418</v>
      </c>
      <c r="K84">
        <v>4584</v>
      </c>
      <c r="L84">
        <v>3.5</v>
      </c>
      <c r="M84">
        <v>2.304598403</v>
      </c>
      <c r="N84">
        <f>E84/_xlfn.XLOOKUP(C84,Lookups!$A$2:$A$66,Lookups!$C$2:$C$66)</f>
        <v>424.33691659464131</v>
      </c>
    </row>
    <row r="85" spans="1:27" x14ac:dyDescent="0.2">
      <c r="A85">
        <v>13</v>
      </c>
      <c r="B85">
        <v>3</v>
      </c>
      <c r="C85" t="s">
        <v>150</v>
      </c>
      <c r="D85">
        <v>2015</v>
      </c>
      <c r="E85">
        <v>320352</v>
      </c>
      <c r="F85">
        <v>307247</v>
      </c>
      <c r="G85">
        <v>13105</v>
      </c>
      <c r="H85">
        <v>2.39</v>
      </c>
      <c r="I85">
        <v>132127</v>
      </c>
      <c r="J85">
        <v>128728</v>
      </c>
      <c r="K85">
        <v>3399</v>
      </c>
      <c r="L85">
        <v>2.57</v>
      </c>
      <c r="M85">
        <v>2.3253914789999999</v>
      </c>
      <c r="N85">
        <f>E85/_xlfn.XLOOKUP(C85,Lookups!$A$2:$A$66,Lookups!$C$2:$C$66)</f>
        <v>432.62748487467587</v>
      </c>
    </row>
    <row r="86" spans="1:27" x14ac:dyDescent="0.2">
      <c r="A86">
        <v>13</v>
      </c>
      <c r="B86">
        <v>3</v>
      </c>
      <c r="C86" t="s">
        <v>150</v>
      </c>
      <c r="D86">
        <v>2016</v>
      </c>
      <c r="E86">
        <v>323957</v>
      </c>
      <c r="F86">
        <v>310498</v>
      </c>
      <c r="G86">
        <v>13459</v>
      </c>
      <c r="H86">
        <v>2.39</v>
      </c>
      <c r="I86">
        <v>133334</v>
      </c>
      <c r="J86">
        <v>130165</v>
      </c>
      <c r="K86">
        <v>3169</v>
      </c>
      <c r="L86">
        <v>2.38</v>
      </c>
      <c r="M86">
        <v>2.3287233559999998</v>
      </c>
      <c r="N86">
        <f>E86/_xlfn.XLOOKUP(C86,Lookups!$A$2:$A$66,Lookups!$C$2:$C$66)</f>
        <v>437.49594857389798</v>
      </c>
    </row>
    <row r="87" spans="1:27" x14ac:dyDescent="0.2">
      <c r="A87">
        <v>13</v>
      </c>
      <c r="B87">
        <v>3</v>
      </c>
      <c r="C87" t="s">
        <v>150</v>
      </c>
      <c r="D87">
        <v>2017</v>
      </c>
      <c r="E87">
        <v>325414</v>
      </c>
      <c r="F87">
        <v>311468</v>
      </c>
      <c r="G87">
        <v>13946</v>
      </c>
      <c r="H87">
        <v>2.38</v>
      </c>
      <c r="I87">
        <v>135024</v>
      </c>
      <c r="J87">
        <v>130647</v>
      </c>
      <c r="K87">
        <v>4377</v>
      </c>
      <c r="L87">
        <v>3.24</v>
      </c>
      <c r="M87">
        <v>2.3067602800000002</v>
      </c>
      <c r="N87">
        <f>E87/_xlfn.XLOOKUP(C87,Lookups!$A$2:$A$66,Lookups!$C$2:$C$66)</f>
        <v>439.4635911840968</v>
      </c>
    </row>
    <row r="88" spans="1:27" x14ac:dyDescent="0.2">
      <c r="A88">
        <v>13</v>
      </c>
      <c r="B88">
        <v>3</v>
      </c>
      <c r="C88" t="s">
        <v>150</v>
      </c>
      <c r="D88">
        <v>2018</v>
      </c>
      <c r="E88">
        <v>328055</v>
      </c>
      <c r="F88">
        <v>313643</v>
      </c>
      <c r="G88">
        <v>14412</v>
      </c>
      <c r="H88">
        <v>2.38</v>
      </c>
      <c r="I88">
        <v>136410</v>
      </c>
      <c r="J88">
        <v>131636</v>
      </c>
      <c r="K88">
        <v>4774</v>
      </c>
      <c r="L88">
        <v>3.5</v>
      </c>
      <c r="M88">
        <v>2.2992669160000001</v>
      </c>
      <c r="N88">
        <f>E88/_xlfn.XLOOKUP(C88,Lookups!$A$2:$A$66,Lookups!$C$2:$C$66)</f>
        <v>443.03019662921349</v>
      </c>
    </row>
    <row r="89" spans="1:27" x14ac:dyDescent="0.2">
      <c r="A89">
        <v>13</v>
      </c>
      <c r="B89">
        <v>3</v>
      </c>
      <c r="C89" t="s">
        <v>150</v>
      </c>
      <c r="D89">
        <v>2019</v>
      </c>
      <c r="E89">
        <v>328827</v>
      </c>
      <c r="F89">
        <v>314030</v>
      </c>
      <c r="G89">
        <v>14797</v>
      </c>
      <c r="H89">
        <v>2.38</v>
      </c>
      <c r="I89">
        <v>139591</v>
      </c>
      <c r="J89">
        <v>131875</v>
      </c>
      <c r="K89">
        <v>7716</v>
      </c>
      <c r="L89">
        <v>5.53</v>
      </c>
      <c r="M89">
        <v>2.2496436019999999</v>
      </c>
      <c r="N89">
        <f>E89/_xlfn.XLOOKUP(C89,Lookups!$A$2:$A$66,Lookups!$C$2:$C$66)</f>
        <v>444.07276361279168</v>
      </c>
    </row>
    <row r="90" spans="1:27" x14ac:dyDescent="0.2">
      <c r="A90">
        <v>13</v>
      </c>
      <c r="B90">
        <v>3</v>
      </c>
      <c r="C90" t="s">
        <v>150</v>
      </c>
      <c r="D90">
        <v>2020</v>
      </c>
      <c r="E90">
        <v>330923</v>
      </c>
      <c r="F90">
        <v>315633</v>
      </c>
      <c r="G90">
        <v>15290</v>
      </c>
      <c r="I90">
        <v>141291</v>
      </c>
      <c r="M90">
        <v>2.2339214809999999</v>
      </c>
      <c r="N90">
        <f>E90/_xlfn.XLOOKUP(C90,Lookups!$A$2:$A$66,Lookups!$C$2:$C$66)</f>
        <v>446.90335998271388</v>
      </c>
      <c r="O90">
        <v>330923</v>
      </c>
      <c r="P90">
        <v>2507</v>
      </c>
      <c r="Q90">
        <v>467</v>
      </c>
      <c r="R90">
        <v>1629</v>
      </c>
      <c r="S90">
        <v>2040</v>
      </c>
      <c r="T90">
        <v>141291</v>
      </c>
      <c r="W90">
        <v>315633</v>
      </c>
      <c r="X90">
        <v>1634</v>
      </c>
      <c r="AA90">
        <v>2.2339214809999999</v>
      </c>
    </row>
    <row r="91" spans="1:27" x14ac:dyDescent="0.2">
      <c r="A91">
        <v>13</v>
      </c>
      <c r="B91">
        <v>3</v>
      </c>
      <c r="C91" t="s">
        <v>150</v>
      </c>
      <c r="D91">
        <v>2021</v>
      </c>
      <c r="E91">
        <v>327080</v>
      </c>
      <c r="F91">
        <v>315126</v>
      </c>
      <c r="G91">
        <v>11954</v>
      </c>
      <c r="I91">
        <v>143362</v>
      </c>
      <c r="M91">
        <v>2.1981138659999999</v>
      </c>
      <c r="N91">
        <f>E91/_xlfn.XLOOKUP(C91,Lookups!$A$2:$A$66,Lookups!$C$2:$C$66)</f>
        <v>441.7134831460674</v>
      </c>
      <c r="O91">
        <v>327080</v>
      </c>
      <c r="P91">
        <v>2472</v>
      </c>
      <c r="Q91">
        <v>343</v>
      </c>
      <c r="R91">
        <v>-4186</v>
      </c>
      <c r="S91">
        <v>2129</v>
      </c>
      <c r="T91">
        <v>143362</v>
      </c>
      <c r="W91">
        <v>315126</v>
      </c>
      <c r="X91">
        <v>1237</v>
      </c>
      <c r="AA91">
        <v>2.1981138659999999</v>
      </c>
    </row>
    <row r="92" spans="1:27" x14ac:dyDescent="0.2">
      <c r="A92">
        <v>13</v>
      </c>
      <c r="B92">
        <v>3</v>
      </c>
      <c r="C92" t="s">
        <v>150</v>
      </c>
      <c r="D92">
        <v>2022</v>
      </c>
      <c r="E92">
        <v>327424</v>
      </c>
      <c r="F92">
        <v>313031</v>
      </c>
      <c r="G92">
        <v>14393</v>
      </c>
      <c r="I92">
        <v>144094</v>
      </c>
      <c r="M92">
        <v>2.1724082889999998</v>
      </c>
      <c r="N92">
        <f>E92/_xlfn.XLOOKUP(C92,Lookups!$A$2:$A$66,Lookups!$C$2:$C$66)</f>
        <v>442.17804667242871</v>
      </c>
      <c r="O92">
        <v>327424</v>
      </c>
      <c r="P92">
        <v>2420</v>
      </c>
      <c r="Q92">
        <v>220</v>
      </c>
      <c r="R92">
        <v>124</v>
      </c>
      <c r="S92">
        <v>2200</v>
      </c>
      <c r="T92">
        <v>144094</v>
      </c>
      <c r="W92">
        <v>313031</v>
      </c>
      <c r="X92">
        <v>1642</v>
      </c>
      <c r="AA92">
        <v>2.1724082889999998</v>
      </c>
    </row>
    <row r="93" spans="1:27" x14ac:dyDescent="0.2">
      <c r="A93">
        <v>14</v>
      </c>
      <c r="B93">
        <v>3</v>
      </c>
      <c r="C93" t="s">
        <v>151</v>
      </c>
      <c r="D93">
        <v>2010</v>
      </c>
      <c r="E93">
        <v>56107</v>
      </c>
      <c r="F93">
        <v>55825</v>
      </c>
      <c r="G93">
        <v>282</v>
      </c>
      <c r="H93">
        <v>2.6</v>
      </c>
      <c r="I93">
        <v>22685</v>
      </c>
      <c r="J93">
        <v>21498</v>
      </c>
      <c r="K93">
        <v>1187</v>
      </c>
      <c r="L93">
        <v>5.23</v>
      </c>
      <c r="M93">
        <v>2.4608772320000001</v>
      </c>
      <c r="N93">
        <f>E93/_xlfn.XLOOKUP(C93,Lookups!$A$2:$A$66,Lookups!$C$2:$C$66)</f>
        <v>1671.3434614238904</v>
      </c>
    </row>
    <row r="94" spans="1:27" x14ac:dyDescent="0.2">
      <c r="A94">
        <v>14</v>
      </c>
      <c r="B94">
        <v>3</v>
      </c>
      <c r="C94" t="s">
        <v>151</v>
      </c>
      <c r="D94">
        <v>2011</v>
      </c>
      <c r="E94">
        <v>57584</v>
      </c>
      <c r="F94">
        <v>57307</v>
      </c>
      <c r="G94">
        <v>277</v>
      </c>
      <c r="H94">
        <v>2.59</v>
      </c>
      <c r="I94">
        <v>23056</v>
      </c>
      <c r="J94">
        <v>22168</v>
      </c>
      <c r="K94">
        <v>888</v>
      </c>
      <c r="L94">
        <v>3.85</v>
      </c>
      <c r="M94">
        <v>2.4855569050000001</v>
      </c>
      <c r="N94">
        <f>E94/_xlfn.XLOOKUP(C94,Lookups!$A$2:$A$66,Lookups!$C$2:$C$66)</f>
        <v>1715.3410783437594</v>
      </c>
    </row>
    <row r="95" spans="1:27" x14ac:dyDescent="0.2">
      <c r="A95">
        <v>14</v>
      </c>
      <c r="B95">
        <v>3</v>
      </c>
      <c r="C95" t="s">
        <v>151</v>
      </c>
      <c r="D95">
        <v>2012</v>
      </c>
      <c r="E95">
        <v>59271</v>
      </c>
      <c r="F95">
        <v>59001</v>
      </c>
      <c r="G95">
        <v>270</v>
      </c>
      <c r="H95">
        <v>2.57</v>
      </c>
      <c r="I95">
        <v>23426</v>
      </c>
      <c r="J95">
        <v>22927</v>
      </c>
      <c r="K95">
        <v>499</v>
      </c>
      <c r="L95">
        <v>2.13</v>
      </c>
      <c r="M95">
        <v>2.5186117989999999</v>
      </c>
      <c r="N95">
        <f>E95/_xlfn.XLOOKUP(C95,Lookups!$A$2:$A$66,Lookups!$C$2:$C$66)</f>
        <v>1765.5942806076855</v>
      </c>
    </row>
    <row r="96" spans="1:27" x14ac:dyDescent="0.2">
      <c r="A96">
        <v>14</v>
      </c>
      <c r="B96">
        <v>3</v>
      </c>
      <c r="C96" t="s">
        <v>151</v>
      </c>
      <c r="D96">
        <v>2013</v>
      </c>
      <c r="E96">
        <v>60669</v>
      </c>
      <c r="F96">
        <v>60404</v>
      </c>
      <c r="G96">
        <v>265</v>
      </c>
      <c r="H96">
        <v>2.56</v>
      </c>
      <c r="I96">
        <v>25541</v>
      </c>
      <c r="J96">
        <v>23579</v>
      </c>
      <c r="K96">
        <v>1962</v>
      </c>
      <c r="L96">
        <v>7.68</v>
      </c>
      <c r="M96">
        <v>2.3649817940000002</v>
      </c>
      <c r="N96">
        <f>E96/_xlfn.XLOOKUP(C96,Lookups!$A$2:$A$66,Lookups!$C$2:$C$66)</f>
        <v>1807.2386058981233</v>
      </c>
    </row>
    <row r="97" spans="1:27" x14ac:dyDescent="0.2">
      <c r="A97">
        <v>14</v>
      </c>
      <c r="B97">
        <v>3</v>
      </c>
      <c r="C97" t="s">
        <v>151</v>
      </c>
      <c r="D97">
        <v>2014</v>
      </c>
      <c r="E97">
        <v>62504</v>
      </c>
      <c r="F97">
        <v>62245</v>
      </c>
      <c r="G97">
        <v>259</v>
      </c>
      <c r="H97">
        <v>2.5499999999999998</v>
      </c>
      <c r="I97">
        <v>26564</v>
      </c>
      <c r="J97">
        <v>24409</v>
      </c>
      <c r="K97">
        <v>2155</v>
      </c>
      <c r="L97">
        <v>8.11</v>
      </c>
      <c r="M97">
        <v>2.3432088539999998</v>
      </c>
      <c r="N97">
        <f>E97/_xlfn.XLOOKUP(C97,Lookups!$A$2:$A$66,Lookups!$C$2:$C$66)</f>
        <v>1861.9005064045277</v>
      </c>
    </row>
    <row r="98" spans="1:27" x14ac:dyDescent="0.2">
      <c r="A98">
        <v>14</v>
      </c>
      <c r="B98">
        <v>3</v>
      </c>
      <c r="C98" t="s">
        <v>151</v>
      </c>
      <c r="D98">
        <v>2015</v>
      </c>
      <c r="E98">
        <v>65831</v>
      </c>
      <c r="F98">
        <v>65577</v>
      </c>
      <c r="G98">
        <v>254</v>
      </c>
      <c r="H98">
        <v>2.54</v>
      </c>
      <c r="I98">
        <v>27750</v>
      </c>
      <c r="J98">
        <v>25834</v>
      </c>
      <c r="K98">
        <v>1916</v>
      </c>
      <c r="L98">
        <v>6.9</v>
      </c>
      <c r="M98">
        <v>2.3631351349999998</v>
      </c>
      <c r="N98">
        <f>E98/_xlfn.XLOOKUP(C98,Lookups!$A$2:$A$66,Lookups!$C$2:$C$66)</f>
        <v>1961.0068513553767</v>
      </c>
    </row>
    <row r="99" spans="1:27" x14ac:dyDescent="0.2">
      <c r="A99">
        <v>14</v>
      </c>
      <c r="B99">
        <v>3</v>
      </c>
      <c r="C99" t="s">
        <v>151</v>
      </c>
      <c r="D99">
        <v>2016</v>
      </c>
      <c r="E99">
        <v>67707</v>
      </c>
      <c r="F99">
        <v>67459</v>
      </c>
      <c r="G99">
        <v>248</v>
      </c>
      <c r="H99">
        <v>2.5299999999999998</v>
      </c>
      <c r="I99">
        <v>28585</v>
      </c>
      <c r="J99">
        <v>26698</v>
      </c>
      <c r="K99">
        <v>1887</v>
      </c>
      <c r="L99">
        <v>6.6</v>
      </c>
      <c r="M99">
        <v>2.3599440270000001</v>
      </c>
      <c r="N99">
        <f>E99/_xlfn.XLOOKUP(C99,Lookups!$A$2:$A$66,Lookups!$C$2:$C$66)</f>
        <v>2016.8900804289544</v>
      </c>
    </row>
    <row r="100" spans="1:27" x14ac:dyDescent="0.2">
      <c r="A100">
        <v>14</v>
      </c>
      <c r="B100">
        <v>3</v>
      </c>
      <c r="C100" t="s">
        <v>151</v>
      </c>
      <c r="D100">
        <v>2017</v>
      </c>
      <c r="E100">
        <v>69655</v>
      </c>
      <c r="F100">
        <v>69413</v>
      </c>
      <c r="G100">
        <v>242</v>
      </c>
      <c r="H100">
        <v>2.52</v>
      </c>
      <c r="I100">
        <v>29498</v>
      </c>
      <c r="J100">
        <v>27598</v>
      </c>
      <c r="K100">
        <v>1900</v>
      </c>
      <c r="L100">
        <v>6.44</v>
      </c>
      <c r="M100">
        <v>2.3531425860000001</v>
      </c>
      <c r="N100">
        <f>E100/_xlfn.XLOOKUP(C100,Lookups!$A$2:$A$66,Lookups!$C$2:$C$66)</f>
        <v>2074.9180816204944</v>
      </c>
    </row>
    <row r="101" spans="1:27" x14ac:dyDescent="0.2">
      <c r="A101">
        <v>14</v>
      </c>
      <c r="B101">
        <v>3</v>
      </c>
      <c r="C101" t="s">
        <v>151</v>
      </c>
      <c r="D101">
        <v>2018</v>
      </c>
      <c r="E101">
        <v>71322</v>
      </c>
      <c r="F101">
        <v>70723</v>
      </c>
      <c r="G101">
        <v>599</v>
      </c>
      <c r="H101">
        <v>2.5</v>
      </c>
      <c r="I101">
        <v>30060</v>
      </c>
      <c r="J101">
        <v>28250</v>
      </c>
      <c r="K101">
        <v>1810</v>
      </c>
      <c r="L101">
        <v>6.02</v>
      </c>
      <c r="M101">
        <v>2.3527278780000001</v>
      </c>
      <c r="N101">
        <f>E101/_xlfn.XLOOKUP(C101,Lookups!$A$2:$A$66,Lookups!$C$2:$C$66)</f>
        <v>2124.5755138516533</v>
      </c>
    </row>
    <row r="102" spans="1:27" x14ac:dyDescent="0.2">
      <c r="A102">
        <v>14</v>
      </c>
      <c r="B102">
        <v>3</v>
      </c>
      <c r="C102" t="s">
        <v>151</v>
      </c>
      <c r="D102">
        <v>2019</v>
      </c>
      <c r="E102">
        <v>72669</v>
      </c>
      <c r="F102">
        <v>72439</v>
      </c>
      <c r="G102">
        <v>230</v>
      </c>
      <c r="H102">
        <v>2.4900000000000002</v>
      </c>
      <c r="I102">
        <v>30982</v>
      </c>
      <c r="J102">
        <v>29071</v>
      </c>
      <c r="K102">
        <v>1911</v>
      </c>
      <c r="L102">
        <v>6.17</v>
      </c>
      <c r="M102">
        <v>2.3380995420000001</v>
      </c>
      <c r="N102">
        <f>E102/_xlfn.XLOOKUP(C102,Lookups!$A$2:$A$66,Lookups!$C$2:$C$66)</f>
        <v>2164.7006255585343</v>
      </c>
    </row>
    <row r="103" spans="1:27" x14ac:dyDescent="0.2">
      <c r="A103">
        <v>14</v>
      </c>
      <c r="B103">
        <v>3</v>
      </c>
      <c r="C103" t="s">
        <v>151</v>
      </c>
      <c r="D103">
        <v>2020</v>
      </c>
      <c r="E103">
        <v>74494</v>
      </c>
      <c r="F103">
        <v>74013</v>
      </c>
      <c r="G103">
        <v>481</v>
      </c>
      <c r="I103">
        <v>31463</v>
      </c>
      <c r="M103">
        <v>2.3523821630000001</v>
      </c>
      <c r="N103">
        <f>E103/_xlfn.XLOOKUP(C103,Lookups!$A$2:$A$66,Lookups!$C$2:$C$66)</f>
        <v>2219.0646410485551</v>
      </c>
      <c r="O103">
        <v>74494</v>
      </c>
      <c r="P103">
        <v>642</v>
      </c>
      <c r="Q103">
        <v>210</v>
      </c>
      <c r="R103">
        <v>1615</v>
      </c>
      <c r="S103">
        <v>432</v>
      </c>
      <c r="T103">
        <v>31463</v>
      </c>
      <c r="W103">
        <v>74013</v>
      </c>
      <c r="X103">
        <v>427</v>
      </c>
      <c r="AA103">
        <v>2.3523821630000001</v>
      </c>
    </row>
    <row r="104" spans="1:27" x14ac:dyDescent="0.2">
      <c r="A104">
        <v>14</v>
      </c>
      <c r="B104">
        <v>3</v>
      </c>
      <c r="C104" t="s">
        <v>151</v>
      </c>
      <c r="D104">
        <v>2021</v>
      </c>
      <c r="E104">
        <v>75415</v>
      </c>
      <c r="F104">
        <v>74984</v>
      </c>
      <c r="G104">
        <v>431</v>
      </c>
      <c r="I104">
        <v>32231</v>
      </c>
      <c r="M104">
        <v>2.3264558960000001</v>
      </c>
      <c r="N104">
        <f>E104/_xlfn.XLOOKUP(C104,Lookups!$A$2:$A$66,Lookups!$C$2:$C$66)</f>
        <v>2246.4998510574919</v>
      </c>
      <c r="O104">
        <v>75415</v>
      </c>
      <c r="P104">
        <v>645</v>
      </c>
      <c r="Q104">
        <v>201</v>
      </c>
      <c r="R104">
        <v>720</v>
      </c>
      <c r="S104">
        <v>444</v>
      </c>
      <c r="T104">
        <v>32231</v>
      </c>
      <c r="W104">
        <v>74984</v>
      </c>
      <c r="X104">
        <v>501</v>
      </c>
      <c r="AA104">
        <v>2.3264558960000001</v>
      </c>
    </row>
    <row r="105" spans="1:27" x14ac:dyDescent="0.2">
      <c r="A105">
        <v>14</v>
      </c>
      <c r="B105">
        <v>3</v>
      </c>
      <c r="C105" t="s">
        <v>151</v>
      </c>
      <c r="D105">
        <v>2022</v>
      </c>
      <c r="E105">
        <v>76155</v>
      </c>
      <c r="F105">
        <v>75704</v>
      </c>
      <c r="G105">
        <v>451</v>
      </c>
      <c r="I105">
        <v>33645</v>
      </c>
      <c r="M105">
        <v>2.2500817359999998</v>
      </c>
      <c r="N105">
        <f>E105/_xlfn.XLOOKUP(C105,Lookups!$A$2:$A$66,Lookups!$C$2:$C$66)</f>
        <v>2268.5433422698839</v>
      </c>
      <c r="O105">
        <v>76155</v>
      </c>
      <c r="P105">
        <v>635</v>
      </c>
      <c r="Q105">
        <v>145</v>
      </c>
      <c r="R105">
        <v>595</v>
      </c>
      <c r="S105">
        <v>490</v>
      </c>
      <c r="T105">
        <v>33645</v>
      </c>
      <c r="W105">
        <v>75704</v>
      </c>
      <c r="X105">
        <v>538</v>
      </c>
      <c r="AA105">
        <v>2.2500817359999998</v>
      </c>
    </row>
    <row r="106" spans="1:27" x14ac:dyDescent="0.2">
      <c r="A106">
        <v>15</v>
      </c>
      <c r="B106">
        <v>13</v>
      </c>
      <c r="C106" t="s">
        <v>152</v>
      </c>
      <c r="D106">
        <v>2010</v>
      </c>
      <c r="E106">
        <v>17797</v>
      </c>
      <c r="F106">
        <v>16361</v>
      </c>
      <c r="G106">
        <v>1436</v>
      </c>
      <c r="H106">
        <v>2.15</v>
      </c>
      <c r="I106">
        <v>10030</v>
      </c>
      <c r="J106">
        <v>7595</v>
      </c>
      <c r="K106">
        <v>2435</v>
      </c>
      <c r="L106">
        <v>24.28</v>
      </c>
      <c r="M106">
        <v>1.6312063809999999</v>
      </c>
      <c r="N106">
        <f>E106/_xlfn.XLOOKUP(C106,Lookups!$A$2:$A$66,Lookups!$C$2:$C$66)</f>
        <v>17.549205222261666</v>
      </c>
    </row>
    <row r="107" spans="1:27" x14ac:dyDescent="0.2">
      <c r="A107">
        <v>15</v>
      </c>
      <c r="B107">
        <v>13</v>
      </c>
      <c r="C107" t="s">
        <v>152</v>
      </c>
      <c r="D107">
        <v>2011</v>
      </c>
      <c r="E107">
        <v>17932</v>
      </c>
      <c r="F107">
        <v>16449</v>
      </c>
      <c r="G107">
        <v>1483</v>
      </c>
      <c r="H107">
        <v>2.15</v>
      </c>
      <c r="I107">
        <v>10058</v>
      </c>
      <c r="J107">
        <v>7634</v>
      </c>
      <c r="K107">
        <v>2424</v>
      </c>
      <c r="L107">
        <v>24.1</v>
      </c>
      <c r="M107">
        <v>1.6354145950000001</v>
      </c>
      <c r="N107">
        <f>E107/_xlfn.XLOOKUP(C107,Lookups!$A$2:$A$66,Lookups!$C$2:$C$66)</f>
        <v>17.682325563049737</v>
      </c>
    </row>
    <row r="108" spans="1:27" x14ac:dyDescent="0.2">
      <c r="A108">
        <v>15</v>
      </c>
      <c r="B108">
        <v>13</v>
      </c>
      <c r="C108" t="s">
        <v>152</v>
      </c>
      <c r="D108">
        <v>2012</v>
      </c>
      <c r="E108">
        <v>17967</v>
      </c>
      <c r="F108">
        <v>16497</v>
      </c>
      <c r="G108">
        <v>1470</v>
      </c>
      <c r="H108">
        <v>2.16</v>
      </c>
      <c r="I108">
        <v>10056</v>
      </c>
      <c r="J108">
        <v>7654</v>
      </c>
      <c r="K108">
        <v>2402</v>
      </c>
      <c r="L108">
        <v>23.89</v>
      </c>
      <c r="M108">
        <v>1.6405131260000001</v>
      </c>
      <c r="N108">
        <f>E108/_xlfn.XLOOKUP(C108,Lookups!$A$2:$A$66,Lookups!$C$2:$C$66)</f>
        <v>17.716838243994793</v>
      </c>
    </row>
    <row r="109" spans="1:27" x14ac:dyDescent="0.2">
      <c r="A109">
        <v>15</v>
      </c>
      <c r="B109">
        <v>13</v>
      </c>
      <c r="C109" t="s">
        <v>152</v>
      </c>
      <c r="D109">
        <v>2013</v>
      </c>
      <c r="E109">
        <v>18036</v>
      </c>
      <c r="F109">
        <v>16720</v>
      </c>
      <c r="G109">
        <v>1316</v>
      </c>
      <c r="H109">
        <v>2.16</v>
      </c>
      <c r="I109">
        <v>10085</v>
      </c>
      <c r="J109">
        <v>7756</v>
      </c>
      <c r="K109">
        <v>2329</v>
      </c>
      <c r="L109">
        <v>23.09</v>
      </c>
      <c r="M109">
        <v>1.6579077840000001</v>
      </c>
      <c r="N109">
        <f>E109/_xlfn.XLOOKUP(C109,Lookups!$A$2:$A$66,Lookups!$C$2:$C$66)</f>
        <v>17.784877529286476</v>
      </c>
    </row>
    <row r="110" spans="1:27" x14ac:dyDescent="0.2">
      <c r="A110">
        <v>15</v>
      </c>
      <c r="B110">
        <v>13</v>
      </c>
      <c r="C110" t="s">
        <v>152</v>
      </c>
      <c r="D110">
        <v>2014</v>
      </c>
      <c r="E110">
        <v>18066</v>
      </c>
      <c r="F110">
        <v>16614</v>
      </c>
      <c r="G110">
        <v>1452</v>
      </c>
      <c r="H110">
        <v>2.16</v>
      </c>
      <c r="I110">
        <v>10114</v>
      </c>
      <c r="J110">
        <v>7705</v>
      </c>
      <c r="K110">
        <v>2409</v>
      </c>
      <c r="L110">
        <v>23.82</v>
      </c>
      <c r="M110">
        <v>1.6426735219999999</v>
      </c>
      <c r="N110">
        <f>E110/_xlfn.XLOOKUP(C110,Lookups!$A$2:$A$66,Lookups!$C$2:$C$66)</f>
        <v>17.814459827239379</v>
      </c>
    </row>
    <row r="111" spans="1:27" x14ac:dyDescent="0.2">
      <c r="A111">
        <v>15</v>
      </c>
      <c r="B111">
        <v>13</v>
      </c>
      <c r="C111" t="s">
        <v>152</v>
      </c>
      <c r="D111">
        <v>2015</v>
      </c>
      <c r="E111">
        <v>18108</v>
      </c>
      <c r="F111">
        <v>16713</v>
      </c>
      <c r="G111">
        <v>1395</v>
      </c>
      <c r="H111">
        <v>2.16</v>
      </c>
      <c r="I111">
        <v>10183</v>
      </c>
      <c r="J111">
        <v>7749</v>
      </c>
      <c r="K111">
        <v>2434</v>
      </c>
      <c r="L111">
        <v>23.9</v>
      </c>
      <c r="M111">
        <v>1.641264853</v>
      </c>
      <c r="N111">
        <f>E111/_xlfn.XLOOKUP(C111,Lookups!$A$2:$A$66,Lookups!$C$2:$C$66)</f>
        <v>17.855875044373448</v>
      </c>
    </row>
    <row r="112" spans="1:27" x14ac:dyDescent="0.2">
      <c r="A112">
        <v>15</v>
      </c>
      <c r="B112">
        <v>13</v>
      </c>
      <c r="C112" t="s">
        <v>152</v>
      </c>
      <c r="D112">
        <v>2016</v>
      </c>
      <c r="E112">
        <v>18519</v>
      </c>
      <c r="F112">
        <v>17076</v>
      </c>
      <c r="G112">
        <v>1443</v>
      </c>
      <c r="H112">
        <v>2.16</v>
      </c>
      <c r="I112">
        <v>10286</v>
      </c>
      <c r="J112">
        <v>7915</v>
      </c>
      <c r="K112">
        <v>2371</v>
      </c>
      <c r="L112">
        <v>23.05</v>
      </c>
      <c r="M112">
        <v>1.660120552</v>
      </c>
      <c r="N112">
        <f>E112/_xlfn.XLOOKUP(C112,Lookups!$A$2:$A$66,Lookups!$C$2:$C$66)</f>
        <v>18.261152526328246</v>
      </c>
    </row>
    <row r="113" spans="1:27" x14ac:dyDescent="0.2">
      <c r="A113">
        <v>15</v>
      </c>
      <c r="B113">
        <v>13</v>
      </c>
      <c r="C113" t="s">
        <v>152</v>
      </c>
      <c r="D113">
        <v>2017</v>
      </c>
      <c r="E113">
        <v>18967</v>
      </c>
      <c r="F113">
        <v>17546</v>
      </c>
      <c r="G113">
        <v>1421</v>
      </c>
      <c r="H113">
        <v>2.16</v>
      </c>
      <c r="I113">
        <v>10484</v>
      </c>
      <c r="J113">
        <v>8131</v>
      </c>
      <c r="K113">
        <v>2353</v>
      </c>
      <c r="L113">
        <v>22.44</v>
      </c>
      <c r="M113">
        <v>1.6735978629999999</v>
      </c>
      <c r="N113">
        <f>E113/_xlfn.XLOOKUP(C113,Lookups!$A$2:$A$66,Lookups!$C$2:$C$66)</f>
        <v>18.70291484242496</v>
      </c>
    </row>
    <row r="114" spans="1:27" x14ac:dyDescent="0.2">
      <c r="A114">
        <v>15</v>
      </c>
      <c r="B114">
        <v>13</v>
      </c>
      <c r="C114" t="s">
        <v>152</v>
      </c>
      <c r="D114">
        <v>2018</v>
      </c>
      <c r="E114">
        <v>19250</v>
      </c>
      <c r="F114">
        <v>17829</v>
      </c>
      <c r="G114">
        <v>1421</v>
      </c>
      <c r="H114">
        <v>2.16</v>
      </c>
      <c r="I114">
        <v>10673</v>
      </c>
      <c r="J114">
        <v>8260</v>
      </c>
      <c r="K114">
        <v>2413</v>
      </c>
      <c r="L114">
        <v>22.61</v>
      </c>
      <c r="M114">
        <v>1.670476904</v>
      </c>
      <c r="N114">
        <f>E114/_xlfn.XLOOKUP(C114,Lookups!$A$2:$A$66,Lookups!$C$2:$C$66)</f>
        <v>18.981974519780696</v>
      </c>
    </row>
    <row r="115" spans="1:27" x14ac:dyDescent="0.2">
      <c r="A115">
        <v>15</v>
      </c>
      <c r="B115">
        <v>13</v>
      </c>
      <c r="C115" t="s">
        <v>152</v>
      </c>
      <c r="D115">
        <v>2019</v>
      </c>
      <c r="E115">
        <v>19391</v>
      </c>
      <c r="F115">
        <v>17990</v>
      </c>
      <c r="G115">
        <v>1401</v>
      </c>
      <c r="H115">
        <v>2.16</v>
      </c>
      <c r="I115">
        <v>10806</v>
      </c>
      <c r="J115">
        <v>8332</v>
      </c>
      <c r="K115">
        <v>2474</v>
      </c>
      <c r="L115">
        <v>22.89</v>
      </c>
      <c r="M115">
        <v>1.664815843</v>
      </c>
      <c r="N115">
        <f>E115/_xlfn.XLOOKUP(C115,Lookups!$A$2:$A$66,Lookups!$C$2:$C$66)</f>
        <v>19.121011320159351</v>
      </c>
    </row>
    <row r="116" spans="1:27" x14ac:dyDescent="0.2">
      <c r="A116">
        <v>15</v>
      </c>
      <c r="B116">
        <v>13</v>
      </c>
      <c r="C116" t="s">
        <v>152</v>
      </c>
      <c r="D116">
        <v>2020</v>
      </c>
      <c r="E116">
        <v>19478</v>
      </c>
      <c r="F116">
        <v>18247</v>
      </c>
      <c r="G116">
        <v>1231</v>
      </c>
      <c r="I116">
        <v>10993</v>
      </c>
      <c r="M116">
        <v>1.659874466</v>
      </c>
      <c r="N116">
        <f>E116/_xlfn.XLOOKUP(C116,Lookups!$A$2:$A$66,Lookups!$C$2:$C$66)</f>
        <v>19.206799984222773</v>
      </c>
      <c r="O116">
        <v>19478</v>
      </c>
      <c r="P116">
        <v>135</v>
      </c>
      <c r="Q116">
        <v>-74</v>
      </c>
      <c r="R116">
        <v>161</v>
      </c>
      <c r="S116">
        <v>209</v>
      </c>
      <c r="T116">
        <v>10993</v>
      </c>
      <c r="W116">
        <v>18247</v>
      </c>
      <c r="X116">
        <v>186</v>
      </c>
      <c r="AA116">
        <v>1.659874466</v>
      </c>
    </row>
    <row r="117" spans="1:27" x14ac:dyDescent="0.2">
      <c r="A117">
        <v>15</v>
      </c>
      <c r="B117">
        <v>13</v>
      </c>
      <c r="C117" t="s">
        <v>152</v>
      </c>
      <c r="D117">
        <v>2021</v>
      </c>
      <c r="E117">
        <v>19737</v>
      </c>
      <c r="F117">
        <v>18809</v>
      </c>
      <c r="G117">
        <v>928</v>
      </c>
      <c r="I117">
        <v>11322</v>
      </c>
      <c r="M117">
        <v>1.661278926</v>
      </c>
      <c r="N117">
        <f>E117/_xlfn.XLOOKUP(C117,Lookups!$A$2:$A$66,Lookups!$C$2:$C$66)</f>
        <v>19.462193823216186</v>
      </c>
      <c r="O117">
        <v>19737</v>
      </c>
      <c r="P117">
        <v>148</v>
      </c>
      <c r="Q117">
        <v>-25</v>
      </c>
      <c r="R117">
        <v>284</v>
      </c>
      <c r="S117">
        <v>173</v>
      </c>
      <c r="T117">
        <v>11322</v>
      </c>
      <c r="W117">
        <v>18809</v>
      </c>
      <c r="X117">
        <v>349</v>
      </c>
      <c r="AA117">
        <v>1.661278926</v>
      </c>
    </row>
    <row r="118" spans="1:27" x14ac:dyDescent="0.2">
      <c r="A118">
        <v>15</v>
      </c>
      <c r="B118">
        <v>13</v>
      </c>
      <c r="C118" t="s">
        <v>152</v>
      </c>
      <c r="D118">
        <v>2022</v>
      </c>
      <c r="E118">
        <v>20261</v>
      </c>
      <c r="F118">
        <v>19071</v>
      </c>
      <c r="G118">
        <v>1190</v>
      </c>
      <c r="I118">
        <v>11903</v>
      </c>
      <c r="M118">
        <v>1.602201126</v>
      </c>
      <c r="N118">
        <f>E118/_xlfn.XLOOKUP(C118,Lookups!$A$2:$A$66,Lookups!$C$2:$C$66)</f>
        <v>19.978897960793596</v>
      </c>
      <c r="O118">
        <v>20261</v>
      </c>
      <c r="P118">
        <v>145</v>
      </c>
      <c r="Q118">
        <v>-41</v>
      </c>
      <c r="R118">
        <v>565</v>
      </c>
      <c r="S118">
        <v>186</v>
      </c>
      <c r="T118">
        <v>11903</v>
      </c>
      <c r="W118">
        <v>19071</v>
      </c>
      <c r="X118">
        <v>277</v>
      </c>
      <c r="AA118">
        <v>1.602201126</v>
      </c>
    </row>
    <row r="119" spans="1:27" x14ac:dyDescent="0.2">
      <c r="A119">
        <v>17</v>
      </c>
      <c r="B119">
        <v>5</v>
      </c>
      <c r="C119" t="s">
        <v>153</v>
      </c>
      <c r="D119">
        <v>2010</v>
      </c>
      <c r="E119">
        <v>1834</v>
      </c>
      <c r="F119">
        <v>1792</v>
      </c>
      <c r="G119">
        <v>42</v>
      </c>
      <c r="H119">
        <v>2.5499999999999998</v>
      </c>
      <c r="I119">
        <v>868</v>
      </c>
      <c r="J119">
        <v>702</v>
      </c>
      <c r="K119">
        <v>166</v>
      </c>
      <c r="L119">
        <v>19.12</v>
      </c>
      <c r="M119">
        <v>2.0645161289999998</v>
      </c>
      <c r="N119">
        <f>E119/_xlfn.XLOOKUP(C119,Lookups!$A$2:$A$66,Lookups!$C$2:$C$66)</f>
        <v>1.0292384533363264</v>
      </c>
    </row>
    <row r="120" spans="1:27" x14ac:dyDescent="0.2">
      <c r="A120">
        <v>17</v>
      </c>
      <c r="B120">
        <v>5</v>
      </c>
      <c r="C120" t="s">
        <v>153</v>
      </c>
      <c r="D120">
        <v>2011</v>
      </c>
      <c r="E120">
        <v>1832</v>
      </c>
      <c r="F120">
        <v>1790</v>
      </c>
      <c r="G120">
        <v>42</v>
      </c>
      <c r="H120">
        <v>2.2799999999999998</v>
      </c>
      <c r="I120">
        <v>869</v>
      </c>
      <c r="J120">
        <v>784</v>
      </c>
      <c r="K120">
        <v>85</v>
      </c>
      <c r="L120">
        <v>9.76</v>
      </c>
      <c r="M120">
        <v>2.0598388949999999</v>
      </c>
      <c r="N120">
        <f>E120/_xlfn.XLOOKUP(C120,Lookups!$A$2:$A$66,Lookups!$C$2:$C$66)</f>
        <v>1.0281160558953926</v>
      </c>
    </row>
    <row r="121" spans="1:27" x14ac:dyDescent="0.2">
      <c r="A121">
        <v>17</v>
      </c>
      <c r="B121">
        <v>5</v>
      </c>
      <c r="C121" t="s">
        <v>153</v>
      </c>
      <c r="D121">
        <v>2012</v>
      </c>
      <c r="E121">
        <v>1832</v>
      </c>
      <c r="F121">
        <v>1790</v>
      </c>
      <c r="G121">
        <v>42</v>
      </c>
      <c r="H121">
        <v>2.29</v>
      </c>
      <c r="I121">
        <v>869</v>
      </c>
      <c r="J121">
        <v>783</v>
      </c>
      <c r="K121">
        <v>86</v>
      </c>
      <c r="L121">
        <v>9.89</v>
      </c>
      <c r="M121">
        <v>2.0598388949999999</v>
      </c>
      <c r="N121">
        <f>E121/_xlfn.XLOOKUP(C121,Lookups!$A$2:$A$66,Lookups!$C$2:$C$66)</f>
        <v>1.0281160558953926</v>
      </c>
    </row>
    <row r="122" spans="1:27" x14ac:dyDescent="0.2">
      <c r="A122">
        <v>17</v>
      </c>
      <c r="B122">
        <v>5</v>
      </c>
      <c r="C122" t="s">
        <v>153</v>
      </c>
      <c r="D122">
        <v>2013</v>
      </c>
      <c r="E122">
        <v>1818</v>
      </c>
      <c r="F122">
        <v>1776</v>
      </c>
      <c r="G122">
        <v>42</v>
      </c>
      <c r="H122">
        <v>2.29</v>
      </c>
      <c r="I122">
        <v>878</v>
      </c>
      <c r="J122">
        <v>776</v>
      </c>
      <c r="K122">
        <v>102</v>
      </c>
      <c r="L122">
        <v>11.64</v>
      </c>
      <c r="M122">
        <v>2.0227790429999999</v>
      </c>
      <c r="N122">
        <f>E122/_xlfn.XLOOKUP(C122,Lookups!$A$2:$A$66,Lookups!$C$2:$C$66)</f>
        <v>1.0202592738088556</v>
      </c>
    </row>
    <row r="123" spans="1:27" x14ac:dyDescent="0.2">
      <c r="A123">
        <v>17</v>
      </c>
      <c r="B123">
        <v>5</v>
      </c>
      <c r="C123" t="s">
        <v>153</v>
      </c>
      <c r="D123">
        <v>2014</v>
      </c>
      <c r="E123">
        <v>1817</v>
      </c>
      <c r="F123">
        <v>1775</v>
      </c>
      <c r="G123">
        <v>42</v>
      </c>
      <c r="H123">
        <v>2.29</v>
      </c>
      <c r="I123">
        <v>879</v>
      </c>
      <c r="J123">
        <v>774</v>
      </c>
      <c r="K123">
        <v>105</v>
      </c>
      <c r="L123">
        <v>11.94</v>
      </c>
      <c r="M123">
        <v>2.019340159</v>
      </c>
      <c r="N123">
        <f>E123/_xlfn.XLOOKUP(C123,Lookups!$A$2:$A$66,Lookups!$C$2:$C$66)</f>
        <v>1.0196980750883888</v>
      </c>
    </row>
    <row r="124" spans="1:27" x14ac:dyDescent="0.2">
      <c r="A124">
        <v>17</v>
      </c>
      <c r="B124">
        <v>5</v>
      </c>
      <c r="C124" t="s">
        <v>153</v>
      </c>
      <c r="D124">
        <v>2015</v>
      </c>
      <c r="E124">
        <v>1806</v>
      </c>
      <c r="F124">
        <v>1764</v>
      </c>
      <c r="G124">
        <v>42</v>
      </c>
      <c r="H124">
        <v>2.2999999999999998</v>
      </c>
      <c r="I124">
        <v>886</v>
      </c>
      <c r="J124">
        <v>768</v>
      </c>
      <c r="K124">
        <v>118</v>
      </c>
      <c r="L124">
        <v>13.3</v>
      </c>
      <c r="M124">
        <v>1.9909706549999999</v>
      </c>
      <c r="N124">
        <f>E124/_xlfn.XLOOKUP(C124,Lookups!$A$2:$A$66,Lookups!$C$2:$C$66)</f>
        <v>1.0135248891632527</v>
      </c>
    </row>
    <row r="125" spans="1:27" x14ac:dyDescent="0.2">
      <c r="A125">
        <v>17</v>
      </c>
      <c r="B125">
        <v>5</v>
      </c>
      <c r="C125" t="s">
        <v>153</v>
      </c>
      <c r="D125">
        <v>2016</v>
      </c>
      <c r="E125">
        <v>1794</v>
      </c>
      <c r="F125">
        <v>1752</v>
      </c>
      <c r="G125">
        <v>42</v>
      </c>
      <c r="H125">
        <v>2.2999999999999998</v>
      </c>
      <c r="I125">
        <v>894</v>
      </c>
      <c r="J125">
        <v>762</v>
      </c>
      <c r="K125">
        <v>132</v>
      </c>
      <c r="L125">
        <v>14.8</v>
      </c>
      <c r="M125">
        <v>1.959731544</v>
      </c>
      <c r="N125">
        <f>E125/_xlfn.XLOOKUP(C125,Lookups!$A$2:$A$66,Lookups!$C$2:$C$66)</f>
        <v>1.0067905045176497</v>
      </c>
    </row>
    <row r="126" spans="1:27" x14ac:dyDescent="0.2">
      <c r="A126">
        <v>17</v>
      </c>
      <c r="B126">
        <v>5</v>
      </c>
      <c r="C126" t="s">
        <v>153</v>
      </c>
      <c r="D126">
        <v>2017</v>
      </c>
      <c r="E126">
        <v>1788</v>
      </c>
      <c r="F126">
        <v>1746</v>
      </c>
      <c r="G126">
        <v>42</v>
      </c>
      <c r="H126">
        <v>2.2999999999999998</v>
      </c>
      <c r="I126">
        <v>898</v>
      </c>
      <c r="J126">
        <v>758</v>
      </c>
      <c r="K126">
        <v>140</v>
      </c>
      <c r="L126">
        <v>15.6</v>
      </c>
      <c r="M126">
        <v>1.944320713</v>
      </c>
      <c r="N126">
        <f>E126/_xlfn.XLOOKUP(C126,Lookups!$A$2:$A$66,Lookups!$C$2:$C$66)</f>
        <v>1.0034233121948481</v>
      </c>
    </row>
    <row r="127" spans="1:27" x14ac:dyDescent="0.2">
      <c r="A127">
        <v>17</v>
      </c>
      <c r="B127">
        <v>5</v>
      </c>
      <c r="C127" t="s">
        <v>153</v>
      </c>
      <c r="D127">
        <v>2018</v>
      </c>
      <c r="E127">
        <v>1783</v>
      </c>
      <c r="F127">
        <v>1741</v>
      </c>
      <c r="G127">
        <v>42</v>
      </c>
      <c r="H127">
        <v>2.31</v>
      </c>
      <c r="I127">
        <v>901</v>
      </c>
      <c r="J127">
        <v>755</v>
      </c>
      <c r="K127">
        <v>146</v>
      </c>
      <c r="L127">
        <v>16.23</v>
      </c>
      <c r="M127">
        <v>1.9322974470000001</v>
      </c>
      <c r="N127">
        <f>E127/_xlfn.XLOOKUP(C127,Lookups!$A$2:$A$66,Lookups!$C$2:$C$66)</f>
        <v>1.0006173185925136</v>
      </c>
    </row>
    <row r="128" spans="1:27" x14ac:dyDescent="0.2">
      <c r="A128">
        <v>17</v>
      </c>
      <c r="B128">
        <v>5</v>
      </c>
      <c r="C128" t="s">
        <v>153</v>
      </c>
      <c r="D128">
        <v>2019</v>
      </c>
      <c r="E128">
        <v>1777</v>
      </c>
      <c r="F128">
        <v>1735</v>
      </c>
      <c r="G128">
        <v>42</v>
      </c>
      <c r="H128">
        <v>2.31</v>
      </c>
      <c r="I128">
        <v>905</v>
      </c>
      <c r="J128">
        <v>751</v>
      </c>
      <c r="K128">
        <v>154</v>
      </c>
      <c r="L128">
        <v>17.02</v>
      </c>
      <c r="M128">
        <v>1.917127072</v>
      </c>
      <c r="N128">
        <f>E128/_xlfn.XLOOKUP(C128,Lookups!$A$2:$A$66,Lookups!$C$2:$C$66)</f>
        <v>0.9972501262697121</v>
      </c>
    </row>
    <row r="129" spans="1:27" x14ac:dyDescent="0.2">
      <c r="A129">
        <v>17</v>
      </c>
      <c r="B129">
        <v>5</v>
      </c>
      <c r="C129" t="s">
        <v>153</v>
      </c>
      <c r="D129">
        <v>2020</v>
      </c>
      <c r="E129">
        <v>1744</v>
      </c>
      <c r="F129">
        <v>1722</v>
      </c>
      <c r="G129">
        <v>22</v>
      </c>
      <c r="I129">
        <v>929</v>
      </c>
      <c r="M129">
        <v>1.853606028</v>
      </c>
      <c r="N129">
        <f>E129/_xlfn.XLOOKUP(C129,Lookups!$A$2:$A$66,Lookups!$C$2:$C$66)</f>
        <v>0.97873056849430373</v>
      </c>
      <c r="O129">
        <v>1744</v>
      </c>
      <c r="P129">
        <v>17</v>
      </c>
      <c r="Q129">
        <v>0</v>
      </c>
      <c r="R129">
        <v>-33</v>
      </c>
      <c r="S129">
        <v>17</v>
      </c>
      <c r="T129">
        <v>929</v>
      </c>
      <c r="W129">
        <v>1722</v>
      </c>
      <c r="X129">
        <v>6</v>
      </c>
      <c r="AA129">
        <v>1.853606028</v>
      </c>
    </row>
    <row r="130" spans="1:27" x14ac:dyDescent="0.2">
      <c r="A130">
        <v>17</v>
      </c>
      <c r="B130">
        <v>5</v>
      </c>
      <c r="C130" t="s">
        <v>153</v>
      </c>
      <c r="D130">
        <v>2021</v>
      </c>
      <c r="E130">
        <v>1716</v>
      </c>
      <c r="F130">
        <v>1690</v>
      </c>
      <c r="G130">
        <v>26</v>
      </c>
      <c r="I130">
        <v>933</v>
      </c>
      <c r="M130">
        <v>1.8113611999999999</v>
      </c>
      <c r="N130">
        <f>E130/_xlfn.XLOOKUP(C130,Lookups!$A$2:$A$66,Lookups!$C$2:$C$66)</f>
        <v>0.96301700432123005</v>
      </c>
      <c r="O130">
        <v>1716</v>
      </c>
      <c r="P130">
        <v>21</v>
      </c>
      <c r="Q130">
        <v>-4</v>
      </c>
      <c r="R130">
        <v>-24</v>
      </c>
      <c r="S130">
        <v>25</v>
      </c>
      <c r="T130">
        <v>933</v>
      </c>
      <c r="W130">
        <v>1690</v>
      </c>
      <c r="X130">
        <v>12</v>
      </c>
      <c r="AA130">
        <v>1.8113611999999999</v>
      </c>
    </row>
    <row r="131" spans="1:27" x14ac:dyDescent="0.2">
      <c r="A131">
        <v>17</v>
      </c>
      <c r="B131">
        <v>5</v>
      </c>
      <c r="C131" t="s">
        <v>153</v>
      </c>
      <c r="D131">
        <v>2022</v>
      </c>
      <c r="E131">
        <v>1722</v>
      </c>
      <c r="F131">
        <v>1698</v>
      </c>
      <c r="G131">
        <v>24</v>
      </c>
      <c r="I131">
        <v>945</v>
      </c>
      <c r="M131">
        <v>1.7968253970000001</v>
      </c>
      <c r="N131">
        <f>E131/_xlfn.XLOOKUP(C131,Lookups!$A$2:$A$66,Lookups!$C$2:$C$66)</f>
        <v>0.96638419664403163</v>
      </c>
      <c r="O131">
        <v>1722</v>
      </c>
      <c r="P131">
        <v>15</v>
      </c>
      <c r="Q131">
        <v>-14</v>
      </c>
      <c r="R131">
        <v>20</v>
      </c>
      <c r="S131">
        <v>29</v>
      </c>
      <c r="T131">
        <v>945</v>
      </c>
      <c r="W131">
        <v>1698</v>
      </c>
      <c r="X131">
        <v>11</v>
      </c>
      <c r="AA131">
        <v>1.7968253970000001</v>
      </c>
    </row>
    <row r="132" spans="1:27" x14ac:dyDescent="0.2">
      <c r="A132">
        <v>19</v>
      </c>
      <c r="B132">
        <v>3</v>
      </c>
      <c r="C132" t="s">
        <v>154</v>
      </c>
      <c r="D132">
        <v>2010</v>
      </c>
      <c r="E132">
        <v>9155</v>
      </c>
      <c r="F132">
        <v>9024</v>
      </c>
      <c r="G132">
        <v>131</v>
      </c>
      <c r="H132">
        <v>2.2200000000000002</v>
      </c>
      <c r="I132">
        <v>5472</v>
      </c>
      <c r="J132">
        <v>4060</v>
      </c>
      <c r="K132">
        <v>1412</v>
      </c>
      <c r="L132">
        <v>25.8</v>
      </c>
      <c r="M132">
        <v>1.6491228069999999</v>
      </c>
      <c r="N132">
        <f>E132/_xlfn.XLOOKUP(C132,Lookups!$A$2:$A$66,Lookups!$C$2:$C$66)</f>
        <v>23.087786548306561</v>
      </c>
    </row>
    <row r="133" spans="1:27" x14ac:dyDescent="0.2">
      <c r="A133">
        <v>19</v>
      </c>
      <c r="B133">
        <v>3</v>
      </c>
      <c r="C133" t="s">
        <v>154</v>
      </c>
      <c r="D133">
        <v>2011</v>
      </c>
      <c r="E133">
        <v>9027</v>
      </c>
      <c r="F133">
        <v>8923</v>
      </c>
      <c r="G133">
        <v>104</v>
      </c>
      <c r="H133">
        <v>2.14</v>
      </c>
      <c r="I133">
        <v>5485</v>
      </c>
      <c r="J133">
        <v>4173</v>
      </c>
      <c r="K133">
        <v>1312</v>
      </c>
      <c r="L133">
        <v>23.92</v>
      </c>
      <c r="M133">
        <v>1.626800365</v>
      </c>
      <c r="N133">
        <f>E133/_xlfn.XLOOKUP(C133,Lookups!$A$2:$A$66,Lookups!$C$2:$C$66)</f>
        <v>22.764986255768797</v>
      </c>
    </row>
    <row r="134" spans="1:27" x14ac:dyDescent="0.2">
      <c r="A134">
        <v>19</v>
      </c>
      <c r="B134">
        <v>3</v>
      </c>
      <c r="C134" t="s">
        <v>154</v>
      </c>
      <c r="D134">
        <v>2012</v>
      </c>
      <c r="E134">
        <v>9016</v>
      </c>
      <c r="F134">
        <v>8895</v>
      </c>
      <c r="G134">
        <v>121</v>
      </c>
      <c r="H134">
        <v>2.14</v>
      </c>
      <c r="I134">
        <v>5501</v>
      </c>
      <c r="J134">
        <v>4163</v>
      </c>
      <c r="K134">
        <v>1338</v>
      </c>
      <c r="L134">
        <v>24.33</v>
      </c>
      <c r="M134">
        <v>1.6169787309999999</v>
      </c>
      <c r="N134">
        <f>E134/_xlfn.XLOOKUP(C134,Lookups!$A$2:$A$66,Lookups!$C$2:$C$66)</f>
        <v>22.737245605628832</v>
      </c>
    </row>
    <row r="135" spans="1:27" x14ac:dyDescent="0.2">
      <c r="A135">
        <v>19</v>
      </c>
      <c r="B135">
        <v>3</v>
      </c>
      <c r="C135" t="s">
        <v>154</v>
      </c>
      <c r="D135">
        <v>2013</v>
      </c>
      <c r="E135">
        <v>8966</v>
      </c>
      <c r="F135">
        <v>8876</v>
      </c>
      <c r="G135">
        <v>90</v>
      </c>
      <c r="H135">
        <v>2.14</v>
      </c>
      <c r="I135">
        <v>5496</v>
      </c>
      <c r="J135">
        <v>4157</v>
      </c>
      <c r="K135">
        <v>1339</v>
      </c>
      <c r="L135">
        <v>24.36</v>
      </c>
      <c r="M135">
        <v>1.614992722</v>
      </c>
      <c r="N135">
        <f>E135/_xlfn.XLOOKUP(C135,Lookups!$A$2:$A$66,Lookups!$C$2:$C$66)</f>
        <v>22.611151741356267</v>
      </c>
    </row>
    <row r="136" spans="1:27" x14ac:dyDescent="0.2">
      <c r="A136">
        <v>19</v>
      </c>
      <c r="B136">
        <v>3</v>
      </c>
      <c r="C136" t="s">
        <v>154</v>
      </c>
      <c r="D136">
        <v>2014</v>
      </c>
      <c r="E136">
        <v>9034</v>
      </c>
      <c r="F136">
        <v>8949</v>
      </c>
      <c r="G136">
        <v>85</v>
      </c>
      <c r="H136">
        <v>2.13</v>
      </c>
      <c r="I136">
        <v>5535</v>
      </c>
      <c r="J136">
        <v>4194</v>
      </c>
      <c r="K136">
        <v>1341</v>
      </c>
      <c r="L136">
        <v>24.22</v>
      </c>
      <c r="M136">
        <v>1.616802168</v>
      </c>
      <c r="N136">
        <f>E136/_xlfn.XLOOKUP(C136,Lookups!$A$2:$A$66,Lookups!$C$2:$C$66)</f>
        <v>22.782639396766953</v>
      </c>
    </row>
    <row r="137" spans="1:27" x14ac:dyDescent="0.2">
      <c r="A137">
        <v>19</v>
      </c>
      <c r="B137">
        <v>3</v>
      </c>
      <c r="C137" t="s">
        <v>154</v>
      </c>
      <c r="D137">
        <v>2015</v>
      </c>
      <c r="E137">
        <v>9158</v>
      </c>
      <c r="F137">
        <v>9047</v>
      </c>
      <c r="G137">
        <v>111</v>
      </c>
      <c r="H137">
        <v>2.13</v>
      </c>
      <c r="I137">
        <v>5544</v>
      </c>
      <c r="J137">
        <v>4243</v>
      </c>
      <c r="K137">
        <v>1301</v>
      </c>
      <c r="L137">
        <v>23.46</v>
      </c>
      <c r="M137">
        <v>1.6318542570000001</v>
      </c>
      <c r="N137">
        <f>E137/_xlfn.XLOOKUP(C137,Lookups!$A$2:$A$66,Lookups!$C$2:$C$66)</f>
        <v>23.095352180162916</v>
      </c>
    </row>
    <row r="138" spans="1:27" x14ac:dyDescent="0.2">
      <c r="A138">
        <v>19</v>
      </c>
      <c r="B138">
        <v>3</v>
      </c>
      <c r="C138" t="s">
        <v>154</v>
      </c>
      <c r="D138">
        <v>2016</v>
      </c>
      <c r="E138">
        <v>9237</v>
      </c>
      <c r="F138">
        <v>9124</v>
      </c>
      <c r="G138">
        <v>113</v>
      </c>
      <c r="H138">
        <v>2.13</v>
      </c>
      <c r="I138">
        <v>5560</v>
      </c>
      <c r="J138">
        <v>4283</v>
      </c>
      <c r="K138">
        <v>1277</v>
      </c>
      <c r="L138">
        <v>22.98</v>
      </c>
      <c r="M138">
        <v>1.6410071939999999</v>
      </c>
      <c r="N138">
        <f>E138/_xlfn.XLOOKUP(C138,Lookups!$A$2:$A$66,Lookups!$C$2:$C$66)</f>
        <v>23.294580485713567</v>
      </c>
    </row>
    <row r="139" spans="1:27" x14ac:dyDescent="0.2">
      <c r="A139">
        <v>19</v>
      </c>
      <c r="B139">
        <v>3</v>
      </c>
      <c r="C139" t="s">
        <v>154</v>
      </c>
      <c r="D139">
        <v>2017</v>
      </c>
      <c r="E139">
        <v>9427</v>
      </c>
      <c r="F139">
        <v>9312</v>
      </c>
      <c r="G139">
        <v>115</v>
      </c>
      <c r="H139">
        <v>2.13</v>
      </c>
      <c r="I139">
        <v>5572</v>
      </c>
      <c r="J139">
        <v>4374</v>
      </c>
      <c r="K139">
        <v>1198</v>
      </c>
      <c r="L139">
        <v>21.5</v>
      </c>
      <c r="M139">
        <v>1.671213209</v>
      </c>
      <c r="N139">
        <f>E139/_xlfn.XLOOKUP(C139,Lookups!$A$2:$A$66,Lookups!$C$2:$C$66)</f>
        <v>23.77373716994931</v>
      </c>
    </row>
    <row r="140" spans="1:27" x14ac:dyDescent="0.2">
      <c r="A140">
        <v>19</v>
      </c>
      <c r="B140">
        <v>3</v>
      </c>
      <c r="C140" t="s">
        <v>154</v>
      </c>
      <c r="D140">
        <v>2018</v>
      </c>
      <c r="E140">
        <v>9385</v>
      </c>
      <c r="F140">
        <v>9260</v>
      </c>
      <c r="G140">
        <v>125</v>
      </c>
      <c r="H140">
        <v>2.13</v>
      </c>
      <c r="I140">
        <v>5602</v>
      </c>
      <c r="J140">
        <v>4353</v>
      </c>
      <c r="K140">
        <v>1249</v>
      </c>
      <c r="L140">
        <v>22.3</v>
      </c>
      <c r="M140">
        <v>1.652981078</v>
      </c>
      <c r="N140">
        <f>E140/_xlfn.XLOOKUP(C140,Lookups!$A$2:$A$66,Lookups!$C$2:$C$66)</f>
        <v>23.667818323960358</v>
      </c>
    </row>
    <row r="141" spans="1:27" x14ac:dyDescent="0.2">
      <c r="A141">
        <v>19</v>
      </c>
      <c r="B141">
        <v>3</v>
      </c>
      <c r="C141" t="s">
        <v>154</v>
      </c>
      <c r="D141">
        <v>2019</v>
      </c>
      <c r="E141">
        <v>9414</v>
      </c>
      <c r="F141">
        <v>9299</v>
      </c>
      <c r="G141">
        <v>115</v>
      </c>
      <c r="H141">
        <v>2.13</v>
      </c>
      <c r="I141">
        <v>5634</v>
      </c>
      <c r="J141">
        <v>4374</v>
      </c>
      <c r="K141">
        <v>1260</v>
      </c>
      <c r="L141">
        <v>22.36</v>
      </c>
      <c r="M141">
        <v>1.650514732</v>
      </c>
      <c r="N141">
        <f>E141/_xlfn.XLOOKUP(C141,Lookups!$A$2:$A$66,Lookups!$C$2:$C$66)</f>
        <v>23.740952765238447</v>
      </c>
    </row>
    <row r="142" spans="1:27" x14ac:dyDescent="0.2">
      <c r="A142">
        <v>19</v>
      </c>
      <c r="B142">
        <v>3</v>
      </c>
      <c r="C142" t="s">
        <v>154</v>
      </c>
      <c r="D142">
        <v>2020</v>
      </c>
      <c r="E142">
        <v>9397</v>
      </c>
      <c r="F142">
        <v>9315</v>
      </c>
      <c r="G142">
        <v>82</v>
      </c>
      <c r="I142">
        <v>5688</v>
      </c>
      <c r="M142">
        <v>1.637658228</v>
      </c>
      <c r="N142">
        <f>E142/_xlfn.XLOOKUP(C142,Lookups!$A$2:$A$66,Lookups!$C$2:$C$66)</f>
        <v>23.698080851385772</v>
      </c>
      <c r="O142">
        <v>9397</v>
      </c>
      <c r="P142">
        <v>67</v>
      </c>
      <c r="Q142">
        <v>-6</v>
      </c>
      <c r="R142">
        <v>-11</v>
      </c>
      <c r="S142">
        <v>73</v>
      </c>
      <c r="T142">
        <v>5688</v>
      </c>
      <c r="W142">
        <v>9315</v>
      </c>
      <c r="X142">
        <v>94</v>
      </c>
      <c r="AA142">
        <v>1.637658228</v>
      </c>
    </row>
    <row r="143" spans="1:27" x14ac:dyDescent="0.2">
      <c r="A143">
        <v>19</v>
      </c>
      <c r="B143">
        <v>3</v>
      </c>
      <c r="C143" t="s">
        <v>154</v>
      </c>
      <c r="D143">
        <v>2021</v>
      </c>
      <c r="E143">
        <v>9457</v>
      </c>
      <c r="F143">
        <v>9375</v>
      </c>
      <c r="G143">
        <v>82</v>
      </c>
      <c r="I143">
        <v>5771</v>
      </c>
      <c r="M143">
        <v>1.624501819</v>
      </c>
      <c r="N143">
        <f>E143/_xlfn.XLOOKUP(C143,Lookups!$A$2:$A$66,Lookups!$C$2:$C$66)</f>
        <v>23.849393488512849</v>
      </c>
      <c r="O143">
        <v>9457</v>
      </c>
      <c r="P143">
        <v>70</v>
      </c>
      <c r="Q143">
        <v>5</v>
      </c>
      <c r="R143">
        <v>55</v>
      </c>
      <c r="S143">
        <v>65</v>
      </c>
      <c r="T143">
        <v>5771</v>
      </c>
      <c r="W143">
        <v>9375</v>
      </c>
      <c r="X143">
        <v>97</v>
      </c>
      <c r="AA143">
        <v>1.624501819</v>
      </c>
    </row>
    <row r="144" spans="1:27" x14ac:dyDescent="0.2">
      <c r="A144">
        <v>19</v>
      </c>
      <c r="B144">
        <v>3</v>
      </c>
      <c r="C144" t="s">
        <v>154</v>
      </c>
      <c r="D144">
        <v>2022</v>
      </c>
      <c r="E144">
        <v>9366</v>
      </c>
      <c r="F144">
        <v>9284</v>
      </c>
      <c r="G144">
        <v>82</v>
      </c>
      <c r="I144">
        <v>5868</v>
      </c>
      <c r="M144">
        <v>1.582140423</v>
      </c>
      <c r="N144">
        <f>E144/_xlfn.XLOOKUP(C144,Lookups!$A$2:$A$66,Lookups!$C$2:$C$66)</f>
        <v>23.619902655536784</v>
      </c>
      <c r="O144">
        <v>9366</v>
      </c>
      <c r="P144">
        <v>60</v>
      </c>
      <c r="Q144">
        <v>-18</v>
      </c>
      <c r="R144">
        <v>-73</v>
      </c>
      <c r="S144">
        <v>78</v>
      </c>
      <c r="T144">
        <v>5868</v>
      </c>
      <c r="W144">
        <v>9284</v>
      </c>
      <c r="X144">
        <v>20</v>
      </c>
      <c r="AA144">
        <v>1.582140423</v>
      </c>
    </row>
    <row r="145" spans="1:27" x14ac:dyDescent="0.2">
      <c r="A145">
        <v>0</v>
      </c>
      <c r="B145">
        <v>0</v>
      </c>
      <c r="C145" t="s">
        <v>143</v>
      </c>
      <c r="D145">
        <v>2010</v>
      </c>
      <c r="E145">
        <v>5050332</v>
      </c>
      <c r="F145">
        <v>4933380</v>
      </c>
      <c r="G145">
        <v>116952</v>
      </c>
      <c r="H145">
        <v>2.5</v>
      </c>
      <c r="I145">
        <v>2205618</v>
      </c>
      <c r="J145">
        <v>1971855</v>
      </c>
      <c r="K145">
        <v>233763</v>
      </c>
      <c r="L145">
        <v>10.6</v>
      </c>
      <c r="M145">
        <v>2.2367336500000001</v>
      </c>
      <c r="N145">
        <f>E145/_xlfn.XLOOKUP(C145,Lookups!$A$2:$A$66,Lookups!$C$2:$C$66)</f>
        <v>48.516114504720974</v>
      </c>
    </row>
    <row r="146" spans="1:27" x14ac:dyDescent="0.2">
      <c r="A146">
        <v>0</v>
      </c>
      <c r="B146">
        <v>0</v>
      </c>
      <c r="C146" t="s">
        <v>143</v>
      </c>
      <c r="D146">
        <v>2011</v>
      </c>
      <c r="E146">
        <v>5123553</v>
      </c>
      <c r="F146">
        <v>5004680</v>
      </c>
      <c r="G146">
        <v>118873</v>
      </c>
      <c r="H146">
        <v>2.4900000000000002</v>
      </c>
      <c r="I146">
        <v>2217639</v>
      </c>
      <c r="J146">
        <v>2008680</v>
      </c>
      <c r="K146">
        <v>208959</v>
      </c>
      <c r="L146">
        <v>9.42</v>
      </c>
      <c r="M146">
        <v>2.2567604559999999</v>
      </c>
      <c r="N146">
        <f>E146/_xlfn.XLOOKUP(C146,Lookups!$A$2:$A$66,Lookups!$C$2:$C$66)</f>
        <v>49.21951349317365</v>
      </c>
    </row>
    <row r="147" spans="1:27" x14ac:dyDescent="0.2">
      <c r="A147">
        <v>0</v>
      </c>
      <c r="B147">
        <v>0</v>
      </c>
      <c r="C147" t="s">
        <v>143</v>
      </c>
      <c r="D147">
        <v>2012</v>
      </c>
      <c r="E147">
        <v>5194662</v>
      </c>
      <c r="F147">
        <v>5075290</v>
      </c>
      <c r="G147">
        <v>119372</v>
      </c>
      <c r="H147">
        <v>2.4900000000000002</v>
      </c>
      <c r="I147">
        <v>2230882</v>
      </c>
      <c r="J147">
        <v>2036224</v>
      </c>
      <c r="K147">
        <v>194658</v>
      </c>
      <c r="L147">
        <v>8.73</v>
      </c>
      <c r="M147">
        <v>2.2750149940000002</v>
      </c>
      <c r="N147">
        <f>E147/_xlfn.XLOOKUP(C147,Lookups!$A$2:$A$66,Lookups!$C$2:$C$66)</f>
        <v>49.902623511745929</v>
      </c>
    </row>
    <row r="148" spans="1:27" x14ac:dyDescent="0.2">
      <c r="A148">
        <v>0</v>
      </c>
      <c r="B148">
        <v>0</v>
      </c>
      <c r="C148" t="s">
        <v>143</v>
      </c>
      <c r="D148">
        <v>2013</v>
      </c>
      <c r="E148">
        <v>5270883</v>
      </c>
      <c r="F148">
        <v>5149736</v>
      </c>
      <c r="G148">
        <v>121147</v>
      </c>
      <c r="H148">
        <v>2.4900000000000002</v>
      </c>
      <c r="I148">
        <v>2254094</v>
      </c>
      <c r="J148">
        <v>2065107</v>
      </c>
      <c r="K148">
        <v>188987</v>
      </c>
      <c r="L148">
        <v>8.3800000000000008</v>
      </c>
      <c r="M148">
        <v>2.2846145720000002</v>
      </c>
      <c r="N148">
        <f>E148/_xlfn.XLOOKUP(C148,Lookups!$A$2:$A$66,Lookups!$C$2:$C$66)</f>
        <v>50.634842059687799</v>
      </c>
    </row>
    <row r="149" spans="1:27" x14ac:dyDescent="0.2">
      <c r="A149">
        <v>0</v>
      </c>
      <c r="B149">
        <v>0</v>
      </c>
      <c r="C149" t="s">
        <v>143</v>
      </c>
      <c r="D149">
        <v>2014</v>
      </c>
      <c r="E149">
        <v>5347655</v>
      </c>
      <c r="F149">
        <v>5225942</v>
      </c>
      <c r="G149">
        <v>121712</v>
      </c>
      <c r="H149">
        <v>2.4900000000000002</v>
      </c>
      <c r="I149">
        <v>2281231</v>
      </c>
      <c r="J149">
        <v>2094728</v>
      </c>
      <c r="K149">
        <v>186503</v>
      </c>
      <c r="L149">
        <v>8.18</v>
      </c>
      <c r="M149">
        <v>2.2908429699999999</v>
      </c>
      <c r="N149">
        <f>E149/_xlfn.XLOOKUP(C149,Lookups!$A$2:$A$66,Lookups!$C$2:$C$66)</f>
        <v>51.372353800055848</v>
      </c>
    </row>
    <row r="150" spans="1:27" x14ac:dyDescent="0.2">
      <c r="A150">
        <v>0</v>
      </c>
      <c r="B150">
        <v>0</v>
      </c>
      <c r="C150" t="s">
        <v>143</v>
      </c>
      <c r="D150">
        <v>2015</v>
      </c>
      <c r="E150">
        <v>5446594</v>
      </c>
      <c r="F150">
        <v>5322337</v>
      </c>
      <c r="G150">
        <v>124256</v>
      </c>
      <c r="H150">
        <v>2.5</v>
      </c>
      <c r="I150">
        <v>2310630</v>
      </c>
      <c r="J150">
        <v>2132504</v>
      </c>
      <c r="K150">
        <v>178126</v>
      </c>
      <c r="L150">
        <v>7.71</v>
      </c>
      <c r="M150">
        <v>2.3034137879999999</v>
      </c>
      <c r="N150">
        <f>E150/_xlfn.XLOOKUP(C150,Lookups!$A$2:$A$66,Lookups!$C$2:$C$66)</f>
        <v>52.322813265489522</v>
      </c>
    </row>
    <row r="151" spans="1:27" x14ac:dyDescent="0.2">
      <c r="A151">
        <v>0</v>
      </c>
      <c r="B151">
        <v>0</v>
      </c>
      <c r="C151" t="s">
        <v>143</v>
      </c>
      <c r="D151">
        <v>2016</v>
      </c>
      <c r="E151">
        <v>5529631</v>
      </c>
      <c r="F151">
        <v>5404120</v>
      </c>
      <c r="G151">
        <v>125511</v>
      </c>
      <c r="H151">
        <v>2.5</v>
      </c>
      <c r="I151">
        <v>2339866</v>
      </c>
      <c r="J151">
        <v>2164521</v>
      </c>
      <c r="K151">
        <v>175345</v>
      </c>
      <c r="L151">
        <v>7.49</v>
      </c>
      <c r="M151">
        <v>2.30958525</v>
      </c>
      <c r="N151">
        <f>E151/_xlfn.XLOOKUP(C151,Lookups!$A$2:$A$66,Lookups!$C$2:$C$66)</f>
        <v>53.120509852590828</v>
      </c>
    </row>
    <row r="152" spans="1:27" x14ac:dyDescent="0.2">
      <c r="A152">
        <v>0</v>
      </c>
      <c r="B152">
        <v>0</v>
      </c>
      <c r="C152" t="s">
        <v>143</v>
      </c>
      <c r="D152">
        <v>2017</v>
      </c>
      <c r="E152">
        <v>5599588</v>
      </c>
      <c r="F152">
        <v>5472360</v>
      </c>
      <c r="G152">
        <v>127227</v>
      </c>
      <c r="H152">
        <v>2.5</v>
      </c>
      <c r="I152">
        <v>2377152</v>
      </c>
      <c r="J152">
        <v>2190473</v>
      </c>
      <c r="K152">
        <v>186679</v>
      </c>
      <c r="L152">
        <v>7.85</v>
      </c>
      <c r="M152">
        <v>2.3020656650000002</v>
      </c>
      <c r="N152">
        <f>E152/_xlfn.XLOOKUP(C152,Lookups!$A$2:$A$66,Lookups!$C$2:$C$66)</f>
        <v>53.792553160319265</v>
      </c>
    </row>
    <row r="153" spans="1:27" x14ac:dyDescent="0.2">
      <c r="A153">
        <v>0</v>
      </c>
      <c r="B153">
        <v>0</v>
      </c>
      <c r="C153" t="s">
        <v>143</v>
      </c>
      <c r="D153">
        <v>2018</v>
      </c>
      <c r="E153">
        <v>5676912</v>
      </c>
      <c r="F153">
        <v>5549371</v>
      </c>
      <c r="G153">
        <v>127541</v>
      </c>
      <c r="H153">
        <v>2.5</v>
      </c>
      <c r="I153">
        <v>2418599</v>
      </c>
      <c r="J153">
        <v>2220185</v>
      </c>
      <c r="K153">
        <v>198414</v>
      </c>
      <c r="L153">
        <v>8.1999999999999993</v>
      </c>
      <c r="M153">
        <v>2.2944568319999998</v>
      </c>
      <c r="N153">
        <f>E153/_xlfn.XLOOKUP(C153,Lookups!$A$2:$A$66,Lookups!$C$2:$C$66)</f>
        <v>54.535367699633319</v>
      </c>
    </row>
    <row r="154" spans="1:27" x14ac:dyDescent="0.2">
      <c r="A154">
        <v>0</v>
      </c>
      <c r="B154">
        <v>0</v>
      </c>
      <c r="C154" t="s">
        <v>143</v>
      </c>
      <c r="D154">
        <v>2019</v>
      </c>
      <c r="E154">
        <v>5734909</v>
      </c>
      <c r="F154">
        <v>5606576</v>
      </c>
      <c r="G154">
        <v>128333</v>
      </c>
      <c r="H154">
        <v>2.5</v>
      </c>
      <c r="I154">
        <v>2460839</v>
      </c>
      <c r="J154">
        <v>2242111</v>
      </c>
      <c r="K154">
        <v>218728</v>
      </c>
      <c r="L154">
        <v>8.89</v>
      </c>
      <c r="M154">
        <v>2.2783188989999998</v>
      </c>
      <c r="N154">
        <f>E154/_xlfn.XLOOKUP(C154,Lookups!$A$2:$A$66,Lookups!$C$2:$C$66)</f>
        <v>55.092517030198181</v>
      </c>
    </row>
    <row r="155" spans="1:27" x14ac:dyDescent="0.2">
      <c r="A155">
        <v>0</v>
      </c>
      <c r="B155">
        <v>0</v>
      </c>
      <c r="C155" t="s">
        <v>143</v>
      </c>
      <c r="D155">
        <v>2020</v>
      </c>
      <c r="E155">
        <v>5784584</v>
      </c>
      <c r="F155">
        <v>5659934</v>
      </c>
      <c r="G155">
        <v>124650</v>
      </c>
      <c r="I155">
        <v>2501178</v>
      </c>
      <c r="M155">
        <v>2.2629073179999999</v>
      </c>
      <c r="N155">
        <f>E155/_xlfn.XLOOKUP(C155,Lookups!$A$2:$A$66,Lookups!$C$2:$C$66)</f>
        <v>55.569720902740031</v>
      </c>
      <c r="O155">
        <v>5784584</v>
      </c>
      <c r="P155">
        <v>62809</v>
      </c>
      <c r="Q155">
        <v>20660</v>
      </c>
      <c r="R155">
        <v>29011</v>
      </c>
      <c r="S155">
        <v>42149</v>
      </c>
      <c r="T155">
        <v>2501178</v>
      </c>
      <c r="W155">
        <v>5659934</v>
      </c>
      <c r="X155">
        <v>40469</v>
      </c>
      <c r="AA155">
        <v>2.2629073179999999</v>
      </c>
    </row>
    <row r="156" spans="1:27" x14ac:dyDescent="0.2">
      <c r="A156">
        <v>0</v>
      </c>
      <c r="B156">
        <v>0</v>
      </c>
      <c r="C156" t="s">
        <v>143</v>
      </c>
      <c r="D156">
        <v>2021</v>
      </c>
      <c r="E156">
        <v>5811026</v>
      </c>
      <c r="F156">
        <v>5696338</v>
      </c>
      <c r="G156">
        <v>114688</v>
      </c>
      <c r="I156">
        <v>2542505</v>
      </c>
      <c r="M156">
        <v>2.2404431850000002</v>
      </c>
      <c r="N156">
        <f>E156/_xlfn.XLOOKUP(C156,Lookups!$A$2:$A$66,Lookups!$C$2:$C$66)</f>
        <v>55.823736500077757</v>
      </c>
      <c r="O156">
        <v>5811026</v>
      </c>
      <c r="P156">
        <v>61980</v>
      </c>
      <c r="Q156">
        <v>15430</v>
      </c>
      <c r="R156">
        <v>11012</v>
      </c>
      <c r="S156">
        <v>46550</v>
      </c>
      <c r="T156">
        <v>2542505</v>
      </c>
      <c r="W156">
        <v>5696338</v>
      </c>
      <c r="X156">
        <v>56524</v>
      </c>
      <c r="AA156">
        <v>2.2404431850000002</v>
      </c>
    </row>
    <row r="157" spans="1:27" x14ac:dyDescent="0.2">
      <c r="A157">
        <v>0</v>
      </c>
      <c r="B157">
        <v>0</v>
      </c>
      <c r="C157" t="s">
        <v>143</v>
      </c>
      <c r="D157">
        <v>2022</v>
      </c>
      <c r="E157">
        <v>5838736</v>
      </c>
      <c r="F157">
        <v>5715606</v>
      </c>
      <c r="G157">
        <v>123130</v>
      </c>
      <c r="I157">
        <v>2598686</v>
      </c>
      <c r="M157">
        <v>2.1994215540000002</v>
      </c>
      <c r="N157">
        <f>E157/_xlfn.XLOOKUP(C157,Lookups!$A$2:$A$66,Lookups!$C$2:$C$66)</f>
        <v>56.089933164559582</v>
      </c>
      <c r="O157">
        <v>5838736</v>
      </c>
      <c r="P157">
        <v>62467</v>
      </c>
      <c r="Q157">
        <v>12786</v>
      </c>
      <c r="R157">
        <v>14924</v>
      </c>
      <c r="S157">
        <v>49681</v>
      </c>
      <c r="T157">
        <v>2598686</v>
      </c>
      <c r="W157">
        <v>5715606</v>
      </c>
      <c r="X157">
        <v>48839</v>
      </c>
      <c r="AA157">
        <v>2.1994215540000002</v>
      </c>
    </row>
    <row r="158" spans="1:27" x14ac:dyDescent="0.2">
      <c r="A158">
        <v>21</v>
      </c>
      <c r="B158">
        <v>8</v>
      </c>
      <c r="C158" t="s">
        <v>155</v>
      </c>
      <c r="D158">
        <v>2010</v>
      </c>
      <c r="E158">
        <v>8282</v>
      </c>
      <c r="F158">
        <v>8246</v>
      </c>
      <c r="G158">
        <v>36</v>
      </c>
      <c r="H158">
        <v>2.96</v>
      </c>
      <c r="I158">
        <v>3810</v>
      </c>
      <c r="J158">
        <v>2785</v>
      </c>
      <c r="K158">
        <v>1025</v>
      </c>
      <c r="L158">
        <v>26.9</v>
      </c>
      <c r="M158">
        <v>2.164304462</v>
      </c>
      <c r="N158">
        <f>E158/_xlfn.XLOOKUP(C158,Lookups!$A$2:$A$66,Lookups!$C$2:$C$66)</f>
        <v>6.4190603152950656</v>
      </c>
    </row>
    <row r="159" spans="1:27" x14ac:dyDescent="0.2">
      <c r="A159">
        <v>21</v>
      </c>
      <c r="B159">
        <v>8</v>
      </c>
      <c r="C159" t="s">
        <v>155</v>
      </c>
      <c r="D159">
        <v>2011</v>
      </c>
      <c r="E159">
        <v>8201</v>
      </c>
      <c r="F159">
        <v>8163</v>
      </c>
      <c r="G159">
        <v>39</v>
      </c>
      <c r="H159">
        <v>2.63</v>
      </c>
      <c r="I159">
        <v>3828</v>
      </c>
      <c r="J159">
        <v>3106</v>
      </c>
      <c r="K159">
        <v>722</v>
      </c>
      <c r="L159">
        <v>18.86</v>
      </c>
      <c r="M159">
        <v>2.1324451409999998</v>
      </c>
      <c r="N159">
        <f>E159/_xlfn.XLOOKUP(C159,Lookups!$A$2:$A$66,Lookups!$C$2:$C$66)</f>
        <v>6.3562803242857804</v>
      </c>
    </row>
    <row r="160" spans="1:27" x14ac:dyDescent="0.2">
      <c r="A160">
        <v>21</v>
      </c>
      <c r="B160">
        <v>8</v>
      </c>
      <c r="C160" t="s">
        <v>155</v>
      </c>
      <c r="D160">
        <v>2012</v>
      </c>
      <c r="E160">
        <v>8134</v>
      </c>
      <c r="F160">
        <v>8093</v>
      </c>
      <c r="G160">
        <v>41</v>
      </c>
      <c r="H160">
        <v>2.62</v>
      </c>
      <c r="I160">
        <v>3842</v>
      </c>
      <c r="J160">
        <v>3089</v>
      </c>
      <c r="K160">
        <v>753</v>
      </c>
      <c r="L160">
        <v>19.600000000000001</v>
      </c>
      <c r="M160">
        <v>2.1064549709999998</v>
      </c>
      <c r="N160">
        <f>E160/_xlfn.XLOOKUP(C160,Lookups!$A$2:$A$66,Lookups!$C$2:$C$66)</f>
        <v>6.3043511959200753</v>
      </c>
    </row>
    <row r="161" spans="1:27" x14ac:dyDescent="0.2">
      <c r="A161">
        <v>21</v>
      </c>
      <c r="B161">
        <v>8</v>
      </c>
      <c r="C161" t="s">
        <v>155</v>
      </c>
      <c r="D161">
        <v>2013</v>
      </c>
      <c r="E161">
        <v>8067</v>
      </c>
      <c r="F161">
        <v>8023</v>
      </c>
      <c r="G161">
        <v>44</v>
      </c>
      <c r="H161">
        <v>2.61</v>
      </c>
      <c r="I161">
        <v>3856</v>
      </c>
      <c r="J161">
        <v>3072</v>
      </c>
      <c r="K161">
        <v>784</v>
      </c>
      <c r="L161">
        <v>20.34</v>
      </c>
      <c r="M161">
        <v>2.0806535269999999</v>
      </c>
      <c r="N161">
        <f>E161/_xlfn.XLOOKUP(C161,Lookups!$A$2:$A$66,Lookups!$C$2:$C$66)</f>
        <v>6.2524220675543702</v>
      </c>
    </row>
    <row r="162" spans="1:27" x14ac:dyDescent="0.2">
      <c r="A162">
        <v>21</v>
      </c>
      <c r="B162">
        <v>8</v>
      </c>
      <c r="C162" t="s">
        <v>155</v>
      </c>
      <c r="D162">
        <v>2014</v>
      </c>
      <c r="E162">
        <v>7997</v>
      </c>
      <c r="F162">
        <v>7950</v>
      </c>
      <c r="G162">
        <v>47</v>
      </c>
      <c r="H162">
        <v>2.6</v>
      </c>
      <c r="I162">
        <v>3871</v>
      </c>
      <c r="J162">
        <v>3053</v>
      </c>
      <c r="K162">
        <v>818</v>
      </c>
      <c r="L162">
        <v>21.12</v>
      </c>
      <c r="M162">
        <v>2.0537328860000001</v>
      </c>
      <c r="N162">
        <f>E162/_xlfn.XLOOKUP(C162,Lookups!$A$2:$A$66,Lookups!$C$2:$C$66)</f>
        <v>6.1981677543364695</v>
      </c>
    </row>
    <row r="163" spans="1:27" x14ac:dyDescent="0.2">
      <c r="A163">
        <v>21</v>
      </c>
      <c r="B163">
        <v>8</v>
      </c>
      <c r="C163" t="s">
        <v>155</v>
      </c>
      <c r="D163">
        <v>2015</v>
      </c>
      <c r="E163">
        <v>7930</v>
      </c>
      <c r="F163">
        <v>7881</v>
      </c>
      <c r="G163">
        <v>50</v>
      </c>
      <c r="H163">
        <v>2.6</v>
      </c>
      <c r="I163">
        <v>3885</v>
      </c>
      <c r="J163">
        <v>3036</v>
      </c>
      <c r="K163">
        <v>849</v>
      </c>
      <c r="L163">
        <v>21.85</v>
      </c>
      <c r="M163">
        <v>2.0285714289999999</v>
      </c>
      <c r="N163">
        <f>E163/_xlfn.XLOOKUP(C163,Lookups!$A$2:$A$66,Lookups!$C$2:$C$66)</f>
        <v>6.1462386259707644</v>
      </c>
    </row>
    <row r="164" spans="1:27" x14ac:dyDescent="0.2">
      <c r="A164">
        <v>21</v>
      </c>
      <c r="B164">
        <v>8</v>
      </c>
      <c r="C164" t="s">
        <v>155</v>
      </c>
      <c r="D164">
        <v>2016</v>
      </c>
      <c r="E164">
        <v>7842</v>
      </c>
      <c r="F164">
        <v>7790</v>
      </c>
      <c r="G164">
        <v>52</v>
      </c>
      <c r="H164">
        <v>2.59</v>
      </c>
      <c r="I164">
        <v>3906</v>
      </c>
      <c r="J164">
        <v>3011</v>
      </c>
      <c r="K164">
        <v>895</v>
      </c>
      <c r="L164">
        <v>22.92</v>
      </c>
      <c r="M164">
        <v>1.9943676400000001</v>
      </c>
      <c r="N164">
        <f>E164/_xlfn.XLOOKUP(C164,Lookups!$A$2:$A$66,Lookups!$C$2:$C$66)</f>
        <v>6.0780332036396896</v>
      </c>
    </row>
    <row r="165" spans="1:27" x14ac:dyDescent="0.2">
      <c r="A165">
        <v>21</v>
      </c>
      <c r="B165">
        <v>8</v>
      </c>
      <c r="C165" t="s">
        <v>155</v>
      </c>
      <c r="D165">
        <v>2017</v>
      </c>
      <c r="E165">
        <v>7757</v>
      </c>
      <c r="F165">
        <v>7702</v>
      </c>
      <c r="G165">
        <v>55</v>
      </c>
      <c r="H165">
        <v>2.58</v>
      </c>
      <c r="I165">
        <v>3926</v>
      </c>
      <c r="J165">
        <v>2986</v>
      </c>
      <c r="K165">
        <v>940</v>
      </c>
      <c r="L165">
        <v>23.94</v>
      </c>
      <c r="M165">
        <v>1.9617931740000001</v>
      </c>
      <c r="N165">
        <f>E165/_xlfn.XLOOKUP(C165,Lookups!$A$2:$A$66,Lookups!$C$2:$C$66)</f>
        <v>6.0121529661608095</v>
      </c>
    </row>
    <row r="166" spans="1:27" x14ac:dyDescent="0.2">
      <c r="A166">
        <v>21</v>
      </c>
      <c r="B166">
        <v>8</v>
      </c>
      <c r="C166" t="s">
        <v>155</v>
      </c>
      <c r="D166">
        <v>2018</v>
      </c>
      <c r="E166">
        <v>7660</v>
      </c>
      <c r="F166">
        <v>7602</v>
      </c>
      <c r="G166">
        <v>58</v>
      </c>
      <c r="H166">
        <v>2.57</v>
      </c>
      <c r="I166">
        <v>3950</v>
      </c>
      <c r="J166">
        <v>2957</v>
      </c>
      <c r="K166">
        <v>993</v>
      </c>
      <c r="L166">
        <v>25.15</v>
      </c>
      <c r="M166">
        <v>1.924556962</v>
      </c>
      <c r="N166">
        <f>E166/_xlfn.XLOOKUP(C166,Lookups!$A$2:$A$66,Lookups!$C$2:$C$66)</f>
        <v>5.9369719892731467</v>
      </c>
    </row>
    <row r="167" spans="1:27" x14ac:dyDescent="0.2">
      <c r="A167">
        <v>21</v>
      </c>
      <c r="B167">
        <v>8</v>
      </c>
      <c r="C167" t="s">
        <v>155</v>
      </c>
      <c r="D167">
        <v>2019</v>
      </c>
      <c r="E167">
        <v>7551</v>
      </c>
      <c r="F167">
        <v>7490</v>
      </c>
      <c r="G167">
        <v>60</v>
      </c>
      <c r="H167">
        <v>2.56</v>
      </c>
      <c r="I167">
        <v>3978</v>
      </c>
      <c r="J167">
        <v>2922</v>
      </c>
      <c r="K167">
        <v>1056</v>
      </c>
      <c r="L167">
        <v>26.53</v>
      </c>
      <c r="M167">
        <v>1.882855706</v>
      </c>
      <c r="N167">
        <f>E167/_xlfn.XLOOKUP(C167,Lookups!$A$2:$A$66,Lookups!$C$2:$C$66)</f>
        <v>5.8524902729767012</v>
      </c>
    </row>
    <row r="168" spans="1:27" x14ac:dyDescent="0.2">
      <c r="A168">
        <v>21</v>
      </c>
      <c r="B168">
        <v>8</v>
      </c>
      <c r="C168" t="s">
        <v>155</v>
      </c>
      <c r="D168">
        <v>2020</v>
      </c>
      <c r="E168">
        <v>7454</v>
      </c>
      <c r="F168">
        <v>7395</v>
      </c>
      <c r="G168">
        <v>59</v>
      </c>
      <c r="I168">
        <v>4009</v>
      </c>
      <c r="M168">
        <v>1.844599651</v>
      </c>
      <c r="N168">
        <f>E168/_xlfn.XLOOKUP(C168,Lookups!$A$2:$A$66,Lookups!$C$2:$C$66)</f>
        <v>5.7773092960890393</v>
      </c>
      <c r="O168">
        <v>7454</v>
      </c>
      <c r="P168">
        <v>88</v>
      </c>
      <c r="Q168">
        <v>-12</v>
      </c>
      <c r="R168">
        <v>-85</v>
      </c>
      <c r="S168">
        <v>100</v>
      </c>
      <c r="T168">
        <v>4009</v>
      </c>
      <c r="W168">
        <v>7395</v>
      </c>
      <c r="X168">
        <v>36</v>
      </c>
      <c r="AA168">
        <v>1.844599651</v>
      </c>
    </row>
    <row r="169" spans="1:27" x14ac:dyDescent="0.2">
      <c r="A169">
        <v>21</v>
      </c>
      <c r="B169">
        <v>8</v>
      </c>
      <c r="C169" t="s">
        <v>155</v>
      </c>
      <c r="D169">
        <v>2021</v>
      </c>
      <c r="E169">
        <v>7586</v>
      </c>
      <c r="F169">
        <v>7535</v>
      </c>
      <c r="G169">
        <v>51</v>
      </c>
      <c r="I169">
        <v>4062</v>
      </c>
      <c r="M169">
        <v>1.8549975379999999</v>
      </c>
      <c r="N169">
        <f>E169/_xlfn.XLOOKUP(C169,Lookups!$A$2:$A$66,Lookups!$C$2:$C$66)</f>
        <v>5.879617429585652</v>
      </c>
      <c r="O169">
        <v>7586</v>
      </c>
      <c r="P169">
        <v>97</v>
      </c>
      <c r="Q169">
        <v>-5</v>
      </c>
      <c r="R169">
        <v>137</v>
      </c>
      <c r="S169">
        <v>102</v>
      </c>
      <c r="T169">
        <v>4062</v>
      </c>
      <c r="W169">
        <v>7535</v>
      </c>
      <c r="X169">
        <v>45</v>
      </c>
      <c r="AA169">
        <v>1.8549975379999999</v>
      </c>
    </row>
    <row r="170" spans="1:27" x14ac:dyDescent="0.2">
      <c r="A170">
        <v>21</v>
      </c>
      <c r="B170">
        <v>8</v>
      </c>
      <c r="C170" t="s">
        <v>155</v>
      </c>
      <c r="D170">
        <v>2022</v>
      </c>
      <c r="E170">
        <v>7572</v>
      </c>
      <c r="F170">
        <v>7524</v>
      </c>
      <c r="G170">
        <v>48</v>
      </c>
      <c r="I170">
        <v>4119</v>
      </c>
      <c r="M170">
        <v>1.8266569560000001</v>
      </c>
      <c r="N170">
        <f>E170/_xlfn.XLOOKUP(C170,Lookups!$A$2:$A$66,Lookups!$C$2:$C$66)</f>
        <v>5.8687665669420719</v>
      </c>
      <c r="O170">
        <v>7572</v>
      </c>
      <c r="P170">
        <v>105</v>
      </c>
      <c r="Q170">
        <v>-34</v>
      </c>
      <c r="R170">
        <v>20</v>
      </c>
      <c r="S170">
        <v>139</v>
      </c>
      <c r="T170">
        <v>4119</v>
      </c>
      <c r="W170">
        <v>7524</v>
      </c>
      <c r="X170">
        <v>40</v>
      </c>
      <c r="AA170">
        <v>1.8266569560000001</v>
      </c>
    </row>
    <row r="171" spans="1:27" x14ac:dyDescent="0.2">
      <c r="A171">
        <v>23</v>
      </c>
      <c r="B171">
        <v>8</v>
      </c>
      <c r="C171" t="s">
        <v>156</v>
      </c>
      <c r="D171">
        <v>2010</v>
      </c>
      <c r="E171">
        <v>3532</v>
      </c>
      <c r="F171">
        <v>3532</v>
      </c>
      <c r="G171">
        <v>0</v>
      </c>
      <c r="H171">
        <v>2.68</v>
      </c>
      <c r="I171">
        <v>2241</v>
      </c>
      <c r="J171">
        <v>1317</v>
      </c>
      <c r="K171">
        <v>924</v>
      </c>
      <c r="L171">
        <v>41.23</v>
      </c>
      <c r="M171">
        <v>1.5760821060000001</v>
      </c>
      <c r="N171">
        <f>E171/_xlfn.XLOOKUP(C171,Lookups!$A$2:$A$66,Lookups!$C$2:$C$66)</f>
        <v>2.8729928907254059</v>
      </c>
    </row>
    <row r="172" spans="1:27" x14ac:dyDescent="0.2">
      <c r="A172">
        <v>23</v>
      </c>
      <c r="B172">
        <v>8</v>
      </c>
      <c r="C172" t="s">
        <v>156</v>
      </c>
      <c r="D172">
        <v>2011</v>
      </c>
      <c r="E172">
        <v>3518</v>
      </c>
      <c r="F172">
        <v>3518</v>
      </c>
      <c r="G172">
        <v>0</v>
      </c>
      <c r="H172">
        <v>2.27</v>
      </c>
      <c r="I172">
        <v>2301</v>
      </c>
      <c r="J172">
        <v>1553</v>
      </c>
      <c r="K172">
        <v>748</v>
      </c>
      <c r="L172">
        <v>32.5</v>
      </c>
      <c r="M172">
        <v>1.528900478</v>
      </c>
      <c r="N172">
        <f>E172/_xlfn.XLOOKUP(C172,Lookups!$A$2:$A$66,Lookups!$C$2:$C$66)</f>
        <v>2.861605036685158</v>
      </c>
    </row>
    <row r="173" spans="1:27" x14ac:dyDescent="0.2">
      <c r="A173">
        <v>23</v>
      </c>
      <c r="B173">
        <v>8</v>
      </c>
      <c r="C173" t="s">
        <v>156</v>
      </c>
      <c r="D173">
        <v>2012</v>
      </c>
      <c r="E173">
        <v>3517</v>
      </c>
      <c r="F173">
        <v>3517</v>
      </c>
      <c r="G173">
        <v>0</v>
      </c>
      <c r="H173">
        <v>2.2599999999999998</v>
      </c>
      <c r="I173">
        <v>2305</v>
      </c>
      <c r="J173">
        <v>1558</v>
      </c>
      <c r="K173">
        <v>747</v>
      </c>
      <c r="L173">
        <v>32.39</v>
      </c>
      <c r="M173">
        <v>1.5258134489999999</v>
      </c>
      <c r="N173">
        <f>E173/_xlfn.XLOOKUP(C173,Lookups!$A$2:$A$66,Lookups!$C$2:$C$66)</f>
        <v>2.8607916185394262</v>
      </c>
    </row>
    <row r="174" spans="1:27" x14ac:dyDescent="0.2">
      <c r="A174">
        <v>23</v>
      </c>
      <c r="B174">
        <v>8</v>
      </c>
      <c r="C174" t="s">
        <v>156</v>
      </c>
      <c r="D174">
        <v>2013</v>
      </c>
      <c r="E174">
        <v>3516</v>
      </c>
      <c r="F174">
        <v>3516</v>
      </c>
      <c r="G174">
        <v>0</v>
      </c>
      <c r="H174">
        <v>2.25</v>
      </c>
      <c r="I174">
        <v>2310</v>
      </c>
      <c r="J174">
        <v>1563</v>
      </c>
      <c r="K174">
        <v>747</v>
      </c>
      <c r="L174">
        <v>32.32</v>
      </c>
      <c r="M174">
        <v>1.522077922</v>
      </c>
      <c r="N174">
        <f>E174/_xlfn.XLOOKUP(C174,Lookups!$A$2:$A$66,Lookups!$C$2:$C$66)</f>
        <v>2.859978200393694</v>
      </c>
    </row>
    <row r="175" spans="1:27" x14ac:dyDescent="0.2">
      <c r="A175">
        <v>23</v>
      </c>
      <c r="B175">
        <v>8</v>
      </c>
      <c r="C175" t="s">
        <v>156</v>
      </c>
      <c r="D175">
        <v>2014</v>
      </c>
      <c r="E175">
        <v>3516</v>
      </c>
      <c r="F175">
        <v>3516</v>
      </c>
      <c r="G175">
        <v>0</v>
      </c>
      <c r="H175">
        <v>2.2400000000000002</v>
      </c>
      <c r="I175">
        <v>2310</v>
      </c>
      <c r="J175">
        <v>1569</v>
      </c>
      <c r="K175">
        <v>741</v>
      </c>
      <c r="L175">
        <v>32.08</v>
      </c>
      <c r="M175">
        <v>1.522077922</v>
      </c>
      <c r="N175">
        <f>E175/_xlfn.XLOOKUP(C175,Lookups!$A$2:$A$66,Lookups!$C$2:$C$66)</f>
        <v>2.859978200393694</v>
      </c>
    </row>
    <row r="176" spans="1:27" x14ac:dyDescent="0.2">
      <c r="A176">
        <v>23</v>
      </c>
      <c r="B176">
        <v>8</v>
      </c>
      <c r="C176" t="s">
        <v>156</v>
      </c>
      <c r="D176">
        <v>2015</v>
      </c>
      <c r="E176">
        <v>3516</v>
      </c>
      <c r="F176">
        <v>3516</v>
      </c>
      <c r="G176">
        <v>0</v>
      </c>
      <c r="H176">
        <v>2.23</v>
      </c>
      <c r="I176">
        <v>2310</v>
      </c>
      <c r="J176">
        <v>1575</v>
      </c>
      <c r="K176">
        <v>735</v>
      </c>
      <c r="L176">
        <v>31.84</v>
      </c>
      <c r="M176">
        <v>1.522077922</v>
      </c>
      <c r="N176">
        <f>E176/_xlfn.XLOOKUP(C176,Lookups!$A$2:$A$66,Lookups!$C$2:$C$66)</f>
        <v>2.859978200393694</v>
      </c>
    </row>
    <row r="177" spans="1:27" x14ac:dyDescent="0.2">
      <c r="A177">
        <v>23</v>
      </c>
      <c r="B177">
        <v>8</v>
      </c>
      <c r="C177" t="s">
        <v>156</v>
      </c>
      <c r="D177">
        <v>2016</v>
      </c>
      <c r="E177">
        <v>3516</v>
      </c>
      <c r="F177">
        <v>3516</v>
      </c>
      <c r="G177">
        <v>0</v>
      </c>
      <c r="H177">
        <v>2.23</v>
      </c>
      <c r="I177">
        <v>2310</v>
      </c>
      <c r="J177">
        <v>1580</v>
      </c>
      <c r="K177">
        <v>730</v>
      </c>
      <c r="L177">
        <v>31.59</v>
      </c>
      <c r="M177">
        <v>1.522077922</v>
      </c>
      <c r="N177">
        <f>E177/_xlfn.XLOOKUP(C177,Lookups!$A$2:$A$66,Lookups!$C$2:$C$66)</f>
        <v>2.859978200393694</v>
      </c>
    </row>
    <row r="178" spans="1:27" x14ac:dyDescent="0.2">
      <c r="A178">
        <v>23</v>
      </c>
      <c r="B178">
        <v>8</v>
      </c>
      <c r="C178" t="s">
        <v>156</v>
      </c>
      <c r="D178">
        <v>2017</v>
      </c>
      <c r="E178">
        <v>3516</v>
      </c>
      <c r="F178">
        <v>3516</v>
      </c>
      <c r="G178">
        <v>0</v>
      </c>
      <c r="H178">
        <v>2.2200000000000002</v>
      </c>
      <c r="I178">
        <v>2311</v>
      </c>
      <c r="J178">
        <v>1586</v>
      </c>
      <c r="K178">
        <v>725</v>
      </c>
      <c r="L178">
        <v>31.38</v>
      </c>
      <c r="M178">
        <v>1.5214192989999999</v>
      </c>
      <c r="N178">
        <f>E178/_xlfn.XLOOKUP(C178,Lookups!$A$2:$A$66,Lookups!$C$2:$C$66)</f>
        <v>2.859978200393694</v>
      </c>
    </row>
    <row r="179" spans="1:27" x14ac:dyDescent="0.2">
      <c r="A179">
        <v>23</v>
      </c>
      <c r="B179">
        <v>8</v>
      </c>
      <c r="C179" t="s">
        <v>156</v>
      </c>
      <c r="D179">
        <v>2018</v>
      </c>
      <c r="E179">
        <v>3515</v>
      </c>
      <c r="F179">
        <v>3515</v>
      </c>
      <c r="G179">
        <v>0</v>
      </c>
      <c r="H179">
        <v>2.21</v>
      </c>
      <c r="I179">
        <v>2313</v>
      </c>
      <c r="J179">
        <v>1591</v>
      </c>
      <c r="K179">
        <v>722</v>
      </c>
      <c r="L179">
        <v>31.2</v>
      </c>
      <c r="M179">
        <v>1.519671422</v>
      </c>
      <c r="N179">
        <f>E179/_xlfn.XLOOKUP(C179,Lookups!$A$2:$A$66,Lookups!$C$2:$C$66)</f>
        <v>2.8591647822479622</v>
      </c>
    </row>
    <row r="180" spans="1:27" x14ac:dyDescent="0.2">
      <c r="A180">
        <v>23</v>
      </c>
      <c r="B180">
        <v>8</v>
      </c>
      <c r="C180" t="s">
        <v>156</v>
      </c>
      <c r="D180">
        <v>2019</v>
      </c>
      <c r="E180">
        <v>3501</v>
      </c>
      <c r="F180">
        <v>3501</v>
      </c>
      <c r="G180">
        <v>0</v>
      </c>
      <c r="H180">
        <v>2.2000000000000002</v>
      </c>
      <c r="I180">
        <v>2374</v>
      </c>
      <c r="J180">
        <v>1591</v>
      </c>
      <c r="K180">
        <v>783</v>
      </c>
      <c r="L180">
        <v>33</v>
      </c>
      <c r="M180">
        <v>1.474726201</v>
      </c>
      <c r="N180">
        <f>E180/_xlfn.XLOOKUP(C180,Lookups!$A$2:$A$66,Lookups!$C$2:$C$66)</f>
        <v>2.8477769282077143</v>
      </c>
    </row>
    <row r="181" spans="1:27" x14ac:dyDescent="0.2">
      <c r="A181">
        <v>23</v>
      </c>
      <c r="B181">
        <v>8</v>
      </c>
      <c r="C181" t="s">
        <v>156</v>
      </c>
      <c r="D181">
        <v>2020</v>
      </c>
      <c r="E181">
        <v>3503</v>
      </c>
      <c r="F181">
        <v>3491</v>
      </c>
      <c r="G181">
        <v>12</v>
      </c>
      <c r="I181">
        <v>2424</v>
      </c>
      <c r="M181">
        <v>1.4401815179999999</v>
      </c>
      <c r="N181">
        <f>E181/_xlfn.XLOOKUP(C181,Lookups!$A$2:$A$66,Lookups!$C$2:$C$66)</f>
        <v>2.8494037644991783</v>
      </c>
      <c r="O181">
        <v>3503</v>
      </c>
      <c r="P181">
        <v>28</v>
      </c>
      <c r="Q181">
        <v>-10</v>
      </c>
      <c r="R181">
        <v>12</v>
      </c>
      <c r="S181">
        <v>38</v>
      </c>
      <c r="T181">
        <v>2424</v>
      </c>
      <c r="W181">
        <v>3491</v>
      </c>
      <c r="X181">
        <v>0</v>
      </c>
      <c r="AA181">
        <v>1.4401815179999999</v>
      </c>
    </row>
    <row r="182" spans="1:27" x14ac:dyDescent="0.2">
      <c r="A182">
        <v>23</v>
      </c>
      <c r="B182">
        <v>8</v>
      </c>
      <c r="C182" t="s">
        <v>156</v>
      </c>
      <c r="D182">
        <v>2021</v>
      </c>
      <c r="E182">
        <v>3617</v>
      </c>
      <c r="F182">
        <v>3605</v>
      </c>
      <c r="G182">
        <v>12</v>
      </c>
      <c r="I182">
        <v>2424</v>
      </c>
      <c r="M182">
        <v>1.4872112209999999</v>
      </c>
      <c r="N182">
        <f>E182/_xlfn.XLOOKUP(C182,Lookups!$A$2:$A$66,Lookups!$C$2:$C$66)</f>
        <v>2.9421334331126254</v>
      </c>
      <c r="O182">
        <v>3617</v>
      </c>
      <c r="P182">
        <v>41</v>
      </c>
      <c r="Q182">
        <v>1</v>
      </c>
      <c r="R182">
        <v>113</v>
      </c>
      <c r="S182">
        <v>40</v>
      </c>
      <c r="T182">
        <v>2424</v>
      </c>
      <c r="W182">
        <v>3605</v>
      </c>
      <c r="X182">
        <v>0</v>
      </c>
      <c r="AA182">
        <v>1.4872112209999999</v>
      </c>
    </row>
    <row r="183" spans="1:27" x14ac:dyDescent="0.2">
      <c r="A183">
        <v>23</v>
      </c>
      <c r="B183">
        <v>8</v>
      </c>
      <c r="C183" t="s">
        <v>156</v>
      </c>
      <c r="D183">
        <v>2022</v>
      </c>
      <c r="E183">
        <v>3614</v>
      </c>
      <c r="F183">
        <v>3602</v>
      </c>
      <c r="G183">
        <v>12</v>
      </c>
      <c r="I183">
        <v>2424</v>
      </c>
      <c r="M183">
        <v>1.4859735970000001</v>
      </c>
      <c r="N183">
        <f>E183/_xlfn.XLOOKUP(C183,Lookups!$A$2:$A$66,Lookups!$C$2:$C$66)</f>
        <v>2.9396931786754297</v>
      </c>
      <c r="O183">
        <v>3614</v>
      </c>
      <c r="P183">
        <v>28</v>
      </c>
      <c r="Q183">
        <v>-30</v>
      </c>
      <c r="R183">
        <v>27</v>
      </c>
      <c r="S183">
        <v>58</v>
      </c>
      <c r="T183">
        <v>2424</v>
      </c>
      <c r="W183">
        <v>3602</v>
      </c>
      <c r="X183">
        <v>0</v>
      </c>
      <c r="AA183">
        <v>1.4859735970000001</v>
      </c>
    </row>
    <row r="184" spans="1:27" x14ac:dyDescent="0.2">
      <c r="A184">
        <v>25</v>
      </c>
      <c r="B184">
        <v>6</v>
      </c>
      <c r="C184" t="s">
        <v>157</v>
      </c>
      <c r="D184">
        <v>2010</v>
      </c>
      <c r="E184">
        <v>5838</v>
      </c>
      <c r="F184">
        <v>3156</v>
      </c>
      <c r="G184">
        <v>2682</v>
      </c>
      <c r="H184">
        <v>2.54</v>
      </c>
      <c r="I184">
        <v>1479</v>
      </c>
      <c r="J184">
        <v>1244</v>
      </c>
      <c r="K184">
        <v>235</v>
      </c>
      <c r="L184">
        <v>15.89</v>
      </c>
      <c r="M184">
        <v>2.1338742389999998</v>
      </c>
      <c r="N184">
        <f>E184/_xlfn.XLOOKUP(C184,Lookups!$A$2:$A$66,Lookups!$C$2:$C$66)</f>
        <v>7.2950379247004138</v>
      </c>
    </row>
    <row r="185" spans="1:27" x14ac:dyDescent="0.2">
      <c r="A185">
        <v>25</v>
      </c>
      <c r="B185">
        <v>6</v>
      </c>
      <c r="C185" t="s">
        <v>157</v>
      </c>
      <c r="D185">
        <v>2011</v>
      </c>
      <c r="E185">
        <v>5837</v>
      </c>
      <c r="F185">
        <v>3139</v>
      </c>
      <c r="G185">
        <v>2698</v>
      </c>
      <c r="H185">
        <v>2.4</v>
      </c>
      <c r="I185">
        <v>1483</v>
      </c>
      <c r="J185">
        <v>1309</v>
      </c>
      <c r="K185">
        <v>174</v>
      </c>
      <c r="L185">
        <v>11.72</v>
      </c>
      <c r="M185">
        <v>2.1166554280000001</v>
      </c>
      <c r="N185">
        <f>E185/_xlfn.XLOOKUP(C185,Lookups!$A$2:$A$66,Lookups!$C$2:$C$66)</f>
        <v>7.2937883464330788</v>
      </c>
    </row>
    <row r="186" spans="1:27" x14ac:dyDescent="0.2">
      <c r="A186">
        <v>25</v>
      </c>
      <c r="B186">
        <v>6</v>
      </c>
      <c r="C186" t="s">
        <v>157</v>
      </c>
      <c r="D186">
        <v>2012</v>
      </c>
      <c r="E186">
        <v>5839</v>
      </c>
      <c r="F186">
        <v>3125</v>
      </c>
      <c r="G186">
        <v>2714</v>
      </c>
      <c r="H186">
        <v>2.39</v>
      </c>
      <c r="I186">
        <v>1485</v>
      </c>
      <c r="J186">
        <v>1308</v>
      </c>
      <c r="K186">
        <v>177</v>
      </c>
      <c r="L186">
        <v>11.91</v>
      </c>
      <c r="M186">
        <v>2.1043771040000001</v>
      </c>
      <c r="N186">
        <f>E186/_xlfn.XLOOKUP(C186,Lookups!$A$2:$A$66,Lookups!$C$2:$C$66)</f>
        <v>7.2962875029677488</v>
      </c>
    </row>
    <row r="187" spans="1:27" x14ac:dyDescent="0.2">
      <c r="A187">
        <v>25</v>
      </c>
      <c r="B187">
        <v>6</v>
      </c>
      <c r="C187" t="s">
        <v>157</v>
      </c>
      <c r="D187">
        <v>2013</v>
      </c>
      <c r="E187">
        <v>5843</v>
      </c>
      <c r="F187">
        <v>3112</v>
      </c>
      <c r="G187">
        <v>2730</v>
      </c>
      <c r="H187">
        <v>2.38</v>
      </c>
      <c r="I187">
        <v>1485</v>
      </c>
      <c r="J187">
        <v>1308</v>
      </c>
      <c r="K187">
        <v>177</v>
      </c>
      <c r="L187">
        <v>11.91</v>
      </c>
      <c r="M187">
        <v>2.0956228960000001</v>
      </c>
      <c r="N187">
        <f>E187/_xlfn.XLOOKUP(C187,Lookups!$A$2:$A$66,Lookups!$C$2:$C$66)</f>
        <v>7.3012858160370877</v>
      </c>
    </row>
    <row r="188" spans="1:27" x14ac:dyDescent="0.2">
      <c r="A188">
        <v>25</v>
      </c>
      <c r="B188">
        <v>6</v>
      </c>
      <c r="C188" t="s">
        <v>157</v>
      </c>
      <c r="D188">
        <v>2014</v>
      </c>
      <c r="E188">
        <v>5843</v>
      </c>
      <c r="F188">
        <v>3097</v>
      </c>
      <c r="G188">
        <v>2746</v>
      </c>
      <c r="H188">
        <v>2.37</v>
      </c>
      <c r="I188">
        <v>1488</v>
      </c>
      <c r="J188">
        <v>1307</v>
      </c>
      <c r="K188">
        <v>181</v>
      </c>
      <c r="L188">
        <v>12.18</v>
      </c>
      <c r="M188">
        <v>2.0813172039999999</v>
      </c>
      <c r="N188">
        <f>E188/_xlfn.XLOOKUP(C188,Lookups!$A$2:$A$66,Lookups!$C$2:$C$66)</f>
        <v>7.3012858160370877</v>
      </c>
    </row>
    <row r="189" spans="1:27" x14ac:dyDescent="0.2">
      <c r="A189">
        <v>25</v>
      </c>
      <c r="B189">
        <v>6</v>
      </c>
      <c r="C189" t="s">
        <v>157</v>
      </c>
      <c r="D189">
        <v>2015</v>
      </c>
      <c r="E189">
        <v>5839</v>
      </c>
      <c r="F189">
        <v>3077</v>
      </c>
      <c r="G189">
        <v>2762</v>
      </c>
      <c r="H189">
        <v>2.36</v>
      </c>
      <c r="I189">
        <v>1495</v>
      </c>
      <c r="J189">
        <v>1304</v>
      </c>
      <c r="K189">
        <v>191</v>
      </c>
      <c r="L189">
        <v>12.81</v>
      </c>
      <c r="M189">
        <v>2.05819398</v>
      </c>
      <c r="N189">
        <f>E189/_xlfn.XLOOKUP(C189,Lookups!$A$2:$A$66,Lookups!$C$2:$C$66)</f>
        <v>7.2962875029677488</v>
      </c>
    </row>
    <row r="190" spans="1:27" x14ac:dyDescent="0.2">
      <c r="A190">
        <v>25</v>
      </c>
      <c r="B190">
        <v>6</v>
      </c>
      <c r="C190" t="s">
        <v>157</v>
      </c>
      <c r="D190">
        <v>2016</v>
      </c>
      <c r="E190">
        <v>5837</v>
      </c>
      <c r="F190">
        <v>3059</v>
      </c>
      <c r="G190">
        <v>2779</v>
      </c>
      <c r="H190">
        <v>2.35</v>
      </c>
      <c r="I190">
        <v>1500</v>
      </c>
      <c r="J190">
        <v>1301</v>
      </c>
      <c r="K190">
        <v>199</v>
      </c>
      <c r="L190">
        <v>13.25</v>
      </c>
      <c r="M190">
        <v>2.0393333330000001</v>
      </c>
      <c r="N190">
        <f>E190/_xlfn.XLOOKUP(C190,Lookups!$A$2:$A$66,Lookups!$C$2:$C$66)</f>
        <v>7.2937883464330788</v>
      </c>
    </row>
    <row r="191" spans="1:27" x14ac:dyDescent="0.2">
      <c r="A191">
        <v>25</v>
      </c>
      <c r="B191">
        <v>6</v>
      </c>
      <c r="C191" t="s">
        <v>157</v>
      </c>
      <c r="D191">
        <v>2017</v>
      </c>
      <c r="E191">
        <v>5837</v>
      </c>
      <c r="F191">
        <v>3042</v>
      </c>
      <c r="G191">
        <v>2795</v>
      </c>
      <c r="H191">
        <v>2.34</v>
      </c>
      <c r="I191">
        <v>1504</v>
      </c>
      <c r="J191">
        <v>1299</v>
      </c>
      <c r="K191">
        <v>205</v>
      </c>
      <c r="L191">
        <v>13.61</v>
      </c>
      <c r="M191">
        <v>2.0226063829999998</v>
      </c>
      <c r="N191">
        <f>E191/_xlfn.XLOOKUP(C191,Lookups!$A$2:$A$66,Lookups!$C$2:$C$66)</f>
        <v>7.2937883464330788</v>
      </c>
    </row>
    <row r="192" spans="1:27" x14ac:dyDescent="0.2">
      <c r="A192">
        <v>25</v>
      </c>
      <c r="B192">
        <v>6</v>
      </c>
      <c r="C192" t="s">
        <v>157</v>
      </c>
      <c r="D192">
        <v>2018</v>
      </c>
      <c r="E192">
        <v>5837</v>
      </c>
      <c r="F192">
        <v>3027</v>
      </c>
      <c r="G192">
        <v>2811</v>
      </c>
      <c r="H192">
        <v>2.33</v>
      </c>
      <c r="I192">
        <v>1507</v>
      </c>
      <c r="J192">
        <v>1298</v>
      </c>
      <c r="K192">
        <v>209</v>
      </c>
      <c r="L192">
        <v>13.87</v>
      </c>
      <c r="M192">
        <v>2.0086264100000002</v>
      </c>
      <c r="N192">
        <f>E192/_xlfn.XLOOKUP(C192,Lookups!$A$2:$A$66,Lookups!$C$2:$C$66)</f>
        <v>7.2937883464330788</v>
      </c>
    </row>
    <row r="193" spans="1:27" x14ac:dyDescent="0.2">
      <c r="A193">
        <v>25</v>
      </c>
      <c r="B193">
        <v>6</v>
      </c>
      <c r="C193" t="s">
        <v>157</v>
      </c>
      <c r="D193">
        <v>2019</v>
      </c>
      <c r="E193">
        <v>5840</v>
      </c>
      <c r="F193">
        <v>3013</v>
      </c>
      <c r="G193">
        <v>2827</v>
      </c>
      <c r="H193">
        <v>2.3199999999999998</v>
      </c>
      <c r="I193">
        <v>1508</v>
      </c>
      <c r="J193">
        <v>1297</v>
      </c>
      <c r="K193">
        <v>211</v>
      </c>
      <c r="L193">
        <v>13.96</v>
      </c>
      <c r="M193">
        <v>1.9980106099999999</v>
      </c>
      <c r="N193">
        <f>E193/_xlfn.XLOOKUP(C193,Lookups!$A$2:$A$66,Lookups!$C$2:$C$66)</f>
        <v>7.2975370812350837</v>
      </c>
    </row>
    <row r="194" spans="1:27" x14ac:dyDescent="0.2">
      <c r="A194">
        <v>25</v>
      </c>
      <c r="B194">
        <v>6</v>
      </c>
      <c r="C194" t="s">
        <v>157</v>
      </c>
      <c r="D194">
        <v>2020</v>
      </c>
      <c r="E194">
        <v>5696</v>
      </c>
      <c r="F194">
        <v>3022</v>
      </c>
      <c r="G194">
        <v>2674</v>
      </c>
      <c r="I194">
        <v>1509</v>
      </c>
      <c r="M194">
        <v>2.002650762</v>
      </c>
      <c r="N194">
        <f>E194/_xlfn.XLOOKUP(C194,Lookups!$A$2:$A$66,Lookups!$C$2:$C$66)</f>
        <v>7.117597810738876</v>
      </c>
      <c r="O194">
        <v>5696</v>
      </c>
      <c r="P194">
        <v>23</v>
      </c>
      <c r="Q194">
        <v>-34</v>
      </c>
      <c r="R194">
        <v>-110</v>
      </c>
      <c r="S194">
        <v>57</v>
      </c>
      <c r="T194">
        <v>1509</v>
      </c>
      <c r="W194">
        <v>3022</v>
      </c>
      <c r="X194">
        <v>12</v>
      </c>
      <c r="AA194">
        <v>2.002650762</v>
      </c>
    </row>
    <row r="195" spans="1:27" x14ac:dyDescent="0.2">
      <c r="A195">
        <v>25</v>
      </c>
      <c r="B195">
        <v>6</v>
      </c>
      <c r="C195" t="s">
        <v>157</v>
      </c>
      <c r="D195">
        <v>2021</v>
      </c>
      <c r="E195">
        <v>5744</v>
      </c>
      <c r="F195">
        <v>3143</v>
      </c>
      <c r="G195">
        <v>2601</v>
      </c>
      <c r="I195">
        <v>1521</v>
      </c>
      <c r="M195">
        <v>2.0664036819999998</v>
      </c>
      <c r="N195">
        <f>E195/_xlfn.XLOOKUP(C195,Lookups!$A$2:$A$66,Lookups!$C$2:$C$66)</f>
        <v>7.1775775675709452</v>
      </c>
      <c r="O195">
        <v>5744</v>
      </c>
      <c r="P195">
        <v>30</v>
      </c>
      <c r="Q195">
        <v>-36</v>
      </c>
      <c r="R195">
        <v>84</v>
      </c>
      <c r="S195">
        <v>66</v>
      </c>
      <c r="T195">
        <v>1521</v>
      </c>
      <c r="W195">
        <v>3143</v>
      </c>
      <c r="X195">
        <v>14</v>
      </c>
      <c r="AA195">
        <v>2.0664036819999998</v>
      </c>
    </row>
    <row r="196" spans="1:27" x14ac:dyDescent="0.2">
      <c r="A196">
        <v>25</v>
      </c>
      <c r="B196">
        <v>6</v>
      </c>
      <c r="C196" t="s">
        <v>157</v>
      </c>
      <c r="D196">
        <v>2022</v>
      </c>
      <c r="E196">
        <v>5620</v>
      </c>
      <c r="F196">
        <v>3116</v>
      </c>
      <c r="G196">
        <v>2504</v>
      </c>
      <c r="I196">
        <v>1535</v>
      </c>
      <c r="M196">
        <v>2.0299674269999999</v>
      </c>
      <c r="N196">
        <f>E196/_xlfn.XLOOKUP(C196,Lookups!$A$2:$A$66,Lookups!$C$2:$C$66)</f>
        <v>7.0226298624214332</v>
      </c>
      <c r="O196">
        <v>5620</v>
      </c>
      <c r="P196">
        <v>24</v>
      </c>
      <c r="Q196">
        <v>-56</v>
      </c>
      <c r="R196">
        <v>-68</v>
      </c>
      <c r="S196">
        <v>80</v>
      </c>
      <c r="T196">
        <v>1535</v>
      </c>
      <c r="W196">
        <v>3116</v>
      </c>
      <c r="X196">
        <v>45</v>
      </c>
      <c r="AA196">
        <v>2.0299674269999999</v>
      </c>
    </row>
    <row r="197" spans="1:27" x14ac:dyDescent="0.2">
      <c r="A197">
        <v>27</v>
      </c>
      <c r="B197">
        <v>13</v>
      </c>
      <c r="C197" t="s">
        <v>158</v>
      </c>
      <c r="D197">
        <v>2010</v>
      </c>
      <c r="E197">
        <v>4272</v>
      </c>
      <c r="F197">
        <v>4257</v>
      </c>
      <c r="G197">
        <v>15</v>
      </c>
      <c r="H197">
        <v>2.34</v>
      </c>
      <c r="I197">
        <v>3593</v>
      </c>
      <c r="J197">
        <v>1816</v>
      </c>
      <c r="K197">
        <v>1777</v>
      </c>
      <c r="L197">
        <v>49.46</v>
      </c>
      <c r="M197">
        <v>1.1848037849999999</v>
      </c>
      <c r="N197">
        <f>E197/_xlfn.XLOOKUP(C197,Lookups!$A$2:$A$66,Lookups!$C$2:$C$66)</f>
        <v>5.7789080677452516</v>
      </c>
    </row>
    <row r="198" spans="1:27" x14ac:dyDescent="0.2">
      <c r="A198">
        <v>27</v>
      </c>
      <c r="B198">
        <v>13</v>
      </c>
      <c r="C198" t="s">
        <v>158</v>
      </c>
      <c r="D198">
        <v>2011</v>
      </c>
      <c r="E198">
        <v>4318</v>
      </c>
      <c r="F198">
        <v>4304</v>
      </c>
      <c r="G198">
        <v>15</v>
      </c>
      <c r="H198">
        <v>2.13</v>
      </c>
      <c r="I198">
        <v>3656</v>
      </c>
      <c r="J198">
        <v>2020</v>
      </c>
      <c r="K198">
        <v>1636</v>
      </c>
      <c r="L198">
        <v>44.74</v>
      </c>
      <c r="M198">
        <v>1.1772428880000001</v>
      </c>
      <c r="N198">
        <f>E198/_xlfn.XLOOKUP(C198,Lookups!$A$2:$A$66,Lookups!$C$2:$C$66)</f>
        <v>5.8411341377631079</v>
      </c>
    </row>
    <row r="199" spans="1:27" x14ac:dyDescent="0.2">
      <c r="A199">
        <v>27</v>
      </c>
      <c r="B199">
        <v>13</v>
      </c>
      <c r="C199" t="s">
        <v>158</v>
      </c>
      <c r="D199">
        <v>2012</v>
      </c>
      <c r="E199">
        <v>4367</v>
      </c>
      <c r="F199">
        <v>4353</v>
      </c>
      <c r="G199">
        <v>14</v>
      </c>
      <c r="H199">
        <v>2.13</v>
      </c>
      <c r="I199">
        <v>3722</v>
      </c>
      <c r="J199">
        <v>2045</v>
      </c>
      <c r="K199">
        <v>1677</v>
      </c>
      <c r="L199">
        <v>45.06</v>
      </c>
      <c r="M199">
        <v>1.1695325089999999</v>
      </c>
      <c r="N199">
        <f>E199/_xlfn.XLOOKUP(C199,Lookups!$A$2:$A$66,Lookups!$C$2:$C$66)</f>
        <v>5.9074184297386507</v>
      </c>
    </row>
    <row r="200" spans="1:27" x14ac:dyDescent="0.2">
      <c r="A200">
        <v>27</v>
      </c>
      <c r="B200">
        <v>13</v>
      </c>
      <c r="C200" t="s">
        <v>158</v>
      </c>
      <c r="D200">
        <v>2013</v>
      </c>
      <c r="E200">
        <v>4405</v>
      </c>
      <c r="F200">
        <v>4391</v>
      </c>
      <c r="G200">
        <v>14</v>
      </c>
      <c r="H200">
        <v>2.13</v>
      </c>
      <c r="I200">
        <v>3775</v>
      </c>
      <c r="J200">
        <v>2065</v>
      </c>
      <c r="K200">
        <v>1710</v>
      </c>
      <c r="L200">
        <v>45.31</v>
      </c>
      <c r="M200">
        <v>1.1631788080000001</v>
      </c>
      <c r="N200">
        <f>E200/_xlfn.XLOOKUP(C200,Lookups!$A$2:$A$66,Lookups!$C$2:$C$66)</f>
        <v>5.9588225745360095</v>
      </c>
    </row>
    <row r="201" spans="1:27" x14ac:dyDescent="0.2">
      <c r="A201">
        <v>27</v>
      </c>
      <c r="B201">
        <v>13</v>
      </c>
      <c r="C201" t="s">
        <v>158</v>
      </c>
      <c r="D201">
        <v>2014</v>
      </c>
      <c r="E201">
        <v>4437</v>
      </c>
      <c r="F201">
        <v>4424</v>
      </c>
      <c r="G201">
        <v>13</v>
      </c>
      <c r="H201">
        <v>2.12</v>
      </c>
      <c r="I201">
        <v>3821</v>
      </c>
      <c r="J201">
        <v>2082</v>
      </c>
      <c r="K201">
        <v>1739</v>
      </c>
      <c r="L201">
        <v>45.52</v>
      </c>
      <c r="M201">
        <v>1.157812091</v>
      </c>
      <c r="N201">
        <f>E201/_xlfn.XLOOKUP(C201,Lookups!$A$2:$A$66,Lookups!$C$2:$C$66)</f>
        <v>6.0021102754179969</v>
      </c>
    </row>
    <row r="202" spans="1:27" x14ac:dyDescent="0.2">
      <c r="A202">
        <v>27</v>
      </c>
      <c r="B202">
        <v>13</v>
      </c>
      <c r="C202" t="s">
        <v>158</v>
      </c>
      <c r="D202">
        <v>2015</v>
      </c>
      <c r="E202">
        <v>4467</v>
      </c>
      <c r="F202">
        <v>4454</v>
      </c>
      <c r="G202">
        <v>13</v>
      </c>
      <c r="H202">
        <v>2.12</v>
      </c>
      <c r="I202">
        <v>3863</v>
      </c>
      <c r="J202">
        <v>2097</v>
      </c>
      <c r="K202">
        <v>1766</v>
      </c>
      <c r="L202">
        <v>45.71</v>
      </c>
      <c r="M202">
        <v>1.152989904</v>
      </c>
      <c r="N202">
        <f>E202/_xlfn.XLOOKUP(C202,Lookups!$A$2:$A$66,Lookups!$C$2:$C$66)</f>
        <v>6.0426924949948599</v>
      </c>
    </row>
    <row r="203" spans="1:27" x14ac:dyDescent="0.2">
      <c r="A203">
        <v>27</v>
      </c>
      <c r="B203">
        <v>13</v>
      </c>
      <c r="C203" t="s">
        <v>158</v>
      </c>
      <c r="D203">
        <v>2016</v>
      </c>
      <c r="E203">
        <v>4496</v>
      </c>
      <c r="F203">
        <v>4483</v>
      </c>
      <c r="G203">
        <v>13</v>
      </c>
      <c r="H203">
        <v>2.12</v>
      </c>
      <c r="I203">
        <v>3905</v>
      </c>
      <c r="J203">
        <v>2113</v>
      </c>
      <c r="K203">
        <v>1792</v>
      </c>
      <c r="L203">
        <v>45.89</v>
      </c>
      <c r="M203">
        <v>1.148015365</v>
      </c>
      <c r="N203">
        <f>E203/_xlfn.XLOOKUP(C203,Lookups!$A$2:$A$66,Lookups!$C$2:$C$66)</f>
        <v>6.0819219739191599</v>
      </c>
    </row>
    <row r="204" spans="1:27" x14ac:dyDescent="0.2">
      <c r="A204">
        <v>27</v>
      </c>
      <c r="B204">
        <v>13</v>
      </c>
      <c r="C204" t="s">
        <v>158</v>
      </c>
      <c r="D204">
        <v>2017</v>
      </c>
      <c r="E204">
        <v>4539</v>
      </c>
      <c r="F204">
        <v>4526</v>
      </c>
      <c r="G204">
        <v>12</v>
      </c>
      <c r="H204">
        <v>2.12</v>
      </c>
      <c r="I204">
        <v>3964</v>
      </c>
      <c r="J204">
        <v>2135</v>
      </c>
      <c r="K204">
        <v>1829</v>
      </c>
      <c r="L204">
        <v>46.14</v>
      </c>
      <c r="M204">
        <v>1.1417759839999999</v>
      </c>
      <c r="N204">
        <f>E204/_xlfn.XLOOKUP(C204,Lookups!$A$2:$A$66,Lookups!$C$2:$C$66)</f>
        <v>6.1400898219793296</v>
      </c>
    </row>
    <row r="205" spans="1:27" x14ac:dyDescent="0.2">
      <c r="A205">
        <v>27</v>
      </c>
      <c r="B205">
        <v>13</v>
      </c>
      <c r="C205" t="s">
        <v>158</v>
      </c>
      <c r="D205">
        <v>2018</v>
      </c>
      <c r="E205">
        <v>4591</v>
      </c>
      <c r="F205">
        <v>4580</v>
      </c>
      <c r="G205">
        <v>12</v>
      </c>
      <c r="H205">
        <v>2.12</v>
      </c>
      <c r="I205">
        <v>4036</v>
      </c>
      <c r="J205">
        <v>2162</v>
      </c>
      <c r="K205">
        <v>1874</v>
      </c>
      <c r="L205">
        <v>46.44</v>
      </c>
      <c r="M205">
        <v>1.1347869180000001</v>
      </c>
      <c r="N205">
        <f>E205/_xlfn.XLOOKUP(C205,Lookups!$A$2:$A$66,Lookups!$C$2:$C$66)</f>
        <v>6.2104323359125591</v>
      </c>
    </row>
    <row r="206" spans="1:27" x14ac:dyDescent="0.2">
      <c r="A206">
        <v>27</v>
      </c>
      <c r="B206">
        <v>13</v>
      </c>
      <c r="C206" t="s">
        <v>158</v>
      </c>
      <c r="D206">
        <v>2019</v>
      </c>
      <c r="E206">
        <v>4646</v>
      </c>
      <c r="F206">
        <v>4634</v>
      </c>
      <c r="G206">
        <v>11</v>
      </c>
      <c r="H206">
        <v>2.12</v>
      </c>
      <c r="I206">
        <v>4110</v>
      </c>
      <c r="J206">
        <v>2189</v>
      </c>
      <c r="K206">
        <v>1921</v>
      </c>
      <c r="L206">
        <v>46.73</v>
      </c>
      <c r="M206">
        <v>1.127493917</v>
      </c>
      <c r="N206">
        <f>E206/_xlfn.XLOOKUP(C206,Lookups!$A$2:$A$66,Lookups!$C$2:$C$66)</f>
        <v>6.2848330718034742</v>
      </c>
    </row>
    <row r="207" spans="1:27" x14ac:dyDescent="0.2">
      <c r="A207">
        <v>27</v>
      </c>
      <c r="B207">
        <v>13</v>
      </c>
      <c r="C207" t="s">
        <v>158</v>
      </c>
      <c r="D207">
        <v>2020</v>
      </c>
      <c r="E207">
        <v>4720</v>
      </c>
      <c r="F207">
        <v>4717</v>
      </c>
      <c r="G207">
        <v>3</v>
      </c>
      <c r="I207">
        <v>4198</v>
      </c>
      <c r="M207">
        <v>1.1236303000000001</v>
      </c>
      <c r="N207">
        <f>E207/_xlfn.XLOOKUP(C207,Lookups!$A$2:$A$66,Lookups!$C$2:$C$66)</f>
        <v>6.3849358800930682</v>
      </c>
      <c r="O207">
        <v>4720</v>
      </c>
      <c r="P207">
        <v>39</v>
      </c>
      <c r="Q207">
        <v>-9</v>
      </c>
      <c r="R207">
        <v>83</v>
      </c>
      <c r="S207">
        <v>48</v>
      </c>
      <c r="T207">
        <v>4198</v>
      </c>
      <c r="W207">
        <v>4717</v>
      </c>
      <c r="X207">
        <v>118</v>
      </c>
      <c r="AA207">
        <v>1.1236303000000001</v>
      </c>
    </row>
    <row r="208" spans="1:27" x14ac:dyDescent="0.2">
      <c r="A208">
        <v>27</v>
      </c>
      <c r="B208">
        <v>13</v>
      </c>
      <c r="C208" t="s">
        <v>158</v>
      </c>
      <c r="D208">
        <v>2021</v>
      </c>
      <c r="E208">
        <v>5064</v>
      </c>
      <c r="F208">
        <v>5061</v>
      </c>
      <c r="G208">
        <v>3</v>
      </c>
      <c r="I208">
        <v>4326</v>
      </c>
      <c r="M208">
        <v>1.169902913</v>
      </c>
      <c r="N208">
        <f>E208/_xlfn.XLOOKUP(C208,Lookups!$A$2:$A$66,Lookups!$C$2:$C$66)</f>
        <v>6.8502786645744278</v>
      </c>
      <c r="O208">
        <v>5064</v>
      </c>
      <c r="P208">
        <v>41</v>
      </c>
      <c r="Q208">
        <v>-18</v>
      </c>
      <c r="R208">
        <v>362</v>
      </c>
      <c r="S208">
        <v>59</v>
      </c>
      <c r="T208">
        <v>4326</v>
      </c>
      <c r="W208">
        <v>5061</v>
      </c>
      <c r="X208">
        <v>146</v>
      </c>
      <c r="AA208">
        <v>1.169902913</v>
      </c>
    </row>
    <row r="209" spans="1:27" x14ac:dyDescent="0.2">
      <c r="A209">
        <v>27</v>
      </c>
      <c r="B209">
        <v>13</v>
      </c>
      <c r="C209" t="s">
        <v>158</v>
      </c>
      <c r="D209">
        <v>2022</v>
      </c>
      <c r="E209">
        <v>5338</v>
      </c>
      <c r="F209">
        <v>5335</v>
      </c>
      <c r="G209">
        <v>3</v>
      </c>
      <c r="I209">
        <v>4470</v>
      </c>
      <c r="M209">
        <v>1.193512304</v>
      </c>
      <c r="N209">
        <f>E209/_xlfn.XLOOKUP(C209,Lookups!$A$2:$A$66,Lookups!$C$2:$C$66)</f>
        <v>7.2209296033764403</v>
      </c>
      <c r="O209">
        <v>5338</v>
      </c>
      <c r="P209">
        <v>44</v>
      </c>
      <c r="Q209">
        <v>-22</v>
      </c>
      <c r="R209">
        <v>296</v>
      </c>
      <c r="S209">
        <v>66</v>
      </c>
      <c r="T209">
        <v>4470</v>
      </c>
      <c r="W209">
        <v>5335</v>
      </c>
      <c r="X209">
        <v>132</v>
      </c>
      <c r="AA209">
        <v>1.193512304</v>
      </c>
    </row>
    <row r="210" spans="1:27" x14ac:dyDescent="0.2">
      <c r="A210">
        <v>29</v>
      </c>
      <c r="B210">
        <v>10</v>
      </c>
      <c r="C210" t="s">
        <v>159</v>
      </c>
      <c r="D210">
        <v>2010</v>
      </c>
      <c r="E210">
        <v>30889</v>
      </c>
      <c r="F210">
        <v>30176</v>
      </c>
      <c r="G210">
        <v>713</v>
      </c>
      <c r="H210">
        <v>2.38</v>
      </c>
      <c r="I210">
        <v>14575</v>
      </c>
      <c r="J210">
        <v>12679</v>
      </c>
      <c r="K210">
        <v>1896</v>
      </c>
      <c r="L210">
        <v>13.01</v>
      </c>
      <c r="M210">
        <v>2.0703945109999999</v>
      </c>
      <c r="N210">
        <f>E210/_xlfn.XLOOKUP(C210,Lookups!$A$2:$A$66,Lookups!$C$2:$C$66)</f>
        <v>26.873086024498885</v>
      </c>
    </row>
    <row r="211" spans="1:27" x14ac:dyDescent="0.2">
      <c r="A211">
        <v>29</v>
      </c>
      <c r="B211">
        <v>10</v>
      </c>
      <c r="C211" t="s">
        <v>159</v>
      </c>
      <c r="D211">
        <v>2011</v>
      </c>
      <c r="E211">
        <v>30433</v>
      </c>
      <c r="F211">
        <v>29737</v>
      </c>
      <c r="G211">
        <v>696</v>
      </c>
      <c r="H211">
        <v>2.37</v>
      </c>
      <c r="I211">
        <v>14577</v>
      </c>
      <c r="J211">
        <v>12523</v>
      </c>
      <c r="K211">
        <v>2054</v>
      </c>
      <c r="L211">
        <v>14.09</v>
      </c>
      <c r="M211">
        <v>2.0399945119999998</v>
      </c>
      <c r="N211">
        <f>E211/_xlfn.XLOOKUP(C211,Lookups!$A$2:$A$66,Lookups!$C$2:$C$66)</f>
        <v>26.476371102449889</v>
      </c>
    </row>
    <row r="212" spans="1:27" x14ac:dyDescent="0.2">
      <c r="A212">
        <v>29</v>
      </c>
      <c r="B212">
        <v>10</v>
      </c>
      <c r="C212" t="s">
        <v>159</v>
      </c>
      <c r="D212">
        <v>2012</v>
      </c>
      <c r="E212">
        <v>30554</v>
      </c>
      <c r="F212">
        <v>29799</v>
      </c>
      <c r="G212">
        <v>755</v>
      </c>
      <c r="H212">
        <v>2.37</v>
      </c>
      <c r="I212">
        <v>14616</v>
      </c>
      <c r="J212">
        <v>12577</v>
      </c>
      <c r="K212">
        <v>2039</v>
      </c>
      <c r="L212">
        <v>13.95</v>
      </c>
      <c r="M212">
        <v>2.0387931030000002</v>
      </c>
      <c r="N212">
        <f>E212/_xlfn.XLOOKUP(C212,Lookups!$A$2:$A$66,Lookups!$C$2:$C$66)</f>
        <v>26.581639755011135</v>
      </c>
    </row>
    <row r="213" spans="1:27" x14ac:dyDescent="0.2">
      <c r="A213">
        <v>29</v>
      </c>
      <c r="B213">
        <v>10</v>
      </c>
      <c r="C213" t="s">
        <v>159</v>
      </c>
      <c r="D213">
        <v>2013</v>
      </c>
      <c r="E213">
        <v>30428</v>
      </c>
      <c r="F213">
        <v>29835</v>
      </c>
      <c r="G213">
        <v>593</v>
      </c>
      <c r="H213">
        <v>2.36</v>
      </c>
      <c r="I213">
        <v>14616</v>
      </c>
      <c r="J213">
        <v>12620</v>
      </c>
      <c r="K213">
        <v>1996</v>
      </c>
      <c r="L213">
        <v>13.66</v>
      </c>
      <c r="M213">
        <v>2.0412561579999999</v>
      </c>
      <c r="N213">
        <f>E213/_xlfn.XLOOKUP(C213,Lookups!$A$2:$A$66,Lookups!$C$2:$C$66)</f>
        <v>26.472021158129174</v>
      </c>
    </row>
    <row r="214" spans="1:27" x14ac:dyDescent="0.2">
      <c r="A214">
        <v>29</v>
      </c>
      <c r="B214">
        <v>10</v>
      </c>
      <c r="C214" t="s">
        <v>159</v>
      </c>
      <c r="D214">
        <v>2014</v>
      </c>
      <c r="E214">
        <v>30066</v>
      </c>
      <c r="F214">
        <v>29319</v>
      </c>
      <c r="G214">
        <v>747</v>
      </c>
      <c r="H214">
        <v>2.36</v>
      </c>
      <c r="I214">
        <v>14623</v>
      </c>
      <c r="J214">
        <v>12430</v>
      </c>
      <c r="K214">
        <v>2193</v>
      </c>
      <c r="L214">
        <v>15</v>
      </c>
      <c r="M214">
        <v>2.0049921359999998</v>
      </c>
      <c r="N214">
        <f>E214/_xlfn.XLOOKUP(C214,Lookups!$A$2:$A$66,Lookups!$C$2:$C$66)</f>
        <v>26.157085189309576</v>
      </c>
    </row>
    <row r="215" spans="1:27" x14ac:dyDescent="0.2">
      <c r="A215">
        <v>29</v>
      </c>
      <c r="B215">
        <v>10</v>
      </c>
      <c r="C215" t="s">
        <v>159</v>
      </c>
      <c r="D215">
        <v>2015</v>
      </c>
      <c r="E215">
        <v>30039</v>
      </c>
      <c r="F215">
        <v>29267</v>
      </c>
      <c r="G215">
        <v>772</v>
      </c>
      <c r="H215">
        <v>2.35</v>
      </c>
      <c r="I215">
        <v>14673</v>
      </c>
      <c r="J215">
        <v>12436</v>
      </c>
      <c r="K215">
        <v>2237</v>
      </c>
      <c r="L215">
        <v>15.25</v>
      </c>
      <c r="M215">
        <v>1.994615961</v>
      </c>
      <c r="N215">
        <f>E215/_xlfn.XLOOKUP(C215,Lookups!$A$2:$A$66,Lookups!$C$2:$C$66)</f>
        <v>26.133595489977726</v>
      </c>
    </row>
    <row r="216" spans="1:27" x14ac:dyDescent="0.2">
      <c r="A216">
        <v>29</v>
      </c>
      <c r="B216">
        <v>10</v>
      </c>
      <c r="C216" t="s">
        <v>159</v>
      </c>
      <c r="D216">
        <v>2016</v>
      </c>
      <c r="E216">
        <v>30489</v>
      </c>
      <c r="F216">
        <v>29685</v>
      </c>
      <c r="G216">
        <v>804</v>
      </c>
      <c r="H216">
        <v>2.35</v>
      </c>
      <c r="I216">
        <v>14658</v>
      </c>
      <c r="J216">
        <v>12642</v>
      </c>
      <c r="K216">
        <v>2016</v>
      </c>
      <c r="L216">
        <v>13.75</v>
      </c>
      <c r="M216">
        <v>2.0251739660000001</v>
      </c>
      <c r="N216">
        <f>E216/_xlfn.XLOOKUP(C216,Lookups!$A$2:$A$66,Lookups!$C$2:$C$66)</f>
        <v>26.525090478841868</v>
      </c>
    </row>
    <row r="217" spans="1:27" x14ac:dyDescent="0.2">
      <c r="A217">
        <v>29</v>
      </c>
      <c r="B217">
        <v>10</v>
      </c>
      <c r="C217" t="s">
        <v>159</v>
      </c>
      <c r="D217">
        <v>2017</v>
      </c>
      <c r="E217">
        <v>30703</v>
      </c>
      <c r="F217">
        <v>29858</v>
      </c>
      <c r="G217">
        <v>845</v>
      </c>
      <c r="H217">
        <v>2.34</v>
      </c>
      <c r="I217">
        <v>14660</v>
      </c>
      <c r="J217">
        <v>12745</v>
      </c>
      <c r="K217">
        <v>1915</v>
      </c>
      <c r="L217">
        <v>13.06</v>
      </c>
      <c r="M217">
        <v>2.0366984989999999</v>
      </c>
      <c r="N217">
        <f>E217/_xlfn.XLOOKUP(C217,Lookups!$A$2:$A$66,Lookups!$C$2:$C$66)</f>
        <v>26.711268095768371</v>
      </c>
    </row>
    <row r="218" spans="1:27" x14ac:dyDescent="0.2">
      <c r="A218">
        <v>29</v>
      </c>
      <c r="B218">
        <v>10</v>
      </c>
      <c r="C218" t="s">
        <v>159</v>
      </c>
      <c r="D218">
        <v>2018</v>
      </c>
      <c r="E218">
        <v>31033</v>
      </c>
      <c r="F218">
        <v>30182</v>
      </c>
      <c r="G218">
        <v>851</v>
      </c>
      <c r="H218">
        <v>2.34</v>
      </c>
      <c r="I218">
        <v>14694</v>
      </c>
      <c r="J218">
        <v>12913</v>
      </c>
      <c r="K218">
        <v>1781</v>
      </c>
      <c r="L218">
        <v>12.12</v>
      </c>
      <c r="M218">
        <v>2.0540356609999999</v>
      </c>
      <c r="N218">
        <f>E218/_xlfn.XLOOKUP(C218,Lookups!$A$2:$A$66,Lookups!$C$2:$C$66)</f>
        <v>26.99836442093541</v>
      </c>
    </row>
    <row r="219" spans="1:27" x14ac:dyDescent="0.2">
      <c r="A219">
        <v>29</v>
      </c>
      <c r="B219">
        <v>10</v>
      </c>
      <c r="C219" t="s">
        <v>159</v>
      </c>
      <c r="D219">
        <v>2019</v>
      </c>
      <c r="E219">
        <v>31237</v>
      </c>
      <c r="F219">
        <v>30360</v>
      </c>
      <c r="G219">
        <v>877</v>
      </c>
      <c r="H219">
        <v>2.33</v>
      </c>
      <c r="I219">
        <v>14728</v>
      </c>
      <c r="J219">
        <v>13018</v>
      </c>
      <c r="K219">
        <v>1710</v>
      </c>
      <c r="L219">
        <v>11.61</v>
      </c>
      <c r="M219">
        <v>2.0613796849999999</v>
      </c>
      <c r="N219">
        <f>E219/_xlfn.XLOOKUP(C219,Lookups!$A$2:$A$66,Lookups!$C$2:$C$66)</f>
        <v>27.17584214922049</v>
      </c>
    </row>
    <row r="220" spans="1:27" x14ac:dyDescent="0.2">
      <c r="A220">
        <v>29</v>
      </c>
      <c r="B220">
        <v>10</v>
      </c>
      <c r="C220" t="s">
        <v>159</v>
      </c>
      <c r="D220">
        <v>2020</v>
      </c>
      <c r="E220">
        <v>31052</v>
      </c>
      <c r="F220">
        <v>30486</v>
      </c>
      <c r="G220">
        <v>566</v>
      </c>
      <c r="I220">
        <v>14794</v>
      </c>
      <c r="M220">
        <v>2.0607002840000002</v>
      </c>
      <c r="N220">
        <f>E220/_xlfn.XLOOKUP(C220,Lookups!$A$2:$A$66,Lookups!$C$2:$C$66)</f>
        <v>27.014894209354118</v>
      </c>
      <c r="O220">
        <v>31052</v>
      </c>
      <c r="P220">
        <v>277</v>
      </c>
      <c r="Q220">
        <v>-139</v>
      </c>
      <c r="R220">
        <v>-46</v>
      </c>
      <c r="S220">
        <v>416</v>
      </c>
      <c r="T220">
        <v>14794</v>
      </c>
      <c r="W220">
        <v>30486</v>
      </c>
      <c r="X220">
        <v>73</v>
      </c>
      <c r="AA220">
        <v>2.0607002840000002</v>
      </c>
    </row>
    <row r="221" spans="1:27" x14ac:dyDescent="0.2">
      <c r="A221">
        <v>29</v>
      </c>
      <c r="B221">
        <v>10</v>
      </c>
      <c r="C221" t="s">
        <v>159</v>
      </c>
      <c r="D221">
        <v>2021</v>
      </c>
      <c r="E221">
        <v>31386</v>
      </c>
      <c r="F221">
        <v>30916</v>
      </c>
      <c r="G221">
        <v>470</v>
      </c>
      <c r="I221">
        <v>14860</v>
      </c>
      <c r="M221">
        <v>2.0804845219999999</v>
      </c>
      <c r="N221">
        <f>E221/_xlfn.XLOOKUP(C221,Lookups!$A$2:$A$66,Lookups!$C$2:$C$66)</f>
        <v>27.305470489977726</v>
      </c>
      <c r="O221">
        <v>31386</v>
      </c>
      <c r="P221">
        <v>300</v>
      </c>
      <c r="Q221">
        <v>-191</v>
      </c>
      <c r="R221">
        <v>525</v>
      </c>
      <c r="S221">
        <v>491</v>
      </c>
      <c r="T221">
        <v>14860</v>
      </c>
      <c r="W221">
        <v>30916</v>
      </c>
      <c r="X221">
        <v>223</v>
      </c>
      <c r="AA221">
        <v>2.0804845219999999</v>
      </c>
    </row>
    <row r="222" spans="1:27" x14ac:dyDescent="0.2">
      <c r="A222">
        <v>29</v>
      </c>
      <c r="B222">
        <v>10</v>
      </c>
      <c r="C222" t="s">
        <v>159</v>
      </c>
      <c r="D222">
        <v>2022</v>
      </c>
      <c r="E222">
        <v>31581</v>
      </c>
      <c r="F222">
        <v>31086</v>
      </c>
      <c r="G222">
        <v>495</v>
      </c>
      <c r="I222">
        <v>15081</v>
      </c>
      <c r="M222">
        <v>2.061269147</v>
      </c>
      <c r="N222">
        <f>E222/_xlfn.XLOOKUP(C222,Lookups!$A$2:$A$66,Lookups!$C$2:$C$66)</f>
        <v>27.475118318485521</v>
      </c>
      <c r="O222">
        <v>31581</v>
      </c>
      <c r="P222">
        <v>261</v>
      </c>
      <c r="Q222">
        <v>-242</v>
      </c>
      <c r="R222">
        <v>437</v>
      </c>
      <c r="S222">
        <v>503</v>
      </c>
      <c r="T222">
        <v>15081</v>
      </c>
      <c r="W222">
        <v>31086</v>
      </c>
      <c r="X222">
        <v>60</v>
      </c>
      <c r="AA222">
        <v>2.061269147</v>
      </c>
    </row>
    <row r="223" spans="1:27" x14ac:dyDescent="0.2">
      <c r="A223">
        <v>31</v>
      </c>
      <c r="B223">
        <v>3</v>
      </c>
      <c r="C223" t="s">
        <v>160</v>
      </c>
      <c r="D223">
        <v>2010</v>
      </c>
      <c r="E223">
        <v>604879</v>
      </c>
      <c r="F223">
        <v>588898</v>
      </c>
      <c r="G223">
        <v>15981</v>
      </c>
      <c r="H223">
        <v>2.2200000000000002</v>
      </c>
      <c r="I223">
        <v>287392</v>
      </c>
      <c r="J223">
        <v>265233</v>
      </c>
      <c r="K223">
        <v>22159</v>
      </c>
      <c r="L223">
        <v>7.71</v>
      </c>
      <c r="M223">
        <v>2.0491106220000002</v>
      </c>
      <c r="N223">
        <f>E223/_xlfn.XLOOKUP(C223,Lookups!$A$2:$A$66,Lookups!$C$2:$C$66)</f>
        <v>3885.8987536939485</v>
      </c>
    </row>
    <row r="224" spans="1:27" x14ac:dyDescent="0.2">
      <c r="A224">
        <v>31</v>
      </c>
      <c r="B224">
        <v>3</v>
      </c>
      <c r="C224" t="s">
        <v>160</v>
      </c>
      <c r="D224">
        <v>2011</v>
      </c>
      <c r="E224">
        <v>620229</v>
      </c>
      <c r="F224">
        <v>604024</v>
      </c>
      <c r="G224">
        <v>16205</v>
      </c>
      <c r="H224">
        <v>2.2200000000000002</v>
      </c>
      <c r="I224">
        <v>288388</v>
      </c>
      <c r="J224">
        <v>272237</v>
      </c>
      <c r="K224">
        <v>16151</v>
      </c>
      <c r="L224">
        <v>5.6</v>
      </c>
      <c r="M224">
        <v>2.0944838200000002</v>
      </c>
      <c r="N224">
        <f>E224/_xlfn.XLOOKUP(C224,Lookups!$A$2:$A$66,Lookups!$C$2:$C$66)</f>
        <v>3984.5111139663368</v>
      </c>
    </row>
    <row r="225" spans="1:27" x14ac:dyDescent="0.2">
      <c r="A225">
        <v>31</v>
      </c>
      <c r="B225">
        <v>3</v>
      </c>
      <c r="C225" t="s">
        <v>160</v>
      </c>
      <c r="D225">
        <v>2012</v>
      </c>
      <c r="E225">
        <v>632924</v>
      </c>
      <c r="F225">
        <v>616740</v>
      </c>
      <c r="G225">
        <v>16184</v>
      </c>
      <c r="H225">
        <v>2.2200000000000002</v>
      </c>
      <c r="I225">
        <v>290342</v>
      </c>
      <c r="J225">
        <v>278164</v>
      </c>
      <c r="K225">
        <v>12178</v>
      </c>
      <c r="L225">
        <v>4.1900000000000004</v>
      </c>
      <c r="M225">
        <v>2.1241845819999998</v>
      </c>
      <c r="N225">
        <f>E225/_xlfn.XLOOKUP(C225,Lookups!$A$2:$A$66,Lookups!$C$2:$C$66)</f>
        <v>4066.0670692535014</v>
      </c>
    </row>
    <row r="226" spans="1:27" x14ac:dyDescent="0.2">
      <c r="A226">
        <v>31</v>
      </c>
      <c r="B226">
        <v>3</v>
      </c>
      <c r="C226" t="s">
        <v>160</v>
      </c>
      <c r="D226">
        <v>2013</v>
      </c>
      <c r="E226">
        <v>645302</v>
      </c>
      <c r="F226">
        <v>629224</v>
      </c>
      <c r="G226">
        <v>16078</v>
      </c>
      <c r="H226">
        <v>2.2200000000000002</v>
      </c>
      <c r="I226">
        <v>295120</v>
      </c>
      <c r="J226">
        <v>283994</v>
      </c>
      <c r="K226">
        <v>11126</v>
      </c>
      <c r="L226">
        <v>3.77</v>
      </c>
      <c r="M226">
        <v>2.1320954190000001</v>
      </c>
      <c r="N226">
        <f>E226/_xlfn.XLOOKUP(C226,Lookups!$A$2:$A$66,Lookups!$C$2:$C$66)</f>
        <v>4145.5865347552362</v>
      </c>
    </row>
    <row r="227" spans="1:27" x14ac:dyDescent="0.2">
      <c r="A227">
        <v>31</v>
      </c>
      <c r="B227">
        <v>3</v>
      </c>
      <c r="C227" t="s">
        <v>160</v>
      </c>
      <c r="D227">
        <v>2014</v>
      </c>
      <c r="E227">
        <v>658632</v>
      </c>
      <c r="F227">
        <v>642474</v>
      </c>
      <c r="G227">
        <v>16158</v>
      </c>
      <c r="H227">
        <v>2.21</v>
      </c>
      <c r="I227">
        <v>300889</v>
      </c>
      <c r="J227">
        <v>290179</v>
      </c>
      <c r="K227">
        <v>10710</v>
      </c>
      <c r="L227">
        <v>3.56</v>
      </c>
      <c r="M227">
        <v>2.1352525349999998</v>
      </c>
      <c r="N227">
        <f>E227/_xlfn.XLOOKUP(C227,Lookups!$A$2:$A$66,Lookups!$C$2:$C$66)</f>
        <v>4231.2218938712576</v>
      </c>
    </row>
    <row r="228" spans="1:27" x14ac:dyDescent="0.2">
      <c r="A228">
        <v>31</v>
      </c>
      <c r="B228">
        <v>3</v>
      </c>
      <c r="C228" t="s">
        <v>160</v>
      </c>
      <c r="D228">
        <v>2015</v>
      </c>
      <c r="E228">
        <v>675534</v>
      </c>
      <c r="F228">
        <v>659092</v>
      </c>
      <c r="G228">
        <v>16442</v>
      </c>
      <c r="H228">
        <v>2.21</v>
      </c>
      <c r="I228">
        <v>306476</v>
      </c>
      <c r="J228">
        <v>297895</v>
      </c>
      <c r="K228">
        <v>8581</v>
      </c>
      <c r="L228">
        <v>2.8</v>
      </c>
      <c r="M228">
        <v>2.1505501250000001</v>
      </c>
      <c r="N228">
        <f>E228/_xlfn.XLOOKUP(C228,Lookups!$A$2:$A$66,Lookups!$C$2:$C$66)</f>
        <v>4339.8047025568549</v>
      </c>
    </row>
    <row r="229" spans="1:27" x14ac:dyDescent="0.2">
      <c r="A229">
        <v>31</v>
      </c>
      <c r="B229">
        <v>3</v>
      </c>
      <c r="C229" t="s">
        <v>160</v>
      </c>
      <c r="D229">
        <v>2016</v>
      </c>
      <c r="E229">
        <v>686468</v>
      </c>
      <c r="F229">
        <v>670083</v>
      </c>
      <c r="G229">
        <v>16385</v>
      </c>
      <c r="H229">
        <v>2.21</v>
      </c>
      <c r="I229">
        <v>314369</v>
      </c>
      <c r="J229">
        <v>303076</v>
      </c>
      <c r="K229">
        <v>11293</v>
      </c>
      <c r="L229">
        <v>3.59</v>
      </c>
      <c r="M229">
        <v>2.1315174209999999</v>
      </c>
      <c r="N229">
        <f>E229/_xlfn.XLOOKUP(C229,Lookups!$A$2:$A$66,Lookups!$C$2:$C$66)</f>
        <v>4410.0475395091871</v>
      </c>
    </row>
    <row r="230" spans="1:27" x14ac:dyDescent="0.2">
      <c r="A230">
        <v>31</v>
      </c>
      <c r="B230">
        <v>3</v>
      </c>
      <c r="C230" t="s">
        <v>160</v>
      </c>
      <c r="D230">
        <v>2017</v>
      </c>
      <c r="E230">
        <v>693134</v>
      </c>
      <c r="F230">
        <v>676812</v>
      </c>
      <c r="G230">
        <v>16322</v>
      </c>
      <c r="H230">
        <v>2.21</v>
      </c>
      <c r="I230">
        <v>321058</v>
      </c>
      <c r="J230">
        <v>306336</v>
      </c>
      <c r="K230">
        <v>14722</v>
      </c>
      <c r="L230">
        <v>4.59</v>
      </c>
      <c r="M230">
        <v>2.108067701</v>
      </c>
      <c r="N230">
        <f>E230/_xlfn.XLOOKUP(C230,Lookups!$A$2:$A$66,Lookups!$C$2:$C$66)</f>
        <v>4452.8716433251957</v>
      </c>
    </row>
    <row r="231" spans="1:27" x14ac:dyDescent="0.2">
      <c r="A231">
        <v>31</v>
      </c>
      <c r="B231">
        <v>3</v>
      </c>
      <c r="C231" t="s">
        <v>160</v>
      </c>
      <c r="D231">
        <v>2018</v>
      </c>
      <c r="E231">
        <v>702679</v>
      </c>
      <c r="F231">
        <v>686379</v>
      </c>
      <c r="G231">
        <v>16300</v>
      </c>
      <c r="H231">
        <v>2.21</v>
      </c>
      <c r="I231">
        <v>331306</v>
      </c>
      <c r="J231">
        <v>310886</v>
      </c>
      <c r="K231">
        <v>20420</v>
      </c>
      <c r="L231">
        <v>6.16</v>
      </c>
      <c r="M231">
        <v>2.0717373060000002</v>
      </c>
      <c r="N231">
        <f>E231/_xlfn.XLOOKUP(C231,Lookups!$A$2:$A$66,Lookups!$C$2:$C$66)</f>
        <v>4514.1911859180263</v>
      </c>
    </row>
    <row r="232" spans="1:27" x14ac:dyDescent="0.2">
      <c r="A232">
        <v>31</v>
      </c>
      <c r="B232">
        <v>3</v>
      </c>
      <c r="C232" t="s">
        <v>160</v>
      </c>
      <c r="D232">
        <v>2019</v>
      </c>
      <c r="E232">
        <v>710143</v>
      </c>
      <c r="F232">
        <v>693851</v>
      </c>
      <c r="G232">
        <v>16292</v>
      </c>
      <c r="H232">
        <v>2.21</v>
      </c>
      <c r="I232">
        <v>338605</v>
      </c>
      <c r="J232">
        <v>314493</v>
      </c>
      <c r="K232">
        <v>24112</v>
      </c>
      <c r="L232">
        <v>7.12</v>
      </c>
      <c r="M232">
        <v>2.04914576</v>
      </c>
      <c r="N232">
        <f>E232/_xlfn.XLOOKUP(C232,Lookups!$A$2:$A$66,Lookups!$C$2:$C$66)</f>
        <v>4562.1418476166</v>
      </c>
    </row>
    <row r="233" spans="1:27" x14ac:dyDescent="0.2">
      <c r="A233">
        <v>31</v>
      </c>
      <c r="B233">
        <v>3</v>
      </c>
      <c r="C233" t="s">
        <v>160</v>
      </c>
      <c r="D233">
        <v>2020</v>
      </c>
      <c r="E233">
        <v>717545</v>
      </c>
      <c r="F233">
        <v>701933</v>
      </c>
      <c r="G233">
        <v>15612</v>
      </c>
      <c r="I233">
        <v>347042</v>
      </c>
      <c r="M233">
        <v>2.0226168590000002</v>
      </c>
      <c r="N233">
        <f>E233/_xlfn.XLOOKUP(C233,Lookups!$A$2:$A$66,Lookups!$C$2:$C$66)</f>
        <v>4609.6942053192861</v>
      </c>
      <c r="O233">
        <v>717545</v>
      </c>
      <c r="P233">
        <v>8696</v>
      </c>
      <c r="Q233">
        <v>3572</v>
      </c>
      <c r="R233">
        <v>3830</v>
      </c>
      <c r="S233">
        <v>5124</v>
      </c>
      <c r="T233">
        <v>347042</v>
      </c>
      <c r="W233">
        <v>701933</v>
      </c>
      <c r="X233">
        <v>5059</v>
      </c>
      <c r="AA233">
        <v>2.0226168590000002</v>
      </c>
    </row>
    <row r="234" spans="1:27" x14ac:dyDescent="0.2">
      <c r="A234">
        <v>31</v>
      </c>
      <c r="B234">
        <v>3</v>
      </c>
      <c r="C234" t="s">
        <v>160</v>
      </c>
      <c r="D234">
        <v>2021</v>
      </c>
      <c r="E234">
        <v>711375</v>
      </c>
      <c r="F234">
        <v>697456</v>
      </c>
      <c r="G234">
        <v>13919</v>
      </c>
      <c r="I234">
        <v>352130</v>
      </c>
      <c r="M234">
        <v>1.9806775910000001</v>
      </c>
      <c r="N234">
        <f>E234/_xlfn.XLOOKUP(C234,Lookups!$A$2:$A$66,Lookups!$C$2:$C$66)</f>
        <v>4570.0565334703842</v>
      </c>
      <c r="O234">
        <v>711375</v>
      </c>
      <c r="P234">
        <v>8557</v>
      </c>
      <c r="Q234">
        <v>3392</v>
      </c>
      <c r="R234">
        <v>-9562</v>
      </c>
      <c r="S234">
        <v>5165</v>
      </c>
      <c r="T234">
        <v>352130</v>
      </c>
      <c r="W234">
        <v>697456</v>
      </c>
      <c r="X234">
        <v>10000</v>
      </c>
      <c r="AA234">
        <v>1.9806775910000001</v>
      </c>
    </row>
    <row r="235" spans="1:27" x14ac:dyDescent="0.2">
      <c r="A235">
        <v>31</v>
      </c>
      <c r="B235">
        <v>3</v>
      </c>
      <c r="C235" t="s">
        <v>160</v>
      </c>
      <c r="D235">
        <v>2022</v>
      </c>
      <c r="E235">
        <v>712637</v>
      </c>
      <c r="F235">
        <v>697243</v>
      </c>
      <c r="G235">
        <v>15394</v>
      </c>
      <c r="I235">
        <v>360938</v>
      </c>
      <c r="M235">
        <v>1.931752822</v>
      </c>
      <c r="N235">
        <f>E235/_xlfn.XLOOKUP(C235,Lookups!$A$2:$A$66,Lookups!$C$2:$C$66)</f>
        <v>4578.1639470641139</v>
      </c>
      <c r="O235">
        <v>712637</v>
      </c>
      <c r="P235">
        <v>8165</v>
      </c>
      <c r="Q235">
        <v>2761</v>
      </c>
      <c r="R235">
        <v>-1499</v>
      </c>
      <c r="S235">
        <v>5404</v>
      </c>
      <c r="T235">
        <v>360938</v>
      </c>
      <c r="W235">
        <v>697243</v>
      </c>
      <c r="X235">
        <v>8296</v>
      </c>
      <c r="AA235">
        <v>1.931752822</v>
      </c>
    </row>
    <row r="236" spans="1:27" x14ac:dyDescent="0.2">
      <c r="A236">
        <v>33</v>
      </c>
      <c r="B236">
        <v>9</v>
      </c>
      <c r="C236" t="s">
        <v>161</v>
      </c>
      <c r="D236">
        <v>2010</v>
      </c>
      <c r="E236">
        <v>2060</v>
      </c>
      <c r="F236">
        <v>2060</v>
      </c>
      <c r="G236">
        <v>0</v>
      </c>
      <c r="H236">
        <v>3.04</v>
      </c>
      <c r="I236">
        <v>1060</v>
      </c>
      <c r="J236">
        <v>678</v>
      </c>
      <c r="K236">
        <v>382</v>
      </c>
      <c r="L236">
        <v>36.04</v>
      </c>
      <c r="M236">
        <v>1.9433962259999999</v>
      </c>
      <c r="N236">
        <f>E236/_xlfn.XLOOKUP(C236,Lookups!$A$2:$A$66,Lookups!$C$2:$C$66)</f>
        <v>1.9128448459974186</v>
      </c>
    </row>
    <row r="237" spans="1:27" x14ac:dyDescent="0.2">
      <c r="A237">
        <v>33</v>
      </c>
      <c r="B237">
        <v>9</v>
      </c>
      <c r="C237" t="s">
        <v>161</v>
      </c>
      <c r="D237">
        <v>2011</v>
      </c>
      <c r="E237">
        <v>2065</v>
      </c>
      <c r="F237">
        <v>2065</v>
      </c>
      <c r="G237">
        <v>0</v>
      </c>
      <c r="H237">
        <v>2.29</v>
      </c>
      <c r="I237">
        <v>1096</v>
      </c>
      <c r="J237">
        <v>903</v>
      </c>
      <c r="K237">
        <v>193</v>
      </c>
      <c r="L237">
        <v>17.600000000000001</v>
      </c>
      <c r="M237">
        <v>1.8841240880000001</v>
      </c>
      <c r="N237">
        <f>E237/_xlfn.XLOOKUP(C237,Lookups!$A$2:$A$66,Lookups!$C$2:$C$66)</f>
        <v>1.9174876732935286</v>
      </c>
    </row>
    <row r="238" spans="1:27" x14ac:dyDescent="0.2">
      <c r="A238">
        <v>33</v>
      </c>
      <c r="B238">
        <v>9</v>
      </c>
      <c r="C238" t="s">
        <v>161</v>
      </c>
      <c r="D238">
        <v>2012</v>
      </c>
      <c r="E238">
        <v>2078</v>
      </c>
      <c r="F238">
        <v>2078</v>
      </c>
      <c r="G238">
        <v>0</v>
      </c>
      <c r="H238">
        <v>2.2799999999999998</v>
      </c>
      <c r="I238">
        <v>1156</v>
      </c>
      <c r="J238">
        <v>912</v>
      </c>
      <c r="K238">
        <v>244</v>
      </c>
      <c r="L238">
        <v>21.15</v>
      </c>
      <c r="M238">
        <v>1.7975778549999999</v>
      </c>
      <c r="N238">
        <f>E238/_xlfn.XLOOKUP(C238,Lookups!$A$2:$A$66,Lookups!$C$2:$C$66)</f>
        <v>1.9295590242634153</v>
      </c>
    </row>
    <row r="239" spans="1:27" x14ac:dyDescent="0.2">
      <c r="A239">
        <v>33</v>
      </c>
      <c r="B239">
        <v>9</v>
      </c>
      <c r="C239" t="s">
        <v>161</v>
      </c>
      <c r="D239">
        <v>2013</v>
      </c>
      <c r="E239">
        <v>2082</v>
      </c>
      <c r="F239">
        <v>2082</v>
      </c>
      <c r="G239">
        <v>0</v>
      </c>
      <c r="H239">
        <v>2.27</v>
      </c>
      <c r="I239">
        <v>1186</v>
      </c>
      <c r="J239">
        <v>916</v>
      </c>
      <c r="K239">
        <v>270</v>
      </c>
      <c r="L239">
        <v>22.78</v>
      </c>
      <c r="M239">
        <v>1.755480607</v>
      </c>
      <c r="N239">
        <f>E239/_xlfn.XLOOKUP(C239,Lookups!$A$2:$A$66,Lookups!$C$2:$C$66)</f>
        <v>1.9332732861003035</v>
      </c>
    </row>
    <row r="240" spans="1:27" x14ac:dyDescent="0.2">
      <c r="A240">
        <v>33</v>
      </c>
      <c r="B240">
        <v>9</v>
      </c>
      <c r="C240" t="s">
        <v>161</v>
      </c>
      <c r="D240">
        <v>2014</v>
      </c>
      <c r="E240">
        <v>2084</v>
      </c>
      <c r="F240">
        <v>2084</v>
      </c>
      <c r="G240">
        <v>0</v>
      </c>
      <c r="H240">
        <v>2.27</v>
      </c>
      <c r="I240">
        <v>1212</v>
      </c>
      <c r="J240">
        <v>919</v>
      </c>
      <c r="K240">
        <v>293</v>
      </c>
      <c r="L240">
        <v>24.14</v>
      </c>
      <c r="M240">
        <v>1.7194719469999999</v>
      </c>
      <c r="N240">
        <f>E240/_xlfn.XLOOKUP(C240,Lookups!$A$2:$A$66,Lookups!$C$2:$C$66)</f>
        <v>1.9351304170187476</v>
      </c>
    </row>
    <row r="241" spans="1:27" x14ac:dyDescent="0.2">
      <c r="A241">
        <v>33</v>
      </c>
      <c r="B241">
        <v>9</v>
      </c>
      <c r="C241" t="s">
        <v>161</v>
      </c>
      <c r="D241">
        <v>2015</v>
      </c>
      <c r="E241">
        <v>2087</v>
      </c>
      <c r="F241">
        <v>2087</v>
      </c>
      <c r="G241">
        <v>0</v>
      </c>
      <c r="H241">
        <v>2.2599999999999998</v>
      </c>
      <c r="I241">
        <v>1243</v>
      </c>
      <c r="J241">
        <v>924</v>
      </c>
      <c r="K241">
        <v>319</v>
      </c>
      <c r="L241">
        <v>25.68</v>
      </c>
      <c r="M241">
        <v>1.6790024139999999</v>
      </c>
      <c r="N241">
        <f>E241/_xlfn.XLOOKUP(C241,Lookups!$A$2:$A$66,Lookups!$C$2:$C$66)</f>
        <v>1.9379161133964138</v>
      </c>
    </row>
    <row r="242" spans="1:27" x14ac:dyDescent="0.2">
      <c r="A242">
        <v>33</v>
      </c>
      <c r="B242">
        <v>9</v>
      </c>
      <c r="C242" t="s">
        <v>161</v>
      </c>
      <c r="D242">
        <v>2016</v>
      </c>
      <c r="E242">
        <v>2088</v>
      </c>
      <c r="F242">
        <v>2088</v>
      </c>
      <c r="G242">
        <v>0</v>
      </c>
      <c r="H242">
        <v>2.25</v>
      </c>
      <c r="I242">
        <v>1267</v>
      </c>
      <c r="J242">
        <v>927</v>
      </c>
      <c r="K242">
        <v>340</v>
      </c>
      <c r="L242">
        <v>26.82</v>
      </c>
      <c r="M242">
        <v>1.647987372</v>
      </c>
      <c r="N242">
        <f>E242/_xlfn.XLOOKUP(C242,Lookups!$A$2:$A$66,Lookups!$C$2:$C$66)</f>
        <v>1.9388446788556357</v>
      </c>
    </row>
    <row r="243" spans="1:27" x14ac:dyDescent="0.2">
      <c r="A243">
        <v>33</v>
      </c>
      <c r="B243">
        <v>9</v>
      </c>
      <c r="C243" t="s">
        <v>161</v>
      </c>
      <c r="D243">
        <v>2017</v>
      </c>
      <c r="E243">
        <v>2088</v>
      </c>
      <c r="F243">
        <v>2088</v>
      </c>
      <c r="G243">
        <v>0</v>
      </c>
      <c r="H243">
        <v>2.25</v>
      </c>
      <c r="I243">
        <v>1287</v>
      </c>
      <c r="J243">
        <v>930</v>
      </c>
      <c r="K243">
        <v>357</v>
      </c>
      <c r="L243">
        <v>27.73</v>
      </c>
      <c r="M243">
        <v>1.6223776219999999</v>
      </c>
      <c r="N243">
        <f>E243/_xlfn.XLOOKUP(C243,Lookups!$A$2:$A$66,Lookups!$C$2:$C$66)</f>
        <v>1.9388446788556357</v>
      </c>
    </row>
    <row r="244" spans="1:27" x14ac:dyDescent="0.2">
      <c r="A244">
        <v>33</v>
      </c>
      <c r="B244">
        <v>9</v>
      </c>
      <c r="C244" t="s">
        <v>161</v>
      </c>
      <c r="D244">
        <v>2018</v>
      </c>
      <c r="E244">
        <v>2091</v>
      </c>
      <c r="F244">
        <v>2091</v>
      </c>
      <c r="G244">
        <v>0</v>
      </c>
      <c r="H244">
        <v>2.2400000000000002</v>
      </c>
      <c r="I244">
        <v>1317</v>
      </c>
      <c r="J244">
        <v>934</v>
      </c>
      <c r="K244">
        <v>383</v>
      </c>
      <c r="L244">
        <v>29.06</v>
      </c>
      <c r="M244">
        <v>1.587699317</v>
      </c>
      <c r="N244">
        <f>E244/_xlfn.XLOOKUP(C244,Lookups!$A$2:$A$66,Lookups!$C$2:$C$66)</f>
        <v>1.941630375233302</v>
      </c>
    </row>
    <row r="245" spans="1:27" x14ac:dyDescent="0.2">
      <c r="A245">
        <v>33</v>
      </c>
      <c r="B245">
        <v>9</v>
      </c>
      <c r="C245" t="s">
        <v>161</v>
      </c>
      <c r="D245">
        <v>2019</v>
      </c>
      <c r="E245">
        <v>2085</v>
      </c>
      <c r="F245">
        <v>2085</v>
      </c>
      <c r="G245">
        <v>0</v>
      </c>
      <c r="H245">
        <v>2.23</v>
      </c>
      <c r="I245">
        <v>1318</v>
      </c>
      <c r="J245">
        <v>934</v>
      </c>
      <c r="K245">
        <v>384</v>
      </c>
      <c r="L245">
        <v>29.1</v>
      </c>
      <c r="M245">
        <v>1.5819423370000001</v>
      </c>
      <c r="N245">
        <f>E245/_xlfn.XLOOKUP(C245,Lookups!$A$2:$A$66,Lookups!$C$2:$C$66)</f>
        <v>1.9360589824779697</v>
      </c>
    </row>
    <row r="246" spans="1:27" x14ac:dyDescent="0.2">
      <c r="A246">
        <v>33</v>
      </c>
      <c r="B246">
        <v>9</v>
      </c>
      <c r="C246" t="s">
        <v>161</v>
      </c>
      <c r="D246">
        <v>2020</v>
      </c>
      <c r="E246">
        <v>2078</v>
      </c>
      <c r="F246">
        <v>2078</v>
      </c>
      <c r="G246">
        <v>0</v>
      </c>
      <c r="I246">
        <v>1321</v>
      </c>
      <c r="M246">
        <v>1.573050719</v>
      </c>
      <c r="N246">
        <f>E246/_xlfn.XLOOKUP(C246,Lookups!$A$2:$A$66,Lookups!$C$2:$C$66)</f>
        <v>1.9295590242634153</v>
      </c>
      <c r="O246">
        <v>2078</v>
      </c>
      <c r="P246">
        <v>13</v>
      </c>
      <c r="Q246">
        <v>-12</v>
      </c>
      <c r="R246">
        <v>5</v>
      </c>
      <c r="S246">
        <v>25</v>
      </c>
      <c r="T246">
        <v>1321</v>
      </c>
      <c r="W246">
        <v>2078</v>
      </c>
      <c r="X246">
        <v>6</v>
      </c>
      <c r="AA246">
        <v>1.573050719</v>
      </c>
    </row>
    <row r="247" spans="1:27" x14ac:dyDescent="0.2">
      <c r="A247">
        <v>33</v>
      </c>
      <c r="B247">
        <v>9</v>
      </c>
      <c r="C247" t="s">
        <v>161</v>
      </c>
      <c r="D247">
        <v>2021</v>
      </c>
      <c r="E247">
        <v>2121</v>
      </c>
      <c r="F247">
        <v>2121</v>
      </c>
      <c r="G247">
        <v>0</v>
      </c>
      <c r="I247">
        <v>1337</v>
      </c>
      <c r="M247">
        <v>1.586387435</v>
      </c>
      <c r="N247">
        <f>E247/_xlfn.XLOOKUP(C247,Lookups!$A$2:$A$66,Lookups!$C$2:$C$66)</f>
        <v>1.9694873390099634</v>
      </c>
      <c r="O247">
        <v>2121</v>
      </c>
      <c r="P247">
        <v>16</v>
      </c>
      <c r="Q247">
        <v>-14</v>
      </c>
      <c r="R247">
        <v>57</v>
      </c>
      <c r="S247">
        <v>30</v>
      </c>
      <c r="T247">
        <v>1337</v>
      </c>
      <c r="W247">
        <v>2121</v>
      </c>
      <c r="X247">
        <v>6</v>
      </c>
      <c r="AA247">
        <v>1.586387435</v>
      </c>
    </row>
    <row r="248" spans="1:27" x14ac:dyDescent="0.2">
      <c r="A248">
        <v>33</v>
      </c>
      <c r="B248">
        <v>9</v>
      </c>
      <c r="C248" t="s">
        <v>161</v>
      </c>
      <c r="D248">
        <v>2022</v>
      </c>
      <c r="E248">
        <v>2203</v>
      </c>
      <c r="F248">
        <v>2203</v>
      </c>
      <c r="G248">
        <v>0</v>
      </c>
      <c r="I248">
        <v>1357</v>
      </c>
      <c r="M248">
        <v>1.6234340460000001</v>
      </c>
      <c r="N248">
        <f>E248/_xlfn.XLOOKUP(C248,Lookups!$A$2:$A$66,Lookups!$C$2:$C$66)</f>
        <v>2.0456297066661713</v>
      </c>
      <c r="O248">
        <v>2203</v>
      </c>
      <c r="P248">
        <v>20</v>
      </c>
      <c r="Q248">
        <v>-22</v>
      </c>
      <c r="R248">
        <v>104</v>
      </c>
      <c r="S248">
        <v>42</v>
      </c>
      <c r="T248">
        <v>1357</v>
      </c>
      <c r="W248">
        <v>2203</v>
      </c>
      <c r="X248">
        <v>2</v>
      </c>
      <c r="AA248">
        <v>1.6234340460000001</v>
      </c>
    </row>
    <row r="249" spans="1:27" x14ac:dyDescent="0.2">
      <c r="A249">
        <v>35</v>
      </c>
      <c r="B249">
        <v>3</v>
      </c>
      <c r="C249" t="s">
        <v>162</v>
      </c>
      <c r="D249">
        <v>2010</v>
      </c>
      <c r="E249">
        <v>287124</v>
      </c>
      <c r="F249">
        <v>286324</v>
      </c>
      <c r="G249">
        <v>800</v>
      </c>
      <c r="H249">
        <v>2.79</v>
      </c>
      <c r="I249">
        <v>107260</v>
      </c>
      <c r="J249">
        <v>102559</v>
      </c>
      <c r="K249">
        <v>4701</v>
      </c>
      <c r="L249">
        <v>4.38</v>
      </c>
      <c r="M249">
        <v>2.6694387470000001</v>
      </c>
      <c r="N249">
        <f>E249/_xlfn.XLOOKUP(C249,Lookups!$A$2:$A$66,Lookups!$C$2:$C$66)</f>
        <v>340.8809212869524</v>
      </c>
    </row>
    <row r="250" spans="1:27" x14ac:dyDescent="0.2">
      <c r="A250">
        <v>35</v>
      </c>
      <c r="B250">
        <v>3</v>
      </c>
      <c r="C250" t="s">
        <v>162</v>
      </c>
      <c r="D250">
        <v>2011</v>
      </c>
      <c r="E250">
        <v>292623</v>
      </c>
      <c r="F250">
        <v>291772</v>
      </c>
      <c r="G250">
        <v>851</v>
      </c>
      <c r="H250">
        <v>2.79</v>
      </c>
      <c r="I250">
        <v>108031</v>
      </c>
      <c r="J250">
        <v>104563</v>
      </c>
      <c r="K250">
        <v>3468</v>
      </c>
      <c r="L250">
        <v>3.21</v>
      </c>
      <c r="M250">
        <v>2.7008173580000001</v>
      </c>
      <c r="N250">
        <f>E250/_xlfn.XLOOKUP(C250,Lookups!$A$2:$A$66,Lookups!$C$2:$C$66)</f>
        <v>347.40947405912385</v>
      </c>
    </row>
    <row r="251" spans="1:27" x14ac:dyDescent="0.2">
      <c r="A251">
        <v>35</v>
      </c>
      <c r="B251">
        <v>3</v>
      </c>
      <c r="C251" t="s">
        <v>162</v>
      </c>
      <c r="D251">
        <v>2012</v>
      </c>
      <c r="E251">
        <v>298733</v>
      </c>
      <c r="F251">
        <v>297801</v>
      </c>
      <c r="G251">
        <v>932</v>
      </c>
      <c r="H251">
        <v>2.79</v>
      </c>
      <c r="I251">
        <v>109233</v>
      </c>
      <c r="J251">
        <v>106782</v>
      </c>
      <c r="K251">
        <v>2451</v>
      </c>
      <c r="L251">
        <v>2.2400000000000002</v>
      </c>
      <c r="M251">
        <v>2.7262915049999998</v>
      </c>
      <c r="N251">
        <f>E251/_xlfn.XLOOKUP(C251,Lookups!$A$2:$A$66,Lookups!$C$2:$C$66)</f>
        <v>354.66342158375875</v>
      </c>
    </row>
    <row r="252" spans="1:27" x14ac:dyDescent="0.2">
      <c r="A252">
        <v>35</v>
      </c>
      <c r="B252">
        <v>3</v>
      </c>
      <c r="C252" t="s">
        <v>162</v>
      </c>
      <c r="D252">
        <v>2013</v>
      </c>
      <c r="E252">
        <v>306327</v>
      </c>
      <c r="F252">
        <v>305221</v>
      </c>
      <c r="G252">
        <v>1106</v>
      </c>
      <c r="H252">
        <v>2.79</v>
      </c>
      <c r="I252">
        <v>111597</v>
      </c>
      <c r="J252">
        <v>109511</v>
      </c>
      <c r="K252">
        <v>2086</v>
      </c>
      <c r="L252">
        <v>1.87</v>
      </c>
      <c r="M252">
        <v>2.7350287190000002</v>
      </c>
      <c r="N252">
        <f>E252/_xlfn.XLOOKUP(C252,Lookups!$A$2:$A$66,Lookups!$C$2:$C$66)</f>
        <v>363.6792116822985</v>
      </c>
    </row>
    <row r="253" spans="1:27" x14ac:dyDescent="0.2">
      <c r="A253">
        <v>35</v>
      </c>
      <c r="B253">
        <v>3</v>
      </c>
      <c r="C253" t="s">
        <v>162</v>
      </c>
      <c r="D253">
        <v>2014</v>
      </c>
      <c r="E253">
        <v>314609</v>
      </c>
      <c r="F253">
        <v>313424</v>
      </c>
      <c r="G253">
        <v>1185</v>
      </c>
      <c r="H253">
        <v>2.79</v>
      </c>
      <c r="I253">
        <v>114036</v>
      </c>
      <c r="J253">
        <v>112530</v>
      </c>
      <c r="K253">
        <v>1506</v>
      </c>
      <c r="L253">
        <v>1.32</v>
      </c>
      <c r="M253">
        <v>2.7484653969999999</v>
      </c>
      <c r="N253">
        <f>E253/_xlfn.XLOOKUP(C253,Lookups!$A$2:$A$66,Lookups!$C$2:$C$66)</f>
        <v>373.51181289326843</v>
      </c>
    </row>
    <row r="254" spans="1:27" x14ac:dyDescent="0.2">
      <c r="A254">
        <v>35</v>
      </c>
      <c r="B254">
        <v>3</v>
      </c>
      <c r="C254" t="s">
        <v>162</v>
      </c>
      <c r="D254">
        <v>2015</v>
      </c>
      <c r="E254">
        <v>322079</v>
      </c>
      <c r="F254">
        <v>320816</v>
      </c>
      <c r="G254">
        <v>1263</v>
      </c>
      <c r="H254">
        <v>2.78</v>
      </c>
      <c r="I254">
        <v>117377</v>
      </c>
      <c r="J254">
        <v>115347</v>
      </c>
      <c r="K254">
        <v>2030</v>
      </c>
      <c r="L254">
        <v>1.73</v>
      </c>
      <c r="M254">
        <v>2.733210084</v>
      </c>
      <c r="N254">
        <f>E254/_xlfn.XLOOKUP(C254,Lookups!$A$2:$A$66,Lookups!$C$2:$C$66)</f>
        <v>382.38038703549807</v>
      </c>
    </row>
    <row r="255" spans="1:27" x14ac:dyDescent="0.2">
      <c r="A255">
        <v>35</v>
      </c>
      <c r="B255">
        <v>3</v>
      </c>
      <c r="C255" t="s">
        <v>162</v>
      </c>
      <c r="D255">
        <v>2016</v>
      </c>
      <c r="E255">
        <v>328333</v>
      </c>
      <c r="F255">
        <v>326991</v>
      </c>
      <c r="G255">
        <v>1342</v>
      </c>
      <c r="H255">
        <v>2.77</v>
      </c>
      <c r="I255">
        <v>119437</v>
      </c>
      <c r="J255">
        <v>117953</v>
      </c>
      <c r="K255">
        <v>1484</v>
      </c>
      <c r="L255">
        <v>1.24</v>
      </c>
      <c r="M255">
        <v>2.7377697030000001</v>
      </c>
      <c r="N255">
        <f>E255/_xlfn.XLOOKUP(C255,Lookups!$A$2:$A$66,Lookups!$C$2:$C$66)</f>
        <v>389.80529502552537</v>
      </c>
    </row>
    <row r="256" spans="1:27" x14ac:dyDescent="0.2">
      <c r="A256">
        <v>35</v>
      </c>
      <c r="B256">
        <v>3</v>
      </c>
      <c r="C256" t="s">
        <v>162</v>
      </c>
      <c r="D256">
        <v>2017</v>
      </c>
      <c r="E256">
        <v>335933</v>
      </c>
      <c r="F256">
        <v>334512</v>
      </c>
      <c r="G256">
        <v>1421</v>
      </c>
      <c r="H256">
        <v>2.77</v>
      </c>
      <c r="I256">
        <v>122812</v>
      </c>
      <c r="J256">
        <v>120764</v>
      </c>
      <c r="K256">
        <v>2048</v>
      </c>
      <c r="L256">
        <v>1.67</v>
      </c>
      <c r="M256">
        <v>2.7237729210000001</v>
      </c>
      <c r="N256">
        <f>E256/_xlfn.XLOOKUP(C256,Lookups!$A$2:$A$66,Lookups!$C$2:$C$66)</f>
        <v>398.82820847678977</v>
      </c>
    </row>
    <row r="257" spans="1:27" x14ac:dyDescent="0.2">
      <c r="A257">
        <v>35</v>
      </c>
      <c r="B257">
        <v>3</v>
      </c>
      <c r="C257" t="s">
        <v>162</v>
      </c>
      <c r="D257">
        <v>2018</v>
      </c>
      <c r="E257">
        <v>343267</v>
      </c>
      <c r="F257">
        <v>341768</v>
      </c>
      <c r="G257">
        <v>1499</v>
      </c>
      <c r="H257">
        <v>2.76</v>
      </c>
      <c r="I257">
        <v>128333</v>
      </c>
      <c r="J257">
        <v>123660</v>
      </c>
      <c r="K257">
        <v>4673</v>
      </c>
      <c r="L257">
        <v>3.64</v>
      </c>
      <c r="M257">
        <v>2.6631341900000001</v>
      </c>
      <c r="N257">
        <f>E257/_xlfn.XLOOKUP(C257,Lookups!$A$2:$A$66,Lookups!$C$2:$C$66)</f>
        <v>407.5353199572599</v>
      </c>
    </row>
    <row r="258" spans="1:27" x14ac:dyDescent="0.2">
      <c r="A258">
        <v>35</v>
      </c>
      <c r="B258">
        <v>3</v>
      </c>
      <c r="C258" t="s">
        <v>162</v>
      </c>
      <c r="D258">
        <v>2019</v>
      </c>
      <c r="E258">
        <v>351212</v>
      </c>
      <c r="F258">
        <v>349635</v>
      </c>
      <c r="G258">
        <v>1577</v>
      </c>
      <c r="H258">
        <v>2.76</v>
      </c>
      <c r="I258">
        <v>132630</v>
      </c>
      <c r="J258">
        <v>126845</v>
      </c>
      <c r="K258">
        <v>5785</v>
      </c>
      <c r="L258">
        <v>4.3600000000000003</v>
      </c>
      <c r="M258">
        <v>2.6361682879999999</v>
      </c>
      <c r="N258">
        <f>E258/_xlfn.XLOOKUP(C258,Lookups!$A$2:$A$66,Lookups!$C$2:$C$66)</f>
        <v>416.96782619019353</v>
      </c>
    </row>
    <row r="259" spans="1:27" x14ac:dyDescent="0.2">
      <c r="A259">
        <v>35</v>
      </c>
      <c r="B259">
        <v>3</v>
      </c>
      <c r="C259" t="s">
        <v>162</v>
      </c>
      <c r="D259">
        <v>2020</v>
      </c>
      <c r="E259">
        <v>360272</v>
      </c>
      <c r="F259">
        <v>358629</v>
      </c>
      <c r="G259">
        <v>1643</v>
      </c>
      <c r="I259">
        <v>136477</v>
      </c>
      <c r="M259">
        <v>2.6277614539999998</v>
      </c>
      <c r="N259">
        <f>E259/_xlfn.XLOOKUP(C259,Lookups!$A$2:$A$66,Lookups!$C$2:$C$66)</f>
        <v>427.72408880446397</v>
      </c>
      <c r="O259">
        <v>360272</v>
      </c>
      <c r="P259">
        <v>3583</v>
      </c>
      <c r="Q259">
        <v>1828</v>
      </c>
      <c r="R259">
        <v>7232</v>
      </c>
      <c r="S259">
        <v>1755</v>
      </c>
      <c r="T259">
        <v>136477</v>
      </c>
      <c r="W259">
        <v>358629</v>
      </c>
      <c r="X259">
        <v>3370</v>
      </c>
      <c r="AA259">
        <v>2.6277614539999998</v>
      </c>
    </row>
    <row r="260" spans="1:27" x14ac:dyDescent="0.2">
      <c r="A260">
        <v>35</v>
      </c>
      <c r="B260">
        <v>3</v>
      </c>
      <c r="C260" t="s">
        <v>162</v>
      </c>
      <c r="D260">
        <v>2021</v>
      </c>
      <c r="E260">
        <v>369758</v>
      </c>
      <c r="F260">
        <v>368151</v>
      </c>
      <c r="G260">
        <v>1607</v>
      </c>
      <c r="I260">
        <v>140356</v>
      </c>
      <c r="M260">
        <v>2.6229801359999998</v>
      </c>
      <c r="N260">
        <f>E260/_xlfn.XLOOKUP(C260,Lookups!$A$2:$A$66,Lookups!$C$2:$C$66)</f>
        <v>438.9861094621869</v>
      </c>
      <c r="O260">
        <v>369758</v>
      </c>
      <c r="P260">
        <v>3529</v>
      </c>
      <c r="Q260">
        <v>1657</v>
      </c>
      <c r="R260">
        <v>7829</v>
      </c>
      <c r="S260">
        <v>1872</v>
      </c>
      <c r="T260">
        <v>140356</v>
      </c>
      <c r="W260">
        <v>368151</v>
      </c>
      <c r="X260">
        <v>6059</v>
      </c>
      <c r="AA260">
        <v>2.6229801359999998</v>
      </c>
    </row>
    <row r="261" spans="1:27" x14ac:dyDescent="0.2">
      <c r="A261">
        <v>35</v>
      </c>
      <c r="B261">
        <v>3</v>
      </c>
      <c r="C261" t="s">
        <v>162</v>
      </c>
      <c r="D261">
        <v>2022</v>
      </c>
      <c r="E261">
        <v>376026</v>
      </c>
      <c r="F261">
        <v>374404</v>
      </c>
      <c r="G261">
        <v>1622</v>
      </c>
      <c r="I261">
        <v>145974</v>
      </c>
      <c r="M261">
        <v>2.5648677160000002</v>
      </c>
      <c r="N261">
        <f>E261/_xlfn.XLOOKUP(C261,Lookups!$A$2:$A$66,Lookups!$C$2:$C$66)</f>
        <v>446.42763860857178</v>
      </c>
      <c r="O261">
        <v>376026</v>
      </c>
      <c r="P261">
        <v>3850</v>
      </c>
      <c r="Q261">
        <v>1724</v>
      </c>
      <c r="R261">
        <v>4544</v>
      </c>
      <c r="S261">
        <v>2126</v>
      </c>
      <c r="T261">
        <v>145974</v>
      </c>
      <c r="W261">
        <v>374404</v>
      </c>
      <c r="X261">
        <v>4767</v>
      </c>
      <c r="AA261">
        <v>2.5648677160000002</v>
      </c>
    </row>
    <row r="262" spans="1:27" x14ac:dyDescent="0.2">
      <c r="A262">
        <v>37</v>
      </c>
      <c r="B262">
        <v>12</v>
      </c>
      <c r="C262" t="s">
        <v>163</v>
      </c>
      <c r="D262">
        <v>2010</v>
      </c>
      <c r="E262">
        <v>52057</v>
      </c>
      <c r="F262">
        <v>52002</v>
      </c>
      <c r="G262">
        <v>55</v>
      </c>
      <c r="H262">
        <v>2.75</v>
      </c>
      <c r="I262">
        <v>30810</v>
      </c>
      <c r="J262">
        <v>18902</v>
      </c>
      <c r="K262">
        <v>11908</v>
      </c>
      <c r="L262">
        <v>38.65</v>
      </c>
      <c r="M262">
        <v>1.687828627</v>
      </c>
      <c r="N262">
        <f>E262/_xlfn.XLOOKUP(C262,Lookups!$A$2:$A$66,Lookups!$C$2:$C$66)</f>
        <v>30.608081093158354</v>
      </c>
    </row>
    <row r="263" spans="1:27" x14ac:dyDescent="0.2">
      <c r="A263">
        <v>37</v>
      </c>
      <c r="B263">
        <v>12</v>
      </c>
      <c r="C263" t="s">
        <v>163</v>
      </c>
      <c r="D263">
        <v>2011</v>
      </c>
      <c r="E263">
        <v>52120</v>
      </c>
      <c r="F263">
        <v>52060</v>
      </c>
      <c r="G263">
        <v>60</v>
      </c>
      <c r="H263">
        <v>2.71</v>
      </c>
      <c r="I263">
        <v>30875</v>
      </c>
      <c r="J263">
        <v>19227</v>
      </c>
      <c r="K263">
        <v>11648</v>
      </c>
      <c r="L263">
        <v>37.729999999999997</v>
      </c>
      <c r="M263">
        <v>1.6861538460000001</v>
      </c>
      <c r="N263">
        <f>E263/_xlfn.XLOOKUP(C263,Lookups!$A$2:$A$66,Lookups!$C$2:$C$66)</f>
        <v>30.645123356617042</v>
      </c>
    </row>
    <row r="264" spans="1:27" x14ac:dyDescent="0.2">
      <c r="A264">
        <v>37</v>
      </c>
      <c r="B264">
        <v>12</v>
      </c>
      <c r="C264" t="s">
        <v>163</v>
      </c>
      <c r="D264">
        <v>2012</v>
      </c>
      <c r="E264">
        <v>52160</v>
      </c>
      <c r="F264">
        <v>52094</v>
      </c>
      <c r="G264">
        <v>65</v>
      </c>
      <c r="H264">
        <v>2.7</v>
      </c>
      <c r="I264">
        <v>30927</v>
      </c>
      <c r="J264">
        <v>19262</v>
      </c>
      <c r="K264">
        <v>11665</v>
      </c>
      <c r="L264">
        <v>37.72</v>
      </c>
      <c r="M264">
        <v>1.6844181460000001</v>
      </c>
      <c r="N264">
        <f>E264/_xlfn.XLOOKUP(C264,Lookups!$A$2:$A$66,Lookups!$C$2:$C$66)</f>
        <v>30.668642254051129</v>
      </c>
    </row>
    <row r="265" spans="1:27" x14ac:dyDescent="0.2">
      <c r="A265">
        <v>37</v>
      </c>
      <c r="B265">
        <v>12</v>
      </c>
      <c r="C265" t="s">
        <v>163</v>
      </c>
      <c r="D265">
        <v>2013</v>
      </c>
      <c r="E265">
        <v>52262</v>
      </c>
      <c r="F265">
        <v>52192</v>
      </c>
      <c r="G265">
        <v>71</v>
      </c>
      <c r="H265">
        <v>2.7</v>
      </c>
      <c r="I265">
        <v>31014</v>
      </c>
      <c r="J265">
        <v>19320</v>
      </c>
      <c r="K265">
        <v>11694</v>
      </c>
      <c r="L265">
        <v>37.71</v>
      </c>
      <c r="M265">
        <v>1.6828529050000001</v>
      </c>
      <c r="N265">
        <f>E265/_xlfn.XLOOKUP(C265,Lookups!$A$2:$A$66,Lookups!$C$2:$C$66)</f>
        <v>30.728615442508055</v>
      </c>
    </row>
    <row r="266" spans="1:27" x14ac:dyDescent="0.2">
      <c r="A266">
        <v>37</v>
      </c>
      <c r="B266">
        <v>12</v>
      </c>
      <c r="C266" t="s">
        <v>163</v>
      </c>
      <c r="D266">
        <v>2014</v>
      </c>
      <c r="E266">
        <v>52398</v>
      </c>
      <c r="F266">
        <v>52323</v>
      </c>
      <c r="G266">
        <v>76</v>
      </c>
      <c r="H266">
        <v>2.7</v>
      </c>
      <c r="I266">
        <v>31120</v>
      </c>
      <c r="J266">
        <v>19391</v>
      </c>
      <c r="K266">
        <v>11729</v>
      </c>
      <c r="L266">
        <v>37.69</v>
      </c>
      <c r="M266">
        <v>1.6813303340000001</v>
      </c>
      <c r="N266">
        <f>E266/_xlfn.XLOOKUP(C266,Lookups!$A$2:$A$66,Lookups!$C$2:$C$66)</f>
        <v>30.808579693783955</v>
      </c>
    </row>
    <row r="267" spans="1:27" x14ac:dyDescent="0.2">
      <c r="A267">
        <v>37</v>
      </c>
      <c r="B267">
        <v>12</v>
      </c>
      <c r="C267" t="s">
        <v>163</v>
      </c>
      <c r="D267">
        <v>2015</v>
      </c>
      <c r="E267">
        <v>52780</v>
      </c>
      <c r="F267">
        <v>52699</v>
      </c>
      <c r="G267">
        <v>81</v>
      </c>
      <c r="H267">
        <v>2.7</v>
      </c>
      <c r="I267">
        <v>31363</v>
      </c>
      <c r="J267">
        <v>19553</v>
      </c>
      <c r="K267">
        <v>11810</v>
      </c>
      <c r="L267">
        <v>37.659999999999997</v>
      </c>
      <c r="M267">
        <v>1.6802920640000001</v>
      </c>
      <c r="N267">
        <f>E267/_xlfn.XLOOKUP(C267,Lookups!$A$2:$A$66,Lookups!$C$2:$C$66)</f>
        <v>31.033185164279498</v>
      </c>
    </row>
    <row r="268" spans="1:27" x14ac:dyDescent="0.2">
      <c r="A268">
        <v>37</v>
      </c>
      <c r="B268">
        <v>12</v>
      </c>
      <c r="C268" t="s">
        <v>163</v>
      </c>
      <c r="D268">
        <v>2016</v>
      </c>
      <c r="E268">
        <v>53041</v>
      </c>
      <c r="F268">
        <v>52955</v>
      </c>
      <c r="G268">
        <v>86</v>
      </c>
      <c r="H268">
        <v>2.69</v>
      </c>
      <c r="I268">
        <v>31539</v>
      </c>
      <c r="J268">
        <v>19670</v>
      </c>
      <c r="K268">
        <v>11869</v>
      </c>
      <c r="L268">
        <v>37.630000000000003</v>
      </c>
      <c r="M268">
        <v>1.6790323089999999</v>
      </c>
      <c r="N268">
        <f>E268/_xlfn.XLOOKUP(C268,Lookups!$A$2:$A$66,Lookups!$C$2:$C$66)</f>
        <v>31.186645970036924</v>
      </c>
    </row>
    <row r="269" spans="1:27" x14ac:dyDescent="0.2">
      <c r="A269">
        <v>37</v>
      </c>
      <c r="B269">
        <v>12</v>
      </c>
      <c r="C269" t="s">
        <v>163</v>
      </c>
      <c r="D269">
        <v>2017</v>
      </c>
      <c r="E269">
        <v>53724</v>
      </c>
      <c r="F269">
        <v>53633</v>
      </c>
      <c r="G269">
        <v>91</v>
      </c>
      <c r="H269">
        <v>2.69</v>
      </c>
      <c r="I269">
        <v>31951</v>
      </c>
      <c r="J269">
        <v>19945</v>
      </c>
      <c r="K269">
        <v>12006</v>
      </c>
      <c r="L269">
        <v>37.58</v>
      </c>
      <c r="M269">
        <v>1.678601609</v>
      </c>
      <c r="N269">
        <f>E269/_xlfn.XLOOKUP(C269,Lookups!$A$2:$A$66,Lookups!$C$2:$C$66)</f>
        <v>31.588231143723981</v>
      </c>
    </row>
    <row r="270" spans="1:27" x14ac:dyDescent="0.2">
      <c r="A270">
        <v>37</v>
      </c>
      <c r="B270">
        <v>12</v>
      </c>
      <c r="C270" t="s">
        <v>163</v>
      </c>
      <c r="D270">
        <v>2018</v>
      </c>
      <c r="E270">
        <v>54205</v>
      </c>
      <c r="F270">
        <v>54108</v>
      </c>
      <c r="G270">
        <v>97</v>
      </c>
      <c r="H270">
        <v>2.69</v>
      </c>
      <c r="I270">
        <v>32251</v>
      </c>
      <c r="J270">
        <v>20145</v>
      </c>
      <c r="K270">
        <v>12106</v>
      </c>
      <c r="L270">
        <v>37.54</v>
      </c>
      <c r="M270">
        <v>1.67771542</v>
      </c>
      <c r="N270">
        <f>E270/_xlfn.XLOOKUP(C270,Lookups!$A$2:$A$66,Lookups!$C$2:$C$66)</f>
        <v>31.871045885368893</v>
      </c>
    </row>
    <row r="271" spans="1:27" x14ac:dyDescent="0.2">
      <c r="A271">
        <v>37</v>
      </c>
      <c r="B271">
        <v>12</v>
      </c>
      <c r="C271" t="s">
        <v>163</v>
      </c>
      <c r="D271">
        <v>2019</v>
      </c>
      <c r="E271">
        <v>54819</v>
      </c>
      <c r="F271">
        <v>54717</v>
      </c>
      <c r="G271">
        <v>102</v>
      </c>
      <c r="H271">
        <v>2.68</v>
      </c>
      <c r="I271">
        <v>32626</v>
      </c>
      <c r="J271">
        <v>20395</v>
      </c>
      <c r="K271">
        <v>12231</v>
      </c>
      <c r="L271">
        <v>37.49</v>
      </c>
      <c r="M271">
        <v>1.6770980200000001</v>
      </c>
      <c r="N271">
        <f>E271/_xlfn.XLOOKUP(C271,Lookups!$A$2:$A$66,Lookups!$C$2:$C$66)</f>
        <v>32.232060960982146</v>
      </c>
    </row>
    <row r="272" spans="1:27" x14ac:dyDescent="0.2">
      <c r="A272">
        <v>37</v>
      </c>
      <c r="B272">
        <v>12</v>
      </c>
      <c r="C272" t="s">
        <v>163</v>
      </c>
      <c r="D272">
        <v>2020</v>
      </c>
      <c r="E272">
        <v>55667</v>
      </c>
      <c r="F272">
        <v>55568</v>
      </c>
      <c r="G272">
        <v>99</v>
      </c>
      <c r="I272">
        <v>33102</v>
      </c>
      <c r="M272">
        <v>1.6786901089999999</v>
      </c>
      <c r="N272">
        <f>E272/_xlfn.XLOOKUP(C272,Lookups!$A$2:$A$66,Lookups!$C$2:$C$66)</f>
        <v>32.730661586584823</v>
      </c>
      <c r="O272">
        <v>55667</v>
      </c>
      <c r="P272">
        <v>529</v>
      </c>
      <c r="Q272">
        <v>358</v>
      </c>
      <c r="R272">
        <v>490</v>
      </c>
      <c r="S272">
        <v>171</v>
      </c>
      <c r="T272">
        <v>33102</v>
      </c>
      <c r="W272">
        <v>55568</v>
      </c>
      <c r="X272">
        <v>403</v>
      </c>
      <c r="AA272">
        <v>1.6786901089999999</v>
      </c>
    </row>
    <row r="273" spans="1:27" x14ac:dyDescent="0.2">
      <c r="A273">
        <v>37</v>
      </c>
      <c r="B273">
        <v>12</v>
      </c>
      <c r="C273" t="s">
        <v>163</v>
      </c>
      <c r="D273">
        <v>2021</v>
      </c>
      <c r="E273">
        <v>55785</v>
      </c>
      <c r="F273">
        <v>55688</v>
      </c>
      <c r="G273">
        <v>97</v>
      </c>
      <c r="I273">
        <v>33694</v>
      </c>
      <c r="M273">
        <v>1.6527571670000001</v>
      </c>
      <c r="N273">
        <f>E273/_xlfn.XLOOKUP(C273,Lookups!$A$2:$A$66,Lookups!$C$2:$C$66)</f>
        <v>32.80004233401538</v>
      </c>
      <c r="O273">
        <v>55785</v>
      </c>
      <c r="P273">
        <v>518</v>
      </c>
      <c r="Q273">
        <v>351</v>
      </c>
      <c r="R273">
        <v>-233</v>
      </c>
      <c r="S273">
        <v>167</v>
      </c>
      <c r="T273">
        <v>33694</v>
      </c>
      <c r="W273">
        <v>55688</v>
      </c>
      <c r="X273">
        <v>439</v>
      </c>
      <c r="AA273">
        <v>1.6527571670000001</v>
      </c>
    </row>
    <row r="274" spans="1:27" x14ac:dyDescent="0.2">
      <c r="A274">
        <v>37</v>
      </c>
      <c r="B274">
        <v>12</v>
      </c>
      <c r="C274" t="s">
        <v>163</v>
      </c>
      <c r="D274">
        <v>2022</v>
      </c>
      <c r="E274">
        <v>55291</v>
      </c>
      <c r="F274">
        <v>55190</v>
      </c>
      <c r="G274">
        <v>101</v>
      </c>
      <c r="I274">
        <v>34333</v>
      </c>
      <c r="M274">
        <v>1.607491335</v>
      </c>
      <c r="N274">
        <f>E274/_xlfn.XLOOKUP(C274,Lookups!$A$2:$A$66,Lookups!$C$2:$C$66)</f>
        <v>32.509583950704389</v>
      </c>
      <c r="O274">
        <v>55291</v>
      </c>
      <c r="P274">
        <v>523</v>
      </c>
      <c r="Q274">
        <v>344</v>
      </c>
      <c r="R274">
        <v>-838</v>
      </c>
      <c r="S274">
        <v>179</v>
      </c>
      <c r="T274">
        <v>34333</v>
      </c>
      <c r="W274">
        <v>55190</v>
      </c>
      <c r="X274">
        <v>268</v>
      </c>
      <c r="AA274">
        <v>1.607491335</v>
      </c>
    </row>
    <row r="275" spans="1:27" x14ac:dyDescent="0.2">
      <c r="A275">
        <v>41</v>
      </c>
      <c r="B275">
        <v>4</v>
      </c>
      <c r="C275" t="s">
        <v>165</v>
      </c>
      <c r="D275">
        <v>2010</v>
      </c>
      <c r="E275">
        <v>627232</v>
      </c>
      <c r="F275">
        <v>608091</v>
      </c>
      <c r="G275">
        <v>19141</v>
      </c>
      <c r="H275">
        <v>2.56</v>
      </c>
      <c r="I275">
        <v>253716</v>
      </c>
      <c r="J275">
        <v>237924</v>
      </c>
      <c r="K275">
        <v>15792</v>
      </c>
      <c r="L275">
        <v>6.22</v>
      </c>
      <c r="M275">
        <v>2.3967388729999999</v>
      </c>
      <c r="N275">
        <f>E275/_xlfn.XLOOKUP(C275,Lookups!$A$2:$A$66,Lookups!$C$2:$C$66)</f>
        <v>294.66879639199476</v>
      </c>
    </row>
    <row r="276" spans="1:27" x14ac:dyDescent="0.2">
      <c r="A276">
        <v>41</v>
      </c>
      <c r="B276">
        <v>4</v>
      </c>
      <c r="C276" t="s">
        <v>165</v>
      </c>
      <c r="D276">
        <v>2011</v>
      </c>
      <c r="E276">
        <v>639139</v>
      </c>
      <c r="F276">
        <v>618897</v>
      </c>
      <c r="G276">
        <v>20242</v>
      </c>
      <c r="H276">
        <v>2.56</v>
      </c>
      <c r="I276">
        <v>255593</v>
      </c>
      <c r="J276">
        <v>241699</v>
      </c>
      <c r="K276">
        <v>13894</v>
      </c>
      <c r="L276">
        <v>5.44</v>
      </c>
      <c r="M276">
        <v>2.4214160790000001</v>
      </c>
      <c r="N276">
        <f>E276/_xlfn.XLOOKUP(C276,Lookups!$A$2:$A$66,Lookups!$C$2:$C$66)</f>
        <v>300.26261392464534</v>
      </c>
    </row>
    <row r="277" spans="1:27" x14ac:dyDescent="0.2">
      <c r="A277">
        <v>41</v>
      </c>
      <c r="B277">
        <v>4</v>
      </c>
      <c r="C277" t="s">
        <v>165</v>
      </c>
      <c r="D277">
        <v>2012</v>
      </c>
      <c r="E277">
        <v>648445</v>
      </c>
      <c r="F277">
        <v>628404</v>
      </c>
      <c r="G277">
        <v>20041</v>
      </c>
      <c r="H277">
        <v>2.57</v>
      </c>
      <c r="I277">
        <v>257927</v>
      </c>
      <c r="J277">
        <v>244953</v>
      </c>
      <c r="K277">
        <v>12974</v>
      </c>
      <c r="L277">
        <v>5.03</v>
      </c>
      <c r="M277">
        <v>2.436363777</v>
      </c>
      <c r="N277">
        <f>E277/_xlfn.XLOOKUP(C277,Lookups!$A$2:$A$66,Lookups!$C$2:$C$66)</f>
        <v>304.63450155031478</v>
      </c>
    </row>
    <row r="278" spans="1:27" x14ac:dyDescent="0.2">
      <c r="A278">
        <v>41</v>
      </c>
      <c r="B278">
        <v>4</v>
      </c>
      <c r="C278" t="s">
        <v>165</v>
      </c>
      <c r="D278">
        <v>2013</v>
      </c>
      <c r="E278">
        <v>658303</v>
      </c>
      <c r="F278">
        <v>637964</v>
      </c>
      <c r="G278">
        <v>20339</v>
      </c>
      <c r="H278">
        <v>2.57</v>
      </c>
      <c r="I278">
        <v>261089</v>
      </c>
      <c r="J278">
        <v>248215</v>
      </c>
      <c r="K278">
        <v>12874</v>
      </c>
      <c r="L278">
        <v>4.93</v>
      </c>
      <c r="M278">
        <v>2.4434732979999998</v>
      </c>
      <c r="N278">
        <f>E278/_xlfn.XLOOKUP(C278,Lookups!$A$2:$A$66,Lookups!$C$2:$C$66)</f>
        <v>309.26571455416706</v>
      </c>
    </row>
    <row r="279" spans="1:27" x14ac:dyDescent="0.2">
      <c r="A279">
        <v>41</v>
      </c>
      <c r="B279">
        <v>4</v>
      </c>
      <c r="C279" t="s">
        <v>165</v>
      </c>
      <c r="D279">
        <v>2014</v>
      </c>
      <c r="E279">
        <v>665754</v>
      </c>
      <c r="F279">
        <v>645729</v>
      </c>
      <c r="G279">
        <v>20025</v>
      </c>
      <c r="H279">
        <v>2.57</v>
      </c>
      <c r="I279">
        <v>264933</v>
      </c>
      <c r="J279">
        <v>250769</v>
      </c>
      <c r="K279">
        <v>14164</v>
      </c>
      <c r="L279">
        <v>5.35</v>
      </c>
      <c r="M279">
        <v>2.4373294379999999</v>
      </c>
      <c r="N279">
        <f>E279/_xlfn.XLOOKUP(C279,Lookups!$A$2:$A$66,Lookups!$C$2:$C$66)</f>
        <v>312.76613736728365</v>
      </c>
    </row>
    <row r="280" spans="1:27" x14ac:dyDescent="0.2">
      <c r="A280">
        <v>41</v>
      </c>
      <c r="B280">
        <v>4</v>
      </c>
      <c r="C280" t="s">
        <v>165</v>
      </c>
      <c r="D280">
        <v>2015</v>
      </c>
      <c r="E280">
        <v>677969</v>
      </c>
      <c r="F280">
        <v>657529</v>
      </c>
      <c r="G280">
        <v>20440</v>
      </c>
      <c r="H280">
        <v>2.58</v>
      </c>
      <c r="I280">
        <v>268705</v>
      </c>
      <c r="J280">
        <v>254877</v>
      </c>
      <c r="K280">
        <v>13828</v>
      </c>
      <c r="L280">
        <v>5.15</v>
      </c>
      <c r="M280">
        <v>2.4470292699999998</v>
      </c>
      <c r="N280">
        <f>E280/_xlfn.XLOOKUP(C280,Lookups!$A$2:$A$66,Lookups!$C$2:$C$66)</f>
        <v>318.50465094428262</v>
      </c>
    </row>
    <row r="281" spans="1:27" x14ac:dyDescent="0.2">
      <c r="A281">
        <v>41</v>
      </c>
      <c r="B281">
        <v>4</v>
      </c>
      <c r="C281" t="s">
        <v>165</v>
      </c>
      <c r="D281">
        <v>2016</v>
      </c>
      <c r="E281">
        <v>692295</v>
      </c>
      <c r="F281">
        <v>671321</v>
      </c>
      <c r="G281">
        <v>20974</v>
      </c>
      <c r="H281">
        <v>2.58</v>
      </c>
      <c r="I281">
        <v>272240</v>
      </c>
      <c r="J281">
        <v>259740</v>
      </c>
      <c r="K281">
        <v>12500</v>
      </c>
      <c r="L281">
        <v>4.59</v>
      </c>
      <c r="M281">
        <v>2.4659161030000001</v>
      </c>
      <c r="N281">
        <f>E281/_xlfn.XLOOKUP(C281,Lookups!$A$2:$A$66,Lookups!$C$2:$C$66)</f>
        <v>325.2348961758903</v>
      </c>
    </row>
    <row r="282" spans="1:27" x14ac:dyDescent="0.2">
      <c r="A282">
        <v>41</v>
      </c>
      <c r="B282">
        <v>4</v>
      </c>
      <c r="C282" t="s">
        <v>165</v>
      </c>
      <c r="D282">
        <v>2017</v>
      </c>
      <c r="E282">
        <v>704797</v>
      </c>
      <c r="F282">
        <v>683661</v>
      </c>
      <c r="G282">
        <v>21136</v>
      </c>
      <c r="H282">
        <v>2.59</v>
      </c>
      <c r="I282">
        <v>276227</v>
      </c>
      <c r="J282">
        <v>264025</v>
      </c>
      <c r="K282">
        <v>12202</v>
      </c>
      <c r="L282">
        <v>4.42</v>
      </c>
      <c r="M282">
        <v>2.4749970129999999</v>
      </c>
      <c r="N282">
        <f>E282/_xlfn.XLOOKUP(C282,Lookups!$A$2:$A$66,Lookups!$C$2:$C$66)</f>
        <v>331.10824015785022</v>
      </c>
    </row>
    <row r="283" spans="1:27" x14ac:dyDescent="0.2">
      <c r="A283">
        <v>41</v>
      </c>
      <c r="B283">
        <v>4</v>
      </c>
      <c r="C283" t="s">
        <v>165</v>
      </c>
      <c r="D283">
        <v>2018</v>
      </c>
      <c r="E283">
        <v>717812</v>
      </c>
      <c r="F283">
        <v>696781</v>
      </c>
      <c r="G283">
        <v>21031</v>
      </c>
      <c r="H283">
        <v>2.59</v>
      </c>
      <c r="I283">
        <v>280240</v>
      </c>
      <c r="J283">
        <v>268594</v>
      </c>
      <c r="K283">
        <v>11646</v>
      </c>
      <c r="L283">
        <v>4.16</v>
      </c>
      <c r="M283">
        <v>2.4863723950000001</v>
      </c>
      <c r="N283">
        <f>E283/_xlfn.XLOOKUP(C283,Lookups!$A$2:$A$66,Lookups!$C$2:$C$66)</f>
        <v>337.22258761627364</v>
      </c>
    </row>
    <row r="284" spans="1:27" x14ac:dyDescent="0.2">
      <c r="A284">
        <v>41</v>
      </c>
      <c r="B284">
        <v>4</v>
      </c>
      <c r="C284" t="s">
        <v>165</v>
      </c>
      <c r="D284">
        <v>2019</v>
      </c>
      <c r="E284">
        <v>725497</v>
      </c>
      <c r="F284">
        <v>704321</v>
      </c>
      <c r="G284">
        <v>21176</v>
      </c>
      <c r="H284">
        <v>2.6</v>
      </c>
      <c r="I284">
        <v>284340</v>
      </c>
      <c r="J284">
        <v>271000</v>
      </c>
      <c r="K284">
        <v>13340</v>
      </c>
      <c r="L284">
        <v>4.6900000000000004</v>
      </c>
      <c r="M284">
        <v>2.4770380529999998</v>
      </c>
      <c r="N284">
        <f>E284/_xlfn.XLOOKUP(C284,Lookups!$A$2:$A$66,Lookups!$C$2:$C$66)</f>
        <v>340.83294183970685</v>
      </c>
    </row>
    <row r="285" spans="1:27" x14ac:dyDescent="0.2">
      <c r="A285">
        <v>41</v>
      </c>
      <c r="B285">
        <v>4</v>
      </c>
      <c r="C285" t="s">
        <v>165</v>
      </c>
      <c r="D285">
        <v>2020</v>
      </c>
      <c r="E285">
        <v>732366</v>
      </c>
      <c r="F285">
        <v>711877</v>
      </c>
      <c r="G285">
        <v>20489</v>
      </c>
      <c r="I285">
        <v>288421</v>
      </c>
      <c r="M285">
        <v>2.4681871289999999</v>
      </c>
      <c r="N285">
        <f>E285/_xlfn.XLOOKUP(C285,Lookups!$A$2:$A$66,Lookups!$C$2:$C$66)</f>
        <v>344.05994550408718</v>
      </c>
      <c r="O285">
        <v>732366</v>
      </c>
      <c r="P285">
        <v>9003</v>
      </c>
      <c r="Q285">
        <v>4014</v>
      </c>
      <c r="R285">
        <v>2855</v>
      </c>
      <c r="S285">
        <v>4989</v>
      </c>
      <c r="T285">
        <v>288421</v>
      </c>
      <c r="W285">
        <v>711877</v>
      </c>
      <c r="X285">
        <v>6819</v>
      </c>
      <c r="AA285">
        <v>2.4681871289999999</v>
      </c>
    </row>
    <row r="286" spans="1:27" x14ac:dyDescent="0.2">
      <c r="A286">
        <v>41</v>
      </c>
      <c r="B286">
        <v>4</v>
      </c>
      <c r="C286" t="s">
        <v>165</v>
      </c>
      <c r="D286">
        <v>2021</v>
      </c>
      <c r="E286">
        <v>737202</v>
      </c>
      <c r="F286">
        <v>718092</v>
      </c>
      <c r="G286">
        <v>19110</v>
      </c>
      <c r="I286">
        <v>295128</v>
      </c>
      <c r="M286">
        <v>2.4331544279999999</v>
      </c>
      <c r="N286">
        <f>E286/_xlfn.XLOOKUP(C286,Lookups!$A$2:$A$66,Lookups!$C$2:$C$66)</f>
        <v>346.33186131729775</v>
      </c>
      <c r="O286">
        <v>737202</v>
      </c>
      <c r="P286">
        <v>9280</v>
      </c>
      <c r="Q286">
        <v>3355</v>
      </c>
      <c r="R286">
        <v>1481</v>
      </c>
      <c r="S286">
        <v>5925</v>
      </c>
      <c r="T286">
        <v>295128</v>
      </c>
      <c r="W286">
        <v>718092</v>
      </c>
      <c r="X286">
        <v>9186</v>
      </c>
      <c r="AA286">
        <v>2.4331544279999999</v>
      </c>
    </row>
    <row r="287" spans="1:27" x14ac:dyDescent="0.2">
      <c r="A287">
        <v>41</v>
      </c>
      <c r="B287">
        <v>4</v>
      </c>
      <c r="C287" t="s">
        <v>165</v>
      </c>
      <c r="D287">
        <v>2022</v>
      </c>
      <c r="E287">
        <v>740552</v>
      </c>
      <c r="F287">
        <v>720084</v>
      </c>
      <c r="G287">
        <v>20468</v>
      </c>
      <c r="I287">
        <v>304114</v>
      </c>
      <c r="M287">
        <v>2.3678094399999998</v>
      </c>
      <c r="N287">
        <f>E287/_xlfn.XLOOKUP(C287,Lookups!$A$2:$A$66,Lookups!$C$2:$C$66)</f>
        <v>347.90566569576248</v>
      </c>
      <c r="O287">
        <v>740552</v>
      </c>
      <c r="P287">
        <v>9267</v>
      </c>
      <c r="Q287">
        <v>3029</v>
      </c>
      <c r="R287">
        <v>321</v>
      </c>
      <c r="S287">
        <v>6238</v>
      </c>
      <c r="T287">
        <v>304114</v>
      </c>
      <c r="W287">
        <v>720084</v>
      </c>
      <c r="X287">
        <v>8685</v>
      </c>
      <c r="AA287">
        <v>2.3678094399999998</v>
      </c>
    </row>
    <row r="288" spans="1:27" x14ac:dyDescent="0.2">
      <c r="A288">
        <v>39</v>
      </c>
      <c r="B288">
        <v>5</v>
      </c>
      <c r="C288" t="s">
        <v>164</v>
      </c>
      <c r="D288">
        <v>2010</v>
      </c>
      <c r="E288">
        <v>23107</v>
      </c>
      <c r="F288">
        <v>23034</v>
      </c>
      <c r="G288">
        <v>73</v>
      </c>
      <c r="H288">
        <v>2.75</v>
      </c>
      <c r="I288">
        <v>8949</v>
      </c>
      <c r="J288">
        <v>8388</v>
      </c>
      <c r="K288">
        <v>561</v>
      </c>
      <c r="L288">
        <v>6.27</v>
      </c>
      <c r="M288">
        <v>2.5739188739999999</v>
      </c>
      <c r="N288">
        <f>E288/_xlfn.XLOOKUP(C288,Lookups!$A$2:$A$66,Lookups!$C$2:$C$66)</f>
        <v>12.496484738356372</v>
      </c>
    </row>
    <row r="289" spans="1:27" x14ac:dyDescent="0.2">
      <c r="A289">
        <v>39</v>
      </c>
      <c r="B289">
        <v>5</v>
      </c>
      <c r="C289" t="s">
        <v>164</v>
      </c>
      <c r="D289">
        <v>2011</v>
      </c>
      <c r="E289">
        <v>23032</v>
      </c>
      <c r="F289">
        <v>22959</v>
      </c>
      <c r="G289">
        <v>73</v>
      </c>
      <c r="H289">
        <v>2.75</v>
      </c>
      <c r="I289">
        <v>8956</v>
      </c>
      <c r="J289">
        <v>8353</v>
      </c>
      <c r="K289">
        <v>603</v>
      </c>
      <c r="L289">
        <v>6.73</v>
      </c>
      <c r="M289">
        <v>2.563532827</v>
      </c>
      <c r="N289">
        <f>E289/_xlfn.XLOOKUP(C289,Lookups!$A$2:$A$66,Lookups!$C$2:$C$66)</f>
        <v>12.455924027083739</v>
      </c>
    </row>
    <row r="290" spans="1:27" x14ac:dyDescent="0.2">
      <c r="A290">
        <v>39</v>
      </c>
      <c r="B290">
        <v>5</v>
      </c>
      <c r="C290" t="s">
        <v>164</v>
      </c>
      <c r="D290">
        <v>2012</v>
      </c>
      <c r="E290">
        <v>23034</v>
      </c>
      <c r="F290">
        <v>22961</v>
      </c>
      <c r="G290">
        <v>73</v>
      </c>
      <c r="H290">
        <v>2.75</v>
      </c>
      <c r="I290">
        <v>8960</v>
      </c>
      <c r="J290">
        <v>8345</v>
      </c>
      <c r="K290">
        <v>615</v>
      </c>
      <c r="L290">
        <v>6.86</v>
      </c>
      <c r="M290">
        <v>2.562611607</v>
      </c>
      <c r="N290">
        <f>E290/_xlfn.XLOOKUP(C290,Lookups!$A$2:$A$66,Lookups!$C$2:$C$66)</f>
        <v>12.457005646051009</v>
      </c>
    </row>
    <row r="291" spans="1:27" x14ac:dyDescent="0.2">
      <c r="A291">
        <v>39</v>
      </c>
      <c r="B291">
        <v>5</v>
      </c>
      <c r="C291" t="s">
        <v>164</v>
      </c>
      <c r="D291">
        <v>2013</v>
      </c>
      <c r="E291">
        <v>23183</v>
      </c>
      <c r="F291">
        <v>23111</v>
      </c>
      <c r="G291">
        <v>72</v>
      </c>
      <c r="H291">
        <v>2.75</v>
      </c>
      <c r="I291">
        <v>8978</v>
      </c>
      <c r="J291">
        <v>8392</v>
      </c>
      <c r="K291">
        <v>586</v>
      </c>
      <c r="L291">
        <v>6.53</v>
      </c>
      <c r="M291">
        <v>2.5741813320000002</v>
      </c>
      <c r="N291">
        <f>E291/_xlfn.XLOOKUP(C291,Lookups!$A$2:$A$66,Lookups!$C$2:$C$66)</f>
        <v>12.53758625911264</v>
      </c>
    </row>
    <row r="292" spans="1:27" x14ac:dyDescent="0.2">
      <c r="A292">
        <v>39</v>
      </c>
      <c r="B292">
        <v>5</v>
      </c>
      <c r="C292" t="s">
        <v>164</v>
      </c>
      <c r="D292">
        <v>2014</v>
      </c>
      <c r="E292">
        <v>23569</v>
      </c>
      <c r="F292">
        <v>23497</v>
      </c>
      <c r="G292">
        <v>72</v>
      </c>
      <c r="H292">
        <v>2.76</v>
      </c>
      <c r="I292">
        <v>9029</v>
      </c>
      <c r="J292">
        <v>8524</v>
      </c>
      <c r="K292">
        <v>505</v>
      </c>
      <c r="L292">
        <v>5.59</v>
      </c>
      <c r="M292">
        <v>2.6023922920000002</v>
      </c>
      <c r="N292">
        <f>E292/_xlfn.XLOOKUP(C292,Lookups!$A$2:$A$66,Lookups!$C$2:$C$66)</f>
        <v>12.746338719795791</v>
      </c>
    </row>
    <row r="293" spans="1:27" x14ac:dyDescent="0.2">
      <c r="A293">
        <v>39</v>
      </c>
      <c r="B293">
        <v>5</v>
      </c>
      <c r="C293" t="s">
        <v>164</v>
      </c>
      <c r="D293">
        <v>2015</v>
      </c>
      <c r="E293">
        <v>24061</v>
      </c>
      <c r="F293">
        <v>23989</v>
      </c>
      <c r="G293">
        <v>72</v>
      </c>
      <c r="H293">
        <v>2.76</v>
      </c>
      <c r="I293">
        <v>9116</v>
      </c>
      <c r="J293">
        <v>8694</v>
      </c>
      <c r="K293">
        <v>422</v>
      </c>
      <c r="L293">
        <v>4.63</v>
      </c>
      <c r="M293">
        <v>2.6315269859999999</v>
      </c>
      <c r="N293">
        <f>E293/_xlfn.XLOOKUP(C293,Lookups!$A$2:$A$66,Lookups!$C$2:$C$66)</f>
        <v>13.012416985744263</v>
      </c>
    </row>
    <row r="294" spans="1:27" x14ac:dyDescent="0.2">
      <c r="A294">
        <v>39</v>
      </c>
      <c r="B294">
        <v>5</v>
      </c>
      <c r="C294" t="s">
        <v>164</v>
      </c>
      <c r="D294">
        <v>2016</v>
      </c>
      <c r="E294">
        <v>24450</v>
      </c>
      <c r="F294">
        <v>24379</v>
      </c>
      <c r="G294">
        <v>71</v>
      </c>
      <c r="H294">
        <v>2.76</v>
      </c>
      <c r="I294">
        <v>9236</v>
      </c>
      <c r="J294">
        <v>8827</v>
      </c>
      <c r="K294">
        <v>409</v>
      </c>
      <c r="L294">
        <v>4.43</v>
      </c>
      <c r="M294">
        <v>2.6395625809999999</v>
      </c>
      <c r="N294">
        <f>E294/_xlfn.XLOOKUP(C294,Lookups!$A$2:$A$66,Lookups!$C$2:$C$66)</f>
        <v>13.222791874878318</v>
      </c>
    </row>
    <row r="295" spans="1:27" x14ac:dyDescent="0.2">
      <c r="A295">
        <v>39</v>
      </c>
      <c r="B295">
        <v>5</v>
      </c>
      <c r="C295" t="s">
        <v>164</v>
      </c>
      <c r="D295">
        <v>2017</v>
      </c>
      <c r="E295">
        <v>24942</v>
      </c>
      <c r="F295">
        <v>24871</v>
      </c>
      <c r="G295">
        <v>71</v>
      </c>
      <c r="H295">
        <v>2.76</v>
      </c>
      <c r="I295">
        <v>9328</v>
      </c>
      <c r="J295">
        <v>8997</v>
      </c>
      <c r="K295">
        <v>331</v>
      </c>
      <c r="L295">
        <v>3.55</v>
      </c>
      <c r="M295">
        <v>2.6662735849999999</v>
      </c>
      <c r="N295">
        <f>E295/_xlfn.XLOOKUP(C295,Lookups!$A$2:$A$66,Lookups!$C$2:$C$66)</f>
        <v>13.488870140826791</v>
      </c>
    </row>
    <row r="296" spans="1:27" x14ac:dyDescent="0.2">
      <c r="A296">
        <v>39</v>
      </c>
      <c r="B296">
        <v>5</v>
      </c>
      <c r="C296" t="s">
        <v>164</v>
      </c>
      <c r="D296">
        <v>2018</v>
      </c>
      <c r="E296">
        <v>25366</v>
      </c>
      <c r="F296">
        <v>25296</v>
      </c>
      <c r="G296">
        <v>70</v>
      </c>
      <c r="H296">
        <v>2.77</v>
      </c>
      <c r="I296">
        <v>9463</v>
      </c>
      <c r="J296">
        <v>9142</v>
      </c>
      <c r="K296">
        <v>321</v>
      </c>
      <c r="L296">
        <v>3.39</v>
      </c>
      <c r="M296">
        <v>2.67314805</v>
      </c>
      <c r="N296">
        <f>E296/_xlfn.XLOOKUP(C296,Lookups!$A$2:$A$66,Lookups!$C$2:$C$66)</f>
        <v>13.718173361888075</v>
      </c>
    </row>
    <row r="297" spans="1:27" x14ac:dyDescent="0.2">
      <c r="A297">
        <v>39</v>
      </c>
      <c r="B297">
        <v>5</v>
      </c>
      <c r="C297" t="s">
        <v>164</v>
      </c>
      <c r="D297">
        <v>2019</v>
      </c>
      <c r="E297">
        <v>25667</v>
      </c>
      <c r="F297">
        <v>25597</v>
      </c>
      <c r="G297">
        <v>70</v>
      </c>
      <c r="H297">
        <v>2.77</v>
      </c>
      <c r="I297">
        <v>9673</v>
      </c>
      <c r="J297">
        <v>9242</v>
      </c>
      <c r="K297">
        <v>431</v>
      </c>
      <c r="L297">
        <v>4.46</v>
      </c>
      <c r="M297">
        <v>2.6462317789999998</v>
      </c>
      <c r="N297">
        <f>E297/_xlfn.XLOOKUP(C297,Lookups!$A$2:$A$66,Lookups!$C$2:$C$66)</f>
        <v>13.880957016462242</v>
      </c>
    </row>
    <row r="298" spans="1:27" x14ac:dyDescent="0.2">
      <c r="A298">
        <v>39</v>
      </c>
      <c r="B298">
        <v>5</v>
      </c>
      <c r="C298" t="s">
        <v>164</v>
      </c>
      <c r="D298">
        <v>2020</v>
      </c>
      <c r="E298">
        <v>26220</v>
      </c>
      <c r="F298">
        <v>26159</v>
      </c>
      <c r="G298">
        <v>61</v>
      </c>
      <c r="I298">
        <v>9858</v>
      </c>
      <c r="M298">
        <v>2.6535808479999998</v>
      </c>
      <c r="N298">
        <f>E298/_xlfn.XLOOKUP(C298,Lookups!$A$2:$A$66,Lookups!$C$2:$C$66)</f>
        <v>14.180024660912455</v>
      </c>
      <c r="O298">
        <v>26220</v>
      </c>
      <c r="P298">
        <v>233</v>
      </c>
      <c r="Q298">
        <v>71</v>
      </c>
      <c r="R298">
        <v>482</v>
      </c>
      <c r="S298">
        <v>162</v>
      </c>
      <c r="T298">
        <v>9858</v>
      </c>
      <c r="W298">
        <v>26159</v>
      </c>
      <c r="X298">
        <v>296</v>
      </c>
      <c r="AA298">
        <v>2.6535808479999998</v>
      </c>
    </row>
    <row r="299" spans="1:27" x14ac:dyDescent="0.2">
      <c r="A299">
        <v>39</v>
      </c>
      <c r="B299">
        <v>5</v>
      </c>
      <c r="C299" t="s">
        <v>164</v>
      </c>
      <c r="D299">
        <v>2021</v>
      </c>
      <c r="E299">
        <v>27144</v>
      </c>
      <c r="F299">
        <v>27082</v>
      </c>
      <c r="G299">
        <v>62</v>
      </c>
      <c r="I299">
        <v>10145</v>
      </c>
      <c r="M299">
        <v>2.6694923610000001</v>
      </c>
      <c r="N299">
        <f>E299/_xlfn.XLOOKUP(C299,Lookups!$A$2:$A$66,Lookups!$C$2:$C$66)</f>
        <v>14.679732623791292</v>
      </c>
      <c r="O299">
        <v>27144</v>
      </c>
      <c r="P299">
        <v>219</v>
      </c>
      <c r="Q299">
        <v>20</v>
      </c>
      <c r="R299">
        <v>904</v>
      </c>
      <c r="S299">
        <v>199</v>
      </c>
      <c r="T299">
        <v>10145</v>
      </c>
      <c r="W299">
        <v>27082</v>
      </c>
      <c r="X299">
        <v>413</v>
      </c>
      <c r="AA299">
        <v>2.6694923610000001</v>
      </c>
    </row>
    <row r="300" spans="1:27" x14ac:dyDescent="0.2">
      <c r="A300">
        <v>39</v>
      </c>
      <c r="B300">
        <v>5</v>
      </c>
      <c r="C300" t="s">
        <v>164</v>
      </c>
      <c r="D300">
        <v>2022</v>
      </c>
      <c r="E300">
        <v>27821</v>
      </c>
      <c r="F300">
        <v>27762</v>
      </c>
      <c r="G300">
        <v>59</v>
      </c>
      <c r="I300">
        <v>10555</v>
      </c>
      <c r="M300">
        <v>2.6302226430000002</v>
      </c>
      <c r="N300">
        <f>E300/_xlfn.XLOOKUP(C300,Lookups!$A$2:$A$66,Lookups!$C$2:$C$66)</f>
        <v>15.045860644212258</v>
      </c>
      <c r="O300">
        <v>27821</v>
      </c>
      <c r="P300">
        <v>261</v>
      </c>
      <c r="Q300">
        <v>31</v>
      </c>
      <c r="R300">
        <v>646</v>
      </c>
      <c r="S300">
        <v>230</v>
      </c>
      <c r="T300">
        <v>10555</v>
      </c>
      <c r="W300">
        <v>27762</v>
      </c>
      <c r="X300">
        <v>284</v>
      </c>
      <c r="AA300">
        <v>2.6302226430000002</v>
      </c>
    </row>
    <row r="301" spans="1:27" x14ac:dyDescent="0.2">
      <c r="A301">
        <v>43</v>
      </c>
      <c r="B301">
        <v>13</v>
      </c>
      <c r="C301" t="s">
        <v>166</v>
      </c>
      <c r="D301">
        <v>2010</v>
      </c>
      <c r="E301">
        <v>46854</v>
      </c>
      <c r="F301">
        <v>38150</v>
      </c>
      <c r="G301">
        <v>8704</v>
      </c>
      <c r="H301">
        <v>2.2799999999999998</v>
      </c>
      <c r="I301">
        <v>19448</v>
      </c>
      <c r="J301">
        <v>16744</v>
      </c>
      <c r="K301">
        <v>2704</v>
      </c>
      <c r="L301">
        <v>13.9</v>
      </c>
      <c r="M301">
        <v>1.9616412999999999</v>
      </c>
      <c r="N301">
        <f>E301/_xlfn.XLOOKUP(C301,Lookups!$A$2:$A$66,Lookups!$C$2:$C$66)</f>
        <v>30.56180654756081</v>
      </c>
    </row>
    <row r="302" spans="1:27" x14ac:dyDescent="0.2">
      <c r="A302">
        <v>43</v>
      </c>
      <c r="B302">
        <v>13</v>
      </c>
      <c r="C302" t="s">
        <v>166</v>
      </c>
      <c r="D302">
        <v>2011</v>
      </c>
      <c r="E302">
        <v>47076</v>
      </c>
      <c r="F302">
        <v>38459</v>
      </c>
      <c r="G302">
        <v>8618</v>
      </c>
      <c r="H302">
        <v>2.2999999999999998</v>
      </c>
      <c r="I302">
        <v>19536</v>
      </c>
      <c r="J302">
        <v>16735</v>
      </c>
      <c r="K302">
        <v>2801</v>
      </c>
      <c r="L302">
        <v>14.34</v>
      </c>
      <c r="M302">
        <v>1.968622031</v>
      </c>
      <c r="N302">
        <f>E302/_xlfn.XLOOKUP(C302,Lookups!$A$2:$A$66,Lookups!$C$2:$C$66)</f>
        <v>30.706612136273801</v>
      </c>
    </row>
    <row r="303" spans="1:27" x14ac:dyDescent="0.2">
      <c r="A303">
        <v>43</v>
      </c>
      <c r="B303">
        <v>13</v>
      </c>
      <c r="C303" t="s">
        <v>166</v>
      </c>
      <c r="D303">
        <v>2012</v>
      </c>
      <c r="E303">
        <v>47130</v>
      </c>
      <c r="F303">
        <v>38599</v>
      </c>
      <c r="G303">
        <v>8531</v>
      </c>
      <c r="H303">
        <v>2.2999999999999998</v>
      </c>
      <c r="I303">
        <v>19578</v>
      </c>
      <c r="J303">
        <v>16803</v>
      </c>
      <c r="K303">
        <v>2775</v>
      </c>
      <c r="L303">
        <v>14.18</v>
      </c>
      <c r="M303">
        <v>1.9715496990000001</v>
      </c>
      <c r="N303">
        <f>E303/_xlfn.XLOOKUP(C303,Lookups!$A$2:$A$66,Lookups!$C$2:$C$66)</f>
        <v>30.741835117312096</v>
      </c>
    </row>
    <row r="304" spans="1:27" x14ac:dyDescent="0.2">
      <c r="A304">
        <v>43</v>
      </c>
      <c r="B304">
        <v>13</v>
      </c>
      <c r="C304" t="s">
        <v>166</v>
      </c>
      <c r="D304">
        <v>2013</v>
      </c>
      <c r="E304">
        <v>47183</v>
      </c>
      <c r="F304">
        <v>38739</v>
      </c>
      <c r="G304">
        <v>8445</v>
      </c>
      <c r="H304">
        <v>2.2999999999999998</v>
      </c>
      <c r="I304">
        <v>19620</v>
      </c>
      <c r="J304">
        <v>16870</v>
      </c>
      <c r="K304">
        <v>2750</v>
      </c>
      <c r="L304">
        <v>14.02</v>
      </c>
      <c r="M304">
        <v>1.974464832</v>
      </c>
      <c r="N304">
        <f>E304/_xlfn.XLOOKUP(C304,Lookups!$A$2:$A$66,Lookups!$C$2:$C$66)</f>
        <v>30.776405820923756</v>
      </c>
    </row>
    <row r="305" spans="1:27" x14ac:dyDescent="0.2">
      <c r="A305">
        <v>43</v>
      </c>
      <c r="B305">
        <v>13</v>
      </c>
      <c r="C305" t="s">
        <v>166</v>
      </c>
      <c r="D305">
        <v>2014</v>
      </c>
      <c r="E305">
        <v>47119</v>
      </c>
      <c r="F305">
        <v>38761</v>
      </c>
      <c r="G305">
        <v>8358</v>
      </c>
      <c r="H305">
        <v>2.2999999999999998</v>
      </c>
      <c r="I305">
        <v>19630</v>
      </c>
      <c r="J305">
        <v>16886</v>
      </c>
      <c r="K305">
        <v>2744</v>
      </c>
      <c r="L305">
        <v>13.98</v>
      </c>
      <c r="M305">
        <v>1.9745797249999999</v>
      </c>
      <c r="N305">
        <f>E305/_xlfn.XLOOKUP(C305,Lookups!$A$2:$A$66,Lookups!$C$2:$C$66)</f>
        <v>30.73466006561911</v>
      </c>
    </row>
    <row r="306" spans="1:27" x14ac:dyDescent="0.2">
      <c r="A306">
        <v>43</v>
      </c>
      <c r="B306">
        <v>13</v>
      </c>
      <c r="C306" t="s">
        <v>166</v>
      </c>
      <c r="D306">
        <v>2015</v>
      </c>
      <c r="E306">
        <v>47213</v>
      </c>
      <c r="F306">
        <v>38941</v>
      </c>
      <c r="G306">
        <v>8272</v>
      </c>
      <c r="H306">
        <v>2.29</v>
      </c>
      <c r="I306">
        <v>19683</v>
      </c>
      <c r="J306">
        <v>16970</v>
      </c>
      <c r="K306">
        <v>2713</v>
      </c>
      <c r="L306">
        <v>13.78</v>
      </c>
      <c r="M306">
        <v>1.9784077630000001</v>
      </c>
      <c r="N306">
        <f>E306/_xlfn.XLOOKUP(C306,Lookups!$A$2:$A$66,Lookups!$C$2:$C$66)</f>
        <v>30.795974143722809</v>
      </c>
    </row>
    <row r="307" spans="1:27" x14ac:dyDescent="0.2">
      <c r="A307">
        <v>43</v>
      </c>
      <c r="B307">
        <v>13</v>
      </c>
      <c r="C307" t="s">
        <v>166</v>
      </c>
      <c r="D307">
        <v>2016</v>
      </c>
      <c r="E307">
        <v>47284</v>
      </c>
      <c r="F307">
        <v>39099</v>
      </c>
      <c r="G307">
        <v>8186</v>
      </c>
      <c r="H307">
        <v>2.29</v>
      </c>
      <c r="I307">
        <v>19730</v>
      </c>
      <c r="J307">
        <v>17045</v>
      </c>
      <c r="K307">
        <v>2685</v>
      </c>
      <c r="L307">
        <v>13.61</v>
      </c>
      <c r="M307">
        <v>1.9817029900000001</v>
      </c>
      <c r="N307">
        <f>E307/_xlfn.XLOOKUP(C307,Lookups!$A$2:$A$66,Lookups!$C$2:$C$66)</f>
        <v>30.842285841013901</v>
      </c>
    </row>
    <row r="308" spans="1:27" x14ac:dyDescent="0.2">
      <c r="A308">
        <v>43</v>
      </c>
      <c r="B308">
        <v>13</v>
      </c>
      <c r="C308" t="s">
        <v>166</v>
      </c>
      <c r="D308">
        <v>2017</v>
      </c>
      <c r="E308">
        <v>47564</v>
      </c>
      <c r="F308">
        <v>39465</v>
      </c>
      <c r="G308">
        <v>8099</v>
      </c>
      <c r="H308">
        <v>2.29</v>
      </c>
      <c r="I308">
        <v>19834</v>
      </c>
      <c r="J308">
        <v>17211</v>
      </c>
      <c r="K308">
        <v>2623</v>
      </c>
      <c r="L308">
        <v>13.22</v>
      </c>
      <c r="M308">
        <v>1.9897650499999999</v>
      </c>
      <c r="N308">
        <f>E308/_xlfn.XLOOKUP(C308,Lookups!$A$2:$A$66,Lookups!$C$2:$C$66)</f>
        <v>31.024923520471727</v>
      </c>
    </row>
    <row r="309" spans="1:27" x14ac:dyDescent="0.2">
      <c r="A309">
        <v>43</v>
      </c>
      <c r="B309">
        <v>13</v>
      </c>
      <c r="C309" t="s">
        <v>166</v>
      </c>
      <c r="D309">
        <v>2018</v>
      </c>
      <c r="E309">
        <v>47990</v>
      </c>
      <c r="F309">
        <v>39977</v>
      </c>
      <c r="G309">
        <v>8013</v>
      </c>
      <c r="H309">
        <v>2.29</v>
      </c>
      <c r="I309">
        <v>19978</v>
      </c>
      <c r="J309">
        <v>17441</v>
      </c>
      <c r="K309">
        <v>2537</v>
      </c>
      <c r="L309">
        <v>12.7</v>
      </c>
      <c r="M309">
        <v>2.0010511559999999</v>
      </c>
      <c r="N309">
        <f>E309/_xlfn.XLOOKUP(C309,Lookups!$A$2:$A$66,Lookups!$C$2:$C$66)</f>
        <v>31.302793704218281</v>
      </c>
    </row>
    <row r="310" spans="1:27" x14ac:dyDescent="0.2">
      <c r="A310">
        <v>43</v>
      </c>
      <c r="B310">
        <v>13</v>
      </c>
      <c r="C310" t="s">
        <v>166</v>
      </c>
      <c r="D310">
        <v>2019</v>
      </c>
      <c r="E310">
        <v>48379</v>
      </c>
      <c r="F310">
        <v>40453</v>
      </c>
      <c r="G310">
        <v>7926</v>
      </c>
      <c r="H310">
        <v>2.29</v>
      </c>
      <c r="I310">
        <v>20112</v>
      </c>
      <c r="J310">
        <v>17655</v>
      </c>
      <c r="K310">
        <v>2457</v>
      </c>
      <c r="L310">
        <v>12.22</v>
      </c>
      <c r="M310">
        <v>2.011386237</v>
      </c>
      <c r="N310">
        <f>E310/_xlfn.XLOOKUP(C310,Lookups!$A$2:$A$66,Lookups!$C$2:$C$66)</f>
        <v>31.556529623179333</v>
      </c>
    </row>
    <row r="311" spans="1:27" x14ac:dyDescent="0.2">
      <c r="A311">
        <v>43</v>
      </c>
      <c r="B311">
        <v>13</v>
      </c>
      <c r="C311" t="s">
        <v>166</v>
      </c>
      <c r="D311">
        <v>2020</v>
      </c>
      <c r="E311">
        <v>48881</v>
      </c>
      <c r="F311">
        <v>41006</v>
      </c>
      <c r="G311">
        <v>7875</v>
      </c>
      <c r="I311">
        <v>20281</v>
      </c>
      <c r="M311">
        <v>2.0218924120000001</v>
      </c>
      <c r="N311">
        <f>E311/_xlfn.XLOOKUP(C311,Lookups!$A$2:$A$66,Lookups!$C$2:$C$66)</f>
        <v>31.883972891350151</v>
      </c>
      <c r="O311">
        <v>48881</v>
      </c>
      <c r="P311">
        <v>412</v>
      </c>
      <c r="Q311">
        <v>-168</v>
      </c>
      <c r="R311">
        <v>670</v>
      </c>
      <c r="S311">
        <v>580</v>
      </c>
      <c r="T311">
        <v>20281</v>
      </c>
      <c r="W311">
        <v>41006</v>
      </c>
      <c r="X311">
        <v>155</v>
      </c>
      <c r="AA311">
        <v>2.0218924120000001</v>
      </c>
    </row>
    <row r="312" spans="1:27" x14ac:dyDescent="0.2">
      <c r="A312">
        <v>43</v>
      </c>
      <c r="B312">
        <v>13</v>
      </c>
      <c r="C312" t="s">
        <v>166</v>
      </c>
      <c r="D312">
        <v>2021</v>
      </c>
      <c r="E312">
        <v>49249</v>
      </c>
      <c r="F312">
        <v>41707</v>
      </c>
      <c r="G312">
        <v>7542</v>
      </c>
      <c r="I312">
        <v>20408</v>
      </c>
      <c r="M312">
        <v>2.0436593489999999</v>
      </c>
      <c r="N312">
        <f>E312/_xlfn.XLOOKUP(C312,Lookups!$A$2:$A$66,Lookups!$C$2:$C$66)</f>
        <v>32.12401098435187</v>
      </c>
      <c r="O312">
        <v>49249</v>
      </c>
      <c r="P312">
        <v>380</v>
      </c>
      <c r="Q312">
        <v>-298</v>
      </c>
      <c r="R312">
        <v>666</v>
      </c>
      <c r="S312">
        <v>678</v>
      </c>
      <c r="T312">
        <v>20408</v>
      </c>
      <c r="W312">
        <v>41707</v>
      </c>
      <c r="X312">
        <v>174</v>
      </c>
      <c r="AA312">
        <v>2.0436593489999999</v>
      </c>
    </row>
    <row r="313" spans="1:27" x14ac:dyDescent="0.2">
      <c r="A313">
        <v>43</v>
      </c>
      <c r="B313">
        <v>13</v>
      </c>
      <c r="C313" t="s">
        <v>166</v>
      </c>
      <c r="D313">
        <v>2022</v>
      </c>
      <c r="E313">
        <v>49570</v>
      </c>
      <c r="F313">
        <v>41601</v>
      </c>
      <c r="G313">
        <v>7969</v>
      </c>
      <c r="I313">
        <v>20610</v>
      </c>
      <c r="M313">
        <v>2.0184861719999998</v>
      </c>
      <c r="N313">
        <f>E313/_xlfn.XLOOKUP(C313,Lookups!$A$2:$A$66,Lookups!$C$2:$C$66)</f>
        <v>32.333392038301731</v>
      </c>
      <c r="O313">
        <v>49570</v>
      </c>
      <c r="P313">
        <v>332</v>
      </c>
      <c r="Q313">
        <v>-422</v>
      </c>
      <c r="R313">
        <v>743</v>
      </c>
      <c r="S313">
        <v>754</v>
      </c>
      <c r="T313">
        <v>20610</v>
      </c>
      <c r="W313">
        <v>41601</v>
      </c>
      <c r="X313">
        <v>190</v>
      </c>
      <c r="AA313">
        <v>2.0184861719999998</v>
      </c>
    </row>
    <row r="314" spans="1:27" x14ac:dyDescent="0.2">
      <c r="A314">
        <v>45</v>
      </c>
      <c r="B314">
        <v>11</v>
      </c>
      <c r="C314" t="s">
        <v>167</v>
      </c>
      <c r="D314">
        <v>2010</v>
      </c>
      <c r="E314">
        <v>56150</v>
      </c>
      <c r="F314">
        <v>55266</v>
      </c>
      <c r="G314">
        <v>884</v>
      </c>
      <c r="H314">
        <v>2.77</v>
      </c>
      <c r="I314">
        <v>22892</v>
      </c>
      <c r="J314">
        <v>19921</v>
      </c>
      <c r="K314">
        <v>2971</v>
      </c>
      <c r="L314">
        <v>12.98</v>
      </c>
      <c r="M314">
        <v>2.4142058359999998</v>
      </c>
      <c r="N314">
        <f>E314/_xlfn.XLOOKUP(C314,Lookups!$A$2:$A$66,Lookups!$C$2:$C$66)</f>
        <v>18.980944686518626</v>
      </c>
    </row>
    <row r="315" spans="1:27" x14ac:dyDescent="0.2">
      <c r="A315">
        <v>45</v>
      </c>
      <c r="B315">
        <v>11</v>
      </c>
      <c r="C315" t="s">
        <v>167</v>
      </c>
      <c r="D315">
        <v>2011</v>
      </c>
      <c r="E315">
        <v>56267</v>
      </c>
      <c r="F315">
        <v>55358</v>
      </c>
      <c r="G315">
        <v>909</v>
      </c>
      <c r="H315">
        <v>2.72</v>
      </c>
      <c r="I315">
        <v>22920</v>
      </c>
      <c r="J315">
        <v>20319</v>
      </c>
      <c r="K315">
        <v>2601</v>
      </c>
      <c r="L315">
        <v>11.35</v>
      </c>
      <c r="M315">
        <v>2.4152705060000002</v>
      </c>
      <c r="N315">
        <f>E315/_xlfn.XLOOKUP(C315,Lookups!$A$2:$A$66,Lookups!$C$2:$C$66)</f>
        <v>19.02049536378172</v>
      </c>
    </row>
    <row r="316" spans="1:27" x14ac:dyDescent="0.2">
      <c r="A316">
        <v>45</v>
      </c>
      <c r="B316">
        <v>11</v>
      </c>
      <c r="C316" t="s">
        <v>167</v>
      </c>
      <c r="D316">
        <v>2012</v>
      </c>
      <c r="E316">
        <v>56415</v>
      </c>
      <c r="F316">
        <v>55481</v>
      </c>
      <c r="G316">
        <v>934</v>
      </c>
      <c r="H316">
        <v>2.72</v>
      </c>
      <c r="I316">
        <v>22955</v>
      </c>
      <c r="J316">
        <v>20378</v>
      </c>
      <c r="K316">
        <v>2577</v>
      </c>
      <c r="L316">
        <v>11.23</v>
      </c>
      <c r="M316">
        <v>2.4169461989999999</v>
      </c>
      <c r="N316">
        <f>E316/_xlfn.XLOOKUP(C316,Lookups!$A$2:$A$66,Lookups!$C$2:$C$66)</f>
        <v>19.07052528031965</v>
      </c>
    </row>
    <row r="317" spans="1:27" x14ac:dyDescent="0.2">
      <c r="A317">
        <v>45</v>
      </c>
      <c r="B317">
        <v>11</v>
      </c>
      <c r="C317" t="s">
        <v>167</v>
      </c>
      <c r="D317">
        <v>2013</v>
      </c>
      <c r="E317">
        <v>56798</v>
      </c>
      <c r="F317">
        <v>55839</v>
      </c>
      <c r="G317">
        <v>959</v>
      </c>
      <c r="H317">
        <v>2.72</v>
      </c>
      <c r="I317">
        <v>23042</v>
      </c>
      <c r="J317">
        <v>20522</v>
      </c>
      <c r="K317">
        <v>2520</v>
      </c>
      <c r="L317">
        <v>10.94</v>
      </c>
      <c r="M317">
        <v>2.4233573470000001</v>
      </c>
      <c r="N317">
        <f>E317/_xlfn.XLOOKUP(C317,Lookups!$A$2:$A$66,Lookups!$C$2:$C$66)</f>
        <v>19.199994591360372</v>
      </c>
    </row>
    <row r="318" spans="1:27" x14ac:dyDescent="0.2">
      <c r="A318">
        <v>45</v>
      </c>
      <c r="B318">
        <v>11</v>
      </c>
      <c r="C318" t="s">
        <v>167</v>
      </c>
      <c r="D318">
        <v>2014</v>
      </c>
      <c r="E318">
        <v>57131</v>
      </c>
      <c r="F318">
        <v>56147</v>
      </c>
      <c r="G318">
        <v>984</v>
      </c>
      <c r="H318">
        <v>2.72</v>
      </c>
      <c r="I318">
        <v>23118</v>
      </c>
      <c r="J318">
        <v>20648</v>
      </c>
      <c r="K318">
        <v>2470</v>
      </c>
      <c r="L318">
        <v>10.68</v>
      </c>
      <c r="M318">
        <v>2.428713557</v>
      </c>
      <c r="N318">
        <f>E318/_xlfn.XLOOKUP(C318,Lookups!$A$2:$A$66,Lookups!$C$2:$C$66)</f>
        <v>19.312561903570717</v>
      </c>
    </row>
    <row r="319" spans="1:27" x14ac:dyDescent="0.2">
      <c r="A319">
        <v>45</v>
      </c>
      <c r="B319">
        <v>11</v>
      </c>
      <c r="C319" t="s">
        <v>167</v>
      </c>
      <c r="D319">
        <v>2015</v>
      </c>
      <c r="E319">
        <v>57495</v>
      </c>
      <c r="F319">
        <v>56486</v>
      </c>
      <c r="G319">
        <v>1010</v>
      </c>
      <c r="H319">
        <v>2.72</v>
      </c>
      <c r="I319">
        <v>23201</v>
      </c>
      <c r="J319">
        <v>20786</v>
      </c>
      <c r="K319">
        <v>2415</v>
      </c>
      <c r="L319">
        <v>10.41</v>
      </c>
      <c r="M319">
        <v>2.4346364380000001</v>
      </c>
      <c r="N319">
        <f>E319/_xlfn.XLOOKUP(C319,Lookups!$A$2:$A$66,Lookups!$C$2:$C$66)</f>
        <v>19.435608455055895</v>
      </c>
    </row>
    <row r="320" spans="1:27" x14ac:dyDescent="0.2">
      <c r="A320">
        <v>45</v>
      </c>
      <c r="B320">
        <v>11</v>
      </c>
      <c r="C320" t="s">
        <v>167</v>
      </c>
      <c r="D320">
        <v>2016</v>
      </c>
      <c r="E320">
        <v>58161</v>
      </c>
      <c r="F320">
        <v>57126</v>
      </c>
      <c r="G320">
        <v>1035</v>
      </c>
      <c r="H320">
        <v>2.72</v>
      </c>
      <c r="I320">
        <v>23351</v>
      </c>
      <c r="J320">
        <v>21035</v>
      </c>
      <c r="K320">
        <v>2316</v>
      </c>
      <c r="L320">
        <v>9.92</v>
      </c>
      <c r="M320">
        <v>2.4464048649999999</v>
      </c>
      <c r="N320">
        <f>E320/_xlfn.XLOOKUP(C320,Lookups!$A$2:$A$66,Lookups!$C$2:$C$66)</f>
        <v>19.660743079476578</v>
      </c>
    </row>
    <row r="321" spans="1:27" x14ac:dyDescent="0.2">
      <c r="A321">
        <v>45</v>
      </c>
      <c r="B321">
        <v>11</v>
      </c>
      <c r="C321" t="s">
        <v>167</v>
      </c>
      <c r="D321">
        <v>2017</v>
      </c>
      <c r="E321">
        <v>58871</v>
      </c>
      <c r="F321">
        <v>57811</v>
      </c>
      <c r="G321">
        <v>1060</v>
      </c>
      <c r="H321">
        <v>2.71</v>
      </c>
      <c r="I321">
        <v>23511</v>
      </c>
      <c r="J321">
        <v>21300</v>
      </c>
      <c r="K321">
        <v>2211</v>
      </c>
      <c r="L321">
        <v>9.4</v>
      </c>
      <c r="M321">
        <v>2.4588915830000002</v>
      </c>
      <c r="N321">
        <f>E321/_xlfn.XLOOKUP(C321,Lookups!$A$2:$A$66,Lookups!$C$2:$C$66)</f>
        <v>19.900751462867998</v>
      </c>
    </row>
    <row r="322" spans="1:27" x14ac:dyDescent="0.2">
      <c r="A322">
        <v>45</v>
      </c>
      <c r="B322">
        <v>11</v>
      </c>
      <c r="C322" t="s">
        <v>167</v>
      </c>
      <c r="D322">
        <v>2018</v>
      </c>
      <c r="E322">
        <v>59769</v>
      </c>
      <c r="F322">
        <v>58684</v>
      </c>
      <c r="G322">
        <v>1085</v>
      </c>
      <c r="H322">
        <v>2.71</v>
      </c>
      <c r="I322">
        <v>23713</v>
      </c>
      <c r="J322">
        <v>21636</v>
      </c>
      <c r="K322">
        <v>2077</v>
      </c>
      <c r="L322">
        <v>8.76</v>
      </c>
      <c r="M322">
        <v>2.4747606800000002</v>
      </c>
      <c r="N322">
        <f>E322/_xlfn.XLOOKUP(C322,Lookups!$A$2:$A$66,Lookups!$C$2:$C$66)</f>
        <v>20.204311361861652</v>
      </c>
    </row>
    <row r="323" spans="1:27" x14ac:dyDescent="0.2">
      <c r="A323">
        <v>45</v>
      </c>
      <c r="B323">
        <v>11</v>
      </c>
      <c r="C323" t="s">
        <v>167</v>
      </c>
      <c r="D323">
        <v>2019</v>
      </c>
      <c r="E323">
        <v>60558</v>
      </c>
      <c r="F323">
        <v>59448</v>
      </c>
      <c r="G323">
        <v>1110</v>
      </c>
      <c r="H323">
        <v>2.71</v>
      </c>
      <c r="I323">
        <v>23891</v>
      </c>
      <c r="J323">
        <v>21931</v>
      </c>
      <c r="K323">
        <v>1960</v>
      </c>
      <c r="L323">
        <v>8.1999999999999993</v>
      </c>
      <c r="M323">
        <v>2.488301034</v>
      </c>
      <c r="N323">
        <f>E323/_xlfn.XLOOKUP(C323,Lookups!$A$2:$A$66,Lookups!$C$2:$C$66)</f>
        <v>20.471024903405077</v>
      </c>
    </row>
    <row r="324" spans="1:27" x14ac:dyDescent="0.2">
      <c r="A324">
        <v>45</v>
      </c>
      <c r="B324">
        <v>11</v>
      </c>
      <c r="C324" t="s">
        <v>167</v>
      </c>
      <c r="D324">
        <v>2020</v>
      </c>
      <c r="E324">
        <v>61791</v>
      </c>
      <c r="F324">
        <v>60735</v>
      </c>
      <c r="G324">
        <v>1056</v>
      </c>
      <c r="I324">
        <v>24169</v>
      </c>
      <c r="M324">
        <v>2.5129297859999999</v>
      </c>
      <c r="N324">
        <f>E324/_xlfn.XLOOKUP(C324,Lookups!$A$2:$A$66,Lookups!$C$2:$C$66)</f>
        <v>20.887828194562289</v>
      </c>
      <c r="O324">
        <v>61791</v>
      </c>
      <c r="P324">
        <v>748</v>
      </c>
      <c r="Q324">
        <v>390</v>
      </c>
      <c r="R324">
        <v>843</v>
      </c>
      <c r="S324">
        <v>358</v>
      </c>
      <c r="T324">
        <v>24169</v>
      </c>
      <c r="W324">
        <v>60735</v>
      </c>
      <c r="X324">
        <v>334</v>
      </c>
      <c r="AA324">
        <v>2.5129297859999999</v>
      </c>
    </row>
    <row r="325" spans="1:27" x14ac:dyDescent="0.2">
      <c r="A325">
        <v>45</v>
      </c>
      <c r="B325">
        <v>11</v>
      </c>
      <c r="C325" t="s">
        <v>167</v>
      </c>
      <c r="D325">
        <v>2021</v>
      </c>
      <c r="E325">
        <v>62164</v>
      </c>
      <c r="F325">
        <v>61254</v>
      </c>
      <c r="G325">
        <v>910</v>
      </c>
      <c r="I325">
        <v>24500</v>
      </c>
      <c r="M325">
        <v>2.5001632649999999</v>
      </c>
      <c r="N325">
        <f>E325/_xlfn.XLOOKUP(C325,Lookups!$A$2:$A$66,Lookups!$C$2:$C$66)</f>
        <v>21.013917105836935</v>
      </c>
      <c r="O325">
        <v>62164</v>
      </c>
      <c r="P325">
        <v>729</v>
      </c>
      <c r="Q325">
        <v>292</v>
      </c>
      <c r="R325">
        <v>81</v>
      </c>
      <c r="S325">
        <v>437</v>
      </c>
      <c r="T325">
        <v>24500</v>
      </c>
      <c r="W325">
        <v>61254</v>
      </c>
      <c r="X325">
        <v>631</v>
      </c>
      <c r="AA325">
        <v>2.5001632649999999</v>
      </c>
    </row>
    <row r="326" spans="1:27" x14ac:dyDescent="0.2">
      <c r="A326">
        <v>45</v>
      </c>
      <c r="B326">
        <v>11</v>
      </c>
      <c r="C326" t="s">
        <v>167</v>
      </c>
      <c r="D326">
        <v>2022</v>
      </c>
      <c r="E326">
        <v>62254</v>
      </c>
      <c r="F326">
        <v>61221</v>
      </c>
      <c r="G326">
        <v>1033</v>
      </c>
      <c r="I326">
        <v>25068</v>
      </c>
      <c r="M326">
        <v>2.4421972240000001</v>
      </c>
      <c r="N326">
        <f>E326/_xlfn.XLOOKUP(C326,Lookups!$A$2:$A$66,Lookups!$C$2:$C$66)</f>
        <v>21.044340703731624</v>
      </c>
      <c r="O326">
        <v>62254</v>
      </c>
      <c r="P326">
        <v>728</v>
      </c>
      <c r="Q326">
        <v>314</v>
      </c>
      <c r="R326">
        <v>-224</v>
      </c>
      <c r="S326">
        <v>414</v>
      </c>
      <c r="T326">
        <v>25068</v>
      </c>
      <c r="W326">
        <v>61221</v>
      </c>
      <c r="X326">
        <v>240</v>
      </c>
      <c r="AA326">
        <v>2.4421972240000001</v>
      </c>
    </row>
    <row r="327" spans="1:27" x14ac:dyDescent="0.2">
      <c r="A327">
        <v>47</v>
      </c>
      <c r="B327">
        <v>3</v>
      </c>
      <c r="C327" t="s">
        <v>168</v>
      </c>
      <c r="D327">
        <v>2010</v>
      </c>
      <c r="E327">
        <v>5463</v>
      </c>
      <c r="F327">
        <v>5414</v>
      </c>
      <c r="G327">
        <v>49</v>
      </c>
      <c r="H327">
        <v>2.37</v>
      </c>
      <c r="I327">
        <v>3298</v>
      </c>
      <c r="J327">
        <v>2289</v>
      </c>
      <c r="K327">
        <v>1009</v>
      </c>
      <c r="L327">
        <v>30.59</v>
      </c>
      <c r="M327">
        <v>1.64160097</v>
      </c>
      <c r="N327">
        <f>E327/_xlfn.XLOOKUP(C327,Lookups!$A$2:$A$66,Lookups!$C$2:$C$66)</f>
        <v>36.383616383616385</v>
      </c>
    </row>
    <row r="328" spans="1:27" x14ac:dyDescent="0.2">
      <c r="A328">
        <v>47</v>
      </c>
      <c r="B328">
        <v>3</v>
      </c>
      <c r="C328" t="s">
        <v>168</v>
      </c>
      <c r="D328">
        <v>2011</v>
      </c>
      <c r="E328">
        <v>5477</v>
      </c>
      <c r="F328">
        <v>5429</v>
      </c>
      <c r="G328">
        <v>48</v>
      </c>
      <c r="H328">
        <v>2.19</v>
      </c>
      <c r="I328">
        <v>3306</v>
      </c>
      <c r="J328">
        <v>2475</v>
      </c>
      <c r="K328">
        <v>831</v>
      </c>
      <c r="L328">
        <v>25.14</v>
      </c>
      <c r="M328">
        <v>1.6421657590000001</v>
      </c>
      <c r="N328">
        <f>E328/_xlfn.XLOOKUP(C328,Lookups!$A$2:$A$66,Lookups!$C$2:$C$66)</f>
        <v>36.476856476856476</v>
      </c>
    </row>
    <row r="329" spans="1:27" x14ac:dyDescent="0.2">
      <c r="A329">
        <v>47</v>
      </c>
      <c r="B329">
        <v>3</v>
      </c>
      <c r="C329" t="s">
        <v>168</v>
      </c>
      <c r="D329">
        <v>2012</v>
      </c>
      <c r="E329">
        <v>5500</v>
      </c>
      <c r="F329">
        <v>5453</v>
      </c>
      <c r="G329">
        <v>47</v>
      </c>
      <c r="H329">
        <v>2.2000000000000002</v>
      </c>
      <c r="I329">
        <v>3321</v>
      </c>
      <c r="J329">
        <v>2484</v>
      </c>
      <c r="K329">
        <v>837</v>
      </c>
      <c r="L329">
        <v>25.2</v>
      </c>
      <c r="M329">
        <v>1.641975309</v>
      </c>
      <c r="N329">
        <f>E329/_xlfn.XLOOKUP(C329,Lookups!$A$2:$A$66,Lookups!$C$2:$C$66)</f>
        <v>36.630036630036628</v>
      </c>
    </row>
    <row r="330" spans="1:27" x14ac:dyDescent="0.2">
      <c r="A330">
        <v>47</v>
      </c>
      <c r="B330">
        <v>3</v>
      </c>
      <c r="C330" t="s">
        <v>168</v>
      </c>
      <c r="D330">
        <v>2013</v>
      </c>
      <c r="E330">
        <v>5512</v>
      </c>
      <c r="F330">
        <v>5466</v>
      </c>
      <c r="G330">
        <v>46</v>
      </c>
      <c r="H330">
        <v>2.2000000000000002</v>
      </c>
      <c r="I330">
        <v>3328</v>
      </c>
      <c r="J330">
        <v>2488</v>
      </c>
      <c r="K330">
        <v>840</v>
      </c>
      <c r="L330">
        <v>25.23</v>
      </c>
      <c r="M330">
        <v>1.642427885</v>
      </c>
      <c r="N330">
        <f>E330/_xlfn.XLOOKUP(C330,Lookups!$A$2:$A$66,Lookups!$C$2:$C$66)</f>
        <v>36.709956709956707</v>
      </c>
    </row>
    <row r="331" spans="1:27" x14ac:dyDescent="0.2">
      <c r="A331">
        <v>47</v>
      </c>
      <c r="B331">
        <v>3</v>
      </c>
      <c r="C331" t="s">
        <v>168</v>
      </c>
      <c r="D331">
        <v>2014</v>
      </c>
      <c r="E331">
        <v>5536</v>
      </c>
      <c r="F331">
        <v>5490</v>
      </c>
      <c r="G331">
        <v>45</v>
      </c>
      <c r="H331">
        <v>2.2000000000000002</v>
      </c>
      <c r="I331">
        <v>3343</v>
      </c>
      <c r="J331">
        <v>2498</v>
      </c>
      <c r="K331">
        <v>845</v>
      </c>
      <c r="L331">
        <v>25.29</v>
      </c>
      <c r="M331">
        <v>1.642237511</v>
      </c>
      <c r="N331">
        <f>E331/_xlfn.XLOOKUP(C331,Lookups!$A$2:$A$66,Lookups!$C$2:$C$66)</f>
        <v>36.869796869796872</v>
      </c>
    </row>
    <row r="332" spans="1:27" x14ac:dyDescent="0.2">
      <c r="A332">
        <v>47</v>
      </c>
      <c r="B332">
        <v>3</v>
      </c>
      <c r="C332" t="s">
        <v>168</v>
      </c>
      <c r="D332">
        <v>2015</v>
      </c>
      <c r="E332">
        <v>5553</v>
      </c>
      <c r="F332">
        <v>5509</v>
      </c>
      <c r="G332">
        <v>44</v>
      </c>
      <c r="H332">
        <v>2.2000000000000002</v>
      </c>
      <c r="I332">
        <v>3354</v>
      </c>
      <c r="J332">
        <v>2504</v>
      </c>
      <c r="K332">
        <v>850</v>
      </c>
      <c r="L332">
        <v>25.33</v>
      </c>
      <c r="M332">
        <v>1.6425163979999999</v>
      </c>
      <c r="N332">
        <f>E332/_xlfn.XLOOKUP(C332,Lookups!$A$2:$A$66,Lookups!$C$2:$C$66)</f>
        <v>36.983016983016981</v>
      </c>
    </row>
    <row r="333" spans="1:27" x14ac:dyDescent="0.2">
      <c r="A333">
        <v>47</v>
      </c>
      <c r="B333">
        <v>3</v>
      </c>
      <c r="C333" t="s">
        <v>168</v>
      </c>
      <c r="D333">
        <v>2016</v>
      </c>
      <c r="E333">
        <v>5578</v>
      </c>
      <c r="F333">
        <v>5534</v>
      </c>
      <c r="G333">
        <v>44</v>
      </c>
      <c r="H333">
        <v>2.2000000000000002</v>
      </c>
      <c r="I333">
        <v>3370</v>
      </c>
      <c r="J333">
        <v>2514</v>
      </c>
      <c r="K333">
        <v>856</v>
      </c>
      <c r="L333">
        <v>25.39</v>
      </c>
      <c r="M333">
        <v>1.642136499</v>
      </c>
      <c r="N333">
        <f>E333/_xlfn.XLOOKUP(C333,Lookups!$A$2:$A$66,Lookups!$C$2:$C$66)</f>
        <v>37.149517149517145</v>
      </c>
    </row>
    <row r="334" spans="1:27" x14ac:dyDescent="0.2">
      <c r="A334">
        <v>47</v>
      </c>
      <c r="B334">
        <v>3</v>
      </c>
      <c r="C334" t="s">
        <v>168</v>
      </c>
      <c r="D334">
        <v>2017</v>
      </c>
      <c r="E334">
        <v>5635</v>
      </c>
      <c r="F334">
        <v>5592</v>
      </c>
      <c r="G334">
        <v>43</v>
      </c>
      <c r="H334">
        <v>2.2000000000000002</v>
      </c>
      <c r="I334">
        <v>3410</v>
      </c>
      <c r="J334">
        <v>2539</v>
      </c>
      <c r="K334">
        <v>871</v>
      </c>
      <c r="L334">
        <v>25.55</v>
      </c>
      <c r="M334">
        <v>1.6398826980000001</v>
      </c>
      <c r="N334">
        <f>E334/_xlfn.XLOOKUP(C334,Lookups!$A$2:$A$66,Lookups!$C$2:$C$66)</f>
        <v>37.529137529137529</v>
      </c>
    </row>
    <row r="335" spans="1:27" x14ac:dyDescent="0.2">
      <c r="A335">
        <v>47</v>
      </c>
      <c r="B335">
        <v>3</v>
      </c>
      <c r="C335" t="s">
        <v>168</v>
      </c>
      <c r="D335">
        <v>2018</v>
      </c>
      <c r="E335">
        <v>5707</v>
      </c>
      <c r="F335">
        <v>5666</v>
      </c>
      <c r="G335">
        <v>42</v>
      </c>
      <c r="H335">
        <v>2.2000000000000002</v>
      </c>
      <c r="I335">
        <v>3461</v>
      </c>
      <c r="J335">
        <v>2570</v>
      </c>
      <c r="K335">
        <v>891</v>
      </c>
      <c r="L335">
        <v>25.74</v>
      </c>
      <c r="M335">
        <v>1.637099104</v>
      </c>
      <c r="N335">
        <f>E335/_xlfn.XLOOKUP(C335,Lookups!$A$2:$A$66,Lookups!$C$2:$C$66)</f>
        <v>38.00865800865801</v>
      </c>
    </row>
    <row r="336" spans="1:27" x14ac:dyDescent="0.2">
      <c r="A336">
        <v>47</v>
      </c>
      <c r="B336">
        <v>3</v>
      </c>
      <c r="C336" t="s">
        <v>168</v>
      </c>
      <c r="D336">
        <v>2019</v>
      </c>
      <c r="E336">
        <v>5751</v>
      </c>
      <c r="F336">
        <v>5710</v>
      </c>
      <c r="G336">
        <v>41</v>
      </c>
      <c r="H336">
        <v>2.21</v>
      </c>
      <c r="I336">
        <v>3491</v>
      </c>
      <c r="J336">
        <v>2589</v>
      </c>
      <c r="K336">
        <v>902</v>
      </c>
      <c r="L336">
        <v>25.85</v>
      </c>
      <c r="M336">
        <v>1.6356344890000001</v>
      </c>
      <c r="N336">
        <f>E336/_xlfn.XLOOKUP(C336,Lookups!$A$2:$A$66,Lookups!$C$2:$C$66)</f>
        <v>38.301698301698302</v>
      </c>
    </row>
    <row r="337" spans="1:27" x14ac:dyDescent="0.2">
      <c r="A337">
        <v>47</v>
      </c>
      <c r="B337">
        <v>3</v>
      </c>
      <c r="C337" t="s">
        <v>168</v>
      </c>
      <c r="D337">
        <v>2020</v>
      </c>
      <c r="E337">
        <v>5823</v>
      </c>
      <c r="F337">
        <v>5775</v>
      </c>
      <c r="G337">
        <v>48</v>
      </c>
      <c r="I337">
        <v>3523</v>
      </c>
      <c r="M337">
        <v>1.639227931</v>
      </c>
      <c r="N337">
        <f>E337/_xlfn.XLOOKUP(C337,Lookups!$A$2:$A$66,Lookups!$C$2:$C$66)</f>
        <v>38.781218781218783</v>
      </c>
      <c r="O337">
        <v>5823</v>
      </c>
      <c r="P337">
        <v>46</v>
      </c>
      <c r="Q337">
        <v>-2</v>
      </c>
      <c r="R337">
        <v>74</v>
      </c>
      <c r="S337">
        <v>48</v>
      </c>
      <c r="T337">
        <v>3523</v>
      </c>
      <c r="W337">
        <v>5775</v>
      </c>
      <c r="X337">
        <v>20</v>
      </c>
      <c r="AA337">
        <v>1.639227931</v>
      </c>
    </row>
    <row r="338" spans="1:27" x14ac:dyDescent="0.2">
      <c r="A338">
        <v>47</v>
      </c>
      <c r="B338">
        <v>3</v>
      </c>
      <c r="C338" t="s">
        <v>168</v>
      </c>
      <c r="D338">
        <v>2021</v>
      </c>
      <c r="E338">
        <v>5894</v>
      </c>
      <c r="F338">
        <v>5846</v>
      </c>
      <c r="G338">
        <v>48</v>
      </c>
      <c r="I338">
        <v>3543</v>
      </c>
      <c r="M338">
        <v>1.650014112</v>
      </c>
      <c r="N338">
        <f>E338/_xlfn.XLOOKUP(C338,Lookups!$A$2:$A$66,Lookups!$C$2:$C$66)</f>
        <v>39.254079254079251</v>
      </c>
      <c r="O338">
        <v>5894</v>
      </c>
      <c r="P338">
        <v>33</v>
      </c>
      <c r="Q338">
        <v>-1</v>
      </c>
      <c r="R338">
        <v>72</v>
      </c>
      <c r="S338">
        <v>34</v>
      </c>
      <c r="T338">
        <v>3543</v>
      </c>
      <c r="W338">
        <v>5846</v>
      </c>
      <c r="X338">
        <v>22</v>
      </c>
      <c r="AA338">
        <v>1.650014112</v>
      </c>
    </row>
    <row r="339" spans="1:27" x14ac:dyDescent="0.2">
      <c r="A339">
        <v>47</v>
      </c>
      <c r="B339">
        <v>3</v>
      </c>
      <c r="C339" t="s">
        <v>168</v>
      </c>
      <c r="D339">
        <v>2022</v>
      </c>
      <c r="E339">
        <v>5895</v>
      </c>
      <c r="F339">
        <v>5847</v>
      </c>
      <c r="G339">
        <v>48</v>
      </c>
      <c r="I339">
        <v>3564</v>
      </c>
      <c r="M339">
        <v>1.6405723910000001</v>
      </c>
      <c r="N339">
        <f>E339/_xlfn.XLOOKUP(C339,Lookups!$A$2:$A$66,Lookups!$C$2:$C$66)</f>
        <v>39.260739260739257</v>
      </c>
      <c r="O339">
        <v>5895</v>
      </c>
      <c r="P339">
        <v>49</v>
      </c>
      <c r="Q339">
        <v>14</v>
      </c>
      <c r="R339">
        <v>-13</v>
      </c>
      <c r="S339">
        <v>35</v>
      </c>
      <c r="T339">
        <v>3564</v>
      </c>
      <c r="W339">
        <v>5847</v>
      </c>
      <c r="X339">
        <v>36</v>
      </c>
      <c r="AA339">
        <v>1.6405723910000001</v>
      </c>
    </row>
    <row r="340" spans="1:27" x14ac:dyDescent="0.2">
      <c r="A340">
        <v>49</v>
      </c>
      <c r="B340">
        <v>12</v>
      </c>
      <c r="C340" t="s">
        <v>169</v>
      </c>
      <c r="D340">
        <v>2010</v>
      </c>
      <c r="E340">
        <v>14790</v>
      </c>
      <c r="F340">
        <v>14568</v>
      </c>
      <c r="G340">
        <v>222</v>
      </c>
      <c r="H340">
        <v>2.36</v>
      </c>
      <c r="I340">
        <v>15396</v>
      </c>
      <c r="J340">
        <v>6168</v>
      </c>
      <c r="K340">
        <v>9228</v>
      </c>
      <c r="L340">
        <v>59.94</v>
      </c>
      <c r="M340">
        <v>0.94621979700000003</v>
      </c>
      <c r="N340">
        <f>E340/_xlfn.XLOOKUP(C340,Lookups!$A$2:$A$66,Lookups!$C$2:$C$66)</f>
        <v>7.9153131070948826</v>
      </c>
    </row>
    <row r="341" spans="1:27" x14ac:dyDescent="0.2">
      <c r="A341">
        <v>49</v>
      </c>
      <c r="B341">
        <v>12</v>
      </c>
      <c r="C341" t="s">
        <v>169</v>
      </c>
      <c r="D341">
        <v>2011</v>
      </c>
      <c r="E341">
        <v>14836</v>
      </c>
      <c r="F341">
        <v>14617</v>
      </c>
      <c r="G341">
        <v>220</v>
      </c>
      <c r="H341">
        <v>2.2599999999999998</v>
      </c>
      <c r="I341">
        <v>15482</v>
      </c>
      <c r="J341">
        <v>6478</v>
      </c>
      <c r="K341">
        <v>9004</v>
      </c>
      <c r="L341">
        <v>58.15</v>
      </c>
      <c r="M341">
        <v>0.94412866600000001</v>
      </c>
      <c r="N341">
        <f>E341/_xlfn.XLOOKUP(C341,Lookups!$A$2:$A$66,Lookups!$C$2:$C$66)</f>
        <v>7.9399313899161372</v>
      </c>
    </row>
    <row r="342" spans="1:27" x14ac:dyDescent="0.2">
      <c r="A342">
        <v>49</v>
      </c>
      <c r="B342">
        <v>12</v>
      </c>
      <c r="C342" t="s">
        <v>169</v>
      </c>
      <c r="D342">
        <v>2012</v>
      </c>
      <c r="E342">
        <v>14925</v>
      </c>
      <c r="F342">
        <v>14707</v>
      </c>
      <c r="G342">
        <v>217</v>
      </c>
      <c r="H342">
        <v>2.25</v>
      </c>
      <c r="I342">
        <v>15615</v>
      </c>
      <c r="J342">
        <v>6532</v>
      </c>
      <c r="K342">
        <v>9083</v>
      </c>
      <c r="L342">
        <v>58.17</v>
      </c>
      <c r="M342">
        <v>0.94185078499999997</v>
      </c>
      <c r="N342">
        <f>E342/_xlfn.XLOOKUP(C342,Lookups!$A$2:$A$66,Lookups!$C$2:$C$66)</f>
        <v>7.9875624153746525</v>
      </c>
    </row>
    <row r="343" spans="1:27" x14ac:dyDescent="0.2">
      <c r="A343">
        <v>49</v>
      </c>
      <c r="B343">
        <v>12</v>
      </c>
      <c r="C343" t="s">
        <v>169</v>
      </c>
      <c r="D343">
        <v>2013</v>
      </c>
      <c r="E343">
        <v>14948</v>
      </c>
      <c r="F343">
        <v>14733</v>
      </c>
      <c r="G343">
        <v>215</v>
      </c>
      <c r="H343">
        <v>2.25</v>
      </c>
      <c r="I343">
        <v>15676</v>
      </c>
      <c r="J343">
        <v>6556</v>
      </c>
      <c r="K343">
        <v>9120</v>
      </c>
      <c r="L343">
        <v>58.18</v>
      </c>
      <c r="M343">
        <v>0.93984434800000005</v>
      </c>
      <c r="N343">
        <f>E343/_xlfn.XLOOKUP(C343,Lookups!$A$2:$A$66,Lookups!$C$2:$C$66)</f>
        <v>7.9998715567852807</v>
      </c>
    </row>
    <row r="344" spans="1:27" x14ac:dyDescent="0.2">
      <c r="A344">
        <v>49</v>
      </c>
      <c r="B344">
        <v>12</v>
      </c>
      <c r="C344" t="s">
        <v>169</v>
      </c>
      <c r="D344">
        <v>2014</v>
      </c>
      <c r="E344">
        <v>14934</v>
      </c>
      <c r="F344">
        <v>14722</v>
      </c>
      <c r="G344">
        <v>212</v>
      </c>
      <c r="H344">
        <v>2.2400000000000002</v>
      </c>
      <c r="I344">
        <v>15697</v>
      </c>
      <c r="J344">
        <v>6565</v>
      </c>
      <c r="K344">
        <v>9132</v>
      </c>
      <c r="L344">
        <v>58.18</v>
      </c>
      <c r="M344">
        <v>0.93788621999999999</v>
      </c>
      <c r="N344">
        <f>E344/_xlfn.XLOOKUP(C344,Lookups!$A$2:$A$66,Lookups!$C$2:$C$66)</f>
        <v>7.9923790359266373</v>
      </c>
    </row>
    <row r="345" spans="1:27" x14ac:dyDescent="0.2">
      <c r="A345">
        <v>49</v>
      </c>
      <c r="B345">
        <v>12</v>
      </c>
      <c r="C345" t="s">
        <v>169</v>
      </c>
      <c r="D345">
        <v>2015</v>
      </c>
      <c r="E345">
        <v>14961</v>
      </c>
      <c r="F345">
        <v>14751</v>
      </c>
      <c r="G345">
        <v>210</v>
      </c>
      <c r="H345">
        <v>2.2400000000000002</v>
      </c>
      <c r="I345">
        <v>15762</v>
      </c>
      <c r="J345">
        <v>6591</v>
      </c>
      <c r="K345">
        <v>9171</v>
      </c>
      <c r="L345">
        <v>58.19</v>
      </c>
      <c r="M345">
        <v>0.93585839400000004</v>
      </c>
      <c r="N345">
        <f>E345/_xlfn.XLOOKUP(C345,Lookups!$A$2:$A$66,Lookups!$C$2:$C$66)</f>
        <v>8.0068288975825919</v>
      </c>
    </row>
    <row r="346" spans="1:27" x14ac:dyDescent="0.2">
      <c r="A346">
        <v>49</v>
      </c>
      <c r="B346">
        <v>12</v>
      </c>
      <c r="C346" t="s">
        <v>169</v>
      </c>
      <c r="D346">
        <v>2016</v>
      </c>
      <c r="E346">
        <v>15042</v>
      </c>
      <c r="F346">
        <v>14835</v>
      </c>
      <c r="G346">
        <v>208</v>
      </c>
      <c r="H346">
        <v>2.23</v>
      </c>
      <c r="I346">
        <v>15889</v>
      </c>
      <c r="J346">
        <v>6641</v>
      </c>
      <c r="K346">
        <v>9248</v>
      </c>
      <c r="L346">
        <v>58.2</v>
      </c>
      <c r="M346">
        <v>0.93366479999999996</v>
      </c>
      <c r="N346">
        <f>E346/_xlfn.XLOOKUP(C346,Lookups!$A$2:$A$66,Lookups!$C$2:$C$66)</f>
        <v>8.0501784825504537</v>
      </c>
    </row>
    <row r="347" spans="1:27" x14ac:dyDescent="0.2">
      <c r="A347">
        <v>49</v>
      </c>
      <c r="B347">
        <v>12</v>
      </c>
      <c r="C347" t="s">
        <v>169</v>
      </c>
      <c r="D347">
        <v>2017</v>
      </c>
      <c r="E347">
        <v>15147</v>
      </c>
      <c r="F347">
        <v>14942</v>
      </c>
      <c r="G347">
        <v>205</v>
      </c>
      <c r="H347">
        <v>2.23</v>
      </c>
      <c r="I347">
        <v>16043</v>
      </c>
      <c r="J347">
        <v>6703</v>
      </c>
      <c r="K347">
        <v>9340</v>
      </c>
      <c r="L347">
        <v>58.22</v>
      </c>
      <c r="M347">
        <v>0.93137193799999995</v>
      </c>
      <c r="N347">
        <f>E347/_xlfn.XLOOKUP(C347,Lookups!$A$2:$A$66,Lookups!$C$2:$C$66)</f>
        <v>8.106372388990275</v>
      </c>
    </row>
    <row r="348" spans="1:27" x14ac:dyDescent="0.2">
      <c r="A348">
        <v>49</v>
      </c>
      <c r="B348">
        <v>12</v>
      </c>
      <c r="C348" t="s">
        <v>169</v>
      </c>
      <c r="D348">
        <v>2018</v>
      </c>
      <c r="E348">
        <v>15268</v>
      </c>
      <c r="F348">
        <v>15065</v>
      </c>
      <c r="G348">
        <v>203</v>
      </c>
      <c r="H348">
        <v>2.2200000000000002</v>
      </c>
      <c r="I348">
        <v>16215</v>
      </c>
      <c r="J348">
        <v>6772</v>
      </c>
      <c r="K348">
        <v>9443</v>
      </c>
      <c r="L348">
        <v>58.24</v>
      </c>
      <c r="M348">
        <v>0.92907801400000001</v>
      </c>
      <c r="N348">
        <f>E348/_xlfn.XLOOKUP(C348,Lookups!$A$2:$A$66,Lookups!$C$2:$C$66)</f>
        <v>8.1711291764114033</v>
      </c>
    </row>
    <row r="349" spans="1:27" x14ac:dyDescent="0.2">
      <c r="A349">
        <v>49</v>
      </c>
      <c r="B349">
        <v>12</v>
      </c>
      <c r="C349" t="s">
        <v>169</v>
      </c>
      <c r="D349">
        <v>2019</v>
      </c>
      <c r="E349">
        <v>15408</v>
      </c>
      <c r="F349">
        <v>15207</v>
      </c>
      <c r="G349">
        <v>200</v>
      </c>
      <c r="H349">
        <v>2.2200000000000002</v>
      </c>
      <c r="I349">
        <v>16409</v>
      </c>
      <c r="J349">
        <v>6850</v>
      </c>
      <c r="K349">
        <v>9559</v>
      </c>
      <c r="L349">
        <v>58.26</v>
      </c>
      <c r="M349">
        <v>0.92674751700000002</v>
      </c>
      <c r="N349">
        <f>E349/_xlfn.XLOOKUP(C349,Lookups!$A$2:$A$66,Lookups!$C$2:$C$66)</f>
        <v>8.2460543849978318</v>
      </c>
    </row>
    <row r="350" spans="1:27" x14ac:dyDescent="0.2">
      <c r="A350">
        <v>49</v>
      </c>
      <c r="B350">
        <v>12</v>
      </c>
      <c r="C350" t="s">
        <v>169</v>
      </c>
      <c r="D350">
        <v>2020</v>
      </c>
      <c r="E350">
        <v>15748</v>
      </c>
      <c r="F350">
        <v>15536</v>
      </c>
      <c r="G350">
        <v>212</v>
      </c>
      <c r="I350">
        <v>16805</v>
      </c>
      <c r="M350">
        <v>0.92448675999999996</v>
      </c>
      <c r="N350">
        <f>E350/_xlfn.XLOOKUP(C350,Lookups!$A$2:$A$66,Lookups!$C$2:$C$66)</f>
        <v>8.4280156058505877</v>
      </c>
      <c r="O350">
        <v>15748</v>
      </c>
      <c r="P350">
        <v>132</v>
      </c>
      <c r="Q350">
        <v>65</v>
      </c>
      <c r="R350">
        <v>275</v>
      </c>
      <c r="S350">
        <v>67</v>
      </c>
      <c r="T350">
        <v>16805</v>
      </c>
      <c r="W350">
        <v>15536</v>
      </c>
      <c r="X350">
        <v>234</v>
      </c>
      <c r="AA350">
        <v>0.92448675999999996</v>
      </c>
    </row>
    <row r="351" spans="1:27" x14ac:dyDescent="0.2">
      <c r="A351">
        <v>49</v>
      </c>
      <c r="B351">
        <v>12</v>
      </c>
      <c r="C351" t="s">
        <v>169</v>
      </c>
      <c r="D351">
        <v>2021</v>
      </c>
      <c r="E351">
        <v>15860</v>
      </c>
      <c r="F351">
        <v>15648</v>
      </c>
      <c r="G351">
        <v>212</v>
      </c>
      <c r="I351">
        <v>16627</v>
      </c>
      <c r="M351">
        <v>0.941119865</v>
      </c>
      <c r="N351">
        <f>E351/_xlfn.XLOOKUP(C351,Lookups!$A$2:$A$66,Lookups!$C$2:$C$66)</f>
        <v>8.4879557727197312</v>
      </c>
      <c r="O351">
        <v>15860</v>
      </c>
      <c r="P351">
        <v>113</v>
      </c>
      <c r="Q351">
        <v>21</v>
      </c>
      <c r="R351">
        <v>91</v>
      </c>
      <c r="S351">
        <v>92</v>
      </c>
      <c r="T351">
        <v>16627</v>
      </c>
      <c r="W351">
        <v>15648</v>
      </c>
      <c r="X351">
        <v>467</v>
      </c>
      <c r="AA351">
        <v>0.941119865</v>
      </c>
    </row>
    <row r="352" spans="1:27" x14ac:dyDescent="0.2">
      <c r="A352">
        <v>49</v>
      </c>
      <c r="B352">
        <v>12</v>
      </c>
      <c r="C352" t="s">
        <v>169</v>
      </c>
      <c r="D352">
        <v>2022</v>
      </c>
      <c r="E352">
        <v>15748</v>
      </c>
      <c r="F352">
        <v>15536</v>
      </c>
      <c r="G352">
        <v>212</v>
      </c>
      <c r="I352">
        <v>17285</v>
      </c>
      <c r="M352">
        <v>0.89881400099999997</v>
      </c>
      <c r="N352">
        <f>E352/_xlfn.XLOOKUP(C352,Lookups!$A$2:$A$66,Lookups!$C$2:$C$66)</f>
        <v>8.4280156058505877</v>
      </c>
      <c r="O352">
        <v>15748</v>
      </c>
      <c r="P352">
        <v>127</v>
      </c>
      <c r="Q352">
        <v>13</v>
      </c>
      <c r="R352">
        <v>-125</v>
      </c>
      <c r="S352">
        <v>114</v>
      </c>
      <c r="T352">
        <v>17285</v>
      </c>
      <c r="W352">
        <v>15536</v>
      </c>
      <c r="X352">
        <v>375</v>
      </c>
      <c r="AA352">
        <v>0.89881400099999997</v>
      </c>
    </row>
    <row r="353" spans="1:27" x14ac:dyDescent="0.2">
      <c r="A353">
        <v>51</v>
      </c>
      <c r="B353">
        <v>10</v>
      </c>
      <c r="C353" t="s">
        <v>170</v>
      </c>
      <c r="D353">
        <v>2010</v>
      </c>
      <c r="E353">
        <v>15309</v>
      </c>
      <c r="F353">
        <v>14459</v>
      </c>
      <c r="G353">
        <v>850</v>
      </c>
      <c r="H353">
        <v>2.2200000000000002</v>
      </c>
      <c r="I353">
        <v>11431</v>
      </c>
      <c r="J353">
        <v>6511</v>
      </c>
      <c r="K353">
        <v>4920</v>
      </c>
      <c r="L353">
        <v>43.04</v>
      </c>
      <c r="M353">
        <v>1.2648937099999999</v>
      </c>
      <c r="N353">
        <f>E353/_xlfn.XLOOKUP(C353,Lookups!$A$2:$A$66,Lookups!$C$2:$C$66)</f>
        <v>4.6971361245942287</v>
      </c>
    </row>
    <row r="354" spans="1:27" x14ac:dyDescent="0.2">
      <c r="A354">
        <v>51</v>
      </c>
      <c r="B354">
        <v>10</v>
      </c>
      <c r="C354" t="s">
        <v>170</v>
      </c>
      <c r="D354">
        <v>2011</v>
      </c>
      <c r="E354">
        <v>15348</v>
      </c>
      <c r="F354">
        <v>14477</v>
      </c>
      <c r="G354">
        <v>871</v>
      </c>
      <c r="H354">
        <v>2.2200000000000002</v>
      </c>
      <c r="I354">
        <v>11448</v>
      </c>
      <c r="J354">
        <v>6517</v>
      </c>
      <c r="K354">
        <v>4931</v>
      </c>
      <c r="L354">
        <v>43.07</v>
      </c>
      <c r="M354">
        <v>1.264587701</v>
      </c>
      <c r="N354">
        <f>E354/_xlfn.XLOOKUP(C354,Lookups!$A$2:$A$66,Lookups!$C$2:$C$66)</f>
        <v>4.7091021778216877</v>
      </c>
    </row>
    <row r="355" spans="1:27" x14ac:dyDescent="0.2">
      <c r="A355">
        <v>51</v>
      </c>
      <c r="B355">
        <v>10</v>
      </c>
      <c r="C355" t="s">
        <v>170</v>
      </c>
      <c r="D355">
        <v>2012</v>
      </c>
      <c r="E355">
        <v>15270</v>
      </c>
      <c r="F355">
        <v>14440</v>
      </c>
      <c r="G355">
        <v>830</v>
      </c>
      <c r="H355">
        <v>2.2200000000000002</v>
      </c>
      <c r="I355">
        <v>11459</v>
      </c>
      <c r="J355">
        <v>6499</v>
      </c>
      <c r="K355">
        <v>4960</v>
      </c>
      <c r="L355">
        <v>43.28</v>
      </c>
      <c r="M355">
        <v>1.2601448639999999</v>
      </c>
      <c r="N355">
        <f>E355/_xlfn.XLOOKUP(C355,Lookups!$A$2:$A$66,Lookups!$C$2:$C$66)</f>
        <v>4.6851700713667688</v>
      </c>
    </row>
    <row r="356" spans="1:27" x14ac:dyDescent="0.2">
      <c r="A356">
        <v>51</v>
      </c>
      <c r="B356">
        <v>10</v>
      </c>
      <c r="C356" t="s">
        <v>170</v>
      </c>
      <c r="D356">
        <v>2013</v>
      </c>
      <c r="E356">
        <v>15425</v>
      </c>
      <c r="F356">
        <v>14414</v>
      </c>
      <c r="G356">
        <v>1011</v>
      </c>
      <c r="H356">
        <v>2.2200000000000002</v>
      </c>
      <c r="I356">
        <v>11475</v>
      </c>
      <c r="J356">
        <v>6486</v>
      </c>
      <c r="K356">
        <v>4989</v>
      </c>
      <c r="L356">
        <v>43.48</v>
      </c>
      <c r="M356">
        <v>1.2561220040000001</v>
      </c>
      <c r="N356">
        <f>E356/_xlfn.XLOOKUP(C356,Lookups!$A$2:$A$66,Lookups!$C$2:$C$66)</f>
        <v>4.7327274623989792</v>
      </c>
    </row>
    <row r="357" spans="1:27" x14ac:dyDescent="0.2">
      <c r="A357">
        <v>51</v>
      </c>
      <c r="B357">
        <v>10</v>
      </c>
      <c r="C357" t="s">
        <v>170</v>
      </c>
      <c r="D357">
        <v>2014</v>
      </c>
      <c r="E357">
        <v>15552</v>
      </c>
      <c r="F357">
        <v>14549</v>
      </c>
      <c r="G357">
        <v>1003</v>
      </c>
      <c r="H357">
        <v>2.2200000000000002</v>
      </c>
      <c r="I357">
        <v>11497</v>
      </c>
      <c r="J357">
        <v>6545</v>
      </c>
      <c r="K357">
        <v>4952</v>
      </c>
      <c r="L357">
        <v>43.07</v>
      </c>
      <c r="M357">
        <v>1.265460555</v>
      </c>
      <c r="N357">
        <f>E357/_xlfn.XLOOKUP(C357,Lookups!$A$2:$A$66,Lookups!$C$2:$C$66)</f>
        <v>4.7716938408576288</v>
      </c>
    </row>
    <row r="358" spans="1:27" x14ac:dyDescent="0.2">
      <c r="A358">
        <v>51</v>
      </c>
      <c r="B358">
        <v>10</v>
      </c>
      <c r="C358" t="s">
        <v>170</v>
      </c>
      <c r="D358">
        <v>2015</v>
      </c>
      <c r="E358">
        <v>15826</v>
      </c>
      <c r="F358">
        <v>14822</v>
      </c>
      <c r="G358">
        <v>1004</v>
      </c>
      <c r="H358">
        <v>2.2200000000000002</v>
      </c>
      <c r="I358">
        <v>11514</v>
      </c>
      <c r="J358">
        <v>6666</v>
      </c>
      <c r="K358">
        <v>4848</v>
      </c>
      <c r="L358">
        <v>42.11</v>
      </c>
      <c r="M358">
        <v>1.287302414</v>
      </c>
      <c r="N358">
        <f>E358/_xlfn.XLOOKUP(C358,Lookups!$A$2:$A$66,Lookups!$C$2:$C$66)</f>
        <v>4.8557630353274712</v>
      </c>
    </row>
    <row r="359" spans="1:27" x14ac:dyDescent="0.2">
      <c r="A359">
        <v>51</v>
      </c>
      <c r="B359">
        <v>10</v>
      </c>
      <c r="C359" t="s">
        <v>170</v>
      </c>
      <c r="D359">
        <v>2016</v>
      </c>
      <c r="E359">
        <v>16082</v>
      </c>
      <c r="F359">
        <v>15045</v>
      </c>
      <c r="G359">
        <v>1037</v>
      </c>
      <c r="H359">
        <v>2.2200000000000002</v>
      </c>
      <c r="I359">
        <v>11539</v>
      </c>
      <c r="J359">
        <v>6765</v>
      </c>
      <c r="K359">
        <v>4774</v>
      </c>
      <c r="L359">
        <v>41.37</v>
      </c>
      <c r="M359">
        <v>1.3038391540000001</v>
      </c>
      <c r="N359">
        <f>E359/_xlfn.XLOOKUP(C359,Lookups!$A$2:$A$66,Lookups!$C$2:$C$66)</f>
        <v>4.9343094360000253</v>
      </c>
    </row>
    <row r="360" spans="1:27" x14ac:dyDescent="0.2">
      <c r="A360">
        <v>51</v>
      </c>
      <c r="B360">
        <v>10</v>
      </c>
      <c r="C360" t="s">
        <v>170</v>
      </c>
      <c r="D360">
        <v>2017</v>
      </c>
      <c r="E360">
        <v>16464</v>
      </c>
      <c r="F360">
        <v>15411</v>
      </c>
      <c r="G360">
        <v>1053</v>
      </c>
      <c r="H360">
        <v>2.2200000000000002</v>
      </c>
      <c r="I360">
        <v>11633</v>
      </c>
      <c r="J360">
        <v>6928</v>
      </c>
      <c r="K360">
        <v>4705</v>
      </c>
      <c r="L360">
        <v>40.450000000000003</v>
      </c>
      <c r="M360">
        <v>1.3247657530000001</v>
      </c>
      <c r="N360">
        <f>E360/_xlfn.XLOOKUP(C360,Lookups!$A$2:$A$66,Lookups!$C$2:$C$66)</f>
        <v>5.0515153932536005</v>
      </c>
    </row>
    <row r="361" spans="1:27" x14ac:dyDescent="0.2">
      <c r="A361">
        <v>51</v>
      </c>
      <c r="B361">
        <v>10</v>
      </c>
      <c r="C361" t="s">
        <v>170</v>
      </c>
      <c r="D361">
        <v>2018</v>
      </c>
      <c r="E361">
        <v>16681</v>
      </c>
      <c r="F361">
        <v>15625</v>
      </c>
      <c r="G361">
        <v>1056</v>
      </c>
      <c r="H361">
        <v>2.23</v>
      </c>
      <c r="I361">
        <v>11766</v>
      </c>
      <c r="J361">
        <v>7022</v>
      </c>
      <c r="K361">
        <v>4744</v>
      </c>
      <c r="L361">
        <v>40.32</v>
      </c>
      <c r="M361">
        <v>1.327978922</v>
      </c>
      <c r="N361">
        <f>E361/_xlfn.XLOOKUP(C361,Lookups!$A$2:$A$66,Lookups!$C$2:$C$66)</f>
        <v>5.1180957406986947</v>
      </c>
    </row>
    <row r="362" spans="1:27" x14ac:dyDescent="0.2">
      <c r="A362">
        <v>51</v>
      </c>
      <c r="B362">
        <v>10</v>
      </c>
      <c r="C362" t="s">
        <v>170</v>
      </c>
      <c r="D362">
        <v>2019</v>
      </c>
      <c r="E362">
        <v>16941</v>
      </c>
      <c r="F362">
        <v>15882</v>
      </c>
      <c r="G362">
        <v>1059</v>
      </c>
      <c r="H362">
        <v>2.23</v>
      </c>
      <c r="I362">
        <v>11882</v>
      </c>
      <c r="J362">
        <v>7136</v>
      </c>
      <c r="K362">
        <v>4746</v>
      </c>
      <c r="L362">
        <v>39.94</v>
      </c>
      <c r="M362">
        <v>1.336643663</v>
      </c>
      <c r="N362">
        <f>E362/_xlfn.XLOOKUP(C362,Lookups!$A$2:$A$66,Lookups!$C$2:$C$66)</f>
        <v>5.1978694288817575</v>
      </c>
    </row>
    <row r="363" spans="1:27" x14ac:dyDescent="0.2">
      <c r="A363">
        <v>51</v>
      </c>
      <c r="B363">
        <v>10</v>
      </c>
      <c r="C363" t="s">
        <v>170</v>
      </c>
      <c r="D363">
        <v>2020</v>
      </c>
      <c r="E363">
        <v>16946</v>
      </c>
      <c r="F363">
        <v>15926</v>
      </c>
      <c r="G363">
        <v>1020</v>
      </c>
      <c r="I363">
        <v>12220</v>
      </c>
      <c r="M363">
        <v>1.3032733219999999</v>
      </c>
      <c r="N363">
        <f>E363/_xlfn.XLOOKUP(C363,Lookups!$A$2:$A$66,Lookups!$C$2:$C$66)</f>
        <v>5.1994035382698929</v>
      </c>
      <c r="O363">
        <v>16946</v>
      </c>
      <c r="P363">
        <v>134</v>
      </c>
      <c r="Q363">
        <v>41</v>
      </c>
      <c r="R363">
        <v>-36</v>
      </c>
      <c r="S363">
        <v>93</v>
      </c>
      <c r="T363">
        <v>12220</v>
      </c>
      <c r="W363">
        <v>15926</v>
      </c>
      <c r="X363">
        <v>228</v>
      </c>
      <c r="AA363">
        <v>1.3032733219999999</v>
      </c>
    </row>
    <row r="364" spans="1:27" x14ac:dyDescent="0.2">
      <c r="A364">
        <v>51</v>
      </c>
      <c r="B364">
        <v>10</v>
      </c>
      <c r="C364" t="s">
        <v>170</v>
      </c>
      <c r="D364">
        <v>2021</v>
      </c>
      <c r="E364">
        <v>17313</v>
      </c>
      <c r="F364">
        <v>16316</v>
      </c>
      <c r="G364">
        <v>997</v>
      </c>
      <c r="I364">
        <v>12421</v>
      </c>
      <c r="M364">
        <v>1.3135818370000001</v>
      </c>
      <c r="N364">
        <f>E364/_xlfn.XLOOKUP(C364,Lookups!$A$2:$A$66,Lookups!$C$2:$C$66)</f>
        <v>5.3120071673590621</v>
      </c>
      <c r="O364">
        <v>17313</v>
      </c>
      <c r="P364">
        <v>133</v>
      </c>
      <c r="Q364">
        <v>52</v>
      </c>
      <c r="R364">
        <v>315</v>
      </c>
      <c r="S364">
        <v>81</v>
      </c>
      <c r="T364">
        <v>12421</v>
      </c>
      <c r="W364">
        <v>16316</v>
      </c>
      <c r="X364">
        <v>197</v>
      </c>
      <c r="AA364">
        <v>1.3135818370000001</v>
      </c>
    </row>
    <row r="365" spans="1:27" x14ac:dyDescent="0.2">
      <c r="A365">
        <v>51</v>
      </c>
      <c r="B365">
        <v>10</v>
      </c>
      <c r="C365" t="s">
        <v>170</v>
      </c>
      <c r="D365">
        <v>2022</v>
      </c>
      <c r="E365">
        <v>17269</v>
      </c>
      <c r="F365">
        <v>16212</v>
      </c>
      <c r="G365">
        <v>1057</v>
      </c>
      <c r="I365">
        <v>12619</v>
      </c>
      <c r="M365">
        <v>1.284729376</v>
      </c>
      <c r="N365">
        <f>E365/_xlfn.XLOOKUP(C365,Lookups!$A$2:$A$66,Lookups!$C$2:$C$66)</f>
        <v>5.2985070047434668</v>
      </c>
      <c r="O365">
        <v>17269</v>
      </c>
      <c r="P365">
        <v>133</v>
      </c>
      <c r="Q365">
        <v>44</v>
      </c>
      <c r="R365">
        <v>-88</v>
      </c>
      <c r="S365">
        <v>89</v>
      </c>
      <c r="T365">
        <v>12619</v>
      </c>
      <c r="W365">
        <v>16212</v>
      </c>
      <c r="X365">
        <v>149</v>
      </c>
      <c r="AA365">
        <v>1.284729376</v>
      </c>
    </row>
    <row r="366" spans="1:27" x14ac:dyDescent="0.2">
      <c r="A366">
        <v>53</v>
      </c>
      <c r="B366">
        <v>10</v>
      </c>
      <c r="C366" t="s">
        <v>171</v>
      </c>
      <c r="D366">
        <v>2010</v>
      </c>
      <c r="E366">
        <v>843</v>
      </c>
      <c r="F366">
        <v>787</v>
      </c>
      <c r="G366">
        <v>56</v>
      </c>
      <c r="H366">
        <v>2.34</v>
      </c>
      <c r="I366">
        <v>1274</v>
      </c>
      <c r="J366">
        <v>337</v>
      </c>
      <c r="K366">
        <v>937</v>
      </c>
      <c r="L366">
        <v>73.55</v>
      </c>
      <c r="M366">
        <v>0.61773940299999996</v>
      </c>
      <c r="N366">
        <f>E366/_xlfn.XLOOKUP(C366,Lookups!$A$2:$A$66,Lookups!$C$2:$C$66)</f>
        <v>0.75043396982240629</v>
      </c>
    </row>
    <row r="367" spans="1:27" x14ac:dyDescent="0.2">
      <c r="A367">
        <v>53</v>
      </c>
      <c r="B367">
        <v>10</v>
      </c>
      <c r="C367" t="s">
        <v>171</v>
      </c>
      <c r="D367">
        <v>2011</v>
      </c>
      <c r="E367">
        <v>835</v>
      </c>
      <c r="F367">
        <v>785</v>
      </c>
      <c r="G367">
        <v>50</v>
      </c>
      <c r="H367">
        <v>2.17</v>
      </c>
      <c r="I367">
        <v>1275</v>
      </c>
      <c r="J367">
        <v>362</v>
      </c>
      <c r="K367">
        <v>913</v>
      </c>
      <c r="L367">
        <v>71.59</v>
      </c>
      <c r="M367">
        <v>0.61568627499999995</v>
      </c>
      <c r="N367">
        <f>E367/_xlfn.XLOOKUP(C367,Lookups!$A$2:$A$66,Lookups!$C$2:$C$66)</f>
        <v>0.7433124137624072</v>
      </c>
    </row>
    <row r="368" spans="1:27" x14ac:dyDescent="0.2">
      <c r="A368">
        <v>53</v>
      </c>
      <c r="B368">
        <v>10</v>
      </c>
      <c r="C368" t="s">
        <v>171</v>
      </c>
      <c r="D368">
        <v>2012</v>
      </c>
      <c r="E368">
        <v>831</v>
      </c>
      <c r="F368">
        <v>786</v>
      </c>
      <c r="G368">
        <v>45</v>
      </c>
      <c r="H368">
        <v>2.16</v>
      </c>
      <c r="I368">
        <v>1281</v>
      </c>
      <c r="J368">
        <v>364</v>
      </c>
      <c r="K368">
        <v>917</v>
      </c>
      <c r="L368">
        <v>71.58</v>
      </c>
      <c r="M368">
        <v>0.61358313799999997</v>
      </c>
      <c r="N368">
        <f>E368/_xlfn.XLOOKUP(C368,Lookups!$A$2:$A$66,Lookups!$C$2:$C$66)</f>
        <v>0.73975163573240754</v>
      </c>
    </row>
    <row r="369" spans="1:27" x14ac:dyDescent="0.2">
      <c r="A369">
        <v>53</v>
      </c>
      <c r="B369">
        <v>10</v>
      </c>
      <c r="C369" t="s">
        <v>171</v>
      </c>
      <c r="D369">
        <v>2013</v>
      </c>
      <c r="E369">
        <v>825</v>
      </c>
      <c r="F369">
        <v>785</v>
      </c>
      <c r="G369">
        <v>39</v>
      </c>
      <c r="H369">
        <v>2.15</v>
      </c>
      <c r="I369">
        <v>1284</v>
      </c>
      <c r="J369">
        <v>365</v>
      </c>
      <c r="K369">
        <v>919</v>
      </c>
      <c r="L369">
        <v>71.58</v>
      </c>
      <c r="M369">
        <v>0.61137071700000001</v>
      </c>
      <c r="N369">
        <f>E369/_xlfn.XLOOKUP(C369,Lookups!$A$2:$A$66,Lookups!$C$2:$C$66)</f>
        <v>0.73441046868740822</v>
      </c>
    </row>
    <row r="370" spans="1:27" x14ac:dyDescent="0.2">
      <c r="A370">
        <v>53</v>
      </c>
      <c r="B370">
        <v>10</v>
      </c>
      <c r="C370" t="s">
        <v>171</v>
      </c>
      <c r="D370">
        <v>2014</v>
      </c>
      <c r="E370">
        <v>819</v>
      </c>
      <c r="F370">
        <v>785</v>
      </c>
      <c r="G370">
        <v>34</v>
      </c>
      <c r="H370">
        <v>2.14</v>
      </c>
      <c r="I370">
        <v>1288</v>
      </c>
      <c r="J370">
        <v>366</v>
      </c>
      <c r="K370">
        <v>922</v>
      </c>
      <c r="L370">
        <v>71.58</v>
      </c>
      <c r="M370">
        <v>0.60947205000000004</v>
      </c>
      <c r="N370">
        <f>E370/_xlfn.XLOOKUP(C370,Lookups!$A$2:$A$66,Lookups!$C$2:$C$66)</f>
        <v>0.72906930164240891</v>
      </c>
    </row>
    <row r="371" spans="1:27" x14ac:dyDescent="0.2">
      <c r="A371">
        <v>53</v>
      </c>
      <c r="B371">
        <v>10</v>
      </c>
      <c r="C371" t="s">
        <v>171</v>
      </c>
      <c r="D371">
        <v>2015</v>
      </c>
      <c r="E371">
        <v>813</v>
      </c>
      <c r="F371">
        <v>785</v>
      </c>
      <c r="G371">
        <v>28</v>
      </c>
      <c r="H371">
        <v>2.14</v>
      </c>
      <c r="I371">
        <v>1292</v>
      </c>
      <c r="J371">
        <v>367</v>
      </c>
      <c r="K371">
        <v>925</v>
      </c>
      <c r="L371">
        <v>71.58</v>
      </c>
      <c r="M371">
        <v>0.607585139</v>
      </c>
      <c r="N371">
        <f>E371/_xlfn.XLOOKUP(C371,Lookups!$A$2:$A$66,Lookups!$C$2:$C$66)</f>
        <v>0.72372813459740959</v>
      </c>
    </row>
    <row r="372" spans="1:27" x14ac:dyDescent="0.2">
      <c r="A372">
        <v>53</v>
      </c>
      <c r="B372">
        <v>10</v>
      </c>
      <c r="C372" t="s">
        <v>171</v>
      </c>
      <c r="D372">
        <v>2016</v>
      </c>
      <c r="E372">
        <v>809</v>
      </c>
      <c r="F372">
        <v>786</v>
      </c>
      <c r="G372">
        <v>22</v>
      </c>
      <c r="H372">
        <v>2.13</v>
      </c>
      <c r="I372">
        <v>1298</v>
      </c>
      <c r="J372">
        <v>369</v>
      </c>
      <c r="K372">
        <v>929</v>
      </c>
      <c r="L372">
        <v>71.58</v>
      </c>
      <c r="M372">
        <v>0.60554699499999998</v>
      </c>
      <c r="N372">
        <f>E372/_xlfn.XLOOKUP(C372,Lookups!$A$2:$A$66,Lookups!$C$2:$C$66)</f>
        <v>0.72016735656741004</v>
      </c>
    </row>
    <row r="373" spans="1:27" x14ac:dyDescent="0.2">
      <c r="A373">
        <v>53</v>
      </c>
      <c r="B373">
        <v>10</v>
      </c>
      <c r="C373" t="s">
        <v>171</v>
      </c>
      <c r="D373">
        <v>2017</v>
      </c>
      <c r="E373">
        <v>805</v>
      </c>
      <c r="F373">
        <v>788</v>
      </c>
      <c r="G373">
        <v>17</v>
      </c>
      <c r="H373">
        <v>2.12</v>
      </c>
      <c r="I373">
        <v>1305</v>
      </c>
      <c r="J373">
        <v>371</v>
      </c>
      <c r="K373">
        <v>934</v>
      </c>
      <c r="L373">
        <v>71.58</v>
      </c>
      <c r="M373">
        <v>0.60383141799999995</v>
      </c>
      <c r="N373">
        <f>E373/_xlfn.XLOOKUP(C373,Lookups!$A$2:$A$66,Lookups!$C$2:$C$66)</f>
        <v>0.7166065785374105</v>
      </c>
    </row>
    <row r="374" spans="1:27" x14ac:dyDescent="0.2">
      <c r="A374">
        <v>53</v>
      </c>
      <c r="B374">
        <v>10</v>
      </c>
      <c r="C374" t="s">
        <v>171</v>
      </c>
      <c r="D374">
        <v>2018</v>
      </c>
      <c r="E374">
        <v>801</v>
      </c>
      <c r="F374">
        <v>790</v>
      </c>
      <c r="G374">
        <v>11</v>
      </c>
      <c r="H374">
        <v>2.12</v>
      </c>
      <c r="I374">
        <v>1313</v>
      </c>
      <c r="J374">
        <v>373</v>
      </c>
      <c r="K374">
        <v>940</v>
      </c>
      <c r="L374">
        <v>71.58</v>
      </c>
      <c r="M374">
        <v>0.601675552</v>
      </c>
      <c r="N374">
        <f>E374/_xlfn.XLOOKUP(C374,Lookups!$A$2:$A$66,Lookups!$C$2:$C$66)</f>
        <v>0.71304580050741095</v>
      </c>
    </row>
    <row r="375" spans="1:27" x14ac:dyDescent="0.2">
      <c r="A375">
        <v>53</v>
      </c>
      <c r="B375">
        <v>10</v>
      </c>
      <c r="C375" t="s">
        <v>171</v>
      </c>
      <c r="D375">
        <v>2019</v>
      </c>
      <c r="E375">
        <v>798</v>
      </c>
      <c r="F375">
        <v>792</v>
      </c>
      <c r="G375">
        <v>6</v>
      </c>
      <c r="H375">
        <v>2.11</v>
      </c>
      <c r="I375">
        <v>1321</v>
      </c>
      <c r="J375">
        <v>375</v>
      </c>
      <c r="K375">
        <v>946</v>
      </c>
      <c r="L375">
        <v>71.58</v>
      </c>
      <c r="M375">
        <v>0.59954579900000005</v>
      </c>
      <c r="N375">
        <f>E375/_xlfn.XLOOKUP(C375,Lookups!$A$2:$A$66,Lookups!$C$2:$C$66)</f>
        <v>0.71037521698491124</v>
      </c>
    </row>
    <row r="376" spans="1:27" x14ac:dyDescent="0.2">
      <c r="A376">
        <v>53</v>
      </c>
      <c r="B376">
        <v>10</v>
      </c>
      <c r="C376" t="s">
        <v>171</v>
      </c>
      <c r="D376">
        <v>2020</v>
      </c>
      <c r="E376">
        <v>792</v>
      </c>
      <c r="F376">
        <v>792</v>
      </c>
      <c r="G376">
        <v>0</v>
      </c>
      <c r="I376">
        <v>1332</v>
      </c>
      <c r="M376">
        <v>0.594594595</v>
      </c>
      <c r="N376">
        <f>E376/_xlfn.XLOOKUP(C376,Lookups!$A$2:$A$66,Lookups!$C$2:$C$66)</f>
        <v>0.70503404993991192</v>
      </c>
      <c r="O376">
        <v>792</v>
      </c>
      <c r="P376">
        <v>5</v>
      </c>
      <c r="Q376">
        <v>-6</v>
      </c>
      <c r="R376">
        <v>0</v>
      </c>
      <c r="S376">
        <v>11</v>
      </c>
      <c r="T376">
        <v>1332</v>
      </c>
      <c r="W376">
        <v>792</v>
      </c>
      <c r="X376">
        <v>11</v>
      </c>
      <c r="AA376">
        <v>0.594594595</v>
      </c>
    </row>
    <row r="377" spans="1:27" x14ac:dyDescent="0.2">
      <c r="A377">
        <v>53</v>
      </c>
      <c r="B377">
        <v>10</v>
      </c>
      <c r="C377" t="s">
        <v>171</v>
      </c>
      <c r="D377">
        <v>2021</v>
      </c>
      <c r="E377">
        <v>778</v>
      </c>
      <c r="F377">
        <v>778</v>
      </c>
      <c r="G377">
        <v>0</v>
      </c>
      <c r="I377">
        <v>1347</v>
      </c>
      <c r="M377">
        <v>0.577579807</v>
      </c>
      <c r="N377">
        <f>E377/_xlfn.XLOOKUP(C377,Lookups!$A$2:$A$66,Lookups!$C$2:$C$66)</f>
        <v>0.69257132683491351</v>
      </c>
      <c r="O377">
        <v>778</v>
      </c>
      <c r="P377">
        <v>3</v>
      </c>
      <c r="Q377">
        <v>-2</v>
      </c>
      <c r="R377">
        <v>-12</v>
      </c>
      <c r="S377">
        <v>5</v>
      </c>
      <c r="T377">
        <v>1347</v>
      </c>
      <c r="W377">
        <v>778</v>
      </c>
      <c r="X377">
        <v>14</v>
      </c>
      <c r="AA377">
        <v>0.577579807</v>
      </c>
    </row>
    <row r="378" spans="1:27" x14ac:dyDescent="0.2">
      <c r="A378">
        <v>53</v>
      </c>
      <c r="B378">
        <v>10</v>
      </c>
      <c r="C378" t="s">
        <v>171</v>
      </c>
      <c r="D378">
        <v>2022</v>
      </c>
      <c r="E378">
        <v>779</v>
      </c>
      <c r="F378">
        <v>779</v>
      </c>
      <c r="G378">
        <v>0</v>
      </c>
      <c r="I378">
        <v>1358</v>
      </c>
      <c r="M378">
        <v>0.57363770300000005</v>
      </c>
      <c r="N378">
        <f>E378/_xlfn.XLOOKUP(C378,Lookups!$A$2:$A$66,Lookups!$C$2:$C$66)</f>
        <v>0.69346152134241335</v>
      </c>
      <c r="O378">
        <v>779</v>
      </c>
      <c r="P378">
        <v>4</v>
      </c>
      <c r="Q378">
        <v>-3</v>
      </c>
      <c r="R378">
        <v>4</v>
      </c>
      <c r="S378">
        <v>7</v>
      </c>
      <c r="T378">
        <v>1358</v>
      </c>
      <c r="W378">
        <v>779</v>
      </c>
      <c r="X378">
        <v>15</v>
      </c>
      <c r="AA378">
        <v>0.57363770300000005</v>
      </c>
    </row>
    <row r="379" spans="1:27" x14ac:dyDescent="0.2">
      <c r="A379">
        <v>55</v>
      </c>
      <c r="B379">
        <v>14</v>
      </c>
      <c r="C379" t="s">
        <v>172</v>
      </c>
      <c r="D379">
        <v>2010</v>
      </c>
      <c r="E379">
        <v>6655</v>
      </c>
      <c r="F379">
        <v>6490</v>
      </c>
      <c r="G379">
        <v>165</v>
      </c>
      <c r="H379">
        <v>2.35</v>
      </c>
      <c r="I379">
        <v>4445</v>
      </c>
      <c r="J379">
        <v>2764</v>
      </c>
      <c r="K379">
        <v>1681</v>
      </c>
      <c r="L379">
        <v>37.82</v>
      </c>
      <c r="M379">
        <v>1.4600674920000001</v>
      </c>
      <c r="N379">
        <f>E379/_xlfn.XLOOKUP(C379,Lookups!$A$2:$A$66,Lookups!$C$2:$C$66)</f>
        <v>4.17930506100969</v>
      </c>
    </row>
    <row r="380" spans="1:27" x14ac:dyDescent="0.2">
      <c r="A380">
        <v>55</v>
      </c>
      <c r="B380">
        <v>14</v>
      </c>
      <c r="C380" t="s">
        <v>172</v>
      </c>
      <c r="D380">
        <v>2011</v>
      </c>
      <c r="E380">
        <v>6671</v>
      </c>
      <c r="F380">
        <v>6512</v>
      </c>
      <c r="G380">
        <v>159</v>
      </c>
      <c r="H380">
        <v>2.09</v>
      </c>
      <c r="I380">
        <v>4474</v>
      </c>
      <c r="J380">
        <v>3118</v>
      </c>
      <c r="K380">
        <v>1356</v>
      </c>
      <c r="L380">
        <v>30.3</v>
      </c>
      <c r="M380">
        <v>1.455520787</v>
      </c>
      <c r="N380">
        <f>E380/_xlfn.XLOOKUP(C380,Lookups!$A$2:$A$66,Lookups!$C$2:$C$66)</f>
        <v>4.1893529770091122</v>
      </c>
    </row>
    <row r="381" spans="1:27" x14ac:dyDescent="0.2">
      <c r="A381">
        <v>55</v>
      </c>
      <c r="B381">
        <v>14</v>
      </c>
      <c r="C381" t="s">
        <v>172</v>
      </c>
      <c r="D381">
        <v>2012</v>
      </c>
      <c r="E381">
        <v>6686</v>
      </c>
      <c r="F381">
        <v>6533</v>
      </c>
      <c r="G381">
        <v>153</v>
      </c>
      <c r="H381">
        <v>2.09</v>
      </c>
      <c r="I381">
        <v>4502</v>
      </c>
      <c r="J381">
        <v>3126</v>
      </c>
      <c r="K381">
        <v>1376</v>
      </c>
      <c r="L381">
        <v>30.55</v>
      </c>
      <c r="M381">
        <v>1.4511328299999999</v>
      </c>
      <c r="N381">
        <f>E381/_xlfn.XLOOKUP(C381,Lookups!$A$2:$A$66,Lookups!$C$2:$C$66)</f>
        <v>4.1987728982585706</v>
      </c>
    </row>
    <row r="382" spans="1:27" x14ac:dyDescent="0.2">
      <c r="A382">
        <v>55</v>
      </c>
      <c r="B382">
        <v>14</v>
      </c>
      <c r="C382" t="s">
        <v>172</v>
      </c>
      <c r="D382">
        <v>2013</v>
      </c>
      <c r="E382">
        <v>6697</v>
      </c>
      <c r="F382">
        <v>6551</v>
      </c>
      <c r="G382">
        <v>146</v>
      </c>
      <c r="H382">
        <v>2.09</v>
      </c>
      <c r="I382">
        <v>4523</v>
      </c>
      <c r="J382">
        <v>3132</v>
      </c>
      <c r="K382">
        <v>1391</v>
      </c>
      <c r="L382">
        <v>30.74</v>
      </c>
      <c r="M382">
        <v>1.4483749720000001</v>
      </c>
      <c r="N382">
        <f>E382/_xlfn.XLOOKUP(C382,Lookups!$A$2:$A$66,Lookups!$C$2:$C$66)</f>
        <v>4.2056808405081734</v>
      </c>
    </row>
    <row r="383" spans="1:27" x14ac:dyDescent="0.2">
      <c r="A383">
        <v>55</v>
      </c>
      <c r="B383">
        <v>14</v>
      </c>
      <c r="C383" t="s">
        <v>172</v>
      </c>
      <c r="D383">
        <v>2014</v>
      </c>
      <c r="E383">
        <v>6700</v>
      </c>
      <c r="F383">
        <v>6560</v>
      </c>
      <c r="G383">
        <v>140</v>
      </c>
      <c r="H383">
        <v>2.09</v>
      </c>
      <c r="I383">
        <v>4531</v>
      </c>
      <c r="J383">
        <v>3135</v>
      </c>
      <c r="K383">
        <v>1396</v>
      </c>
      <c r="L383">
        <v>30.81</v>
      </c>
      <c r="M383">
        <v>1.4478040169999999</v>
      </c>
      <c r="N383">
        <f>E383/_xlfn.XLOOKUP(C383,Lookups!$A$2:$A$66,Lookups!$C$2:$C$66)</f>
        <v>4.207564824758065</v>
      </c>
    </row>
    <row r="384" spans="1:27" x14ac:dyDescent="0.2">
      <c r="A384">
        <v>55</v>
      </c>
      <c r="B384">
        <v>14</v>
      </c>
      <c r="C384" t="s">
        <v>172</v>
      </c>
      <c r="D384">
        <v>2015</v>
      </c>
      <c r="E384">
        <v>6706</v>
      </c>
      <c r="F384">
        <v>6572</v>
      </c>
      <c r="G384">
        <v>134</v>
      </c>
      <c r="H384">
        <v>2.09</v>
      </c>
      <c r="I384">
        <v>4543</v>
      </c>
      <c r="J384">
        <v>3138</v>
      </c>
      <c r="K384">
        <v>1405</v>
      </c>
      <c r="L384">
        <v>30.92</v>
      </c>
      <c r="M384">
        <v>1.446621175</v>
      </c>
      <c r="N384">
        <f>E384/_xlfn.XLOOKUP(C384,Lookups!$A$2:$A$66,Lookups!$C$2:$C$66)</f>
        <v>4.2113327932578484</v>
      </c>
    </row>
    <row r="385" spans="1:27" x14ac:dyDescent="0.2">
      <c r="A385">
        <v>55</v>
      </c>
      <c r="B385">
        <v>14</v>
      </c>
      <c r="C385" t="s">
        <v>172</v>
      </c>
      <c r="D385">
        <v>2016</v>
      </c>
      <c r="E385">
        <v>6721</v>
      </c>
      <c r="F385">
        <v>6593</v>
      </c>
      <c r="G385">
        <v>128</v>
      </c>
      <c r="H385">
        <v>2.1</v>
      </c>
      <c r="I385">
        <v>4571</v>
      </c>
      <c r="J385">
        <v>3146</v>
      </c>
      <c r="K385">
        <v>1425</v>
      </c>
      <c r="L385">
        <v>31.17</v>
      </c>
      <c r="M385">
        <v>1.442353971</v>
      </c>
      <c r="N385">
        <f>E385/_xlfn.XLOOKUP(C385,Lookups!$A$2:$A$66,Lookups!$C$2:$C$66)</f>
        <v>4.2207527145073067</v>
      </c>
    </row>
    <row r="386" spans="1:27" x14ac:dyDescent="0.2">
      <c r="A386">
        <v>55</v>
      </c>
      <c r="B386">
        <v>14</v>
      </c>
      <c r="C386" t="s">
        <v>172</v>
      </c>
      <c r="D386">
        <v>2017</v>
      </c>
      <c r="E386">
        <v>6737</v>
      </c>
      <c r="F386">
        <v>6615</v>
      </c>
      <c r="G386">
        <v>122</v>
      </c>
      <c r="H386">
        <v>2.1</v>
      </c>
      <c r="I386">
        <v>4600</v>
      </c>
      <c r="J386">
        <v>3155</v>
      </c>
      <c r="K386">
        <v>1445</v>
      </c>
      <c r="L386">
        <v>31.42</v>
      </c>
      <c r="M386">
        <v>1.438043478</v>
      </c>
      <c r="N386">
        <f>E386/_xlfn.XLOOKUP(C386,Lookups!$A$2:$A$66,Lookups!$C$2:$C$66)</f>
        <v>4.2308006305067289</v>
      </c>
    </row>
    <row r="387" spans="1:27" x14ac:dyDescent="0.2">
      <c r="A387">
        <v>55</v>
      </c>
      <c r="B387">
        <v>14</v>
      </c>
      <c r="C387" t="s">
        <v>172</v>
      </c>
      <c r="D387">
        <v>2018</v>
      </c>
      <c r="E387">
        <v>6758</v>
      </c>
      <c r="F387">
        <v>6642</v>
      </c>
      <c r="G387">
        <v>115</v>
      </c>
      <c r="H387">
        <v>2.1</v>
      </c>
      <c r="I387">
        <v>4637</v>
      </c>
      <c r="J387">
        <v>3165</v>
      </c>
      <c r="K387">
        <v>1472</v>
      </c>
      <c r="L387">
        <v>31.74</v>
      </c>
      <c r="M387">
        <v>1.4323916329999999</v>
      </c>
      <c r="N387">
        <f>E387/_xlfn.XLOOKUP(C387,Lookups!$A$2:$A$66,Lookups!$C$2:$C$66)</f>
        <v>4.2439885202559706</v>
      </c>
    </row>
    <row r="388" spans="1:27" x14ac:dyDescent="0.2">
      <c r="A388">
        <v>55</v>
      </c>
      <c r="B388">
        <v>14</v>
      </c>
      <c r="C388" t="s">
        <v>172</v>
      </c>
      <c r="D388">
        <v>2019</v>
      </c>
      <c r="E388">
        <v>6778</v>
      </c>
      <c r="F388">
        <v>6669</v>
      </c>
      <c r="G388">
        <v>109</v>
      </c>
      <c r="H388">
        <v>2.1</v>
      </c>
      <c r="I388">
        <v>4674</v>
      </c>
      <c r="J388">
        <v>3176</v>
      </c>
      <c r="K388">
        <v>1498</v>
      </c>
      <c r="L388">
        <v>32.049999999999997</v>
      </c>
      <c r="M388">
        <v>1.4268292680000001</v>
      </c>
      <c r="N388">
        <f>E388/_xlfn.XLOOKUP(C388,Lookups!$A$2:$A$66,Lookups!$C$2:$C$66)</f>
        <v>4.2565484152552484</v>
      </c>
    </row>
    <row r="389" spans="1:27" x14ac:dyDescent="0.2">
      <c r="A389">
        <v>55</v>
      </c>
      <c r="B389">
        <v>14</v>
      </c>
      <c r="C389" t="s">
        <v>172</v>
      </c>
      <c r="D389">
        <v>2020</v>
      </c>
      <c r="E389">
        <v>6833</v>
      </c>
      <c r="F389">
        <v>6713</v>
      </c>
      <c r="G389">
        <v>120</v>
      </c>
      <c r="I389">
        <v>4690</v>
      </c>
      <c r="M389">
        <v>1.431343284</v>
      </c>
      <c r="N389">
        <f>E389/_xlfn.XLOOKUP(C389,Lookups!$A$2:$A$66,Lookups!$C$2:$C$66)</f>
        <v>4.2910881265032623</v>
      </c>
      <c r="O389">
        <v>6833</v>
      </c>
      <c r="P389">
        <v>45</v>
      </c>
      <c r="Q389">
        <v>-81</v>
      </c>
      <c r="R389">
        <v>136</v>
      </c>
      <c r="S389">
        <v>126</v>
      </c>
      <c r="T389">
        <v>4690</v>
      </c>
      <c r="W389">
        <v>6713</v>
      </c>
      <c r="X389">
        <v>43</v>
      </c>
      <c r="AA389">
        <v>1.431343284</v>
      </c>
    </row>
    <row r="390" spans="1:27" x14ac:dyDescent="0.2">
      <c r="A390">
        <v>55</v>
      </c>
      <c r="B390">
        <v>14</v>
      </c>
      <c r="C390" t="s">
        <v>172</v>
      </c>
      <c r="D390">
        <v>2021</v>
      </c>
      <c r="E390">
        <v>6948</v>
      </c>
      <c r="F390">
        <v>6842</v>
      </c>
      <c r="G390">
        <v>106</v>
      </c>
      <c r="I390">
        <v>4702</v>
      </c>
      <c r="M390">
        <v>1.4551254790000001</v>
      </c>
      <c r="N390">
        <f>E390/_xlfn.XLOOKUP(C390,Lookups!$A$2:$A$66,Lookups!$C$2:$C$66)</f>
        <v>4.3633075227491105</v>
      </c>
      <c r="O390">
        <v>6948</v>
      </c>
      <c r="P390">
        <v>43</v>
      </c>
      <c r="Q390">
        <v>-83</v>
      </c>
      <c r="R390">
        <v>198</v>
      </c>
      <c r="S390">
        <v>126</v>
      </c>
      <c r="T390">
        <v>4702</v>
      </c>
      <c r="W390">
        <v>6842</v>
      </c>
      <c r="X390">
        <v>57</v>
      </c>
      <c r="AA390">
        <v>1.4551254790000001</v>
      </c>
    </row>
    <row r="391" spans="1:27" x14ac:dyDescent="0.2">
      <c r="A391">
        <v>55</v>
      </c>
      <c r="B391">
        <v>14</v>
      </c>
      <c r="C391" t="s">
        <v>172</v>
      </c>
      <c r="D391">
        <v>2022</v>
      </c>
      <c r="E391">
        <v>7104</v>
      </c>
      <c r="F391">
        <v>7001</v>
      </c>
      <c r="G391">
        <v>103</v>
      </c>
      <c r="I391">
        <v>4747</v>
      </c>
      <c r="M391">
        <v>1.4748262059999999</v>
      </c>
      <c r="N391">
        <f>E391/_xlfn.XLOOKUP(C391,Lookups!$A$2:$A$66,Lookups!$C$2:$C$66)</f>
        <v>4.4612747037434772</v>
      </c>
      <c r="O391">
        <v>7104</v>
      </c>
      <c r="P391">
        <v>44</v>
      </c>
      <c r="Q391">
        <v>-108</v>
      </c>
      <c r="R391">
        <v>264</v>
      </c>
      <c r="S391">
        <v>152</v>
      </c>
      <c r="T391">
        <v>4747</v>
      </c>
      <c r="W391">
        <v>7001</v>
      </c>
      <c r="X391">
        <v>57</v>
      </c>
      <c r="AA391">
        <v>1.4748262059999999</v>
      </c>
    </row>
    <row r="392" spans="1:27" x14ac:dyDescent="0.2">
      <c r="A392">
        <v>57</v>
      </c>
      <c r="B392">
        <v>12</v>
      </c>
      <c r="C392" t="s">
        <v>173</v>
      </c>
      <c r="D392">
        <v>2010</v>
      </c>
      <c r="E392">
        <v>1387</v>
      </c>
      <c r="F392">
        <v>1385</v>
      </c>
      <c r="G392">
        <v>2</v>
      </c>
      <c r="H392">
        <v>2.4</v>
      </c>
      <c r="I392">
        <v>1140</v>
      </c>
      <c r="J392">
        <v>578</v>
      </c>
      <c r="K392">
        <v>562</v>
      </c>
      <c r="L392">
        <v>49.3</v>
      </c>
      <c r="M392">
        <v>1.2149122809999999</v>
      </c>
      <c r="N392">
        <f>E392/_xlfn.XLOOKUP(C392,Lookups!$A$2:$A$66,Lookups!$C$2:$C$66)</f>
        <v>0.85630498533724342</v>
      </c>
    </row>
    <row r="393" spans="1:27" x14ac:dyDescent="0.2">
      <c r="A393">
        <v>57</v>
      </c>
      <c r="B393">
        <v>12</v>
      </c>
      <c r="C393" t="s">
        <v>173</v>
      </c>
      <c r="D393">
        <v>2011</v>
      </c>
      <c r="E393">
        <v>1387</v>
      </c>
      <c r="F393">
        <v>1385</v>
      </c>
      <c r="G393">
        <v>2</v>
      </c>
      <c r="H393">
        <v>2.14</v>
      </c>
      <c r="I393">
        <v>1147</v>
      </c>
      <c r="J393">
        <v>647</v>
      </c>
      <c r="K393">
        <v>500</v>
      </c>
      <c r="L393">
        <v>43.56</v>
      </c>
      <c r="M393">
        <v>1.2074978199999999</v>
      </c>
      <c r="N393">
        <f>E393/_xlfn.XLOOKUP(C393,Lookups!$A$2:$A$66,Lookups!$C$2:$C$66)</f>
        <v>0.85630498533724342</v>
      </c>
    </row>
    <row r="394" spans="1:27" x14ac:dyDescent="0.2">
      <c r="A394">
        <v>57</v>
      </c>
      <c r="B394">
        <v>12</v>
      </c>
      <c r="C394" t="s">
        <v>173</v>
      </c>
      <c r="D394">
        <v>2012</v>
      </c>
      <c r="E394">
        <v>1385</v>
      </c>
      <c r="F394">
        <v>1383</v>
      </c>
      <c r="G394">
        <v>2</v>
      </c>
      <c r="H394">
        <v>2.13</v>
      </c>
      <c r="I394">
        <v>1149</v>
      </c>
      <c r="J394">
        <v>648</v>
      </c>
      <c r="K394">
        <v>501</v>
      </c>
      <c r="L394">
        <v>43.62</v>
      </c>
      <c r="M394">
        <v>1.203655352</v>
      </c>
      <c r="N394">
        <f>E394/_xlfn.XLOOKUP(C394,Lookups!$A$2:$A$66,Lookups!$C$2:$C$66)</f>
        <v>0.85507022688686529</v>
      </c>
    </row>
    <row r="395" spans="1:27" x14ac:dyDescent="0.2">
      <c r="A395">
        <v>57</v>
      </c>
      <c r="B395">
        <v>12</v>
      </c>
      <c r="C395" t="s">
        <v>173</v>
      </c>
      <c r="D395">
        <v>2013</v>
      </c>
      <c r="E395">
        <v>1383</v>
      </c>
      <c r="F395">
        <v>1381</v>
      </c>
      <c r="G395">
        <v>2</v>
      </c>
      <c r="H395">
        <v>2.13</v>
      </c>
      <c r="I395">
        <v>1151</v>
      </c>
      <c r="J395">
        <v>648</v>
      </c>
      <c r="K395">
        <v>503</v>
      </c>
      <c r="L395">
        <v>43.69</v>
      </c>
      <c r="M395">
        <v>1.199826238</v>
      </c>
      <c r="N395">
        <f>E395/_xlfn.XLOOKUP(C395,Lookups!$A$2:$A$66,Lookups!$C$2:$C$66)</f>
        <v>0.85383546843648717</v>
      </c>
    </row>
    <row r="396" spans="1:27" x14ac:dyDescent="0.2">
      <c r="A396">
        <v>57</v>
      </c>
      <c r="B396">
        <v>12</v>
      </c>
      <c r="C396" t="s">
        <v>173</v>
      </c>
      <c r="D396">
        <v>2014</v>
      </c>
      <c r="E396">
        <v>1381</v>
      </c>
      <c r="F396">
        <v>1379</v>
      </c>
      <c r="G396">
        <v>2</v>
      </c>
      <c r="H396">
        <v>2.12</v>
      </c>
      <c r="I396">
        <v>1155</v>
      </c>
      <c r="J396">
        <v>649</v>
      </c>
      <c r="K396">
        <v>506</v>
      </c>
      <c r="L396">
        <v>43.81</v>
      </c>
      <c r="M396">
        <v>1.193939394</v>
      </c>
      <c r="N396">
        <f>E396/_xlfn.XLOOKUP(C396,Lookups!$A$2:$A$66,Lookups!$C$2:$C$66)</f>
        <v>0.85260070998610893</v>
      </c>
    </row>
    <row r="397" spans="1:27" x14ac:dyDescent="0.2">
      <c r="A397">
        <v>57</v>
      </c>
      <c r="B397">
        <v>12</v>
      </c>
      <c r="C397" t="s">
        <v>173</v>
      </c>
      <c r="D397">
        <v>2015</v>
      </c>
      <c r="E397">
        <v>1381</v>
      </c>
      <c r="F397">
        <v>1379</v>
      </c>
      <c r="G397">
        <v>2</v>
      </c>
      <c r="H397">
        <v>2.12</v>
      </c>
      <c r="I397">
        <v>1161</v>
      </c>
      <c r="J397">
        <v>650</v>
      </c>
      <c r="K397">
        <v>511</v>
      </c>
      <c r="L397">
        <v>44</v>
      </c>
      <c r="M397">
        <v>1.187769165</v>
      </c>
      <c r="N397">
        <f>E397/_xlfn.XLOOKUP(C397,Lookups!$A$2:$A$66,Lookups!$C$2:$C$66)</f>
        <v>0.85260070998610893</v>
      </c>
    </row>
    <row r="398" spans="1:27" x14ac:dyDescent="0.2">
      <c r="A398">
        <v>57</v>
      </c>
      <c r="B398">
        <v>12</v>
      </c>
      <c r="C398" t="s">
        <v>173</v>
      </c>
      <c r="D398">
        <v>2016</v>
      </c>
      <c r="E398">
        <v>1379</v>
      </c>
      <c r="F398">
        <v>1377</v>
      </c>
      <c r="G398">
        <v>2</v>
      </c>
      <c r="H398">
        <v>2.12</v>
      </c>
      <c r="I398">
        <v>1165</v>
      </c>
      <c r="J398">
        <v>651</v>
      </c>
      <c r="K398">
        <v>514</v>
      </c>
      <c r="L398">
        <v>44.13</v>
      </c>
      <c r="M398">
        <v>1.181974249</v>
      </c>
      <c r="N398">
        <f>E398/_xlfn.XLOOKUP(C398,Lookups!$A$2:$A$66,Lookups!$C$2:$C$66)</f>
        <v>0.8513659515357308</v>
      </c>
    </row>
    <row r="399" spans="1:27" x14ac:dyDescent="0.2">
      <c r="A399">
        <v>57</v>
      </c>
      <c r="B399">
        <v>12</v>
      </c>
      <c r="C399" t="s">
        <v>173</v>
      </c>
      <c r="D399">
        <v>2017</v>
      </c>
      <c r="E399">
        <v>1379</v>
      </c>
      <c r="F399">
        <v>1377</v>
      </c>
      <c r="G399">
        <v>2</v>
      </c>
      <c r="H399">
        <v>2.11</v>
      </c>
      <c r="I399">
        <v>1172</v>
      </c>
      <c r="J399">
        <v>652</v>
      </c>
      <c r="K399">
        <v>520</v>
      </c>
      <c r="L399">
        <v>44.35</v>
      </c>
      <c r="M399">
        <v>1.174914676</v>
      </c>
      <c r="N399">
        <f>E399/_xlfn.XLOOKUP(C399,Lookups!$A$2:$A$66,Lookups!$C$2:$C$66)</f>
        <v>0.8513659515357308</v>
      </c>
    </row>
    <row r="400" spans="1:27" x14ac:dyDescent="0.2">
      <c r="A400">
        <v>57</v>
      </c>
      <c r="B400">
        <v>12</v>
      </c>
      <c r="C400" t="s">
        <v>173</v>
      </c>
      <c r="D400">
        <v>2018</v>
      </c>
      <c r="E400">
        <v>1379</v>
      </c>
      <c r="F400">
        <v>1377</v>
      </c>
      <c r="G400">
        <v>2</v>
      </c>
      <c r="H400">
        <v>2.11</v>
      </c>
      <c r="I400">
        <v>1179</v>
      </c>
      <c r="J400">
        <v>654</v>
      </c>
      <c r="K400">
        <v>525</v>
      </c>
      <c r="L400">
        <v>44.56</v>
      </c>
      <c r="M400">
        <v>1.1679389309999999</v>
      </c>
      <c r="N400">
        <f>E400/_xlfn.XLOOKUP(C400,Lookups!$A$2:$A$66,Lookups!$C$2:$C$66)</f>
        <v>0.8513659515357308</v>
      </c>
    </row>
    <row r="401" spans="1:27" x14ac:dyDescent="0.2">
      <c r="A401">
        <v>57</v>
      </c>
      <c r="B401">
        <v>12</v>
      </c>
      <c r="C401" t="s">
        <v>173</v>
      </c>
      <c r="D401">
        <v>2019</v>
      </c>
      <c r="E401">
        <v>1379</v>
      </c>
      <c r="F401">
        <v>1377</v>
      </c>
      <c r="G401">
        <v>2</v>
      </c>
      <c r="H401">
        <v>2.1</v>
      </c>
      <c r="I401">
        <v>1186</v>
      </c>
      <c r="J401">
        <v>655</v>
      </c>
      <c r="K401">
        <v>531</v>
      </c>
      <c r="L401">
        <v>44.77</v>
      </c>
      <c r="M401">
        <v>1.1610455310000001</v>
      </c>
      <c r="N401">
        <f>E401/_xlfn.XLOOKUP(C401,Lookups!$A$2:$A$66,Lookups!$C$2:$C$66)</f>
        <v>0.8513659515357308</v>
      </c>
    </row>
    <row r="402" spans="1:27" x14ac:dyDescent="0.2">
      <c r="A402">
        <v>57</v>
      </c>
      <c r="B402">
        <v>12</v>
      </c>
      <c r="C402" t="s">
        <v>173</v>
      </c>
      <c r="D402">
        <v>2020</v>
      </c>
      <c r="E402">
        <v>1378</v>
      </c>
      <c r="F402">
        <v>1376</v>
      </c>
      <c r="G402">
        <v>2</v>
      </c>
      <c r="I402">
        <v>1191</v>
      </c>
      <c r="M402">
        <v>1.155331654</v>
      </c>
      <c r="N402">
        <f>E402/_xlfn.XLOOKUP(C402,Lookups!$A$2:$A$66,Lookups!$C$2:$C$66)</f>
        <v>0.8507485723105418</v>
      </c>
      <c r="O402">
        <v>1378</v>
      </c>
      <c r="P402">
        <v>7</v>
      </c>
      <c r="Q402">
        <v>-4</v>
      </c>
      <c r="R402">
        <v>3</v>
      </c>
      <c r="S402">
        <v>11</v>
      </c>
      <c r="T402">
        <v>1191</v>
      </c>
      <c r="W402">
        <v>1376</v>
      </c>
      <c r="X402">
        <v>5</v>
      </c>
      <c r="AA402">
        <v>1.155331654</v>
      </c>
    </row>
    <row r="403" spans="1:27" x14ac:dyDescent="0.2">
      <c r="A403">
        <v>57</v>
      </c>
      <c r="B403">
        <v>12</v>
      </c>
      <c r="C403" t="s">
        <v>173</v>
      </c>
      <c r="D403">
        <v>2021</v>
      </c>
      <c r="E403">
        <v>1358</v>
      </c>
      <c r="F403">
        <v>1356</v>
      </c>
      <c r="G403">
        <v>2</v>
      </c>
      <c r="I403">
        <v>1195</v>
      </c>
      <c r="M403">
        <v>1.134728033</v>
      </c>
      <c r="N403">
        <f>E403/_xlfn.XLOOKUP(C403,Lookups!$A$2:$A$66,Lookups!$C$2:$C$66)</f>
        <v>0.83840098780676031</v>
      </c>
      <c r="O403">
        <v>1358</v>
      </c>
      <c r="P403">
        <v>6</v>
      </c>
      <c r="Q403">
        <v>-9</v>
      </c>
      <c r="R403">
        <v>-11</v>
      </c>
      <c r="S403">
        <v>15</v>
      </c>
      <c r="T403">
        <v>1195</v>
      </c>
      <c r="W403">
        <v>1356</v>
      </c>
      <c r="X403">
        <v>2</v>
      </c>
      <c r="AA403">
        <v>1.134728033</v>
      </c>
    </row>
    <row r="404" spans="1:27" x14ac:dyDescent="0.2">
      <c r="A404">
        <v>57</v>
      </c>
      <c r="B404">
        <v>12</v>
      </c>
      <c r="C404" t="s">
        <v>173</v>
      </c>
      <c r="D404">
        <v>2022</v>
      </c>
      <c r="E404">
        <v>1314</v>
      </c>
      <c r="F404">
        <v>1312</v>
      </c>
      <c r="G404">
        <v>2</v>
      </c>
      <c r="I404">
        <v>1199</v>
      </c>
      <c r="M404">
        <v>1.0942452039999999</v>
      </c>
      <c r="N404">
        <f>E404/_xlfn.XLOOKUP(C404,Lookups!$A$2:$A$66,Lookups!$C$2:$C$66)</f>
        <v>0.81123630189844109</v>
      </c>
      <c r="O404">
        <v>1314</v>
      </c>
      <c r="P404">
        <v>8</v>
      </c>
      <c r="Q404">
        <v>-1</v>
      </c>
      <c r="R404">
        <v>-43</v>
      </c>
      <c r="S404">
        <v>9</v>
      </c>
      <c r="T404">
        <v>1199</v>
      </c>
      <c r="W404">
        <v>1312</v>
      </c>
      <c r="X404">
        <v>4</v>
      </c>
      <c r="AA404">
        <v>1.0942452039999999</v>
      </c>
    </row>
    <row r="405" spans="1:27" x14ac:dyDescent="0.2">
      <c r="A405">
        <v>59</v>
      </c>
      <c r="B405">
        <v>4</v>
      </c>
      <c r="C405" t="s">
        <v>174</v>
      </c>
      <c r="D405">
        <v>2010</v>
      </c>
      <c r="E405">
        <v>535651</v>
      </c>
      <c r="F405">
        <v>528224</v>
      </c>
      <c r="G405">
        <v>7427</v>
      </c>
      <c r="H405">
        <v>2.42</v>
      </c>
      <c r="I405">
        <v>230181</v>
      </c>
      <c r="J405">
        <v>218630</v>
      </c>
      <c r="K405">
        <v>11551</v>
      </c>
      <c r="L405">
        <v>5.0199999999999996</v>
      </c>
      <c r="M405">
        <v>2.2948201629999998</v>
      </c>
      <c r="N405">
        <f>E405/_xlfn.XLOOKUP(C405,Lookups!$A$2:$A$66,Lookups!$C$2:$C$66)</f>
        <v>693.08533350585492</v>
      </c>
    </row>
    <row r="406" spans="1:27" x14ac:dyDescent="0.2">
      <c r="A406">
        <v>59</v>
      </c>
      <c r="B406">
        <v>4</v>
      </c>
      <c r="C406" t="s">
        <v>174</v>
      </c>
      <c r="D406">
        <v>2011</v>
      </c>
      <c r="E406">
        <v>540625</v>
      </c>
      <c r="F406">
        <v>532839</v>
      </c>
      <c r="G406">
        <v>7786</v>
      </c>
      <c r="H406">
        <v>2.42</v>
      </c>
      <c r="I406">
        <v>230936</v>
      </c>
      <c r="J406">
        <v>220545</v>
      </c>
      <c r="K406">
        <v>10391</v>
      </c>
      <c r="L406">
        <v>4.5</v>
      </c>
      <c r="M406">
        <v>2.3073015899999998</v>
      </c>
      <c r="N406">
        <f>E406/_xlfn.XLOOKUP(C406,Lookups!$A$2:$A$66,Lookups!$C$2:$C$66)</f>
        <v>699.52125250695474</v>
      </c>
    </row>
    <row r="407" spans="1:27" x14ac:dyDescent="0.2">
      <c r="A407">
        <v>59</v>
      </c>
      <c r="B407">
        <v>4</v>
      </c>
      <c r="C407" t="s">
        <v>174</v>
      </c>
      <c r="D407">
        <v>2012</v>
      </c>
      <c r="E407">
        <v>546631</v>
      </c>
      <c r="F407">
        <v>538930</v>
      </c>
      <c r="G407">
        <v>7701</v>
      </c>
      <c r="H407">
        <v>2.42</v>
      </c>
      <c r="I407">
        <v>232054</v>
      </c>
      <c r="J407">
        <v>223071</v>
      </c>
      <c r="K407">
        <v>8983</v>
      </c>
      <c r="L407">
        <v>3.87</v>
      </c>
      <c r="M407">
        <v>2.3224335709999999</v>
      </c>
      <c r="N407">
        <f>E407/_xlfn.XLOOKUP(C407,Lookups!$A$2:$A$66,Lookups!$C$2:$C$66)</f>
        <v>707.29248884000776</v>
      </c>
    </row>
    <row r="408" spans="1:27" x14ac:dyDescent="0.2">
      <c r="A408">
        <v>59</v>
      </c>
      <c r="B408">
        <v>4</v>
      </c>
      <c r="C408" t="s">
        <v>174</v>
      </c>
      <c r="D408">
        <v>2013</v>
      </c>
      <c r="E408">
        <v>552236</v>
      </c>
      <c r="F408">
        <v>544284</v>
      </c>
      <c r="G408">
        <v>7952</v>
      </c>
      <c r="H408">
        <v>2.42</v>
      </c>
      <c r="I408">
        <v>233257</v>
      </c>
      <c r="J408">
        <v>225291</v>
      </c>
      <c r="K408">
        <v>7966</v>
      </c>
      <c r="L408">
        <v>3.42</v>
      </c>
      <c r="M408">
        <v>2.3334090719999998</v>
      </c>
      <c r="N408">
        <f>E408/_xlfn.XLOOKUP(C408,Lookups!$A$2:$A$66,Lookups!$C$2:$C$66)</f>
        <v>714.54486640357118</v>
      </c>
    </row>
    <row r="409" spans="1:27" x14ac:dyDescent="0.2">
      <c r="A409">
        <v>59</v>
      </c>
      <c r="B409">
        <v>4</v>
      </c>
      <c r="C409" t="s">
        <v>174</v>
      </c>
      <c r="D409">
        <v>2014</v>
      </c>
      <c r="E409">
        <v>559016</v>
      </c>
      <c r="F409">
        <v>550990</v>
      </c>
      <c r="G409">
        <v>8026</v>
      </c>
      <c r="H409">
        <v>2.42</v>
      </c>
      <c r="I409">
        <v>234710</v>
      </c>
      <c r="J409">
        <v>228072</v>
      </c>
      <c r="K409">
        <v>6638</v>
      </c>
      <c r="L409">
        <v>2.83</v>
      </c>
      <c r="M409">
        <v>2.347535256</v>
      </c>
      <c r="N409">
        <f>E409/_xlfn.XLOOKUP(C409,Lookups!$A$2:$A$66,Lookups!$C$2:$C$66)</f>
        <v>723.31759073558908</v>
      </c>
    </row>
    <row r="410" spans="1:27" x14ac:dyDescent="0.2">
      <c r="A410">
        <v>59</v>
      </c>
      <c r="B410">
        <v>4</v>
      </c>
      <c r="C410" t="s">
        <v>174</v>
      </c>
      <c r="D410">
        <v>2015</v>
      </c>
      <c r="E410">
        <v>565161</v>
      </c>
      <c r="F410">
        <v>557032</v>
      </c>
      <c r="G410">
        <v>8129</v>
      </c>
      <c r="H410">
        <v>2.42</v>
      </c>
      <c r="I410">
        <v>237424</v>
      </c>
      <c r="J410">
        <v>230578</v>
      </c>
      <c r="K410">
        <v>6846</v>
      </c>
      <c r="L410">
        <v>2.88</v>
      </c>
      <c r="M410">
        <v>2.3461486620000001</v>
      </c>
      <c r="N410">
        <f>E410/_xlfn.XLOOKUP(C410,Lookups!$A$2:$A$66,Lookups!$C$2:$C$66)</f>
        <v>731.26868085656986</v>
      </c>
    </row>
    <row r="411" spans="1:27" x14ac:dyDescent="0.2">
      <c r="A411">
        <v>59</v>
      </c>
      <c r="B411">
        <v>4</v>
      </c>
      <c r="C411" t="s">
        <v>174</v>
      </c>
      <c r="D411">
        <v>2016</v>
      </c>
      <c r="E411">
        <v>571744</v>
      </c>
      <c r="F411">
        <v>563381</v>
      </c>
      <c r="G411">
        <v>8363</v>
      </c>
      <c r="H411">
        <v>2.42</v>
      </c>
      <c r="I411">
        <v>239371</v>
      </c>
      <c r="J411">
        <v>233211</v>
      </c>
      <c r="K411">
        <v>6160</v>
      </c>
      <c r="L411">
        <v>2.57</v>
      </c>
      <c r="M411">
        <v>2.3535891979999999</v>
      </c>
      <c r="N411">
        <f>E411/_xlfn.XLOOKUP(C411,Lookups!$A$2:$A$66,Lookups!$C$2:$C$66)</f>
        <v>739.78650449634472</v>
      </c>
    </row>
    <row r="412" spans="1:27" x14ac:dyDescent="0.2">
      <c r="A412">
        <v>59</v>
      </c>
      <c r="B412">
        <v>4</v>
      </c>
      <c r="C412" t="s">
        <v>174</v>
      </c>
      <c r="D412">
        <v>2017</v>
      </c>
      <c r="E412">
        <v>575923</v>
      </c>
      <c r="F412">
        <v>566813</v>
      </c>
      <c r="G412">
        <v>9110</v>
      </c>
      <c r="H412">
        <v>2.42</v>
      </c>
      <c r="I412">
        <v>242056</v>
      </c>
      <c r="J412">
        <v>234636</v>
      </c>
      <c r="K412">
        <v>7420</v>
      </c>
      <c r="L412">
        <v>3.07</v>
      </c>
      <c r="M412">
        <v>2.3416606070000001</v>
      </c>
      <c r="N412">
        <f>E412/_xlfn.XLOOKUP(C412,Lookups!$A$2:$A$66,Lookups!$C$2:$C$66)</f>
        <v>745.19376334346896</v>
      </c>
    </row>
    <row r="413" spans="1:27" x14ac:dyDescent="0.2">
      <c r="A413">
        <v>59</v>
      </c>
      <c r="B413">
        <v>4</v>
      </c>
      <c r="C413" t="s">
        <v>174</v>
      </c>
      <c r="D413">
        <v>2018</v>
      </c>
      <c r="E413">
        <v>579821</v>
      </c>
      <c r="F413">
        <v>570999</v>
      </c>
      <c r="G413">
        <v>8822</v>
      </c>
      <c r="H413">
        <v>2.42</v>
      </c>
      <c r="I413">
        <v>244236</v>
      </c>
      <c r="J413">
        <v>236374</v>
      </c>
      <c r="K413">
        <v>7862</v>
      </c>
      <c r="L413">
        <v>3.22</v>
      </c>
      <c r="M413">
        <v>2.33789859</v>
      </c>
      <c r="N413">
        <f>E413/_xlfn.XLOOKUP(C413,Lookups!$A$2:$A$66,Lookups!$C$2:$C$66)</f>
        <v>750.23743287830757</v>
      </c>
    </row>
    <row r="414" spans="1:27" x14ac:dyDescent="0.2">
      <c r="A414">
        <v>59</v>
      </c>
      <c r="B414">
        <v>4</v>
      </c>
      <c r="C414" t="s">
        <v>174</v>
      </c>
      <c r="D414">
        <v>2019</v>
      </c>
      <c r="E414">
        <v>582568</v>
      </c>
      <c r="F414">
        <v>573332</v>
      </c>
      <c r="G414">
        <v>9236</v>
      </c>
      <c r="H414">
        <v>2.42</v>
      </c>
      <c r="I414">
        <v>246873</v>
      </c>
      <c r="J414">
        <v>237345</v>
      </c>
      <c r="K414">
        <v>9528</v>
      </c>
      <c r="L414">
        <v>3.86</v>
      </c>
      <c r="M414">
        <v>2.3223762830000001</v>
      </c>
      <c r="N414">
        <f>E414/_xlfn.XLOOKUP(C414,Lookups!$A$2:$A$66,Lookups!$C$2:$C$66)</f>
        <v>753.79180953613252</v>
      </c>
    </row>
    <row r="415" spans="1:27" x14ac:dyDescent="0.2">
      <c r="A415">
        <v>59</v>
      </c>
      <c r="B415">
        <v>4</v>
      </c>
      <c r="C415" t="s">
        <v>174</v>
      </c>
      <c r="D415">
        <v>2020</v>
      </c>
      <c r="E415">
        <v>583063</v>
      </c>
      <c r="F415">
        <v>574379</v>
      </c>
      <c r="G415">
        <v>8684</v>
      </c>
      <c r="I415">
        <v>248886</v>
      </c>
      <c r="M415">
        <v>2.3077995549999999</v>
      </c>
      <c r="N415">
        <f>E415/_xlfn.XLOOKUP(C415,Lookups!$A$2:$A$66,Lookups!$C$2:$C$66)</f>
        <v>754.43229604709836</v>
      </c>
      <c r="O415">
        <v>583063</v>
      </c>
      <c r="P415">
        <v>5723</v>
      </c>
      <c r="Q415">
        <v>822</v>
      </c>
      <c r="R415">
        <v>-327</v>
      </c>
      <c r="S415">
        <v>4901</v>
      </c>
      <c r="T415">
        <v>248886</v>
      </c>
      <c r="W415">
        <v>574379</v>
      </c>
      <c r="X415">
        <v>2161</v>
      </c>
      <c r="AA415">
        <v>2.3077995549999999</v>
      </c>
    </row>
    <row r="416" spans="1:27" x14ac:dyDescent="0.2">
      <c r="A416">
        <v>59</v>
      </c>
      <c r="B416">
        <v>4</v>
      </c>
      <c r="C416" t="s">
        <v>174</v>
      </c>
      <c r="D416">
        <v>2021</v>
      </c>
      <c r="E416">
        <v>580726</v>
      </c>
      <c r="F416">
        <v>571625</v>
      </c>
      <c r="G416">
        <v>9101</v>
      </c>
      <c r="I416">
        <v>251462</v>
      </c>
      <c r="M416">
        <v>2.2732062900000001</v>
      </c>
      <c r="N416">
        <f>E416/_xlfn.XLOOKUP(C416,Lookups!$A$2:$A$66,Lookups!$C$2:$C$66)</f>
        <v>751.40842336805326</v>
      </c>
      <c r="O416">
        <v>580726</v>
      </c>
      <c r="P416">
        <v>5379</v>
      </c>
      <c r="Q416">
        <v>12</v>
      </c>
      <c r="R416">
        <v>-2349</v>
      </c>
      <c r="S416">
        <v>5367</v>
      </c>
      <c r="T416">
        <v>251462</v>
      </c>
      <c r="W416">
        <v>571625</v>
      </c>
      <c r="X416">
        <v>2515</v>
      </c>
      <c r="AA416">
        <v>2.2732062900000001</v>
      </c>
    </row>
    <row r="417" spans="1:27" x14ac:dyDescent="0.2">
      <c r="A417">
        <v>59</v>
      </c>
      <c r="B417">
        <v>4</v>
      </c>
      <c r="C417" t="s">
        <v>174</v>
      </c>
      <c r="D417">
        <v>2022</v>
      </c>
      <c r="E417">
        <v>575936</v>
      </c>
      <c r="F417">
        <v>566554</v>
      </c>
      <c r="G417">
        <v>9382</v>
      </c>
      <c r="I417">
        <v>254441</v>
      </c>
      <c r="M417">
        <v>2.2266615839999999</v>
      </c>
      <c r="N417">
        <f>E417/_xlfn.XLOOKUP(C417,Lookups!$A$2:$A$66,Lookups!$C$2:$C$66)</f>
        <v>745.21058420133272</v>
      </c>
      <c r="O417">
        <v>575936</v>
      </c>
      <c r="P417">
        <v>5523</v>
      </c>
      <c r="Q417">
        <v>82</v>
      </c>
      <c r="R417">
        <v>-4872</v>
      </c>
      <c r="S417">
        <v>5441</v>
      </c>
      <c r="T417">
        <v>254441</v>
      </c>
      <c r="W417">
        <v>566554</v>
      </c>
      <c r="X417">
        <v>2206</v>
      </c>
      <c r="AA417">
        <v>2.2266615839999999</v>
      </c>
    </row>
    <row r="418" spans="1:27" x14ac:dyDescent="0.2">
      <c r="A418">
        <v>61</v>
      </c>
      <c r="B418">
        <v>6</v>
      </c>
      <c r="C418" t="s">
        <v>175</v>
      </c>
      <c r="D418">
        <v>2010</v>
      </c>
      <c r="E418">
        <v>1399</v>
      </c>
      <c r="F418">
        <v>1385</v>
      </c>
      <c r="G418">
        <v>14</v>
      </c>
      <c r="H418">
        <v>2.4900000000000002</v>
      </c>
      <c r="I418">
        <v>720</v>
      </c>
      <c r="J418">
        <v>557</v>
      </c>
      <c r="K418">
        <v>163</v>
      </c>
      <c r="L418">
        <v>22.64</v>
      </c>
      <c r="M418">
        <v>1.923611111</v>
      </c>
      <c r="N418">
        <f>E418/_xlfn.XLOOKUP(C418,Lookups!$A$2:$A$66,Lookups!$C$2:$C$66)</f>
        <v>0.78335853071280581</v>
      </c>
    </row>
    <row r="419" spans="1:27" x14ac:dyDescent="0.2">
      <c r="A419">
        <v>61</v>
      </c>
      <c r="B419">
        <v>6</v>
      </c>
      <c r="C419" t="s">
        <v>175</v>
      </c>
      <c r="D419">
        <v>2011</v>
      </c>
      <c r="E419">
        <v>1383</v>
      </c>
      <c r="F419">
        <v>1367</v>
      </c>
      <c r="G419">
        <v>16</v>
      </c>
      <c r="H419">
        <v>2.25</v>
      </c>
      <c r="I419">
        <v>727</v>
      </c>
      <c r="J419">
        <v>607</v>
      </c>
      <c r="K419">
        <v>120</v>
      </c>
      <c r="L419">
        <v>16.53</v>
      </c>
      <c r="M419">
        <v>1.8803301240000001</v>
      </c>
      <c r="N419">
        <f>E419/_xlfn.XLOOKUP(C419,Lookups!$A$2:$A$66,Lookups!$C$2:$C$66)</f>
        <v>0.77439946245590452</v>
      </c>
    </row>
    <row r="420" spans="1:27" x14ac:dyDescent="0.2">
      <c r="A420">
        <v>61</v>
      </c>
      <c r="B420">
        <v>6</v>
      </c>
      <c r="C420" t="s">
        <v>175</v>
      </c>
      <c r="D420">
        <v>2012</v>
      </c>
      <c r="E420">
        <v>1392</v>
      </c>
      <c r="F420">
        <v>1375</v>
      </c>
      <c r="G420">
        <v>18</v>
      </c>
      <c r="H420">
        <v>2.27</v>
      </c>
      <c r="I420">
        <v>728</v>
      </c>
      <c r="J420">
        <v>605</v>
      </c>
      <c r="K420">
        <v>123</v>
      </c>
      <c r="L420">
        <v>16.899999999999999</v>
      </c>
      <c r="M420">
        <v>1.8887362640000001</v>
      </c>
      <c r="N420">
        <f>E420/_xlfn.XLOOKUP(C420,Lookups!$A$2:$A$66,Lookups!$C$2:$C$66)</f>
        <v>0.77943893835041156</v>
      </c>
    </row>
    <row r="421" spans="1:27" x14ac:dyDescent="0.2">
      <c r="A421">
        <v>61</v>
      </c>
      <c r="B421">
        <v>6</v>
      </c>
      <c r="C421" t="s">
        <v>175</v>
      </c>
      <c r="D421">
        <v>2013</v>
      </c>
      <c r="E421">
        <v>1397</v>
      </c>
      <c r="F421">
        <v>1377</v>
      </c>
      <c r="G421">
        <v>20</v>
      </c>
      <c r="H421">
        <v>2.29</v>
      </c>
      <c r="I421">
        <v>730</v>
      </c>
      <c r="J421">
        <v>601</v>
      </c>
      <c r="K421">
        <v>129</v>
      </c>
      <c r="L421">
        <v>17.649999999999999</v>
      </c>
      <c r="M421">
        <v>1.88630137</v>
      </c>
      <c r="N421">
        <f>E421/_xlfn.XLOOKUP(C421,Lookups!$A$2:$A$66,Lookups!$C$2:$C$66)</f>
        <v>0.78223864718069314</v>
      </c>
    </row>
    <row r="422" spans="1:27" x14ac:dyDescent="0.2">
      <c r="A422">
        <v>61</v>
      </c>
      <c r="B422">
        <v>6</v>
      </c>
      <c r="C422" t="s">
        <v>175</v>
      </c>
      <c r="D422">
        <v>2014</v>
      </c>
      <c r="E422">
        <v>1393</v>
      </c>
      <c r="F422">
        <v>1372</v>
      </c>
      <c r="G422">
        <v>22</v>
      </c>
      <c r="H422">
        <v>2.31</v>
      </c>
      <c r="I422">
        <v>734</v>
      </c>
      <c r="J422">
        <v>594</v>
      </c>
      <c r="K422">
        <v>140</v>
      </c>
      <c r="L422">
        <v>19.12</v>
      </c>
      <c r="M422">
        <v>1.869209809</v>
      </c>
      <c r="N422">
        <f>E422/_xlfn.XLOOKUP(C422,Lookups!$A$2:$A$66,Lookups!$C$2:$C$66)</f>
        <v>0.7799988801164679</v>
      </c>
    </row>
    <row r="423" spans="1:27" x14ac:dyDescent="0.2">
      <c r="A423">
        <v>61</v>
      </c>
      <c r="B423">
        <v>6</v>
      </c>
      <c r="C423" t="s">
        <v>175</v>
      </c>
      <c r="D423">
        <v>2015</v>
      </c>
      <c r="E423">
        <v>1406</v>
      </c>
      <c r="F423">
        <v>1383</v>
      </c>
      <c r="G423">
        <v>24</v>
      </c>
      <c r="H423">
        <v>2.33</v>
      </c>
      <c r="I423">
        <v>734</v>
      </c>
      <c r="J423">
        <v>594</v>
      </c>
      <c r="K423">
        <v>140</v>
      </c>
      <c r="L423">
        <v>19.12</v>
      </c>
      <c r="M423">
        <v>1.884196185</v>
      </c>
      <c r="N423">
        <f>E423/_xlfn.XLOOKUP(C423,Lookups!$A$2:$A$66,Lookups!$C$2:$C$66)</f>
        <v>0.78727812307520018</v>
      </c>
    </row>
    <row r="424" spans="1:27" x14ac:dyDescent="0.2">
      <c r="A424">
        <v>61</v>
      </c>
      <c r="B424">
        <v>6</v>
      </c>
      <c r="C424" t="s">
        <v>175</v>
      </c>
      <c r="D424">
        <v>2016</v>
      </c>
      <c r="E424">
        <v>1420</v>
      </c>
      <c r="F424">
        <v>1394</v>
      </c>
      <c r="G424">
        <v>25</v>
      </c>
      <c r="H424">
        <v>2.35</v>
      </c>
      <c r="I424">
        <v>734</v>
      </c>
      <c r="J424">
        <v>594</v>
      </c>
      <c r="K424">
        <v>140</v>
      </c>
      <c r="L424">
        <v>19.12</v>
      </c>
      <c r="M424">
        <v>1.8991825609999999</v>
      </c>
      <c r="N424">
        <f>E424/_xlfn.XLOOKUP(C424,Lookups!$A$2:$A$66,Lookups!$C$2:$C$66)</f>
        <v>0.79511730779998879</v>
      </c>
    </row>
    <row r="425" spans="1:27" x14ac:dyDescent="0.2">
      <c r="A425">
        <v>61</v>
      </c>
      <c r="B425">
        <v>6</v>
      </c>
      <c r="C425" t="s">
        <v>175</v>
      </c>
      <c r="D425">
        <v>2017</v>
      </c>
      <c r="E425">
        <v>1428</v>
      </c>
      <c r="F425">
        <v>1401</v>
      </c>
      <c r="G425">
        <v>27</v>
      </c>
      <c r="H425">
        <v>2.37</v>
      </c>
      <c r="I425">
        <v>735</v>
      </c>
      <c r="J425">
        <v>592</v>
      </c>
      <c r="K425">
        <v>143</v>
      </c>
      <c r="L425">
        <v>19.489999999999998</v>
      </c>
      <c r="M425">
        <v>1.9061224489999999</v>
      </c>
      <c r="N425">
        <f>E425/_xlfn.XLOOKUP(C425,Lookups!$A$2:$A$66,Lookups!$C$2:$C$66)</f>
        <v>0.79959684192843938</v>
      </c>
    </row>
    <row r="426" spans="1:27" x14ac:dyDescent="0.2">
      <c r="A426">
        <v>61</v>
      </c>
      <c r="B426">
        <v>6</v>
      </c>
      <c r="C426" t="s">
        <v>175</v>
      </c>
      <c r="D426">
        <v>2018</v>
      </c>
      <c r="E426">
        <v>1442</v>
      </c>
      <c r="F426">
        <v>1412</v>
      </c>
      <c r="G426">
        <v>29</v>
      </c>
      <c r="H426">
        <v>2.39</v>
      </c>
      <c r="I426">
        <v>735</v>
      </c>
      <c r="J426">
        <v>592</v>
      </c>
      <c r="K426">
        <v>143</v>
      </c>
      <c r="L426">
        <v>19.489999999999998</v>
      </c>
      <c r="M426">
        <v>1.9210884349999999</v>
      </c>
      <c r="N426">
        <f>E426/_xlfn.XLOOKUP(C426,Lookups!$A$2:$A$66,Lookups!$C$2:$C$66)</f>
        <v>0.807436026653228</v>
      </c>
    </row>
    <row r="427" spans="1:27" x14ac:dyDescent="0.2">
      <c r="A427">
        <v>61</v>
      </c>
      <c r="B427">
        <v>6</v>
      </c>
      <c r="C427" t="s">
        <v>175</v>
      </c>
      <c r="D427">
        <v>2019</v>
      </c>
      <c r="E427">
        <v>1455</v>
      </c>
      <c r="F427">
        <v>1424</v>
      </c>
      <c r="G427">
        <v>31</v>
      </c>
      <c r="H427">
        <v>2.41</v>
      </c>
      <c r="I427">
        <v>735</v>
      </c>
      <c r="J427">
        <v>592</v>
      </c>
      <c r="K427">
        <v>143</v>
      </c>
      <c r="L427">
        <v>19.489999999999998</v>
      </c>
      <c r="M427">
        <v>1.937414966</v>
      </c>
      <c r="N427">
        <f>E427/_xlfn.XLOOKUP(C427,Lookups!$A$2:$A$66,Lookups!$C$2:$C$66)</f>
        <v>0.81471526961196028</v>
      </c>
    </row>
    <row r="428" spans="1:27" x14ac:dyDescent="0.2">
      <c r="A428">
        <v>61</v>
      </c>
      <c r="B428">
        <v>6</v>
      </c>
      <c r="C428" t="s">
        <v>175</v>
      </c>
      <c r="D428">
        <v>2020</v>
      </c>
      <c r="E428">
        <v>1454</v>
      </c>
      <c r="F428">
        <v>1425</v>
      </c>
      <c r="G428">
        <v>29</v>
      </c>
      <c r="I428">
        <v>737</v>
      </c>
      <c r="M428">
        <v>1.933514247</v>
      </c>
      <c r="N428">
        <f>E428/_xlfn.XLOOKUP(C428,Lookups!$A$2:$A$66,Lookups!$C$2:$C$66)</f>
        <v>0.81415532784590394</v>
      </c>
      <c r="O428">
        <v>1454</v>
      </c>
      <c r="P428">
        <v>13</v>
      </c>
      <c r="Q428">
        <v>-2</v>
      </c>
      <c r="R428">
        <v>1</v>
      </c>
      <c r="S428">
        <v>15</v>
      </c>
      <c r="T428">
        <v>737</v>
      </c>
      <c r="W428">
        <v>1425</v>
      </c>
      <c r="X428">
        <v>5</v>
      </c>
      <c r="AA428">
        <v>1.933514247</v>
      </c>
    </row>
    <row r="429" spans="1:27" x14ac:dyDescent="0.2">
      <c r="A429">
        <v>61</v>
      </c>
      <c r="B429">
        <v>6</v>
      </c>
      <c r="C429" t="s">
        <v>175</v>
      </c>
      <c r="D429">
        <v>2021</v>
      </c>
      <c r="E429">
        <v>1453</v>
      </c>
      <c r="F429">
        <v>1424</v>
      </c>
      <c r="G429">
        <v>29</v>
      </c>
      <c r="I429">
        <v>742</v>
      </c>
      <c r="M429">
        <v>1.919137466</v>
      </c>
      <c r="N429">
        <f>E429/_xlfn.XLOOKUP(C429,Lookups!$A$2:$A$66,Lookups!$C$2:$C$66)</f>
        <v>0.8135953860798476</v>
      </c>
      <c r="O429">
        <v>1453</v>
      </c>
      <c r="P429">
        <v>20</v>
      </c>
      <c r="Q429">
        <v>-1</v>
      </c>
      <c r="R429">
        <v>0</v>
      </c>
      <c r="S429">
        <v>21</v>
      </c>
      <c r="T429">
        <v>742</v>
      </c>
      <c r="W429">
        <v>1424</v>
      </c>
      <c r="X429">
        <v>6</v>
      </c>
      <c r="AA429">
        <v>1.919137466</v>
      </c>
    </row>
    <row r="430" spans="1:27" x14ac:dyDescent="0.2">
      <c r="A430">
        <v>61</v>
      </c>
      <c r="B430">
        <v>6</v>
      </c>
      <c r="C430" t="s">
        <v>175</v>
      </c>
      <c r="D430">
        <v>2022</v>
      </c>
      <c r="E430">
        <v>1428</v>
      </c>
      <c r="F430">
        <v>1399</v>
      </c>
      <c r="G430">
        <v>29</v>
      </c>
      <c r="I430">
        <v>748</v>
      </c>
      <c r="M430">
        <v>1.870320856</v>
      </c>
      <c r="N430">
        <f>E430/_xlfn.XLOOKUP(C430,Lookups!$A$2:$A$66,Lookups!$C$2:$C$66)</f>
        <v>0.79959684192843938</v>
      </c>
      <c r="O430">
        <v>1428</v>
      </c>
      <c r="P430">
        <v>11</v>
      </c>
      <c r="Q430">
        <v>-8</v>
      </c>
      <c r="R430">
        <v>-17</v>
      </c>
      <c r="S430">
        <v>19</v>
      </c>
      <c r="T430">
        <v>748</v>
      </c>
      <c r="W430">
        <v>1399</v>
      </c>
      <c r="X430">
        <v>6</v>
      </c>
      <c r="AA430">
        <v>1.870320856</v>
      </c>
    </row>
    <row r="431" spans="1:27" x14ac:dyDescent="0.2">
      <c r="A431">
        <v>63</v>
      </c>
      <c r="B431">
        <v>5</v>
      </c>
      <c r="C431" t="s">
        <v>176</v>
      </c>
      <c r="D431">
        <v>2010</v>
      </c>
      <c r="E431">
        <v>8267</v>
      </c>
      <c r="F431">
        <v>7192</v>
      </c>
      <c r="G431">
        <v>1075</v>
      </c>
      <c r="H431">
        <v>2.4700000000000002</v>
      </c>
      <c r="I431">
        <v>3377</v>
      </c>
      <c r="J431">
        <v>2916</v>
      </c>
      <c r="K431">
        <v>461</v>
      </c>
      <c r="L431">
        <v>13.65</v>
      </c>
      <c r="M431">
        <v>2.1297009180000002</v>
      </c>
      <c r="N431">
        <f>E431/_xlfn.XLOOKUP(C431,Lookups!$A$2:$A$66,Lookups!$C$2:$C$66)</f>
        <v>3.8230139241501462</v>
      </c>
    </row>
    <row r="432" spans="1:27" x14ac:dyDescent="0.2">
      <c r="A432">
        <v>63</v>
      </c>
      <c r="B432">
        <v>5</v>
      </c>
      <c r="C432" t="s">
        <v>176</v>
      </c>
      <c r="D432">
        <v>2011</v>
      </c>
      <c r="E432">
        <v>8165</v>
      </c>
      <c r="F432">
        <v>7188</v>
      </c>
      <c r="G432">
        <v>977</v>
      </c>
      <c r="H432">
        <v>2.37</v>
      </c>
      <c r="I432">
        <v>3379</v>
      </c>
      <c r="J432">
        <v>3028</v>
      </c>
      <c r="K432">
        <v>351</v>
      </c>
      <c r="L432">
        <v>10.37</v>
      </c>
      <c r="M432">
        <v>2.127256585</v>
      </c>
      <c r="N432">
        <f>E432/_xlfn.XLOOKUP(C432,Lookups!$A$2:$A$66,Lookups!$C$2:$C$66)</f>
        <v>3.7758447672294597</v>
      </c>
    </row>
    <row r="433" spans="1:27" x14ac:dyDescent="0.2">
      <c r="A433">
        <v>63</v>
      </c>
      <c r="B433">
        <v>5</v>
      </c>
      <c r="C433" t="s">
        <v>176</v>
      </c>
      <c r="D433">
        <v>2012</v>
      </c>
      <c r="E433">
        <v>8085</v>
      </c>
      <c r="F433">
        <v>7207</v>
      </c>
      <c r="G433">
        <v>879</v>
      </c>
      <c r="H433">
        <v>2.38</v>
      </c>
      <c r="I433">
        <v>3379</v>
      </c>
      <c r="J433">
        <v>3028</v>
      </c>
      <c r="K433">
        <v>351</v>
      </c>
      <c r="L433">
        <v>10.37</v>
      </c>
      <c r="M433">
        <v>2.1328795500000002</v>
      </c>
      <c r="N433">
        <f>E433/_xlfn.XLOOKUP(C433,Lookups!$A$2:$A$66,Lookups!$C$2:$C$66)</f>
        <v>3.7388493500367646</v>
      </c>
    </row>
    <row r="434" spans="1:27" x14ac:dyDescent="0.2">
      <c r="A434">
        <v>63</v>
      </c>
      <c r="B434">
        <v>5</v>
      </c>
      <c r="C434" t="s">
        <v>176</v>
      </c>
      <c r="D434">
        <v>2013</v>
      </c>
      <c r="E434">
        <v>8006</v>
      </c>
      <c r="F434">
        <v>7225</v>
      </c>
      <c r="G434">
        <v>780</v>
      </c>
      <c r="H434">
        <v>2.39</v>
      </c>
      <c r="I434">
        <v>3379</v>
      </c>
      <c r="J434">
        <v>3028</v>
      </c>
      <c r="K434">
        <v>351</v>
      </c>
      <c r="L434">
        <v>10.37</v>
      </c>
      <c r="M434">
        <v>2.1382065699999999</v>
      </c>
      <c r="N434">
        <f>E434/_xlfn.XLOOKUP(C434,Lookups!$A$2:$A$66,Lookups!$C$2:$C$66)</f>
        <v>3.7023163755589779</v>
      </c>
    </row>
    <row r="435" spans="1:27" x14ac:dyDescent="0.2">
      <c r="A435">
        <v>63</v>
      </c>
      <c r="B435">
        <v>5</v>
      </c>
      <c r="C435" t="s">
        <v>176</v>
      </c>
      <c r="D435">
        <v>2014</v>
      </c>
      <c r="E435">
        <v>7664</v>
      </c>
      <c r="F435">
        <v>6982</v>
      </c>
      <c r="G435">
        <v>682</v>
      </c>
      <c r="H435">
        <v>2.39</v>
      </c>
      <c r="I435">
        <v>3402</v>
      </c>
      <c r="J435">
        <v>2919</v>
      </c>
      <c r="K435">
        <v>483</v>
      </c>
      <c r="L435">
        <v>14.2</v>
      </c>
      <c r="M435">
        <v>2.0523221629999999</v>
      </c>
      <c r="N435">
        <f>E435/_xlfn.XLOOKUP(C435,Lookups!$A$2:$A$66,Lookups!$C$2:$C$66)</f>
        <v>3.5441609670602059</v>
      </c>
    </row>
    <row r="436" spans="1:27" x14ac:dyDescent="0.2">
      <c r="A436">
        <v>63</v>
      </c>
      <c r="B436">
        <v>5</v>
      </c>
      <c r="C436" t="s">
        <v>176</v>
      </c>
      <c r="D436">
        <v>2015</v>
      </c>
      <c r="E436">
        <v>7561</v>
      </c>
      <c r="F436">
        <v>6977</v>
      </c>
      <c r="G436">
        <v>584</v>
      </c>
      <c r="H436">
        <v>2.4</v>
      </c>
      <c r="I436">
        <v>3404</v>
      </c>
      <c r="J436">
        <v>2909</v>
      </c>
      <c r="K436">
        <v>495</v>
      </c>
      <c r="L436">
        <v>14.53</v>
      </c>
      <c r="M436">
        <v>2.0496474739999999</v>
      </c>
      <c r="N436">
        <f>E436/_xlfn.XLOOKUP(C436,Lookups!$A$2:$A$66,Lookups!$C$2:$C$66)</f>
        <v>3.4965293674246105</v>
      </c>
    </row>
    <row r="437" spans="1:27" x14ac:dyDescent="0.2">
      <c r="A437">
        <v>63</v>
      </c>
      <c r="B437">
        <v>5</v>
      </c>
      <c r="C437" t="s">
        <v>176</v>
      </c>
      <c r="D437">
        <v>2016</v>
      </c>
      <c r="E437">
        <v>7480</v>
      </c>
      <c r="F437">
        <v>6995</v>
      </c>
      <c r="G437">
        <v>486</v>
      </c>
      <c r="H437">
        <v>2.4</v>
      </c>
      <c r="I437">
        <v>3404</v>
      </c>
      <c r="J437">
        <v>2909</v>
      </c>
      <c r="K437">
        <v>495</v>
      </c>
      <c r="L437">
        <v>14.53</v>
      </c>
      <c r="M437">
        <v>2.0549353699999999</v>
      </c>
      <c r="N437">
        <f>E437/_xlfn.XLOOKUP(C437,Lookups!$A$2:$A$66,Lookups!$C$2:$C$66)</f>
        <v>3.4590715075170064</v>
      </c>
    </row>
    <row r="438" spans="1:27" x14ac:dyDescent="0.2">
      <c r="A438">
        <v>63</v>
      </c>
      <c r="B438">
        <v>5</v>
      </c>
      <c r="C438" t="s">
        <v>176</v>
      </c>
      <c r="D438">
        <v>2017</v>
      </c>
      <c r="E438">
        <v>7400</v>
      </c>
      <c r="F438">
        <v>7012</v>
      </c>
      <c r="G438">
        <v>388</v>
      </c>
      <c r="H438">
        <v>2.41</v>
      </c>
      <c r="I438">
        <v>3404</v>
      </c>
      <c r="J438">
        <v>2909</v>
      </c>
      <c r="K438">
        <v>495</v>
      </c>
      <c r="L438">
        <v>14.53</v>
      </c>
      <c r="M438">
        <v>2.059929495</v>
      </c>
      <c r="N438">
        <f>E438/_xlfn.XLOOKUP(C438,Lookups!$A$2:$A$66,Lookups!$C$2:$C$66)</f>
        <v>3.4220760903243113</v>
      </c>
    </row>
    <row r="439" spans="1:27" x14ac:dyDescent="0.2">
      <c r="A439">
        <v>63</v>
      </c>
      <c r="B439">
        <v>5</v>
      </c>
      <c r="C439" t="s">
        <v>176</v>
      </c>
      <c r="D439">
        <v>2018</v>
      </c>
      <c r="E439">
        <v>7285</v>
      </c>
      <c r="F439">
        <v>6996</v>
      </c>
      <c r="G439">
        <v>289</v>
      </c>
      <c r="H439">
        <v>2.42</v>
      </c>
      <c r="I439">
        <v>3407</v>
      </c>
      <c r="J439">
        <v>2895</v>
      </c>
      <c r="K439">
        <v>512</v>
      </c>
      <c r="L439">
        <v>15.03</v>
      </c>
      <c r="M439">
        <v>2.053419431</v>
      </c>
      <c r="N439">
        <f>E439/_xlfn.XLOOKUP(C439,Lookups!$A$2:$A$66,Lookups!$C$2:$C$66)</f>
        <v>3.368895178109812</v>
      </c>
    </row>
    <row r="440" spans="1:27" x14ac:dyDescent="0.2">
      <c r="A440">
        <v>63</v>
      </c>
      <c r="B440">
        <v>5</v>
      </c>
      <c r="C440" t="s">
        <v>176</v>
      </c>
      <c r="D440">
        <v>2019</v>
      </c>
      <c r="E440">
        <v>7182</v>
      </c>
      <c r="F440">
        <v>6990</v>
      </c>
      <c r="G440">
        <v>191</v>
      </c>
      <c r="H440">
        <v>2.42</v>
      </c>
      <c r="I440">
        <v>3409</v>
      </c>
      <c r="J440">
        <v>2886</v>
      </c>
      <c r="K440">
        <v>523</v>
      </c>
      <c r="L440">
        <v>15.36</v>
      </c>
      <c r="M440">
        <v>2.050454679</v>
      </c>
      <c r="N440">
        <f>E440/_xlfn.XLOOKUP(C440,Lookups!$A$2:$A$66,Lookups!$C$2:$C$66)</f>
        <v>3.3212635784742166</v>
      </c>
    </row>
    <row r="441" spans="1:27" x14ac:dyDescent="0.2">
      <c r="A441">
        <v>63</v>
      </c>
      <c r="B441">
        <v>5</v>
      </c>
      <c r="C441" t="s">
        <v>176</v>
      </c>
      <c r="D441">
        <v>2020</v>
      </c>
      <c r="E441">
        <v>7067</v>
      </c>
      <c r="F441">
        <v>6973</v>
      </c>
      <c r="G441">
        <v>94</v>
      </c>
      <c r="I441">
        <v>3411</v>
      </c>
      <c r="M441">
        <v>2.0442685429999998</v>
      </c>
      <c r="N441">
        <f>E441/_xlfn.XLOOKUP(C441,Lookups!$A$2:$A$66,Lookups!$C$2:$C$66)</f>
        <v>3.2680826662597173</v>
      </c>
      <c r="O441">
        <v>7067</v>
      </c>
      <c r="P441">
        <v>91</v>
      </c>
      <c r="Q441">
        <v>11</v>
      </c>
      <c r="R441">
        <v>-126</v>
      </c>
      <c r="S441">
        <v>80</v>
      </c>
      <c r="T441">
        <v>3411</v>
      </c>
      <c r="W441">
        <v>6973</v>
      </c>
      <c r="X441">
        <v>11</v>
      </c>
      <c r="AA441">
        <v>2.0442685429999998</v>
      </c>
    </row>
    <row r="442" spans="1:27" x14ac:dyDescent="0.2">
      <c r="A442">
        <v>63</v>
      </c>
      <c r="B442">
        <v>5</v>
      </c>
      <c r="C442" t="s">
        <v>176</v>
      </c>
      <c r="D442">
        <v>2021</v>
      </c>
      <c r="E442">
        <v>6929</v>
      </c>
      <c r="F442">
        <v>6838</v>
      </c>
      <c r="G442">
        <v>91</v>
      </c>
      <c r="I442">
        <v>3422</v>
      </c>
      <c r="M442">
        <v>1.998246639</v>
      </c>
      <c r="N442">
        <f>E442/_xlfn.XLOOKUP(C442,Lookups!$A$2:$A$66,Lookups!$C$2:$C$66)</f>
        <v>3.2042655716023178</v>
      </c>
      <c r="O442">
        <v>6929</v>
      </c>
      <c r="P442">
        <v>81</v>
      </c>
      <c r="Q442">
        <v>-16</v>
      </c>
      <c r="R442">
        <v>-122</v>
      </c>
      <c r="S442">
        <v>97</v>
      </c>
      <c r="T442">
        <v>3422</v>
      </c>
      <c r="W442">
        <v>6838</v>
      </c>
      <c r="X442">
        <v>6</v>
      </c>
      <c r="AA442">
        <v>1.998246639</v>
      </c>
    </row>
    <row r="443" spans="1:27" x14ac:dyDescent="0.2">
      <c r="A443">
        <v>63</v>
      </c>
      <c r="B443">
        <v>5</v>
      </c>
      <c r="C443" t="s">
        <v>176</v>
      </c>
      <c r="D443">
        <v>2022</v>
      </c>
      <c r="E443">
        <v>6974</v>
      </c>
      <c r="F443">
        <v>6881</v>
      </c>
      <c r="G443">
        <v>93</v>
      </c>
      <c r="I443">
        <v>3428</v>
      </c>
      <c r="M443">
        <v>2.0072928819999998</v>
      </c>
      <c r="N443">
        <f>E443/_xlfn.XLOOKUP(C443,Lookups!$A$2:$A$66,Lookups!$C$2:$C$66)</f>
        <v>3.2250754937732089</v>
      </c>
      <c r="O443">
        <v>6974</v>
      </c>
      <c r="P443">
        <v>104</v>
      </c>
      <c r="Q443">
        <v>11</v>
      </c>
      <c r="R443">
        <v>34</v>
      </c>
      <c r="S443">
        <v>93</v>
      </c>
      <c r="T443">
        <v>3428</v>
      </c>
      <c r="W443">
        <v>6881</v>
      </c>
      <c r="X443">
        <v>1</v>
      </c>
      <c r="AA443">
        <v>2.0072928819999998</v>
      </c>
    </row>
    <row r="444" spans="1:27" x14ac:dyDescent="0.2">
      <c r="A444">
        <v>67</v>
      </c>
      <c r="B444">
        <v>9</v>
      </c>
      <c r="C444" t="s">
        <v>178</v>
      </c>
      <c r="D444">
        <v>2010</v>
      </c>
      <c r="E444">
        <v>51441</v>
      </c>
      <c r="F444">
        <v>49726</v>
      </c>
      <c r="G444">
        <v>1715</v>
      </c>
      <c r="H444">
        <v>2.35</v>
      </c>
      <c r="I444">
        <v>25910</v>
      </c>
      <c r="J444">
        <v>21143</v>
      </c>
      <c r="K444">
        <v>4767</v>
      </c>
      <c r="L444">
        <v>18.399999999999999</v>
      </c>
      <c r="M444">
        <v>1.919181783</v>
      </c>
      <c r="N444">
        <f>E444/_xlfn.XLOOKUP(C444,Lookups!$A$2:$A$66,Lookups!$C$2:$C$66)</f>
        <v>30.251581943496976</v>
      </c>
    </row>
    <row r="445" spans="1:27" x14ac:dyDescent="0.2">
      <c r="A445">
        <v>67</v>
      </c>
      <c r="B445">
        <v>9</v>
      </c>
      <c r="C445" t="s">
        <v>178</v>
      </c>
      <c r="D445">
        <v>2011</v>
      </c>
      <c r="E445">
        <v>51803</v>
      </c>
      <c r="F445">
        <v>50096</v>
      </c>
      <c r="G445">
        <v>1707</v>
      </c>
      <c r="H445">
        <v>2.35</v>
      </c>
      <c r="I445">
        <v>26063</v>
      </c>
      <c r="J445">
        <v>21354</v>
      </c>
      <c r="K445">
        <v>4709</v>
      </c>
      <c r="L445">
        <v>18.07</v>
      </c>
      <c r="M445">
        <v>1.922111806</v>
      </c>
      <c r="N445">
        <f>E445/_xlfn.XLOOKUP(C445,Lookups!$A$2:$A$66,Lookups!$C$2:$C$66)</f>
        <v>30.46446802004187</v>
      </c>
    </row>
    <row r="446" spans="1:27" x14ac:dyDescent="0.2">
      <c r="A446">
        <v>67</v>
      </c>
      <c r="B446">
        <v>9</v>
      </c>
      <c r="C446" t="s">
        <v>178</v>
      </c>
      <c r="D446">
        <v>2012</v>
      </c>
      <c r="E446">
        <v>52314</v>
      </c>
      <c r="F446">
        <v>50450</v>
      </c>
      <c r="G446">
        <v>1864</v>
      </c>
      <c r="H446">
        <v>2.34</v>
      </c>
      <c r="I446">
        <v>26154</v>
      </c>
      <c r="J446">
        <v>21559</v>
      </c>
      <c r="K446">
        <v>4595</v>
      </c>
      <c r="L446">
        <v>17.57</v>
      </c>
      <c r="M446">
        <v>1.928959241</v>
      </c>
      <c r="N446">
        <f>E446/_xlfn.XLOOKUP(C446,Lookups!$A$2:$A$66,Lookups!$C$2:$C$66)</f>
        <v>30.764978476159111</v>
      </c>
    </row>
    <row r="447" spans="1:27" x14ac:dyDescent="0.2">
      <c r="A447">
        <v>67</v>
      </c>
      <c r="B447">
        <v>9</v>
      </c>
      <c r="C447" t="s">
        <v>178</v>
      </c>
      <c r="D447">
        <v>2013</v>
      </c>
      <c r="E447">
        <v>53146</v>
      </c>
      <c r="F447">
        <v>51067</v>
      </c>
      <c r="G447">
        <v>2079</v>
      </c>
      <c r="H447">
        <v>2.33</v>
      </c>
      <c r="I447">
        <v>26262</v>
      </c>
      <c r="J447">
        <v>21878</v>
      </c>
      <c r="K447">
        <v>4384</v>
      </c>
      <c r="L447">
        <v>16.690000000000001</v>
      </c>
      <c r="M447">
        <v>1.9445205999999999</v>
      </c>
      <c r="N447">
        <f>E447/_xlfn.XLOOKUP(C447,Lookups!$A$2:$A$66,Lookups!$C$2:$C$66)</f>
        <v>31.254263602361739</v>
      </c>
    </row>
    <row r="448" spans="1:27" x14ac:dyDescent="0.2">
      <c r="A448">
        <v>67</v>
      </c>
      <c r="B448">
        <v>9</v>
      </c>
      <c r="C448" t="s">
        <v>178</v>
      </c>
      <c r="D448">
        <v>2014</v>
      </c>
      <c r="E448">
        <v>53557</v>
      </c>
      <c r="F448">
        <v>51603</v>
      </c>
      <c r="G448">
        <v>1954</v>
      </c>
      <c r="H448">
        <v>2.33</v>
      </c>
      <c r="I448">
        <v>26464</v>
      </c>
      <c r="J448">
        <v>22164</v>
      </c>
      <c r="K448">
        <v>4300</v>
      </c>
      <c r="L448">
        <v>16.25</v>
      </c>
      <c r="M448">
        <v>1.9499319829999999</v>
      </c>
      <c r="N448">
        <f>E448/_xlfn.XLOOKUP(C448,Lookups!$A$2:$A$66,Lookups!$C$2:$C$66)</f>
        <v>31.495965750041165</v>
      </c>
    </row>
    <row r="449" spans="1:27" x14ac:dyDescent="0.2">
      <c r="A449">
        <v>67</v>
      </c>
      <c r="B449">
        <v>9</v>
      </c>
      <c r="C449" t="s">
        <v>178</v>
      </c>
      <c r="D449">
        <v>2015</v>
      </c>
      <c r="E449">
        <v>54300</v>
      </c>
      <c r="F449">
        <v>52304</v>
      </c>
      <c r="G449">
        <v>1996</v>
      </c>
      <c r="H449">
        <v>2.3199999999999998</v>
      </c>
      <c r="I449">
        <v>26672</v>
      </c>
      <c r="J449">
        <v>22522</v>
      </c>
      <c r="K449">
        <v>4150</v>
      </c>
      <c r="L449">
        <v>15.56</v>
      </c>
      <c r="M449">
        <v>1.961007798</v>
      </c>
      <c r="N449">
        <f>E449/_xlfn.XLOOKUP(C449,Lookups!$A$2:$A$66,Lookups!$C$2:$C$66)</f>
        <v>31.932911481734138</v>
      </c>
    </row>
    <row r="450" spans="1:27" x14ac:dyDescent="0.2">
      <c r="A450">
        <v>67</v>
      </c>
      <c r="B450">
        <v>9</v>
      </c>
      <c r="C450" t="s">
        <v>178</v>
      </c>
      <c r="D450">
        <v>2016</v>
      </c>
      <c r="E450">
        <v>54884</v>
      </c>
      <c r="F450">
        <v>52945</v>
      </c>
      <c r="G450">
        <v>1939</v>
      </c>
      <c r="H450">
        <v>2.3199999999999998</v>
      </c>
      <c r="I450">
        <v>26937</v>
      </c>
      <c r="J450">
        <v>22856</v>
      </c>
      <c r="K450">
        <v>4081</v>
      </c>
      <c r="L450">
        <v>15.15</v>
      </c>
      <c r="M450">
        <v>1.9655121209999999</v>
      </c>
      <c r="N450">
        <f>E450/_xlfn.XLOOKUP(C450,Lookups!$A$2:$A$66,Lookups!$C$2:$C$66)</f>
        <v>32.276352003010985</v>
      </c>
    </row>
    <row r="451" spans="1:27" x14ac:dyDescent="0.2">
      <c r="A451">
        <v>67</v>
      </c>
      <c r="B451">
        <v>9</v>
      </c>
      <c r="C451" t="s">
        <v>178</v>
      </c>
      <c r="D451">
        <v>2017</v>
      </c>
      <c r="E451">
        <v>55034</v>
      </c>
      <c r="F451">
        <v>53179</v>
      </c>
      <c r="G451">
        <v>1855</v>
      </c>
      <c r="H451">
        <v>2.31</v>
      </c>
      <c r="I451">
        <v>27145</v>
      </c>
      <c r="J451">
        <v>23015</v>
      </c>
      <c r="K451">
        <v>4130</v>
      </c>
      <c r="L451">
        <v>15.21</v>
      </c>
      <c r="M451">
        <v>1.959071652</v>
      </c>
      <c r="N451">
        <f>E451/_xlfn.XLOOKUP(C451,Lookups!$A$2:$A$66,Lookups!$C$2:$C$66)</f>
        <v>32.364564465667705</v>
      </c>
    </row>
    <row r="452" spans="1:27" x14ac:dyDescent="0.2">
      <c r="A452">
        <v>67</v>
      </c>
      <c r="B452">
        <v>9</v>
      </c>
      <c r="C452" t="s">
        <v>178</v>
      </c>
      <c r="D452">
        <v>2018</v>
      </c>
      <c r="E452">
        <v>55731</v>
      </c>
      <c r="F452">
        <v>53884</v>
      </c>
      <c r="G452">
        <v>1847</v>
      </c>
      <c r="H452">
        <v>2.2999999999999998</v>
      </c>
      <c r="I452">
        <v>27670</v>
      </c>
      <c r="J452">
        <v>23380</v>
      </c>
      <c r="K452">
        <v>4290</v>
      </c>
      <c r="L452">
        <v>15.5</v>
      </c>
      <c r="M452">
        <v>1.9473798339999999</v>
      </c>
      <c r="N452">
        <f>E452/_xlfn.XLOOKUP(C452,Lookups!$A$2:$A$66,Lookups!$C$2:$C$66)</f>
        <v>32.774458375479284</v>
      </c>
    </row>
    <row r="453" spans="1:27" x14ac:dyDescent="0.2">
      <c r="A453">
        <v>67</v>
      </c>
      <c r="B453">
        <v>9</v>
      </c>
      <c r="C453" t="s">
        <v>178</v>
      </c>
      <c r="D453">
        <v>2019</v>
      </c>
      <c r="E453">
        <v>55509</v>
      </c>
      <c r="F453">
        <v>53666</v>
      </c>
      <c r="G453">
        <v>1843</v>
      </c>
      <c r="H453">
        <v>2.2999999999999998</v>
      </c>
      <c r="I453">
        <v>27983</v>
      </c>
      <c r="J453">
        <v>23346</v>
      </c>
      <c r="K453">
        <v>4637</v>
      </c>
      <c r="L453">
        <v>16.57</v>
      </c>
      <c r="M453">
        <v>1.9178072399999999</v>
      </c>
      <c r="N453">
        <f>E453/_xlfn.XLOOKUP(C453,Lookups!$A$2:$A$66,Lookups!$C$2:$C$66)</f>
        <v>32.643903930747335</v>
      </c>
    </row>
    <row r="454" spans="1:27" x14ac:dyDescent="0.2">
      <c r="A454">
        <v>67</v>
      </c>
      <c r="B454">
        <v>9</v>
      </c>
      <c r="C454" t="s">
        <v>178</v>
      </c>
      <c r="D454">
        <v>2020</v>
      </c>
      <c r="E454">
        <v>55668</v>
      </c>
      <c r="F454">
        <v>53928</v>
      </c>
      <c r="G454">
        <v>1740</v>
      </c>
      <c r="I454">
        <v>28285</v>
      </c>
      <c r="M454">
        <v>1.906593601</v>
      </c>
      <c r="N454">
        <f>E454/_xlfn.XLOOKUP(C454,Lookups!$A$2:$A$66,Lookups!$C$2:$C$66)</f>
        <v>32.737409141163461</v>
      </c>
      <c r="O454">
        <v>55668</v>
      </c>
      <c r="P454">
        <v>481</v>
      </c>
      <c r="Q454">
        <v>110</v>
      </c>
      <c r="R454">
        <v>49</v>
      </c>
      <c r="S454">
        <v>371</v>
      </c>
      <c r="T454">
        <v>28285</v>
      </c>
      <c r="W454">
        <v>53928</v>
      </c>
      <c r="X454">
        <v>253</v>
      </c>
      <c r="AA454">
        <v>1.906593601</v>
      </c>
    </row>
    <row r="455" spans="1:27" x14ac:dyDescent="0.2">
      <c r="A455">
        <v>67</v>
      </c>
      <c r="B455">
        <v>9</v>
      </c>
      <c r="C455" t="s">
        <v>178</v>
      </c>
      <c r="D455">
        <v>2021</v>
      </c>
      <c r="E455">
        <v>56171</v>
      </c>
      <c r="F455">
        <v>54621</v>
      </c>
      <c r="G455">
        <v>1550</v>
      </c>
      <c r="I455">
        <v>28533</v>
      </c>
      <c r="M455">
        <v>1.9143097469999999</v>
      </c>
      <c r="N455">
        <f>E455/_xlfn.XLOOKUP(C455,Lookups!$A$2:$A$66,Lookups!$C$2:$C$66)</f>
        <v>33.033214932605681</v>
      </c>
      <c r="O455">
        <v>56171</v>
      </c>
      <c r="P455">
        <v>437</v>
      </c>
      <c r="Q455">
        <v>-2</v>
      </c>
      <c r="R455">
        <v>505</v>
      </c>
      <c r="S455">
        <v>439</v>
      </c>
      <c r="T455">
        <v>28533</v>
      </c>
      <c r="W455">
        <v>54621</v>
      </c>
      <c r="X455">
        <v>415</v>
      </c>
      <c r="AA455">
        <v>1.9143097469999999</v>
      </c>
    </row>
    <row r="456" spans="1:27" x14ac:dyDescent="0.2">
      <c r="A456">
        <v>67</v>
      </c>
      <c r="B456">
        <v>9</v>
      </c>
      <c r="C456" t="s">
        <v>178</v>
      </c>
      <c r="D456">
        <v>2022</v>
      </c>
      <c r="E456">
        <v>56557</v>
      </c>
      <c r="F456">
        <v>54645</v>
      </c>
      <c r="G456">
        <v>1912</v>
      </c>
      <c r="I456">
        <v>28946</v>
      </c>
      <c r="M456">
        <v>1.887825606</v>
      </c>
      <c r="N456">
        <f>E456/_xlfn.XLOOKUP(C456,Lookups!$A$2:$A$66,Lookups!$C$2:$C$66)</f>
        <v>33.260215003175645</v>
      </c>
      <c r="O456">
        <v>56557</v>
      </c>
      <c r="P456">
        <v>423</v>
      </c>
      <c r="Q456">
        <v>-39</v>
      </c>
      <c r="R456">
        <v>425</v>
      </c>
      <c r="S456">
        <v>462</v>
      </c>
      <c r="T456">
        <v>28946</v>
      </c>
      <c r="W456">
        <v>54645</v>
      </c>
      <c r="X456">
        <v>389</v>
      </c>
      <c r="AA456">
        <v>1.887825606</v>
      </c>
    </row>
    <row r="457" spans="1:27" x14ac:dyDescent="0.2">
      <c r="A457">
        <v>65</v>
      </c>
      <c r="B457">
        <v>13</v>
      </c>
      <c r="C457" t="s">
        <v>177</v>
      </c>
      <c r="D457">
        <v>2010</v>
      </c>
      <c r="E457">
        <v>7282</v>
      </c>
      <c r="F457">
        <v>7149</v>
      </c>
      <c r="G457">
        <v>133</v>
      </c>
      <c r="H457">
        <v>2.4300000000000002</v>
      </c>
      <c r="I457">
        <v>4271</v>
      </c>
      <c r="J457">
        <v>2941</v>
      </c>
      <c r="K457">
        <v>1330</v>
      </c>
      <c r="L457">
        <v>31.14</v>
      </c>
      <c r="M457">
        <v>1.6738468740000001</v>
      </c>
      <c r="N457">
        <f>E457/_xlfn.XLOOKUP(C457,Lookups!$A$2:$A$66,Lookups!$C$2:$C$66)</f>
        <v>18.985790640073002</v>
      </c>
    </row>
    <row r="458" spans="1:27" x14ac:dyDescent="0.2">
      <c r="A458">
        <v>65</v>
      </c>
      <c r="B458">
        <v>13</v>
      </c>
      <c r="C458" t="s">
        <v>177</v>
      </c>
      <c r="D458">
        <v>2011</v>
      </c>
      <c r="E458">
        <v>7242</v>
      </c>
      <c r="F458">
        <v>7170</v>
      </c>
      <c r="G458">
        <v>72</v>
      </c>
      <c r="H458">
        <v>2.4300000000000002</v>
      </c>
      <c r="I458">
        <v>4272</v>
      </c>
      <c r="J458">
        <v>2956</v>
      </c>
      <c r="K458">
        <v>1316</v>
      </c>
      <c r="L458">
        <v>30.81</v>
      </c>
      <c r="M458">
        <v>1.678370787</v>
      </c>
      <c r="N458">
        <f>E458/_xlfn.XLOOKUP(C458,Lookups!$A$2:$A$66,Lookups!$C$2:$C$66)</f>
        <v>18.881501759874851</v>
      </c>
    </row>
    <row r="459" spans="1:27" x14ac:dyDescent="0.2">
      <c r="A459">
        <v>65</v>
      </c>
      <c r="B459">
        <v>13</v>
      </c>
      <c r="C459" t="s">
        <v>177</v>
      </c>
      <c r="D459">
        <v>2012</v>
      </c>
      <c r="E459">
        <v>7103</v>
      </c>
      <c r="F459">
        <v>7031</v>
      </c>
      <c r="G459">
        <v>72</v>
      </c>
      <c r="H459">
        <v>2.42</v>
      </c>
      <c r="I459">
        <v>4277</v>
      </c>
      <c r="J459">
        <v>2904</v>
      </c>
      <c r="K459">
        <v>1373</v>
      </c>
      <c r="L459">
        <v>32.1</v>
      </c>
      <c r="M459">
        <v>1.6439092820000001</v>
      </c>
      <c r="N459">
        <f>E459/_xlfn.XLOOKUP(C459,Lookups!$A$2:$A$66,Lookups!$C$2:$C$66)</f>
        <v>18.519097901186285</v>
      </c>
    </row>
    <row r="460" spans="1:27" x14ac:dyDescent="0.2">
      <c r="A460">
        <v>65</v>
      </c>
      <c r="B460">
        <v>13</v>
      </c>
      <c r="C460" t="s">
        <v>177</v>
      </c>
      <c r="D460">
        <v>2013</v>
      </c>
      <c r="E460">
        <v>7071</v>
      </c>
      <c r="F460">
        <v>6997</v>
      </c>
      <c r="G460">
        <v>74</v>
      </c>
      <c r="H460">
        <v>2.42</v>
      </c>
      <c r="I460">
        <v>4277</v>
      </c>
      <c r="J460">
        <v>2896</v>
      </c>
      <c r="K460">
        <v>1381</v>
      </c>
      <c r="L460">
        <v>32.29</v>
      </c>
      <c r="M460">
        <v>1.6359597850000001</v>
      </c>
      <c r="N460">
        <f>E460/_xlfn.XLOOKUP(C460,Lookups!$A$2:$A$66,Lookups!$C$2:$C$66)</f>
        <v>18.435666797027768</v>
      </c>
    </row>
    <row r="461" spans="1:27" x14ac:dyDescent="0.2">
      <c r="A461">
        <v>65</v>
      </c>
      <c r="B461">
        <v>13</v>
      </c>
      <c r="C461" t="s">
        <v>177</v>
      </c>
      <c r="D461">
        <v>2014</v>
      </c>
      <c r="E461">
        <v>7085</v>
      </c>
      <c r="F461">
        <v>6995</v>
      </c>
      <c r="G461">
        <v>90</v>
      </c>
      <c r="H461">
        <v>2.41</v>
      </c>
      <c r="I461">
        <v>4277</v>
      </c>
      <c r="J461">
        <v>2901</v>
      </c>
      <c r="K461">
        <v>1376</v>
      </c>
      <c r="L461">
        <v>32.17</v>
      </c>
      <c r="M461">
        <v>1.635492167</v>
      </c>
      <c r="N461">
        <f>E461/_xlfn.XLOOKUP(C461,Lookups!$A$2:$A$66,Lookups!$C$2:$C$66)</f>
        <v>18.47216790509712</v>
      </c>
    </row>
    <row r="462" spans="1:27" x14ac:dyDescent="0.2">
      <c r="A462">
        <v>65</v>
      </c>
      <c r="B462">
        <v>13</v>
      </c>
      <c r="C462" t="s">
        <v>177</v>
      </c>
      <c r="D462">
        <v>2015</v>
      </c>
      <c r="E462">
        <v>7159</v>
      </c>
      <c r="F462">
        <v>7047</v>
      </c>
      <c r="G462">
        <v>112</v>
      </c>
      <c r="H462">
        <v>2.41</v>
      </c>
      <c r="I462">
        <v>4277</v>
      </c>
      <c r="J462">
        <v>2928</v>
      </c>
      <c r="K462">
        <v>1349</v>
      </c>
      <c r="L462">
        <v>31.54</v>
      </c>
      <c r="M462">
        <v>1.647650222</v>
      </c>
      <c r="N462">
        <f>E462/_xlfn.XLOOKUP(C462,Lookups!$A$2:$A$66,Lookups!$C$2:$C$66)</f>
        <v>18.665102333463693</v>
      </c>
    </row>
    <row r="463" spans="1:27" x14ac:dyDescent="0.2">
      <c r="A463">
        <v>65</v>
      </c>
      <c r="B463">
        <v>13</v>
      </c>
      <c r="C463" t="s">
        <v>177</v>
      </c>
      <c r="D463">
        <v>2016</v>
      </c>
      <c r="E463">
        <v>7246</v>
      </c>
      <c r="F463">
        <v>7139</v>
      </c>
      <c r="G463">
        <v>107</v>
      </c>
      <c r="H463">
        <v>2.4</v>
      </c>
      <c r="I463">
        <v>4294</v>
      </c>
      <c r="J463">
        <v>2972</v>
      </c>
      <c r="K463">
        <v>1322</v>
      </c>
      <c r="L463">
        <v>30.79</v>
      </c>
      <c r="M463">
        <v>1.662552399</v>
      </c>
      <c r="N463">
        <f>E463/_xlfn.XLOOKUP(C463,Lookups!$A$2:$A$66,Lookups!$C$2:$C$66)</f>
        <v>18.891930647894668</v>
      </c>
    </row>
    <row r="464" spans="1:27" x14ac:dyDescent="0.2">
      <c r="A464">
        <v>65</v>
      </c>
      <c r="B464">
        <v>13</v>
      </c>
      <c r="C464" t="s">
        <v>177</v>
      </c>
      <c r="D464">
        <v>2017</v>
      </c>
      <c r="E464">
        <v>7352</v>
      </c>
      <c r="F464">
        <v>7264</v>
      </c>
      <c r="G464">
        <v>88</v>
      </c>
      <c r="H464">
        <v>2.4</v>
      </c>
      <c r="I464">
        <v>4294</v>
      </c>
      <c r="J464">
        <v>3030</v>
      </c>
      <c r="K464">
        <v>1264</v>
      </c>
      <c r="L464">
        <v>29.44</v>
      </c>
      <c r="M464">
        <v>1.6916627849999999</v>
      </c>
      <c r="N464">
        <f>E464/_xlfn.XLOOKUP(C464,Lookups!$A$2:$A$66,Lookups!$C$2:$C$66)</f>
        <v>19.168296180419762</v>
      </c>
    </row>
    <row r="465" spans="1:27" x14ac:dyDescent="0.2">
      <c r="A465">
        <v>65</v>
      </c>
      <c r="B465">
        <v>13</v>
      </c>
      <c r="C465" t="s">
        <v>177</v>
      </c>
      <c r="D465">
        <v>2018</v>
      </c>
      <c r="E465">
        <v>7332</v>
      </c>
      <c r="F465">
        <v>7249</v>
      </c>
      <c r="G465">
        <v>83</v>
      </c>
      <c r="H465">
        <v>2.39</v>
      </c>
      <c r="I465">
        <v>4300</v>
      </c>
      <c r="J465">
        <v>3030</v>
      </c>
      <c r="K465">
        <v>1270</v>
      </c>
      <c r="L465">
        <v>29.53</v>
      </c>
      <c r="M465">
        <v>1.685813953</v>
      </c>
      <c r="N465">
        <f>E465/_xlfn.XLOOKUP(C465,Lookups!$A$2:$A$66,Lookups!$C$2:$C$66)</f>
        <v>19.116151740320689</v>
      </c>
    </row>
    <row r="466" spans="1:27" x14ac:dyDescent="0.2">
      <c r="A466">
        <v>65</v>
      </c>
      <c r="B466">
        <v>13</v>
      </c>
      <c r="C466" t="s">
        <v>177</v>
      </c>
      <c r="D466">
        <v>2019</v>
      </c>
      <c r="E466">
        <v>7555</v>
      </c>
      <c r="F466">
        <v>7459</v>
      </c>
      <c r="G466">
        <v>96</v>
      </c>
      <c r="H466">
        <v>2.39</v>
      </c>
      <c r="I466">
        <v>4302</v>
      </c>
      <c r="J466">
        <v>3124</v>
      </c>
      <c r="K466">
        <v>1178</v>
      </c>
      <c r="L466">
        <v>27.38</v>
      </c>
      <c r="M466">
        <v>1.733844723</v>
      </c>
      <c r="N466">
        <f>E466/_xlfn.XLOOKUP(C466,Lookups!$A$2:$A$66,Lookups!$C$2:$C$66)</f>
        <v>19.697562247425367</v>
      </c>
    </row>
    <row r="467" spans="1:27" x14ac:dyDescent="0.2">
      <c r="A467">
        <v>65</v>
      </c>
      <c r="B467">
        <v>13</v>
      </c>
      <c r="C467" t="s">
        <v>177</v>
      </c>
      <c r="D467">
        <v>2020</v>
      </c>
      <c r="E467">
        <v>7412</v>
      </c>
      <c r="F467">
        <v>7309</v>
      </c>
      <c r="G467">
        <v>103</v>
      </c>
      <c r="I467">
        <v>4303</v>
      </c>
      <c r="M467">
        <v>1.6985823840000001</v>
      </c>
      <c r="N467">
        <f>E467/_xlfn.XLOOKUP(C467,Lookups!$A$2:$A$66,Lookups!$C$2:$C$66)</f>
        <v>19.324729500716984</v>
      </c>
      <c r="O467">
        <v>7412</v>
      </c>
      <c r="P467">
        <v>75</v>
      </c>
      <c r="Q467">
        <v>48</v>
      </c>
      <c r="R467">
        <v>-191</v>
      </c>
      <c r="S467">
        <v>27</v>
      </c>
      <c r="T467">
        <v>4303</v>
      </c>
      <c r="W467">
        <v>7309</v>
      </c>
      <c r="X467">
        <v>53</v>
      </c>
      <c r="AA467">
        <v>1.6985823840000001</v>
      </c>
    </row>
    <row r="468" spans="1:27" x14ac:dyDescent="0.2">
      <c r="A468">
        <v>65</v>
      </c>
      <c r="B468">
        <v>13</v>
      </c>
      <c r="C468" t="s">
        <v>177</v>
      </c>
      <c r="D468">
        <v>2021</v>
      </c>
      <c r="E468">
        <v>7399</v>
      </c>
      <c r="F468">
        <v>7309</v>
      </c>
      <c r="G468">
        <v>90</v>
      </c>
      <c r="I468">
        <v>4348</v>
      </c>
      <c r="M468">
        <v>1.6810027599999999</v>
      </c>
      <c r="N468">
        <f>E468/_xlfn.XLOOKUP(C468,Lookups!$A$2:$A$66,Lookups!$C$2:$C$66)</f>
        <v>19.290835614652586</v>
      </c>
      <c r="O468">
        <v>7399</v>
      </c>
      <c r="P468">
        <v>72</v>
      </c>
      <c r="Q468">
        <v>20</v>
      </c>
      <c r="R468">
        <v>-33</v>
      </c>
      <c r="S468">
        <v>52</v>
      </c>
      <c r="T468">
        <v>4348</v>
      </c>
      <c r="W468">
        <v>7309</v>
      </c>
      <c r="X468">
        <v>64</v>
      </c>
      <c r="AA468">
        <v>1.6810027599999999</v>
      </c>
    </row>
    <row r="469" spans="1:27" x14ac:dyDescent="0.2">
      <c r="A469">
        <v>65</v>
      </c>
      <c r="B469">
        <v>13</v>
      </c>
      <c r="C469" t="s">
        <v>177</v>
      </c>
      <c r="D469">
        <v>2022</v>
      </c>
      <c r="E469">
        <v>7342</v>
      </c>
      <c r="F469">
        <v>7229</v>
      </c>
      <c r="G469">
        <v>113</v>
      </c>
      <c r="I469">
        <v>4452</v>
      </c>
      <c r="M469">
        <v>1.6237645999999999</v>
      </c>
      <c r="N469">
        <f>E469/_xlfn.XLOOKUP(C469,Lookups!$A$2:$A$66,Lookups!$C$2:$C$66)</f>
        <v>19.142223960370224</v>
      </c>
      <c r="O469">
        <v>7342</v>
      </c>
      <c r="P469">
        <v>83</v>
      </c>
      <c r="Q469">
        <v>35</v>
      </c>
      <c r="R469">
        <v>-92</v>
      </c>
      <c r="S469">
        <v>48</v>
      </c>
      <c r="T469">
        <v>4452</v>
      </c>
      <c r="W469">
        <v>7229</v>
      </c>
      <c r="X469">
        <v>64</v>
      </c>
      <c r="AA469">
        <v>1.6237645999999999</v>
      </c>
    </row>
    <row r="470" spans="1:27" x14ac:dyDescent="0.2">
      <c r="A470">
        <v>69</v>
      </c>
      <c r="B470">
        <v>2</v>
      </c>
      <c r="C470" t="s">
        <v>179</v>
      </c>
      <c r="D470">
        <v>2010</v>
      </c>
      <c r="E470">
        <v>300532</v>
      </c>
      <c r="F470">
        <v>292002</v>
      </c>
      <c r="G470">
        <v>8530</v>
      </c>
      <c r="H470">
        <v>2.42</v>
      </c>
      <c r="I470">
        <v>133171</v>
      </c>
      <c r="J470">
        <v>120666</v>
      </c>
      <c r="K470">
        <v>12505</v>
      </c>
      <c r="L470">
        <v>9.39</v>
      </c>
      <c r="M470">
        <v>2.1926845930000001</v>
      </c>
      <c r="N470">
        <f>E470/_xlfn.XLOOKUP(C470,Lookups!$A$2:$A$66,Lookups!$C$2:$C$66)</f>
        <v>114.19473734207277</v>
      </c>
    </row>
    <row r="471" spans="1:27" x14ac:dyDescent="0.2">
      <c r="A471">
        <v>69</v>
      </c>
      <c r="B471">
        <v>2</v>
      </c>
      <c r="C471" t="s">
        <v>179</v>
      </c>
      <c r="D471">
        <v>2011</v>
      </c>
      <c r="E471">
        <v>305342</v>
      </c>
      <c r="F471">
        <v>296781</v>
      </c>
      <c r="G471">
        <v>8561</v>
      </c>
      <c r="H471">
        <v>2.42</v>
      </c>
      <c r="I471">
        <v>134606</v>
      </c>
      <c r="J471">
        <v>122705</v>
      </c>
      <c r="K471">
        <v>11901</v>
      </c>
      <c r="L471">
        <v>8.84</v>
      </c>
      <c r="M471">
        <v>2.204812564</v>
      </c>
      <c r="N471">
        <f>E471/_xlfn.XLOOKUP(C471,Lookups!$A$2:$A$66,Lookups!$C$2:$C$66)</f>
        <v>116.02241854279472</v>
      </c>
    </row>
    <row r="472" spans="1:27" x14ac:dyDescent="0.2">
      <c r="A472">
        <v>69</v>
      </c>
      <c r="B472">
        <v>2</v>
      </c>
      <c r="C472" t="s">
        <v>179</v>
      </c>
      <c r="D472">
        <v>2012</v>
      </c>
      <c r="E472">
        <v>310952</v>
      </c>
      <c r="F472">
        <v>302135</v>
      </c>
      <c r="G472">
        <v>8817</v>
      </c>
      <c r="H472">
        <v>2.42</v>
      </c>
      <c r="I472">
        <v>136123</v>
      </c>
      <c r="J472">
        <v>124983</v>
      </c>
      <c r="K472">
        <v>11140</v>
      </c>
      <c r="L472">
        <v>8.18</v>
      </c>
      <c r="M472">
        <v>2.2195734740000002</v>
      </c>
      <c r="N472">
        <f>E472/_xlfn.XLOOKUP(C472,Lookups!$A$2:$A$66,Lookups!$C$2:$C$66)</f>
        <v>118.15407998480099</v>
      </c>
    </row>
    <row r="473" spans="1:27" x14ac:dyDescent="0.2">
      <c r="A473">
        <v>69</v>
      </c>
      <c r="B473">
        <v>2</v>
      </c>
      <c r="C473" t="s">
        <v>179</v>
      </c>
      <c r="D473">
        <v>2013</v>
      </c>
      <c r="E473">
        <v>316337</v>
      </c>
      <c r="F473">
        <v>307160</v>
      </c>
      <c r="G473">
        <v>9177</v>
      </c>
      <c r="H473">
        <v>2.42</v>
      </c>
      <c r="I473">
        <v>138277</v>
      </c>
      <c r="J473">
        <v>127128</v>
      </c>
      <c r="K473">
        <v>11149</v>
      </c>
      <c r="L473">
        <v>8.06</v>
      </c>
      <c r="M473">
        <v>2.2213383279999999</v>
      </c>
      <c r="N473">
        <f>E473/_xlfn.XLOOKUP(C473,Lookups!$A$2:$A$66,Lookups!$C$2:$C$66)</f>
        <v>120.20024698394604</v>
      </c>
    </row>
    <row r="474" spans="1:27" x14ac:dyDescent="0.2">
      <c r="A474">
        <v>69</v>
      </c>
      <c r="B474">
        <v>2</v>
      </c>
      <c r="C474" t="s">
        <v>179</v>
      </c>
      <c r="D474">
        <v>2014</v>
      </c>
      <c r="E474">
        <v>324123</v>
      </c>
      <c r="F474">
        <v>314446</v>
      </c>
      <c r="G474">
        <v>9677</v>
      </c>
      <c r="H474">
        <v>2.41</v>
      </c>
      <c r="I474">
        <v>140988</v>
      </c>
      <c r="J474">
        <v>130211</v>
      </c>
      <c r="K474">
        <v>10777</v>
      </c>
      <c r="L474">
        <v>7.64</v>
      </c>
      <c r="M474">
        <v>2.230303288</v>
      </c>
      <c r="N474">
        <f>E474/_xlfn.XLOOKUP(C474,Lookups!$A$2:$A$66,Lookups!$C$2:$C$66)</f>
        <v>123.15873468224565</v>
      </c>
    </row>
    <row r="475" spans="1:27" x14ac:dyDescent="0.2">
      <c r="A475">
        <v>69</v>
      </c>
      <c r="B475">
        <v>2</v>
      </c>
      <c r="C475" t="s">
        <v>179</v>
      </c>
      <c r="D475">
        <v>2015</v>
      </c>
      <c r="E475">
        <v>333445</v>
      </c>
      <c r="F475">
        <v>323148</v>
      </c>
      <c r="G475">
        <v>10297</v>
      </c>
      <c r="H475">
        <v>2.41</v>
      </c>
      <c r="I475">
        <v>143765</v>
      </c>
      <c r="J475">
        <v>133884</v>
      </c>
      <c r="K475">
        <v>9881</v>
      </c>
      <c r="L475">
        <v>6.87</v>
      </c>
      <c r="M475">
        <v>2.2477515389999998</v>
      </c>
      <c r="N475">
        <f>E475/_xlfn.XLOOKUP(C475,Lookups!$A$2:$A$66,Lookups!$C$2:$C$66)</f>
        <v>126.70086444381116</v>
      </c>
    </row>
    <row r="476" spans="1:27" x14ac:dyDescent="0.2">
      <c r="A476">
        <v>69</v>
      </c>
      <c r="B476">
        <v>2</v>
      </c>
      <c r="C476" t="s">
        <v>179</v>
      </c>
      <c r="D476">
        <v>2016</v>
      </c>
      <c r="E476">
        <v>339128</v>
      </c>
      <c r="F476">
        <v>328696</v>
      </c>
      <c r="G476">
        <v>10432</v>
      </c>
      <c r="H476">
        <v>2.41</v>
      </c>
      <c r="I476">
        <v>146124</v>
      </c>
      <c r="J476">
        <v>136253</v>
      </c>
      <c r="K476">
        <v>9871</v>
      </c>
      <c r="L476">
        <v>6.76</v>
      </c>
      <c r="M476">
        <v>2.2494319890000001</v>
      </c>
      <c r="N476">
        <f>E476/_xlfn.XLOOKUP(C476,Lookups!$A$2:$A$66,Lookups!$C$2:$C$66)</f>
        <v>128.86026408283462</v>
      </c>
    </row>
    <row r="477" spans="1:27" x14ac:dyDescent="0.2">
      <c r="A477">
        <v>69</v>
      </c>
      <c r="B477">
        <v>2</v>
      </c>
      <c r="C477" t="s">
        <v>179</v>
      </c>
      <c r="D477">
        <v>2017</v>
      </c>
      <c r="E477">
        <v>344187</v>
      </c>
      <c r="F477">
        <v>333518</v>
      </c>
      <c r="G477">
        <v>10669</v>
      </c>
      <c r="H477">
        <v>2.41</v>
      </c>
      <c r="I477">
        <v>149794</v>
      </c>
      <c r="J477">
        <v>138324</v>
      </c>
      <c r="K477">
        <v>11470</v>
      </c>
      <c r="L477">
        <v>7.66</v>
      </c>
      <c r="M477">
        <v>2.2265110749999999</v>
      </c>
      <c r="N477">
        <f>E477/_xlfn.XLOOKUP(C477,Lookups!$A$2:$A$66,Lookups!$C$2:$C$66)</f>
        <v>130.78255913365632</v>
      </c>
    </row>
    <row r="478" spans="1:27" x14ac:dyDescent="0.2">
      <c r="A478">
        <v>69</v>
      </c>
      <c r="B478">
        <v>2</v>
      </c>
      <c r="C478" t="s">
        <v>179</v>
      </c>
      <c r="D478">
        <v>2018</v>
      </c>
      <c r="E478">
        <v>350661</v>
      </c>
      <c r="F478">
        <v>339773</v>
      </c>
      <c r="G478">
        <v>10888</v>
      </c>
      <c r="H478">
        <v>2.41</v>
      </c>
      <c r="I478">
        <v>152984</v>
      </c>
      <c r="J478">
        <v>140992</v>
      </c>
      <c r="K478">
        <v>11992</v>
      </c>
      <c r="L478">
        <v>7.84</v>
      </c>
      <c r="M478">
        <v>2.2209708199999998</v>
      </c>
      <c r="N478">
        <f>E478/_xlfn.XLOOKUP(C478,Lookups!$A$2:$A$66,Lookups!$C$2:$C$66)</f>
        <v>133.24251923624965</v>
      </c>
    </row>
    <row r="479" spans="1:27" x14ac:dyDescent="0.2">
      <c r="A479">
        <v>69</v>
      </c>
      <c r="B479">
        <v>2</v>
      </c>
      <c r="C479" t="s">
        <v>179</v>
      </c>
      <c r="D479">
        <v>2019</v>
      </c>
      <c r="E479">
        <v>356800</v>
      </c>
      <c r="F479">
        <v>345762</v>
      </c>
      <c r="G479">
        <v>11038</v>
      </c>
      <c r="H479">
        <v>2.41</v>
      </c>
      <c r="I479">
        <v>156745</v>
      </c>
      <c r="J479">
        <v>143552</v>
      </c>
      <c r="K479">
        <v>13193</v>
      </c>
      <c r="L479">
        <v>8.42</v>
      </c>
      <c r="M479">
        <v>2.2058885450000001</v>
      </c>
      <c r="N479">
        <f>E479/_xlfn.XLOOKUP(C479,Lookups!$A$2:$A$66,Lookups!$C$2:$C$66)</f>
        <v>135.57518761280517</v>
      </c>
    </row>
    <row r="480" spans="1:27" x14ac:dyDescent="0.2">
      <c r="A480">
        <v>69</v>
      </c>
      <c r="B480">
        <v>2</v>
      </c>
      <c r="C480" t="s">
        <v>179</v>
      </c>
      <c r="D480">
        <v>2020</v>
      </c>
      <c r="E480">
        <v>359920</v>
      </c>
      <c r="F480">
        <v>348236</v>
      </c>
      <c r="G480">
        <v>11684</v>
      </c>
      <c r="I480">
        <v>159406</v>
      </c>
      <c r="M480">
        <v>2.1845852730000002</v>
      </c>
      <c r="N480">
        <f>E480/_xlfn.XLOOKUP(C480,Lookups!$A$2:$A$66,Lookups!$C$2:$C$66)</f>
        <v>136.76071055381399</v>
      </c>
      <c r="O480">
        <v>359920</v>
      </c>
      <c r="P480">
        <v>3092</v>
      </c>
      <c r="Q480">
        <v>626</v>
      </c>
      <c r="R480">
        <v>2494</v>
      </c>
      <c r="S480">
        <v>2466</v>
      </c>
      <c r="T480">
        <v>159406</v>
      </c>
      <c r="W480">
        <v>348236</v>
      </c>
      <c r="X480">
        <v>2565</v>
      </c>
      <c r="AA480">
        <v>2.1845852730000002</v>
      </c>
    </row>
    <row r="481" spans="1:27" x14ac:dyDescent="0.2">
      <c r="A481">
        <v>69</v>
      </c>
      <c r="B481">
        <v>2</v>
      </c>
      <c r="C481" t="s">
        <v>179</v>
      </c>
      <c r="D481">
        <v>2021</v>
      </c>
      <c r="E481">
        <v>362774</v>
      </c>
      <c r="F481">
        <v>351596</v>
      </c>
      <c r="G481">
        <v>11178</v>
      </c>
      <c r="I481">
        <v>162284</v>
      </c>
      <c r="M481">
        <v>2.1665475340000002</v>
      </c>
      <c r="N481">
        <f>E481/_xlfn.XLOOKUP(C481,Lookups!$A$2:$A$66,Lookups!$C$2:$C$66)</f>
        <v>137.8451600645958</v>
      </c>
      <c r="O481">
        <v>362774</v>
      </c>
      <c r="P481">
        <v>3026</v>
      </c>
      <c r="Q481">
        <v>310</v>
      </c>
      <c r="R481">
        <v>2544</v>
      </c>
      <c r="S481">
        <v>2716</v>
      </c>
      <c r="T481">
        <v>162284</v>
      </c>
      <c r="W481">
        <v>351596</v>
      </c>
      <c r="X481">
        <v>3221</v>
      </c>
      <c r="AA481">
        <v>2.1665475340000002</v>
      </c>
    </row>
    <row r="482" spans="1:27" x14ac:dyDescent="0.2">
      <c r="A482">
        <v>69</v>
      </c>
      <c r="B482">
        <v>2</v>
      </c>
      <c r="C482" t="s">
        <v>179</v>
      </c>
      <c r="D482">
        <v>2022</v>
      </c>
      <c r="E482">
        <v>366843</v>
      </c>
      <c r="F482">
        <v>354725</v>
      </c>
      <c r="G482">
        <v>12118</v>
      </c>
      <c r="I482">
        <v>165658</v>
      </c>
      <c r="M482">
        <v>2.141309203</v>
      </c>
      <c r="N482">
        <f>E482/_xlfn.XLOOKUP(C482,Lookups!$A$2:$A$66,Lookups!$C$2:$C$66)</f>
        <v>139.39127956682816</v>
      </c>
      <c r="O482">
        <v>366843</v>
      </c>
      <c r="P482">
        <v>3119</v>
      </c>
      <c r="Q482">
        <v>222</v>
      </c>
      <c r="R482">
        <v>3847</v>
      </c>
      <c r="S482">
        <v>2897</v>
      </c>
      <c r="T482">
        <v>165658</v>
      </c>
      <c r="W482">
        <v>354725</v>
      </c>
      <c r="X482">
        <v>2572</v>
      </c>
      <c r="AA482">
        <v>2.141309203</v>
      </c>
    </row>
    <row r="483" spans="1:27" x14ac:dyDescent="0.2">
      <c r="A483">
        <v>71</v>
      </c>
      <c r="B483">
        <v>14</v>
      </c>
      <c r="C483" t="s">
        <v>180</v>
      </c>
      <c r="D483">
        <v>2010</v>
      </c>
      <c r="E483">
        <v>15407</v>
      </c>
      <c r="F483">
        <v>14549</v>
      </c>
      <c r="G483">
        <v>858</v>
      </c>
      <c r="H483">
        <v>2.4500000000000002</v>
      </c>
      <c r="I483">
        <v>7648</v>
      </c>
      <c r="J483">
        <v>5934</v>
      </c>
      <c r="K483">
        <v>1714</v>
      </c>
      <c r="L483">
        <v>22.41</v>
      </c>
      <c r="M483">
        <v>1.9023274059999999</v>
      </c>
      <c r="N483">
        <f>E483/_xlfn.XLOOKUP(C483,Lookups!$A$2:$A$66,Lookups!$C$2:$C$66)</f>
        <v>3.2277662901951909</v>
      </c>
    </row>
    <row r="484" spans="1:27" x14ac:dyDescent="0.2">
      <c r="A484">
        <v>71</v>
      </c>
      <c r="B484">
        <v>14</v>
      </c>
      <c r="C484" t="s">
        <v>180</v>
      </c>
      <c r="D484">
        <v>2011</v>
      </c>
      <c r="E484">
        <v>15325</v>
      </c>
      <c r="F484">
        <v>14483</v>
      </c>
      <c r="G484">
        <v>842</v>
      </c>
      <c r="H484">
        <v>2.2799999999999998</v>
      </c>
      <c r="I484">
        <v>7712</v>
      </c>
      <c r="J484">
        <v>6344</v>
      </c>
      <c r="K484">
        <v>1368</v>
      </c>
      <c r="L484">
        <v>17.739999999999998</v>
      </c>
      <c r="M484">
        <v>1.877982365</v>
      </c>
      <c r="N484">
        <f>E484/_xlfn.XLOOKUP(C484,Lookups!$A$2:$A$66,Lookups!$C$2:$C$66)</f>
        <v>3.2105872913118256</v>
      </c>
    </row>
    <row r="485" spans="1:27" x14ac:dyDescent="0.2">
      <c r="A485">
        <v>71</v>
      </c>
      <c r="B485">
        <v>14</v>
      </c>
      <c r="C485" t="s">
        <v>180</v>
      </c>
      <c r="D485">
        <v>2012</v>
      </c>
      <c r="E485">
        <v>15245</v>
      </c>
      <c r="F485">
        <v>14419</v>
      </c>
      <c r="G485">
        <v>826</v>
      </c>
      <c r="H485">
        <v>2.27</v>
      </c>
      <c r="I485">
        <v>7789</v>
      </c>
      <c r="J485">
        <v>6348</v>
      </c>
      <c r="K485">
        <v>1441</v>
      </c>
      <c r="L485">
        <v>18.5</v>
      </c>
      <c r="M485">
        <v>1.851200411</v>
      </c>
      <c r="N485">
        <f>E485/_xlfn.XLOOKUP(C485,Lookups!$A$2:$A$66,Lookups!$C$2:$C$66)</f>
        <v>3.1938272924012256</v>
      </c>
    </row>
    <row r="486" spans="1:27" x14ac:dyDescent="0.2">
      <c r="A486">
        <v>71</v>
      </c>
      <c r="B486">
        <v>14</v>
      </c>
      <c r="C486" t="s">
        <v>180</v>
      </c>
      <c r="D486">
        <v>2013</v>
      </c>
      <c r="E486">
        <v>15172</v>
      </c>
      <c r="F486">
        <v>14362</v>
      </c>
      <c r="G486">
        <v>810</v>
      </c>
      <c r="H486">
        <v>2.2599999999999998</v>
      </c>
      <c r="I486">
        <v>7915</v>
      </c>
      <c r="J486">
        <v>6356</v>
      </c>
      <c r="K486">
        <v>1559</v>
      </c>
      <c r="L486">
        <v>19.7</v>
      </c>
      <c r="M486">
        <v>1.814529375</v>
      </c>
      <c r="N486">
        <f>E486/_xlfn.XLOOKUP(C486,Lookups!$A$2:$A$66,Lookups!$C$2:$C$66)</f>
        <v>3.1785337933953031</v>
      </c>
    </row>
    <row r="487" spans="1:27" x14ac:dyDescent="0.2">
      <c r="A487">
        <v>71</v>
      </c>
      <c r="B487">
        <v>14</v>
      </c>
      <c r="C487" t="s">
        <v>180</v>
      </c>
      <c r="D487">
        <v>2014</v>
      </c>
      <c r="E487">
        <v>15086</v>
      </c>
      <c r="F487">
        <v>14292</v>
      </c>
      <c r="G487">
        <v>794</v>
      </c>
      <c r="H487">
        <v>2.25</v>
      </c>
      <c r="I487">
        <v>7953</v>
      </c>
      <c r="J487">
        <v>6358</v>
      </c>
      <c r="K487">
        <v>1595</v>
      </c>
      <c r="L487">
        <v>20.05</v>
      </c>
      <c r="M487">
        <v>1.7970577139999999</v>
      </c>
      <c r="N487">
        <f>E487/_xlfn.XLOOKUP(C487,Lookups!$A$2:$A$66,Lookups!$C$2:$C$66)</f>
        <v>3.1605167945664081</v>
      </c>
    </row>
    <row r="488" spans="1:27" x14ac:dyDescent="0.2">
      <c r="A488">
        <v>71</v>
      </c>
      <c r="B488">
        <v>14</v>
      </c>
      <c r="C488" t="s">
        <v>180</v>
      </c>
      <c r="D488">
        <v>2015</v>
      </c>
      <c r="E488">
        <v>14997</v>
      </c>
      <c r="F488">
        <v>14219</v>
      </c>
      <c r="G488">
        <v>778</v>
      </c>
      <c r="H488">
        <v>2.2400000000000002</v>
      </c>
      <c r="I488">
        <v>7959</v>
      </c>
      <c r="J488">
        <v>6359</v>
      </c>
      <c r="K488">
        <v>1600</v>
      </c>
      <c r="L488">
        <v>20.11</v>
      </c>
      <c r="M488">
        <v>1.7865309709999999</v>
      </c>
      <c r="N488">
        <f>E488/_xlfn.XLOOKUP(C488,Lookups!$A$2:$A$66,Lookups!$C$2:$C$66)</f>
        <v>3.1418712957783654</v>
      </c>
    </row>
    <row r="489" spans="1:27" x14ac:dyDescent="0.2">
      <c r="A489">
        <v>71</v>
      </c>
      <c r="B489">
        <v>14</v>
      </c>
      <c r="C489" t="s">
        <v>180</v>
      </c>
      <c r="D489">
        <v>2016</v>
      </c>
      <c r="E489">
        <v>14906</v>
      </c>
      <c r="F489">
        <v>14144</v>
      </c>
      <c r="G489">
        <v>762</v>
      </c>
      <c r="H489">
        <v>2.2200000000000002</v>
      </c>
      <c r="I489">
        <v>7962</v>
      </c>
      <c r="J489">
        <v>6359</v>
      </c>
      <c r="K489">
        <v>1603</v>
      </c>
      <c r="L489">
        <v>20.14</v>
      </c>
      <c r="M489">
        <v>1.776438081</v>
      </c>
      <c r="N489">
        <f>E489/_xlfn.XLOOKUP(C489,Lookups!$A$2:$A$66,Lookups!$C$2:$C$66)</f>
        <v>3.1228067970175579</v>
      </c>
    </row>
    <row r="490" spans="1:27" x14ac:dyDescent="0.2">
      <c r="A490">
        <v>71</v>
      </c>
      <c r="B490">
        <v>14</v>
      </c>
      <c r="C490" t="s">
        <v>180</v>
      </c>
      <c r="D490">
        <v>2017</v>
      </c>
      <c r="E490">
        <v>14817</v>
      </c>
      <c r="F490">
        <v>14071</v>
      </c>
      <c r="G490">
        <v>746</v>
      </c>
      <c r="H490">
        <v>2.21</v>
      </c>
      <c r="I490">
        <v>7969</v>
      </c>
      <c r="J490">
        <v>6359</v>
      </c>
      <c r="K490">
        <v>1610</v>
      </c>
      <c r="L490">
        <v>20.2</v>
      </c>
      <c r="M490">
        <v>1.7657171540000001</v>
      </c>
      <c r="N490">
        <f>E490/_xlfn.XLOOKUP(C490,Lookups!$A$2:$A$66,Lookups!$C$2:$C$66)</f>
        <v>3.1041612982295153</v>
      </c>
    </row>
    <row r="491" spans="1:27" x14ac:dyDescent="0.2">
      <c r="A491">
        <v>71</v>
      </c>
      <c r="B491">
        <v>14</v>
      </c>
      <c r="C491" t="s">
        <v>180</v>
      </c>
      <c r="D491">
        <v>2018</v>
      </c>
      <c r="E491">
        <v>14729</v>
      </c>
      <c r="F491">
        <v>13999</v>
      </c>
      <c r="G491">
        <v>730</v>
      </c>
      <c r="H491">
        <v>2.2000000000000002</v>
      </c>
      <c r="I491">
        <v>7989</v>
      </c>
      <c r="J491">
        <v>6360</v>
      </c>
      <c r="K491">
        <v>1629</v>
      </c>
      <c r="L491">
        <v>20.39</v>
      </c>
      <c r="M491">
        <v>1.7522843910000001</v>
      </c>
      <c r="N491">
        <f>E491/_xlfn.XLOOKUP(C491,Lookups!$A$2:$A$66,Lookups!$C$2:$C$66)</f>
        <v>3.0857252994278555</v>
      </c>
    </row>
    <row r="492" spans="1:27" x14ac:dyDescent="0.2">
      <c r="A492">
        <v>71</v>
      </c>
      <c r="B492">
        <v>14</v>
      </c>
      <c r="C492" t="s">
        <v>180</v>
      </c>
      <c r="D492">
        <v>2019</v>
      </c>
      <c r="E492">
        <v>14643</v>
      </c>
      <c r="F492">
        <v>13929</v>
      </c>
      <c r="G492">
        <v>714</v>
      </c>
      <c r="H492">
        <v>2.19</v>
      </c>
      <c r="I492">
        <v>8027</v>
      </c>
      <c r="J492">
        <v>6363</v>
      </c>
      <c r="K492">
        <v>1664</v>
      </c>
      <c r="L492">
        <v>20.74</v>
      </c>
      <c r="M492">
        <v>1.735268469</v>
      </c>
      <c r="N492">
        <f>E492/_xlfn.XLOOKUP(C492,Lookups!$A$2:$A$66,Lookups!$C$2:$C$66)</f>
        <v>3.06770830059896</v>
      </c>
    </row>
    <row r="493" spans="1:27" x14ac:dyDescent="0.2">
      <c r="A493">
        <v>71</v>
      </c>
      <c r="B493">
        <v>14</v>
      </c>
      <c r="C493" t="s">
        <v>180</v>
      </c>
      <c r="D493">
        <v>2020</v>
      </c>
      <c r="E493">
        <v>14479</v>
      </c>
      <c r="F493">
        <v>13850</v>
      </c>
      <c r="G493">
        <v>629</v>
      </c>
      <c r="I493">
        <v>8085</v>
      </c>
      <c r="M493">
        <v>1.7130488559999999</v>
      </c>
      <c r="N493">
        <f>E493/_xlfn.XLOOKUP(C493,Lookups!$A$2:$A$66,Lookups!$C$2:$C$66)</f>
        <v>3.0333503028322299</v>
      </c>
      <c r="O493">
        <v>14479</v>
      </c>
      <c r="P493">
        <v>104</v>
      </c>
      <c r="Q493">
        <v>-88</v>
      </c>
      <c r="R493">
        <v>-76</v>
      </c>
      <c r="S493">
        <v>192</v>
      </c>
      <c r="T493">
        <v>8085</v>
      </c>
      <c r="W493">
        <v>13850</v>
      </c>
      <c r="X493">
        <v>34</v>
      </c>
      <c r="AA493">
        <v>1.7130488559999999</v>
      </c>
    </row>
    <row r="494" spans="1:27" x14ac:dyDescent="0.2">
      <c r="A494">
        <v>71</v>
      </c>
      <c r="B494">
        <v>14</v>
      </c>
      <c r="C494" t="s">
        <v>180</v>
      </c>
      <c r="D494">
        <v>2021</v>
      </c>
      <c r="E494">
        <v>14330</v>
      </c>
      <c r="F494">
        <v>13931</v>
      </c>
      <c r="G494">
        <v>399</v>
      </c>
      <c r="I494">
        <v>8114</v>
      </c>
      <c r="M494">
        <v>1.716909046</v>
      </c>
      <c r="N494">
        <f>E494/_xlfn.XLOOKUP(C494,Lookups!$A$2:$A$66,Lookups!$C$2:$C$66)</f>
        <v>3.0021348048612375</v>
      </c>
      <c r="O494">
        <v>14330</v>
      </c>
      <c r="P494">
        <v>128</v>
      </c>
      <c r="Q494">
        <v>-75</v>
      </c>
      <c r="R494">
        <v>-74</v>
      </c>
      <c r="S494">
        <v>203</v>
      </c>
      <c r="T494">
        <v>8114</v>
      </c>
      <c r="W494">
        <v>13931</v>
      </c>
      <c r="X494">
        <v>41</v>
      </c>
      <c r="AA494">
        <v>1.716909046</v>
      </c>
    </row>
    <row r="495" spans="1:27" x14ac:dyDescent="0.2">
      <c r="A495">
        <v>71</v>
      </c>
      <c r="B495">
        <v>14</v>
      </c>
      <c r="C495" t="s">
        <v>180</v>
      </c>
      <c r="D495">
        <v>2022</v>
      </c>
      <c r="E495">
        <v>14297</v>
      </c>
      <c r="F495">
        <v>13904</v>
      </c>
      <c r="G495">
        <v>393</v>
      </c>
      <c r="I495">
        <v>8155</v>
      </c>
      <c r="M495">
        <v>1.7049662779999999</v>
      </c>
      <c r="N495">
        <f>E495/_xlfn.XLOOKUP(C495,Lookups!$A$2:$A$66,Lookups!$C$2:$C$66)</f>
        <v>2.9952213053106149</v>
      </c>
      <c r="O495">
        <v>14297</v>
      </c>
      <c r="P495">
        <v>108</v>
      </c>
      <c r="Q495">
        <v>-145</v>
      </c>
      <c r="R495">
        <v>112</v>
      </c>
      <c r="S495">
        <v>253</v>
      </c>
      <c r="T495">
        <v>8155</v>
      </c>
      <c r="W495">
        <v>13904</v>
      </c>
      <c r="X495">
        <v>44</v>
      </c>
      <c r="AA495">
        <v>1.7049662779999999</v>
      </c>
    </row>
    <row r="496" spans="1:27" x14ac:dyDescent="0.2">
      <c r="A496">
        <v>73</v>
      </c>
      <c r="B496">
        <v>5</v>
      </c>
      <c r="C496" t="s">
        <v>181</v>
      </c>
      <c r="D496">
        <v>2010</v>
      </c>
      <c r="E496">
        <v>5474</v>
      </c>
      <c r="F496">
        <v>4444</v>
      </c>
      <c r="G496">
        <v>1030</v>
      </c>
      <c r="H496">
        <v>2.46</v>
      </c>
      <c r="I496">
        <v>2242</v>
      </c>
      <c r="J496">
        <v>1810</v>
      </c>
      <c r="K496">
        <v>432</v>
      </c>
      <c r="L496">
        <v>19.27</v>
      </c>
      <c r="M496">
        <v>1.9821587869999999</v>
      </c>
      <c r="N496">
        <f>E496/_xlfn.XLOOKUP(C496,Lookups!$A$2:$A$66,Lookups!$C$2:$C$66)</f>
        <v>2.1174295318368719</v>
      </c>
    </row>
    <row r="497" spans="1:27" x14ac:dyDescent="0.2">
      <c r="A497">
        <v>73</v>
      </c>
      <c r="B497">
        <v>5</v>
      </c>
      <c r="C497" t="s">
        <v>181</v>
      </c>
      <c r="D497">
        <v>2011</v>
      </c>
      <c r="E497">
        <v>5488</v>
      </c>
      <c r="F497">
        <v>4462</v>
      </c>
      <c r="G497">
        <v>1026</v>
      </c>
      <c r="H497">
        <v>2.29</v>
      </c>
      <c r="I497">
        <v>2243</v>
      </c>
      <c r="J497">
        <v>1950</v>
      </c>
      <c r="K497">
        <v>293</v>
      </c>
      <c r="L497">
        <v>13.06</v>
      </c>
      <c r="M497">
        <v>1.989300045</v>
      </c>
      <c r="N497">
        <f>E497/_xlfn.XLOOKUP(C497,Lookups!$A$2:$A$66,Lookups!$C$2:$C$66)</f>
        <v>2.1228449526344089</v>
      </c>
    </row>
    <row r="498" spans="1:27" x14ac:dyDescent="0.2">
      <c r="A498">
        <v>73</v>
      </c>
      <c r="B498">
        <v>5</v>
      </c>
      <c r="C498" t="s">
        <v>181</v>
      </c>
      <c r="D498">
        <v>2012</v>
      </c>
      <c r="E498">
        <v>5503</v>
      </c>
      <c r="F498">
        <v>4481</v>
      </c>
      <c r="G498">
        <v>1022</v>
      </c>
      <c r="H498">
        <v>2.2999999999999998</v>
      </c>
      <c r="I498">
        <v>2246</v>
      </c>
      <c r="J498">
        <v>1951</v>
      </c>
      <c r="K498">
        <v>295</v>
      </c>
      <c r="L498">
        <v>13.15</v>
      </c>
      <c r="M498">
        <v>1.9951024040000001</v>
      </c>
      <c r="N498">
        <f>E498/_xlfn.XLOOKUP(C498,Lookups!$A$2:$A$66,Lookups!$C$2:$C$66)</f>
        <v>2.128647189203198</v>
      </c>
    </row>
    <row r="499" spans="1:27" x14ac:dyDescent="0.2">
      <c r="A499">
        <v>73</v>
      </c>
      <c r="B499">
        <v>5</v>
      </c>
      <c r="C499" t="s">
        <v>181</v>
      </c>
      <c r="D499">
        <v>2013</v>
      </c>
      <c r="E499">
        <v>5522</v>
      </c>
      <c r="F499">
        <v>4504</v>
      </c>
      <c r="G499">
        <v>1018</v>
      </c>
      <c r="H499">
        <v>2.31</v>
      </c>
      <c r="I499">
        <v>2257</v>
      </c>
      <c r="J499">
        <v>1953</v>
      </c>
      <c r="K499">
        <v>304</v>
      </c>
      <c r="L499">
        <v>13.49</v>
      </c>
      <c r="M499">
        <v>1.9955693400000001</v>
      </c>
      <c r="N499">
        <f>E499/_xlfn.XLOOKUP(C499,Lookups!$A$2:$A$66,Lookups!$C$2:$C$66)</f>
        <v>2.1359966888569981</v>
      </c>
    </row>
    <row r="500" spans="1:27" x14ac:dyDescent="0.2">
      <c r="A500">
        <v>73</v>
      </c>
      <c r="B500">
        <v>5</v>
      </c>
      <c r="C500" t="s">
        <v>181</v>
      </c>
      <c r="D500">
        <v>2014</v>
      </c>
      <c r="E500">
        <v>5538</v>
      </c>
      <c r="F500">
        <v>4524</v>
      </c>
      <c r="G500">
        <v>1014</v>
      </c>
      <c r="H500">
        <v>2.3199999999999998</v>
      </c>
      <c r="I500">
        <v>2264</v>
      </c>
      <c r="J500">
        <v>1954</v>
      </c>
      <c r="K500">
        <v>310</v>
      </c>
      <c r="L500">
        <v>13.71</v>
      </c>
      <c r="M500">
        <v>1.998233216</v>
      </c>
      <c r="N500">
        <f>E500/_xlfn.XLOOKUP(C500,Lookups!$A$2:$A$66,Lookups!$C$2:$C$66)</f>
        <v>2.1421857411970402</v>
      </c>
    </row>
    <row r="501" spans="1:27" x14ac:dyDescent="0.2">
      <c r="A501">
        <v>73</v>
      </c>
      <c r="B501">
        <v>5</v>
      </c>
      <c r="C501" t="s">
        <v>181</v>
      </c>
      <c r="D501">
        <v>2015</v>
      </c>
      <c r="E501">
        <v>5553</v>
      </c>
      <c r="F501">
        <v>4543</v>
      </c>
      <c r="G501">
        <v>1010</v>
      </c>
      <c r="H501">
        <v>2.3199999999999998</v>
      </c>
      <c r="I501">
        <v>2266</v>
      </c>
      <c r="J501">
        <v>1954</v>
      </c>
      <c r="K501">
        <v>312</v>
      </c>
      <c r="L501">
        <v>13.77</v>
      </c>
      <c r="M501">
        <v>2.0048543689999998</v>
      </c>
      <c r="N501">
        <f>E501/_xlfn.XLOOKUP(C501,Lookups!$A$2:$A$66,Lookups!$C$2:$C$66)</f>
        <v>2.1479879777658293</v>
      </c>
    </row>
    <row r="502" spans="1:27" x14ac:dyDescent="0.2">
      <c r="A502">
        <v>73</v>
      </c>
      <c r="B502">
        <v>5</v>
      </c>
      <c r="C502" t="s">
        <v>181</v>
      </c>
      <c r="D502">
        <v>2016</v>
      </c>
      <c r="E502">
        <v>5573</v>
      </c>
      <c r="F502">
        <v>4567</v>
      </c>
      <c r="G502">
        <v>1006</v>
      </c>
      <c r="H502">
        <v>2.33</v>
      </c>
      <c r="I502">
        <v>2281</v>
      </c>
      <c r="J502">
        <v>1957</v>
      </c>
      <c r="K502">
        <v>324</v>
      </c>
      <c r="L502">
        <v>14.22</v>
      </c>
      <c r="M502">
        <v>2.0021920209999999</v>
      </c>
      <c r="N502">
        <f>E502/_xlfn.XLOOKUP(C502,Lookups!$A$2:$A$66,Lookups!$C$2:$C$66)</f>
        <v>2.155724293190882</v>
      </c>
    </row>
    <row r="503" spans="1:27" x14ac:dyDescent="0.2">
      <c r="A503">
        <v>73</v>
      </c>
      <c r="B503">
        <v>5</v>
      </c>
      <c r="C503" t="s">
        <v>181</v>
      </c>
      <c r="D503">
        <v>2017</v>
      </c>
      <c r="E503">
        <v>5591</v>
      </c>
      <c r="F503">
        <v>4589</v>
      </c>
      <c r="G503">
        <v>1002</v>
      </c>
      <c r="H503">
        <v>2.34</v>
      </c>
      <c r="I503">
        <v>2290</v>
      </c>
      <c r="J503">
        <v>1958</v>
      </c>
      <c r="K503">
        <v>332</v>
      </c>
      <c r="L503">
        <v>14.49</v>
      </c>
      <c r="M503">
        <v>2.0039301310000002</v>
      </c>
      <c r="N503">
        <f>E503/_xlfn.XLOOKUP(C503,Lookups!$A$2:$A$66,Lookups!$C$2:$C$66)</f>
        <v>2.1626869770734292</v>
      </c>
    </row>
    <row r="504" spans="1:27" x14ac:dyDescent="0.2">
      <c r="A504">
        <v>73</v>
      </c>
      <c r="B504">
        <v>5</v>
      </c>
      <c r="C504" t="s">
        <v>181</v>
      </c>
      <c r="D504">
        <v>2018</v>
      </c>
      <c r="E504">
        <v>5621</v>
      </c>
      <c r="F504">
        <v>4623</v>
      </c>
      <c r="G504">
        <v>998</v>
      </c>
      <c r="H504">
        <v>2.35</v>
      </c>
      <c r="I504">
        <v>2331</v>
      </c>
      <c r="J504">
        <v>1965</v>
      </c>
      <c r="K504">
        <v>366</v>
      </c>
      <c r="L504">
        <v>15.7</v>
      </c>
      <c r="M504">
        <v>1.9832689830000001</v>
      </c>
      <c r="N504">
        <f>E504/_xlfn.XLOOKUP(C504,Lookups!$A$2:$A$66,Lookups!$C$2:$C$66)</f>
        <v>2.1742914502110078</v>
      </c>
    </row>
    <row r="505" spans="1:27" x14ac:dyDescent="0.2">
      <c r="A505">
        <v>73</v>
      </c>
      <c r="B505">
        <v>5</v>
      </c>
      <c r="C505" t="s">
        <v>181</v>
      </c>
      <c r="D505">
        <v>2019</v>
      </c>
      <c r="E505">
        <v>5642</v>
      </c>
      <c r="F505">
        <v>4648</v>
      </c>
      <c r="G505">
        <v>994</v>
      </c>
      <c r="H505">
        <v>2.36</v>
      </c>
      <c r="I505">
        <v>2348</v>
      </c>
      <c r="J505">
        <v>1968</v>
      </c>
      <c r="K505">
        <v>380</v>
      </c>
      <c r="L505">
        <v>16.190000000000001</v>
      </c>
      <c r="M505">
        <v>1.97955707</v>
      </c>
      <c r="N505">
        <f>E505/_xlfn.XLOOKUP(C505,Lookups!$A$2:$A$66,Lookups!$C$2:$C$66)</f>
        <v>2.182414581407313</v>
      </c>
    </row>
    <row r="506" spans="1:27" x14ac:dyDescent="0.2">
      <c r="A506">
        <v>73</v>
      </c>
      <c r="B506">
        <v>5</v>
      </c>
      <c r="C506" t="s">
        <v>181</v>
      </c>
      <c r="D506">
        <v>2020</v>
      </c>
      <c r="E506">
        <v>5662</v>
      </c>
      <c r="F506">
        <v>4678</v>
      </c>
      <c r="G506">
        <v>984</v>
      </c>
      <c r="I506">
        <v>2360</v>
      </c>
      <c r="M506">
        <v>1.98220339</v>
      </c>
      <c r="N506">
        <f>E506/_xlfn.XLOOKUP(C506,Lookups!$A$2:$A$66,Lookups!$C$2:$C$66)</f>
        <v>2.1901508968323657</v>
      </c>
      <c r="O506">
        <v>5662</v>
      </c>
      <c r="P506">
        <v>50</v>
      </c>
      <c r="Q506">
        <v>-19</v>
      </c>
      <c r="R506">
        <v>39</v>
      </c>
      <c r="S506">
        <v>69</v>
      </c>
      <c r="T506">
        <v>2360</v>
      </c>
      <c r="W506">
        <v>4678</v>
      </c>
      <c r="X506">
        <v>9</v>
      </c>
      <c r="AA506">
        <v>1.98220339</v>
      </c>
    </row>
    <row r="507" spans="1:27" x14ac:dyDescent="0.2">
      <c r="A507">
        <v>73</v>
      </c>
      <c r="B507">
        <v>5</v>
      </c>
      <c r="C507" t="s">
        <v>181</v>
      </c>
      <c r="D507">
        <v>2021</v>
      </c>
      <c r="E507">
        <v>5470</v>
      </c>
      <c r="F507">
        <v>4696</v>
      </c>
      <c r="G507">
        <v>774</v>
      </c>
      <c r="I507">
        <v>2374</v>
      </c>
      <c r="M507">
        <v>1.9780960400000001</v>
      </c>
      <c r="N507">
        <f>E507/_xlfn.XLOOKUP(C507,Lookups!$A$2:$A$66,Lookups!$C$2:$C$66)</f>
        <v>2.1158822687518617</v>
      </c>
      <c r="O507">
        <v>5470</v>
      </c>
      <c r="P507">
        <v>42</v>
      </c>
      <c r="Q507">
        <v>-20</v>
      </c>
      <c r="R507">
        <v>-172</v>
      </c>
      <c r="S507">
        <v>62</v>
      </c>
      <c r="T507">
        <v>2374</v>
      </c>
      <c r="W507">
        <v>4696</v>
      </c>
      <c r="X507">
        <v>10</v>
      </c>
      <c r="AA507">
        <v>1.9780960400000001</v>
      </c>
    </row>
    <row r="508" spans="1:27" x14ac:dyDescent="0.2">
      <c r="A508">
        <v>73</v>
      </c>
      <c r="B508">
        <v>5</v>
      </c>
      <c r="C508" t="s">
        <v>181</v>
      </c>
      <c r="D508">
        <v>2022</v>
      </c>
      <c r="E508">
        <v>5513</v>
      </c>
      <c r="F508">
        <v>4671</v>
      </c>
      <c r="G508">
        <v>842</v>
      </c>
      <c r="I508">
        <v>2386</v>
      </c>
      <c r="M508">
        <v>1.95766974</v>
      </c>
      <c r="N508">
        <f>E508/_xlfn.XLOOKUP(C508,Lookups!$A$2:$A$66,Lookups!$C$2:$C$66)</f>
        <v>2.1325153469157243</v>
      </c>
      <c r="O508">
        <v>5513</v>
      </c>
      <c r="P508">
        <v>52</v>
      </c>
      <c r="Q508">
        <v>-11</v>
      </c>
      <c r="R508">
        <v>54</v>
      </c>
      <c r="S508">
        <v>63</v>
      </c>
      <c r="T508">
        <v>2386</v>
      </c>
      <c r="W508">
        <v>4671</v>
      </c>
      <c r="X508">
        <v>10</v>
      </c>
      <c r="AA508">
        <v>1.95766974</v>
      </c>
    </row>
    <row r="509" spans="1:27" x14ac:dyDescent="0.2">
      <c r="A509">
        <v>75</v>
      </c>
      <c r="B509">
        <v>1</v>
      </c>
      <c r="C509" t="s">
        <v>182</v>
      </c>
      <c r="D509">
        <v>2010</v>
      </c>
      <c r="E509">
        <v>22293</v>
      </c>
      <c r="F509">
        <v>18819</v>
      </c>
      <c r="G509">
        <v>3474</v>
      </c>
      <c r="H509">
        <v>2.4700000000000002</v>
      </c>
      <c r="I509">
        <v>8488</v>
      </c>
      <c r="J509">
        <v>7608</v>
      </c>
      <c r="K509">
        <v>880</v>
      </c>
      <c r="L509">
        <v>10.37</v>
      </c>
      <c r="M509">
        <v>2.2171300660000002</v>
      </c>
      <c r="N509">
        <f>E509/_xlfn.XLOOKUP(C509,Lookups!$A$2:$A$66,Lookups!$C$2:$C$66)</f>
        <v>12.080896976659748</v>
      </c>
    </row>
    <row r="510" spans="1:27" x14ac:dyDescent="0.2">
      <c r="A510">
        <v>75</v>
      </c>
      <c r="B510">
        <v>1</v>
      </c>
      <c r="C510" t="s">
        <v>182</v>
      </c>
      <c r="D510">
        <v>2011</v>
      </c>
      <c r="E510">
        <v>22210</v>
      </c>
      <c r="F510">
        <v>18777</v>
      </c>
      <c r="G510">
        <v>3433</v>
      </c>
      <c r="H510">
        <v>2.34</v>
      </c>
      <c r="I510">
        <v>8503</v>
      </c>
      <c r="J510">
        <v>8041</v>
      </c>
      <c r="K510">
        <v>462</v>
      </c>
      <c r="L510">
        <v>5.43</v>
      </c>
      <c r="M510">
        <v>2.2082794309999998</v>
      </c>
      <c r="N510">
        <f>E510/_xlfn.XLOOKUP(C510,Lookups!$A$2:$A$66,Lookups!$C$2:$C$66)</f>
        <v>12.035918084224331</v>
      </c>
    </row>
    <row r="511" spans="1:27" x14ac:dyDescent="0.2">
      <c r="A511">
        <v>75</v>
      </c>
      <c r="B511">
        <v>1</v>
      </c>
      <c r="C511" t="s">
        <v>182</v>
      </c>
      <c r="D511">
        <v>2012</v>
      </c>
      <c r="E511">
        <v>22131</v>
      </c>
      <c r="F511">
        <v>18738</v>
      </c>
      <c r="G511">
        <v>3393</v>
      </c>
      <c r="H511">
        <v>2.33</v>
      </c>
      <c r="I511">
        <v>8516</v>
      </c>
      <c r="J511">
        <v>8032</v>
      </c>
      <c r="K511">
        <v>484</v>
      </c>
      <c r="L511">
        <v>5.68</v>
      </c>
      <c r="M511">
        <v>2.2003287930000002</v>
      </c>
      <c r="N511">
        <f>E511/_xlfn.XLOOKUP(C511,Lookups!$A$2:$A$66,Lookups!$C$2:$C$66)</f>
        <v>11.993106849255682</v>
      </c>
    </row>
    <row r="512" spans="1:27" x14ac:dyDescent="0.2">
      <c r="A512">
        <v>75</v>
      </c>
      <c r="B512">
        <v>1</v>
      </c>
      <c r="C512" t="s">
        <v>182</v>
      </c>
      <c r="D512">
        <v>2013</v>
      </c>
      <c r="E512">
        <v>22056</v>
      </c>
      <c r="F512">
        <v>18704</v>
      </c>
      <c r="G512">
        <v>3352</v>
      </c>
      <c r="H512">
        <v>2.33</v>
      </c>
      <c r="I512">
        <v>8526</v>
      </c>
      <c r="J512">
        <v>8025</v>
      </c>
      <c r="K512">
        <v>501</v>
      </c>
      <c r="L512">
        <v>5.88</v>
      </c>
      <c r="M512">
        <v>2.1937602630000002</v>
      </c>
      <c r="N512">
        <f>E512/_xlfn.XLOOKUP(C512,Lookups!$A$2:$A$66,Lookups!$C$2:$C$66)</f>
        <v>11.952463271753798</v>
      </c>
    </row>
    <row r="513" spans="1:27" x14ac:dyDescent="0.2">
      <c r="A513">
        <v>75</v>
      </c>
      <c r="B513">
        <v>1</v>
      </c>
      <c r="C513" t="s">
        <v>182</v>
      </c>
      <c r="D513">
        <v>2014</v>
      </c>
      <c r="E513">
        <v>21964</v>
      </c>
      <c r="F513">
        <v>18652</v>
      </c>
      <c r="G513">
        <v>3312</v>
      </c>
      <c r="H513">
        <v>2.33</v>
      </c>
      <c r="I513">
        <v>8547</v>
      </c>
      <c r="J513">
        <v>8010</v>
      </c>
      <c r="K513">
        <v>537</v>
      </c>
      <c r="L513">
        <v>6.28</v>
      </c>
      <c r="M513">
        <v>2.1822861819999999</v>
      </c>
      <c r="N513">
        <f>E513/_xlfn.XLOOKUP(C513,Lookups!$A$2:$A$66,Lookups!$C$2:$C$66)</f>
        <v>11.902607150018154</v>
      </c>
    </row>
    <row r="514" spans="1:27" x14ac:dyDescent="0.2">
      <c r="A514">
        <v>75</v>
      </c>
      <c r="B514">
        <v>1</v>
      </c>
      <c r="C514" t="s">
        <v>182</v>
      </c>
      <c r="D514">
        <v>2015</v>
      </c>
      <c r="E514">
        <v>21873</v>
      </c>
      <c r="F514">
        <v>18602</v>
      </c>
      <c r="G514">
        <v>3271</v>
      </c>
      <c r="H514">
        <v>2.33</v>
      </c>
      <c r="I514">
        <v>8567</v>
      </c>
      <c r="J514">
        <v>7996</v>
      </c>
      <c r="K514">
        <v>571</v>
      </c>
      <c r="L514">
        <v>6.67</v>
      </c>
      <c r="M514">
        <v>2.1713551999999998</v>
      </c>
      <c r="N514">
        <f>E514/_xlfn.XLOOKUP(C514,Lookups!$A$2:$A$66,Lookups!$C$2:$C$66)</f>
        <v>11.853292942649203</v>
      </c>
    </row>
    <row r="515" spans="1:27" x14ac:dyDescent="0.2">
      <c r="A515">
        <v>75</v>
      </c>
      <c r="B515">
        <v>1</v>
      </c>
      <c r="C515" t="s">
        <v>182</v>
      </c>
      <c r="D515">
        <v>2016</v>
      </c>
      <c r="E515">
        <v>21772</v>
      </c>
      <c r="F515">
        <v>18542</v>
      </c>
      <c r="G515">
        <v>3230</v>
      </c>
      <c r="H515">
        <v>2.3199999999999998</v>
      </c>
      <c r="I515">
        <v>8593</v>
      </c>
      <c r="J515">
        <v>7977</v>
      </c>
      <c r="K515">
        <v>616</v>
      </c>
      <c r="L515">
        <v>7.16</v>
      </c>
      <c r="M515">
        <v>2.1578028630000001</v>
      </c>
      <c r="N515">
        <f>E515/_xlfn.XLOOKUP(C515,Lookups!$A$2:$A$66,Lookups!$C$2:$C$66)</f>
        <v>11.798559591613333</v>
      </c>
    </row>
    <row r="516" spans="1:27" x14ac:dyDescent="0.2">
      <c r="A516">
        <v>75</v>
      </c>
      <c r="B516">
        <v>1</v>
      </c>
      <c r="C516" t="s">
        <v>182</v>
      </c>
      <c r="D516">
        <v>2017</v>
      </c>
      <c r="E516">
        <v>21691</v>
      </c>
      <c r="F516">
        <v>18502</v>
      </c>
      <c r="G516">
        <v>3190</v>
      </c>
      <c r="H516">
        <v>2.3199999999999998</v>
      </c>
      <c r="I516">
        <v>8607</v>
      </c>
      <c r="J516">
        <v>7968</v>
      </c>
      <c r="K516">
        <v>639</v>
      </c>
      <c r="L516">
        <v>7.43</v>
      </c>
      <c r="M516">
        <v>2.1496456369999999</v>
      </c>
      <c r="N516">
        <f>E516/_xlfn.XLOOKUP(C516,Lookups!$A$2:$A$66,Lookups!$C$2:$C$66)</f>
        <v>11.7546645279113</v>
      </c>
    </row>
    <row r="517" spans="1:27" x14ac:dyDescent="0.2">
      <c r="A517">
        <v>75</v>
      </c>
      <c r="B517">
        <v>1</v>
      </c>
      <c r="C517" t="s">
        <v>182</v>
      </c>
      <c r="D517">
        <v>2018</v>
      </c>
      <c r="E517">
        <v>21611</v>
      </c>
      <c r="F517">
        <v>18461</v>
      </c>
      <c r="G517">
        <v>3149</v>
      </c>
      <c r="H517">
        <v>2.3199999999999998</v>
      </c>
      <c r="I517">
        <v>8621</v>
      </c>
      <c r="J517">
        <v>7958</v>
      </c>
      <c r="K517">
        <v>663</v>
      </c>
      <c r="L517">
        <v>7.7</v>
      </c>
      <c r="M517">
        <v>2.1413989099999999</v>
      </c>
      <c r="N517">
        <f>E517/_xlfn.XLOOKUP(C517,Lookups!$A$2:$A$66,Lookups!$C$2:$C$66)</f>
        <v>11.711311378575958</v>
      </c>
    </row>
    <row r="518" spans="1:27" x14ac:dyDescent="0.2">
      <c r="A518">
        <v>75</v>
      </c>
      <c r="B518">
        <v>1</v>
      </c>
      <c r="C518" t="s">
        <v>182</v>
      </c>
      <c r="D518">
        <v>2019</v>
      </c>
      <c r="E518">
        <v>21505</v>
      </c>
      <c r="F518">
        <v>18397</v>
      </c>
      <c r="G518">
        <v>3109</v>
      </c>
      <c r="H518">
        <v>2.3199999999999998</v>
      </c>
      <c r="I518">
        <v>8650</v>
      </c>
      <c r="J518">
        <v>7937</v>
      </c>
      <c r="K518">
        <v>713</v>
      </c>
      <c r="L518">
        <v>8.24</v>
      </c>
      <c r="M518">
        <v>2.1268208089999998</v>
      </c>
      <c r="N518">
        <f>E518/_xlfn.XLOOKUP(C518,Lookups!$A$2:$A$66,Lookups!$C$2:$C$66)</f>
        <v>11.653868455706629</v>
      </c>
    </row>
    <row r="519" spans="1:27" x14ac:dyDescent="0.2">
      <c r="A519">
        <v>75</v>
      </c>
      <c r="B519">
        <v>1</v>
      </c>
      <c r="C519" t="s">
        <v>182</v>
      </c>
      <c r="D519">
        <v>2020</v>
      </c>
      <c r="E519">
        <v>21203</v>
      </c>
      <c r="F519">
        <v>18354</v>
      </c>
      <c r="G519">
        <v>2849</v>
      </c>
      <c r="I519">
        <v>8674</v>
      </c>
      <c r="M519">
        <v>2.115978787</v>
      </c>
      <c r="N519">
        <f>E519/_xlfn.XLOOKUP(C519,Lookups!$A$2:$A$66,Lookups!$C$2:$C$66)</f>
        <v>11.490210316965713</v>
      </c>
      <c r="O519">
        <v>21203</v>
      </c>
      <c r="P519">
        <v>238</v>
      </c>
      <c r="Q519">
        <v>1</v>
      </c>
      <c r="R519">
        <v>-303</v>
      </c>
      <c r="S519">
        <v>237</v>
      </c>
      <c r="T519">
        <v>8674</v>
      </c>
      <c r="W519">
        <v>18354</v>
      </c>
      <c r="X519">
        <v>12</v>
      </c>
      <c r="AA519">
        <v>2.115978787</v>
      </c>
    </row>
    <row r="520" spans="1:27" x14ac:dyDescent="0.2">
      <c r="A520">
        <v>75</v>
      </c>
      <c r="B520">
        <v>1</v>
      </c>
      <c r="C520" t="s">
        <v>182</v>
      </c>
      <c r="D520">
        <v>2021</v>
      </c>
      <c r="E520">
        <v>21089</v>
      </c>
      <c r="F520">
        <v>18415</v>
      </c>
      <c r="G520">
        <v>2674</v>
      </c>
      <c r="I520">
        <v>8687</v>
      </c>
      <c r="M520">
        <v>2.1198342349999999</v>
      </c>
      <c r="N520">
        <f>E520/_xlfn.XLOOKUP(C520,Lookups!$A$2:$A$66,Lookups!$C$2:$C$66)</f>
        <v>11.428432079162851</v>
      </c>
      <c r="O520">
        <v>21089</v>
      </c>
      <c r="P520">
        <v>189</v>
      </c>
      <c r="Q520">
        <v>-124</v>
      </c>
      <c r="R520">
        <v>10</v>
      </c>
      <c r="S520">
        <v>313</v>
      </c>
      <c r="T520">
        <v>8687</v>
      </c>
      <c r="W520">
        <v>18415</v>
      </c>
      <c r="X520">
        <v>14</v>
      </c>
      <c r="AA520">
        <v>2.1198342349999999</v>
      </c>
    </row>
    <row r="521" spans="1:27" x14ac:dyDescent="0.2">
      <c r="A521">
        <v>75</v>
      </c>
      <c r="B521">
        <v>1</v>
      </c>
      <c r="C521" t="s">
        <v>182</v>
      </c>
      <c r="D521">
        <v>2022</v>
      </c>
      <c r="E521">
        <v>20809</v>
      </c>
      <c r="F521">
        <v>18116</v>
      </c>
      <c r="G521">
        <v>2693</v>
      </c>
      <c r="I521">
        <v>8708</v>
      </c>
      <c r="M521">
        <v>2.080385852</v>
      </c>
      <c r="N521">
        <f>E521/_xlfn.XLOOKUP(C521,Lookups!$A$2:$A$66,Lookups!$C$2:$C$66)</f>
        <v>11.276696056489154</v>
      </c>
      <c r="O521">
        <v>20809</v>
      </c>
      <c r="P521">
        <v>213</v>
      </c>
      <c r="Q521">
        <v>-67</v>
      </c>
      <c r="R521">
        <v>-213</v>
      </c>
      <c r="S521">
        <v>280</v>
      </c>
      <c r="T521">
        <v>8708</v>
      </c>
      <c r="W521">
        <v>18116</v>
      </c>
      <c r="X521">
        <v>22</v>
      </c>
      <c r="AA521">
        <v>2.080385852</v>
      </c>
    </row>
    <row r="522" spans="1:27" x14ac:dyDescent="0.2">
      <c r="A522">
        <v>77</v>
      </c>
      <c r="B522">
        <v>11</v>
      </c>
      <c r="C522" t="s">
        <v>183</v>
      </c>
      <c r="D522">
        <v>2010</v>
      </c>
      <c r="E522">
        <v>147155</v>
      </c>
      <c r="F522">
        <v>142688</v>
      </c>
      <c r="G522">
        <v>4467</v>
      </c>
      <c r="H522">
        <v>2.46</v>
      </c>
      <c r="I522">
        <v>62994</v>
      </c>
      <c r="J522">
        <v>57942</v>
      </c>
      <c r="K522">
        <v>5052</v>
      </c>
      <c r="L522">
        <v>8.02</v>
      </c>
      <c r="M522">
        <v>2.2651046130000001</v>
      </c>
      <c r="N522">
        <f>E522/_xlfn.XLOOKUP(C522,Lookups!$A$2:$A$66,Lookups!$C$2:$C$66)</f>
        <v>43.983453338474277</v>
      </c>
    </row>
    <row r="523" spans="1:27" x14ac:dyDescent="0.2">
      <c r="A523">
        <v>77</v>
      </c>
      <c r="B523">
        <v>11</v>
      </c>
      <c r="C523" t="s">
        <v>183</v>
      </c>
      <c r="D523">
        <v>2011</v>
      </c>
      <c r="E523">
        <v>147957</v>
      </c>
      <c r="F523">
        <v>143425</v>
      </c>
      <c r="G523">
        <v>4532</v>
      </c>
      <c r="H523">
        <v>2.46</v>
      </c>
      <c r="I523">
        <v>63269</v>
      </c>
      <c r="J523">
        <v>58381</v>
      </c>
      <c r="K523">
        <v>4888</v>
      </c>
      <c r="L523">
        <v>7.73</v>
      </c>
      <c r="M523">
        <v>2.2669079640000001</v>
      </c>
      <c r="N523">
        <f>E523/_xlfn.XLOOKUP(C523,Lookups!$A$2:$A$66,Lookups!$C$2:$C$66)</f>
        <v>44.223164728351996</v>
      </c>
    </row>
    <row r="524" spans="1:27" x14ac:dyDescent="0.2">
      <c r="A524">
        <v>77</v>
      </c>
      <c r="B524">
        <v>11</v>
      </c>
      <c r="C524" t="s">
        <v>183</v>
      </c>
      <c r="D524">
        <v>2012</v>
      </c>
      <c r="E524">
        <v>147939</v>
      </c>
      <c r="F524">
        <v>143494</v>
      </c>
      <c r="G524">
        <v>4445</v>
      </c>
      <c r="H524">
        <v>2.4500000000000002</v>
      </c>
      <c r="I524">
        <v>63472</v>
      </c>
      <c r="J524">
        <v>58549</v>
      </c>
      <c r="K524">
        <v>4923</v>
      </c>
      <c r="L524">
        <v>7.76</v>
      </c>
      <c r="M524">
        <v>2.2607448950000002</v>
      </c>
      <c r="N524">
        <f>E524/_xlfn.XLOOKUP(C524,Lookups!$A$2:$A$66,Lookups!$C$2:$C$66)</f>
        <v>44.217784672220077</v>
      </c>
    </row>
    <row r="525" spans="1:27" x14ac:dyDescent="0.2">
      <c r="A525">
        <v>77</v>
      </c>
      <c r="B525">
        <v>11</v>
      </c>
      <c r="C525" t="s">
        <v>183</v>
      </c>
      <c r="D525">
        <v>2013</v>
      </c>
      <c r="E525">
        <v>147926</v>
      </c>
      <c r="F525">
        <v>143247</v>
      </c>
      <c r="G525">
        <v>4679</v>
      </c>
      <c r="H525">
        <v>2.44</v>
      </c>
      <c r="I525">
        <v>63811</v>
      </c>
      <c r="J525">
        <v>58589</v>
      </c>
      <c r="K525">
        <v>5222</v>
      </c>
      <c r="L525">
        <v>8.18</v>
      </c>
      <c r="M525">
        <v>2.2448637379999998</v>
      </c>
      <c r="N525">
        <f>E525/_xlfn.XLOOKUP(C525,Lookups!$A$2:$A$66,Lookups!$C$2:$C$66)</f>
        <v>44.213899076124804</v>
      </c>
    </row>
    <row r="526" spans="1:27" x14ac:dyDescent="0.2">
      <c r="A526">
        <v>77</v>
      </c>
      <c r="B526">
        <v>11</v>
      </c>
      <c r="C526" t="s">
        <v>183</v>
      </c>
      <c r="D526">
        <v>2014</v>
      </c>
      <c r="E526">
        <v>147876</v>
      </c>
      <c r="F526">
        <v>143573</v>
      </c>
      <c r="G526">
        <v>4303</v>
      </c>
      <c r="H526">
        <v>2.44</v>
      </c>
      <c r="I526">
        <v>64108</v>
      </c>
      <c r="J526">
        <v>58864</v>
      </c>
      <c r="K526">
        <v>5244</v>
      </c>
      <c r="L526">
        <v>8.18</v>
      </c>
      <c r="M526">
        <v>2.2395488860000001</v>
      </c>
      <c r="N526">
        <f>E526/_xlfn.XLOOKUP(C526,Lookups!$A$2:$A$66,Lookups!$C$2:$C$66)</f>
        <v>44.198954475758363</v>
      </c>
    </row>
    <row r="527" spans="1:27" x14ac:dyDescent="0.2">
      <c r="A527">
        <v>77</v>
      </c>
      <c r="B527">
        <v>11</v>
      </c>
      <c r="C527" t="s">
        <v>183</v>
      </c>
      <c r="D527">
        <v>2015</v>
      </c>
      <c r="E527">
        <v>148774</v>
      </c>
      <c r="F527">
        <v>144217</v>
      </c>
      <c r="G527">
        <v>4557</v>
      </c>
      <c r="H527">
        <v>2.4300000000000002</v>
      </c>
      <c r="I527">
        <v>64529</v>
      </c>
      <c r="J527">
        <v>59271</v>
      </c>
      <c r="K527">
        <v>5258</v>
      </c>
      <c r="L527">
        <v>8.15</v>
      </c>
      <c r="M527">
        <v>2.2349176339999999</v>
      </c>
      <c r="N527">
        <f>E527/_xlfn.XLOOKUP(C527,Lookups!$A$2:$A$66,Lookups!$C$2:$C$66)</f>
        <v>44.467359498339654</v>
      </c>
    </row>
    <row r="528" spans="1:27" x14ac:dyDescent="0.2">
      <c r="A528">
        <v>77</v>
      </c>
      <c r="B528">
        <v>11</v>
      </c>
      <c r="C528" t="s">
        <v>183</v>
      </c>
      <c r="D528">
        <v>2016</v>
      </c>
      <c r="E528">
        <v>150346</v>
      </c>
      <c r="F528">
        <v>145847</v>
      </c>
      <c r="G528">
        <v>4499</v>
      </c>
      <c r="H528">
        <v>2.4300000000000002</v>
      </c>
      <c r="I528">
        <v>64807</v>
      </c>
      <c r="J528">
        <v>60086</v>
      </c>
      <c r="K528">
        <v>4721</v>
      </c>
      <c r="L528">
        <v>7.28</v>
      </c>
      <c r="M528">
        <v>2.2504822010000001</v>
      </c>
      <c r="N528">
        <f>E528/_xlfn.XLOOKUP(C528,Lookups!$A$2:$A$66,Lookups!$C$2:$C$66)</f>
        <v>44.937217733860578</v>
      </c>
    </row>
    <row r="529" spans="1:27" x14ac:dyDescent="0.2">
      <c r="A529">
        <v>77</v>
      </c>
      <c r="B529">
        <v>11</v>
      </c>
      <c r="C529" t="s">
        <v>183</v>
      </c>
      <c r="D529">
        <v>2017</v>
      </c>
      <c r="E529">
        <v>152148</v>
      </c>
      <c r="F529">
        <v>147646</v>
      </c>
      <c r="G529">
        <v>4502</v>
      </c>
      <c r="H529">
        <v>2.42</v>
      </c>
      <c r="I529">
        <v>65240</v>
      </c>
      <c r="J529">
        <v>60974</v>
      </c>
      <c r="K529">
        <v>4266</v>
      </c>
      <c r="L529">
        <v>6.54</v>
      </c>
      <c r="M529">
        <v>2.2631207849999999</v>
      </c>
      <c r="N529">
        <f>E529/_xlfn.XLOOKUP(C529,Lookups!$A$2:$A$66,Lookups!$C$2:$C$66)</f>
        <v>45.475821131067136</v>
      </c>
    </row>
    <row r="530" spans="1:27" x14ac:dyDescent="0.2">
      <c r="A530">
        <v>77</v>
      </c>
      <c r="B530">
        <v>11</v>
      </c>
      <c r="C530" t="s">
        <v>183</v>
      </c>
      <c r="D530">
        <v>2018</v>
      </c>
      <c r="E530">
        <v>154047</v>
      </c>
      <c r="F530">
        <v>149639</v>
      </c>
      <c r="G530">
        <v>4408</v>
      </c>
      <c r="H530">
        <v>2.42</v>
      </c>
      <c r="I530">
        <v>65823</v>
      </c>
      <c r="J530">
        <v>61948</v>
      </c>
      <c r="K530">
        <v>3875</v>
      </c>
      <c r="L530">
        <v>5.89</v>
      </c>
      <c r="M530">
        <v>2.2733542990000002</v>
      </c>
      <c r="N530">
        <f>E530/_xlfn.XLOOKUP(C530,Lookups!$A$2:$A$66,Lookups!$C$2:$C$66)</f>
        <v>46.043417052984587</v>
      </c>
    </row>
    <row r="531" spans="1:27" x14ac:dyDescent="0.2">
      <c r="A531">
        <v>77</v>
      </c>
      <c r="B531">
        <v>11</v>
      </c>
      <c r="C531" t="s">
        <v>183</v>
      </c>
      <c r="D531">
        <v>2019</v>
      </c>
      <c r="E531">
        <v>155109</v>
      </c>
      <c r="F531">
        <v>150803</v>
      </c>
      <c r="G531">
        <v>4306</v>
      </c>
      <c r="H531">
        <v>2.41</v>
      </c>
      <c r="I531">
        <v>66587</v>
      </c>
      <c r="J531">
        <v>62582</v>
      </c>
      <c r="K531">
        <v>4005</v>
      </c>
      <c r="L531">
        <v>6.01</v>
      </c>
      <c r="M531">
        <v>2.2647513780000001</v>
      </c>
      <c r="N531">
        <f>E531/_xlfn.XLOOKUP(C531,Lookups!$A$2:$A$66,Lookups!$C$2:$C$66)</f>
        <v>46.360840364767803</v>
      </c>
    </row>
    <row r="532" spans="1:27" x14ac:dyDescent="0.2">
      <c r="A532">
        <v>77</v>
      </c>
      <c r="B532">
        <v>11</v>
      </c>
      <c r="C532" t="s">
        <v>183</v>
      </c>
      <c r="D532">
        <v>2020</v>
      </c>
      <c r="E532">
        <v>155993</v>
      </c>
      <c r="F532">
        <v>152045</v>
      </c>
      <c r="G532">
        <v>3948</v>
      </c>
      <c r="I532">
        <v>67680</v>
      </c>
      <c r="M532">
        <v>2.2465277779999999</v>
      </c>
      <c r="N532">
        <f>E532/_xlfn.XLOOKUP(C532,Lookups!$A$2:$A$66,Lookups!$C$2:$C$66)</f>
        <v>46.625060899246492</v>
      </c>
      <c r="O532">
        <v>155993</v>
      </c>
      <c r="P532">
        <v>1568</v>
      </c>
      <c r="Q532">
        <v>-117</v>
      </c>
      <c r="R532">
        <v>1001</v>
      </c>
      <c r="S532">
        <v>1685</v>
      </c>
      <c r="T532">
        <v>67680</v>
      </c>
      <c r="W532">
        <v>152045</v>
      </c>
      <c r="X532">
        <v>1004</v>
      </c>
      <c r="AA532">
        <v>2.2465277779999999</v>
      </c>
    </row>
    <row r="533" spans="1:27" x14ac:dyDescent="0.2">
      <c r="A533">
        <v>77</v>
      </c>
      <c r="B533">
        <v>11</v>
      </c>
      <c r="C533" t="s">
        <v>183</v>
      </c>
      <c r="D533">
        <v>2021</v>
      </c>
      <c r="E533">
        <v>157432</v>
      </c>
      <c r="F533">
        <v>153559</v>
      </c>
      <c r="G533">
        <v>3873</v>
      </c>
      <c r="I533">
        <v>68720</v>
      </c>
      <c r="M533">
        <v>2.234560536</v>
      </c>
      <c r="N533">
        <f>E533/_xlfn.XLOOKUP(C533,Lookups!$A$2:$A$66,Lookups!$C$2:$C$66)</f>
        <v>47.055166497792683</v>
      </c>
      <c r="O533">
        <v>157432</v>
      </c>
      <c r="P533">
        <v>1527</v>
      </c>
      <c r="Q533">
        <v>-373</v>
      </c>
      <c r="R533">
        <v>1812</v>
      </c>
      <c r="S533">
        <v>1900</v>
      </c>
      <c r="T533">
        <v>68720</v>
      </c>
      <c r="W533">
        <v>153559</v>
      </c>
      <c r="X533">
        <v>1231</v>
      </c>
      <c r="AA533">
        <v>2.234560536</v>
      </c>
    </row>
    <row r="534" spans="1:27" x14ac:dyDescent="0.2">
      <c r="A534">
        <v>77</v>
      </c>
      <c r="B534">
        <v>11</v>
      </c>
      <c r="C534" t="s">
        <v>183</v>
      </c>
      <c r="D534">
        <v>2022</v>
      </c>
      <c r="E534">
        <v>158534</v>
      </c>
      <c r="F534">
        <v>154405</v>
      </c>
      <c r="G534">
        <v>4129</v>
      </c>
      <c r="I534">
        <v>70017</v>
      </c>
      <c r="M534">
        <v>2.2052501539999998</v>
      </c>
      <c r="N534">
        <f>E534/_xlfn.XLOOKUP(C534,Lookups!$A$2:$A$66,Lookups!$C$2:$C$66)</f>
        <v>47.384545489869055</v>
      </c>
      <c r="O534">
        <v>158534</v>
      </c>
      <c r="P534">
        <v>1447</v>
      </c>
      <c r="Q534">
        <v>-568</v>
      </c>
      <c r="R534">
        <v>1670</v>
      </c>
      <c r="S534">
        <v>2015</v>
      </c>
      <c r="T534">
        <v>70017</v>
      </c>
      <c r="W534">
        <v>154405</v>
      </c>
      <c r="X534">
        <v>969</v>
      </c>
      <c r="AA534">
        <v>2.2052501539999998</v>
      </c>
    </row>
    <row r="535" spans="1:27" x14ac:dyDescent="0.2">
      <c r="A535">
        <v>79</v>
      </c>
      <c r="B535">
        <v>8</v>
      </c>
      <c r="C535" t="s">
        <v>184</v>
      </c>
      <c r="D535">
        <v>2010</v>
      </c>
      <c r="E535">
        <v>705</v>
      </c>
      <c r="F535">
        <v>705</v>
      </c>
      <c r="G535">
        <v>0</v>
      </c>
      <c r="H535">
        <v>2.2599999999999998</v>
      </c>
      <c r="I535">
        <v>1097</v>
      </c>
      <c r="J535">
        <v>312</v>
      </c>
      <c r="K535">
        <v>785</v>
      </c>
      <c r="L535">
        <v>71.56</v>
      </c>
      <c r="M535">
        <v>0.64266180500000003</v>
      </c>
      <c r="N535">
        <f>E535/_xlfn.XLOOKUP(C535,Lookups!$A$2:$A$66,Lookups!$C$2:$C$66)</f>
        <v>0.80281497676960922</v>
      </c>
    </row>
    <row r="536" spans="1:27" x14ac:dyDescent="0.2">
      <c r="A536">
        <v>79</v>
      </c>
      <c r="B536">
        <v>8</v>
      </c>
      <c r="C536" t="s">
        <v>184</v>
      </c>
      <c r="D536">
        <v>2011</v>
      </c>
      <c r="E536">
        <v>712</v>
      </c>
      <c r="F536">
        <v>712</v>
      </c>
      <c r="G536">
        <v>0</v>
      </c>
      <c r="H536">
        <v>2.0099999999999998</v>
      </c>
      <c r="I536">
        <v>1102</v>
      </c>
      <c r="J536">
        <v>354</v>
      </c>
      <c r="K536">
        <v>748</v>
      </c>
      <c r="L536">
        <v>67.89</v>
      </c>
      <c r="M536">
        <v>0.64609800399999995</v>
      </c>
      <c r="N536">
        <f>E536/_xlfn.XLOOKUP(C536,Lookups!$A$2:$A$66,Lookups!$C$2:$C$66)</f>
        <v>0.81078618930491031</v>
      </c>
    </row>
    <row r="537" spans="1:27" x14ac:dyDescent="0.2">
      <c r="A537">
        <v>79</v>
      </c>
      <c r="B537">
        <v>8</v>
      </c>
      <c r="C537" t="s">
        <v>184</v>
      </c>
      <c r="D537">
        <v>2012</v>
      </c>
      <c r="E537">
        <v>723</v>
      </c>
      <c r="F537">
        <v>723</v>
      </c>
      <c r="G537">
        <v>0</v>
      </c>
      <c r="H537">
        <v>2.0099999999999998</v>
      </c>
      <c r="I537">
        <v>1111</v>
      </c>
      <c r="J537">
        <v>359</v>
      </c>
      <c r="K537">
        <v>752</v>
      </c>
      <c r="L537">
        <v>67.69</v>
      </c>
      <c r="M537">
        <v>0.65076507699999997</v>
      </c>
      <c r="N537">
        <f>E537/_xlfn.XLOOKUP(C537,Lookups!$A$2:$A$66,Lookups!$C$2:$C$66)</f>
        <v>0.82331238043181199</v>
      </c>
    </row>
    <row r="538" spans="1:27" x14ac:dyDescent="0.2">
      <c r="A538">
        <v>79</v>
      </c>
      <c r="B538">
        <v>8</v>
      </c>
      <c r="C538" t="s">
        <v>184</v>
      </c>
      <c r="D538">
        <v>2013</v>
      </c>
      <c r="E538">
        <v>734</v>
      </c>
      <c r="F538">
        <v>734</v>
      </c>
      <c r="G538">
        <v>0</v>
      </c>
      <c r="H538">
        <v>2.02</v>
      </c>
      <c r="I538">
        <v>1119</v>
      </c>
      <c r="J538">
        <v>363</v>
      </c>
      <c r="K538">
        <v>756</v>
      </c>
      <c r="L538">
        <v>67.52</v>
      </c>
      <c r="M538">
        <v>0.65594280599999999</v>
      </c>
      <c r="N538">
        <f>E538/_xlfn.XLOOKUP(C538,Lookups!$A$2:$A$66,Lookups!$C$2:$C$66)</f>
        <v>0.83583857155871366</v>
      </c>
    </row>
    <row r="539" spans="1:27" x14ac:dyDescent="0.2">
      <c r="A539">
        <v>79</v>
      </c>
      <c r="B539">
        <v>8</v>
      </c>
      <c r="C539" t="s">
        <v>184</v>
      </c>
      <c r="D539">
        <v>2014</v>
      </c>
      <c r="E539">
        <v>747</v>
      </c>
      <c r="F539">
        <v>747</v>
      </c>
      <c r="G539">
        <v>0</v>
      </c>
      <c r="H539">
        <v>2.02</v>
      </c>
      <c r="I539">
        <v>1130</v>
      </c>
      <c r="J539">
        <v>370</v>
      </c>
      <c r="K539">
        <v>760</v>
      </c>
      <c r="L539">
        <v>67.28</v>
      </c>
      <c r="M539">
        <v>0.66106194699999998</v>
      </c>
      <c r="N539">
        <f>E539/_xlfn.XLOOKUP(C539,Lookups!$A$2:$A$66,Lookups!$C$2:$C$66)</f>
        <v>0.85064225198141574</v>
      </c>
    </row>
    <row r="540" spans="1:27" x14ac:dyDescent="0.2">
      <c r="A540">
        <v>79</v>
      </c>
      <c r="B540">
        <v>8</v>
      </c>
      <c r="C540" t="s">
        <v>184</v>
      </c>
      <c r="D540">
        <v>2015</v>
      </c>
      <c r="E540">
        <v>755</v>
      </c>
      <c r="F540">
        <v>755</v>
      </c>
      <c r="G540">
        <v>0</v>
      </c>
      <c r="H540">
        <v>2.02</v>
      </c>
      <c r="I540">
        <v>1136</v>
      </c>
      <c r="J540">
        <v>373</v>
      </c>
      <c r="K540">
        <v>763</v>
      </c>
      <c r="L540">
        <v>67.16</v>
      </c>
      <c r="M540">
        <v>0.66461267599999996</v>
      </c>
      <c r="N540">
        <f>E540/_xlfn.XLOOKUP(C540,Lookups!$A$2:$A$66,Lookups!$C$2:$C$66)</f>
        <v>0.85975220916461692</v>
      </c>
    </row>
    <row r="541" spans="1:27" x14ac:dyDescent="0.2">
      <c r="A541">
        <v>79</v>
      </c>
      <c r="B541">
        <v>8</v>
      </c>
      <c r="C541" t="s">
        <v>184</v>
      </c>
      <c r="D541">
        <v>2016</v>
      </c>
      <c r="E541">
        <v>770</v>
      </c>
      <c r="F541">
        <v>770</v>
      </c>
      <c r="G541">
        <v>0</v>
      </c>
      <c r="H541">
        <v>2.0299999999999998</v>
      </c>
      <c r="I541">
        <v>1148</v>
      </c>
      <c r="J541">
        <v>380</v>
      </c>
      <c r="K541">
        <v>768</v>
      </c>
      <c r="L541">
        <v>66.91</v>
      </c>
      <c r="M541">
        <v>0.67073170699999995</v>
      </c>
      <c r="N541">
        <f>E541/_xlfn.XLOOKUP(C541,Lookups!$A$2:$A$66,Lookups!$C$2:$C$66)</f>
        <v>0.8768333788831193</v>
      </c>
    </row>
    <row r="542" spans="1:27" x14ac:dyDescent="0.2">
      <c r="A542">
        <v>79</v>
      </c>
      <c r="B542">
        <v>8</v>
      </c>
      <c r="C542" t="s">
        <v>184</v>
      </c>
      <c r="D542">
        <v>2017</v>
      </c>
      <c r="E542">
        <v>788</v>
      </c>
      <c r="F542">
        <v>788</v>
      </c>
      <c r="G542">
        <v>0</v>
      </c>
      <c r="H542">
        <v>2.0299999999999998</v>
      </c>
      <c r="I542">
        <v>1162</v>
      </c>
      <c r="J542">
        <v>388</v>
      </c>
      <c r="K542">
        <v>774</v>
      </c>
      <c r="L542">
        <v>66.62</v>
      </c>
      <c r="M542">
        <v>0.67814113600000003</v>
      </c>
      <c r="N542">
        <f>E542/_xlfn.XLOOKUP(C542,Lookups!$A$2:$A$66,Lookups!$C$2:$C$66)</f>
        <v>0.89733078254532206</v>
      </c>
    </row>
    <row r="543" spans="1:27" x14ac:dyDescent="0.2">
      <c r="A543">
        <v>79</v>
      </c>
      <c r="B543">
        <v>8</v>
      </c>
      <c r="C543" t="s">
        <v>184</v>
      </c>
      <c r="D543">
        <v>2018</v>
      </c>
      <c r="E543">
        <v>811</v>
      </c>
      <c r="F543">
        <v>811</v>
      </c>
      <c r="G543">
        <v>0</v>
      </c>
      <c r="H543">
        <v>2.0299999999999998</v>
      </c>
      <c r="I543">
        <v>1181</v>
      </c>
      <c r="J543">
        <v>399</v>
      </c>
      <c r="K543">
        <v>782</v>
      </c>
      <c r="L543">
        <v>66.25</v>
      </c>
      <c r="M543">
        <v>0.68670618100000003</v>
      </c>
      <c r="N543">
        <f>E543/_xlfn.XLOOKUP(C543,Lookups!$A$2:$A$66,Lookups!$C$2:$C$66)</f>
        <v>0.92352190944702561</v>
      </c>
    </row>
    <row r="544" spans="1:27" x14ac:dyDescent="0.2">
      <c r="A544">
        <v>79</v>
      </c>
      <c r="B544">
        <v>8</v>
      </c>
      <c r="C544" t="s">
        <v>184</v>
      </c>
      <c r="D544">
        <v>2019</v>
      </c>
      <c r="E544">
        <v>834</v>
      </c>
      <c r="F544">
        <v>834</v>
      </c>
      <c r="G544">
        <v>0</v>
      </c>
      <c r="H544">
        <v>2.04</v>
      </c>
      <c r="I544">
        <v>1200</v>
      </c>
      <c r="J544">
        <v>409</v>
      </c>
      <c r="K544">
        <v>791</v>
      </c>
      <c r="L544">
        <v>65.88</v>
      </c>
      <c r="M544">
        <v>0.69499999999999995</v>
      </c>
      <c r="N544">
        <f>E544/_xlfn.XLOOKUP(C544,Lookups!$A$2:$A$66,Lookups!$C$2:$C$66)</f>
        <v>0.94971303634872917</v>
      </c>
    </row>
    <row r="545" spans="1:27" x14ac:dyDescent="0.2">
      <c r="A545">
        <v>79</v>
      </c>
      <c r="B545">
        <v>8</v>
      </c>
      <c r="C545" t="s">
        <v>184</v>
      </c>
      <c r="D545">
        <v>2020</v>
      </c>
      <c r="E545">
        <v>871</v>
      </c>
      <c r="F545">
        <v>871</v>
      </c>
      <c r="G545">
        <v>0</v>
      </c>
      <c r="I545">
        <v>1221</v>
      </c>
      <c r="M545">
        <v>0.71334971300000005</v>
      </c>
      <c r="N545">
        <f>E545/_xlfn.XLOOKUP(C545,Lookups!$A$2:$A$66,Lookups!$C$2:$C$66)</f>
        <v>0.99184658832103489</v>
      </c>
      <c r="O545">
        <v>871</v>
      </c>
      <c r="P545">
        <v>7</v>
      </c>
      <c r="Q545">
        <v>-4</v>
      </c>
      <c r="R545">
        <v>41</v>
      </c>
      <c r="S545">
        <v>11</v>
      </c>
      <c r="T545">
        <v>1221</v>
      </c>
      <c r="W545">
        <v>871</v>
      </c>
      <c r="X545">
        <v>18</v>
      </c>
      <c r="AA545">
        <v>0.71334971300000005</v>
      </c>
    </row>
    <row r="546" spans="1:27" x14ac:dyDescent="0.2">
      <c r="A546">
        <v>79</v>
      </c>
      <c r="B546">
        <v>8</v>
      </c>
      <c r="C546" t="s">
        <v>184</v>
      </c>
      <c r="D546">
        <v>2021</v>
      </c>
      <c r="E546">
        <v>926</v>
      </c>
      <c r="F546">
        <v>926</v>
      </c>
      <c r="G546">
        <v>0</v>
      </c>
      <c r="I546">
        <v>1290</v>
      </c>
      <c r="M546">
        <v>0.717829457</v>
      </c>
      <c r="N546">
        <f>E546/_xlfn.XLOOKUP(C546,Lookups!$A$2:$A$66,Lookups!$C$2:$C$66)</f>
        <v>1.0544775439555434</v>
      </c>
      <c r="O546">
        <v>926</v>
      </c>
      <c r="P546">
        <v>4</v>
      </c>
      <c r="Q546">
        <v>-2</v>
      </c>
      <c r="R546">
        <v>57</v>
      </c>
      <c r="S546">
        <v>6</v>
      </c>
      <c r="T546">
        <v>1290</v>
      </c>
      <c r="W546">
        <v>926</v>
      </c>
      <c r="X546">
        <v>8</v>
      </c>
      <c r="AA546">
        <v>0.717829457</v>
      </c>
    </row>
    <row r="547" spans="1:27" x14ac:dyDescent="0.2">
      <c r="A547">
        <v>79</v>
      </c>
      <c r="B547">
        <v>8</v>
      </c>
      <c r="C547" t="s">
        <v>184</v>
      </c>
      <c r="D547">
        <v>2022</v>
      </c>
      <c r="E547">
        <v>924</v>
      </c>
      <c r="F547">
        <v>924</v>
      </c>
      <c r="G547">
        <v>0</v>
      </c>
      <c r="I547">
        <v>1298</v>
      </c>
      <c r="M547">
        <v>0.71186440699999998</v>
      </c>
      <c r="N547">
        <f>E547/_xlfn.XLOOKUP(C547,Lookups!$A$2:$A$66,Lookups!$C$2:$C$66)</f>
        <v>1.0522000546597432</v>
      </c>
      <c r="O547">
        <v>924</v>
      </c>
      <c r="P547">
        <v>8</v>
      </c>
      <c r="Q547">
        <v>-5</v>
      </c>
      <c r="R547">
        <v>3</v>
      </c>
      <c r="S547">
        <v>13</v>
      </c>
      <c r="T547">
        <v>1298</v>
      </c>
      <c r="W547">
        <v>924</v>
      </c>
      <c r="X547">
        <v>9</v>
      </c>
      <c r="AA547">
        <v>0.71186440699999998</v>
      </c>
    </row>
    <row r="548" spans="1:27" x14ac:dyDescent="0.2">
      <c r="A548">
        <v>81</v>
      </c>
      <c r="B548">
        <v>11</v>
      </c>
      <c r="C548" t="s">
        <v>185</v>
      </c>
      <c r="D548">
        <v>2010</v>
      </c>
      <c r="E548">
        <v>13806</v>
      </c>
      <c r="F548">
        <v>13704</v>
      </c>
      <c r="G548">
        <v>102</v>
      </c>
      <c r="H548">
        <v>2.6</v>
      </c>
      <c r="I548">
        <v>5962</v>
      </c>
      <c r="J548">
        <v>5269</v>
      </c>
      <c r="K548">
        <v>693</v>
      </c>
      <c r="L548">
        <v>11.62</v>
      </c>
      <c r="M548">
        <v>2.2985575310000002</v>
      </c>
      <c r="N548">
        <f>E548/_xlfn.XLOOKUP(C548,Lookups!$A$2:$A$66,Lookups!$C$2:$C$66)</f>
        <v>2.9029449983809448</v>
      </c>
    </row>
    <row r="549" spans="1:27" x14ac:dyDescent="0.2">
      <c r="A549">
        <v>81</v>
      </c>
      <c r="B549">
        <v>11</v>
      </c>
      <c r="C549" t="s">
        <v>185</v>
      </c>
      <c r="D549">
        <v>2011</v>
      </c>
      <c r="E549">
        <v>13452</v>
      </c>
      <c r="F549">
        <v>13348</v>
      </c>
      <c r="G549">
        <v>104</v>
      </c>
      <c r="H549">
        <v>2.5</v>
      </c>
      <c r="I549">
        <v>5969</v>
      </c>
      <c r="J549">
        <v>5337</v>
      </c>
      <c r="K549">
        <v>632</v>
      </c>
      <c r="L549">
        <v>10.58</v>
      </c>
      <c r="M549">
        <v>2.2362204719999998</v>
      </c>
      <c r="N549">
        <f>E549/_xlfn.XLOOKUP(C549,Lookups!$A$2:$A$66,Lookups!$C$2:$C$66)</f>
        <v>2.828510511242972</v>
      </c>
    </row>
    <row r="550" spans="1:27" x14ac:dyDescent="0.2">
      <c r="A550">
        <v>81</v>
      </c>
      <c r="B550">
        <v>11</v>
      </c>
      <c r="C550" t="s">
        <v>185</v>
      </c>
      <c r="D550">
        <v>2012</v>
      </c>
      <c r="E550">
        <v>13216</v>
      </c>
      <c r="F550">
        <v>13111</v>
      </c>
      <c r="G550">
        <v>105</v>
      </c>
      <c r="H550">
        <v>2.5</v>
      </c>
      <c r="I550">
        <v>5979</v>
      </c>
      <c r="J550">
        <v>5252</v>
      </c>
      <c r="K550">
        <v>727</v>
      </c>
      <c r="L550">
        <v>12.16</v>
      </c>
      <c r="M550">
        <v>2.1928416120000001</v>
      </c>
      <c r="N550">
        <f>E550/_xlfn.XLOOKUP(C550,Lookups!$A$2:$A$66,Lookups!$C$2:$C$66)</f>
        <v>2.7788875198176566</v>
      </c>
    </row>
    <row r="551" spans="1:27" x14ac:dyDescent="0.2">
      <c r="A551">
        <v>81</v>
      </c>
      <c r="B551">
        <v>11</v>
      </c>
      <c r="C551" t="s">
        <v>185</v>
      </c>
      <c r="D551">
        <v>2013</v>
      </c>
      <c r="E551">
        <v>13187</v>
      </c>
      <c r="F551">
        <v>13080</v>
      </c>
      <c r="G551">
        <v>107</v>
      </c>
      <c r="H551">
        <v>2.4900000000000002</v>
      </c>
      <c r="I551">
        <v>5990</v>
      </c>
      <c r="J551">
        <v>5249</v>
      </c>
      <c r="K551">
        <v>741</v>
      </c>
      <c r="L551">
        <v>12.38</v>
      </c>
      <c r="M551">
        <v>2.183639399</v>
      </c>
      <c r="N551">
        <f>E551/_xlfn.XLOOKUP(C551,Lookups!$A$2:$A$66,Lookups!$C$2:$C$66)</f>
        <v>2.772789779345902</v>
      </c>
    </row>
    <row r="552" spans="1:27" x14ac:dyDescent="0.2">
      <c r="A552">
        <v>81</v>
      </c>
      <c r="B552">
        <v>11</v>
      </c>
      <c r="C552" t="s">
        <v>185</v>
      </c>
      <c r="D552">
        <v>2014</v>
      </c>
      <c r="E552">
        <v>13016</v>
      </c>
      <c r="F552">
        <v>12907</v>
      </c>
      <c r="G552">
        <v>109</v>
      </c>
      <c r="H552">
        <v>2.4900000000000002</v>
      </c>
      <c r="I552">
        <v>5999</v>
      </c>
      <c r="J552">
        <v>5189</v>
      </c>
      <c r="K552">
        <v>810</v>
      </c>
      <c r="L552">
        <v>13.51</v>
      </c>
      <c r="M552">
        <v>2.1515252540000001</v>
      </c>
      <c r="N552">
        <f>E552/_xlfn.XLOOKUP(C552,Lookups!$A$2:$A$66,Lookups!$C$2:$C$66)</f>
        <v>2.7368341372538301</v>
      </c>
    </row>
    <row r="553" spans="1:27" x14ac:dyDescent="0.2">
      <c r="A553">
        <v>81</v>
      </c>
      <c r="B553">
        <v>11</v>
      </c>
      <c r="C553" t="s">
        <v>185</v>
      </c>
      <c r="D553">
        <v>2015</v>
      </c>
      <c r="E553">
        <v>13038</v>
      </c>
      <c r="F553">
        <v>12928</v>
      </c>
      <c r="G553">
        <v>110</v>
      </c>
      <c r="H553">
        <v>2.48</v>
      </c>
      <c r="I553">
        <v>6008</v>
      </c>
      <c r="J553">
        <v>5206</v>
      </c>
      <c r="K553">
        <v>802</v>
      </c>
      <c r="L553">
        <v>13.35</v>
      </c>
      <c r="M553">
        <v>2.1517976029999999</v>
      </c>
      <c r="N553">
        <f>E553/_xlfn.XLOOKUP(C553,Lookups!$A$2:$A$66,Lookups!$C$2:$C$66)</f>
        <v>2.7414600093358512</v>
      </c>
    </row>
    <row r="554" spans="1:27" x14ac:dyDescent="0.2">
      <c r="A554">
        <v>81</v>
      </c>
      <c r="B554">
        <v>11</v>
      </c>
      <c r="C554" t="s">
        <v>185</v>
      </c>
      <c r="D554">
        <v>2016</v>
      </c>
      <c r="E554">
        <v>13266</v>
      </c>
      <c r="F554">
        <v>13154</v>
      </c>
      <c r="G554">
        <v>112</v>
      </c>
      <c r="H554">
        <v>2.48</v>
      </c>
      <c r="I554">
        <v>6015</v>
      </c>
      <c r="J554">
        <v>5307</v>
      </c>
      <c r="K554">
        <v>708</v>
      </c>
      <c r="L554">
        <v>11.78</v>
      </c>
      <c r="M554">
        <v>2.1868661679999999</v>
      </c>
      <c r="N554">
        <f>E554/_xlfn.XLOOKUP(C554,Lookups!$A$2:$A$66,Lookups!$C$2:$C$66)</f>
        <v>2.7894008654586133</v>
      </c>
    </row>
    <row r="555" spans="1:27" x14ac:dyDescent="0.2">
      <c r="A555">
        <v>81</v>
      </c>
      <c r="B555">
        <v>11</v>
      </c>
      <c r="C555" t="s">
        <v>185</v>
      </c>
      <c r="D555">
        <v>2017</v>
      </c>
      <c r="E555">
        <v>13223</v>
      </c>
      <c r="F555">
        <v>13109</v>
      </c>
      <c r="G555">
        <v>114</v>
      </c>
      <c r="H555">
        <v>2.4700000000000002</v>
      </c>
      <c r="I555">
        <v>6025</v>
      </c>
      <c r="J555">
        <v>5298</v>
      </c>
      <c r="K555">
        <v>727</v>
      </c>
      <c r="L555">
        <v>12.06</v>
      </c>
      <c r="M555">
        <v>2.1757676350000001</v>
      </c>
      <c r="N555">
        <f>E555/_xlfn.XLOOKUP(C555,Lookups!$A$2:$A$66,Lookups!$C$2:$C$66)</f>
        <v>2.7803593882073905</v>
      </c>
    </row>
    <row r="556" spans="1:27" x14ac:dyDescent="0.2">
      <c r="A556">
        <v>81</v>
      </c>
      <c r="B556">
        <v>11</v>
      </c>
      <c r="C556" t="s">
        <v>185</v>
      </c>
      <c r="D556">
        <v>2018</v>
      </c>
      <c r="E556">
        <v>13291</v>
      </c>
      <c r="F556">
        <v>13175</v>
      </c>
      <c r="G556">
        <v>116</v>
      </c>
      <c r="H556">
        <v>2.4700000000000002</v>
      </c>
      <c r="I556">
        <v>6047</v>
      </c>
      <c r="J556">
        <v>5334</v>
      </c>
      <c r="K556">
        <v>713</v>
      </c>
      <c r="L556">
        <v>11.78</v>
      </c>
      <c r="M556">
        <v>2.1787663300000002</v>
      </c>
      <c r="N556">
        <f>E556/_xlfn.XLOOKUP(C556,Lookups!$A$2:$A$66,Lookups!$C$2:$C$66)</f>
        <v>2.7946575382790915</v>
      </c>
    </row>
    <row r="557" spans="1:27" x14ac:dyDescent="0.2">
      <c r="A557">
        <v>81</v>
      </c>
      <c r="B557">
        <v>11</v>
      </c>
      <c r="C557" t="s">
        <v>185</v>
      </c>
      <c r="D557">
        <v>2019</v>
      </c>
      <c r="E557">
        <v>13364</v>
      </c>
      <c r="F557">
        <v>13247</v>
      </c>
      <c r="G557">
        <v>117</v>
      </c>
      <c r="H557">
        <v>2.4700000000000002</v>
      </c>
      <c r="I557">
        <v>6072</v>
      </c>
      <c r="J557">
        <v>5373</v>
      </c>
      <c r="K557">
        <v>699</v>
      </c>
      <c r="L557">
        <v>11.51</v>
      </c>
      <c r="M557">
        <v>2.1816534910000001</v>
      </c>
      <c r="N557">
        <f>E557/_xlfn.XLOOKUP(C557,Lookups!$A$2:$A$66,Lookups!$C$2:$C$66)</f>
        <v>2.8100070229148884</v>
      </c>
    </row>
    <row r="558" spans="1:27" x14ac:dyDescent="0.2">
      <c r="A558">
        <v>81</v>
      </c>
      <c r="B558">
        <v>11</v>
      </c>
      <c r="C558" t="s">
        <v>185</v>
      </c>
      <c r="D558">
        <v>2020</v>
      </c>
      <c r="E558">
        <v>13265</v>
      </c>
      <c r="F558">
        <v>13145</v>
      </c>
      <c r="G558">
        <v>120</v>
      </c>
      <c r="I558">
        <v>6105</v>
      </c>
      <c r="M558">
        <v>2.1531531529999999</v>
      </c>
      <c r="N558">
        <f>E558/_xlfn.XLOOKUP(C558,Lookups!$A$2:$A$66,Lookups!$C$2:$C$66)</f>
        <v>2.7891905985457943</v>
      </c>
      <c r="O558">
        <v>13265</v>
      </c>
      <c r="P558">
        <v>140</v>
      </c>
      <c r="Q558">
        <v>22</v>
      </c>
      <c r="R558">
        <v>-121</v>
      </c>
      <c r="S558">
        <v>118</v>
      </c>
      <c r="T558">
        <v>6105</v>
      </c>
      <c r="W558">
        <v>13145</v>
      </c>
      <c r="X558">
        <v>17</v>
      </c>
      <c r="AA558">
        <v>2.1531531529999999</v>
      </c>
    </row>
    <row r="559" spans="1:27" x14ac:dyDescent="0.2">
      <c r="A559">
        <v>81</v>
      </c>
      <c r="B559">
        <v>11</v>
      </c>
      <c r="C559" t="s">
        <v>185</v>
      </c>
      <c r="D559">
        <v>2021</v>
      </c>
      <c r="E559">
        <v>13161</v>
      </c>
      <c r="F559">
        <v>13051</v>
      </c>
      <c r="G559">
        <v>110</v>
      </c>
      <c r="I559">
        <v>6119</v>
      </c>
      <c r="M559">
        <v>2.132864847</v>
      </c>
      <c r="N559">
        <f>E559/_xlfn.XLOOKUP(C559,Lookups!$A$2:$A$66,Lookups!$C$2:$C$66)</f>
        <v>2.7673228396126044</v>
      </c>
      <c r="O559">
        <v>13161</v>
      </c>
      <c r="P559">
        <v>147</v>
      </c>
      <c r="Q559">
        <v>-12</v>
      </c>
      <c r="R559">
        <v>-92</v>
      </c>
      <c r="S559">
        <v>159</v>
      </c>
      <c r="T559">
        <v>6119</v>
      </c>
      <c r="W559">
        <v>13051</v>
      </c>
      <c r="X559">
        <v>15</v>
      </c>
      <c r="AA559">
        <v>2.132864847</v>
      </c>
    </row>
    <row r="560" spans="1:27" x14ac:dyDescent="0.2">
      <c r="A560">
        <v>81</v>
      </c>
      <c r="B560">
        <v>11</v>
      </c>
      <c r="C560" t="s">
        <v>185</v>
      </c>
      <c r="D560">
        <v>2022</v>
      </c>
      <c r="E560">
        <v>13166</v>
      </c>
      <c r="F560">
        <v>13056</v>
      </c>
      <c r="G560">
        <v>110</v>
      </c>
      <c r="I560">
        <v>6139</v>
      </c>
      <c r="M560">
        <v>2.126730738</v>
      </c>
      <c r="N560">
        <f>E560/_xlfn.XLOOKUP(C560,Lookups!$A$2:$A$66,Lookups!$C$2:$C$66)</f>
        <v>2.7683741741767003</v>
      </c>
      <c r="O560">
        <v>13166</v>
      </c>
      <c r="P560">
        <v>120</v>
      </c>
      <c r="Q560">
        <v>-41</v>
      </c>
      <c r="R560">
        <v>46</v>
      </c>
      <c r="S560">
        <v>161</v>
      </c>
      <c r="T560">
        <v>6139</v>
      </c>
      <c r="W560">
        <v>13056</v>
      </c>
      <c r="X560">
        <v>20</v>
      </c>
      <c r="AA560">
        <v>2.126730738</v>
      </c>
    </row>
    <row r="561" spans="1:27" x14ac:dyDescent="0.2">
      <c r="A561">
        <v>83</v>
      </c>
      <c r="B561">
        <v>9</v>
      </c>
      <c r="C561" t="s">
        <v>186</v>
      </c>
      <c r="D561">
        <v>2010</v>
      </c>
      <c r="E561">
        <v>25532</v>
      </c>
      <c r="F561">
        <v>25295</v>
      </c>
      <c r="G561">
        <v>237</v>
      </c>
      <c r="H561">
        <v>2.4300000000000002</v>
      </c>
      <c r="I561">
        <v>11932</v>
      </c>
      <c r="J561">
        <v>10397</v>
      </c>
      <c r="K561">
        <v>1535</v>
      </c>
      <c r="L561">
        <v>12.86</v>
      </c>
      <c r="M561">
        <v>2.1199296009999999</v>
      </c>
      <c r="N561">
        <f>E561/_xlfn.XLOOKUP(C561,Lookups!$A$2:$A$66,Lookups!$C$2:$C$66)</f>
        <v>12.541507024265645</v>
      </c>
    </row>
    <row r="562" spans="1:27" x14ac:dyDescent="0.2">
      <c r="A562">
        <v>83</v>
      </c>
      <c r="B562">
        <v>9</v>
      </c>
      <c r="C562" t="s">
        <v>186</v>
      </c>
      <c r="D562">
        <v>2011</v>
      </c>
      <c r="E562">
        <v>25519</v>
      </c>
      <c r="F562">
        <v>25277</v>
      </c>
      <c r="G562">
        <v>242</v>
      </c>
      <c r="H562">
        <v>2.4</v>
      </c>
      <c r="I562">
        <v>11943</v>
      </c>
      <c r="J562">
        <v>10548</v>
      </c>
      <c r="K562">
        <v>1395</v>
      </c>
      <c r="L562">
        <v>11.68</v>
      </c>
      <c r="M562">
        <v>2.1164698990000002</v>
      </c>
      <c r="N562">
        <f>E562/_xlfn.XLOOKUP(C562,Lookups!$A$2:$A$66,Lookups!$C$2:$C$66)</f>
        <v>12.535121328224777</v>
      </c>
    </row>
    <row r="563" spans="1:27" x14ac:dyDescent="0.2">
      <c r="A563">
        <v>83</v>
      </c>
      <c r="B563">
        <v>9</v>
      </c>
      <c r="C563" t="s">
        <v>186</v>
      </c>
      <c r="D563">
        <v>2012</v>
      </c>
      <c r="E563">
        <v>25501</v>
      </c>
      <c r="F563">
        <v>25254</v>
      </c>
      <c r="G563">
        <v>247</v>
      </c>
      <c r="H563">
        <v>2.39</v>
      </c>
      <c r="I563">
        <v>11951</v>
      </c>
      <c r="J563">
        <v>10553</v>
      </c>
      <c r="K563">
        <v>1398</v>
      </c>
      <c r="L563">
        <v>11.7</v>
      </c>
      <c r="M563">
        <v>2.1131286079999998</v>
      </c>
      <c r="N563">
        <f>E563/_xlfn.XLOOKUP(C563,Lookups!$A$2:$A$66,Lookups!$C$2:$C$66)</f>
        <v>12.526279595245112</v>
      </c>
    </row>
    <row r="564" spans="1:27" x14ac:dyDescent="0.2">
      <c r="A564">
        <v>83</v>
      </c>
      <c r="B564">
        <v>9</v>
      </c>
      <c r="C564" t="s">
        <v>186</v>
      </c>
      <c r="D564">
        <v>2013</v>
      </c>
      <c r="E564">
        <v>25485</v>
      </c>
      <c r="F564">
        <v>25233</v>
      </c>
      <c r="G564">
        <v>253</v>
      </c>
      <c r="H564">
        <v>2.39</v>
      </c>
      <c r="I564">
        <v>11960</v>
      </c>
      <c r="J564">
        <v>10559</v>
      </c>
      <c r="K564">
        <v>1401</v>
      </c>
      <c r="L564">
        <v>11.71</v>
      </c>
      <c r="M564">
        <v>2.1097826089999998</v>
      </c>
      <c r="N564">
        <f>E564/_xlfn.XLOOKUP(C564,Lookups!$A$2:$A$66,Lookups!$C$2:$C$66)</f>
        <v>12.518420277040967</v>
      </c>
    </row>
    <row r="565" spans="1:27" x14ac:dyDescent="0.2">
      <c r="A565">
        <v>83</v>
      </c>
      <c r="B565">
        <v>9</v>
      </c>
      <c r="C565" t="s">
        <v>186</v>
      </c>
      <c r="D565">
        <v>2014</v>
      </c>
      <c r="E565">
        <v>25464</v>
      </c>
      <c r="F565">
        <v>25206</v>
      </c>
      <c r="G565">
        <v>258</v>
      </c>
      <c r="H565">
        <v>2.39</v>
      </c>
      <c r="I565">
        <v>11966</v>
      </c>
      <c r="J565">
        <v>10564</v>
      </c>
      <c r="K565">
        <v>1402</v>
      </c>
      <c r="L565">
        <v>11.72</v>
      </c>
      <c r="M565">
        <v>2.106468327</v>
      </c>
      <c r="N565">
        <f>E565/_xlfn.XLOOKUP(C565,Lookups!$A$2:$A$66,Lookups!$C$2:$C$66)</f>
        <v>12.508104921898026</v>
      </c>
    </row>
    <row r="566" spans="1:27" x14ac:dyDescent="0.2">
      <c r="A566">
        <v>83</v>
      </c>
      <c r="B566">
        <v>9</v>
      </c>
      <c r="C566" t="s">
        <v>186</v>
      </c>
      <c r="D566">
        <v>2015</v>
      </c>
      <c r="E566">
        <v>25522</v>
      </c>
      <c r="F566">
        <v>25259</v>
      </c>
      <c r="G566">
        <v>263</v>
      </c>
      <c r="H566">
        <v>2.38</v>
      </c>
      <c r="I566">
        <v>12020</v>
      </c>
      <c r="J566">
        <v>10601</v>
      </c>
      <c r="K566">
        <v>1419</v>
      </c>
      <c r="L566">
        <v>11.81</v>
      </c>
      <c r="M566">
        <v>2.1014143089999999</v>
      </c>
      <c r="N566">
        <f>E566/_xlfn.XLOOKUP(C566,Lookups!$A$2:$A$66,Lookups!$C$2:$C$66)</f>
        <v>12.536594950388054</v>
      </c>
    </row>
    <row r="567" spans="1:27" x14ac:dyDescent="0.2">
      <c r="A567">
        <v>83</v>
      </c>
      <c r="B567">
        <v>9</v>
      </c>
      <c r="C567" t="s">
        <v>186</v>
      </c>
      <c r="D567">
        <v>2016</v>
      </c>
      <c r="E567">
        <v>25543</v>
      </c>
      <c r="F567">
        <v>25275</v>
      </c>
      <c r="G567">
        <v>268</v>
      </c>
      <c r="H567">
        <v>2.38</v>
      </c>
      <c r="I567">
        <v>12052</v>
      </c>
      <c r="J567">
        <v>10623</v>
      </c>
      <c r="K567">
        <v>1429</v>
      </c>
      <c r="L567">
        <v>11.86</v>
      </c>
      <c r="M567">
        <v>2.0971622970000001</v>
      </c>
      <c r="N567">
        <f>E567/_xlfn.XLOOKUP(C567,Lookups!$A$2:$A$66,Lookups!$C$2:$C$66)</f>
        <v>12.546910305530995</v>
      </c>
    </row>
    <row r="568" spans="1:27" x14ac:dyDescent="0.2">
      <c r="A568">
        <v>83</v>
      </c>
      <c r="B568">
        <v>9</v>
      </c>
      <c r="C568" t="s">
        <v>186</v>
      </c>
      <c r="D568">
        <v>2017</v>
      </c>
      <c r="E568">
        <v>25556</v>
      </c>
      <c r="F568">
        <v>25283</v>
      </c>
      <c r="G568">
        <v>273</v>
      </c>
      <c r="H568">
        <v>2.38</v>
      </c>
      <c r="I568">
        <v>12079</v>
      </c>
      <c r="J568">
        <v>10642</v>
      </c>
      <c r="K568">
        <v>1437</v>
      </c>
      <c r="L568">
        <v>11.9</v>
      </c>
      <c r="M568">
        <v>2.093136849</v>
      </c>
      <c r="N568">
        <f>E568/_xlfn.XLOOKUP(C568,Lookups!$A$2:$A$66,Lookups!$C$2:$C$66)</f>
        <v>12.553296001571864</v>
      </c>
    </row>
    <row r="569" spans="1:27" x14ac:dyDescent="0.2">
      <c r="A569">
        <v>83</v>
      </c>
      <c r="B569">
        <v>9</v>
      </c>
      <c r="C569" t="s">
        <v>186</v>
      </c>
      <c r="D569">
        <v>2018</v>
      </c>
      <c r="E569">
        <v>25612</v>
      </c>
      <c r="F569">
        <v>25333</v>
      </c>
      <c r="G569">
        <v>279</v>
      </c>
      <c r="H569">
        <v>2.37</v>
      </c>
      <c r="I569">
        <v>12132</v>
      </c>
      <c r="J569">
        <v>10678</v>
      </c>
      <c r="K569">
        <v>1454</v>
      </c>
      <c r="L569">
        <v>11.98</v>
      </c>
      <c r="M569">
        <v>2.0881140779999998</v>
      </c>
      <c r="N569">
        <f>E569/_xlfn.XLOOKUP(C569,Lookups!$A$2:$A$66,Lookups!$C$2:$C$66)</f>
        <v>12.580803615286374</v>
      </c>
    </row>
    <row r="570" spans="1:27" x14ac:dyDescent="0.2">
      <c r="A570">
        <v>83</v>
      </c>
      <c r="B570">
        <v>9</v>
      </c>
      <c r="C570" t="s">
        <v>186</v>
      </c>
      <c r="D570">
        <v>2019</v>
      </c>
      <c r="E570">
        <v>25731</v>
      </c>
      <c r="F570">
        <v>25447</v>
      </c>
      <c r="G570">
        <v>284</v>
      </c>
      <c r="H570">
        <v>2.37</v>
      </c>
      <c r="I570">
        <v>12224</v>
      </c>
      <c r="J570">
        <v>10742</v>
      </c>
      <c r="K570">
        <v>1482</v>
      </c>
      <c r="L570">
        <v>12.12</v>
      </c>
      <c r="M570">
        <v>2.0817244760000002</v>
      </c>
      <c r="N570">
        <f>E570/_xlfn.XLOOKUP(C570,Lookups!$A$2:$A$66,Lookups!$C$2:$C$66)</f>
        <v>12.639257294429708</v>
      </c>
    </row>
    <row r="571" spans="1:27" x14ac:dyDescent="0.2">
      <c r="A571">
        <v>83</v>
      </c>
      <c r="B571">
        <v>9</v>
      </c>
      <c r="C571" t="s">
        <v>186</v>
      </c>
      <c r="D571">
        <v>2020</v>
      </c>
      <c r="E571">
        <v>25888</v>
      </c>
      <c r="F571">
        <v>25628</v>
      </c>
      <c r="G571">
        <v>260</v>
      </c>
      <c r="I571">
        <v>12302</v>
      </c>
      <c r="M571">
        <v>2.083238498</v>
      </c>
      <c r="N571">
        <f>E571/_xlfn.XLOOKUP(C571,Lookups!$A$2:$A$66,Lookups!$C$2:$C$66)</f>
        <v>12.716376854307889</v>
      </c>
      <c r="O571">
        <v>25888</v>
      </c>
      <c r="P571">
        <v>248</v>
      </c>
      <c r="Q571">
        <v>-45</v>
      </c>
      <c r="R571">
        <v>202</v>
      </c>
      <c r="S571">
        <v>293</v>
      </c>
      <c r="T571">
        <v>12302</v>
      </c>
      <c r="W571">
        <v>25628</v>
      </c>
      <c r="X571">
        <v>27</v>
      </c>
      <c r="AA571">
        <v>2.083238498</v>
      </c>
    </row>
    <row r="572" spans="1:27" x14ac:dyDescent="0.2">
      <c r="A572">
        <v>83</v>
      </c>
      <c r="B572">
        <v>9</v>
      </c>
      <c r="C572" t="s">
        <v>186</v>
      </c>
      <c r="D572">
        <v>2021</v>
      </c>
      <c r="E572">
        <v>26248</v>
      </c>
      <c r="F572">
        <v>25994</v>
      </c>
      <c r="G572">
        <v>254</v>
      </c>
      <c r="I572">
        <v>12328</v>
      </c>
      <c r="M572">
        <v>2.1085334200000001</v>
      </c>
      <c r="N572">
        <f>E572/_xlfn.XLOOKUP(C572,Lookups!$A$2:$A$66,Lookups!$C$2:$C$66)</f>
        <v>12.89321151390117</v>
      </c>
      <c r="O572">
        <v>26248</v>
      </c>
      <c r="P572">
        <v>259</v>
      </c>
      <c r="Q572">
        <v>-77</v>
      </c>
      <c r="R572">
        <v>437</v>
      </c>
      <c r="S572">
        <v>336</v>
      </c>
      <c r="T572">
        <v>12328</v>
      </c>
      <c r="W572">
        <v>25994</v>
      </c>
      <c r="X572">
        <v>22</v>
      </c>
      <c r="AA572">
        <v>2.1085334200000001</v>
      </c>
    </row>
    <row r="573" spans="1:27" x14ac:dyDescent="0.2">
      <c r="A573">
        <v>83</v>
      </c>
      <c r="B573">
        <v>9</v>
      </c>
      <c r="C573" t="s">
        <v>186</v>
      </c>
      <c r="D573">
        <v>2022</v>
      </c>
      <c r="E573">
        <v>26464</v>
      </c>
      <c r="F573">
        <v>26213</v>
      </c>
      <c r="G573">
        <v>251</v>
      </c>
      <c r="I573">
        <v>12348</v>
      </c>
      <c r="M573">
        <v>2.1228539030000002</v>
      </c>
      <c r="N573">
        <f>E573/_xlfn.XLOOKUP(C573,Lookups!$A$2:$A$66,Lookups!$C$2:$C$66)</f>
        <v>12.999312309657137</v>
      </c>
      <c r="O573">
        <v>26464</v>
      </c>
      <c r="P573">
        <v>240</v>
      </c>
      <c r="Q573">
        <v>-147</v>
      </c>
      <c r="R573">
        <v>363</v>
      </c>
      <c r="S573">
        <v>387</v>
      </c>
      <c r="T573">
        <v>12348</v>
      </c>
      <c r="W573">
        <v>26213</v>
      </c>
      <c r="X573">
        <v>24</v>
      </c>
      <c r="AA573">
        <v>2.1228539030000002</v>
      </c>
    </row>
    <row r="574" spans="1:27" x14ac:dyDescent="0.2">
      <c r="A574">
        <v>85</v>
      </c>
      <c r="B574">
        <v>10</v>
      </c>
      <c r="C574" t="s">
        <v>187</v>
      </c>
      <c r="D574">
        <v>2010</v>
      </c>
      <c r="E574">
        <v>41188</v>
      </c>
      <c r="F574">
        <v>40646</v>
      </c>
      <c r="G574">
        <v>542</v>
      </c>
      <c r="H574">
        <v>2.63</v>
      </c>
      <c r="I574">
        <v>17198</v>
      </c>
      <c r="J574">
        <v>15455</v>
      </c>
      <c r="K574">
        <v>1743</v>
      </c>
      <c r="L574">
        <v>10.130000000000001</v>
      </c>
      <c r="M574">
        <v>2.3634143509999999</v>
      </c>
      <c r="N574">
        <f>E574/_xlfn.XLOOKUP(C574,Lookups!$A$2:$A$66,Lookups!$C$2:$C$66)</f>
        <v>18.334869103421877</v>
      </c>
    </row>
    <row r="575" spans="1:27" x14ac:dyDescent="0.2">
      <c r="A575">
        <v>85</v>
      </c>
      <c r="B575">
        <v>10</v>
      </c>
      <c r="C575" t="s">
        <v>187</v>
      </c>
      <c r="D575">
        <v>2011</v>
      </c>
      <c r="E575">
        <v>41260</v>
      </c>
      <c r="F575">
        <v>40707</v>
      </c>
      <c r="G575">
        <v>554</v>
      </c>
      <c r="H575">
        <v>2.46</v>
      </c>
      <c r="I575">
        <v>17315</v>
      </c>
      <c r="J575">
        <v>16521</v>
      </c>
      <c r="K575">
        <v>794</v>
      </c>
      <c r="L575">
        <v>4.59</v>
      </c>
      <c r="M575">
        <v>2.3509673690000001</v>
      </c>
      <c r="N575">
        <f>E575/_xlfn.XLOOKUP(C575,Lookups!$A$2:$A$66,Lookups!$C$2:$C$66)</f>
        <v>18.366919957443589</v>
      </c>
    </row>
    <row r="576" spans="1:27" x14ac:dyDescent="0.2">
      <c r="A576">
        <v>85</v>
      </c>
      <c r="B576">
        <v>10</v>
      </c>
      <c r="C576" t="s">
        <v>187</v>
      </c>
      <c r="D576">
        <v>2012</v>
      </c>
      <c r="E576">
        <v>41303</v>
      </c>
      <c r="F576">
        <v>40737</v>
      </c>
      <c r="G576">
        <v>566</v>
      </c>
      <c r="H576">
        <v>2.46</v>
      </c>
      <c r="I576">
        <v>17412</v>
      </c>
      <c r="J576">
        <v>16578</v>
      </c>
      <c r="K576">
        <v>834</v>
      </c>
      <c r="L576">
        <v>4.79</v>
      </c>
      <c r="M576">
        <v>2.3395933840000001</v>
      </c>
      <c r="N576">
        <f>E576/_xlfn.XLOOKUP(C576,Lookups!$A$2:$A$66,Lookups!$C$2:$C$66)</f>
        <v>18.386061439706559</v>
      </c>
    </row>
    <row r="577" spans="1:27" x14ac:dyDescent="0.2">
      <c r="A577">
        <v>85</v>
      </c>
      <c r="B577">
        <v>10</v>
      </c>
      <c r="C577" t="s">
        <v>187</v>
      </c>
      <c r="D577">
        <v>2013</v>
      </c>
      <c r="E577">
        <v>41331</v>
      </c>
      <c r="F577">
        <v>40754</v>
      </c>
      <c r="G577">
        <v>577</v>
      </c>
      <c r="H577">
        <v>2.4500000000000002</v>
      </c>
      <c r="I577">
        <v>17500</v>
      </c>
      <c r="J577">
        <v>16631</v>
      </c>
      <c r="K577">
        <v>869</v>
      </c>
      <c r="L577">
        <v>4.97</v>
      </c>
      <c r="M577">
        <v>2.3288000000000002</v>
      </c>
      <c r="N577">
        <f>E577/_xlfn.XLOOKUP(C577,Lookups!$A$2:$A$66,Lookups!$C$2:$C$66)</f>
        <v>18.398525660715002</v>
      </c>
    </row>
    <row r="578" spans="1:27" x14ac:dyDescent="0.2">
      <c r="A578">
        <v>85</v>
      </c>
      <c r="B578">
        <v>10</v>
      </c>
      <c r="C578" t="s">
        <v>187</v>
      </c>
      <c r="D578">
        <v>2014</v>
      </c>
      <c r="E578">
        <v>41388</v>
      </c>
      <c r="F578">
        <v>40799</v>
      </c>
      <c r="G578">
        <v>589</v>
      </c>
      <c r="H578">
        <v>2.44</v>
      </c>
      <c r="I578">
        <v>17608</v>
      </c>
      <c r="J578">
        <v>16695</v>
      </c>
      <c r="K578">
        <v>913</v>
      </c>
      <c r="L578">
        <v>5.19</v>
      </c>
      <c r="M578">
        <v>2.3170717860000001</v>
      </c>
      <c r="N578">
        <f>E578/_xlfn.XLOOKUP(C578,Lookups!$A$2:$A$66,Lookups!$C$2:$C$66)</f>
        <v>18.423899253482194</v>
      </c>
    </row>
    <row r="579" spans="1:27" x14ac:dyDescent="0.2">
      <c r="A579">
        <v>85</v>
      </c>
      <c r="B579">
        <v>10</v>
      </c>
      <c r="C579" t="s">
        <v>187</v>
      </c>
      <c r="D579">
        <v>2015</v>
      </c>
      <c r="E579">
        <v>41457</v>
      </c>
      <c r="F579">
        <v>40856</v>
      </c>
      <c r="G579">
        <v>601</v>
      </c>
      <c r="H579">
        <v>2.44</v>
      </c>
      <c r="I579">
        <v>17725</v>
      </c>
      <c r="J579">
        <v>16765</v>
      </c>
      <c r="K579">
        <v>960</v>
      </c>
      <c r="L579">
        <v>5.42</v>
      </c>
      <c r="M579">
        <v>2.3049929480000002</v>
      </c>
      <c r="N579">
        <f>E579/_xlfn.XLOOKUP(C579,Lookups!$A$2:$A$66,Lookups!$C$2:$C$66)</f>
        <v>18.454614655253003</v>
      </c>
    </row>
    <row r="580" spans="1:27" x14ac:dyDescent="0.2">
      <c r="A580">
        <v>85</v>
      </c>
      <c r="B580">
        <v>10</v>
      </c>
      <c r="C580" t="s">
        <v>187</v>
      </c>
      <c r="D580">
        <v>2016</v>
      </c>
      <c r="E580">
        <v>41594</v>
      </c>
      <c r="F580">
        <v>40982</v>
      </c>
      <c r="G580">
        <v>613</v>
      </c>
      <c r="H580">
        <v>2.4300000000000002</v>
      </c>
      <c r="I580">
        <v>17890</v>
      </c>
      <c r="J580">
        <v>16863</v>
      </c>
      <c r="K580">
        <v>1027</v>
      </c>
      <c r="L580">
        <v>5.74</v>
      </c>
      <c r="M580">
        <v>2.29077697</v>
      </c>
      <c r="N580">
        <f>E580/_xlfn.XLOOKUP(C580,Lookups!$A$2:$A$66,Lookups!$C$2:$C$66)</f>
        <v>18.51560030804432</v>
      </c>
    </row>
    <row r="581" spans="1:27" x14ac:dyDescent="0.2">
      <c r="A581">
        <v>85</v>
      </c>
      <c r="B581">
        <v>10</v>
      </c>
      <c r="C581" t="s">
        <v>187</v>
      </c>
      <c r="D581">
        <v>2017</v>
      </c>
      <c r="E581">
        <v>41768</v>
      </c>
      <c r="F581">
        <v>41143</v>
      </c>
      <c r="G581">
        <v>625</v>
      </c>
      <c r="H581">
        <v>2.42</v>
      </c>
      <c r="I581">
        <v>18081</v>
      </c>
      <c r="J581">
        <v>16976</v>
      </c>
      <c r="K581">
        <v>1105</v>
      </c>
      <c r="L581">
        <v>6.11</v>
      </c>
      <c r="M581">
        <v>2.2754825510000001</v>
      </c>
      <c r="N581">
        <f>E581/_xlfn.XLOOKUP(C581,Lookups!$A$2:$A$66,Lookups!$C$2:$C$66)</f>
        <v>18.593056538596798</v>
      </c>
    </row>
    <row r="582" spans="1:27" x14ac:dyDescent="0.2">
      <c r="A582">
        <v>85</v>
      </c>
      <c r="B582">
        <v>10</v>
      </c>
      <c r="C582" t="s">
        <v>187</v>
      </c>
      <c r="D582">
        <v>2018</v>
      </c>
      <c r="E582">
        <v>42084</v>
      </c>
      <c r="F582">
        <v>41447</v>
      </c>
      <c r="G582">
        <v>636</v>
      </c>
      <c r="H582">
        <v>2.42</v>
      </c>
      <c r="I582">
        <v>18372</v>
      </c>
      <c r="J582">
        <v>17149</v>
      </c>
      <c r="K582">
        <v>1223</v>
      </c>
      <c r="L582">
        <v>6.65</v>
      </c>
      <c r="M582">
        <v>2.2559873719999999</v>
      </c>
      <c r="N582">
        <f>E582/_xlfn.XLOOKUP(C582,Lookups!$A$2:$A$66,Lookups!$C$2:$C$66)</f>
        <v>18.7337241756921</v>
      </c>
    </row>
    <row r="583" spans="1:27" x14ac:dyDescent="0.2">
      <c r="A583">
        <v>85</v>
      </c>
      <c r="B583">
        <v>10</v>
      </c>
      <c r="C583" t="s">
        <v>187</v>
      </c>
      <c r="D583">
        <v>2019</v>
      </c>
      <c r="E583">
        <v>42501</v>
      </c>
      <c r="F583">
        <v>41852</v>
      </c>
      <c r="G583">
        <v>648</v>
      </c>
      <c r="H583">
        <v>2.41</v>
      </c>
      <c r="I583">
        <v>18735</v>
      </c>
      <c r="J583">
        <v>17365</v>
      </c>
      <c r="K583">
        <v>1370</v>
      </c>
      <c r="L583">
        <v>7.31</v>
      </c>
      <c r="M583">
        <v>2.233893782</v>
      </c>
      <c r="N583">
        <f>E583/_xlfn.XLOOKUP(C583,Lookups!$A$2:$A$66,Lookups!$C$2:$C$66)</f>
        <v>18.919352038567862</v>
      </c>
    </row>
    <row r="584" spans="1:27" x14ac:dyDescent="0.2">
      <c r="A584">
        <v>85</v>
      </c>
      <c r="B584">
        <v>10</v>
      </c>
      <c r="C584" t="s">
        <v>187</v>
      </c>
      <c r="D584">
        <v>2020</v>
      </c>
      <c r="E584">
        <v>42810</v>
      </c>
      <c r="F584">
        <v>42126</v>
      </c>
      <c r="G584">
        <v>684</v>
      </c>
      <c r="I584">
        <v>19029</v>
      </c>
      <c r="M584">
        <v>2.2137789689999998</v>
      </c>
      <c r="N584">
        <f>E584/_xlfn.XLOOKUP(C584,Lookups!$A$2:$A$66,Lookups!$C$2:$C$66)</f>
        <v>19.056903620411052</v>
      </c>
      <c r="O584">
        <v>42810</v>
      </c>
      <c r="P584">
        <v>406</v>
      </c>
      <c r="Q584">
        <v>-64</v>
      </c>
      <c r="R584">
        <v>373</v>
      </c>
      <c r="S584">
        <v>470</v>
      </c>
      <c r="T584">
        <v>19029</v>
      </c>
      <c r="W584">
        <v>42126</v>
      </c>
      <c r="X584">
        <v>263</v>
      </c>
      <c r="AA584">
        <v>2.2137789689999998</v>
      </c>
    </row>
    <row r="585" spans="1:27" x14ac:dyDescent="0.2">
      <c r="A585">
        <v>85</v>
      </c>
      <c r="B585">
        <v>10</v>
      </c>
      <c r="C585" t="s">
        <v>187</v>
      </c>
      <c r="D585">
        <v>2021</v>
      </c>
      <c r="E585">
        <v>43234</v>
      </c>
      <c r="F585">
        <v>42540</v>
      </c>
      <c r="G585">
        <v>694</v>
      </c>
      <c r="I585">
        <v>19330</v>
      </c>
      <c r="M585">
        <v>2.2007242630000001</v>
      </c>
      <c r="N585">
        <f>E585/_xlfn.XLOOKUP(C585,Lookups!$A$2:$A$66,Lookups!$C$2:$C$66)</f>
        <v>19.245647538538929</v>
      </c>
      <c r="O585">
        <v>43234</v>
      </c>
      <c r="P585">
        <v>381</v>
      </c>
      <c r="Q585">
        <v>-146</v>
      </c>
      <c r="R585">
        <v>570</v>
      </c>
      <c r="S585">
        <v>527</v>
      </c>
      <c r="T585">
        <v>19330</v>
      </c>
      <c r="W585">
        <v>42540</v>
      </c>
      <c r="X585">
        <v>451</v>
      </c>
      <c r="AA585">
        <v>2.2007242630000001</v>
      </c>
    </row>
    <row r="586" spans="1:27" x14ac:dyDescent="0.2">
      <c r="A586">
        <v>85</v>
      </c>
      <c r="B586">
        <v>10</v>
      </c>
      <c r="C586" t="s">
        <v>187</v>
      </c>
      <c r="D586">
        <v>2022</v>
      </c>
      <c r="E586">
        <v>43799</v>
      </c>
      <c r="F586">
        <v>43111</v>
      </c>
      <c r="G586">
        <v>688</v>
      </c>
      <c r="I586">
        <v>19734</v>
      </c>
      <c r="M586">
        <v>2.1846052500000002</v>
      </c>
      <c r="N586">
        <f>E586/_xlfn.XLOOKUP(C586,Lookups!$A$2:$A$66,Lookups!$C$2:$C$66)</f>
        <v>19.497157712459327</v>
      </c>
      <c r="O586">
        <v>43799</v>
      </c>
      <c r="P586">
        <v>402</v>
      </c>
      <c r="Q586">
        <v>-207</v>
      </c>
      <c r="R586">
        <v>772</v>
      </c>
      <c r="S586">
        <v>609</v>
      </c>
      <c r="T586">
        <v>19734</v>
      </c>
      <c r="W586">
        <v>43111</v>
      </c>
      <c r="X586">
        <v>405</v>
      </c>
      <c r="AA586">
        <v>2.1846052500000002</v>
      </c>
    </row>
    <row r="587" spans="1:27" x14ac:dyDescent="0.2">
      <c r="A587">
        <v>87</v>
      </c>
      <c r="B587">
        <v>1</v>
      </c>
      <c r="C587" t="s">
        <v>188</v>
      </c>
      <c r="D587">
        <v>2010</v>
      </c>
      <c r="E587">
        <v>28196</v>
      </c>
      <c r="F587">
        <v>27632</v>
      </c>
      <c r="G587">
        <v>564</v>
      </c>
      <c r="H587">
        <v>2.81</v>
      </c>
      <c r="I587">
        <v>10960</v>
      </c>
      <c r="J587">
        <v>9841</v>
      </c>
      <c r="K587">
        <v>1119</v>
      </c>
      <c r="L587">
        <v>10.210000000000001</v>
      </c>
      <c r="M587">
        <v>2.5211678829999999</v>
      </c>
      <c r="N587">
        <f>E587/_xlfn.XLOOKUP(C587,Lookups!$A$2:$A$66,Lookups!$C$2:$C$66)</f>
        <v>21.792662096256851</v>
      </c>
    </row>
    <row r="588" spans="1:27" x14ac:dyDescent="0.2">
      <c r="A588">
        <v>87</v>
      </c>
      <c r="B588">
        <v>1</v>
      </c>
      <c r="C588" t="s">
        <v>188</v>
      </c>
      <c r="D588">
        <v>2011</v>
      </c>
      <c r="E588">
        <v>28430</v>
      </c>
      <c r="F588">
        <v>27876</v>
      </c>
      <c r="G588">
        <v>554</v>
      </c>
      <c r="H588">
        <v>2.7</v>
      </c>
      <c r="I588">
        <v>10972</v>
      </c>
      <c r="J588">
        <v>10311</v>
      </c>
      <c r="K588">
        <v>661</v>
      </c>
      <c r="L588">
        <v>6.02</v>
      </c>
      <c r="M588">
        <v>2.5406489250000002</v>
      </c>
      <c r="N588">
        <f>E588/_xlfn.XLOOKUP(C588,Lookups!$A$2:$A$66,Lookups!$C$2:$C$66)</f>
        <v>21.973520477960783</v>
      </c>
    </row>
    <row r="589" spans="1:27" x14ac:dyDescent="0.2">
      <c r="A589">
        <v>87</v>
      </c>
      <c r="B589">
        <v>1</v>
      </c>
      <c r="C589" t="s">
        <v>188</v>
      </c>
      <c r="D589">
        <v>2012</v>
      </c>
      <c r="E589">
        <v>28247</v>
      </c>
      <c r="F589">
        <v>27703</v>
      </c>
      <c r="G589">
        <v>544</v>
      </c>
      <c r="H589">
        <v>2.68</v>
      </c>
      <c r="I589">
        <v>10997</v>
      </c>
      <c r="J589">
        <v>10321</v>
      </c>
      <c r="K589">
        <v>676</v>
      </c>
      <c r="L589">
        <v>6.15</v>
      </c>
      <c r="M589">
        <v>2.5191415840000002</v>
      </c>
      <c r="N589">
        <f>E589/_xlfn.XLOOKUP(C589,Lookups!$A$2:$A$66,Lookups!$C$2:$C$66)</f>
        <v>21.832079948679503</v>
      </c>
    </row>
    <row r="590" spans="1:27" x14ac:dyDescent="0.2">
      <c r="A590">
        <v>87</v>
      </c>
      <c r="B590">
        <v>1</v>
      </c>
      <c r="C590" t="s">
        <v>188</v>
      </c>
      <c r="D590">
        <v>2013</v>
      </c>
      <c r="E590">
        <v>28249</v>
      </c>
      <c r="F590">
        <v>27715</v>
      </c>
      <c r="G590">
        <v>534</v>
      </c>
      <c r="H590">
        <v>2.68</v>
      </c>
      <c r="I590">
        <v>11033</v>
      </c>
      <c r="J590">
        <v>10334</v>
      </c>
      <c r="K590">
        <v>699</v>
      </c>
      <c r="L590">
        <v>6.34</v>
      </c>
      <c r="M590">
        <v>2.5120094260000001</v>
      </c>
      <c r="N590">
        <f>E590/_xlfn.XLOOKUP(C590,Lookups!$A$2:$A$66,Lookups!$C$2:$C$66)</f>
        <v>21.833625746813723</v>
      </c>
    </row>
    <row r="591" spans="1:27" x14ac:dyDescent="0.2">
      <c r="A591">
        <v>87</v>
      </c>
      <c r="B591">
        <v>1</v>
      </c>
      <c r="C591" t="s">
        <v>188</v>
      </c>
      <c r="D591">
        <v>2014</v>
      </c>
      <c r="E591">
        <v>28162</v>
      </c>
      <c r="F591">
        <v>27638</v>
      </c>
      <c r="G591">
        <v>524</v>
      </c>
      <c r="H591">
        <v>2.67</v>
      </c>
      <c r="I591">
        <v>11069</v>
      </c>
      <c r="J591">
        <v>10347</v>
      </c>
      <c r="K591">
        <v>722</v>
      </c>
      <c r="L591">
        <v>6.52</v>
      </c>
      <c r="M591">
        <v>2.4968831869999999</v>
      </c>
      <c r="N591">
        <f>E591/_xlfn.XLOOKUP(C591,Lookups!$A$2:$A$66,Lookups!$C$2:$C$66)</f>
        <v>21.766383527975083</v>
      </c>
    </row>
    <row r="592" spans="1:27" x14ac:dyDescent="0.2">
      <c r="A592">
        <v>87</v>
      </c>
      <c r="B592">
        <v>1</v>
      </c>
      <c r="C592" t="s">
        <v>188</v>
      </c>
      <c r="D592">
        <v>2015</v>
      </c>
      <c r="E592">
        <v>28335</v>
      </c>
      <c r="F592">
        <v>27821</v>
      </c>
      <c r="G592">
        <v>514</v>
      </c>
      <c r="H592">
        <v>2.68</v>
      </c>
      <c r="I592">
        <v>11118</v>
      </c>
      <c r="J592">
        <v>10365</v>
      </c>
      <c r="K592">
        <v>753</v>
      </c>
      <c r="L592">
        <v>6.77</v>
      </c>
      <c r="M592">
        <v>2.5023385500000002</v>
      </c>
      <c r="N592">
        <f>E592/_xlfn.XLOOKUP(C592,Lookups!$A$2:$A$66,Lookups!$C$2:$C$66)</f>
        <v>21.900095066585255</v>
      </c>
    </row>
    <row r="593" spans="1:27" x14ac:dyDescent="0.2">
      <c r="A593">
        <v>87</v>
      </c>
      <c r="B593">
        <v>1</v>
      </c>
      <c r="C593" t="s">
        <v>188</v>
      </c>
      <c r="D593">
        <v>2016</v>
      </c>
      <c r="E593">
        <v>28294</v>
      </c>
      <c r="F593">
        <v>27790</v>
      </c>
      <c r="G593">
        <v>504</v>
      </c>
      <c r="H593">
        <v>2.68</v>
      </c>
      <c r="I593">
        <v>11135</v>
      </c>
      <c r="J593">
        <v>10371</v>
      </c>
      <c r="K593">
        <v>764</v>
      </c>
      <c r="L593">
        <v>6.86</v>
      </c>
      <c r="M593">
        <v>2.4957341720000001</v>
      </c>
      <c r="N593">
        <f>E593/_xlfn.XLOOKUP(C593,Lookups!$A$2:$A$66,Lookups!$C$2:$C$66)</f>
        <v>21.868406204833711</v>
      </c>
    </row>
    <row r="594" spans="1:27" x14ac:dyDescent="0.2">
      <c r="A594">
        <v>87</v>
      </c>
      <c r="B594">
        <v>1</v>
      </c>
      <c r="C594" t="s">
        <v>188</v>
      </c>
      <c r="D594">
        <v>2017</v>
      </c>
      <c r="E594">
        <v>28425</v>
      </c>
      <c r="F594">
        <v>27931</v>
      </c>
      <c r="G594">
        <v>494</v>
      </c>
      <c r="H594">
        <v>2.69</v>
      </c>
      <c r="I594">
        <v>11164</v>
      </c>
      <c r="J594">
        <v>10382</v>
      </c>
      <c r="K594">
        <v>782</v>
      </c>
      <c r="L594">
        <v>7.01</v>
      </c>
      <c r="M594">
        <v>2.5018810459999998</v>
      </c>
      <c r="N594">
        <f>E594/_xlfn.XLOOKUP(C594,Lookups!$A$2:$A$66,Lookups!$C$2:$C$66)</f>
        <v>21.96965598262523</v>
      </c>
    </row>
    <row r="595" spans="1:27" x14ac:dyDescent="0.2">
      <c r="A595">
        <v>87</v>
      </c>
      <c r="B595">
        <v>1</v>
      </c>
      <c r="C595" t="s">
        <v>188</v>
      </c>
      <c r="D595">
        <v>2018</v>
      </c>
      <c r="E595">
        <v>28933</v>
      </c>
      <c r="F595">
        <v>28449</v>
      </c>
      <c r="G595">
        <v>484</v>
      </c>
      <c r="H595">
        <v>2.73</v>
      </c>
      <c r="I595">
        <v>11251</v>
      </c>
      <c r="J595">
        <v>10414</v>
      </c>
      <c r="K595">
        <v>837</v>
      </c>
      <c r="L595">
        <v>7.44</v>
      </c>
      <c r="M595">
        <v>2.5285752380000002</v>
      </c>
      <c r="N595">
        <f>E595/_xlfn.XLOOKUP(C595,Lookups!$A$2:$A$66,Lookups!$C$2:$C$66)</f>
        <v>22.362288708717529</v>
      </c>
    </row>
    <row r="596" spans="1:27" x14ac:dyDescent="0.2">
      <c r="A596">
        <v>87</v>
      </c>
      <c r="B596">
        <v>1</v>
      </c>
      <c r="C596" t="s">
        <v>188</v>
      </c>
      <c r="D596">
        <v>2019</v>
      </c>
      <c r="E596">
        <v>29130</v>
      </c>
      <c r="F596">
        <v>28656</v>
      </c>
      <c r="G596">
        <v>474</v>
      </c>
      <c r="H596">
        <v>2.74</v>
      </c>
      <c r="I596">
        <v>11393</v>
      </c>
      <c r="J596">
        <v>10466</v>
      </c>
      <c r="K596">
        <v>927</v>
      </c>
      <c r="L596">
        <v>8.14</v>
      </c>
      <c r="M596">
        <v>2.515228649</v>
      </c>
      <c r="N596">
        <f>E596/_xlfn.XLOOKUP(C596,Lookups!$A$2:$A$66,Lookups!$C$2:$C$66)</f>
        <v>22.514549824938364</v>
      </c>
    </row>
    <row r="597" spans="1:27" x14ac:dyDescent="0.2">
      <c r="A597">
        <v>87</v>
      </c>
      <c r="B597">
        <v>1</v>
      </c>
      <c r="C597" t="s">
        <v>188</v>
      </c>
      <c r="D597">
        <v>2020</v>
      </c>
      <c r="E597">
        <v>29078</v>
      </c>
      <c r="F597">
        <v>28610</v>
      </c>
      <c r="G597">
        <v>468</v>
      </c>
      <c r="I597">
        <v>11514</v>
      </c>
      <c r="M597">
        <v>2.484801112</v>
      </c>
      <c r="N597">
        <f>E597/_xlfn.XLOOKUP(C597,Lookups!$A$2:$A$66,Lookups!$C$2:$C$66)</f>
        <v>22.4743590734486</v>
      </c>
      <c r="O597">
        <v>29078</v>
      </c>
      <c r="P597">
        <v>430</v>
      </c>
      <c r="Q597">
        <v>107</v>
      </c>
      <c r="R597">
        <v>-159</v>
      </c>
      <c r="S597">
        <v>323</v>
      </c>
      <c r="T597">
        <v>11514</v>
      </c>
      <c r="W597">
        <v>28610</v>
      </c>
      <c r="X597">
        <v>147</v>
      </c>
      <c r="AA597">
        <v>2.484801112</v>
      </c>
    </row>
    <row r="598" spans="1:27" x14ac:dyDescent="0.2">
      <c r="A598">
        <v>87</v>
      </c>
      <c r="B598">
        <v>1</v>
      </c>
      <c r="C598" t="s">
        <v>188</v>
      </c>
      <c r="D598">
        <v>2021</v>
      </c>
      <c r="E598">
        <v>29011</v>
      </c>
      <c r="F598">
        <v>28594</v>
      </c>
      <c r="G598">
        <v>417</v>
      </c>
      <c r="I598">
        <v>11639</v>
      </c>
      <c r="M598">
        <v>2.4567402700000001</v>
      </c>
      <c r="N598">
        <f>E598/_xlfn.XLOOKUP(C598,Lookups!$A$2:$A$66,Lookups!$C$2:$C$66)</f>
        <v>22.422574835952176</v>
      </c>
      <c r="O598">
        <v>29011</v>
      </c>
      <c r="P598">
        <v>377</v>
      </c>
      <c r="Q598">
        <v>72</v>
      </c>
      <c r="R598">
        <v>-139</v>
      </c>
      <c r="S598">
        <v>305</v>
      </c>
      <c r="T598">
        <v>11639</v>
      </c>
      <c r="W598">
        <v>28594</v>
      </c>
      <c r="X598">
        <v>195</v>
      </c>
      <c r="AA598">
        <v>2.4567402700000001</v>
      </c>
    </row>
    <row r="599" spans="1:27" x14ac:dyDescent="0.2">
      <c r="A599">
        <v>87</v>
      </c>
      <c r="B599">
        <v>1</v>
      </c>
      <c r="C599" t="s">
        <v>188</v>
      </c>
      <c r="D599">
        <v>2022</v>
      </c>
      <c r="E599">
        <v>29296</v>
      </c>
      <c r="F599">
        <v>28880</v>
      </c>
      <c r="G599">
        <v>416</v>
      </c>
      <c r="I599">
        <v>11857</v>
      </c>
      <c r="M599">
        <v>2.4356919960000001</v>
      </c>
      <c r="N599">
        <f>E599/_xlfn.XLOOKUP(C599,Lookups!$A$2:$A$66,Lookups!$C$2:$C$66)</f>
        <v>22.642851070078759</v>
      </c>
      <c r="O599">
        <v>29296</v>
      </c>
      <c r="P599">
        <v>419</v>
      </c>
      <c r="Q599">
        <v>98</v>
      </c>
      <c r="R599">
        <v>187</v>
      </c>
      <c r="S599">
        <v>321</v>
      </c>
      <c r="T599">
        <v>11857</v>
      </c>
      <c r="W599">
        <v>28880</v>
      </c>
      <c r="X599">
        <v>181</v>
      </c>
      <c r="AA599">
        <v>2.4356919960000001</v>
      </c>
    </row>
    <row r="600" spans="1:27" x14ac:dyDescent="0.2">
      <c r="A600">
        <v>89</v>
      </c>
      <c r="B600">
        <v>6</v>
      </c>
      <c r="C600" t="s">
        <v>189</v>
      </c>
      <c r="D600">
        <v>2010</v>
      </c>
      <c r="E600">
        <v>18838</v>
      </c>
      <c r="F600">
        <v>18405</v>
      </c>
      <c r="G600">
        <v>433</v>
      </c>
      <c r="H600">
        <v>2.46</v>
      </c>
      <c r="I600">
        <v>8689</v>
      </c>
      <c r="J600">
        <v>7490</v>
      </c>
      <c r="K600">
        <v>1199</v>
      </c>
      <c r="L600">
        <v>13.8</v>
      </c>
      <c r="M600">
        <v>2.1181954190000001</v>
      </c>
      <c r="N600">
        <f>E600/_xlfn.XLOOKUP(C600,Lookups!$A$2:$A$66,Lookups!$C$2:$C$66)</f>
        <v>14.860451540633923</v>
      </c>
    </row>
    <row r="601" spans="1:27" x14ac:dyDescent="0.2">
      <c r="A601">
        <v>89</v>
      </c>
      <c r="B601">
        <v>6</v>
      </c>
      <c r="C601" t="s">
        <v>189</v>
      </c>
      <c r="D601">
        <v>2011</v>
      </c>
      <c r="E601">
        <v>18831</v>
      </c>
      <c r="F601">
        <v>18400</v>
      </c>
      <c r="G601">
        <v>432</v>
      </c>
      <c r="H601">
        <v>2.38</v>
      </c>
      <c r="I601">
        <v>8690</v>
      </c>
      <c r="J601">
        <v>7729</v>
      </c>
      <c r="K601">
        <v>961</v>
      </c>
      <c r="L601">
        <v>11.06</v>
      </c>
      <c r="M601">
        <v>2.1173762950000001</v>
      </c>
      <c r="N601">
        <f>E601/_xlfn.XLOOKUP(C601,Lookups!$A$2:$A$66,Lookups!$C$2:$C$66)</f>
        <v>14.854929555243519</v>
      </c>
    </row>
    <row r="602" spans="1:27" x14ac:dyDescent="0.2">
      <c r="A602">
        <v>89</v>
      </c>
      <c r="B602">
        <v>6</v>
      </c>
      <c r="C602" t="s">
        <v>189</v>
      </c>
      <c r="D602">
        <v>2012</v>
      </c>
      <c r="E602">
        <v>18815</v>
      </c>
      <c r="F602">
        <v>18385</v>
      </c>
      <c r="G602">
        <v>430</v>
      </c>
      <c r="H602">
        <v>2.38</v>
      </c>
      <c r="I602">
        <v>8693</v>
      </c>
      <c r="J602">
        <v>7723</v>
      </c>
      <c r="K602">
        <v>970</v>
      </c>
      <c r="L602">
        <v>11.15</v>
      </c>
      <c r="M602">
        <v>2.1149200509999999</v>
      </c>
      <c r="N602">
        <f>E602/_xlfn.XLOOKUP(C602,Lookups!$A$2:$A$66,Lookups!$C$2:$C$66)</f>
        <v>14.842307874351166</v>
      </c>
    </row>
    <row r="603" spans="1:27" x14ac:dyDescent="0.2">
      <c r="A603">
        <v>89</v>
      </c>
      <c r="B603">
        <v>6</v>
      </c>
      <c r="C603" t="s">
        <v>189</v>
      </c>
      <c r="D603">
        <v>2013</v>
      </c>
      <c r="E603">
        <v>18799</v>
      </c>
      <c r="F603">
        <v>18371</v>
      </c>
      <c r="G603">
        <v>428</v>
      </c>
      <c r="H603">
        <v>2.38</v>
      </c>
      <c r="I603">
        <v>8696</v>
      </c>
      <c r="J603">
        <v>7718</v>
      </c>
      <c r="K603">
        <v>978</v>
      </c>
      <c r="L603">
        <v>11.25</v>
      </c>
      <c r="M603">
        <v>2.1125804970000002</v>
      </c>
      <c r="N603">
        <f>E603/_xlfn.XLOOKUP(C603,Lookups!$A$2:$A$66,Lookups!$C$2:$C$66)</f>
        <v>14.829686193458812</v>
      </c>
    </row>
    <row r="604" spans="1:27" x14ac:dyDescent="0.2">
      <c r="A604">
        <v>89</v>
      </c>
      <c r="B604">
        <v>6</v>
      </c>
      <c r="C604" t="s">
        <v>189</v>
      </c>
      <c r="D604">
        <v>2014</v>
      </c>
      <c r="E604">
        <v>18779</v>
      </c>
      <c r="F604">
        <v>18352</v>
      </c>
      <c r="G604">
        <v>427</v>
      </c>
      <c r="H604">
        <v>2.38</v>
      </c>
      <c r="I604">
        <v>8700</v>
      </c>
      <c r="J604">
        <v>7710</v>
      </c>
      <c r="K604">
        <v>990</v>
      </c>
      <c r="L604">
        <v>11.38</v>
      </c>
      <c r="M604">
        <v>2.1094252870000001</v>
      </c>
      <c r="N604">
        <f>E604/_xlfn.XLOOKUP(C604,Lookups!$A$2:$A$66,Lookups!$C$2:$C$66)</f>
        <v>14.813909092343373</v>
      </c>
    </row>
    <row r="605" spans="1:27" x14ac:dyDescent="0.2">
      <c r="A605">
        <v>89</v>
      </c>
      <c r="B605">
        <v>6</v>
      </c>
      <c r="C605" t="s">
        <v>189</v>
      </c>
      <c r="D605">
        <v>2015</v>
      </c>
      <c r="E605">
        <v>18817</v>
      </c>
      <c r="F605">
        <v>18392</v>
      </c>
      <c r="G605">
        <v>426</v>
      </c>
      <c r="H605">
        <v>2.38</v>
      </c>
      <c r="I605">
        <v>8691</v>
      </c>
      <c r="J605">
        <v>7727</v>
      </c>
      <c r="K605">
        <v>964</v>
      </c>
      <c r="L605">
        <v>11.09</v>
      </c>
      <c r="M605">
        <v>2.1162121740000002</v>
      </c>
      <c r="N605">
        <f>E605/_xlfn.XLOOKUP(C605,Lookups!$A$2:$A$66,Lookups!$C$2:$C$66)</f>
        <v>14.84388558446271</v>
      </c>
    </row>
    <row r="606" spans="1:27" x14ac:dyDescent="0.2">
      <c r="A606">
        <v>89</v>
      </c>
      <c r="B606">
        <v>6</v>
      </c>
      <c r="C606" t="s">
        <v>189</v>
      </c>
      <c r="D606">
        <v>2016</v>
      </c>
      <c r="E606">
        <v>18797</v>
      </c>
      <c r="F606">
        <v>18373</v>
      </c>
      <c r="G606">
        <v>424</v>
      </c>
      <c r="H606">
        <v>2.38</v>
      </c>
      <c r="I606">
        <v>8695</v>
      </c>
      <c r="J606">
        <v>7720</v>
      </c>
      <c r="K606">
        <v>975</v>
      </c>
      <c r="L606">
        <v>11.22</v>
      </c>
      <c r="M606">
        <v>2.113053479</v>
      </c>
      <c r="N606">
        <f>E606/_xlfn.XLOOKUP(C606,Lookups!$A$2:$A$66,Lookups!$C$2:$C$66)</f>
        <v>14.828108483347268</v>
      </c>
    </row>
    <row r="607" spans="1:27" x14ac:dyDescent="0.2">
      <c r="A607">
        <v>89</v>
      </c>
      <c r="B607">
        <v>6</v>
      </c>
      <c r="C607" t="s">
        <v>189</v>
      </c>
      <c r="D607">
        <v>2017</v>
      </c>
      <c r="E607">
        <v>18763</v>
      </c>
      <c r="F607">
        <v>18340</v>
      </c>
      <c r="G607">
        <v>422</v>
      </c>
      <c r="H607">
        <v>2.38</v>
      </c>
      <c r="I607">
        <v>8702</v>
      </c>
      <c r="J607">
        <v>7706</v>
      </c>
      <c r="K607">
        <v>996</v>
      </c>
      <c r="L607">
        <v>11.44</v>
      </c>
      <c r="M607">
        <v>2.1075614800000002</v>
      </c>
      <c r="N607">
        <f>E607/_xlfn.XLOOKUP(C607,Lookups!$A$2:$A$66,Lookups!$C$2:$C$66)</f>
        <v>14.801287411451019</v>
      </c>
    </row>
    <row r="608" spans="1:27" x14ac:dyDescent="0.2">
      <c r="A608">
        <v>89</v>
      </c>
      <c r="B608">
        <v>6</v>
      </c>
      <c r="C608" t="s">
        <v>189</v>
      </c>
      <c r="D608">
        <v>2018</v>
      </c>
      <c r="E608">
        <v>18756</v>
      </c>
      <c r="F608">
        <v>18335</v>
      </c>
      <c r="G608">
        <v>421</v>
      </c>
      <c r="H608">
        <v>2.38</v>
      </c>
      <c r="I608">
        <v>8703</v>
      </c>
      <c r="J608">
        <v>7704</v>
      </c>
      <c r="K608">
        <v>999</v>
      </c>
      <c r="L608">
        <v>11.47</v>
      </c>
      <c r="M608">
        <v>2.1067448010000001</v>
      </c>
      <c r="N608">
        <f>E608/_xlfn.XLOOKUP(C608,Lookups!$A$2:$A$66,Lookups!$C$2:$C$66)</f>
        <v>14.795765426060616</v>
      </c>
    </row>
    <row r="609" spans="1:27" x14ac:dyDescent="0.2">
      <c r="A609">
        <v>89</v>
      </c>
      <c r="B609">
        <v>6</v>
      </c>
      <c r="C609" t="s">
        <v>189</v>
      </c>
      <c r="D609">
        <v>2019</v>
      </c>
      <c r="E609">
        <v>18736</v>
      </c>
      <c r="F609">
        <v>18316</v>
      </c>
      <c r="G609">
        <v>420</v>
      </c>
      <c r="H609">
        <v>2.38</v>
      </c>
      <c r="I609">
        <v>8707</v>
      </c>
      <c r="J609">
        <v>7697</v>
      </c>
      <c r="K609">
        <v>1010</v>
      </c>
      <c r="L609">
        <v>11.6</v>
      </c>
      <c r="M609">
        <v>2.1035948090000001</v>
      </c>
      <c r="N609">
        <f>E609/_xlfn.XLOOKUP(C609,Lookups!$A$2:$A$66,Lookups!$C$2:$C$66)</f>
        <v>14.779988324945174</v>
      </c>
    </row>
    <row r="610" spans="1:27" x14ac:dyDescent="0.2">
      <c r="A610">
        <v>89</v>
      </c>
      <c r="B610">
        <v>6</v>
      </c>
      <c r="C610" t="s">
        <v>189</v>
      </c>
      <c r="D610">
        <v>2020</v>
      </c>
      <c r="E610">
        <v>18668</v>
      </c>
      <c r="F610">
        <v>18262</v>
      </c>
      <c r="G610">
        <v>406</v>
      </c>
      <c r="I610">
        <v>8720</v>
      </c>
      <c r="M610">
        <v>2.0942660549999998</v>
      </c>
      <c r="N610">
        <f>E610/_xlfn.XLOOKUP(C610,Lookups!$A$2:$A$66,Lookups!$C$2:$C$66)</f>
        <v>14.726346181152675</v>
      </c>
      <c r="O610">
        <v>18668</v>
      </c>
      <c r="P610">
        <v>208</v>
      </c>
      <c r="Q610">
        <v>-40</v>
      </c>
      <c r="R610">
        <v>-28</v>
      </c>
      <c r="S610">
        <v>248</v>
      </c>
      <c r="T610">
        <v>8720</v>
      </c>
      <c r="W610">
        <v>18262</v>
      </c>
      <c r="X610">
        <v>6</v>
      </c>
      <c r="AA610">
        <v>2.0942660549999998</v>
      </c>
    </row>
    <row r="611" spans="1:27" x14ac:dyDescent="0.2">
      <c r="A611">
        <v>89</v>
      </c>
      <c r="B611">
        <v>6</v>
      </c>
      <c r="C611" t="s">
        <v>189</v>
      </c>
      <c r="D611">
        <v>2021</v>
      </c>
      <c r="E611">
        <v>18523</v>
      </c>
      <c r="F611">
        <v>18180</v>
      </c>
      <c r="G611">
        <v>343</v>
      </c>
      <c r="I611">
        <v>8723</v>
      </c>
      <c r="M611">
        <v>2.0841453630000002</v>
      </c>
      <c r="N611">
        <f>E611/_xlfn.XLOOKUP(C611,Lookups!$A$2:$A$66,Lookups!$C$2:$C$66)</f>
        <v>14.611962198065726</v>
      </c>
      <c r="O611">
        <v>18523</v>
      </c>
      <c r="P611">
        <v>202</v>
      </c>
      <c r="Q611">
        <v>-124</v>
      </c>
      <c r="R611">
        <v>-21</v>
      </c>
      <c r="S611">
        <v>326</v>
      </c>
      <c r="T611">
        <v>8723</v>
      </c>
      <c r="W611">
        <v>18180</v>
      </c>
      <c r="X611">
        <v>16</v>
      </c>
      <c r="AA611">
        <v>2.0841453630000002</v>
      </c>
    </row>
    <row r="612" spans="1:27" x14ac:dyDescent="0.2">
      <c r="A612">
        <v>89</v>
      </c>
      <c r="B612">
        <v>6</v>
      </c>
      <c r="C612" t="s">
        <v>189</v>
      </c>
      <c r="D612">
        <v>2022</v>
      </c>
      <c r="E612">
        <v>18294</v>
      </c>
      <c r="F612">
        <v>17975</v>
      </c>
      <c r="G612">
        <v>319</v>
      </c>
      <c r="I612">
        <v>8738</v>
      </c>
      <c r="M612">
        <v>2.0571068889999999</v>
      </c>
      <c r="N612">
        <f>E612/_xlfn.XLOOKUP(C612,Lookups!$A$2:$A$66,Lookups!$C$2:$C$66)</f>
        <v>14.431314390293926</v>
      </c>
      <c r="O612">
        <v>18294</v>
      </c>
      <c r="P612">
        <v>188</v>
      </c>
      <c r="Q612">
        <v>-119</v>
      </c>
      <c r="R612">
        <v>-110</v>
      </c>
      <c r="S612">
        <v>307</v>
      </c>
      <c r="T612">
        <v>8738</v>
      </c>
      <c r="W612">
        <v>17975</v>
      </c>
      <c r="X612">
        <v>33</v>
      </c>
      <c r="AA612">
        <v>2.0571068889999999</v>
      </c>
    </row>
    <row r="613" spans="1:27" x14ac:dyDescent="0.2">
      <c r="A613">
        <v>91</v>
      </c>
      <c r="B613">
        <v>10</v>
      </c>
      <c r="C613" t="s">
        <v>190</v>
      </c>
      <c r="D613">
        <v>2010</v>
      </c>
      <c r="E613">
        <v>4446</v>
      </c>
      <c r="F613">
        <v>4446</v>
      </c>
      <c r="G613">
        <v>0</v>
      </c>
      <c r="H613">
        <v>2.19</v>
      </c>
      <c r="I613">
        <v>3088</v>
      </c>
      <c r="J613">
        <v>2026</v>
      </c>
      <c r="K613">
        <v>1062</v>
      </c>
      <c r="L613">
        <v>34.39</v>
      </c>
      <c r="M613">
        <v>1.439766839</v>
      </c>
      <c r="N613">
        <f>E613/_xlfn.XLOOKUP(C613,Lookups!$A$2:$A$66,Lookups!$C$2:$C$66)</f>
        <v>8.1984141619030062</v>
      </c>
    </row>
    <row r="614" spans="1:27" x14ac:dyDescent="0.2">
      <c r="A614">
        <v>91</v>
      </c>
      <c r="B614">
        <v>10</v>
      </c>
      <c r="C614" t="s">
        <v>190</v>
      </c>
      <c r="D614">
        <v>2011</v>
      </c>
      <c r="E614">
        <v>4404</v>
      </c>
      <c r="F614">
        <v>4404</v>
      </c>
      <c r="G614">
        <v>0</v>
      </c>
      <c r="H614">
        <v>2.19</v>
      </c>
      <c r="I614">
        <v>3097</v>
      </c>
      <c r="J614">
        <v>2013</v>
      </c>
      <c r="K614">
        <v>1084</v>
      </c>
      <c r="L614">
        <v>35</v>
      </c>
      <c r="M614">
        <v>1.422021311</v>
      </c>
      <c r="N614">
        <f>E614/_xlfn.XLOOKUP(C614,Lookups!$A$2:$A$66,Lookups!$C$2:$C$66)</f>
        <v>8.1209662548404946</v>
      </c>
    </row>
    <row r="615" spans="1:27" x14ac:dyDescent="0.2">
      <c r="A615">
        <v>91</v>
      </c>
      <c r="B615">
        <v>10</v>
      </c>
      <c r="C615" t="s">
        <v>190</v>
      </c>
      <c r="D615">
        <v>2012</v>
      </c>
      <c r="E615">
        <v>4478</v>
      </c>
      <c r="F615">
        <v>4478</v>
      </c>
      <c r="G615">
        <v>0</v>
      </c>
      <c r="H615">
        <v>2.1800000000000002</v>
      </c>
      <c r="I615">
        <v>3104</v>
      </c>
      <c r="J615">
        <v>2054</v>
      </c>
      <c r="K615">
        <v>1050</v>
      </c>
      <c r="L615">
        <v>33.83</v>
      </c>
      <c r="M615">
        <v>1.4426546389999999</v>
      </c>
      <c r="N615">
        <f>E615/_xlfn.XLOOKUP(C615,Lookups!$A$2:$A$66,Lookups!$C$2:$C$66)</f>
        <v>8.2574220910934919</v>
      </c>
    </row>
    <row r="616" spans="1:27" x14ac:dyDescent="0.2">
      <c r="A616">
        <v>91</v>
      </c>
      <c r="B616">
        <v>10</v>
      </c>
      <c r="C616" t="s">
        <v>190</v>
      </c>
      <c r="D616">
        <v>2013</v>
      </c>
      <c r="E616">
        <v>4515</v>
      </c>
      <c r="F616">
        <v>4515</v>
      </c>
      <c r="G616">
        <v>0</v>
      </c>
      <c r="H616">
        <v>2.17</v>
      </c>
      <c r="I616">
        <v>3112</v>
      </c>
      <c r="J616">
        <v>2078</v>
      </c>
      <c r="K616">
        <v>1034</v>
      </c>
      <c r="L616">
        <v>33.229999999999997</v>
      </c>
      <c r="M616">
        <v>1.450835476</v>
      </c>
      <c r="N616">
        <f>E616/_xlfn.XLOOKUP(C616,Lookups!$A$2:$A$66,Lookups!$C$2:$C$66)</f>
        <v>8.3256500092199897</v>
      </c>
    </row>
    <row r="617" spans="1:27" x14ac:dyDescent="0.2">
      <c r="A617">
        <v>91</v>
      </c>
      <c r="B617">
        <v>10</v>
      </c>
      <c r="C617" t="s">
        <v>190</v>
      </c>
      <c r="D617">
        <v>2014</v>
      </c>
      <c r="E617">
        <v>4528</v>
      </c>
      <c r="F617">
        <v>4528</v>
      </c>
      <c r="G617">
        <v>0</v>
      </c>
      <c r="H617">
        <v>2.17</v>
      </c>
      <c r="I617">
        <v>3126</v>
      </c>
      <c r="J617">
        <v>2091</v>
      </c>
      <c r="K617">
        <v>1035</v>
      </c>
      <c r="L617">
        <v>33.11</v>
      </c>
      <c r="M617">
        <v>1.4484964810000001</v>
      </c>
      <c r="N617">
        <f>E617/_xlfn.XLOOKUP(C617,Lookups!$A$2:$A$66,Lookups!$C$2:$C$66)</f>
        <v>8.3496219804536249</v>
      </c>
    </row>
    <row r="618" spans="1:27" x14ac:dyDescent="0.2">
      <c r="A618">
        <v>91</v>
      </c>
      <c r="B618">
        <v>10</v>
      </c>
      <c r="C618" t="s">
        <v>190</v>
      </c>
      <c r="D618">
        <v>2015</v>
      </c>
      <c r="E618">
        <v>4550</v>
      </c>
      <c r="F618">
        <v>4550</v>
      </c>
      <c r="G618">
        <v>0</v>
      </c>
      <c r="H618">
        <v>2.16</v>
      </c>
      <c r="I618">
        <v>3144</v>
      </c>
      <c r="J618">
        <v>2108</v>
      </c>
      <c r="K618">
        <v>1036</v>
      </c>
      <c r="L618">
        <v>32.950000000000003</v>
      </c>
      <c r="M618">
        <v>1.4472010179999999</v>
      </c>
      <c r="N618">
        <f>E618/_xlfn.XLOOKUP(C618,Lookups!$A$2:$A$66,Lookups!$C$2:$C$66)</f>
        <v>8.3901899317720829</v>
      </c>
    </row>
    <row r="619" spans="1:27" x14ac:dyDescent="0.2">
      <c r="A619">
        <v>91</v>
      </c>
      <c r="B619">
        <v>10</v>
      </c>
      <c r="C619" t="s">
        <v>190</v>
      </c>
      <c r="D619">
        <v>2016</v>
      </c>
      <c r="E619">
        <v>4721</v>
      </c>
      <c r="F619">
        <v>4721</v>
      </c>
      <c r="G619">
        <v>0</v>
      </c>
      <c r="H619">
        <v>2.15</v>
      </c>
      <c r="I619">
        <v>3164</v>
      </c>
      <c r="J619">
        <v>2194</v>
      </c>
      <c r="K619">
        <v>970</v>
      </c>
      <c r="L619">
        <v>30.66</v>
      </c>
      <c r="M619">
        <v>1.4920986089999999</v>
      </c>
      <c r="N619">
        <f>E619/_xlfn.XLOOKUP(C619,Lookups!$A$2:$A$66,Lookups!$C$2:$C$66)</f>
        <v>8.7055135533837369</v>
      </c>
    </row>
    <row r="620" spans="1:27" x14ac:dyDescent="0.2">
      <c r="A620">
        <v>91</v>
      </c>
      <c r="B620">
        <v>10</v>
      </c>
      <c r="C620" t="s">
        <v>190</v>
      </c>
      <c r="D620">
        <v>2017</v>
      </c>
      <c r="E620">
        <v>4730</v>
      </c>
      <c r="F620">
        <v>4730</v>
      </c>
      <c r="G620">
        <v>0</v>
      </c>
      <c r="H620">
        <v>2.14</v>
      </c>
      <c r="I620">
        <v>3200</v>
      </c>
      <c r="J620">
        <v>2206</v>
      </c>
      <c r="K620">
        <v>994</v>
      </c>
      <c r="L620">
        <v>31.06</v>
      </c>
      <c r="M620">
        <v>1.4781249999999999</v>
      </c>
      <c r="N620">
        <f>E620/_xlfn.XLOOKUP(C620,Lookups!$A$2:$A$66,Lookups!$C$2:$C$66)</f>
        <v>8.7221095334685614</v>
      </c>
    </row>
    <row r="621" spans="1:27" x14ac:dyDescent="0.2">
      <c r="A621">
        <v>91</v>
      </c>
      <c r="B621">
        <v>10</v>
      </c>
      <c r="C621" t="s">
        <v>190</v>
      </c>
      <c r="D621">
        <v>2018</v>
      </c>
      <c r="E621">
        <v>4736</v>
      </c>
      <c r="F621">
        <v>4736</v>
      </c>
      <c r="G621">
        <v>0</v>
      </c>
      <c r="H621">
        <v>2.14</v>
      </c>
      <c r="I621">
        <v>3242</v>
      </c>
      <c r="J621">
        <v>2216</v>
      </c>
      <c r="K621">
        <v>1026</v>
      </c>
      <c r="L621">
        <v>31.65</v>
      </c>
      <c r="M621">
        <v>1.46082665</v>
      </c>
      <c r="N621">
        <f>E621/_xlfn.XLOOKUP(C621,Lookups!$A$2:$A$66,Lookups!$C$2:$C$66)</f>
        <v>8.7331735201917766</v>
      </c>
    </row>
    <row r="622" spans="1:27" x14ac:dyDescent="0.2">
      <c r="A622">
        <v>91</v>
      </c>
      <c r="B622">
        <v>10</v>
      </c>
      <c r="C622" t="s">
        <v>190</v>
      </c>
      <c r="D622">
        <v>2019</v>
      </c>
      <c r="E622">
        <v>4887</v>
      </c>
      <c r="F622">
        <v>4887</v>
      </c>
      <c r="G622">
        <v>0</v>
      </c>
      <c r="H622">
        <v>2.13</v>
      </c>
      <c r="I622">
        <v>3289</v>
      </c>
      <c r="J622">
        <v>2295</v>
      </c>
      <c r="K622">
        <v>994</v>
      </c>
      <c r="L622">
        <v>30.22</v>
      </c>
      <c r="M622">
        <v>1.4858619639999999</v>
      </c>
      <c r="N622">
        <f>E622/_xlfn.XLOOKUP(C622,Lookups!$A$2:$A$66,Lookups!$C$2:$C$66)</f>
        <v>9.011617186059377</v>
      </c>
    </row>
    <row r="623" spans="1:27" x14ac:dyDescent="0.2">
      <c r="A623">
        <v>91</v>
      </c>
      <c r="B623">
        <v>10</v>
      </c>
      <c r="C623" t="s">
        <v>190</v>
      </c>
      <c r="D623">
        <v>2020</v>
      </c>
      <c r="E623">
        <v>4876</v>
      </c>
      <c r="F623">
        <v>4876</v>
      </c>
      <c r="G623">
        <v>0</v>
      </c>
      <c r="I623">
        <v>3326</v>
      </c>
      <c r="M623">
        <v>1.466025256</v>
      </c>
      <c r="N623">
        <f>E623/_xlfn.XLOOKUP(C623,Lookups!$A$2:$A$66,Lookups!$C$2:$C$66)</f>
        <v>8.991333210400148</v>
      </c>
      <c r="O623">
        <v>4876</v>
      </c>
      <c r="P623">
        <v>25</v>
      </c>
      <c r="Q623">
        <v>6</v>
      </c>
      <c r="R623">
        <v>-17</v>
      </c>
      <c r="S623">
        <v>19</v>
      </c>
      <c r="T623">
        <v>3326</v>
      </c>
      <c r="W623">
        <v>4876</v>
      </c>
      <c r="X623">
        <v>71</v>
      </c>
      <c r="AA623">
        <v>1.466025256</v>
      </c>
    </row>
    <row r="624" spans="1:27" x14ac:dyDescent="0.2">
      <c r="A624">
        <v>91</v>
      </c>
      <c r="B624">
        <v>10</v>
      </c>
      <c r="C624" t="s">
        <v>190</v>
      </c>
      <c r="D624">
        <v>2021</v>
      </c>
      <c r="E624">
        <v>5051</v>
      </c>
      <c r="F624">
        <v>5051</v>
      </c>
      <c r="G624">
        <v>0</v>
      </c>
      <c r="I624">
        <v>3391</v>
      </c>
      <c r="M624">
        <v>1.4895311120000001</v>
      </c>
      <c r="N624">
        <f>E624/_xlfn.XLOOKUP(C624,Lookups!$A$2:$A$66,Lookups!$C$2:$C$66)</f>
        <v>9.3140328231606127</v>
      </c>
      <c r="O624">
        <v>5051</v>
      </c>
      <c r="P624">
        <v>38</v>
      </c>
      <c r="Q624">
        <v>1</v>
      </c>
      <c r="R624">
        <v>174</v>
      </c>
      <c r="S624">
        <v>37</v>
      </c>
      <c r="T624">
        <v>3391</v>
      </c>
      <c r="W624">
        <v>5051</v>
      </c>
      <c r="X624">
        <v>146</v>
      </c>
      <c r="AA624">
        <v>1.4895311120000001</v>
      </c>
    </row>
    <row r="625" spans="1:27" x14ac:dyDescent="0.2">
      <c r="A625">
        <v>91</v>
      </c>
      <c r="B625">
        <v>10</v>
      </c>
      <c r="C625" t="s">
        <v>190</v>
      </c>
      <c r="D625">
        <v>2022</v>
      </c>
      <c r="E625">
        <v>5088</v>
      </c>
      <c r="F625">
        <v>5088</v>
      </c>
      <c r="G625">
        <v>0</v>
      </c>
      <c r="I625">
        <v>3511</v>
      </c>
      <c r="M625">
        <v>1.4491597839999999</v>
      </c>
      <c r="N625">
        <f>E625/_xlfn.XLOOKUP(C625,Lookups!$A$2:$A$66,Lookups!$C$2:$C$66)</f>
        <v>9.3822607412871104</v>
      </c>
      <c r="O625">
        <v>5088</v>
      </c>
      <c r="P625">
        <v>30</v>
      </c>
      <c r="Q625">
        <v>-7</v>
      </c>
      <c r="R625">
        <v>44</v>
      </c>
      <c r="S625">
        <v>37</v>
      </c>
      <c r="T625">
        <v>3511</v>
      </c>
      <c r="W625">
        <v>5088</v>
      </c>
      <c r="X625">
        <v>74</v>
      </c>
      <c r="AA625">
        <v>1.4491597839999999</v>
      </c>
    </row>
    <row r="626" spans="1:27" x14ac:dyDescent="0.2">
      <c r="A626">
        <v>93</v>
      </c>
      <c r="B626">
        <v>4</v>
      </c>
      <c r="C626" t="s">
        <v>191</v>
      </c>
      <c r="D626">
        <v>2010</v>
      </c>
      <c r="E626">
        <v>16262</v>
      </c>
      <c r="F626">
        <v>16170</v>
      </c>
      <c r="G626">
        <v>92</v>
      </c>
      <c r="H626">
        <v>2.27</v>
      </c>
      <c r="I626">
        <v>13798</v>
      </c>
      <c r="J626">
        <v>7120</v>
      </c>
      <c r="K626">
        <v>6678</v>
      </c>
      <c r="L626">
        <v>48.4</v>
      </c>
      <c r="M626">
        <v>1.171908972</v>
      </c>
      <c r="N626">
        <f>E626/_xlfn.XLOOKUP(C626,Lookups!$A$2:$A$66,Lookups!$C$2:$C$66)</f>
        <v>7.3605025889850451</v>
      </c>
    </row>
    <row r="627" spans="1:27" x14ac:dyDescent="0.2">
      <c r="A627">
        <v>93</v>
      </c>
      <c r="B627">
        <v>4</v>
      </c>
      <c r="C627" t="s">
        <v>191</v>
      </c>
      <c r="D627">
        <v>2011</v>
      </c>
      <c r="E627">
        <v>15896</v>
      </c>
      <c r="F627">
        <v>15811</v>
      </c>
      <c r="G627">
        <v>85</v>
      </c>
      <c r="H627">
        <v>2.2400000000000002</v>
      </c>
      <c r="I627">
        <v>13803</v>
      </c>
      <c r="J627">
        <v>7047</v>
      </c>
      <c r="K627">
        <v>6756</v>
      </c>
      <c r="L627">
        <v>48.95</v>
      </c>
      <c r="M627">
        <v>1.1454756210000001</v>
      </c>
      <c r="N627">
        <f>E627/_xlfn.XLOOKUP(C627,Lookups!$A$2:$A$66,Lookups!$C$2:$C$66)</f>
        <v>7.1948437556577467</v>
      </c>
    </row>
    <row r="628" spans="1:27" x14ac:dyDescent="0.2">
      <c r="A628">
        <v>93</v>
      </c>
      <c r="B628">
        <v>4</v>
      </c>
      <c r="C628" t="s">
        <v>191</v>
      </c>
      <c r="D628">
        <v>2012</v>
      </c>
      <c r="E628">
        <v>15739</v>
      </c>
      <c r="F628">
        <v>15660</v>
      </c>
      <c r="G628">
        <v>79</v>
      </c>
      <c r="H628">
        <v>2.2400000000000002</v>
      </c>
      <c r="I628">
        <v>13806</v>
      </c>
      <c r="J628">
        <v>6987</v>
      </c>
      <c r="K628">
        <v>6819</v>
      </c>
      <c r="L628">
        <v>49.39</v>
      </c>
      <c r="M628">
        <v>1.134289439</v>
      </c>
      <c r="N628">
        <f>E628/_xlfn.XLOOKUP(C628,Lookups!$A$2:$A$66,Lookups!$C$2:$C$66)</f>
        <v>7.1237824528370206</v>
      </c>
    </row>
    <row r="629" spans="1:27" x14ac:dyDescent="0.2">
      <c r="A629">
        <v>93</v>
      </c>
      <c r="B629">
        <v>4</v>
      </c>
      <c r="C629" t="s">
        <v>191</v>
      </c>
      <c r="D629">
        <v>2013</v>
      </c>
      <c r="E629">
        <v>15730</v>
      </c>
      <c r="F629">
        <v>15657</v>
      </c>
      <c r="G629">
        <v>73</v>
      </c>
      <c r="H629">
        <v>2.2400000000000002</v>
      </c>
      <c r="I629">
        <v>13809</v>
      </c>
      <c r="J629">
        <v>6993</v>
      </c>
      <c r="K629">
        <v>6816</v>
      </c>
      <c r="L629">
        <v>49.36</v>
      </c>
      <c r="M629">
        <v>1.133825766</v>
      </c>
      <c r="N629">
        <f>E629/_xlfn.XLOOKUP(C629,Lookups!$A$2:$A$66,Lookups!$C$2:$C$66)</f>
        <v>7.1197088749683166</v>
      </c>
    </row>
    <row r="630" spans="1:27" x14ac:dyDescent="0.2">
      <c r="A630">
        <v>93</v>
      </c>
      <c r="B630">
        <v>4</v>
      </c>
      <c r="C630" t="s">
        <v>191</v>
      </c>
      <c r="D630">
        <v>2014</v>
      </c>
      <c r="E630">
        <v>15778</v>
      </c>
      <c r="F630">
        <v>15711</v>
      </c>
      <c r="G630">
        <v>67</v>
      </c>
      <c r="H630">
        <v>2.2400000000000002</v>
      </c>
      <c r="I630">
        <v>13811</v>
      </c>
      <c r="J630">
        <v>7024</v>
      </c>
      <c r="K630">
        <v>6787</v>
      </c>
      <c r="L630">
        <v>49.14</v>
      </c>
      <c r="M630">
        <v>1.137571501</v>
      </c>
      <c r="N630">
        <f>E630/_xlfn.XLOOKUP(C630,Lookups!$A$2:$A$66,Lookups!$C$2:$C$66)</f>
        <v>7.1414346236014046</v>
      </c>
    </row>
    <row r="631" spans="1:27" x14ac:dyDescent="0.2">
      <c r="A631">
        <v>93</v>
      </c>
      <c r="B631">
        <v>4</v>
      </c>
      <c r="C631" t="s">
        <v>191</v>
      </c>
      <c r="D631">
        <v>2015</v>
      </c>
      <c r="E631">
        <v>15975</v>
      </c>
      <c r="F631">
        <v>15915</v>
      </c>
      <c r="G631">
        <v>60</v>
      </c>
      <c r="H631">
        <v>2.23</v>
      </c>
      <c r="I631">
        <v>13812</v>
      </c>
      <c r="J631">
        <v>7123</v>
      </c>
      <c r="K631">
        <v>6689</v>
      </c>
      <c r="L631">
        <v>48.43</v>
      </c>
      <c r="M631">
        <v>1.1522589050000001</v>
      </c>
      <c r="N631">
        <f>E631/_xlfn.XLOOKUP(C631,Lookups!$A$2:$A$66,Lookups!$C$2:$C$66)</f>
        <v>7.2306007169497049</v>
      </c>
    </row>
    <row r="632" spans="1:27" x14ac:dyDescent="0.2">
      <c r="A632">
        <v>93</v>
      </c>
      <c r="B632">
        <v>4</v>
      </c>
      <c r="C632" t="s">
        <v>191</v>
      </c>
      <c r="D632">
        <v>2016</v>
      </c>
      <c r="E632">
        <v>16461</v>
      </c>
      <c r="F632">
        <v>16408</v>
      </c>
      <c r="G632">
        <v>53</v>
      </c>
      <c r="H632">
        <v>2.23</v>
      </c>
      <c r="I632">
        <v>13813</v>
      </c>
      <c r="J632">
        <v>7351</v>
      </c>
      <c r="K632">
        <v>6462</v>
      </c>
      <c r="L632">
        <v>46.78</v>
      </c>
      <c r="M632">
        <v>1.187866503</v>
      </c>
      <c r="N632">
        <f>E632/_xlfn.XLOOKUP(C632,Lookups!$A$2:$A$66,Lookups!$C$2:$C$66)</f>
        <v>7.450573921859724</v>
      </c>
    </row>
    <row r="633" spans="1:27" x14ac:dyDescent="0.2">
      <c r="A633">
        <v>93</v>
      </c>
      <c r="B633">
        <v>4</v>
      </c>
      <c r="C633" t="s">
        <v>191</v>
      </c>
      <c r="D633">
        <v>2017</v>
      </c>
      <c r="E633">
        <v>16866</v>
      </c>
      <c r="F633">
        <v>16819</v>
      </c>
      <c r="G633">
        <v>47</v>
      </c>
      <c r="H633">
        <v>2.23</v>
      </c>
      <c r="I633">
        <v>13814</v>
      </c>
      <c r="J633">
        <v>7543</v>
      </c>
      <c r="K633">
        <v>6271</v>
      </c>
      <c r="L633">
        <v>45.4</v>
      </c>
      <c r="M633">
        <v>1.217532938</v>
      </c>
      <c r="N633">
        <f>E633/_xlfn.XLOOKUP(C633,Lookups!$A$2:$A$66,Lookups!$C$2:$C$66)</f>
        <v>7.6338849259514063</v>
      </c>
    </row>
    <row r="634" spans="1:27" x14ac:dyDescent="0.2">
      <c r="A634">
        <v>93</v>
      </c>
      <c r="B634">
        <v>4</v>
      </c>
      <c r="C634" t="s">
        <v>191</v>
      </c>
      <c r="D634">
        <v>2018</v>
      </c>
      <c r="E634">
        <v>17366</v>
      </c>
      <c r="F634">
        <v>17325</v>
      </c>
      <c r="G634">
        <v>41</v>
      </c>
      <c r="H634">
        <v>2.23</v>
      </c>
      <c r="I634">
        <v>13820</v>
      </c>
      <c r="J634">
        <v>7777</v>
      </c>
      <c r="K634">
        <v>6043</v>
      </c>
      <c r="L634">
        <v>43.73</v>
      </c>
      <c r="M634">
        <v>1.253617945</v>
      </c>
      <c r="N634">
        <f>E634/_xlfn.XLOOKUP(C634,Lookups!$A$2:$A$66,Lookups!$C$2:$C$66)</f>
        <v>7.8601948075460761</v>
      </c>
    </row>
    <row r="635" spans="1:27" x14ac:dyDescent="0.2">
      <c r="A635">
        <v>93</v>
      </c>
      <c r="B635">
        <v>4</v>
      </c>
      <c r="C635" t="s">
        <v>191</v>
      </c>
      <c r="D635">
        <v>2019</v>
      </c>
      <c r="E635">
        <v>17511</v>
      </c>
      <c r="F635">
        <v>17476</v>
      </c>
      <c r="G635">
        <v>35</v>
      </c>
      <c r="H635">
        <v>2.23</v>
      </c>
      <c r="I635">
        <v>13992</v>
      </c>
      <c r="J635">
        <v>7853</v>
      </c>
      <c r="K635">
        <v>6139</v>
      </c>
      <c r="L635">
        <v>43.88</v>
      </c>
      <c r="M635">
        <v>1.2489994280000001</v>
      </c>
      <c r="N635">
        <f>E635/_xlfn.XLOOKUP(C635,Lookups!$A$2:$A$66,Lookups!$C$2:$C$66)</f>
        <v>7.9258246732085302</v>
      </c>
    </row>
    <row r="636" spans="1:27" x14ac:dyDescent="0.2">
      <c r="A636">
        <v>93</v>
      </c>
      <c r="B636">
        <v>4</v>
      </c>
      <c r="C636" t="s">
        <v>191</v>
      </c>
      <c r="D636">
        <v>2020</v>
      </c>
      <c r="E636">
        <v>17416</v>
      </c>
      <c r="F636">
        <v>17390</v>
      </c>
      <c r="G636">
        <v>26</v>
      </c>
      <c r="I636">
        <v>14154</v>
      </c>
      <c r="M636">
        <v>1.2286279499999999</v>
      </c>
      <c r="N636">
        <f>E636/_xlfn.XLOOKUP(C636,Lookups!$A$2:$A$66,Lookups!$C$2:$C$66)</f>
        <v>7.8828257957055436</v>
      </c>
      <c r="O636">
        <v>17416</v>
      </c>
      <c r="P636">
        <v>140</v>
      </c>
      <c r="Q636">
        <v>29</v>
      </c>
      <c r="R636">
        <v>-124</v>
      </c>
      <c r="S636">
        <v>111</v>
      </c>
      <c r="T636">
        <v>14154</v>
      </c>
      <c r="W636">
        <v>17390</v>
      </c>
      <c r="X636">
        <v>162</v>
      </c>
      <c r="AA636">
        <v>1.2286279499999999</v>
      </c>
    </row>
    <row r="637" spans="1:27" x14ac:dyDescent="0.2">
      <c r="A637">
        <v>93</v>
      </c>
      <c r="B637">
        <v>4</v>
      </c>
      <c r="C637" t="s">
        <v>191</v>
      </c>
      <c r="D637">
        <v>2021</v>
      </c>
      <c r="E637">
        <v>17735</v>
      </c>
      <c r="F637">
        <v>17709</v>
      </c>
      <c r="G637">
        <v>26</v>
      </c>
      <c r="I637">
        <v>14327</v>
      </c>
      <c r="M637">
        <v>1.2360577930000001</v>
      </c>
      <c r="N637">
        <f>E637/_xlfn.XLOOKUP(C637,Lookups!$A$2:$A$66,Lookups!$C$2:$C$66)</f>
        <v>8.0272115001629434</v>
      </c>
      <c r="O637">
        <v>17735</v>
      </c>
      <c r="P637">
        <v>125</v>
      </c>
      <c r="Q637">
        <v>-7</v>
      </c>
      <c r="R637">
        <v>326</v>
      </c>
      <c r="S637">
        <v>132</v>
      </c>
      <c r="T637">
        <v>14327</v>
      </c>
      <c r="W637">
        <v>17709</v>
      </c>
      <c r="X637">
        <v>193</v>
      </c>
      <c r="AA637">
        <v>1.2360577930000001</v>
      </c>
    </row>
    <row r="638" spans="1:27" x14ac:dyDescent="0.2">
      <c r="A638">
        <v>93</v>
      </c>
      <c r="B638">
        <v>4</v>
      </c>
      <c r="C638" t="s">
        <v>191</v>
      </c>
      <c r="D638">
        <v>2022</v>
      </c>
      <c r="E638">
        <v>17900</v>
      </c>
      <c r="F638">
        <v>17874</v>
      </c>
      <c r="G638">
        <v>26</v>
      </c>
      <c r="I638">
        <v>14518</v>
      </c>
      <c r="M638">
        <v>1.231161317</v>
      </c>
      <c r="N638">
        <f>E638/_xlfn.XLOOKUP(C638,Lookups!$A$2:$A$66,Lookups!$C$2:$C$66)</f>
        <v>8.1018937610891832</v>
      </c>
      <c r="O638">
        <v>17900</v>
      </c>
      <c r="P638">
        <v>137</v>
      </c>
      <c r="Q638">
        <v>-5</v>
      </c>
      <c r="R638">
        <v>170</v>
      </c>
      <c r="S638">
        <v>142</v>
      </c>
      <c r="T638">
        <v>14518</v>
      </c>
      <c r="W638">
        <v>17874</v>
      </c>
      <c r="X638">
        <v>193</v>
      </c>
      <c r="AA638">
        <v>1.231161317</v>
      </c>
    </row>
    <row r="639" spans="1:27" x14ac:dyDescent="0.2">
      <c r="A639">
        <v>95</v>
      </c>
      <c r="B639">
        <v>1</v>
      </c>
      <c r="C639" t="s">
        <v>192</v>
      </c>
      <c r="D639">
        <v>2010</v>
      </c>
      <c r="E639">
        <v>4465</v>
      </c>
      <c r="F639">
        <v>4405</v>
      </c>
      <c r="G639">
        <v>60</v>
      </c>
      <c r="H639">
        <v>2.59</v>
      </c>
      <c r="I639">
        <v>1945</v>
      </c>
      <c r="J639">
        <v>1704</v>
      </c>
      <c r="K639">
        <v>241</v>
      </c>
      <c r="L639">
        <v>12.39</v>
      </c>
      <c r="M639">
        <v>2.2647814909999999</v>
      </c>
      <c r="N639">
        <f>E639/_xlfn.XLOOKUP(C639,Lookups!$A$2:$A$66,Lookups!$C$2:$C$66)</f>
        <v>6.4869969490047952</v>
      </c>
    </row>
    <row r="640" spans="1:27" x14ac:dyDescent="0.2">
      <c r="A640">
        <v>95</v>
      </c>
      <c r="B640">
        <v>1</v>
      </c>
      <c r="C640" t="s">
        <v>192</v>
      </c>
      <c r="D640">
        <v>2011</v>
      </c>
      <c r="E640">
        <v>4473</v>
      </c>
      <c r="F640">
        <v>4412</v>
      </c>
      <c r="G640">
        <v>61</v>
      </c>
      <c r="H640">
        <v>2.41</v>
      </c>
      <c r="I640">
        <v>1948</v>
      </c>
      <c r="J640">
        <v>1829</v>
      </c>
      <c r="K640">
        <v>119</v>
      </c>
      <c r="L640">
        <v>6.13</v>
      </c>
      <c r="M640">
        <v>2.2648870639999998</v>
      </c>
      <c r="N640">
        <f>E640/_xlfn.XLOOKUP(C640,Lookups!$A$2:$A$66,Lookups!$C$2:$C$66)</f>
        <v>6.4986197878831913</v>
      </c>
    </row>
    <row r="641" spans="1:27" x14ac:dyDescent="0.2">
      <c r="A641">
        <v>95</v>
      </c>
      <c r="B641">
        <v>1</v>
      </c>
      <c r="C641" t="s">
        <v>192</v>
      </c>
      <c r="D641">
        <v>2012</v>
      </c>
      <c r="E641">
        <v>4482</v>
      </c>
      <c r="F641">
        <v>4419</v>
      </c>
      <c r="G641">
        <v>62</v>
      </c>
      <c r="H641">
        <v>2.42</v>
      </c>
      <c r="I641">
        <v>1950</v>
      </c>
      <c r="J641">
        <v>1828</v>
      </c>
      <c r="K641">
        <v>122</v>
      </c>
      <c r="L641">
        <v>6.24</v>
      </c>
      <c r="M641">
        <v>2.2661538459999999</v>
      </c>
      <c r="N641">
        <f>E641/_xlfn.XLOOKUP(C641,Lookups!$A$2:$A$66,Lookups!$C$2:$C$66)</f>
        <v>6.5116954816213868</v>
      </c>
    </row>
    <row r="642" spans="1:27" x14ac:dyDescent="0.2">
      <c r="A642">
        <v>95</v>
      </c>
      <c r="B642">
        <v>1</v>
      </c>
      <c r="C642" t="s">
        <v>192</v>
      </c>
      <c r="D642">
        <v>2013</v>
      </c>
      <c r="E642">
        <v>4486</v>
      </c>
      <c r="F642">
        <v>4423</v>
      </c>
      <c r="G642">
        <v>63</v>
      </c>
      <c r="H642">
        <v>2.42</v>
      </c>
      <c r="I642">
        <v>1964</v>
      </c>
      <c r="J642">
        <v>1826</v>
      </c>
      <c r="K642">
        <v>138</v>
      </c>
      <c r="L642">
        <v>7.02</v>
      </c>
      <c r="M642">
        <v>2.2520366599999999</v>
      </c>
      <c r="N642">
        <f>E642/_xlfn.XLOOKUP(C642,Lookups!$A$2:$A$66,Lookups!$C$2:$C$66)</f>
        <v>6.5175069010605844</v>
      </c>
    </row>
    <row r="643" spans="1:27" x14ac:dyDescent="0.2">
      <c r="A643">
        <v>95</v>
      </c>
      <c r="B643">
        <v>1</v>
      </c>
      <c r="C643" t="s">
        <v>192</v>
      </c>
      <c r="D643">
        <v>2014</v>
      </c>
      <c r="E643">
        <v>4494</v>
      </c>
      <c r="F643">
        <v>4430</v>
      </c>
      <c r="G643">
        <v>64</v>
      </c>
      <c r="H643">
        <v>2.4300000000000002</v>
      </c>
      <c r="I643">
        <v>1967</v>
      </c>
      <c r="J643">
        <v>1826</v>
      </c>
      <c r="K643">
        <v>141</v>
      </c>
      <c r="L643">
        <v>7.18</v>
      </c>
      <c r="M643">
        <v>2.2521606510000001</v>
      </c>
      <c r="N643">
        <f>E643/_xlfn.XLOOKUP(C643,Lookups!$A$2:$A$66,Lookups!$C$2:$C$66)</f>
        <v>6.5291297399389805</v>
      </c>
    </row>
    <row r="644" spans="1:27" x14ac:dyDescent="0.2">
      <c r="A644">
        <v>95</v>
      </c>
      <c r="B644">
        <v>1</v>
      </c>
      <c r="C644" t="s">
        <v>192</v>
      </c>
      <c r="D644">
        <v>2015</v>
      </c>
      <c r="E644">
        <v>4499</v>
      </c>
      <c r="F644">
        <v>4433</v>
      </c>
      <c r="G644">
        <v>66</v>
      </c>
      <c r="H644">
        <v>2.4300000000000002</v>
      </c>
      <c r="I644">
        <v>1979</v>
      </c>
      <c r="J644">
        <v>1824</v>
      </c>
      <c r="K644">
        <v>155</v>
      </c>
      <c r="L644">
        <v>7.83</v>
      </c>
      <c r="M644">
        <v>2.2400202120000001</v>
      </c>
      <c r="N644">
        <f>E644/_xlfn.XLOOKUP(C644,Lookups!$A$2:$A$66,Lookups!$C$2:$C$66)</f>
        <v>6.5363940142379784</v>
      </c>
    </row>
    <row r="645" spans="1:27" x14ac:dyDescent="0.2">
      <c r="A645">
        <v>95</v>
      </c>
      <c r="B645">
        <v>1</v>
      </c>
      <c r="C645" t="s">
        <v>192</v>
      </c>
      <c r="D645">
        <v>2016</v>
      </c>
      <c r="E645">
        <v>4505</v>
      </c>
      <c r="F645">
        <v>4438</v>
      </c>
      <c r="G645">
        <v>67</v>
      </c>
      <c r="H645">
        <v>2.4300000000000002</v>
      </c>
      <c r="I645">
        <v>1988</v>
      </c>
      <c r="J645">
        <v>1823</v>
      </c>
      <c r="K645">
        <v>165</v>
      </c>
      <c r="L645">
        <v>8.32</v>
      </c>
      <c r="M645">
        <v>2.2323943659999999</v>
      </c>
      <c r="N645">
        <f>E645/_xlfn.XLOOKUP(C645,Lookups!$A$2:$A$66,Lookups!$C$2:$C$66)</f>
        <v>6.5451111433967748</v>
      </c>
    </row>
    <row r="646" spans="1:27" x14ac:dyDescent="0.2">
      <c r="A646">
        <v>95</v>
      </c>
      <c r="B646">
        <v>1</v>
      </c>
      <c r="C646" t="s">
        <v>192</v>
      </c>
      <c r="D646">
        <v>2017</v>
      </c>
      <c r="E646">
        <v>4514</v>
      </c>
      <c r="F646">
        <v>4446</v>
      </c>
      <c r="G646">
        <v>68</v>
      </c>
      <c r="H646">
        <v>2.44</v>
      </c>
      <c r="I646">
        <v>1989</v>
      </c>
      <c r="J646">
        <v>1822</v>
      </c>
      <c r="K646">
        <v>167</v>
      </c>
      <c r="L646">
        <v>8.3699999999999992</v>
      </c>
      <c r="M646">
        <v>2.2352941180000001</v>
      </c>
      <c r="N646">
        <f>E646/_xlfn.XLOOKUP(C646,Lookups!$A$2:$A$66,Lookups!$C$2:$C$66)</f>
        <v>6.5581868371349703</v>
      </c>
    </row>
    <row r="647" spans="1:27" x14ac:dyDescent="0.2">
      <c r="A647">
        <v>95</v>
      </c>
      <c r="B647">
        <v>1</v>
      </c>
      <c r="C647" t="s">
        <v>192</v>
      </c>
      <c r="D647">
        <v>2018</v>
      </c>
      <c r="E647">
        <v>4515</v>
      </c>
      <c r="F647">
        <v>4447</v>
      </c>
      <c r="G647">
        <v>69</v>
      </c>
      <c r="H647">
        <v>2.44</v>
      </c>
      <c r="I647">
        <v>2010</v>
      </c>
      <c r="J647">
        <v>1819</v>
      </c>
      <c r="K647">
        <v>191</v>
      </c>
      <c r="L647">
        <v>9.48</v>
      </c>
      <c r="M647">
        <v>2.212437811</v>
      </c>
      <c r="N647">
        <f>E647/_xlfn.XLOOKUP(C647,Lookups!$A$2:$A$66,Lookups!$C$2:$C$66)</f>
        <v>6.5596396919947706</v>
      </c>
    </row>
    <row r="648" spans="1:27" x14ac:dyDescent="0.2">
      <c r="A648">
        <v>95</v>
      </c>
      <c r="B648">
        <v>1</v>
      </c>
      <c r="C648" t="s">
        <v>192</v>
      </c>
      <c r="D648">
        <v>2019</v>
      </c>
      <c r="E648">
        <v>4521</v>
      </c>
      <c r="F648">
        <v>4451</v>
      </c>
      <c r="G648">
        <v>70</v>
      </c>
      <c r="H648">
        <v>2.4500000000000002</v>
      </c>
      <c r="I648">
        <v>2021</v>
      </c>
      <c r="J648">
        <v>1818</v>
      </c>
      <c r="K648">
        <v>203</v>
      </c>
      <c r="L648">
        <v>10.06</v>
      </c>
      <c r="M648">
        <v>2.2023750620000002</v>
      </c>
      <c r="N648">
        <f>E648/_xlfn.XLOOKUP(C648,Lookups!$A$2:$A$66,Lookups!$C$2:$C$66)</f>
        <v>6.568356821153567</v>
      </c>
    </row>
    <row r="649" spans="1:27" x14ac:dyDescent="0.2">
      <c r="A649">
        <v>95</v>
      </c>
      <c r="B649">
        <v>1</v>
      </c>
      <c r="C649" t="s">
        <v>192</v>
      </c>
      <c r="D649">
        <v>2020</v>
      </c>
      <c r="E649">
        <v>4523</v>
      </c>
      <c r="F649">
        <v>4453</v>
      </c>
      <c r="G649">
        <v>70</v>
      </c>
      <c r="I649">
        <v>2026</v>
      </c>
      <c r="M649">
        <v>2.1979269499999998</v>
      </c>
      <c r="N649">
        <f>E649/_xlfn.XLOOKUP(C649,Lookups!$A$2:$A$66,Lookups!$C$2:$C$66)</f>
        <v>6.5712625308731658</v>
      </c>
      <c r="O649">
        <v>4523</v>
      </c>
      <c r="P649">
        <v>48</v>
      </c>
      <c r="Q649">
        <v>-9</v>
      </c>
      <c r="R649">
        <v>11</v>
      </c>
      <c r="S649">
        <v>57</v>
      </c>
      <c r="T649">
        <v>2026</v>
      </c>
      <c r="W649">
        <v>4453</v>
      </c>
      <c r="X649">
        <v>3</v>
      </c>
      <c r="AA649">
        <v>2.1979269499999998</v>
      </c>
    </row>
    <row r="650" spans="1:27" x14ac:dyDescent="0.2">
      <c r="A650">
        <v>95</v>
      </c>
      <c r="B650">
        <v>1</v>
      </c>
      <c r="C650" t="s">
        <v>192</v>
      </c>
      <c r="D650">
        <v>2021</v>
      </c>
      <c r="E650">
        <v>4498</v>
      </c>
      <c r="F650">
        <v>4439</v>
      </c>
      <c r="G650">
        <v>59</v>
      </c>
      <c r="I650">
        <v>2029</v>
      </c>
      <c r="M650">
        <v>2.18777723</v>
      </c>
      <c r="N650">
        <f>E650/_xlfn.XLOOKUP(C650,Lookups!$A$2:$A$66,Lookups!$C$2:$C$66)</f>
        <v>6.534941159378179</v>
      </c>
      <c r="O650">
        <v>4498</v>
      </c>
      <c r="P650">
        <v>57</v>
      </c>
      <c r="Q650">
        <v>-22</v>
      </c>
      <c r="R650">
        <v>-3</v>
      </c>
      <c r="S650">
        <v>79</v>
      </c>
      <c r="T650">
        <v>2029</v>
      </c>
      <c r="W650">
        <v>4439</v>
      </c>
      <c r="X650">
        <v>8</v>
      </c>
      <c r="AA650">
        <v>2.18777723</v>
      </c>
    </row>
    <row r="651" spans="1:27" x14ac:dyDescent="0.2">
      <c r="A651">
        <v>95</v>
      </c>
      <c r="B651">
        <v>1</v>
      </c>
      <c r="C651" t="s">
        <v>192</v>
      </c>
      <c r="D651">
        <v>2022</v>
      </c>
      <c r="E651">
        <v>4435</v>
      </c>
      <c r="F651">
        <v>4377</v>
      </c>
      <c r="G651">
        <v>58</v>
      </c>
      <c r="I651">
        <v>2037</v>
      </c>
      <c r="M651">
        <v>2.1487481590000002</v>
      </c>
      <c r="N651">
        <f>E651/_xlfn.XLOOKUP(C651,Lookups!$A$2:$A$66,Lookups!$C$2:$C$66)</f>
        <v>6.4434113032108096</v>
      </c>
      <c r="O651">
        <v>4435</v>
      </c>
      <c r="P651">
        <v>45</v>
      </c>
      <c r="Q651">
        <v>-32</v>
      </c>
      <c r="R651">
        <v>-31</v>
      </c>
      <c r="S651">
        <v>77</v>
      </c>
      <c r="T651">
        <v>2037</v>
      </c>
      <c r="W651">
        <v>4377</v>
      </c>
      <c r="X651">
        <v>10</v>
      </c>
      <c r="AA651">
        <v>2.1487481590000002</v>
      </c>
    </row>
    <row r="652" spans="1:27" x14ac:dyDescent="0.2">
      <c r="A652">
        <v>97</v>
      </c>
      <c r="B652">
        <v>12</v>
      </c>
      <c r="C652" t="s">
        <v>193</v>
      </c>
      <c r="D652">
        <v>2010</v>
      </c>
      <c r="E652">
        <v>17156</v>
      </c>
      <c r="F652">
        <v>17084</v>
      </c>
      <c r="G652">
        <v>72</v>
      </c>
      <c r="H652">
        <v>2.1800000000000002</v>
      </c>
      <c r="I652">
        <v>12488</v>
      </c>
      <c r="J652">
        <v>7825</v>
      </c>
      <c r="K652">
        <v>4663</v>
      </c>
      <c r="L652">
        <v>37.340000000000003</v>
      </c>
      <c r="M652">
        <v>1.3680333119999999</v>
      </c>
      <c r="N652">
        <f>E652/_xlfn.XLOOKUP(C652,Lookups!$A$2:$A$66,Lookups!$C$2:$C$66)</f>
        <v>17.679854076280183</v>
      </c>
    </row>
    <row r="653" spans="1:27" x14ac:dyDescent="0.2">
      <c r="A653">
        <v>97</v>
      </c>
      <c r="B653">
        <v>12</v>
      </c>
      <c r="C653" t="s">
        <v>193</v>
      </c>
      <c r="D653">
        <v>2011</v>
      </c>
      <c r="E653">
        <v>17128</v>
      </c>
      <c r="F653">
        <v>17056</v>
      </c>
      <c r="G653">
        <v>72</v>
      </c>
      <c r="H653">
        <v>2.1</v>
      </c>
      <c r="I653">
        <v>12567</v>
      </c>
      <c r="J653">
        <v>8120</v>
      </c>
      <c r="K653">
        <v>4447</v>
      </c>
      <c r="L653">
        <v>35.39</v>
      </c>
      <c r="M653">
        <v>1.357205379</v>
      </c>
      <c r="N653">
        <f>E653/_xlfn.XLOOKUP(C653,Lookups!$A$2:$A$66,Lookups!$C$2:$C$66)</f>
        <v>17.650999103434771</v>
      </c>
    </row>
    <row r="654" spans="1:27" x14ac:dyDescent="0.2">
      <c r="A654">
        <v>97</v>
      </c>
      <c r="B654">
        <v>12</v>
      </c>
      <c r="C654" t="s">
        <v>193</v>
      </c>
      <c r="D654">
        <v>2012</v>
      </c>
      <c r="E654">
        <v>17201</v>
      </c>
      <c r="F654">
        <v>17129</v>
      </c>
      <c r="G654">
        <v>72</v>
      </c>
      <c r="H654">
        <v>2.11</v>
      </c>
      <c r="I654">
        <v>12636</v>
      </c>
      <c r="J654">
        <v>8132</v>
      </c>
      <c r="K654">
        <v>4504</v>
      </c>
      <c r="L654">
        <v>35.64</v>
      </c>
      <c r="M654">
        <v>1.355571383</v>
      </c>
      <c r="N654">
        <f>E654/_xlfn.XLOOKUP(C654,Lookups!$A$2:$A$66,Lookups!$C$2:$C$66)</f>
        <v>17.726228139781732</v>
      </c>
    </row>
    <row r="655" spans="1:27" x14ac:dyDescent="0.2">
      <c r="A655">
        <v>97</v>
      </c>
      <c r="B655">
        <v>12</v>
      </c>
      <c r="C655" t="s">
        <v>193</v>
      </c>
      <c r="D655">
        <v>2013</v>
      </c>
      <c r="E655">
        <v>17321</v>
      </c>
      <c r="F655">
        <v>17249</v>
      </c>
      <c r="G655">
        <v>72</v>
      </c>
      <c r="H655">
        <v>2.11</v>
      </c>
      <c r="I655">
        <v>12699</v>
      </c>
      <c r="J655">
        <v>8166</v>
      </c>
      <c r="K655">
        <v>4533</v>
      </c>
      <c r="L655">
        <v>35.700000000000003</v>
      </c>
      <c r="M655">
        <v>1.3582959290000001</v>
      </c>
      <c r="N655">
        <f>E655/_xlfn.XLOOKUP(C655,Lookups!$A$2:$A$66,Lookups!$C$2:$C$66)</f>
        <v>17.849892309119202</v>
      </c>
    </row>
    <row r="656" spans="1:27" x14ac:dyDescent="0.2">
      <c r="A656">
        <v>97</v>
      </c>
      <c r="B656">
        <v>12</v>
      </c>
      <c r="C656" t="s">
        <v>193</v>
      </c>
      <c r="D656">
        <v>2014</v>
      </c>
      <c r="E656">
        <v>17521</v>
      </c>
      <c r="F656">
        <v>17449</v>
      </c>
      <c r="G656">
        <v>72</v>
      </c>
      <c r="H656">
        <v>2.12</v>
      </c>
      <c r="I656">
        <v>12780</v>
      </c>
      <c r="J656">
        <v>8237</v>
      </c>
      <c r="K656">
        <v>4543</v>
      </c>
      <c r="L656">
        <v>35.549999999999997</v>
      </c>
      <c r="M656">
        <v>1.365336463</v>
      </c>
      <c r="N656">
        <f>E656/_xlfn.XLOOKUP(C656,Lookups!$A$2:$A$66,Lookups!$C$2:$C$66)</f>
        <v>18.055999258014985</v>
      </c>
    </row>
    <row r="657" spans="1:27" x14ac:dyDescent="0.2">
      <c r="A657">
        <v>97</v>
      </c>
      <c r="B657">
        <v>12</v>
      </c>
      <c r="C657" t="s">
        <v>193</v>
      </c>
      <c r="D657">
        <v>2015</v>
      </c>
      <c r="E657">
        <v>17701</v>
      </c>
      <c r="F657">
        <v>17629</v>
      </c>
      <c r="G657">
        <v>72</v>
      </c>
      <c r="H657">
        <v>2.12</v>
      </c>
      <c r="I657">
        <v>12853</v>
      </c>
      <c r="J657">
        <v>8299</v>
      </c>
      <c r="K657">
        <v>4554</v>
      </c>
      <c r="L657">
        <v>35.43</v>
      </c>
      <c r="M657">
        <v>1.3715864</v>
      </c>
      <c r="N657">
        <f>E657/_xlfn.XLOOKUP(C657,Lookups!$A$2:$A$66,Lookups!$C$2:$C$66)</f>
        <v>18.241495512021189</v>
      </c>
    </row>
    <row r="658" spans="1:27" x14ac:dyDescent="0.2">
      <c r="A658">
        <v>97</v>
      </c>
      <c r="B658">
        <v>12</v>
      </c>
      <c r="C658" t="s">
        <v>193</v>
      </c>
      <c r="D658">
        <v>2016</v>
      </c>
      <c r="E658">
        <v>17691</v>
      </c>
      <c r="F658">
        <v>17619</v>
      </c>
      <c r="G658">
        <v>72</v>
      </c>
      <c r="H658">
        <v>2.13</v>
      </c>
      <c r="I658">
        <v>12940</v>
      </c>
      <c r="J658">
        <v>8271</v>
      </c>
      <c r="K658">
        <v>4669</v>
      </c>
      <c r="L658">
        <v>36.08</v>
      </c>
      <c r="M658">
        <v>1.361591963</v>
      </c>
      <c r="N658">
        <f>E658/_xlfn.XLOOKUP(C658,Lookups!$A$2:$A$66,Lookups!$C$2:$C$66)</f>
        <v>18.2311901645764</v>
      </c>
    </row>
    <row r="659" spans="1:27" x14ac:dyDescent="0.2">
      <c r="A659">
        <v>97</v>
      </c>
      <c r="B659">
        <v>12</v>
      </c>
      <c r="C659" t="s">
        <v>193</v>
      </c>
      <c r="D659">
        <v>2017</v>
      </c>
      <c r="E659">
        <v>17658</v>
      </c>
      <c r="F659">
        <v>17586</v>
      </c>
      <c r="G659">
        <v>72</v>
      </c>
      <c r="H659">
        <v>2.14</v>
      </c>
      <c r="I659">
        <v>13040</v>
      </c>
      <c r="J659">
        <v>8233</v>
      </c>
      <c r="K659">
        <v>4807</v>
      </c>
      <c r="L659">
        <v>36.86</v>
      </c>
      <c r="M659">
        <v>1.3486196319999999</v>
      </c>
      <c r="N659">
        <f>E659/_xlfn.XLOOKUP(C659,Lookups!$A$2:$A$66,Lookups!$C$2:$C$66)</f>
        <v>18.197182518008596</v>
      </c>
    </row>
    <row r="660" spans="1:27" x14ac:dyDescent="0.2">
      <c r="A660">
        <v>97</v>
      </c>
      <c r="B660">
        <v>12</v>
      </c>
      <c r="C660" t="s">
        <v>193</v>
      </c>
      <c r="D660">
        <v>2018</v>
      </c>
      <c r="E660">
        <v>17643</v>
      </c>
      <c r="F660">
        <v>17571</v>
      </c>
      <c r="G660">
        <v>72</v>
      </c>
      <c r="H660">
        <v>2.14</v>
      </c>
      <c r="I660">
        <v>13107</v>
      </c>
      <c r="J660">
        <v>8203</v>
      </c>
      <c r="K660">
        <v>4904</v>
      </c>
      <c r="L660">
        <v>37.42</v>
      </c>
      <c r="M660">
        <v>1.3405813689999999</v>
      </c>
      <c r="N660">
        <f>E660/_xlfn.XLOOKUP(C660,Lookups!$A$2:$A$66,Lookups!$C$2:$C$66)</f>
        <v>18.181724496841412</v>
      </c>
    </row>
    <row r="661" spans="1:27" x14ac:dyDescent="0.2">
      <c r="A661">
        <v>97</v>
      </c>
      <c r="B661">
        <v>12</v>
      </c>
      <c r="C661" t="s">
        <v>193</v>
      </c>
      <c r="D661">
        <v>2019</v>
      </c>
      <c r="E661">
        <v>17413</v>
      </c>
      <c r="F661">
        <v>17341</v>
      </c>
      <c r="G661">
        <v>72</v>
      </c>
      <c r="H661">
        <v>2.15</v>
      </c>
      <c r="I661">
        <v>13183</v>
      </c>
      <c r="J661">
        <v>8073</v>
      </c>
      <c r="K661">
        <v>5110</v>
      </c>
      <c r="L661">
        <v>38.76</v>
      </c>
      <c r="M661">
        <v>1.3154062049999999</v>
      </c>
      <c r="N661">
        <f>E661/_xlfn.XLOOKUP(C661,Lookups!$A$2:$A$66,Lookups!$C$2:$C$66)</f>
        <v>17.944701505611263</v>
      </c>
    </row>
    <row r="662" spans="1:27" x14ac:dyDescent="0.2">
      <c r="A662">
        <v>97</v>
      </c>
      <c r="B662">
        <v>12</v>
      </c>
      <c r="C662" t="s">
        <v>193</v>
      </c>
      <c r="D662">
        <v>2020</v>
      </c>
      <c r="E662">
        <v>17355</v>
      </c>
      <c r="F662">
        <v>17308</v>
      </c>
      <c r="G662">
        <v>47</v>
      </c>
      <c r="I662">
        <v>13260</v>
      </c>
      <c r="M662">
        <v>1.3052790350000001</v>
      </c>
      <c r="N662">
        <f>E662/_xlfn.XLOOKUP(C662,Lookups!$A$2:$A$66,Lookups!$C$2:$C$66)</f>
        <v>17.884930490431486</v>
      </c>
      <c r="O662">
        <v>17355</v>
      </c>
      <c r="P662">
        <v>146</v>
      </c>
      <c r="Q662">
        <v>87</v>
      </c>
      <c r="R662">
        <v>-145</v>
      </c>
      <c r="S662">
        <v>59</v>
      </c>
      <c r="T662">
        <v>13260</v>
      </c>
      <c r="W662">
        <v>17308</v>
      </c>
      <c r="X662">
        <v>72</v>
      </c>
      <c r="AA662">
        <v>1.3052790350000001</v>
      </c>
    </row>
    <row r="663" spans="1:27" x14ac:dyDescent="0.2">
      <c r="A663">
        <v>97</v>
      </c>
      <c r="B663">
        <v>12</v>
      </c>
      <c r="C663" t="s">
        <v>193</v>
      </c>
      <c r="D663">
        <v>2021</v>
      </c>
      <c r="E663">
        <v>17336</v>
      </c>
      <c r="F663">
        <v>17289</v>
      </c>
      <c r="G663">
        <v>47</v>
      </c>
      <c r="I663">
        <v>13315</v>
      </c>
      <c r="M663">
        <v>1.2984603830000001</v>
      </c>
      <c r="N663">
        <f>E663/_xlfn.XLOOKUP(C663,Lookups!$A$2:$A$66,Lookups!$C$2:$C$66)</f>
        <v>17.865350330286386</v>
      </c>
      <c r="O663">
        <v>17336</v>
      </c>
      <c r="P663">
        <v>128</v>
      </c>
      <c r="Q663">
        <v>45</v>
      </c>
      <c r="R663">
        <v>-64</v>
      </c>
      <c r="S663">
        <v>83</v>
      </c>
      <c r="T663">
        <v>13315</v>
      </c>
      <c r="W663">
        <v>17289</v>
      </c>
      <c r="X663">
        <v>97</v>
      </c>
      <c r="AA663">
        <v>1.2984603830000001</v>
      </c>
    </row>
    <row r="664" spans="1:27" x14ac:dyDescent="0.2">
      <c r="A664">
        <v>97</v>
      </c>
      <c r="B664">
        <v>12</v>
      </c>
      <c r="C664" t="s">
        <v>193</v>
      </c>
      <c r="D664">
        <v>2022</v>
      </c>
      <c r="E664">
        <v>16856</v>
      </c>
      <c r="F664">
        <v>16809</v>
      </c>
      <c r="G664">
        <v>47</v>
      </c>
      <c r="I664">
        <v>13504</v>
      </c>
      <c r="M664">
        <v>1.2447422990000001</v>
      </c>
      <c r="N664">
        <f>E664/_xlfn.XLOOKUP(C664,Lookups!$A$2:$A$66,Lookups!$C$2:$C$66)</f>
        <v>17.370693652936509</v>
      </c>
      <c r="O664">
        <v>16856</v>
      </c>
      <c r="P664">
        <v>119</v>
      </c>
      <c r="Q664">
        <v>52</v>
      </c>
      <c r="R664">
        <v>-532</v>
      </c>
      <c r="S664">
        <v>67</v>
      </c>
      <c r="T664">
        <v>13504</v>
      </c>
      <c r="W664">
        <v>16809</v>
      </c>
      <c r="X664">
        <v>99</v>
      </c>
      <c r="AA664">
        <v>1.2447422990000001</v>
      </c>
    </row>
    <row r="665" spans="1:27" x14ac:dyDescent="0.2">
      <c r="A665">
        <v>99</v>
      </c>
      <c r="B665">
        <v>6</v>
      </c>
      <c r="C665" t="s">
        <v>194</v>
      </c>
      <c r="D665">
        <v>2010</v>
      </c>
      <c r="E665">
        <v>12531</v>
      </c>
      <c r="F665">
        <v>12216</v>
      </c>
      <c r="G665">
        <v>315</v>
      </c>
      <c r="H665">
        <v>2.72</v>
      </c>
      <c r="I665">
        <v>5419</v>
      </c>
      <c r="J665">
        <v>4499</v>
      </c>
      <c r="K665">
        <v>920</v>
      </c>
      <c r="L665">
        <v>16.98</v>
      </c>
      <c r="M665">
        <v>2.2542904589999999</v>
      </c>
      <c r="N665">
        <f>E665/_xlfn.XLOOKUP(C665,Lookups!$A$2:$A$66,Lookups!$C$2:$C$66)</f>
        <v>7.6159161769085379</v>
      </c>
    </row>
    <row r="666" spans="1:27" x14ac:dyDescent="0.2">
      <c r="A666">
        <v>99</v>
      </c>
      <c r="B666">
        <v>6</v>
      </c>
      <c r="C666" t="s">
        <v>194</v>
      </c>
      <c r="D666">
        <v>2011</v>
      </c>
      <c r="E666">
        <v>12478</v>
      </c>
      <c r="F666">
        <v>12158</v>
      </c>
      <c r="G666">
        <v>320</v>
      </c>
      <c r="H666">
        <v>2.48</v>
      </c>
      <c r="I666">
        <v>5422</v>
      </c>
      <c r="J666">
        <v>4899</v>
      </c>
      <c r="K666">
        <v>523</v>
      </c>
      <c r="L666">
        <v>9.64</v>
      </c>
      <c r="M666">
        <v>2.2423459979999998</v>
      </c>
      <c r="N666">
        <f>E666/_xlfn.XLOOKUP(C666,Lookups!$A$2:$A$66,Lookups!$C$2:$C$66)</f>
        <v>7.5837045770860056</v>
      </c>
    </row>
    <row r="667" spans="1:27" x14ac:dyDescent="0.2">
      <c r="A667">
        <v>99</v>
      </c>
      <c r="B667">
        <v>6</v>
      </c>
      <c r="C667" t="s">
        <v>194</v>
      </c>
      <c r="D667">
        <v>2012</v>
      </c>
      <c r="E667">
        <v>12398</v>
      </c>
      <c r="F667">
        <v>12072</v>
      </c>
      <c r="G667">
        <v>326</v>
      </c>
      <c r="H667">
        <v>2.4900000000000002</v>
      </c>
      <c r="I667">
        <v>5428</v>
      </c>
      <c r="J667">
        <v>4842</v>
      </c>
      <c r="K667">
        <v>586</v>
      </c>
      <c r="L667">
        <v>10.79</v>
      </c>
      <c r="M667">
        <v>2.224023581</v>
      </c>
      <c r="N667">
        <f>E667/_xlfn.XLOOKUP(C667,Lookups!$A$2:$A$66,Lookups!$C$2:$C$66)</f>
        <v>7.5350832943350134</v>
      </c>
    </row>
    <row r="668" spans="1:27" x14ac:dyDescent="0.2">
      <c r="A668">
        <v>99</v>
      </c>
      <c r="B668">
        <v>6</v>
      </c>
      <c r="C668" t="s">
        <v>194</v>
      </c>
      <c r="D668">
        <v>2013</v>
      </c>
      <c r="E668">
        <v>12287</v>
      </c>
      <c r="F668">
        <v>11956</v>
      </c>
      <c r="G668">
        <v>331</v>
      </c>
      <c r="H668">
        <v>2.4900000000000002</v>
      </c>
      <c r="I668">
        <v>5432</v>
      </c>
      <c r="J668">
        <v>4804</v>
      </c>
      <c r="K668">
        <v>628</v>
      </c>
      <c r="L668">
        <v>11.56</v>
      </c>
      <c r="M668">
        <v>2.2010309280000002</v>
      </c>
      <c r="N668">
        <f>E668/_xlfn.XLOOKUP(C668,Lookups!$A$2:$A$66,Lookups!$C$2:$C$66)</f>
        <v>7.4676212645180113</v>
      </c>
    </row>
    <row r="669" spans="1:27" x14ac:dyDescent="0.2">
      <c r="A669">
        <v>99</v>
      </c>
      <c r="B669">
        <v>6</v>
      </c>
      <c r="C669" t="s">
        <v>194</v>
      </c>
      <c r="D669">
        <v>2014</v>
      </c>
      <c r="E669">
        <v>12023</v>
      </c>
      <c r="F669">
        <v>11687</v>
      </c>
      <c r="G669">
        <v>336</v>
      </c>
      <c r="H669">
        <v>2.46</v>
      </c>
      <c r="I669">
        <v>5437</v>
      </c>
      <c r="J669">
        <v>4756</v>
      </c>
      <c r="K669">
        <v>681</v>
      </c>
      <c r="L669">
        <v>12.52</v>
      </c>
      <c r="M669">
        <v>2.1495309909999998</v>
      </c>
      <c r="N669">
        <f>E669/_xlfn.XLOOKUP(C669,Lookups!$A$2:$A$66,Lookups!$C$2:$C$66)</f>
        <v>7.3071710314397373</v>
      </c>
    </row>
    <row r="670" spans="1:27" x14ac:dyDescent="0.2">
      <c r="A670">
        <v>99</v>
      </c>
      <c r="B670">
        <v>6</v>
      </c>
      <c r="C670" t="s">
        <v>194</v>
      </c>
      <c r="D670">
        <v>2015</v>
      </c>
      <c r="E670">
        <v>11891</v>
      </c>
      <c r="F670">
        <v>11549</v>
      </c>
      <c r="G670">
        <v>342</v>
      </c>
      <c r="H670">
        <v>2.4500000000000002</v>
      </c>
      <c r="I670">
        <v>5441</v>
      </c>
      <c r="J670">
        <v>4718</v>
      </c>
      <c r="K670">
        <v>723</v>
      </c>
      <c r="L670">
        <v>13.29</v>
      </c>
      <c r="M670">
        <v>2.12258776</v>
      </c>
      <c r="N670">
        <f>E670/_xlfn.XLOOKUP(C670,Lookups!$A$2:$A$66,Lookups!$C$2:$C$66)</f>
        <v>7.2269459149006003</v>
      </c>
    </row>
    <row r="671" spans="1:27" x14ac:dyDescent="0.2">
      <c r="A671">
        <v>99</v>
      </c>
      <c r="B671">
        <v>6</v>
      </c>
      <c r="C671" t="s">
        <v>194</v>
      </c>
      <c r="D671">
        <v>2016</v>
      </c>
      <c r="E671">
        <v>11887</v>
      </c>
      <c r="F671">
        <v>11540</v>
      </c>
      <c r="G671">
        <v>347</v>
      </c>
      <c r="H671">
        <v>2.4700000000000002</v>
      </c>
      <c r="I671">
        <v>5446</v>
      </c>
      <c r="J671">
        <v>4670</v>
      </c>
      <c r="K671">
        <v>776</v>
      </c>
      <c r="L671">
        <v>14.25</v>
      </c>
      <c r="M671">
        <v>2.1189864119999999</v>
      </c>
      <c r="N671">
        <f>E671/_xlfn.XLOOKUP(C671,Lookups!$A$2:$A$66,Lookups!$C$2:$C$66)</f>
        <v>7.2245148507630503</v>
      </c>
    </row>
    <row r="672" spans="1:27" x14ac:dyDescent="0.2">
      <c r="A672">
        <v>99</v>
      </c>
      <c r="B672">
        <v>6</v>
      </c>
      <c r="C672" t="s">
        <v>194</v>
      </c>
      <c r="D672">
        <v>2017</v>
      </c>
      <c r="E672">
        <v>11930</v>
      </c>
      <c r="F672">
        <v>11578</v>
      </c>
      <c r="G672">
        <v>352</v>
      </c>
      <c r="H672">
        <v>2.4700000000000002</v>
      </c>
      <c r="I672">
        <v>5445</v>
      </c>
      <c r="J672">
        <v>4680</v>
      </c>
      <c r="K672">
        <v>765</v>
      </c>
      <c r="L672">
        <v>14.06</v>
      </c>
      <c r="M672">
        <v>2.1263544539999999</v>
      </c>
      <c r="N672">
        <f>E672/_xlfn.XLOOKUP(C672,Lookups!$A$2:$A$66,Lookups!$C$2:$C$66)</f>
        <v>7.2506487902417094</v>
      </c>
    </row>
    <row r="673" spans="1:27" x14ac:dyDescent="0.2">
      <c r="A673">
        <v>99</v>
      </c>
      <c r="B673">
        <v>6</v>
      </c>
      <c r="C673" t="s">
        <v>194</v>
      </c>
      <c r="D673">
        <v>2018</v>
      </c>
      <c r="E673">
        <v>11971</v>
      </c>
      <c r="F673">
        <v>11614</v>
      </c>
      <c r="G673">
        <v>357</v>
      </c>
      <c r="H673">
        <v>2.44</v>
      </c>
      <c r="I673">
        <v>5436</v>
      </c>
      <c r="J673">
        <v>4766</v>
      </c>
      <c r="K673">
        <v>670</v>
      </c>
      <c r="L673">
        <v>12.33</v>
      </c>
      <c r="M673">
        <v>2.136497425</v>
      </c>
      <c r="N673">
        <f>E673/_xlfn.XLOOKUP(C673,Lookups!$A$2:$A$66,Lookups!$C$2:$C$66)</f>
        <v>7.2755671976515925</v>
      </c>
    </row>
    <row r="674" spans="1:27" x14ac:dyDescent="0.2">
      <c r="A674">
        <v>99</v>
      </c>
      <c r="B674">
        <v>6</v>
      </c>
      <c r="C674" t="s">
        <v>194</v>
      </c>
      <c r="D674">
        <v>2019</v>
      </c>
      <c r="E674">
        <v>12011</v>
      </c>
      <c r="F674">
        <v>11648</v>
      </c>
      <c r="G674">
        <v>363</v>
      </c>
      <c r="H674">
        <v>2.4300000000000002</v>
      </c>
      <c r="I674">
        <v>5433</v>
      </c>
      <c r="J674">
        <v>4794</v>
      </c>
      <c r="K674">
        <v>639</v>
      </c>
      <c r="L674">
        <v>11.76</v>
      </c>
      <c r="M674">
        <v>2.1439352110000001</v>
      </c>
      <c r="N674">
        <f>E674/_xlfn.XLOOKUP(C674,Lookups!$A$2:$A$66,Lookups!$C$2:$C$66)</f>
        <v>7.2998778390270882</v>
      </c>
    </row>
    <row r="675" spans="1:27" x14ac:dyDescent="0.2">
      <c r="A675">
        <v>99</v>
      </c>
      <c r="B675">
        <v>6</v>
      </c>
      <c r="C675" t="s">
        <v>194</v>
      </c>
      <c r="D675">
        <v>2020</v>
      </c>
      <c r="E675">
        <v>12012</v>
      </c>
      <c r="F675">
        <v>11651</v>
      </c>
      <c r="G675">
        <v>361</v>
      </c>
      <c r="I675">
        <v>5438</v>
      </c>
      <c r="M675">
        <v>2.1425156310000002</v>
      </c>
      <c r="N675">
        <f>E675/_xlfn.XLOOKUP(C675,Lookups!$A$2:$A$66,Lookups!$C$2:$C$66)</f>
        <v>7.3004856050614757</v>
      </c>
      <c r="O675">
        <v>12012</v>
      </c>
      <c r="P675">
        <v>159</v>
      </c>
      <c r="Q675">
        <v>33</v>
      </c>
      <c r="R675">
        <v>-32</v>
      </c>
      <c r="S675">
        <v>126</v>
      </c>
      <c r="T675">
        <v>5438</v>
      </c>
      <c r="W675">
        <v>11651</v>
      </c>
      <c r="X675">
        <v>15</v>
      </c>
      <c r="AA675">
        <v>2.1425156310000002</v>
      </c>
    </row>
    <row r="676" spans="1:27" x14ac:dyDescent="0.2">
      <c r="A676">
        <v>99</v>
      </c>
      <c r="B676">
        <v>6</v>
      </c>
      <c r="C676" t="s">
        <v>194</v>
      </c>
      <c r="D676">
        <v>2021</v>
      </c>
      <c r="E676">
        <v>11985</v>
      </c>
      <c r="F676">
        <v>11644</v>
      </c>
      <c r="G676">
        <v>341</v>
      </c>
      <c r="I676">
        <v>5466</v>
      </c>
      <c r="M676">
        <v>2.130259788</v>
      </c>
      <c r="N676">
        <f>E676/_xlfn.XLOOKUP(C676,Lookups!$A$2:$A$66,Lookups!$C$2:$C$66)</f>
        <v>7.2840759221330158</v>
      </c>
      <c r="O676">
        <v>11985</v>
      </c>
      <c r="P676">
        <v>144</v>
      </c>
      <c r="Q676">
        <v>-33</v>
      </c>
      <c r="R676">
        <v>6</v>
      </c>
      <c r="S676">
        <v>177</v>
      </c>
      <c r="T676">
        <v>5466</v>
      </c>
      <c r="W676">
        <v>11644</v>
      </c>
      <c r="X676">
        <v>8</v>
      </c>
      <c r="AA676">
        <v>2.130259788</v>
      </c>
    </row>
    <row r="677" spans="1:27" x14ac:dyDescent="0.2">
      <c r="A677">
        <v>99</v>
      </c>
      <c r="B677">
        <v>6</v>
      </c>
      <c r="C677" t="s">
        <v>194</v>
      </c>
      <c r="D677">
        <v>2022</v>
      </c>
      <c r="E677">
        <v>11850</v>
      </c>
      <c r="F677">
        <v>11523</v>
      </c>
      <c r="G677">
        <v>327</v>
      </c>
      <c r="I677">
        <v>5474</v>
      </c>
      <c r="M677">
        <v>2.1050420170000002</v>
      </c>
      <c r="N677">
        <f>E677/_xlfn.XLOOKUP(C677,Lookups!$A$2:$A$66,Lookups!$C$2:$C$66)</f>
        <v>7.2020275074907172</v>
      </c>
      <c r="O677">
        <v>11850</v>
      </c>
      <c r="P677">
        <v>140</v>
      </c>
      <c r="Q677">
        <v>-25</v>
      </c>
      <c r="R677">
        <v>-110</v>
      </c>
      <c r="S677">
        <v>165</v>
      </c>
      <c r="T677">
        <v>5474</v>
      </c>
      <c r="W677">
        <v>11523</v>
      </c>
      <c r="X677">
        <v>15</v>
      </c>
      <c r="AA677">
        <v>2.1050420170000002</v>
      </c>
    </row>
    <row r="678" spans="1:27" x14ac:dyDescent="0.2">
      <c r="A678">
        <v>101</v>
      </c>
      <c r="B678">
        <v>7</v>
      </c>
      <c r="C678" t="s">
        <v>195</v>
      </c>
      <c r="D678">
        <v>2010</v>
      </c>
      <c r="E678">
        <v>159496</v>
      </c>
      <c r="F678">
        <v>155175</v>
      </c>
      <c r="G678">
        <v>4321</v>
      </c>
      <c r="H678">
        <v>2.46</v>
      </c>
      <c r="I678">
        <v>69614</v>
      </c>
      <c r="J678">
        <v>63148</v>
      </c>
      <c r="K678">
        <v>6466</v>
      </c>
      <c r="L678">
        <v>9.2899999999999991</v>
      </c>
      <c r="M678">
        <v>2.2290774839999998</v>
      </c>
      <c r="N678">
        <f>E678/_xlfn.XLOOKUP(C678,Lookups!$A$2:$A$66,Lookups!$C$2:$C$66)</f>
        <v>66.546226796897486</v>
      </c>
    </row>
    <row r="679" spans="1:27" x14ac:dyDescent="0.2">
      <c r="A679">
        <v>101</v>
      </c>
      <c r="B679">
        <v>7</v>
      </c>
      <c r="C679" t="s">
        <v>195</v>
      </c>
      <c r="D679">
        <v>2011</v>
      </c>
      <c r="E679">
        <v>159838</v>
      </c>
      <c r="F679">
        <v>155934</v>
      </c>
      <c r="G679">
        <v>3904</v>
      </c>
      <c r="H679">
        <v>2.46</v>
      </c>
      <c r="I679">
        <v>69825</v>
      </c>
      <c r="J679">
        <v>63467</v>
      </c>
      <c r="K679">
        <v>6358</v>
      </c>
      <c r="L679">
        <v>9.11</v>
      </c>
      <c r="M679">
        <v>2.2332116000000002</v>
      </c>
      <c r="N679">
        <f>E679/_xlfn.XLOOKUP(C679,Lookups!$A$2:$A$66,Lookups!$C$2:$C$66)</f>
        <v>66.688918836600919</v>
      </c>
    </row>
    <row r="680" spans="1:27" x14ac:dyDescent="0.2">
      <c r="A680">
        <v>101</v>
      </c>
      <c r="B680">
        <v>7</v>
      </c>
      <c r="C680" t="s">
        <v>195</v>
      </c>
      <c r="D680">
        <v>2012</v>
      </c>
      <c r="E680">
        <v>160327</v>
      </c>
      <c r="F680">
        <v>156264</v>
      </c>
      <c r="G680">
        <v>4063</v>
      </c>
      <c r="H680">
        <v>2.46</v>
      </c>
      <c r="I680">
        <v>69927</v>
      </c>
      <c r="J680">
        <v>63612</v>
      </c>
      <c r="K680">
        <v>6315</v>
      </c>
      <c r="L680">
        <v>9.0299999999999994</v>
      </c>
      <c r="M680">
        <v>2.234673302</v>
      </c>
      <c r="N680">
        <f>E680/_xlfn.XLOOKUP(C680,Lookups!$A$2:$A$66,Lookups!$C$2:$C$66)</f>
        <v>66.892943419685665</v>
      </c>
    </row>
    <row r="681" spans="1:27" x14ac:dyDescent="0.2">
      <c r="A681">
        <v>101</v>
      </c>
      <c r="B681">
        <v>7</v>
      </c>
      <c r="C681" t="s">
        <v>195</v>
      </c>
      <c r="D681">
        <v>2013</v>
      </c>
      <c r="E681">
        <v>160565</v>
      </c>
      <c r="F681">
        <v>156556</v>
      </c>
      <c r="G681">
        <v>4009</v>
      </c>
      <c r="H681">
        <v>2.46</v>
      </c>
      <c r="I681">
        <v>70176</v>
      </c>
      <c r="J681">
        <v>63742</v>
      </c>
      <c r="K681">
        <v>6434</v>
      </c>
      <c r="L681">
        <v>9.17</v>
      </c>
      <c r="M681">
        <v>2.2309051530000001</v>
      </c>
      <c r="N681">
        <f>E681/_xlfn.XLOOKUP(C681,Lookups!$A$2:$A$66,Lookups!$C$2:$C$66)</f>
        <v>66.992243728017286</v>
      </c>
    </row>
    <row r="682" spans="1:27" x14ac:dyDescent="0.2">
      <c r="A682">
        <v>101</v>
      </c>
      <c r="B682">
        <v>7</v>
      </c>
      <c r="C682" t="s">
        <v>195</v>
      </c>
      <c r="D682">
        <v>2014</v>
      </c>
      <c r="E682">
        <v>160867</v>
      </c>
      <c r="F682">
        <v>156926</v>
      </c>
      <c r="G682">
        <v>3941</v>
      </c>
      <c r="H682">
        <v>2.46</v>
      </c>
      <c r="I682">
        <v>70410</v>
      </c>
      <c r="J682">
        <v>63902</v>
      </c>
      <c r="K682">
        <v>6508</v>
      </c>
      <c r="L682">
        <v>9.24</v>
      </c>
      <c r="M682">
        <v>2.2287459169999999</v>
      </c>
      <c r="N682">
        <f>E682/_xlfn.XLOOKUP(C682,Lookups!$A$2:$A$66,Lookups!$C$2:$C$66)</f>
        <v>67.11824664027003</v>
      </c>
    </row>
    <row r="683" spans="1:27" x14ac:dyDescent="0.2">
      <c r="A683">
        <v>101</v>
      </c>
      <c r="B683">
        <v>7</v>
      </c>
      <c r="C683" t="s">
        <v>195</v>
      </c>
      <c r="D683">
        <v>2015</v>
      </c>
      <c r="E683">
        <v>162449</v>
      </c>
      <c r="F683">
        <v>158542</v>
      </c>
      <c r="G683">
        <v>3907</v>
      </c>
      <c r="H683">
        <v>2.46</v>
      </c>
      <c r="I683">
        <v>70455</v>
      </c>
      <c r="J683">
        <v>64572</v>
      </c>
      <c r="K683">
        <v>5883</v>
      </c>
      <c r="L683">
        <v>8.35</v>
      </c>
      <c r="M683">
        <v>2.2502590310000001</v>
      </c>
      <c r="N683">
        <f>E683/_xlfn.XLOOKUP(C683,Lookups!$A$2:$A$66,Lookups!$C$2:$C$66)</f>
        <v>67.778301630944981</v>
      </c>
    </row>
    <row r="684" spans="1:27" x14ac:dyDescent="0.2">
      <c r="A684">
        <v>101</v>
      </c>
      <c r="B684">
        <v>7</v>
      </c>
      <c r="C684" t="s">
        <v>195</v>
      </c>
      <c r="D684">
        <v>2016</v>
      </c>
      <c r="E684">
        <v>164124</v>
      </c>
      <c r="F684">
        <v>160238</v>
      </c>
      <c r="G684">
        <v>3886</v>
      </c>
      <c r="H684">
        <v>2.4500000000000002</v>
      </c>
      <c r="I684">
        <v>70696</v>
      </c>
      <c r="J684">
        <v>65275</v>
      </c>
      <c r="K684">
        <v>5421</v>
      </c>
      <c r="L684">
        <v>7.67</v>
      </c>
      <c r="M684">
        <v>2.2665780240000002</v>
      </c>
      <c r="N684">
        <f>E684/_xlfn.XLOOKUP(C684,Lookups!$A$2:$A$66,Lookups!$C$2:$C$66)</f>
        <v>68.477158842942799</v>
      </c>
    </row>
    <row r="685" spans="1:27" x14ac:dyDescent="0.2">
      <c r="A685">
        <v>101</v>
      </c>
      <c r="B685">
        <v>7</v>
      </c>
      <c r="C685" t="s">
        <v>195</v>
      </c>
      <c r="D685">
        <v>2017</v>
      </c>
      <c r="E685">
        <v>165549</v>
      </c>
      <c r="F685">
        <v>161565</v>
      </c>
      <c r="G685">
        <v>3984</v>
      </c>
      <c r="H685">
        <v>2.4500000000000002</v>
      </c>
      <c r="I685">
        <v>70831</v>
      </c>
      <c r="J685">
        <v>65825</v>
      </c>
      <c r="K685">
        <v>5006</v>
      </c>
      <c r="L685">
        <v>7.07</v>
      </c>
      <c r="M685">
        <v>2.2809927860000001</v>
      </c>
      <c r="N685">
        <f>E685/_xlfn.XLOOKUP(C685,Lookups!$A$2:$A$66,Lookups!$C$2:$C$66)</f>
        <v>69.071709008373773</v>
      </c>
    </row>
    <row r="686" spans="1:27" x14ac:dyDescent="0.2">
      <c r="A686">
        <v>101</v>
      </c>
      <c r="B686">
        <v>7</v>
      </c>
      <c r="C686" t="s">
        <v>195</v>
      </c>
      <c r="D686">
        <v>2018</v>
      </c>
      <c r="E686">
        <v>166686</v>
      </c>
      <c r="F686">
        <v>162731</v>
      </c>
      <c r="G686">
        <v>3955</v>
      </c>
      <c r="H686">
        <v>2.4500000000000002</v>
      </c>
      <c r="I686">
        <v>71066</v>
      </c>
      <c r="J686">
        <v>66311</v>
      </c>
      <c r="K686">
        <v>4755</v>
      </c>
      <c r="L686">
        <v>6.69</v>
      </c>
      <c r="M686">
        <v>2.289857316</v>
      </c>
      <c r="N686">
        <f>E686/_xlfn.XLOOKUP(C686,Lookups!$A$2:$A$66,Lookups!$C$2:$C$66)</f>
        <v>69.546097456159742</v>
      </c>
    </row>
    <row r="687" spans="1:27" x14ac:dyDescent="0.2">
      <c r="A687">
        <v>101</v>
      </c>
      <c r="B687">
        <v>7</v>
      </c>
      <c r="C687" t="s">
        <v>195</v>
      </c>
      <c r="D687">
        <v>2019</v>
      </c>
      <c r="E687">
        <v>167485</v>
      </c>
      <c r="F687">
        <v>163539</v>
      </c>
      <c r="G687">
        <v>3946</v>
      </c>
      <c r="H687">
        <v>2.4500000000000002</v>
      </c>
      <c r="I687">
        <v>71576</v>
      </c>
      <c r="J687">
        <v>66652</v>
      </c>
      <c r="K687">
        <v>4924</v>
      </c>
      <c r="L687">
        <v>6.88</v>
      </c>
      <c r="M687">
        <v>2.2848301110000002</v>
      </c>
      <c r="N687">
        <f>E687/_xlfn.XLOOKUP(C687,Lookups!$A$2:$A$66,Lookups!$C$2:$C$66)</f>
        <v>69.879462776987367</v>
      </c>
    </row>
    <row r="688" spans="1:27" x14ac:dyDescent="0.2">
      <c r="A688">
        <v>101</v>
      </c>
      <c r="B688">
        <v>7</v>
      </c>
      <c r="C688" t="s">
        <v>195</v>
      </c>
      <c r="D688">
        <v>2020</v>
      </c>
      <c r="E688">
        <v>168311</v>
      </c>
      <c r="F688">
        <v>164967</v>
      </c>
      <c r="G688">
        <v>3344</v>
      </c>
      <c r="I688">
        <v>72144</v>
      </c>
      <c r="M688">
        <v>2.2866350629999999</v>
      </c>
      <c r="N688">
        <f>E688/_xlfn.XLOOKUP(C688,Lookups!$A$2:$A$66,Lookups!$C$2:$C$66)</f>
        <v>70.224093258844192</v>
      </c>
      <c r="O688">
        <v>168311</v>
      </c>
      <c r="P688">
        <v>1729</v>
      </c>
      <c r="Q688">
        <v>-270</v>
      </c>
      <c r="R688">
        <v>1096</v>
      </c>
      <c r="S688">
        <v>1999</v>
      </c>
      <c r="T688">
        <v>72144</v>
      </c>
      <c r="W688">
        <v>164967</v>
      </c>
      <c r="X688">
        <v>579</v>
      </c>
      <c r="AA688">
        <v>2.2866350629999999</v>
      </c>
    </row>
    <row r="689" spans="1:27" x14ac:dyDescent="0.2">
      <c r="A689">
        <v>101</v>
      </c>
      <c r="B689">
        <v>7</v>
      </c>
      <c r="C689" t="s">
        <v>195</v>
      </c>
      <c r="D689">
        <v>2021</v>
      </c>
      <c r="E689">
        <v>169272</v>
      </c>
      <c r="F689">
        <v>166035</v>
      </c>
      <c r="G689">
        <v>3237</v>
      </c>
      <c r="I689">
        <v>73047</v>
      </c>
      <c r="M689">
        <v>2.2729886239999999</v>
      </c>
      <c r="N689">
        <f>E689/_xlfn.XLOOKUP(C689,Lookups!$A$2:$A$66,Lookups!$C$2:$C$66)</f>
        <v>70.625049545847119</v>
      </c>
      <c r="O689">
        <v>169272</v>
      </c>
      <c r="P689">
        <v>1690</v>
      </c>
      <c r="Q689">
        <v>-709</v>
      </c>
      <c r="R689">
        <v>1670</v>
      </c>
      <c r="S689">
        <v>2399</v>
      </c>
      <c r="T689">
        <v>73047</v>
      </c>
      <c r="W689">
        <v>166035</v>
      </c>
      <c r="X689">
        <v>742</v>
      </c>
      <c r="AA689">
        <v>2.2729886239999999</v>
      </c>
    </row>
    <row r="690" spans="1:27" x14ac:dyDescent="0.2">
      <c r="A690">
        <v>101</v>
      </c>
      <c r="B690">
        <v>7</v>
      </c>
      <c r="C690" t="s">
        <v>195</v>
      </c>
      <c r="D690">
        <v>2022</v>
      </c>
      <c r="E690">
        <v>169383</v>
      </c>
      <c r="F690">
        <v>165925</v>
      </c>
      <c r="G690">
        <v>3458</v>
      </c>
      <c r="I690">
        <v>73971</v>
      </c>
      <c r="M690">
        <v>2.2431087860000001</v>
      </c>
      <c r="N690">
        <f>E690/_xlfn.XLOOKUP(C690,Lookups!$A$2:$A$66,Lookups!$C$2:$C$66)</f>
        <v>70.671361874522802</v>
      </c>
      <c r="O690">
        <v>169383</v>
      </c>
      <c r="P690">
        <v>1709</v>
      </c>
      <c r="Q690">
        <v>-896</v>
      </c>
      <c r="R690">
        <v>1007</v>
      </c>
      <c r="S690">
        <v>2605</v>
      </c>
      <c r="T690">
        <v>73971</v>
      </c>
      <c r="W690">
        <v>165925</v>
      </c>
      <c r="X690">
        <v>497</v>
      </c>
      <c r="AA690">
        <v>2.2431087860000001</v>
      </c>
    </row>
    <row r="691" spans="1:27" x14ac:dyDescent="0.2">
      <c r="A691">
        <v>103</v>
      </c>
      <c r="B691">
        <v>11</v>
      </c>
      <c r="C691" t="s">
        <v>196</v>
      </c>
      <c r="D691">
        <v>2010</v>
      </c>
      <c r="E691">
        <v>6617</v>
      </c>
      <c r="F691">
        <v>6382</v>
      </c>
      <c r="G691">
        <v>235</v>
      </c>
      <c r="H691">
        <v>2.52</v>
      </c>
      <c r="I691">
        <v>3172</v>
      </c>
      <c r="J691">
        <v>2531</v>
      </c>
      <c r="K691">
        <v>641</v>
      </c>
      <c r="L691">
        <v>20.21</v>
      </c>
      <c r="M691">
        <v>2.0119798229999999</v>
      </c>
      <c r="N691">
        <f>E691/_xlfn.XLOOKUP(C691,Lookups!$A$2:$A$66,Lookups!$C$2:$C$66)</f>
        <v>2.0509943463598495</v>
      </c>
    </row>
    <row r="692" spans="1:27" x14ac:dyDescent="0.2">
      <c r="A692">
        <v>103</v>
      </c>
      <c r="B692">
        <v>11</v>
      </c>
      <c r="C692" t="s">
        <v>196</v>
      </c>
      <c r="D692">
        <v>2011</v>
      </c>
      <c r="E692">
        <v>6736</v>
      </c>
      <c r="F692">
        <v>6369</v>
      </c>
      <c r="G692">
        <v>367</v>
      </c>
      <c r="H692">
        <v>2.4300000000000002</v>
      </c>
      <c r="I692">
        <v>3195</v>
      </c>
      <c r="J692">
        <v>2620</v>
      </c>
      <c r="K692">
        <v>575</v>
      </c>
      <c r="L692">
        <v>17.98</v>
      </c>
      <c r="M692">
        <v>1.99342723</v>
      </c>
      <c r="N692">
        <f>E692/_xlfn.XLOOKUP(C692,Lookups!$A$2:$A$66,Lookups!$C$2:$C$66)</f>
        <v>2.087879389010117</v>
      </c>
    </row>
    <row r="693" spans="1:27" x14ac:dyDescent="0.2">
      <c r="A693">
        <v>103</v>
      </c>
      <c r="B693">
        <v>11</v>
      </c>
      <c r="C693" t="s">
        <v>196</v>
      </c>
      <c r="D693">
        <v>2012</v>
      </c>
      <c r="E693">
        <v>6793</v>
      </c>
      <c r="F693">
        <v>6359</v>
      </c>
      <c r="G693">
        <v>434</v>
      </c>
      <c r="H693">
        <v>2.4300000000000002</v>
      </c>
      <c r="I693">
        <v>3213</v>
      </c>
      <c r="J693">
        <v>2616</v>
      </c>
      <c r="K693">
        <v>597</v>
      </c>
      <c r="L693">
        <v>18.579999999999998</v>
      </c>
      <c r="M693">
        <v>1.9791472139999999</v>
      </c>
      <c r="N693">
        <f>E693/_xlfn.XLOOKUP(C693,Lookups!$A$2:$A$66,Lookups!$C$2:$C$66)</f>
        <v>2.105547014481254</v>
      </c>
    </row>
    <row r="694" spans="1:27" x14ac:dyDescent="0.2">
      <c r="A694">
        <v>103</v>
      </c>
      <c r="B694">
        <v>11</v>
      </c>
      <c r="C694" t="s">
        <v>196</v>
      </c>
      <c r="D694">
        <v>2013</v>
      </c>
      <c r="E694">
        <v>6764</v>
      </c>
      <c r="F694">
        <v>6358</v>
      </c>
      <c r="G694">
        <v>406</v>
      </c>
      <c r="H694">
        <v>2.4300000000000002</v>
      </c>
      <c r="I694">
        <v>3214</v>
      </c>
      <c r="J694">
        <v>2616</v>
      </c>
      <c r="K694">
        <v>598</v>
      </c>
      <c r="L694">
        <v>18.61</v>
      </c>
      <c r="M694">
        <v>1.978220286</v>
      </c>
      <c r="N694">
        <f>E694/_xlfn.XLOOKUP(C694,Lookups!$A$2:$A$66,Lookups!$C$2:$C$66)</f>
        <v>2.096558222574886</v>
      </c>
    </row>
    <row r="695" spans="1:27" x14ac:dyDescent="0.2">
      <c r="A695">
        <v>103</v>
      </c>
      <c r="B695">
        <v>11</v>
      </c>
      <c r="C695" t="s">
        <v>196</v>
      </c>
      <c r="D695">
        <v>2014</v>
      </c>
      <c r="E695">
        <v>6644</v>
      </c>
      <c r="F695">
        <v>6354</v>
      </c>
      <c r="G695">
        <v>290</v>
      </c>
      <c r="H695">
        <v>2.4300000000000002</v>
      </c>
      <c r="I695">
        <v>3223</v>
      </c>
      <c r="J695">
        <v>2614</v>
      </c>
      <c r="K695">
        <v>609</v>
      </c>
      <c r="L695">
        <v>18.91</v>
      </c>
      <c r="M695">
        <v>1.9714551659999999</v>
      </c>
      <c r="N695">
        <f>E695/_xlfn.XLOOKUP(C695,Lookups!$A$2:$A$66,Lookups!$C$2:$C$66)</f>
        <v>2.0593632215830193</v>
      </c>
    </row>
    <row r="696" spans="1:27" x14ac:dyDescent="0.2">
      <c r="A696">
        <v>103</v>
      </c>
      <c r="B696">
        <v>11</v>
      </c>
      <c r="C696" t="s">
        <v>196</v>
      </c>
      <c r="D696">
        <v>2015</v>
      </c>
      <c r="E696">
        <v>6621</v>
      </c>
      <c r="F696">
        <v>6352</v>
      </c>
      <c r="G696">
        <v>269</v>
      </c>
      <c r="H696">
        <v>2.4300000000000002</v>
      </c>
      <c r="I696">
        <v>3226</v>
      </c>
      <c r="J696">
        <v>2613</v>
      </c>
      <c r="K696">
        <v>613</v>
      </c>
      <c r="L696">
        <v>19.010000000000002</v>
      </c>
      <c r="M696">
        <v>1.9690018600000001</v>
      </c>
      <c r="N696">
        <f>E696/_xlfn.XLOOKUP(C696,Lookups!$A$2:$A$66,Lookups!$C$2:$C$66)</f>
        <v>2.0522341797262449</v>
      </c>
    </row>
    <row r="697" spans="1:27" x14ac:dyDescent="0.2">
      <c r="A697">
        <v>103</v>
      </c>
      <c r="B697">
        <v>11</v>
      </c>
      <c r="C697" t="s">
        <v>196</v>
      </c>
      <c r="D697">
        <v>2016</v>
      </c>
      <c r="E697">
        <v>6616</v>
      </c>
      <c r="F697">
        <v>6349</v>
      </c>
      <c r="G697">
        <v>267</v>
      </c>
      <c r="H697">
        <v>2.4300000000000002</v>
      </c>
      <c r="I697">
        <v>3232</v>
      </c>
      <c r="J697">
        <v>2611</v>
      </c>
      <c r="K697">
        <v>621</v>
      </c>
      <c r="L697">
        <v>19.2</v>
      </c>
      <c r="M697">
        <v>1.964418317</v>
      </c>
      <c r="N697">
        <f>E697/_xlfn.XLOOKUP(C697,Lookups!$A$2:$A$66,Lookups!$C$2:$C$66)</f>
        <v>2.0506843880182504</v>
      </c>
    </row>
    <row r="698" spans="1:27" x14ac:dyDescent="0.2">
      <c r="A698">
        <v>103</v>
      </c>
      <c r="B698">
        <v>11</v>
      </c>
      <c r="C698" t="s">
        <v>196</v>
      </c>
      <c r="D698">
        <v>2017</v>
      </c>
      <c r="E698">
        <v>6568</v>
      </c>
      <c r="F698">
        <v>6344</v>
      </c>
      <c r="G698">
        <v>224</v>
      </c>
      <c r="H698">
        <v>2.4300000000000002</v>
      </c>
      <c r="I698">
        <v>3241</v>
      </c>
      <c r="J698">
        <v>2609</v>
      </c>
      <c r="K698">
        <v>632</v>
      </c>
      <c r="L698">
        <v>19.489999999999998</v>
      </c>
      <c r="M698">
        <v>1.9574205490000001</v>
      </c>
      <c r="N698">
        <f>E698/_xlfn.XLOOKUP(C698,Lookups!$A$2:$A$66,Lookups!$C$2:$C$66)</f>
        <v>2.0358063876215038</v>
      </c>
    </row>
    <row r="699" spans="1:27" x14ac:dyDescent="0.2">
      <c r="A699">
        <v>103</v>
      </c>
      <c r="B699">
        <v>11</v>
      </c>
      <c r="C699" t="s">
        <v>196</v>
      </c>
      <c r="D699">
        <v>2018</v>
      </c>
      <c r="E699">
        <v>6588</v>
      </c>
      <c r="F699">
        <v>6338</v>
      </c>
      <c r="G699">
        <v>250</v>
      </c>
      <c r="H699">
        <v>2.4300000000000002</v>
      </c>
      <c r="I699">
        <v>3252</v>
      </c>
      <c r="J699">
        <v>2607</v>
      </c>
      <c r="K699">
        <v>645</v>
      </c>
      <c r="L699">
        <v>19.850000000000001</v>
      </c>
      <c r="M699">
        <v>1.94895449</v>
      </c>
      <c r="N699">
        <f>E699/_xlfn.XLOOKUP(C699,Lookups!$A$2:$A$66,Lookups!$C$2:$C$66)</f>
        <v>2.0420055544534814</v>
      </c>
    </row>
    <row r="700" spans="1:27" x14ac:dyDescent="0.2">
      <c r="A700">
        <v>103</v>
      </c>
      <c r="B700">
        <v>11</v>
      </c>
      <c r="C700" t="s">
        <v>196</v>
      </c>
      <c r="D700">
        <v>2019</v>
      </c>
      <c r="E700">
        <v>6528</v>
      </c>
      <c r="F700">
        <v>6328</v>
      </c>
      <c r="G700">
        <v>200</v>
      </c>
      <c r="H700">
        <v>2.4300000000000002</v>
      </c>
      <c r="I700">
        <v>3269</v>
      </c>
      <c r="J700">
        <v>2602</v>
      </c>
      <c r="K700">
        <v>667</v>
      </c>
      <c r="L700">
        <v>20.39</v>
      </c>
      <c r="M700">
        <v>1.9357601710000001</v>
      </c>
      <c r="N700">
        <f>E700/_xlfn.XLOOKUP(C700,Lookups!$A$2:$A$66,Lookups!$C$2:$C$66)</f>
        <v>2.0234080539575481</v>
      </c>
    </row>
    <row r="701" spans="1:27" x14ac:dyDescent="0.2">
      <c r="A701">
        <v>103</v>
      </c>
      <c r="B701">
        <v>11</v>
      </c>
      <c r="C701" t="s">
        <v>196</v>
      </c>
      <c r="D701">
        <v>2020</v>
      </c>
      <c r="E701">
        <v>6521</v>
      </c>
      <c r="F701">
        <v>6301</v>
      </c>
      <c r="G701">
        <v>220</v>
      </c>
      <c r="I701">
        <v>3279</v>
      </c>
      <c r="M701">
        <v>1.921622446</v>
      </c>
      <c r="N701">
        <f>E701/_xlfn.XLOOKUP(C701,Lookups!$A$2:$A$66,Lookups!$C$2:$C$66)</f>
        <v>2.0212383455663558</v>
      </c>
      <c r="O701">
        <v>6521</v>
      </c>
      <c r="P701">
        <v>54</v>
      </c>
      <c r="Q701">
        <v>8</v>
      </c>
      <c r="R701">
        <v>-15</v>
      </c>
      <c r="S701">
        <v>46</v>
      </c>
      <c r="T701">
        <v>3279</v>
      </c>
      <c r="W701">
        <v>6301</v>
      </c>
      <c r="X701">
        <v>8</v>
      </c>
      <c r="AA701">
        <v>1.921622446</v>
      </c>
    </row>
    <row r="702" spans="1:27" x14ac:dyDescent="0.2">
      <c r="A702">
        <v>103</v>
      </c>
      <c r="B702">
        <v>11</v>
      </c>
      <c r="C702" t="s">
        <v>196</v>
      </c>
      <c r="D702">
        <v>2021</v>
      </c>
      <c r="E702">
        <v>6443</v>
      </c>
      <c r="F702">
        <v>6258</v>
      </c>
      <c r="G702">
        <v>185</v>
      </c>
      <c r="I702">
        <v>3284</v>
      </c>
      <c r="M702">
        <v>1.905602923</v>
      </c>
      <c r="N702">
        <f>E702/_xlfn.XLOOKUP(C702,Lookups!$A$2:$A$66,Lookups!$C$2:$C$66)</f>
        <v>1.9970615949216426</v>
      </c>
      <c r="O702">
        <v>6443</v>
      </c>
      <c r="P702">
        <v>57</v>
      </c>
      <c r="Q702">
        <v>-11</v>
      </c>
      <c r="R702">
        <v>-67</v>
      </c>
      <c r="S702">
        <v>68</v>
      </c>
      <c r="T702">
        <v>3284</v>
      </c>
      <c r="W702">
        <v>6258</v>
      </c>
      <c r="X702">
        <v>12</v>
      </c>
      <c r="AA702">
        <v>1.905602923</v>
      </c>
    </row>
    <row r="703" spans="1:27" x14ac:dyDescent="0.2">
      <c r="A703">
        <v>103</v>
      </c>
      <c r="B703">
        <v>11</v>
      </c>
      <c r="C703" t="s">
        <v>196</v>
      </c>
      <c r="D703">
        <v>2022</v>
      </c>
      <c r="E703">
        <v>6558</v>
      </c>
      <c r="F703">
        <v>6352</v>
      </c>
      <c r="G703">
        <v>206</v>
      </c>
      <c r="I703">
        <v>3296</v>
      </c>
      <c r="M703">
        <v>1.9271844659999999</v>
      </c>
      <c r="N703">
        <f>E703/_xlfn.XLOOKUP(C703,Lookups!$A$2:$A$66,Lookups!$C$2:$C$66)</f>
        <v>2.0327068042055148</v>
      </c>
      <c r="O703">
        <v>6558</v>
      </c>
      <c r="P703">
        <v>63</v>
      </c>
      <c r="Q703">
        <v>-9</v>
      </c>
      <c r="R703">
        <v>124</v>
      </c>
      <c r="S703">
        <v>72</v>
      </c>
      <c r="T703">
        <v>3296</v>
      </c>
      <c r="W703">
        <v>6352</v>
      </c>
      <c r="X703">
        <v>32</v>
      </c>
      <c r="AA703">
        <v>1.9271844659999999</v>
      </c>
    </row>
    <row r="704" spans="1:27" x14ac:dyDescent="0.2">
      <c r="A704">
        <v>105</v>
      </c>
      <c r="B704">
        <v>8</v>
      </c>
      <c r="C704" t="s">
        <v>197</v>
      </c>
      <c r="D704">
        <v>2010</v>
      </c>
      <c r="E704">
        <v>12001</v>
      </c>
      <c r="F704">
        <v>11803</v>
      </c>
      <c r="G704">
        <v>198</v>
      </c>
      <c r="H704">
        <v>2.6</v>
      </c>
      <c r="I704">
        <v>6266</v>
      </c>
      <c r="J704">
        <v>4534</v>
      </c>
      <c r="K704">
        <v>1732</v>
      </c>
      <c r="L704">
        <v>27.64</v>
      </c>
      <c r="M704">
        <v>1.883657836</v>
      </c>
      <c r="N704">
        <f>E704/_xlfn.XLOOKUP(C704,Lookups!$A$2:$A$66,Lookups!$C$2:$C$66)</f>
        <v>13.14313875807688</v>
      </c>
    </row>
    <row r="705" spans="1:27" x14ac:dyDescent="0.2">
      <c r="A705">
        <v>105</v>
      </c>
      <c r="B705">
        <v>8</v>
      </c>
      <c r="C705" t="s">
        <v>197</v>
      </c>
      <c r="D705">
        <v>2011</v>
      </c>
      <c r="E705">
        <v>11957</v>
      </c>
      <c r="F705">
        <v>11765</v>
      </c>
      <c r="G705">
        <v>192</v>
      </c>
      <c r="H705">
        <v>2.46</v>
      </c>
      <c r="I705">
        <v>6301</v>
      </c>
      <c r="J705">
        <v>4788</v>
      </c>
      <c r="K705">
        <v>1513</v>
      </c>
      <c r="L705">
        <v>24.02</v>
      </c>
      <c r="M705">
        <v>1.8671639419999999</v>
      </c>
      <c r="N705">
        <f>E705/_xlfn.XLOOKUP(C705,Lookups!$A$2:$A$66,Lookups!$C$2:$C$66)</f>
        <v>13.094951264921695</v>
      </c>
    </row>
    <row r="706" spans="1:27" x14ac:dyDescent="0.2">
      <c r="A706">
        <v>105</v>
      </c>
      <c r="B706">
        <v>8</v>
      </c>
      <c r="C706" t="s">
        <v>197</v>
      </c>
      <c r="D706">
        <v>2012</v>
      </c>
      <c r="E706">
        <v>11912</v>
      </c>
      <c r="F706">
        <v>11727</v>
      </c>
      <c r="G706">
        <v>185</v>
      </c>
      <c r="H706">
        <v>2.4500000000000002</v>
      </c>
      <c r="I706">
        <v>6327</v>
      </c>
      <c r="J706">
        <v>4788</v>
      </c>
      <c r="K706">
        <v>1539</v>
      </c>
      <c r="L706">
        <v>24.33</v>
      </c>
      <c r="M706">
        <v>1.853485064</v>
      </c>
      <c r="N706">
        <f>E706/_xlfn.XLOOKUP(C706,Lookups!$A$2:$A$66,Lookups!$C$2:$C$66)</f>
        <v>13.045668601467527</v>
      </c>
    </row>
    <row r="707" spans="1:27" x14ac:dyDescent="0.2">
      <c r="A707">
        <v>105</v>
      </c>
      <c r="B707">
        <v>8</v>
      </c>
      <c r="C707" t="s">
        <v>197</v>
      </c>
      <c r="D707">
        <v>2013</v>
      </c>
      <c r="E707">
        <v>11868</v>
      </c>
      <c r="F707">
        <v>11689</v>
      </c>
      <c r="G707">
        <v>179</v>
      </c>
      <c r="H707">
        <v>2.44</v>
      </c>
      <c r="I707">
        <v>6365</v>
      </c>
      <c r="J707">
        <v>4788</v>
      </c>
      <c r="K707">
        <v>1577</v>
      </c>
      <c r="L707">
        <v>24.77</v>
      </c>
      <c r="M707">
        <v>1.8364493319999999</v>
      </c>
      <c r="N707">
        <f>E707/_xlfn.XLOOKUP(C707,Lookups!$A$2:$A$66,Lookups!$C$2:$C$66)</f>
        <v>12.997481108312343</v>
      </c>
    </row>
    <row r="708" spans="1:27" x14ac:dyDescent="0.2">
      <c r="A708">
        <v>105</v>
      </c>
      <c r="B708">
        <v>8</v>
      </c>
      <c r="C708" t="s">
        <v>197</v>
      </c>
      <c r="D708">
        <v>2014</v>
      </c>
      <c r="E708">
        <v>11823</v>
      </c>
      <c r="F708">
        <v>11651</v>
      </c>
      <c r="G708">
        <v>172</v>
      </c>
      <c r="H708">
        <v>2.4300000000000002</v>
      </c>
      <c r="I708">
        <v>6384</v>
      </c>
      <c r="J708">
        <v>4789</v>
      </c>
      <c r="K708">
        <v>1595</v>
      </c>
      <c r="L708">
        <v>24.99</v>
      </c>
      <c r="M708">
        <v>1.8250313279999999</v>
      </c>
      <c r="N708">
        <f>E708/_xlfn.XLOOKUP(C708,Lookups!$A$2:$A$66,Lookups!$C$2:$C$66)</f>
        <v>12.948198444858175</v>
      </c>
    </row>
    <row r="709" spans="1:27" x14ac:dyDescent="0.2">
      <c r="A709">
        <v>105</v>
      </c>
      <c r="B709">
        <v>8</v>
      </c>
      <c r="C709" t="s">
        <v>197</v>
      </c>
      <c r="D709">
        <v>2015</v>
      </c>
      <c r="E709">
        <v>11778</v>
      </c>
      <c r="F709">
        <v>11612</v>
      </c>
      <c r="G709">
        <v>166</v>
      </c>
      <c r="H709">
        <v>2.42</v>
      </c>
      <c r="I709">
        <v>6407</v>
      </c>
      <c r="J709">
        <v>4789</v>
      </c>
      <c r="K709">
        <v>1618</v>
      </c>
      <c r="L709">
        <v>25.25</v>
      </c>
      <c r="M709">
        <v>1.812392695</v>
      </c>
      <c r="N709">
        <f>E709/_xlfn.XLOOKUP(C709,Lookups!$A$2:$A$66,Lookups!$C$2:$C$66)</f>
        <v>12.898915781404009</v>
      </c>
    </row>
    <row r="710" spans="1:27" x14ac:dyDescent="0.2">
      <c r="A710">
        <v>105</v>
      </c>
      <c r="B710">
        <v>8</v>
      </c>
      <c r="C710" t="s">
        <v>197</v>
      </c>
      <c r="D710">
        <v>2016</v>
      </c>
      <c r="E710">
        <v>11734</v>
      </c>
      <c r="F710">
        <v>11574</v>
      </c>
      <c r="G710">
        <v>160</v>
      </c>
      <c r="H710">
        <v>2.42</v>
      </c>
      <c r="I710">
        <v>6431</v>
      </c>
      <c r="J710">
        <v>4789</v>
      </c>
      <c r="K710">
        <v>1642</v>
      </c>
      <c r="L710">
        <v>25.53</v>
      </c>
      <c r="M710">
        <v>1.7997201060000001</v>
      </c>
      <c r="N710">
        <f>E710/_xlfn.XLOOKUP(C710,Lookups!$A$2:$A$66,Lookups!$C$2:$C$66)</f>
        <v>12.850728288248822</v>
      </c>
    </row>
    <row r="711" spans="1:27" x14ac:dyDescent="0.2">
      <c r="A711">
        <v>105</v>
      </c>
      <c r="B711">
        <v>8</v>
      </c>
      <c r="C711" t="s">
        <v>197</v>
      </c>
      <c r="D711">
        <v>2017</v>
      </c>
      <c r="E711">
        <v>11688</v>
      </c>
      <c r="F711">
        <v>11535</v>
      </c>
      <c r="G711">
        <v>153</v>
      </c>
      <c r="H711">
        <v>2.41</v>
      </c>
      <c r="I711">
        <v>6440</v>
      </c>
      <c r="J711">
        <v>4790</v>
      </c>
      <c r="K711">
        <v>1650</v>
      </c>
      <c r="L711">
        <v>25.63</v>
      </c>
      <c r="M711">
        <v>1.791149068</v>
      </c>
      <c r="N711">
        <f>E711/_xlfn.XLOOKUP(C711,Lookups!$A$2:$A$66,Lookups!$C$2:$C$66)</f>
        <v>12.800350454495673</v>
      </c>
    </row>
    <row r="712" spans="1:27" x14ac:dyDescent="0.2">
      <c r="A712">
        <v>105</v>
      </c>
      <c r="B712">
        <v>8</v>
      </c>
      <c r="C712" t="s">
        <v>197</v>
      </c>
      <c r="D712">
        <v>2018</v>
      </c>
      <c r="E712">
        <v>11644</v>
      </c>
      <c r="F712">
        <v>11498</v>
      </c>
      <c r="G712">
        <v>147</v>
      </c>
      <c r="H712">
        <v>2.4</v>
      </c>
      <c r="I712">
        <v>6483</v>
      </c>
      <c r="J712">
        <v>4790</v>
      </c>
      <c r="K712">
        <v>1693</v>
      </c>
      <c r="L712">
        <v>26.11</v>
      </c>
      <c r="M712">
        <v>1.773561623</v>
      </c>
      <c r="N712">
        <f>E712/_xlfn.XLOOKUP(C712,Lookups!$A$2:$A$66,Lookups!$C$2:$C$66)</f>
        <v>12.752162961340488</v>
      </c>
    </row>
    <row r="713" spans="1:27" x14ac:dyDescent="0.2">
      <c r="A713">
        <v>105</v>
      </c>
      <c r="B713">
        <v>8</v>
      </c>
      <c r="C713" t="s">
        <v>197</v>
      </c>
      <c r="D713">
        <v>2019</v>
      </c>
      <c r="E713">
        <v>11600</v>
      </c>
      <c r="F713">
        <v>11459</v>
      </c>
      <c r="G713">
        <v>140</v>
      </c>
      <c r="H713">
        <v>2.39</v>
      </c>
      <c r="I713">
        <v>6506</v>
      </c>
      <c r="J713">
        <v>4791</v>
      </c>
      <c r="K713">
        <v>1715</v>
      </c>
      <c r="L713">
        <v>26.37</v>
      </c>
      <c r="M713">
        <v>1.761297264</v>
      </c>
      <c r="N713">
        <f>E713/_xlfn.XLOOKUP(C713,Lookups!$A$2:$A$66,Lookups!$C$2:$C$66)</f>
        <v>12.703975468185302</v>
      </c>
    </row>
    <row r="714" spans="1:27" x14ac:dyDescent="0.2">
      <c r="A714">
        <v>105</v>
      </c>
      <c r="B714">
        <v>8</v>
      </c>
      <c r="C714" t="s">
        <v>197</v>
      </c>
      <c r="D714">
        <v>2020</v>
      </c>
      <c r="E714">
        <v>11536</v>
      </c>
      <c r="F714">
        <v>11402</v>
      </c>
      <c r="G714">
        <v>134</v>
      </c>
      <c r="I714">
        <v>6533</v>
      </c>
      <c r="M714">
        <v>1.7452931270000001</v>
      </c>
      <c r="N714">
        <f>E714/_xlfn.XLOOKUP(C714,Lookups!$A$2:$A$66,Lookups!$C$2:$C$66)</f>
        <v>12.633884569050487</v>
      </c>
      <c r="O714">
        <v>11536</v>
      </c>
      <c r="P714">
        <v>111</v>
      </c>
      <c r="Q714">
        <v>-35</v>
      </c>
      <c r="R714">
        <v>-29</v>
      </c>
      <c r="S714">
        <v>146</v>
      </c>
      <c r="T714">
        <v>6533</v>
      </c>
      <c r="W714">
        <v>11402</v>
      </c>
      <c r="X714">
        <v>31</v>
      </c>
      <c r="AA714">
        <v>1.7452931270000001</v>
      </c>
    </row>
    <row r="715" spans="1:27" x14ac:dyDescent="0.2">
      <c r="A715">
        <v>105</v>
      </c>
      <c r="B715">
        <v>8</v>
      </c>
      <c r="C715" t="s">
        <v>197</v>
      </c>
      <c r="D715">
        <v>2021</v>
      </c>
      <c r="E715">
        <v>11404</v>
      </c>
      <c r="F715">
        <v>11280</v>
      </c>
      <c r="G715">
        <v>124</v>
      </c>
      <c r="I715">
        <v>6563</v>
      </c>
      <c r="M715">
        <v>1.7187261920000001</v>
      </c>
      <c r="N715">
        <f>E715/_xlfn.XLOOKUP(C715,Lookups!$A$2:$A$66,Lookups!$C$2:$C$66)</f>
        <v>12.489322089584929</v>
      </c>
      <c r="O715">
        <v>11404</v>
      </c>
      <c r="P715">
        <v>122</v>
      </c>
      <c r="Q715">
        <v>-39</v>
      </c>
      <c r="R715">
        <v>-93</v>
      </c>
      <c r="S715">
        <v>161</v>
      </c>
      <c r="T715">
        <v>6563</v>
      </c>
      <c r="W715">
        <v>11280</v>
      </c>
      <c r="X715">
        <v>35</v>
      </c>
      <c r="AA715">
        <v>1.7187261920000001</v>
      </c>
    </row>
    <row r="716" spans="1:27" x14ac:dyDescent="0.2">
      <c r="A716">
        <v>105</v>
      </c>
      <c r="B716">
        <v>8</v>
      </c>
      <c r="C716" t="s">
        <v>197</v>
      </c>
      <c r="D716">
        <v>2022</v>
      </c>
      <c r="E716">
        <v>11336</v>
      </c>
      <c r="F716">
        <v>11229</v>
      </c>
      <c r="G716">
        <v>107</v>
      </c>
      <c r="I716">
        <v>6606</v>
      </c>
      <c r="M716">
        <v>1.6998183469999999</v>
      </c>
      <c r="N716">
        <f>E716/_xlfn.XLOOKUP(C716,Lookups!$A$2:$A$66,Lookups!$C$2:$C$66)</f>
        <v>12.414850509254189</v>
      </c>
      <c r="O716">
        <v>11336</v>
      </c>
      <c r="P716">
        <v>109</v>
      </c>
      <c r="Q716">
        <v>-62</v>
      </c>
      <c r="R716">
        <v>-6</v>
      </c>
      <c r="S716">
        <v>171</v>
      </c>
      <c r="T716">
        <v>6606</v>
      </c>
      <c r="W716">
        <v>11229</v>
      </c>
      <c r="X716">
        <v>48</v>
      </c>
      <c r="AA716">
        <v>1.6998183469999999</v>
      </c>
    </row>
    <row r="717" spans="1:27" x14ac:dyDescent="0.2">
      <c r="A717">
        <v>107</v>
      </c>
      <c r="B717">
        <v>11</v>
      </c>
      <c r="C717" t="s">
        <v>198</v>
      </c>
      <c r="D717">
        <v>2010</v>
      </c>
      <c r="E717">
        <v>23439</v>
      </c>
      <c r="F717">
        <v>23104</v>
      </c>
      <c r="G717">
        <v>335</v>
      </c>
      <c r="H717">
        <v>2.4500000000000002</v>
      </c>
      <c r="I717">
        <v>15591</v>
      </c>
      <c r="J717">
        <v>9440</v>
      </c>
      <c r="K717">
        <v>6151</v>
      </c>
      <c r="L717">
        <v>39.450000000000003</v>
      </c>
      <c r="M717">
        <v>1.4818805719999999</v>
      </c>
      <c r="N717">
        <f>E717/_xlfn.XLOOKUP(C717,Lookups!$A$2:$A$66,Lookups!$C$2:$C$66)</f>
        <v>9.9229079086071348</v>
      </c>
    </row>
    <row r="718" spans="1:27" x14ac:dyDescent="0.2">
      <c r="A718">
        <v>107</v>
      </c>
      <c r="B718">
        <v>11</v>
      </c>
      <c r="C718" t="s">
        <v>198</v>
      </c>
      <c r="D718">
        <v>2011</v>
      </c>
      <c r="E718">
        <v>23485</v>
      </c>
      <c r="F718">
        <v>23148</v>
      </c>
      <c r="G718">
        <v>337</v>
      </c>
      <c r="H718">
        <v>2.34</v>
      </c>
      <c r="I718">
        <v>15617</v>
      </c>
      <c r="J718">
        <v>9876</v>
      </c>
      <c r="K718">
        <v>5741</v>
      </c>
      <c r="L718">
        <v>36.76</v>
      </c>
      <c r="M718">
        <v>1.482230902</v>
      </c>
      <c r="N718">
        <f>E718/_xlfn.XLOOKUP(C718,Lookups!$A$2:$A$66,Lookups!$C$2:$C$66)</f>
        <v>9.9423820228524491</v>
      </c>
    </row>
    <row r="719" spans="1:27" x14ac:dyDescent="0.2">
      <c r="A719">
        <v>107</v>
      </c>
      <c r="B719">
        <v>11</v>
      </c>
      <c r="C719" t="s">
        <v>198</v>
      </c>
      <c r="D719">
        <v>2012</v>
      </c>
      <c r="E719">
        <v>23525</v>
      </c>
      <c r="F719">
        <v>23186</v>
      </c>
      <c r="G719">
        <v>338</v>
      </c>
      <c r="H719">
        <v>2.35</v>
      </c>
      <c r="I719">
        <v>15638</v>
      </c>
      <c r="J719">
        <v>9887</v>
      </c>
      <c r="K719">
        <v>5751</v>
      </c>
      <c r="L719">
        <v>36.78</v>
      </c>
      <c r="M719">
        <v>1.4826704180000001</v>
      </c>
      <c r="N719">
        <f>E719/_xlfn.XLOOKUP(C719,Lookups!$A$2:$A$66,Lookups!$C$2:$C$66)</f>
        <v>9.959316035239679</v>
      </c>
    </row>
    <row r="720" spans="1:27" x14ac:dyDescent="0.2">
      <c r="A720">
        <v>107</v>
      </c>
      <c r="B720">
        <v>11</v>
      </c>
      <c r="C720" t="s">
        <v>198</v>
      </c>
      <c r="D720">
        <v>2013</v>
      </c>
      <c r="E720">
        <v>23578</v>
      </c>
      <c r="F720">
        <v>23238</v>
      </c>
      <c r="G720">
        <v>340</v>
      </c>
      <c r="H720">
        <v>2.35</v>
      </c>
      <c r="I720">
        <v>15670</v>
      </c>
      <c r="J720">
        <v>9903</v>
      </c>
      <c r="K720">
        <v>5767</v>
      </c>
      <c r="L720">
        <v>36.799999999999997</v>
      </c>
      <c r="M720">
        <v>1.4829610719999999</v>
      </c>
      <c r="N720">
        <f>E720/_xlfn.XLOOKUP(C720,Lookups!$A$2:$A$66,Lookups!$C$2:$C$66)</f>
        <v>9.981753601652759</v>
      </c>
    </row>
    <row r="721" spans="1:27" x14ac:dyDescent="0.2">
      <c r="A721">
        <v>107</v>
      </c>
      <c r="B721">
        <v>11</v>
      </c>
      <c r="C721" t="s">
        <v>198</v>
      </c>
      <c r="D721">
        <v>2014</v>
      </c>
      <c r="E721">
        <v>23659</v>
      </c>
      <c r="F721">
        <v>23318</v>
      </c>
      <c r="G721">
        <v>341</v>
      </c>
      <c r="H721">
        <v>2.35</v>
      </c>
      <c r="I721">
        <v>15725</v>
      </c>
      <c r="J721">
        <v>9932</v>
      </c>
      <c r="K721">
        <v>5793</v>
      </c>
      <c r="L721">
        <v>36.840000000000003</v>
      </c>
      <c r="M721">
        <v>1.482861685</v>
      </c>
      <c r="N721">
        <f>E721/_xlfn.XLOOKUP(C721,Lookups!$A$2:$A$66,Lookups!$C$2:$C$66)</f>
        <v>10.0160449767369</v>
      </c>
    </row>
    <row r="722" spans="1:27" x14ac:dyDescent="0.2">
      <c r="A722">
        <v>107</v>
      </c>
      <c r="B722">
        <v>11</v>
      </c>
      <c r="C722" t="s">
        <v>198</v>
      </c>
      <c r="D722">
        <v>2015</v>
      </c>
      <c r="E722">
        <v>23824</v>
      </c>
      <c r="F722">
        <v>23481</v>
      </c>
      <c r="G722">
        <v>343</v>
      </c>
      <c r="H722">
        <v>2.35</v>
      </c>
      <c r="I722">
        <v>15848</v>
      </c>
      <c r="J722">
        <v>9996</v>
      </c>
      <c r="K722">
        <v>5852</v>
      </c>
      <c r="L722">
        <v>36.93</v>
      </c>
      <c r="M722">
        <v>1.481638062</v>
      </c>
      <c r="N722">
        <f>E722/_xlfn.XLOOKUP(C722,Lookups!$A$2:$A$66,Lookups!$C$2:$C$66)</f>
        <v>10.085897777834225</v>
      </c>
    </row>
    <row r="723" spans="1:27" x14ac:dyDescent="0.2">
      <c r="A723">
        <v>107</v>
      </c>
      <c r="B723">
        <v>11</v>
      </c>
      <c r="C723" t="s">
        <v>198</v>
      </c>
      <c r="D723">
        <v>2016</v>
      </c>
      <c r="E723">
        <v>23952</v>
      </c>
      <c r="F723">
        <v>23608</v>
      </c>
      <c r="G723">
        <v>345</v>
      </c>
      <c r="H723">
        <v>2.35</v>
      </c>
      <c r="I723">
        <v>15941</v>
      </c>
      <c r="J723">
        <v>10045</v>
      </c>
      <c r="K723">
        <v>5896</v>
      </c>
      <c r="L723">
        <v>36.99</v>
      </c>
      <c r="M723">
        <v>1.4809610440000001</v>
      </c>
      <c r="N723">
        <f>E723/_xlfn.XLOOKUP(C723,Lookups!$A$2:$A$66,Lookups!$C$2:$C$66)</f>
        <v>10.14008661747336</v>
      </c>
    </row>
    <row r="724" spans="1:27" x14ac:dyDescent="0.2">
      <c r="A724">
        <v>107</v>
      </c>
      <c r="B724">
        <v>11</v>
      </c>
      <c r="C724" t="s">
        <v>198</v>
      </c>
      <c r="D724">
        <v>2017</v>
      </c>
      <c r="E724">
        <v>24162</v>
      </c>
      <c r="F724">
        <v>23816</v>
      </c>
      <c r="G724">
        <v>346</v>
      </c>
      <c r="H724">
        <v>2.35</v>
      </c>
      <c r="I724">
        <v>16100</v>
      </c>
      <c r="J724">
        <v>10127</v>
      </c>
      <c r="K724">
        <v>5973</v>
      </c>
      <c r="L724">
        <v>37.1</v>
      </c>
      <c r="M724">
        <v>1.4792546579999999</v>
      </c>
      <c r="N724">
        <f>E724/_xlfn.XLOOKUP(C724,Lookups!$A$2:$A$66,Lookups!$C$2:$C$66)</f>
        <v>10.228990182506317</v>
      </c>
    </row>
    <row r="725" spans="1:27" x14ac:dyDescent="0.2">
      <c r="A725">
        <v>107</v>
      </c>
      <c r="B725">
        <v>11</v>
      </c>
      <c r="C725" t="s">
        <v>198</v>
      </c>
      <c r="D725">
        <v>2018</v>
      </c>
      <c r="E725">
        <v>24314</v>
      </c>
      <c r="F725">
        <v>23966</v>
      </c>
      <c r="G725">
        <v>348</v>
      </c>
      <c r="H725">
        <v>2.35</v>
      </c>
      <c r="I725">
        <v>16212</v>
      </c>
      <c r="J725">
        <v>10186</v>
      </c>
      <c r="K725">
        <v>6026</v>
      </c>
      <c r="L725">
        <v>37.17</v>
      </c>
      <c r="M725">
        <v>1.478287688</v>
      </c>
      <c r="N725">
        <f>E725/_xlfn.XLOOKUP(C725,Lookups!$A$2:$A$66,Lookups!$C$2:$C$66)</f>
        <v>10.293339429577792</v>
      </c>
    </row>
    <row r="726" spans="1:27" x14ac:dyDescent="0.2">
      <c r="A726">
        <v>107</v>
      </c>
      <c r="B726">
        <v>11</v>
      </c>
      <c r="C726" t="s">
        <v>198</v>
      </c>
      <c r="D726">
        <v>2019</v>
      </c>
      <c r="E726">
        <v>24521</v>
      </c>
      <c r="F726">
        <v>24171</v>
      </c>
      <c r="G726">
        <v>349</v>
      </c>
      <c r="H726">
        <v>2.35</v>
      </c>
      <c r="I726">
        <v>16369</v>
      </c>
      <c r="J726">
        <v>10268</v>
      </c>
      <c r="K726">
        <v>6101</v>
      </c>
      <c r="L726">
        <v>37.270000000000003</v>
      </c>
      <c r="M726">
        <v>1.4766326590000001</v>
      </c>
      <c r="N726">
        <f>E726/_xlfn.XLOOKUP(C726,Lookups!$A$2:$A$66,Lookups!$C$2:$C$66)</f>
        <v>10.380972943681707</v>
      </c>
    </row>
    <row r="727" spans="1:27" x14ac:dyDescent="0.2">
      <c r="A727">
        <v>107</v>
      </c>
      <c r="B727">
        <v>11</v>
      </c>
      <c r="C727" t="s">
        <v>198</v>
      </c>
      <c r="D727">
        <v>2020</v>
      </c>
      <c r="E727">
        <v>24834</v>
      </c>
      <c r="F727">
        <v>24483</v>
      </c>
      <c r="G727">
        <v>351</v>
      </c>
      <c r="I727">
        <v>16572</v>
      </c>
      <c r="M727">
        <v>1.47737147</v>
      </c>
      <c r="N727">
        <f>E727/_xlfn.XLOOKUP(C727,Lookups!$A$2:$A$66,Lookups!$C$2:$C$66)</f>
        <v>10.513481590611782</v>
      </c>
      <c r="O727">
        <v>24834</v>
      </c>
      <c r="P727">
        <v>194</v>
      </c>
      <c r="Q727">
        <v>64</v>
      </c>
      <c r="R727">
        <v>249</v>
      </c>
      <c r="S727">
        <v>130</v>
      </c>
      <c r="T727">
        <v>16572</v>
      </c>
      <c r="W727">
        <v>24483</v>
      </c>
      <c r="X727">
        <v>285</v>
      </c>
      <c r="AA727">
        <v>1.47737147</v>
      </c>
    </row>
    <row r="728" spans="1:27" x14ac:dyDescent="0.2">
      <c r="A728">
        <v>107</v>
      </c>
      <c r="B728">
        <v>11</v>
      </c>
      <c r="C728" t="s">
        <v>198</v>
      </c>
      <c r="D728">
        <v>2021</v>
      </c>
      <c r="E728">
        <v>25061</v>
      </c>
      <c r="F728">
        <v>24779</v>
      </c>
      <c r="G728">
        <v>282</v>
      </c>
      <c r="I728">
        <v>16824</v>
      </c>
      <c r="M728">
        <v>1.472836424</v>
      </c>
      <c r="N728">
        <f>E728/_xlfn.XLOOKUP(C728,Lookups!$A$2:$A$66,Lookups!$C$2:$C$66)</f>
        <v>10.609582110909313</v>
      </c>
      <c r="O728">
        <v>25061</v>
      </c>
      <c r="P728">
        <v>182</v>
      </c>
      <c r="Q728">
        <v>65</v>
      </c>
      <c r="R728">
        <v>162</v>
      </c>
      <c r="S728">
        <v>117</v>
      </c>
      <c r="T728">
        <v>16824</v>
      </c>
      <c r="W728">
        <v>24779</v>
      </c>
      <c r="X728">
        <v>215</v>
      </c>
      <c r="AA728">
        <v>1.472836424</v>
      </c>
    </row>
    <row r="729" spans="1:27" x14ac:dyDescent="0.2">
      <c r="A729">
        <v>107</v>
      </c>
      <c r="B729">
        <v>11</v>
      </c>
      <c r="C729" t="s">
        <v>198</v>
      </c>
      <c r="D729">
        <v>2022</v>
      </c>
      <c r="E729">
        <v>25027</v>
      </c>
      <c r="F729">
        <v>24687</v>
      </c>
      <c r="G729">
        <v>340</v>
      </c>
      <c r="I729">
        <v>17102</v>
      </c>
      <c r="M729">
        <v>1.4435153780000001</v>
      </c>
      <c r="N729">
        <f>E729/_xlfn.XLOOKUP(C729,Lookups!$A$2:$A$66,Lookups!$C$2:$C$66)</f>
        <v>10.595188200380168</v>
      </c>
      <c r="O729">
        <v>25027</v>
      </c>
      <c r="P729">
        <v>219</v>
      </c>
      <c r="Q729">
        <v>74</v>
      </c>
      <c r="R729">
        <v>-108</v>
      </c>
      <c r="S729">
        <v>145</v>
      </c>
      <c r="T729">
        <v>17102</v>
      </c>
      <c r="W729">
        <v>24687</v>
      </c>
      <c r="X729">
        <v>438</v>
      </c>
      <c r="AA729">
        <v>1.4435153780000001</v>
      </c>
    </row>
    <row r="730" spans="1:27" x14ac:dyDescent="0.2">
      <c r="A730">
        <v>109</v>
      </c>
      <c r="B730">
        <v>8</v>
      </c>
      <c r="C730" t="s">
        <v>199</v>
      </c>
      <c r="D730">
        <v>2010</v>
      </c>
      <c r="E730">
        <v>6144</v>
      </c>
      <c r="F730">
        <v>6126</v>
      </c>
      <c r="G730">
        <v>18</v>
      </c>
      <c r="H730">
        <v>2.72</v>
      </c>
      <c r="I730">
        <v>3231</v>
      </c>
      <c r="J730">
        <v>2249</v>
      </c>
      <c r="K730">
        <v>982</v>
      </c>
      <c r="L730">
        <v>30.39</v>
      </c>
      <c r="M730">
        <v>1.8960074280000001</v>
      </c>
      <c r="N730">
        <f>E730/_xlfn.XLOOKUP(C730,Lookups!$A$2:$A$66,Lookups!$C$2:$C$66)</f>
        <v>1.939198060801939</v>
      </c>
    </row>
    <row r="731" spans="1:27" x14ac:dyDescent="0.2">
      <c r="A731">
        <v>109</v>
      </c>
      <c r="B731">
        <v>8</v>
      </c>
      <c r="C731" t="s">
        <v>199</v>
      </c>
      <c r="D731">
        <v>2011</v>
      </c>
      <c r="E731">
        <v>6156</v>
      </c>
      <c r="F731">
        <v>6136</v>
      </c>
      <c r="G731">
        <v>20</v>
      </c>
      <c r="H731">
        <v>2.2999999999999998</v>
      </c>
      <c r="I731">
        <v>3266</v>
      </c>
      <c r="J731">
        <v>2665</v>
      </c>
      <c r="K731">
        <v>601</v>
      </c>
      <c r="L731">
        <v>18.39</v>
      </c>
      <c r="M731">
        <v>1.8787507649999999</v>
      </c>
      <c r="N731">
        <f>E731/_xlfn.XLOOKUP(C731,Lookups!$A$2:$A$66,Lookups!$C$2:$C$66)</f>
        <v>1.942985557014443</v>
      </c>
    </row>
    <row r="732" spans="1:27" x14ac:dyDescent="0.2">
      <c r="A732">
        <v>109</v>
      </c>
      <c r="B732">
        <v>8</v>
      </c>
      <c r="C732" t="s">
        <v>199</v>
      </c>
      <c r="D732">
        <v>2012</v>
      </c>
      <c r="E732">
        <v>6158</v>
      </c>
      <c r="F732">
        <v>6137</v>
      </c>
      <c r="G732">
        <v>21</v>
      </c>
      <c r="H732">
        <v>2.29</v>
      </c>
      <c r="I732">
        <v>3290</v>
      </c>
      <c r="J732">
        <v>2675</v>
      </c>
      <c r="K732">
        <v>615</v>
      </c>
      <c r="L732">
        <v>18.71</v>
      </c>
      <c r="M732">
        <v>1.8653495440000001</v>
      </c>
      <c r="N732">
        <f>E732/_xlfn.XLOOKUP(C732,Lookups!$A$2:$A$66,Lookups!$C$2:$C$66)</f>
        <v>1.9436168063831936</v>
      </c>
    </row>
    <row r="733" spans="1:27" x14ac:dyDescent="0.2">
      <c r="A733">
        <v>109</v>
      </c>
      <c r="B733">
        <v>8</v>
      </c>
      <c r="C733" t="s">
        <v>199</v>
      </c>
      <c r="D733">
        <v>2013</v>
      </c>
      <c r="E733">
        <v>6166</v>
      </c>
      <c r="F733">
        <v>6144</v>
      </c>
      <c r="G733">
        <v>23</v>
      </c>
      <c r="H733">
        <v>2.29</v>
      </c>
      <c r="I733">
        <v>3321</v>
      </c>
      <c r="J733">
        <v>2686</v>
      </c>
      <c r="K733">
        <v>635</v>
      </c>
      <c r="L733">
        <v>19.11</v>
      </c>
      <c r="M733">
        <v>1.850045167</v>
      </c>
      <c r="N733">
        <f>E733/_xlfn.XLOOKUP(C733,Lookups!$A$2:$A$66,Lookups!$C$2:$C$66)</f>
        <v>1.9461418038581961</v>
      </c>
    </row>
    <row r="734" spans="1:27" x14ac:dyDescent="0.2">
      <c r="A734">
        <v>109</v>
      </c>
      <c r="B734">
        <v>8</v>
      </c>
      <c r="C734" t="s">
        <v>199</v>
      </c>
      <c r="D734">
        <v>2014</v>
      </c>
      <c r="E734">
        <v>6175</v>
      </c>
      <c r="F734">
        <v>6151</v>
      </c>
      <c r="G734">
        <v>24</v>
      </c>
      <c r="H734">
        <v>2.2799999999999998</v>
      </c>
      <c r="I734">
        <v>3353</v>
      </c>
      <c r="J734">
        <v>2699</v>
      </c>
      <c r="K734">
        <v>654</v>
      </c>
      <c r="L734">
        <v>19.510000000000002</v>
      </c>
      <c r="M734">
        <v>1.834476588</v>
      </c>
      <c r="N734">
        <f>E734/_xlfn.XLOOKUP(C734,Lookups!$A$2:$A$66,Lookups!$C$2:$C$66)</f>
        <v>1.9489824260175739</v>
      </c>
    </row>
    <row r="735" spans="1:27" x14ac:dyDescent="0.2">
      <c r="A735">
        <v>109</v>
      </c>
      <c r="B735">
        <v>8</v>
      </c>
      <c r="C735" t="s">
        <v>199</v>
      </c>
      <c r="D735">
        <v>2015</v>
      </c>
      <c r="E735">
        <v>6183</v>
      </c>
      <c r="F735">
        <v>6157</v>
      </c>
      <c r="G735">
        <v>26</v>
      </c>
      <c r="H735">
        <v>2.27</v>
      </c>
      <c r="I735">
        <v>3384</v>
      </c>
      <c r="J735">
        <v>2711</v>
      </c>
      <c r="K735">
        <v>673</v>
      </c>
      <c r="L735">
        <v>19.899999999999999</v>
      </c>
      <c r="M735">
        <v>1.8194444439999999</v>
      </c>
      <c r="N735">
        <f>E735/_xlfn.XLOOKUP(C735,Lookups!$A$2:$A$66,Lookups!$C$2:$C$66)</f>
        <v>1.9515074234925764</v>
      </c>
    </row>
    <row r="736" spans="1:27" x14ac:dyDescent="0.2">
      <c r="A736">
        <v>109</v>
      </c>
      <c r="B736">
        <v>8</v>
      </c>
      <c r="C736" t="s">
        <v>199</v>
      </c>
      <c r="D736">
        <v>2016</v>
      </c>
      <c r="E736">
        <v>6188</v>
      </c>
      <c r="F736">
        <v>6160</v>
      </c>
      <c r="G736">
        <v>28</v>
      </c>
      <c r="H736">
        <v>2.2599999999999998</v>
      </c>
      <c r="I736">
        <v>3412</v>
      </c>
      <c r="J736">
        <v>2721</v>
      </c>
      <c r="K736">
        <v>691</v>
      </c>
      <c r="L736">
        <v>20.239999999999998</v>
      </c>
      <c r="M736">
        <v>1.8053927320000001</v>
      </c>
      <c r="N736">
        <f>E736/_xlfn.XLOOKUP(C736,Lookups!$A$2:$A$66,Lookups!$C$2:$C$66)</f>
        <v>1.953085546914453</v>
      </c>
    </row>
    <row r="737" spans="1:27" x14ac:dyDescent="0.2">
      <c r="A737">
        <v>109</v>
      </c>
      <c r="B737">
        <v>8</v>
      </c>
      <c r="C737" t="s">
        <v>199</v>
      </c>
      <c r="D737">
        <v>2017</v>
      </c>
      <c r="E737">
        <v>6214</v>
      </c>
      <c r="F737">
        <v>6184</v>
      </c>
      <c r="G737">
        <v>29</v>
      </c>
      <c r="H737">
        <v>2.2599999999999998</v>
      </c>
      <c r="I737">
        <v>3464</v>
      </c>
      <c r="J737">
        <v>2741</v>
      </c>
      <c r="K737">
        <v>723</v>
      </c>
      <c r="L737">
        <v>20.86</v>
      </c>
      <c r="M737">
        <v>1.7852193999999999</v>
      </c>
      <c r="N737">
        <f>E737/_xlfn.XLOOKUP(C737,Lookups!$A$2:$A$66,Lookups!$C$2:$C$66)</f>
        <v>1.9612917887082111</v>
      </c>
    </row>
    <row r="738" spans="1:27" x14ac:dyDescent="0.2">
      <c r="A738">
        <v>109</v>
      </c>
      <c r="B738">
        <v>8</v>
      </c>
      <c r="C738" t="s">
        <v>199</v>
      </c>
      <c r="D738">
        <v>2018</v>
      </c>
      <c r="E738">
        <v>6276</v>
      </c>
      <c r="F738">
        <v>6245</v>
      </c>
      <c r="G738">
        <v>31</v>
      </c>
      <c r="H738">
        <v>2.25</v>
      </c>
      <c r="I738">
        <v>3559</v>
      </c>
      <c r="J738">
        <v>2778</v>
      </c>
      <c r="K738">
        <v>781</v>
      </c>
      <c r="L738">
        <v>21.95</v>
      </c>
      <c r="M738">
        <v>1.7547063780000001</v>
      </c>
      <c r="N738">
        <f>E738/_xlfn.XLOOKUP(C738,Lookups!$A$2:$A$66,Lookups!$C$2:$C$66)</f>
        <v>1.9808605191394808</v>
      </c>
    </row>
    <row r="739" spans="1:27" x14ac:dyDescent="0.2">
      <c r="A739">
        <v>109</v>
      </c>
      <c r="B739">
        <v>8</v>
      </c>
      <c r="C739" t="s">
        <v>199</v>
      </c>
      <c r="D739">
        <v>2019</v>
      </c>
      <c r="E739">
        <v>6359</v>
      </c>
      <c r="F739">
        <v>6327</v>
      </c>
      <c r="G739">
        <v>32</v>
      </c>
      <c r="H739">
        <v>2.2400000000000002</v>
      </c>
      <c r="I739">
        <v>3679</v>
      </c>
      <c r="J739">
        <v>2824</v>
      </c>
      <c r="K739">
        <v>855</v>
      </c>
      <c r="L739">
        <v>23.25</v>
      </c>
      <c r="M739">
        <v>1.7197608049999999</v>
      </c>
      <c r="N739">
        <f>E739/_xlfn.XLOOKUP(C739,Lookups!$A$2:$A$66,Lookups!$C$2:$C$66)</f>
        <v>2.007057367942632</v>
      </c>
    </row>
    <row r="740" spans="1:27" x14ac:dyDescent="0.2">
      <c r="A740">
        <v>109</v>
      </c>
      <c r="B740">
        <v>8</v>
      </c>
      <c r="C740" t="s">
        <v>199</v>
      </c>
      <c r="D740">
        <v>2020</v>
      </c>
      <c r="E740">
        <v>6390</v>
      </c>
      <c r="F740">
        <v>6374</v>
      </c>
      <c r="G740">
        <v>16</v>
      </c>
      <c r="I740">
        <v>3760</v>
      </c>
      <c r="M740">
        <v>1.695212766</v>
      </c>
      <c r="N740">
        <f>E740/_xlfn.XLOOKUP(C740,Lookups!$A$2:$A$66,Lookups!$C$2:$C$66)</f>
        <v>2.0168417331582669</v>
      </c>
      <c r="O740">
        <v>6390</v>
      </c>
      <c r="P740">
        <v>41</v>
      </c>
      <c r="Q740">
        <v>-7</v>
      </c>
      <c r="R740">
        <v>38</v>
      </c>
      <c r="S740">
        <v>48</v>
      </c>
      <c r="T740">
        <v>3760</v>
      </c>
      <c r="W740">
        <v>6374</v>
      </c>
      <c r="X740">
        <v>54</v>
      </c>
      <c r="AA740">
        <v>1.695212766</v>
      </c>
    </row>
    <row r="741" spans="1:27" x14ac:dyDescent="0.2">
      <c r="A741">
        <v>109</v>
      </c>
      <c r="B741">
        <v>8</v>
      </c>
      <c r="C741" t="s">
        <v>199</v>
      </c>
      <c r="D741">
        <v>2021</v>
      </c>
      <c r="E741">
        <v>6507</v>
      </c>
      <c r="F741">
        <v>6491</v>
      </c>
      <c r="G741">
        <v>16</v>
      </c>
      <c r="I741">
        <v>3814</v>
      </c>
      <c r="M741">
        <v>1.701887782</v>
      </c>
      <c r="N741">
        <f>E741/_xlfn.XLOOKUP(C741,Lookups!$A$2:$A$66,Lookups!$C$2:$C$66)</f>
        <v>2.0537698212301785</v>
      </c>
      <c r="O741">
        <v>6507</v>
      </c>
      <c r="P741">
        <v>62</v>
      </c>
      <c r="Q741">
        <v>-7</v>
      </c>
      <c r="R741">
        <v>124</v>
      </c>
      <c r="S741">
        <v>69</v>
      </c>
      <c r="T741">
        <v>3814</v>
      </c>
      <c r="W741">
        <v>6491</v>
      </c>
      <c r="X741">
        <v>101</v>
      </c>
      <c r="AA741">
        <v>1.701887782</v>
      </c>
    </row>
    <row r="742" spans="1:27" x14ac:dyDescent="0.2">
      <c r="A742">
        <v>109</v>
      </c>
      <c r="B742">
        <v>8</v>
      </c>
      <c r="C742" t="s">
        <v>199</v>
      </c>
      <c r="D742">
        <v>2022</v>
      </c>
      <c r="E742">
        <v>6616</v>
      </c>
      <c r="F742">
        <v>6600</v>
      </c>
      <c r="G742">
        <v>16</v>
      </c>
      <c r="I742">
        <v>3914</v>
      </c>
      <c r="M742">
        <v>1.686254471</v>
      </c>
      <c r="N742">
        <f>E742/_xlfn.XLOOKUP(C742,Lookups!$A$2:$A$66,Lookups!$C$2:$C$66)</f>
        <v>2.0881729118270882</v>
      </c>
      <c r="O742">
        <v>6616</v>
      </c>
      <c r="P742">
        <v>65</v>
      </c>
      <c r="Q742">
        <v>-21</v>
      </c>
      <c r="R742">
        <v>130</v>
      </c>
      <c r="S742">
        <v>86</v>
      </c>
      <c r="T742">
        <v>3914</v>
      </c>
      <c r="W742">
        <v>6600</v>
      </c>
      <c r="X742">
        <v>84</v>
      </c>
      <c r="AA742">
        <v>1.686254471</v>
      </c>
    </row>
    <row r="743" spans="1:27" x14ac:dyDescent="0.2">
      <c r="A743">
        <v>111</v>
      </c>
      <c r="B743">
        <v>9</v>
      </c>
      <c r="C743" t="s">
        <v>200</v>
      </c>
      <c r="D743">
        <v>2010</v>
      </c>
      <c r="E743">
        <v>709</v>
      </c>
      <c r="F743">
        <v>709</v>
      </c>
      <c r="G743">
        <v>0</v>
      </c>
      <c r="H743">
        <v>2.0499999999999998</v>
      </c>
      <c r="I743">
        <v>739</v>
      </c>
      <c r="J743">
        <v>346</v>
      </c>
      <c r="K743">
        <v>393</v>
      </c>
      <c r="L743">
        <v>53.18</v>
      </c>
      <c r="M743">
        <v>0.95940460100000002</v>
      </c>
      <c r="N743">
        <f>E743/_xlfn.XLOOKUP(C743,Lookups!$A$2:$A$66,Lookups!$C$2:$C$66)</f>
        <v>1.8226689632124218</v>
      </c>
    </row>
    <row r="744" spans="1:27" x14ac:dyDescent="0.2">
      <c r="A744">
        <v>111</v>
      </c>
      <c r="B744">
        <v>9</v>
      </c>
      <c r="C744" t="s">
        <v>200</v>
      </c>
      <c r="D744">
        <v>2011</v>
      </c>
      <c r="E744">
        <v>706</v>
      </c>
      <c r="F744">
        <v>706</v>
      </c>
      <c r="G744">
        <v>0</v>
      </c>
      <c r="H744">
        <v>2.02</v>
      </c>
      <c r="I744">
        <v>740</v>
      </c>
      <c r="J744">
        <v>349</v>
      </c>
      <c r="K744">
        <v>391</v>
      </c>
      <c r="L744">
        <v>52.77</v>
      </c>
      <c r="M744">
        <v>0.95405405399999998</v>
      </c>
      <c r="N744">
        <f>E744/_xlfn.XLOOKUP(C744,Lookups!$A$2:$A$66,Lookups!$C$2:$C$66)</f>
        <v>1.8149566826910717</v>
      </c>
    </row>
    <row r="745" spans="1:27" x14ac:dyDescent="0.2">
      <c r="A745">
        <v>111</v>
      </c>
      <c r="B745">
        <v>9</v>
      </c>
      <c r="C745" t="s">
        <v>200</v>
      </c>
      <c r="D745">
        <v>2012</v>
      </c>
      <c r="E745">
        <v>703</v>
      </c>
      <c r="F745">
        <v>703</v>
      </c>
      <c r="G745">
        <v>0</v>
      </c>
      <c r="H745">
        <v>2.0099999999999998</v>
      </c>
      <c r="I745">
        <v>741</v>
      </c>
      <c r="J745">
        <v>350</v>
      </c>
      <c r="K745">
        <v>391</v>
      </c>
      <c r="L745">
        <v>52.77</v>
      </c>
      <c r="M745">
        <v>0.94871794899999995</v>
      </c>
      <c r="N745">
        <f>E745/_xlfn.XLOOKUP(C745,Lookups!$A$2:$A$66,Lookups!$C$2:$C$66)</f>
        <v>1.8072444021697216</v>
      </c>
    </row>
    <row r="746" spans="1:27" x14ac:dyDescent="0.2">
      <c r="A746">
        <v>111</v>
      </c>
      <c r="B746">
        <v>9</v>
      </c>
      <c r="C746" t="s">
        <v>200</v>
      </c>
      <c r="D746">
        <v>2013</v>
      </c>
      <c r="E746">
        <v>704</v>
      </c>
      <c r="F746">
        <v>704</v>
      </c>
      <c r="G746">
        <v>0</v>
      </c>
      <c r="H746">
        <v>1.99</v>
      </c>
      <c r="I746">
        <v>747</v>
      </c>
      <c r="J746">
        <v>353</v>
      </c>
      <c r="K746">
        <v>394</v>
      </c>
      <c r="L746">
        <v>52.76</v>
      </c>
      <c r="M746">
        <v>0.94243641199999995</v>
      </c>
      <c r="N746">
        <f>E746/_xlfn.XLOOKUP(C746,Lookups!$A$2:$A$66,Lookups!$C$2:$C$66)</f>
        <v>1.809815162343505</v>
      </c>
    </row>
    <row r="747" spans="1:27" x14ac:dyDescent="0.2">
      <c r="A747">
        <v>111</v>
      </c>
      <c r="B747">
        <v>9</v>
      </c>
      <c r="C747" t="s">
        <v>200</v>
      </c>
      <c r="D747">
        <v>2014</v>
      </c>
      <c r="E747">
        <v>700</v>
      </c>
      <c r="F747">
        <v>700</v>
      </c>
      <c r="G747">
        <v>0</v>
      </c>
      <c r="H747">
        <v>1.98</v>
      </c>
      <c r="I747">
        <v>747</v>
      </c>
      <c r="J747">
        <v>353</v>
      </c>
      <c r="K747">
        <v>394</v>
      </c>
      <c r="L747">
        <v>52.76</v>
      </c>
      <c r="M747">
        <v>0.93708166000000004</v>
      </c>
      <c r="N747">
        <f>E747/_xlfn.XLOOKUP(C747,Lookups!$A$2:$A$66,Lookups!$C$2:$C$66)</f>
        <v>1.7995321216483713</v>
      </c>
    </row>
    <row r="748" spans="1:27" x14ac:dyDescent="0.2">
      <c r="A748">
        <v>111</v>
      </c>
      <c r="B748">
        <v>9</v>
      </c>
      <c r="C748" t="s">
        <v>200</v>
      </c>
      <c r="D748">
        <v>2015</v>
      </c>
      <c r="E748">
        <v>696</v>
      </c>
      <c r="F748">
        <v>696</v>
      </c>
      <c r="G748">
        <v>0</v>
      </c>
      <c r="H748">
        <v>1.97</v>
      </c>
      <c r="I748">
        <v>747</v>
      </c>
      <c r="J748">
        <v>353</v>
      </c>
      <c r="K748">
        <v>394</v>
      </c>
      <c r="L748">
        <v>52.76</v>
      </c>
      <c r="M748">
        <v>0.93172690800000002</v>
      </c>
      <c r="N748">
        <f>E748/_xlfn.XLOOKUP(C748,Lookups!$A$2:$A$66,Lookups!$C$2:$C$66)</f>
        <v>1.7892490809532378</v>
      </c>
    </row>
    <row r="749" spans="1:27" x14ac:dyDescent="0.2">
      <c r="A749">
        <v>111</v>
      </c>
      <c r="B749">
        <v>9</v>
      </c>
      <c r="C749" t="s">
        <v>200</v>
      </c>
      <c r="D749">
        <v>2016</v>
      </c>
      <c r="E749">
        <v>697</v>
      </c>
      <c r="F749">
        <v>697</v>
      </c>
      <c r="G749">
        <v>0</v>
      </c>
      <c r="H749">
        <v>1.96</v>
      </c>
      <c r="I749">
        <v>753</v>
      </c>
      <c r="J749">
        <v>356</v>
      </c>
      <c r="K749">
        <v>397</v>
      </c>
      <c r="L749">
        <v>52.74</v>
      </c>
      <c r="M749">
        <v>0.92563081000000003</v>
      </c>
      <c r="N749">
        <f>E749/_xlfn.XLOOKUP(C749,Lookups!$A$2:$A$66,Lookups!$C$2:$C$66)</f>
        <v>1.7918198411270212</v>
      </c>
    </row>
    <row r="750" spans="1:27" x14ac:dyDescent="0.2">
      <c r="A750">
        <v>111</v>
      </c>
      <c r="B750">
        <v>9</v>
      </c>
      <c r="C750" t="s">
        <v>200</v>
      </c>
      <c r="D750">
        <v>2017</v>
      </c>
      <c r="E750">
        <v>700</v>
      </c>
      <c r="F750">
        <v>700</v>
      </c>
      <c r="G750">
        <v>0</v>
      </c>
      <c r="H750">
        <v>1.94</v>
      </c>
      <c r="I750">
        <v>761</v>
      </c>
      <c r="J750">
        <v>360</v>
      </c>
      <c r="K750">
        <v>401</v>
      </c>
      <c r="L750">
        <v>52.73</v>
      </c>
      <c r="M750">
        <v>0.91984231299999997</v>
      </c>
      <c r="N750">
        <f>E750/_xlfn.XLOOKUP(C750,Lookups!$A$2:$A$66,Lookups!$C$2:$C$66)</f>
        <v>1.7995321216483713</v>
      </c>
    </row>
    <row r="751" spans="1:27" x14ac:dyDescent="0.2">
      <c r="A751">
        <v>111</v>
      </c>
      <c r="B751">
        <v>9</v>
      </c>
      <c r="C751" t="s">
        <v>200</v>
      </c>
      <c r="D751">
        <v>2018</v>
      </c>
      <c r="E751">
        <v>703</v>
      </c>
      <c r="F751">
        <v>703</v>
      </c>
      <c r="G751">
        <v>0</v>
      </c>
      <c r="H751">
        <v>1.94</v>
      </c>
      <c r="I751">
        <v>768</v>
      </c>
      <c r="J751">
        <v>363</v>
      </c>
      <c r="K751">
        <v>405</v>
      </c>
      <c r="L751">
        <v>52.71</v>
      </c>
      <c r="M751">
        <v>0.91536458300000001</v>
      </c>
      <c r="N751">
        <f>E751/_xlfn.XLOOKUP(C751,Lookups!$A$2:$A$66,Lookups!$C$2:$C$66)</f>
        <v>1.8072444021697216</v>
      </c>
    </row>
    <row r="752" spans="1:27" x14ac:dyDescent="0.2">
      <c r="A752">
        <v>111</v>
      </c>
      <c r="B752">
        <v>9</v>
      </c>
      <c r="C752" t="s">
        <v>200</v>
      </c>
      <c r="D752">
        <v>2019</v>
      </c>
      <c r="E752">
        <v>705</v>
      </c>
      <c r="F752">
        <v>705</v>
      </c>
      <c r="G752">
        <v>0</v>
      </c>
      <c r="H752">
        <v>1.92</v>
      </c>
      <c r="I752">
        <v>775</v>
      </c>
      <c r="J752">
        <v>367</v>
      </c>
      <c r="K752">
        <v>408</v>
      </c>
      <c r="L752">
        <v>52.7</v>
      </c>
      <c r="M752">
        <v>0.90967741899999999</v>
      </c>
      <c r="N752">
        <f>E752/_xlfn.XLOOKUP(C752,Lookups!$A$2:$A$66,Lookups!$C$2:$C$66)</f>
        <v>1.8123859225172883</v>
      </c>
    </row>
    <row r="753" spans="1:27" x14ac:dyDescent="0.2">
      <c r="A753">
        <v>111</v>
      </c>
      <c r="B753">
        <v>9</v>
      </c>
      <c r="C753" t="s">
        <v>200</v>
      </c>
      <c r="D753">
        <v>2020</v>
      </c>
      <c r="E753">
        <v>711</v>
      </c>
      <c r="F753">
        <v>711</v>
      </c>
      <c r="G753">
        <v>0</v>
      </c>
      <c r="I753">
        <v>781</v>
      </c>
      <c r="M753">
        <v>0.91037131900000001</v>
      </c>
      <c r="N753">
        <f>E753/_xlfn.XLOOKUP(C753,Lookups!$A$2:$A$66,Lookups!$C$2:$C$66)</f>
        <v>1.8278104835599887</v>
      </c>
      <c r="O753">
        <v>711</v>
      </c>
      <c r="P753">
        <v>2</v>
      </c>
      <c r="Q753">
        <v>-4</v>
      </c>
      <c r="R753">
        <v>10</v>
      </c>
      <c r="S753">
        <v>6</v>
      </c>
      <c r="T753">
        <v>781</v>
      </c>
      <c r="W753">
        <v>711</v>
      </c>
      <c r="X753">
        <v>7</v>
      </c>
      <c r="AA753">
        <v>0.91037131900000001</v>
      </c>
    </row>
    <row r="754" spans="1:27" x14ac:dyDescent="0.2">
      <c r="A754">
        <v>111</v>
      </c>
      <c r="B754">
        <v>9</v>
      </c>
      <c r="C754" t="s">
        <v>200</v>
      </c>
      <c r="D754">
        <v>2021</v>
      </c>
      <c r="E754">
        <v>741</v>
      </c>
      <c r="F754">
        <v>741</v>
      </c>
      <c r="G754">
        <v>0</v>
      </c>
      <c r="I754">
        <v>788</v>
      </c>
      <c r="M754">
        <v>0.94035533000000004</v>
      </c>
      <c r="N754">
        <f>E754/_xlfn.XLOOKUP(C754,Lookups!$A$2:$A$66,Lookups!$C$2:$C$66)</f>
        <v>1.9049332887734902</v>
      </c>
      <c r="O754">
        <v>741</v>
      </c>
      <c r="P754">
        <v>5</v>
      </c>
      <c r="Q754">
        <v>-2</v>
      </c>
      <c r="R754">
        <v>32</v>
      </c>
      <c r="S754">
        <v>7</v>
      </c>
      <c r="T754">
        <v>788</v>
      </c>
      <c r="W754">
        <v>741</v>
      </c>
      <c r="X754">
        <v>17</v>
      </c>
      <c r="AA754">
        <v>0.94035533000000004</v>
      </c>
    </row>
    <row r="755" spans="1:27" x14ac:dyDescent="0.2">
      <c r="A755">
        <v>111</v>
      </c>
      <c r="B755">
        <v>9</v>
      </c>
      <c r="C755" t="s">
        <v>200</v>
      </c>
      <c r="D755">
        <v>2022</v>
      </c>
      <c r="E755">
        <v>801</v>
      </c>
      <c r="F755">
        <v>801</v>
      </c>
      <c r="G755">
        <v>0</v>
      </c>
      <c r="I755">
        <v>805</v>
      </c>
      <c r="M755">
        <v>0.99503105599999997</v>
      </c>
      <c r="N755">
        <f>E755/_xlfn.XLOOKUP(C755,Lookups!$A$2:$A$66,Lookups!$C$2:$C$66)</f>
        <v>2.0591788992004934</v>
      </c>
      <c r="O755">
        <v>801</v>
      </c>
      <c r="P755">
        <v>4</v>
      </c>
      <c r="Q755">
        <v>-4</v>
      </c>
      <c r="R755">
        <v>64</v>
      </c>
      <c r="S755">
        <v>8</v>
      </c>
      <c r="T755">
        <v>805</v>
      </c>
      <c r="W755">
        <v>801</v>
      </c>
      <c r="X755">
        <v>5</v>
      </c>
      <c r="AA755">
        <v>0.99503105599999997</v>
      </c>
    </row>
    <row r="756" spans="1:27" x14ac:dyDescent="0.2">
      <c r="A756">
        <v>113</v>
      </c>
      <c r="B756">
        <v>10</v>
      </c>
      <c r="C756" t="s">
        <v>201</v>
      </c>
      <c r="D756">
        <v>2010</v>
      </c>
      <c r="E756">
        <v>7356</v>
      </c>
      <c r="F756">
        <v>7347</v>
      </c>
      <c r="G756">
        <v>9</v>
      </c>
      <c r="H756">
        <v>2.2599999999999998</v>
      </c>
      <c r="I756">
        <v>6165</v>
      </c>
      <c r="J756">
        <v>3253</v>
      </c>
      <c r="K756">
        <v>2912</v>
      </c>
      <c r="L756">
        <v>47.23</v>
      </c>
      <c r="M756">
        <v>1.191727494</v>
      </c>
      <c r="N756">
        <f>E756/_xlfn.XLOOKUP(C756,Lookups!$A$2:$A$66,Lookups!$C$2:$C$66)</f>
        <v>5.6989680498311071</v>
      </c>
    </row>
    <row r="757" spans="1:27" x14ac:dyDescent="0.2">
      <c r="A757">
        <v>113</v>
      </c>
      <c r="B757">
        <v>10</v>
      </c>
      <c r="C757" t="s">
        <v>201</v>
      </c>
      <c r="D757">
        <v>2011</v>
      </c>
      <c r="E757">
        <v>7486</v>
      </c>
      <c r="F757">
        <v>7405</v>
      </c>
      <c r="G757">
        <v>81</v>
      </c>
      <c r="H757">
        <v>2.14</v>
      </c>
      <c r="I757">
        <v>6190</v>
      </c>
      <c r="J757">
        <v>3460</v>
      </c>
      <c r="K757">
        <v>2730</v>
      </c>
      <c r="L757">
        <v>44.1</v>
      </c>
      <c r="M757">
        <v>1.1962843299999999</v>
      </c>
      <c r="N757">
        <f>E757/_xlfn.XLOOKUP(C757,Lookups!$A$2:$A$66,Lookups!$C$2:$C$66)</f>
        <v>5.7996839071554742</v>
      </c>
    </row>
    <row r="758" spans="1:27" x14ac:dyDescent="0.2">
      <c r="A758">
        <v>113</v>
      </c>
      <c r="B758">
        <v>10</v>
      </c>
      <c r="C758" t="s">
        <v>201</v>
      </c>
      <c r="D758">
        <v>2012</v>
      </c>
      <c r="E758">
        <v>7576</v>
      </c>
      <c r="F758">
        <v>7450</v>
      </c>
      <c r="G758">
        <v>126</v>
      </c>
      <c r="H758">
        <v>2.15</v>
      </c>
      <c r="I758">
        <v>6197</v>
      </c>
      <c r="J758">
        <v>3462</v>
      </c>
      <c r="K758">
        <v>2735</v>
      </c>
      <c r="L758">
        <v>44.13</v>
      </c>
      <c r="M758">
        <v>1.2021946100000001</v>
      </c>
      <c r="N758">
        <f>E758/_xlfn.XLOOKUP(C758,Lookups!$A$2:$A$66,Lookups!$C$2:$C$66)</f>
        <v>5.8694102699184976</v>
      </c>
    </row>
    <row r="759" spans="1:27" x14ac:dyDescent="0.2">
      <c r="A759">
        <v>113</v>
      </c>
      <c r="B759">
        <v>10</v>
      </c>
      <c r="C759" t="s">
        <v>201</v>
      </c>
      <c r="D759">
        <v>2013</v>
      </c>
      <c r="E759">
        <v>7615</v>
      </c>
      <c r="F759">
        <v>7499</v>
      </c>
      <c r="G759">
        <v>116</v>
      </c>
      <c r="H759">
        <v>2.16</v>
      </c>
      <c r="I759">
        <v>6209</v>
      </c>
      <c r="J759">
        <v>3467</v>
      </c>
      <c r="K759">
        <v>2742</v>
      </c>
      <c r="L759">
        <v>44.17</v>
      </c>
      <c r="M759">
        <v>1.2077629249999999</v>
      </c>
      <c r="N759">
        <f>E759/_xlfn.XLOOKUP(C759,Lookups!$A$2:$A$66,Lookups!$C$2:$C$66)</f>
        <v>5.8996250271158077</v>
      </c>
    </row>
    <row r="760" spans="1:27" x14ac:dyDescent="0.2">
      <c r="A760">
        <v>113</v>
      </c>
      <c r="B760">
        <v>10</v>
      </c>
      <c r="C760" t="s">
        <v>201</v>
      </c>
      <c r="D760">
        <v>2014</v>
      </c>
      <c r="E760">
        <v>7728</v>
      </c>
      <c r="F760">
        <v>7561</v>
      </c>
      <c r="G760">
        <v>167</v>
      </c>
      <c r="H760">
        <v>2.17</v>
      </c>
      <c r="I760">
        <v>6238</v>
      </c>
      <c r="J760">
        <v>3477</v>
      </c>
      <c r="K760">
        <v>2761</v>
      </c>
      <c r="L760">
        <v>44.26</v>
      </c>
      <c r="M760">
        <v>1.2120872069999999</v>
      </c>
      <c r="N760">
        <f>E760/_xlfn.XLOOKUP(C760,Lookups!$A$2:$A$66,Lookups!$C$2:$C$66)</f>
        <v>5.9871703492516035</v>
      </c>
    </row>
    <row r="761" spans="1:27" x14ac:dyDescent="0.2">
      <c r="A761">
        <v>113</v>
      </c>
      <c r="B761">
        <v>10</v>
      </c>
      <c r="C761" t="s">
        <v>201</v>
      </c>
      <c r="D761">
        <v>2015</v>
      </c>
      <c r="E761">
        <v>7825</v>
      </c>
      <c r="F761">
        <v>7665</v>
      </c>
      <c r="G761">
        <v>160</v>
      </c>
      <c r="H761">
        <v>2.19</v>
      </c>
      <c r="I761">
        <v>6320</v>
      </c>
      <c r="J761">
        <v>3506</v>
      </c>
      <c r="K761">
        <v>2814</v>
      </c>
      <c r="L761">
        <v>44.52</v>
      </c>
      <c r="M761">
        <v>1.2128164560000001</v>
      </c>
      <c r="N761">
        <f>E761/_xlfn.XLOOKUP(C761,Lookups!$A$2:$A$66,Lookups!$C$2:$C$66)</f>
        <v>6.0623198735628625</v>
      </c>
    </row>
    <row r="762" spans="1:27" x14ac:dyDescent="0.2">
      <c r="A762">
        <v>113</v>
      </c>
      <c r="B762">
        <v>10</v>
      </c>
      <c r="C762" t="s">
        <v>201</v>
      </c>
      <c r="D762">
        <v>2016</v>
      </c>
      <c r="E762">
        <v>8001</v>
      </c>
      <c r="F762">
        <v>7732</v>
      </c>
      <c r="G762">
        <v>269</v>
      </c>
      <c r="H762">
        <v>2.2000000000000002</v>
      </c>
      <c r="I762">
        <v>6355</v>
      </c>
      <c r="J762">
        <v>3519</v>
      </c>
      <c r="K762">
        <v>2836</v>
      </c>
      <c r="L762">
        <v>44.63</v>
      </c>
      <c r="M762">
        <v>1.21667978</v>
      </c>
      <c r="N762">
        <f>E762/_xlfn.XLOOKUP(C762,Lookups!$A$2:$A$66,Lookups!$C$2:$C$66)</f>
        <v>6.1986736496327746</v>
      </c>
    </row>
    <row r="763" spans="1:27" x14ac:dyDescent="0.2">
      <c r="A763">
        <v>113</v>
      </c>
      <c r="B763">
        <v>10</v>
      </c>
      <c r="C763" t="s">
        <v>201</v>
      </c>
      <c r="D763">
        <v>2017</v>
      </c>
      <c r="E763">
        <v>8014</v>
      </c>
      <c r="F763">
        <v>7800</v>
      </c>
      <c r="G763">
        <v>214</v>
      </c>
      <c r="H763">
        <v>2.21</v>
      </c>
      <c r="I763">
        <v>6390</v>
      </c>
      <c r="J763">
        <v>3531</v>
      </c>
      <c r="K763">
        <v>2859</v>
      </c>
      <c r="L763">
        <v>44.74</v>
      </c>
      <c r="M763">
        <v>1.2206572769999999</v>
      </c>
      <c r="N763">
        <f>E763/_xlfn.XLOOKUP(C763,Lookups!$A$2:$A$66,Lookups!$C$2:$C$66)</f>
        <v>6.2087452353652113</v>
      </c>
    </row>
    <row r="764" spans="1:27" x14ac:dyDescent="0.2">
      <c r="A764">
        <v>113</v>
      </c>
      <c r="B764">
        <v>10</v>
      </c>
      <c r="C764" t="s">
        <v>201</v>
      </c>
      <c r="D764">
        <v>2018</v>
      </c>
      <c r="E764">
        <v>8154</v>
      </c>
      <c r="F764">
        <v>7901</v>
      </c>
      <c r="G764">
        <v>253</v>
      </c>
      <c r="H764">
        <v>2.2200000000000002</v>
      </c>
      <c r="I764">
        <v>6467</v>
      </c>
      <c r="J764">
        <v>3559</v>
      </c>
      <c r="K764">
        <v>2908</v>
      </c>
      <c r="L764">
        <v>44.97</v>
      </c>
      <c r="M764">
        <v>1.2217411469999999</v>
      </c>
      <c r="N764">
        <f>E764/_xlfn.XLOOKUP(C764,Lookups!$A$2:$A$66,Lookups!$C$2:$C$66)</f>
        <v>6.3172084663299142</v>
      </c>
    </row>
    <row r="765" spans="1:27" x14ac:dyDescent="0.2">
      <c r="A765">
        <v>113</v>
      </c>
      <c r="B765">
        <v>10</v>
      </c>
      <c r="C765" t="s">
        <v>201</v>
      </c>
      <c r="D765">
        <v>2019</v>
      </c>
      <c r="E765">
        <v>8123</v>
      </c>
      <c r="F765">
        <v>7977</v>
      </c>
      <c r="G765">
        <v>146</v>
      </c>
      <c r="H765">
        <v>2.23</v>
      </c>
      <c r="I765">
        <v>6512</v>
      </c>
      <c r="J765">
        <v>3575</v>
      </c>
      <c r="K765">
        <v>2937</v>
      </c>
      <c r="L765">
        <v>45.1</v>
      </c>
      <c r="M765">
        <v>1.224969287</v>
      </c>
      <c r="N765">
        <f>E765/_xlfn.XLOOKUP(C765,Lookups!$A$2:$A$66,Lookups!$C$2:$C$66)</f>
        <v>6.2931916080448724</v>
      </c>
    </row>
    <row r="766" spans="1:27" x14ac:dyDescent="0.2">
      <c r="A766">
        <v>113</v>
      </c>
      <c r="B766">
        <v>10</v>
      </c>
      <c r="C766" t="s">
        <v>201</v>
      </c>
      <c r="D766">
        <v>2020</v>
      </c>
      <c r="E766">
        <v>8055</v>
      </c>
      <c r="F766">
        <v>8050</v>
      </c>
      <c r="G766">
        <v>5</v>
      </c>
      <c r="I766">
        <v>6564</v>
      </c>
      <c r="M766">
        <v>1.2263863500000001</v>
      </c>
      <c r="N766">
        <f>E766/_xlfn.XLOOKUP(C766,Lookups!$A$2:$A$66,Lookups!$C$2:$C$66)</f>
        <v>6.2405094672905888</v>
      </c>
      <c r="O766">
        <v>8055</v>
      </c>
      <c r="P766">
        <v>54</v>
      </c>
      <c r="Q766">
        <v>32</v>
      </c>
      <c r="R766">
        <v>-100</v>
      </c>
      <c r="S766">
        <v>22</v>
      </c>
      <c r="T766">
        <v>6564</v>
      </c>
      <c r="W766">
        <v>8050</v>
      </c>
      <c r="X766">
        <v>34</v>
      </c>
      <c r="AA766">
        <v>1.2263863500000001</v>
      </c>
    </row>
    <row r="767" spans="1:27" x14ac:dyDescent="0.2">
      <c r="A767">
        <v>113</v>
      </c>
      <c r="B767">
        <v>10</v>
      </c>
      <c r="C767" t="s">
        <v>201</v>
      </c>
      <c r="D767">
        <v>2021</v>
      </c>
      <c r="E767">
        <v>8078</v>
      </c>
      <c r="F767">
        <v>8073</v>
      </c>
      <c r="G767">
        <v>5</v>
      </c>
      <c r="I767">
        <v>6595</v>
      </c>
      <c r="M767">
        <v>1.2241091740000001</v>
      </c>
      <c r="N767">
        <f>E767/_xlfn.XLOOKUP(C767,Lookups!$A$2:$A$66,Lookups!$C$2:$C$66)</f>
        <v>6.2583284266633612</v>
      </c>
      <c r="O767">
        <v>8078</v>
      </c>
      <c r="P767">
        <v>53</v>
      </c>
      <c r="Q767">
        <v>26</v>
      </c>
      <c r="R767">
        <v>-3</v>
      </c>
      <c r="S767">
        <v>27</v>
      </c>
      <c r="T767">
        <v>6595</v>
      </c>
      <c r="W767">
        <v>8073</v>
      </c>
      <c r="X767">
        <v>80</v>
      </c>
      <c r="AA767">
        <v>1.2241091740000001</v>
      </c>
    </row>
    <row r="768" spans="1:27" x14ac:dyDescent="0.2">
      <c r="A768">
        <v>113</v>
      </c>
      <c r="B768">
        <v>10</v>
      </c>
      <c r="C768" t="s">
        <v>201</v>
      </c>
      <c r="D768">
        <v>2022</v>
      </c>
      <c r="E768">
        <v>7993</v>
      </c>
      <c r="F768">
        <v>7988</v>
      </c>
      <c r="G768">
        <v>5</v>
      </c>
      <c r="I768">
        <v>6711</v>
      </c>
      <c r="M768">
        <v>1.1902846069999999</v>
      </c>
      <c r="N768">
        <f>E768/_xlfn.XLOOKUP(C768,Lookups!$A$2:$A$66,Lookups!$C$2:$C$66)</f>
        <v>6.1924757507205062</v>
      </c>
      <c r="O768">
        <v>7993</v>
      </c>
      <c r="P768">
        <v>50</v>
      </c>
      <c r="Q768">
        <v>8</v>
      </c>
      <c r="R768">
        <v>-93</v>
      </c>
      <c r="S768">
        <v>42</v>
      </c>
      <c r="T768">
        <v>6711</v>
      </c>
      <c r="W768">
        <v>7988</v>
      </c>
      <c r="X768">
        <v>70</v>
      </c>
      <c r="AA768">
        <v>1.1902846069999999</v>
      </c>
    </row>
    <row r="769" spans="1:27" x14ac:dyDescent="0.2">
      <c r="A769">
        <v>115</v>
      </c>
      <c r="B769">
        <v>1</v>
      </c>
      <c r="C769" t="s">
        <v>202</v>
      </c>
      <c r="D769">
        <v>2010</v>
      </c>
      <c r="E769">
        <v>2367</v>
      </c>
      <c r="F769">
        <v>2332</v>
      </c>
      <c r="G769">
        <v>35</v>
      </c>
      <c r="H769">
        <v>2.2999999999999998</v>
      </c>
      <c r="I769">
        <v>1325</v>
      </c>
      <c r="J769">
        <v>1016</v>
      </c>
      <c r="K769">
        <v>309</v>
      </c>
      <c r="L769">
        <v>23.32</v>
      </c>
      <c r="M769">
        <v>1.76</v>
      </c>
      <c r="N769">
        <f>E769/_xlfn.XLOOKUP(C769,Lookups!$A$2:$A$66,Lookups!$C$2:$C$66)</f>
        <v>4.3128108886176042</v>
      </c>
    </row>
    <row r="770" spans="1:27" x14ac:dyDescent="0.2">
      <c r="A770">
        <v>115</v>
      </c>
      <c r="B770">
        <v>1</v>
      </c>
      <c r="C770" t="s">
        <v>202</v>
      </c>
      <c r="D770">
        <v>2011</v>
      </c>
      <c r="E770">
        <v>2371</v>
      </c>
      <c r="F770">
        <v>2335</v>
      </c>
      <c r="G770">
        <v>36</v>
      </c>
      <c r="H770">
        <v>2.15</v>
      </c>
      <c r="I770">
        <v>1325</v>
      </c>
      <c r="J770">
        <v>1086</v>
      </c>
      <c r="K770">
        <v>239</v>
      </c>
      <c r="L770">
        <v>18.04</v>
      </c>
      <c r="M770">
        <v>1.7622641509999999</v>
      </c>
      <c r="N770">
        <f>E770/_xlfn.XLOOKUP(C770,Lookups!$A$2:$A$66,Lookups!$C$2:$C$66)</f>
        <v>4.3200991199460663</v>
      </c>
    </row>
    <row r="771" spans="1:27" x14ac:dyDescent="0.2">
      <c r="A771">
        <v>115</v>
      </c>
      <c r="B771">
        <v>1</v>
      </c>
      <c r="C771" t="s">
        <v>202</v>
      </c>
      <c r="D771">
        <v>2012</v>
      </c>
      <c r="E771">
        <v>2375</v>
      </c>
      <c r="F771">
        <v>2338</v>
      </c>
      <c r="G771">
        <v>37</v>
      </c>
      <c r="H771">
        <v>2.15</v>
      </c>
      <c r="I771">
        <v>1325</v>
      </c>
      <c r="J771">
        <v>1086</v>
      </c>
      <c r="K771">
        <v>239</v>
      </c>
      <c r="L771">
        <v>18.04</v>
      </c>
      <c r="M771">
        <v>1.764528302</v>
      </c>
      <c r="N771">
        <f>E771/_xlfn.XLOOKUP(C771,Lookups!$A$2:$A$66,Lookups!$C$2:$C$66)</f>
        <v>4.3273873512745293</v>
      </c>
    </row>
    <row r="772" spans="1:27" x14ac:dyDescent="0.2">
      <c r="A772">
        <v>115</v>
      </c>
      <c r="B772">
        <v>1</v>
      </c>
      <c r="C772" t="s">
        <v>202</v>
      </c>
      <c r="D772">
        <v>2013</v>
      </c>
      <c r="E772">
        <v>2379</v>
      </c>
      <c r="F772">
        <v>2342</v>
      </c>
      <c r="G772">
        <v>37</v>
      </c>
      <c r="H772">
        <v>2.16</v>
      </c>
      <c r="I772">
        <v>1327</v>
      </c>
      <c r="J772">
        <v>1086</v>
      </c>
      <c r="K772">
        <v>241</v>
      </c>
      <c r="L772">
        <v>18.149999999999999</v>
      </c>
      <c r="M772">
        <v>1.7648831949999999</v>
      </c>
      <c r="N772">
        <f>E772/_xlfn.XLOOKUP(C772,Lookups!$A$2:$A$66,Lookups!$C$2:$C$66)</f>
        <v>4.3346755826029915</v>
      </c>
    </row>
    <row r="773" spans="1:27" x14ac:dyDescent="0.2">
      <c r="A773">
        <v>115</v>
      </c>
      <c r="B773">
        <v>1</v>
      </c>
      <c r="C773" t="s">
        <v>202</v>
      </c>
      <c r="D773">
        <v>2014</v>
      </c>
      <c r="E773">
        <v>2384</v>
      </c>
      <c r="F773">
        <v>2345</v>
      </c>
      <c r="G773">
        <v>38</v>
      </c>
      <c r="H773">
        <v>2.16</v>
      </c>
      <c r="I773">
        <v>1330</v>
      </c>
      <c r="J773">
        <v>1086</v>
      </c>
      <c r="K773">
        <v>244</v>
      </c>
      <c r="L773">
        <v>18.32</v>
      </c>
      <c r="M773">
        <v>1.763157895</v>
      </c>
      <c r="N773">
        <f>E773/_xlfn.XLOOKUP(C773,Lookups!$A$2:$A$66,Lookups!$C$2:$C$66)</f>
        <v>4.3437858717635693</v>
      </c>
    </row>
    <row r="774" spans="1:27" x14ac:dyDescent="0.2">
      <c r="A774">
        <v>115</v>
      </c>
      <c r="B774">
        <v>1</v>
      </c>
      <c r="C774" t="s">
        <v>202</v>
      </c>
      <c r="D774">
        <v>2015</v>
      </c>
      <c r="E774">
        <v>2388</v>
      </c>
      <c r="F774">
        <v>2349</v>
      </c>
      <c r="G774">
        <v>39</v>
      </c>
      <c r="H774">
        <v>2.16</v>
      </c>
      <c r="I774">
        <v>1331</v>
      </c>
      <c r="J774">
        <v>1086</v>
      </c>
      <c r="K774">
        <v>245</v>
      </c>
      <c r="L774">
        <v>18.38</v>
      </c>
      <c r="M774">
        <v>1.7648384669999999</v>
      </c>
      <c r="N774">
        <f>E774/_xlfn.XLOOKUP(C774,Lookups!$A$2:$A$66,Lookups!$C$2:$C$66)</f>
        <v>4.3510741030920315</v>
      </c>
    </row>
    <row r="775" spans="1:27" x14ac:dyDescent="0.2">
      <c r="A775">
        <v>115</v>
      </c>
      <c r="B775">
        <v>1</v>
      </c>
      <c r="C775" t="s">
        <v>202</v>
      </c>
      <c r="D775">
        <v>2016</v>
      </c>
      <c r="E775">
        <v>2392</v>
      </c>
      <c r="F775">
        <v>2352</v>
      </c>
      <c r="G775">
        <v>40</v>
      </c>
      <c r="H775">
        <v>2.17</v>
      </c>
      <c r="I775">
        <v>1331</v>
      </c>
      <c r="J775">
        <v>1086</v>
      </c>
      <c r="K775">
        <v>245</v>
      </c>
      <c r="L775">
        <v>18.38</v>
      </c>
      <c r="M775">
        <v>1.767092412</v>
      </c>
      <c r="N775">
        <f>E775/_xlfn.XLOOKUP(C775,Lookups!$A$2:$A$66,Lookups!$C$2:$C$66)</f>
        <v>4.3583623344204945</v>
      </c>
    </row>
    <row r="776" spans="1:27" x14ac:dyDescent="0.2">
      <c r="A776">
        <v>115</v>
      </c>
      <c r="B776">
        <v>1</v>
      </c>
      <c r="C776" t="s">
        <v>202</v>
      </c>
      <c r="D776">
        <v>2017</v>
      </c>
      <c r="E776">
        <v>2396</v>
      </c>
      <c r="F776">
        <v>2355</v>
      </c>
      <c r="G776">
        <v>41</v>
      </c>
      <c r="H776">
        <v>2.17</v>
      </c>
      <c r="I776">
        <v>1335</v>
      </c>
      <c r="J776">
        <v>1087</v>
      </c>
      <c r="K776">
        <v>248</v>
      </c>
      <c r="L776">
        <v>18.61</v>
      </c>
      <c r="M776">
        <v>1.7640449439999999</v>
      </c>
      <c r="N776">
        <f>E776/_xlfn.XLOOKUP(C776,Lookups!$A$2:$A$66,Lookups!$C$2:$C$66)</f>
        <v>4.3656505657489566</v>
      </c>
    </row>
    <row r="777" spans="1:27" x14ac:dyDescent="0.2">
      <c r="A777">
        <v>115</v>
      </c>
      <c r="B777">
        <v>1</v>
      </c>
      <c r="C777" t="s">
        <v>202</v>
      </c>
      <c r="D777">
        <v>2018</v>
      </c>
      <c r="E777">
        <v>2401</v>
      </c>
      <c r="F777">
        <v>2359</v>
      </c>
      <c r="G777">
        <v>41</v>
      </c>
      <c r="H777">
        <v>2.17</v>
      </c>
      <c r="I777">
        <v>1339</v>
      </c>
      <c r="J777">
        <v>1087</v>
      </c>
      <c r="K777">
        <v>252</v>
      </c>
      <c r="L777">
        <v>18.84</v>
      </c>
      <c r="M777">
        <v>1.761762509</v>
      </c>
      <c r="N777">
        <f>E777/_xlfn.XLOOKUP(C777,Lookups!$A$2:$A$66,Lookups!$C$2:$C$66)</f>
        <v>4.3747608549095345</v>
      </c>
    </row>
    <row r="778" spans="1:27" x14ac:dyDescent="0.2">
      <c r="A778">
        <v>115</v>
      </c>
      <c r="B778">
        <v>1</v>
      </c>
      <c r="C778" t="s">
        <v>202</v>
      </c>
      <c r="D778">
        <v>2019</v>
      </c>
      <c r="E778">
        <v>2405</v>
      </c>
      <c r="F778">
        <v>2363</v>
      </c>
      <c r="G778">
        <v>42</v>
      </c>
      <c r="H778">
        <v>2.17</v>
      </c>
      <c r="I778">
        <v>1341</v>
      </c>
      <c r="J778">
        <v>1087</v>
      </c>
      <c r="K778">
        <v>254</v>
      </c>
      <c r="L778">
        <v>18.95</v>
      </c>
      <c r="M778">
        <v>1.7621178230000001</v>
      </c>
      <c r="N778">
        <f>E778/_xlfn.XLOOKUP(C778,Lookups!$A$2:$A$66,Lookups!$C$2:$C$66)</f>
        <v>4.3820490862379966</v>
      </c>
    </row>
    <row r="779" spans="1:27" x14ac:dyDescent="0.2">
      <c r="A779">
        <v>115</v>
      </c>
      <c r="B779">
        <v>1</v>
      </c>
      <c r="C779" t="s">
        <v>202</v>
      </c>
      <c r="D779">
        <v>2020</v>
      </c>
      <c r="E779">
        <v>2391</v>
      </c>
      <c r="F779">
        <v>2352</v>
      </c>
      <c r="G779">
        <v>39</v>
      </c>
      <c r="I779">
        <v>1343</v>
      </c>
      <c r="M779">
        <v>1.751303053</v>
      </c>
      <c r="N779">
        <f>E779/_xlfn.XLOOKUP(C779,Lookups!$A$2:$A$66,Lookups!$C$2:$C$66)</f>
        <v>4.3565402765883787</v>
      </c>
      <c r="O779">
        <v>2391</v>
      </c>
      <c r="P779">
        <v>18</v>
      </c>
      <c r="Q779">
        <v>-21</v>
      </c>
      <c r="R779">
        <v>7</v>
      </c>
      <c r="S779">
        <v>39</v>
      </c>
      <c r="T779">
        <v>1343</v>
      </c>
      <c r="W779">
        <v>2352</v>
      </c>
      <c r="X779">
        <v>0</v>
      </c>
      <c r="AA779">
        <v>1.751303053</v>
      </c>
    </row>
    <row r="780" spans="1:27" x14ac:dyDescent="0.2">
      <c r="A780">
        <v>115</v>
      </c>
      <c r="B780">
        <v>1</v>
      </c>
      <c r="C780" t="s">
        <v>202</v>
      </c>
      <c r="D780">
        <v>2021</v>
      </c>
      <c r="E780">
        <v>2330</v>
      </c>
      <c r="F780">
        <v>2293</v>
      </c>
      <c r="G780">
        <v>37</v>
      </c>
      <c r="I780">
        <v>1343</v>
      </c>
      <c r="M780">
        <v>1.707371556</v>
      </c>
      <c r="N780">
        <f>E780/_xlfn.XLOOKUP(C780,Lookups!$A$2:$A$66,Lookups!$C$2:$C$66)</f>
        <v>4.2453947488293275</v>
      </c>
      <c r="O780">
        <v>2330</v>
      </c>
      <c r="P780">
        <v>15</v>
      </c>
      <c r="Q780">
        <v>-29</v>
      </c>
      <c r="R780">
        <v>-32</v>
      </c>
      <c r="S780">
        <v>44</v>
      </c>
      <c r="T780">
        <v>1343</v>
      </c>
      <c r="W780">
        <v>2293</v>
      </c>
      <c r="X780">
        <v>1</v>
      </c>
      <c r="AA780">
        <v>1.707371556</v>
      </c>
    </row>
    <row r="781" spans="1:27" x14ac:dyDescent="0.2">
      <c r="A781">
        <v>115</v>
      </c>
      <c r="B781">
        <v>1</v>
      </c>
      <c r="C781" t="s">
        <v>202</v>
      </c>
      <c r="D781">
        <v>2022</v>
      </c>
      <c r="E781">
        <v>2297</v>
      </c>
      <c r="F781">
        <v>2265</v>
      </c>
      <c r="G781">
        <v>32</v>
      </c>
      <c r="I781">
        <v>1343</v>
      </c>
      <c r="M781">
        <v>1.68652271</v>
      </c>
      <c r="N781">
        <f>E781/_xlfn.XLOOKUP(C781,Lookups!$A$2:$A$66,Lookups!$C$2:$C$66)</f>
        <v>4.185266840369513</v>
      </c>
      <c r="O781">
        <v>2297</v>
      </c>
      <c r="P781">
        <v>12</v>
      </c>
      <c r="Q781">
        <v>-28</v>
      </c>
      <c r="R781">
        <v>-5</v>
      </c>
      <c r="S781">
        <v>40</v>
      </c>
      <c r="T781">
        <v>1343</v>
      </c>
      <c r="W781">
        <v>2265</v>
      </c>
      <c r="X781">
        <v>3</v>
      </c>
      <c r="AA781">
        <v>1.68652271</v>
      </c>
    </row>
    <row r="782" spans="1:27" x14ac:dyDescent="0.2">
      <c r="A782">
        <v>117</v>
      </c>
      <c r="B782">
        <v>12</v>
      </c>
      <c r="C782" t="s">
        <v>203</v>
      </c>
      <c r="D782">
        <v>2010</v>
      </c>
      <c r="E782">
        <v>28073</v>
      </c>
      <c r="F782">
        <v>27800</v>
      </c>
      <c r="G782">
        <v>273</v>
      </c>
      <c r="H782">
        <v>2.36</v>
      </c>
      <c r="I782">
        <v>29861</v>
      </c>
      <c r="J782">
        <v>11787</v>
      </c>
      <c r="K782">
        <v>18074</v>
      </c>
      <c r="L782">
        <v>60.53</v>
      </c>
      <c r="M782">
        <v>0.93098020800000003</v>
      </c>
      <c r="N782">
        <f>E782/_xlfn.XLOOKUP(C782,Lookups!$A$2:$A$66,Lookups!$C$2:$C$66)</f>
        <v>45.358043042719579</v>
      </c>
    </row>
    <row r="783" spans="1:27" x14ac:dyDescent="0.2">
      <c r="A783">
        <v>117</v>
      </c>
      <c r="B783">
        <v>12</v>
      </c>
      <c r="C783" t="s">
        <v>203</v>
      </c>
      <c r="D783">
        <v>2011</v>
      </c>
      <c r="E783">
        <v>28087</v>
      </c>
      <c r="F783">
        <v>27786</v>
      </c>
      <c r="G783">
        <v>301</v>
      </c>
      <c r="H783">
        <v>2.36</v>
      </c>
      <c r="I783">
        <v>29866</v>
      </c>
      <c r="J783">
        <v>11781</v>
      </c>
      <c r="K783">
        <v>18085</v>
      </c>
      <c r="L783">
        <v>60.55</v>
      </c>
      <c r="M783">
        <v>0.93035558799999996</v>
      </c>
      <c r="N783">
        <f>E783/_xlfn.XLOOKUP(C783,Lookups!$A$2:$A$66,Lookups!$C$2:$C$66)</f>
        <v>45.380663090544822</v>
      </c>
    </row>
    <row r="784" spans="1:27" x14ac:dyDescent="0.2">
      <c r="A784">
        <v>117</v>
      </c>
      <c r="B784">
        <v>12</v>
      </c>
      <c r="C784" t="s">
        <v>203</v>
      </c>
      <c r="D784">
        <v>2012</v>
      </c>
      <c r="E784">
        <v>28385</v>
      </c>
      <c r="F784">
        <v>28055</v>
      </c>
      <c r="G784">
        <v>330</v>
      </c>
      <c r="H784">
        <v>2.36</v>
      </c>
      <c r="I784">
        <v>29866</v>
      </c>
      <c r="J784">
        <v>11895</v>
      </c>
      <c r="K784">
        <v>17971</v>
      </c>
      <c r="L784">
        <v>60.17</v>
      </c>
      <c r="M784">
        <v>0.93936248600000005</v>
      </c>
      <c r="N784">
        <f>E784/_xlfn.XLOOKUP(C784,Lookups!$A$2:$A$66,Lookups!$C$2:$C$66)</f>
        <v>45.862146965682157</v>
      </c>
    </row>
    <row r="785" spans="1:27" x14ac:dyDescent="0.2">
      <c r="A785">
        <v>117</v>
      </c>
      <c r="B785">
        <v>12</v>
      </c>
      <c r="C785" t="s">
        <v>203</v>
      </c>
      <c r="D785">
        <v>2013</v>
      </c>
      <c r="E785">
        <v>28860</v>
      </c>
      <c r="F785">
        <v>28502</v>
      </c>
      <c r="G785">
        <v>358</v>
      </c>
      <c r="H785">
        <v>2.36</v>
      </c>
      <c r="I785">
        <v>29882</v>
      </c>
      <c r="J785">
        <v>12085</v>
      </c>
      <c r="K785">
        <v>17797</v>
      </c>
      <c r="L785">
        <v>59.56</v>
      </c>
      <c r="M785">
        <v>0.95381835199999998</v>
      </c>
      <c r="N785">
        <f>E785/_xlfn.XLOOKUP(C785,Lookups!$A$2:$A$66,Lookups!$C$2:$C$66)</f>
        <v>46.629612874038649</v>
      </c>
    </row>
    <row r="786" spans="1:27" x14ac:dyDescent="0.2">
      <c r="A786">
        <v>117</v>
      </c>
      <c r="B786">
        <v>12</v>
      </c>
      <c r="C786" t="s">
        <v>203</v>
      </c>
      <c r="D786">
        <v>2014</v>
      </c>
      <c r="E786">
        <v>29496</v>
      </c>
      <c r="F786">
        <v>29109</v>
      </c>
      <c r="G786">
        <v>387</v>
      </c>
      <c r="H786">
        <v>2.36</v>
      </c>
      <c r="I786">
        <v>30034</v>
      </c>
      <c r="J786">
        <v>12342</v>
      </c>
      <c r="K786">
        <v>17692</v>
      </c>
      <c r="L786">
        <v>58.91</v>
      </c>
      <c r="M786">
        <v>0.96920157200000001</v>
      </c>
      <c r="N786">
        <f>E786/_xlfn.XLOOKUP(C786,Lookups!$A$2:$A$66,Lookups!$C$2:$C$66)</f>
        <v>47.657209332385449</v>
      </c>
    </row>
    <row r="787" spans="1:27" x14ac:dyDescent="0.2">
      <c r="A787">
        <v>117</v>
      </c>
      <c r="B787">
        <v>12</v>
      </c>
      <c r="C787" t="s">
        <v>203</v>
      </c>
      <c r="D787">
        <v>2015</v>
      </c>
      <c r="E787">
        <v>30268</v>
      </c>
      <c r="F787">
        <v>29852</v>
      </c>
      <c r="G787">
        <v>416</v>
      </c>
      <c r="H787">
        <v>2.36</v>
      </c>
      <c r="I787">
        <v>30121</v>
      </c>
      <c r="J787">
        <v>12657</v>
      </c>
      <c r="K787">
        <v>17464</v>
      </c>
      <c r="L787">
        <v>57.98</v>
      </c>
      <c r="M787">
        <v>0.99106935399999996</v>
      </c>
      <c r="N787">
        <f>E787/_xlfn.XLOOKUP(C787,Lookups!$A$2:$A$66,Lookups!$C$2:$C$66)</f>
        <v>48.904543398177474</v>
      </c>
    </row>
    <row r="788" spans="1:27" x14ac:dyDescent="0.2">
      <c r="A788">
        <v>117</v>
      </c>
      <c r="B788">
        <v>12</v>
      </c>
      <c r="C788" t="s">
        <v>203</v>
      </c>
      <c r="D788">
        <v>2016</v>
      </c>
      <c r="E788">
        <v>30817</v>
      </c>
      <c r="F788">
        <v>30372</v>
      </c>
      <c r="G788">
        <v>445</v>
      </c>
      <c r="H788">
        <v>2.36</v>
      </c>
      <c r="I788">
        <v>30141</v>
      </c>
      <c r="J788">
        <v>12878</v>
      </c>
      <c r="K788">
        <v>17263</v>
      </c>
      <c r="L788">
        <v>57.27</v>
      </c>
      <c r="M788">
        <v>1.0076639789999999</v>
      </c>
      <c r="N788">
        <f>E788/_xlfn.XLOOKUP(C788,Lookups!$A$2:$A$66,Lookups!$C$2:$C$66)</f>
        <v>49.791572416467396</v>
      </c>
    </row>
    <row r="789" spans="1:27" x14ac:dyDescent="0.2">
      <c r="A789">
        <v>117</v>
      </c>
      <c r="B789">
        <v>12</v>
      </c>
      <c r="C789" t="s">
        <v>203</v>
      </c>
      <c r="D789">
        <v>2017</v>
      </c>
      <c r="E789">
        <v>31133</v>
      </c>
      <c r="F789">
        <v>30660</v>
      </c>
      <c r="G789">
        <v>473</v>
      </c>
      <c r="H789">
        <v>2.36</v>
      </c>
      <c r="I789">
        <v>30320</v>
      </c>
      <c r="J789">
        <v>13000</v>
      </c>
      <c r="K789">
        <v>17320</v>
      </c>
      <c r="L789">
        <v>57.12</v>
      </c>
      <c r="M789">
        <v>1.01121372</v>
      </c>
      <c r="N789">
        <f>E789/_xlfn.XLOOKUP(C789,Lookups!$A$2:$A$66,Lookups!$C$2:$C$66)</f>
        <v>50.302139210237193</v>
      </c>
    </row>
    <row r="790" spans="1:27" x14ac:dyDescent="0.2">
      <c r="A790">
        <v>117</v>
      </c>
      <c r="B790">
        <v>12</v>
      </c>
      <c r="C790" t="s">
        <v>203</v>
      </c>
      <c r="D790">
        <v>2018</v>
      </c>
      <c r="E790">
        <v>31095</v>
      </c>
      <c r="F790">
        <v>30593</v>
      </c>
      <c r="G790">
        <v>502</v>
      </c>
      <c r="H790">
        <v>2.36</v>
      </c>
      <c r="I790">
        <v>30593</v>
      </c>
      <c r="J790">
        <v>12972</v>
      </c>
      <c r="K790">
        <v>17621</v>
      </c>
      <c r="L790">
        <v>57.6</v>
      </c>
      <c r="M790">
        <v>1</v>
      </c>
      <c r="N790">
        <f>E790/_xlfn.XLOOKUP(C790,Lookups!$A$2:$A$66,Lookups!$C$2:$C$66)</f>
        <v>50.240741937568671</v>
      </c>
    </row>
    <row r="791" spans="1:27" x14ac:dyDescent="0.2">
      <c r="A791">
        <v>117</v>
      </c>
      <c r="B791">
        <v>12</v>
      </c>
      <c r="C791" t="s">
        <v>203</v>
      </c>
      <c r="D791">
        <v>2019</v>
      </c>
      <c r="E791">
        <v>31190</v>
      </c>
      <c r="F791">
        <v>30660</v>
      </c>
      <c r="G791">
        <v>530</v>
      </c>
      <c r="H791">
        <v>2.36</v>
      </c>
      <c r="I791">
        <v>31123</v>
      </c>
      <c r="J791">
        <v>13000</v>
      </c>
      <c r="K791">
        <v>18123</v>
      </c>
      <c r="L791">
        <v>58.23</v>
      </c>
      <c r="M791">
        <v>0.98512354199999996</v>
      </c>
      <c r="N791">
        <f>E791/_xlfn.XLOOKUP(C791,Lookups!$A$2:$A$66,Lookups!$C$2:$C$66)</f>
        <v>50.394235119239973</v>
      </c>
    </row>
    <row r="792" spans="1:27" x14ac:dyDescent="0.2">
      <c r="A792">
        <v>117</v>
      </c>
      <c r="B792">
        <v>12</v>
      </c>
      <c r="C792" t="s">
        <v>203</v>
      </c>
      <c r="D792">
        <v>2020</v>
      </c>
      <c r="E792">
        <v>30996</v>
      </c>
      <c r="F792">
        <v>30417</v>
      </c>
      <c r="G792">
        <v>579</v>
      </c>
      <c r="I792">
        <v>31416</v>
      </c>
      <c r="M792">
        <v>0.96820091699999999</v>
      </c>
      <c r="N792">
        <f>E792/_xlfn.XLOOKUP(C792,Lookups!$A$2:$A$66,Lookups!$C$2:$C$66)</f>
        <v>50.080785885090158</v>
      </c>
      <c r="O792">
        <v>30996</v>
      </c>
      <c r="P792">
        <v>263</v>
      </c>
      <c r="Q792">
        <v>179</v>
      </c>
      <c r="R792">
        <v>-373</v>
      </c>
      <c r="S792">
        <v>84</v>
      </c>
      <c r="T792">
        <v>31416</v>
      </c>
      <c r="W792">
        <v>30417</v>
      </c>
      <c r="X792">
        <v>318</v>
      </c>
      <c r="AA792">
        <v>0.96820091699999999</v>
      </c>
    </row>
    <row r="793" spans="1:27" x14ac:dyDescent="0.2">
      <c r="A793">
        <v>117</v>
      </c>
      <c r="B793">
        <v>12</v>
      </c>
      <c r="C793" t="s">
        <v>203</v>
      </c>
      <c r="D793">
        <v>2021</v>
      </c>
      <c r="E793">
        <v>30994</v>
      </c>
      <c r="F793">
        <v>30415</v>
      </c>
      <c r="G793">
        <v>579</v>
      </c>
      <c r="I793">
        <v>31737</v>
      </c>
      <c r="M793">
        <v>0.95834514900000001</v>
      </c>
      <c r="N793">
        <f>E793/_xlfn.XLOOKUP(C793,Lookups!$A$2:$A$66,Lookups!$C$2:$C$66)</f>
        <v>50.077554449686552</v>
      </c>
      <c r="O793">
        <v>30994</v>
      </c>
      <c r="P793">
        <v>251</v>
      </c>
      <c r="Q793">
        <v>180</v>
      </c>
      <c r="R793">
        <v>-182</v>
      </c>
      <c r="S793">
        <v>71</v>
      </c>
      <c r="T793">
        <v>31737</v>
      </c>
      <c r="W793">
        <v>30415</v>
      </c>
      <c r="X793">
        <v>407</v>
      </c>
      <c r="AA793">
        <v>0.95834514900000001</v>
      </c>
    </row>
    <row r="794" spans="1:27" x14ac:dyDescent="0.2">
      <c r="A794">
        <v>117</v>
      </c>
      <c r="B794">
        <v>12</v>
      </c>
      <c r="C794" t="s">
        <v>203</v>
      </c>
      <c r="D794">
        <v>2022</v>
      </c>
      <c r="E794">
        <v>30583</v>
      </c>
      <c r="F794">
        <v>30004</v>
      </c>
      <c r="G794">
        <v>579</v>
      </c>
      <c r="I794">
        <v>32147</v>
      </c>
      <c r="M794">
        <v>0.93333748100000002</v>
      </c>
      <c r="N794">
        <f>E794/_xlfn.XLOOKUP(C794,Lookups!$A$2:$A$66,Lookups!$C$2:$C$66)</f>
        <v>49.413494474245461</v>
      </c>
      <c r="O794">
        <v>30583</v>
      </c>
      <c r="P794">
        <v>252</v>
      </c>
      <c r="Q794">
        <v>161</v>
      </c>
      <c r="R794">
        <v>-572</v>
      </c>
      <c r="S794">
        <v>91</v>
      </c>
      <c r="T794">
        <v>32147</v>
      </c>
      <c r="W794">
        <v>30004</v>
      </c>
      <c r="X794">
        <v>400</v>
      </c>
      <c r="AA794">
        <v>0.93333748100000002</v>
      </c>
    </row>
    <row r="795" spans="1:27" x14ac:dyDescent="0.2">
      <c r="A795">
        <v>119</v>
      </c>
      <c r="B795">
        <v>4</v>
      </c>
      <c r="C795" t="s">
        <v>204</v>
      </c>
      <c r="D795">
        <v>2010</v>
      </c>
      <c r="E795">
        <v>23441</v>
      </c>
      <c r="F795">
        <v>23309</v>
      </c>
      <c r="G795">
        <v>132</v>
      </c>
      <c r="H795">
        <v>2.37</v>
      </c>
      <c r="I795">
        <v>12651</v>
      </c>
      <c r="J795">
        <v>9844</v>
      </c>
      <c r="K795">
        <v>2807</v>
      </c>
      <c r="L795">
        <v>22.19</v>
      </c>
      <c r="M795">
        <v>1.842463046</v>
      </c>
      <c r="N795">
        <f>E795/_xlfn.XLOOKUP(C795,Lookups!$A$2:$A$66,Lookups!$C$2:$C$66)</f>
        <v>41.965340685309172</v>
      </c>
    </row>
    <row r="796" spans="1:27" x14ac:dyDescent="0.2">
      <c r="A796">
        <v>119</v>
      </c>
      <c r="B796">
        <v>4</v>
      </c>
      <c r="C796" t="s">
        <v>204</v>
      </c>
      <c r="D796">
        <v>2011</v>
      </c>
      <c r="E796">
        <v>23268</v>
      </c>
      <c r="F796">
        <v>23131</v>
      </c>
      <c r="G796">
        <v>137</v>
      </c>
      <c r="H796">
        <v>2.36</v>
      </c>
      <c r="I796">
        <v>12663</v>
      </c>
      <c r="J796">
        <v>9793</v>
      </c>
      <c r="K796">
        <v>2870</v>
      </c>
      <c r="L796">
        <v>22.66</v>
      </c>
      <c r="M796">
        <v>1.826660349</v>
      </c>
      <c r="N796">
        <f>E796/_xlfn.XLOOKUP(C796,Lookups!$A$2:$A$66,Lookups!$C$2:$C$66)</f>
        <v>41.655626767875681</v>
      </c>
    </row>
    <row r="797" spans="1:27" x14ac:dyDescent="0.2">
      <c r="A797">
        <v>119</v>
      </c>
      <c r="B797">
        <v>4</v>
      </c>
      <c r="C797" t="s">
        <v>204</v>
      </c>
      <c r="D797">
        <v>2012</v>
      </c>
      <c r="E797">
        <v>23270</v>
      </c>
      <c r="F797">
        <v>23128</v>
      </c>
      <c r="G797">
        <v>142</v>
      </c>
      <c r="H797">
        <v>2.36</v>
      </c>
      <c r="I797">
        <v>12699</v>
      </c>
      <c r="J797">
        <v>9815</v>
      </c>
      <c r="K797">
        <v>2884</v>
      </c>
      <c r="L797">
        <v>22.71</v>
      </c>
      <c r="M797">
        <v>1.821245767</v>
      </c>
      <c r="N797">
        <f>E797/_xlfn.XLOOKUP(C797,Lookups!$A$2:$A$66,Lookups!$C$2:$C$66)</f>
        <v>41.659207275591676</v>
      </c>
    </row>
    <row r="798" spans="1:27" x14ac:dyDescent="0.2">
      <c r="A798">
        <v>119</v>
      </c>
      <c r="B798">
        <v>4</v>
      </c>
      <c r="C798" t="s">
        <v>204</v>
      </c>
      <c r="D798">
        <v>2013</v>
      </c>
      <c r="E798">
        <v>23110</v>
      </c>
      <c r="F798">
        <v>22963</v>
      </c>
      <c r="G798">
        <v>147</v>
      </c>
      <c r="H798">
        <v>2.35</v>
      </c>
      <c r="I798">
        <v>12744</v>
      </c>
      <c r="J798">
        <v>9769</v>
      </c>
      <c r="K798">
        <v>2975</v>
      </c>
      <c r="L798">
        <v>23.34</v>
      </c>
      <c r="M798">
        <v>1.801867546</v>
      </c>
      <c r="N798">
        <f>E798/_xlfn.XLOOKUP(C798,Lookups!$A$2:$A$66,Lookups!$C$2:$C$66)</f>
        <v>41.372766658312145</v>
      </c>
    </row>
    <row r="799" spans="1:27" x14ac:dyDescent="0.2">
      <c r="A799">
        <v>119</v>
      </c>
      <c r="B799">
        <v>4</v>
      </c>
      <c r="C799" t="s">
        <v>204</v>
      </c>
      <c r="D799">
        <v>2014</v>
      </c>
      <c r="E799">
        <v>23121</v>
      </c>
      <c r="F799">
        <v>22970</v>
      </c>
      <c r="G799">
        <v>151</v>
      </c>
      <c r="H799">
        <v>2.34</v>
      </c>
      <c r="I799">
        <v>12772</v>
      </c>
      <c r="J799">
        <v>9796</v>
      </c>
      <c r="K799">
        <v>2976</v>
      </c>
      <c r="L799">
        <v>23.3</v>
      </c>
      <c r="M799">
        <v>1.7984653930000001</v>
      </c>
      <c r="N799">
        <f>E799/_xlfn.XLOOKUP(C799,Lookups!$A$2:$A$66,Lookups!$C$2:$C$66)</f>
        <v>41.39245945075011</v>
      </c>
    </row>
    <row r="800" spans="1:27" x14ac:dyDescent="0.2">
      <c r="A800">
        <v>119</v>
      </c>
      <c r="B800">
        <v>4</v>
      </c>
      <c r="C800" t="s">
        <v>204</v>
      </c>
      <c r="D800">
        <v>2015</v>
      </c>
      <c r="E800">
        <v>23006</v>
      </c>
      <c r="F800">
        <v>22849</v>
      </c>
      <c r="G800">
        <v>157</v>
      </c>
      <c r="H800">
        <v>2.34</v>
      </c>
      <c r="I800">
        <v>12896</v>
      </c>
      <c r="J800">
        <v>9768</v>
      </c>
      <c r="K800">
        <v>3128</v>
      </c>
      <c r="L800">
        <v>24.26</v>
      </c>
      <c r="M800">
        <v>1.771789702</v>
      </c>
      <c r="N800">
        <f>E800/_xlfn.XLOOKUP(C800,Lookups!$A$2:$A$66,Lookups!$C$2:$C$66)</f>
        <v>41.18658025708045</v>
      </c>
    </row>
    <row r="801" spans="1:27" x14ac:dyDescent="0.2">
      <c r="A801">
        <v>119</v>
      </c>
      <c r="B801">
        <v>4</v>
      </c>
      <c r="C801" t="s">
        <v>204</v>
      </c>
      <c r="D801">
        <v>2016</v>
      </c>
      <c r="E801">
        <v>23607</v>
      </c>
      <c r="F801">
        <v>23445</v>
      </c>
      <c r="G801">
        <v>162</v>
      </c>
      <c r="H801">
        <v>2.33</v>
      </c>
      <c r="I801">
        <v>12956</v>
      </c>
      <c r="J801">
        <v>10047</v>
      </c>
      <c r="K801">
        <v>2909</v>
      </c>
      <c r="L801">
        <v>22.45</v>
      </c>
      <c r="M801">
        <v>1.8095862920000001</v>
      </c>
      <c r="N801">
        <f>E801/_xlfn.XLOOKUP(C801,Lookups!$A$2:$A$66,Lookups!$C$2:$C$66)</f>
        <v>42.262522825736689</v>
      </c>
    </row>
    <row r="802" spans="1:27" x14ac:dyDescent="0.2">
      <c r="A802">
        <v>119</v>
      </c>
      <c r="B802">
        <v>4</v>
      </c>
      <c r="C802" t="s">
        <v>204</v>
      </c>
      <c r="D802">
        <v>2017</v>
      </c>
      <c r="E802">
        <v>24153</v>
      </c>
      <c r="F802">
        <v>23987</v>
      </c>
      <c r="G802">
        <v>166</v>
      </c>
      <c r="H802">
        <v>2.33</v>
      </c>
      <c r="I802">
        <v>13056</v>
      </c>
      <c r="J802">
        <v>10305</v>
      </c>
      <c r="K802">
        <v>2751</v>
      </c>
      <c r="L802">
        <v>21.07</v>
      </c>
      <c r="M802">
        <v>1.8372395829999999</v>
      </c>
      <c r="N802">
        <f>E802/_xlfn.XLOOKUP(C802,Lookups!$A$2:$A$66,Lookups!$C$2:$C$66)</f>
        <v>43.24000143220308</v>
      </c>
    </row>
    <row r="803" spans="1:27" x14ac:dyDescent="0.2">
      <c r="A803">
        <v>119</v>
      </c>
      <c r="B803">
        <v>4</v>
      </c>
      <c r="C803" t="s">
        <v>204</v>
      </c>
      <c r="D803">
        <v>2018</v>
      </c>
      <c r="E803">
        <v>24523</v>
      </c>
      <c r="F803">
        <v>24352</v>
      </c>
      <c r="G803">
        <v>171</v>
      </c>
      <c r="H803">
        <v>2.3199999999999998</v>
      </c>
      <c r="I803">
        <v>13138</v>
      </c>
      <c r="J803">
        <v>10488</v>
      </c>
      <c r="K803">
        <v>2650</v>
      </c>
      <c r="L803">
        <v>20.170000000000002</v>
      </c>
      <c r="M803">
        <v>1.853554575</v>
      </c>
      <c r="N803">
        <f>E803/_xlfn.XLOOKUP(C803,Lookups!$A$2:$A$66,Lookups!$C$2:$C$66)</f>
        <v>43.902395359661995</v>
      </c>
    </row>
    <row r="804" spans="1:27" x14ac:dyDescent="0.2">
      <c r="A804">
        <v>119</v>
      </c>
      <c r="B804">
        <v>4</v>
      </c>
      <c r="C804" t="s">
        <v>204</v>
      </c>
      <c r="D804">
        <v>2019</v>
      </c>
      <c r="E804">
        <v>24679</v>
      </c>
      <c r="F804">
        <v>24503</v>
      </c>
      <c r="G804">
        <v>176</v>
      </c>
      <c r="H804">
        <v>2.3199999999999998</v>
      </c>
      <c r="I804">
        <v>13254</v>
      </c>
      <c r="J804">
        <v>10579</v>
      </c>
      <c r="K804">
        <v>2675</v>
      </c>
      <c r="L804">
        <v>20.18</v>
      </c>
      <c r="M804">
        <v>1.8487249130000001</v>
      </c>
      <c r="N804">
        <f>E804/_xlfn.XLOOKUP(C804,Lookups!$A$2:$A$66,Lookups!$C$2:$C$66)</f>
        <v>44.181674961509536</v>
      </c>
    </row>
    <row r="805" spans="1:27" x14ac:dyDescent="0.2">
      <c r="A805">
        <v>119</v>
      </c>
      <c r="B805">
        <v>4</v>
      </c>
      <c r="C805" t="s">
        <v>204</v>
      </c>
      <c r="D805">
        <v>2020</v>
      </c>
      <c r="E805">
        <v>24745</v>
      </c>
      <c r="F805">
        <v>24581</v>
      </c>
      <c r="G805">
        <v>164</v>
      </c>
      <c r="I805">
        <v>13346</v>
      </c>
      <c r="M805">
        <v>1.8418252660000001</v>
      </c>
      <c r="N805">
        <f>E805/_xlfn.XLOOKUP(C805,Lookups!$A$2:$A$66,Lookups!$C$2:$C$66)</f>
        <v>44.299831716137348</v>
      </c>
      <c r="O805">
        <v>24745</v>
      </c>
      <c r="P805">
        <v>195</v>
      </c>
      <c r="Q805">
        <v>10</v>
      </c>
      <c r="R805">
        <v>56</v>
      </c>
      <c r="S805">
        <v>185</v>
      </c>
      <c r="T805">
        <v>13346</v>
      </c>
      <c r="W805">
        <v>24581</v>
      </c>
      <c r="X805">
        <v>113</v>
      </c>
      <c r="AA805">
        <v>1.8418252660000001</v>
      </c>
    </row>
    <row r="806" spans="1:27" x14ac:dyDescent="0.2">
      <c r="A806">
        <v>119</v>
      </c>
      <c r="B806">
        <v>4</v>
      </c>
      <c r="C806" t="s">
        <v>204</v>
      </c>
      <c r="D806">
        <v>2021</v>
      </c>
      <c r="E806">
        <v>24947</v>
      </c>
      <c r="F806">
        <v>24784</v>
      </c>
      <c r="G806">
        <v>163</v>
      </c>
      <c r="I806">
        <v>13509</v>
      </c>
      <c r="M806">
        <v>1.834628766</v>
      </c>
      <c r="N806">
        <f>E806/_xlfn.XLOOKUP(C806,Lookups!$A$2:$A$66,Lookups!$C$2:$C$66)</f>
        <v>44.661462995452752</v>
      </c>
      <c r="O806">
        <v>24947</v>
      </c>
      <c r="P806">
        <v>167</v>
      </c>
      <c r="Q806">
        <v>-72</v>
      </c>
      <c r="R806">
        <v>274</v>
      </c>
      <c r="S806">
        <v>239</v>
      </c>
      <c r="T806">
        <v>13509</v>
      </c>
      <c r="W806">
        <v>24784</v>
      </c>
      <c r="X806">
        <v>149</v>
      </c>
      <c r="AA806">
        <v>1.834628766</v>
      </c>
    </row>
    <row r="807" spans="1:27" x14ac:dyDescent="0.2">
      <c r="A807">
        <v>119</v>
      </c>
      <c r="B807">
        <v>4</v>
      </c>
      <c r="C807" t="s">
        <v>204</v>
      </c>
      <c r="D807">
        <v>2022</v>
      </c>
      <c r="E807">
        <v>24852</v>
      </c>
      <c r="F807">
        <v>24688</v>
      </c>
      <c r="G807">
        <v>164</v>
      </c>
      <c r="I807">
        <v>13657</v>
      </c>
      <c r="M807">
        <v>1.807717654</v>
      </c>
      <c r="N807">
        <f>E807/_xlfn.XLOOKUP(C807,Lookups!$A$2:$A$66,Lookups!$C$2:$C$66)</f>
        <v>44.491388878943027</v>
      </c>
      <c r="O807">
        <v>24852</v>
      </c>
      <c r="P807">
        <v>178</v>
      </c>
      <c r="Q807">
        <v>-97</v>
      </c>
      <c r="R807">
        <v>2</v>
      </c>
      <c r="S807">
        <v>275</v>
      </c>
      <c r="T807">
        <v>13657</v>
      </c>
      <c r="W807">
        <v>24688</v>
      </c>
      <c r="X807">
        <v>159</v>
      </c>
      <c r="AA807">
        <v>1.807717654</v>
      </c>
    </row>
    <row r="808" spans="1:27" x14ac:dyDescent="0.2">
      <c r="A808">
        <v>121</v>
      </c>
      <c r="B808">
        <v>1</v>
      </c>
      <c r="C808" t="s">
        <v>205</v>
      </c>
      <c r="D808">
        <v>2010</v>
      </c>
      <c r="E808">
        <v>4815</v>
      </c>
      <c r="F808">
        <v>4471</v>
      </c>
      <c r="G808">
        <v>344</v>
      </c>
      <c r="H808">
        <v>2.61</v>
      </c>
      <c r="I808">
        <v>2177</v>
      </c>
      <c r="J808">
        <v>1711</v>
      </c>
      <c r="K808">
        <v>466</v>
      </c>
      <c r="L808">
        <v>21.41</v>
      </c>
      <c r="M808">
        <v>2.0537436840000001</v>
      </c>
      <c r="N808">
        <f>E808/_xlfn.XLOOKUP(C808,Lookups!$A$2:$A$66,Lookups!$C$2:$C$66)</f>
        <v>1.9085179753458321</v>
      </c>
    </row>
    <row r="809" spans="1:27" x14ac:dyDescent="0.2">
      <c r="A809">
        <v>121</v>
      </c>
      <c r="B809">
        <v>1</v>
      </c>
      <c r="C809" t="s">
        <v>205</v>
      </c>
      <c r="D809">
        <v>2011</v>
      </c>
      <c r="E809">
        <v>4608</v>
      </c>
      <c r="F809">
        <v>4489</v>
      </c>
      <c r="G809">
        <v>119</v>
      </c>
      <c r="H809">
        <v>2.35</v>
      </c>
      <c r="I809">
        <v>2187</v>
      </c>
      <c r="J809">
        <v>1914</v>
      </c>
      <c r="K809">
        <v>273</v>
      </c>
      <c r="L809">
        <v>12.47</v>
      </c>
      <c r="M809">
        <v>2.052583448</v>
      </c>
      <c r="N809">
        <f>E809/_xlfn.XLOOKUP(C809,Lookups!$A$2:$A$66,Lookups!$C$2:$C$66)</f>
        <v>1.8264695390225534</v>
      </c>
    </row>
    <row r="810" spans="1:27" x14ac:dyDescent="0.2">
      <c r="A810">
        <v>121</v>
      </c>
      <c r="B810">
        <v>1</v>
      </c>
      <c r="C810" t="s">
        <v>205</v>
      </c>
      <c r="D810">
        <v>2012</v>
      </c>
      <c r="E810">
        <v>4560</v>
      </c>
      <c r="F810">
        <v>4506</v>
      </c>
      <c r="G810">
        <v>54</v>
      </c>
      <c r="H810">
        <v>2.35</v>
      </c>
      <c r="I810">
        <v>2195</v>
      </c>
      <c r="J810">
        <v>1916</v>
      </c>
      <c r="K810">
        <v>279</v>
      </c>
      <c r="L810">
        <v>12.71</v>
      </c>
      <c r="M810">
        <v>2.0528473800000002</v>
      </c>
      <c r="N810">
        <f>E810/_xlfn.XLOOKUP(C810,Lookups!$A$2:$A$66,Lookups!$C$2:$C$66)</f>
        <v>1.8074438146577352</v>
      </c>
    </row>
    <row r="811" spans="1:27" x14ac:dyDescent="0.2">
      <c r="A811">
        <v>121</v>
      </c>
      <c r="B811">
        <v>1</v>
      </c>
      <c r="C811" t="s">
        <v>205</v>
      </c>
      <c r="D811">
        <v>2013</v>
      </c>
      <c r="E811">
        <v>4614</v>
      </c>
      <c r="F811">
        <v>4521</v>
      </c>
      <c r="G811">
        <v>93</v>
      </c>
      <c r="H811">
        <v>2.36</v>
      </c>
      <c r="I811">
        <v>2199</v>
      </c>
      <c r="J811">
        <v>1917</v>
      </c>
      <c r="K811">
        <v>282</v>
      </c>
      <c r="L811">
        <v>12.82</v>
      </c>
      <c r="M811">
        <v>2.0559345160000002</v>
      </c>
      <c r="N811">
        <f>E811/_xlfn.XLOOKUP(C811,Lookups!$A$2:$A$66,Lookups!$C$2:$C$66)</f>
        <v>1.8288477545681556</v>
      </c>
    </row>
    <row r="812" spans="1:27" x14ac:dyDescent="0.2">
      <c r="A812">
        <v>121</v>
      </c>
      <c r="B812">
        <v>1</v>
      </c>
      <c r="C812" t="s">
        <v>205</v>
      </c>
      <c r="D812">
        <v>2014</v>
      </c>
      <c r="E812">
        <v>4617</v>
      </c>
      <c r="F812">
        <v>4537</v>
      </c>
      <c r="G812">
        <v>80</v>
      </c>
      <c r="H812">
        <v>2.37</v>
      </c>
      <c r="I812">
        <v>2205</v>
      </c>
      <c r="J812">
        <v>1918</v>
      </c>
      <c r="K812">
        <v>287</v>
      </c>
      <c r="L812">
        <v>13</v>
      </c>
      <c r="M812">
        <v>2.0575963719999999</v>
      </c>
      <c r="N812">
        <f>E812/_xlfn.XLOOKUP(C812,Lookups!$A$2:$A$66,Lookups!$C$2:$C$66)</f>
        <v>1.8300368623409569</v>
      </c>
    </row>
    <row r="813" spans="1:27" x14ac:dyDescent="0.2">
      <c r="A813">
        <v>121</v>
      </c>
      <c r="B813">
        <v>1</v>
      </c>
      <c r="C813" t="s">
        <v>205</v>
      </c>
      <c r="D813">
        <v>2015</v>
      </c>
      <c r="E813">
        <v>4682</v>
      </c>
      <c r="F813">
        <v>4555</v>
      </c>
      <c r="G813">
        <v>127</v>
      </c>
      <c r="H813">
        <v>2.37</v>
      </c>
      <c r="I813">
        <v>2215</v>
      </c>
      <c r="J813">
        <v>1921</v>
      </c>
      <c r="K813">
        <v>294</v>
      </c>
      <c r="L813">
        <v>13.29</v>
      </c>
      <c r="M813">
        <v>2.0564334089999998</v>
      </c>
      <c r="N813">
        <f>E813/_xlfn.XLOOKUP(C813,Lookups!$A$2:$A$66,Lookups!$C$2:$C$66)</f>
        <v>1.8558008640849815</v>
      </c>
    </row>
    <row r="814" spans="1:27" x14ac:dyDescent="0.2">
      <c r="A814">
        <v>121</v>
      </c>
      <c r="B814">
        <v>1</v>
      </c>
      <c r="C814" t="s">
        <v>205</v>
      </c>
      <c r="D814">
        <v>2016</v>
      </c>
      <c r="E814">
        <v>4745</v>
      </c>
      <c r="F814">
        <v>4574</v>
      </c>
      <c r="G814">
        <v>171</v>
      </c>
      <c r="H814">
        <v>2.38</v>
      </c>
      <c r="I814">
        <v>2227</v>
      </c>
      <c r="J814">
        <v>1923</v>
      </c>
      <c r="K814">
        <v>304</v>
      </c>
      <c r="L814">
        <v>13.63</v>
      </c>
      <c r="M814">
        <v>2.0538841489999999</v>
      </c>
      <c r="N814">
        <f>E814/_xlfn.XLOOKUP(C814,Lookups!$A$2:$A$66,Lookups!$C$2:$C$66)</f>
        <v>1.8807721273138054</v>
      </c>
    </row>
    <row r="815" spans="1:27" x14ac:dyDescent="0.2">
      <c r="A815">
        <v>121</v>
      </c>
      <c r="B815">
        <v>1</v>
      </c>
      <c r="C815" t="s">
        <v>205</v>
      </c>
      <c r="D815">
        <v>2017</v>
      </c>
      <c r="E815">
        <v>4845</v>
      </c>
      <c r="F815">
        <v>4593</v>
      </c>
      <c r="G815">
        <v>252</v>
      </c>
      <c r="H815">
        <v>2.38</v>
      </c>
      <c r="I815">
        <v>2239</v>
      </c>
      <c r="J815">
        <v>1926</v>
      </c>
      <c r="K815">
        <v>313</v>
      </c>
      <c r="L815">
        <v>13.97</v>
      </c>
      <c r="M815">
        <v>2.0513622150000002</v>
      </c>
      <c r="N815">
        <f>E815/_xlfn.XLOOKUP(C815,Lookups!$A$2:$A$66,Lookups!$C$2:$C$66)</f>
        <v>1.9204090530738436</v>
      </c>
    </row>
    <row r="816" spans="1:27" x14ac:dyDescent="0.2">
      <c r="A816">
        <v>121</v>
      </c>
      <c r="B816">
        <v>1</v>
      </c>
      <c r="C816" t="s">
        <v>205</v>
      </c>
      <c r="D816">
        <v>2018</v>
      </c>
      <c r="E816">
        <v>4812</v>
      </c>
      <c r="F816">
        <v>4612</v>
      </c>
      <c r="G816">
        <v>200</v>
      </c>
      <c r="H816">
        <v>2.39</v>
      </c>
      <c r="I816">
        <v>2249</v>
      </c>
      <c r="J816">
        <v>1928</v>
      </c>
      <c r="K816">
        <v>321</v>
      </c>
      <c r="L816">
        <v>14.26</v>
      </c>
      <c r="M816">
        <v>2.0506891949999999</v>
      </c>
      <c r="N816">
        <f>E816/_xlfn.XLOOKUP(C816,Lookups!$A$2:$A$66,Lookups!$C$2:$C$66)</f>
        <v>1.9073288675730309</v>
      </c>
    </row>
    <row r="817" spans="1:27" x14ac:dyDescent="0.2">
      <c r="A817">
        <v>121</v>
      </c>
      <c r="B817">
        <v>1</v>
      </c>
      <c r="C817" t="s">
        <v>205</v>
      </c>
      <c r="D817">
        <v>2019</v>
      </c>
      <c r="E817">
        <v>4826</v>
      </c>
      <c r="F817">
        <v>4635</v>
      </c>
      <c r="G817">
        <v>191</v>
      </c>
      <c r="H817">
        <v>2.4</v>
      </c>
      <c r="I817">
        <v>2268</v>
      </c>
      <c r="J817">
        <v>1933</v>
      </c>
      <c r="K817">
        <v>335</v>
      </c>
      <c r="L817">
        <v>14.78</v>
      </c>
      <c r="M817">
        <v>2.0436507939999999</v>
      </c>
      <c r="N817">
        <f>E817/_xlfn.XLOOKUP(C817,Lookups!$A$2:$A$66,Lookups!$C$2:$C$66)</f>
        <v>1.9128780371794363</v>
      </c>
    </row>
    <row r="818" spans="1:27" x14ac:dyDescent="0.2">
      <c r="A818">
        <v>121</v>
      </c>
      <c r="B818">
        <v>1</v>
      </c>
      <c r="C818" t="s">
        <v>205</v>
      </c>
      <c r="D818">
        <v>2020</v>
      </c>
      <c r="E818">
        <v>4811</v>
      </c>
      <c r="F818">
        <v>4645</v>
      </c>
      <c r="G818">
        <v>166</v>
      </c>
      <c r="I818">
        <v>2278</v>
      </c>
      <c r="M818">
        <v>2.039069359</v>
      </c>
      <c r="N818">
        <f>E818/_xlfn.XLOOKUP(C818,Lookups!$A$2:$A$66,Lookups!$C$2:$C$66)</f>
        <v>1.9069324983154305</v>
      </c>
      <c r="O818">
        <v>4811</v>
      </c>
      <c r="P818">
        <v>43</v>
      </c>
      <c r="Q818">
        <v>-22</v>
      </c>
      <c r="R818">
        <v>7</v>
      </c>
      <c r="S818">
        <v>65</v>
      </c>
      <c r="T818">
        <v>2278</v>
      </c>
      <c r="W818">
        <v>4645</v>
      </c>
      <c r="X818">
        <v>7</v>
      </c>
      <c r="AA818">
        <v>2.039069359</v>
      </c>
    </row>
    <row r="819" spans="1:27" x14ac:dyDescent="0.2">
      <c r="A819">
        <v>121</v>
      </c>
      <c r="B819">
        <v>1</v>
      </c>
      <c r="C819" t="s">
        <v>205</v>
      </c>
      <c r="D819">
        <v>2021</v>
      </c>
      <c r="E819">
        <v>4870</v>
      </c>
      <c r="F819">
        <v>4705</v>
      </c>
      <c r="G819">
        <v>165</v>
      </c>
      <c r="I819">
        <v>2287</v>
      </c>
      <c r="M819">
        <v>2.0572802800000001</v>
      </c>
      <c r="N819">
        <f>E819/_xlfn.XLOOKUP(C819,Lookups!$A$2:$A$66,Lookups!$C$2:$C$66)</f>
        <v>1.9303182845138531</v>
      </c>
      <c r="O819">
        <v>4870</v>
      </c>
      <c r="P819">
        <v>50</v>
      </c>
      <c r="Q819">
        <v>-18</v>
      </c>
      <c r="R819">
        <v>77</v>
      </c>
      <c r="S819">
        <v>68</v>
      </c>
      <c r="T819">
        <v>2287</v>
      </c>
      <c r="W819">
        <v>4705</v>
      </c>
      <c r="X819">
        <v>1</v>
      </c>
      <c r="AA819">
        <v>2.0572802800000001</v>
      </c>
    </row>
    <row r="820" spans="1:27" x14ac:dyDescent="0.2">
      <c r="A820">
        <v>121</v>
      </c>
      <c r="B820">
        <v>1</v>
      </c>
      <c r="C820" t="s">
        <v>205</v>
      </c>
      <c r="D820">
        <v>2022</v>
      </c>
      <c r="E820">
        <v>4835</v>
      </c>
      <c r="F820">
        <v>4671</v>
      </c>
      <c r="G820">
        <v>164</v>
      </c>
      <c r="I820">
        <v>2289</v>
      </c>
      <c r="M820">
        <v>2.040629096</v>
      </c>
      <c r="N820">
        <f>E820/_xlfn.XLOOKUP(C820,Lookups!$A$2:$A$66,Lookups!$C$2:$C$66)</f>
        <v>1.9164453604978398</v>
      </c>
      <c r="O820">
        <v>4835</v>
      </c>
      <c r="P820">
        <v>49</v>
      </c>
      <c r="Q820">
        <v>-28</v>
      </c>
      <c r="R820">
        <v>-7</v>
      </c>
      <c r="S820">
        <v>77</v>
      </c>
      <c r="T820">
        <v>2289</v>
      </c>
      <c r="W820">
        <v>4671</v>
      </c>
      <c r="X820">
        <v>4</v>
      </c>
      <c r="AA820">
        <v>2.040629096</v>
      </c>
    </row>
    <row r="821" spans="1:27" x14ac:dyDescent="0.2">
      <c r="A821">
        <v>123</v>
      </c>
      <c r="B821">
        <v>2</v>
      </c>
      <c r="C821" t="s">
        <v>206</v>
      </c>
      <c r="D821">
        <v>2010</v>
      </c>
      <c r="E821">
        <v>254230</v>
      </c>
      <c r="F821">
        <v>248335</v>
      </c>
      <c r="G821">
        <v>5895</v>
      </c>
      <c r="H821">
        <v>2.76</v>
      </c>
      <c r="I821">
        <v>96540</v>
      </c>
      <c r="J821">
        <v>89831</v>
      </c>
      <c r="K821">
        <v>6709</v>
      </c>
      <c r="L821">
        <v>6.95</v>
      </c>
      <c r="M821">
        <v>2.5723534290000001</v>
      </c>
      <c r="N821">
        <f>E821/_xlfn.XLOOKUP(C821,Lookups!$A$2:$A$66,Lookups!$C$2:$C$66)</f>
        <v>63.338349311382615</v>
      </c>
    </row>
    <row r="822" spans="1:27" x14ac:dyDescent="0.2">
      <c r="A822">
        <v>123</v>
      </c>
      <c r="B822">
        <v>2</v>
      </c>
      <c r="C822" t="s">
        <v>206</v>
      </c>
      <c r="D822">
        <v>2011</v>
      </c>
      <c r="E822">
        <v>258702</v>
      </c>
      <c r="F822">
        <v>252808</v>
      </c>
      <c r="G822">
        <v>5894</v>
      </c>
      <c r="H822">
        <v>2.77</v>
      </c>
      <c r="I822">
        <v>97321</v>
      </c>
      <c r="J822">
        <v>91197</v>
      </c>
      <c r="K822">
        <v>6124</v>
      </c>
      <c r="L822">
        <v>6.29</v>
      </c>
      <c r="M822">
        <v>2.5976716230000001</v>
      </c>
      <c r="N822">
        <f>E822/_xlfn.XLOOKUP(C822,Lookups!$A$2:$A$66,Lookups!$C$2:$C$66)</f>
        <v>64.452494369481585</v>
      </c>
    </row>
    <row r="823" spans="1:27" x14ac:dyDescent="0.2">
      <c r="A823">
        <v>123</v>
      </c>
      <c r="B823">
        <v>2</v>
      </c>
      <c r="C823" t="s">
        <v>206</v>
      </c>
      <c r="D823">
        <v>2012</v>
      </c>
      <c r="E823">
        <v>263850</v>
      </c>
      <c r="F823">
        <v>257957</v>
      </c>
      <c r="G823">
        <v>5893</v>
      </c>
      <c r="H823">
        <v>2.78</v>
      </c>
      <c r="I823">
        <v>98257</v>
      </c>
      <c r="J823">
        <v>92799</v>
      </c>
      <c r="K823">
        <v>5458</v>
      </c>
      <c r="L823">
        <v>5.55</v>
      </c>
      <c r="M823">
        <v>2.6253294930000002</v>
      </c>
      <c r="N823">
        <f>E823/_xlfn.XLOOKUP(C823,Lookups!$A$2:$A$66,Lookups!$C$2:$C$66)</f>
        <v>65.73505670380483</v>
      </c>
    </row>
    <row r="824" spans="1:27" x14ac:dyDescent="0.2">
      <c r="A824">
        <v>123</v>
      </c>
      <c r="B824">
        <v>2</v>
      </c>
      <c r="C824" t="s">
        <v>206</v>
      </c>
      <c r="D824">
        <v>2013</v>
      </c>
      <c r="E824">
        <v>269770</v>
      </c>
      <c r="F824">
        <v>263855</v>
      </c>
      <c r="G824">
        <v>5915</v>
      </c>
      <c r="H824">
        <v>2.79</v>
      </c>
      <c r="I824">
        <v>99547</v>
      </c>
      <c r="J824">
        <v>94661</v>
      </c>
      <c r="K824">
        <v>4886</v>
      </c>
      <c r="L824">
        <v>4.91</v>
      </c>
      <c r="M824">
        <v>2.6505570230000002</v>
      </c>
      <c r="N824">
        <f>E824/_xlfn.XLOOKUP(C824,Lookups!$A$2:$A$66,Lookups!$C$2:$C$66)</f>
        <v>67.209953560680049</v>
      </c>
    </row>
    <row r="825" spans="1:27" x14ac:dyDescent="0.2">
      <c r="A825">
        <v>123</v>
      </c>
      <c r="B825">
        <v>2</v>
      </c>
      <c r="C825" t="s">
        <v>206</v>
      </c>
      <c r="D825">
        <v>2014</v>
      </c>
      <c r="E825">
        <v>275994</v>
      </c>
      <c r="F825">
        <v>270649</v>
      </c>
      <c r="G825">
        <v>5345</v>
      </c>
      <c r="H825">
        <v>2.79</v>
      </c>
      <c r="I825">
        <v>101046</v>
      </c>
      <c r="J825">
        <v>96834</v>
      </c>
      <c r="K825">
        <v>4212</v>
      </c>
      <c r="L825">
        <v>4.17</v>
      </c>
      <c r="M825">
        <v>2.6784731709999998</v>
      </c>
      <c r="N825">
        <f>E825/_xlfn.XLOOKUP(C825,Lookups!$A$2:$A$66,Lookups!$C$2:$C$66)</f>
        <v>68.760588364259661</v>
      </c>
    </row>
    <row r="826" spans="1:27" x14ac:dyDescent="0.2">
      <c r="A826">
        <v>123</v>
      </c>
      <c r="B826">
        <v>2</v>
      </c>
      <c r="C826" t="s">
        <v>206</v>
      </c>
      <c r="D826">
        <v>2015</v>
      </c>
      <c r="E826">
        <v>284855</v>
      </c>
      <c r="F826">
        <v>279217</v>
      </c>
      <c r="G826">
        <v>5638</v>
      </c>
      <c r="H826">
        <v>2.8</v>
      </c>
      <c r="I826">
        <v>103354</v>
      </c>
      <c r="J826">
        <v>99627</v>
      </c>
      <c r="K826">
        <v>3727</v>
      </c>
      <c r="L826">
        <v>3.61</v>
      </c>
      <c r="M826">
        <v>2.7015596880000001</v>
      </c>
      <c r="N826">
        <f>E826/_xlfn.XLOOKUP(C826,Lookups!$A$2:$A$66,Lookups!$C$2:$C$66)</f>
        <v>70.96820002790345</v>
      </c>
    </row>
    <row r="827" spans="1:27" x14ac:dyDescent="0.2">
      <c r="A827">
        <v>123</v>
      </c>
      <c r="B827">
        <v>2</v>
      </c>
      <c r="C827" t="s">
        <v>206</v>
      </c>
      <c r="D827">
        <v>2016</v>
      </c>
      <c r="E827">
        <v>294513</v>
      </c>
      <c r="F827">
        <v>288943</v>
      </c>
      <c r="G827">
        <v>5570</v>
      </c>
      <c r="H827">
        <v>2.81</v>
      </c>
      <c r="I827">
        <v>106316</v>
      </c>
      <c r="J827">
        <v>102818</v>
      </c>
      <c r="K827">
        <v>3498</v>
      </c>
      <c r="L827">
        <v>3.29</v>
      </c>
      <c r="M827">
        <v>2.717775311</v>
      </c>
      <c r="N827">
        <f>E827/_xlfn.XLOOKUP(C827,Lookups!$A$2:$A$66,Lookups!$C$2:$C$66)</f>
        <v>73.374374663663716</v>
      </c>
    </row>
    <row r="828" spans="1:27" x14ac:dyDescent="0.2">
      <c r="A828">
        <v>123</v>
      </c>
      <c r="B828">
        <v>2</v>
      </c>
      <c r="C828" t="s">
        <v>206</v>
      </c>
      <c r="D828">
        <v>2017</v>
      </c>
      <c r="E828">
        <v>304595</v>
      </c>
      <c r="F828">
        <v>299012</v>
      </c>
      <c r="G828">
        <v>5583</v>
      </c>
      <c r="H828">
        <v>2.82</v>
      </c>
      <c r="I828">
        <v>109489</v>
      </c>
      <c r="J828">
        <v>106113</v>
      </c>
      <c r="K828">
        <v>3376</v>
      </c>
      <c r="L828">
        <v>3.08</v>
      </c>
      <c r="M828">
        <v>2.7309775410000001</v>
      </c>
      <c r="N828">
        <f>E828/_xlfn.XLOOKUP(C828,Lookups!$A$2:$A$66,Lookups!$C$2:$C$66)</f>
        <v>75.886183804038026</v>
      </c>
    </row>
    <row r="829" spans="1:27" x14ac:dyDescent="0.2">
      <c r="A829">
        <v>123</v>
      </c>
      <c r="B829">
        <v>2</v>
      </c>
      <c r="C829" t="s">
        <v>206</v>
      </c>
      <c r="D829">
        <v>2018</v>
      </c>
      <c r="E829">
        <v>313219</v>
      </c>
      <c r="F829">
        <v>307854</v>
      </c>
      <c r="G829">
        <v>5365</v>
      </c>
      <c r="H829">
        <v>2.83</v>
      </c>
      <c r="I829">
        <v>113019</v>
      </c>
      <c r="J829">
        <v>108956</v>
      </c>
      <c r="K829">
        <v>4063</v>
      </c>
      <c r="L829">
        <v>3.59</v>
      </c>
      <c r="M829">
        <v>2.7239136780000002</v>
      </c>
      <c r="N829">
        <f>E829/_xlfn.XLOOKUP(C829,Lookups!$A$2:$A$66,Lookups!$C$2:$C$66)</f>
        <v>78.03474976581029</v>
      </c>
    </row>
    <row r="830" spans="1:27" x14ac:dyDescent="0.2">
      <c r="A830">
        <v>123</v>
      </c>
      <c r="B830">
        <v>2</v>
      </c>
      <c r="C830" t="s">
        <v>206</v>
      </c>
      <c r="D830">
        <v>2019</v>
      </c>
      <c r="E830">
        <v>322335</v>
      </c>
      <c r="F830">
        <v>316706</v>
      </c>
      <c r="G830">
        <v>5629</v>
      </c>
      <c r="H830">
        <v>2.83</v>
      </c>
      <c r="I830">
        <v>116937</v>
      </c>
      <c r="J830">
        <v>111787</v>
      </c>
      <c r="K830">
        <v>5150</v>
      </c>
      <c r="L830">
        <v>4.4000000000000004</v>
      </c>
      <c r="M830">
        <v>2.7083472300000002</v>
      </c>
      <c r="N830">
        <f>E830/_xlfn.XLOOKUP(C830,Lookups!$A$2:$A$66,Lookups!$C$2:$C$66)</f>
        <v>80.305891615012058</v>
      </c>
    </row>
    <row r="831" spans="1:27" x14ac:dyDescent="0.2">
      <c r="A831">
        <v>123</v>
      </c>
      <c r="B831">
        <v>2</v>
      </c>
      <c r="C831" t="s">
        <v>206</v>
      </c>
      <c r="D831">
        <v>2020</v>
      </c>
      <c r="E831">
        <v>331423</v>
      </c>
      <c r="F831">
        <v>326233</v>
      </c>
      <c r="G831">
        <v>5190</v>
      </c>
      <c r="I831">
        <v>120949</v>
      </c>
      <c r="M831">
        <v>2.6972773650000001</v>
      </c>
      <c r="N831">
        <f>E831/_xlfn.XLOOKUP(C831,Lookups!$A$2:$A$66,Lookups!$C$2:$C$66)</f>
        <v>82.570057600701574</v>
      </c>
      <c r="O831">
        <v>331423</v>
      </c>
      <c r="P831">
        <v>4431</v>
      </c>
      <c r="Q831">
        <v>2403</v>
      </c>
      <c r="R831">
        <v>6685</v>
      </c>
      <c r="S831">
        <v>2028</v>
      </c>
      <c r="T831">
        <v>120949</v>
      </c>
      <c r="W831">
        <v>326233</v>
      </c>
      <c r="X831">
        <v>4185</v>
      </c>
      <c r="AA831">
        <v>2.6972773650000001</v>
      </c>
    </row>
    <row r="832" spans="1:27" x14ac:dyDescent="0.2">
      <c r="A832">
        <v>123</v>
      </c>
      <c r="B832">
        <v>2</v>
      </c>
      <c r="C832" t="s">
        <v>206</v>
      </c>
      <c r="D832">
        <v>2021</v>
      </c>
      <c r="E832">
        <v>339865</v>
      </c>
      <c r="F832">
        <v>335432</v>
      </c>
      <c r="G832">
        <v>4433</v>
      </c>
      <c r="I832">
        <v>124749</v>
      </c>
      <c r="M832">
        <v>2.6888552209999999</v>
      </c>
      <c r="N832">
        <f>E832/_xlfn.XLOOKUP(C832,Lookups!$A$2:$A$66,Lookups!$C$2:$C$66)</f>
        <v>84.673280449644224</v>
      </c>
      <c r="O832">
        <v>339865</v>
      </c>
      <c r="P832">
        <v>4433</v>
      </c>
      <c r="Q832">
        <v>2163</v>
      </c>
      <c r="R832">
        <v>6279</v>
      </c>
      <c r="S832">
        <v>2270</v>
      </c>
      <c r="T832">
        <v>124749</v>
      </c>
      <c r="W832">
        <v>335432</v>
      </c>
      <c r="X832">
        <v>5268</v>
      </c>
      <c r="AA832">
        <v>2.6888552209999999</v>
      </c>
    </row>
    <row r="833" spans="1:27" x14ac:dyDescent="0.2">
      <c r="A833">
        <v>123</v>
      </c>
      <c r="B833">
        <v>2</v>
      </c>
      <c r="C833" t="s">
        <v>206</v>
      </c>
      <c r="D833">
        <v>2022</v>
      </c>
      <c r="E833">
        <v>350206</v>
      </c>
      <c r="F833">
        <v>345788</v>
      </c>
      <c r="G833">
        <v>4418</v>
      </c>
      <c r="I833">
        <v>129656</v>
      </c>
      <c r="M833">
        <v>2.6669648920000002</v>
      </c>
      <c r="N833">
        <f>E833/_xlfn.XLOOKUP(C833,Lookups!$A$2:$A$66,Lookups!$C$2:$C$66)</f>
        <v>87.249616327506828</v>
      </c>
      <c r="O833">
        <v>350206</v>
      </c>
      <c r="P833">
        <v>4613</v>
      </c>
      <c r="Q833">
        <v>2016</v>
      </c>
      <c r="R833">
        <v>8325</v>
      </c>
      <c r="S833">
        <v>2597</v>
      </c>
      <c r="T833">
        <v>129656</v>
      </c>
      <c r="W833">
        <v>345788</v>
      </c>
      <c r="X833">
        <v>6143</v>
      </c>
      <c r="AA833">
        <v>2.6669648920000002</v>
      </c>
    </row>
    <row r="834" spans="1:27" x14ac:dyDescent="0.2">
      <c r="A834">
        <v>125</v>
      </c>
      <c r="B834">
        <v>1</v>
      </c>
      <c r="C834" t="s">
        <v>207</v>
      </c>
      <c r="D834">
        <v>2010</v>
      </c>
      <c r="E834">
        <v>10032</v>
      </c>
      <c r="F834">
        <v>9836</v>
      </c>
      <c r="G834">
        <v>196</v>
      </c>
      <c r="H834">
        <v>2.63</v>
      </c>
      <c r="I834">
        <v>4227</v>
      </c>
      <c r="J834">
        <v>3740</v>
      </c>
      <c r="K834">
        <v>487</v>
      </c>
      <c r="L834">
        <v>11.52</v>
      </c>
      <c r="M834">
        <v>2.3269458240000001</v>
      </c>
      <c r="N834">
        <f>E834/_xlfn.XLOOKUP(C834,Lookups!$A$2:$A$66,Lookups!$C$2:$C$66)</f>
        <v>4.2336080620861658</v>
      </c>
    </row>
    <row r="835" spans="1:27" x14ac:dyDescent="0.2">
      <c r="A835">
        <v>125</v>
      </c>
      <c r="B835">
        <v>1</v>
      </c>
      <c r="C835" t="s">
        <v>207</v>
      </c>
      <c r="D835">
        <v>2011</v>
      </c>
      <c r="E835">
        <v>10111</v>
      </c>
      <c r="F835">
        <v>9832</v>
      </c>
      <c r="G835">
        <v>279</v>
      </c>
      <c r="H835">
        <v>2.5</v>
      </c>
      <c r="I835">
        <v>4237</v>
      </c>
      <c r="J835">
        <v>3938</v>
      </c>
      <c r="K835">
        <v>299</v>
      </c>
      <c r="L835">
        <v>7.07</v>
      </c>
      <c r="M835">
        <v>2.320509795</v>
      </c>
      <c r="N835">
        <f>E835/_xlfn.XLOOKUP(C835,Lookups!$A$2:$A$66,Lookups!$C$2:$C$66)</f>
        <v>4.2669468815543485</v>
      </c>
    </row>
    <row r="836" spans="1:27" x14ac:dyDescent="0.2">
      <c r="A836">
        <v>125</v>
      </c>
      <c r="B836">
        <v>1</v>
      </c>
      <c r="C836" t="s">
        <v>207</v>
      </c>
      <c r="D836">
        <v>2012</v>
      </c>
      <c r="E836">
        <v>10078</v>
      </c>
      <c r="F836">
        <v>9830</v>
      </c>
      <c r="G836">
        <v>248</v>
      </c>
      <c r="H836">
        <v>2.5</v>
      </c>
      <c r="I836">
        <v>4246</v>
      </c>
      <c r="J836">
        <v>3929</v>
      </c>
      <c r="K836">
        <v>317</v>
      </c>
      <c r="L836">
        <v>7.47</v>
      </c>
      <c r="M836">
        <v>2.3151201129999999</v>
      </c>
      <c r="N836">
        <f>E836/_xlfn.XLOOKUP(C836,Lookups!$A$2:$A$66,Lookups!$C$2:$C$66)</f>
        <v>4.2530205392448543</v>
      </c>
    </row>
    <row r="837" spans="1:27" x14ac:dyDescent="0.2">
      <c r="A837">
        <v>125</v>
      </c>
      <c r="B837">
        <v>1</v>
      </c>
      <c r="C837" t="s">
        <v>207</v>
      </c>
      <c r="D837">
        <v>2013</v>
      </c>
      <c r="E837">
        <v>10143</v>
      </c>
      <c r="F837">
        <v>9830</v>
      </c>
      <c r="G837">
        <v>313</v>
      </c>
      <c r="H837">
        <v>2.5099999999999998</v>
      </c>
      <c r="I837">
        <v>4254</v>
      </c>
      <c r="J837">
        <v>3921</v>
      </c>
      <c r="K837">
        <v>333</v>
      </c>
      <c r="L837">
        <v>7.82</v>
      </c>
      <c r="M837">
        <v>2.3107663380000001</v>
      </c>
      <c r="N837">
        <f>E837/_xlfn.XLOOKUP(C837,Lookups!$A$2:$A$66,Lookups!$C$2:$C$66)</f>
        <v>4.280451213490827</v>
      </c>
    </row>
    <row r="838" spans="1:27" x14ac:dyDescent="0.2">
      <c r="A838">
        <v>125</v>
      </c>
      <c r="B838">
        <v>1</v>
      </c>
      <c r="C838" t="s">
        <v>207</v>
      </c>
      <c r="D838">
        <v>2014</v>
      </c>
      <c r="E838">
        <v>10188</v>
      </c>
      <c r="F838">
        <v>9823</v>
      </c>
      <c r="G838">
        <v>365</v>
      </c>
      <c r="H838">
        <v>2.5099999999999998</v>
      </c>
      <c r="I838">
        <v>4265</v>
      </c>
      <c r="J838">
        <v>3911</v>
      </c>
      <c r="K838">
        <v>354</v>
      </c>
      <c r="L838">
        <v>8.3000000000000007</v>
      </c>
      <c r="M838">
        <v>2.3031652990000002</v>
      </c>
      <c r="N838">
        <f>E838/_xlfn.XLOOKUP(C838,Lookups!$A$2:$A$66,Lookups!$C$2:$C$66)</f>
        <v>4.2994416802765008</v>
      </c>
    </row>
    <row r="839" spans="1:27" x14ac:dyDescent="0.2">
      <c r="A839">
        <v>125</v>
      </c>
      <c r="B839">
        <v>1</v>
      </c>
      <c r="C839" t="s">
        <v>207</v>
      </c>
      <c r="D839">
        <v>2015</v>
      </c>
      <c r="E839">
        <v>10039</v>
      </c>
      <c r="F839">
        <v>9799</v>
      </c>
      <c r="G839">
        <v>240</v>
      </c>
      <c r="H839">
        <v>2.52</v>
      </c>
      <c r="I839">
        <v>4283</v>
      </c>
      <c r="J839">
        <v>3894</v>
      </c>
      <c r="K839">
        <v>389</v>
      </c>
      <c r="L839">
        <v>9.08</v>
      </c>
      <c r="M839">
        <v>2.287882325</v>
      </c>
      <c r="N839">
        <f>E839/_xlfn.XLOOKUP(C839,Lookups!$A$2:$A$66,Lookups!$C$2:$C$66)</f>
        <v>4.2365621346972704</v>
      </c>
    </row>
    <row r="840" spans="1:27" x14ac:dyDescent="0.2">
      <c r="A840">
        <v>125</v>
      </c>
      <c r="B840">
        <v>1</v>
      </c>
      <c r="C840" t="s">
        <v>207</v>
      </c>
      <c r="D840">
        <v>2016</v>
      </c>
      <c r="E840">
        <v>10056</v>
      </c>
      <c r="F840">
        <v>9792</v>
      </c>
      <c r="G840">
        <v>264</v>
      </c>
      <c r="H840">
        <v>2.52</v>
      </c>
      <c r="I840">
        <v>4294</v>
      </c>
      <c r="J840">
        <v>3884</v>
      </c>
      <c r="K840">
        <v>410</v>
      </c>
      <c r="L840">
        <v>9.56</v>
      </c>
      <c r="M840">
        <v>2.280391244</v>
      </c>
      <c r="N840">
        <f>E840/_xlfn.XLOOKUP(C840,Lookups!$A$2:$A$66,Lookups!$C$2:$C$66)</f>
        <v>4.2437363110385249</v>
      </c>
    </row>
    <row r="841" spans="1:27" x14ac:dyDescent="0.2">
      <c r="A841">
        <v>125</v>
      </c>
      <c r="B841">
        <v>1</v>
      </c>
      <c r="C841" t="s">
        <v>207</v>
      </c>
      <c r="D841">
        <v>2017</v>
      </c>
      <c r="E841">
        <v>9973</v>
      </c>
      <c r="F841">
        <v>9787</v>
      </c>
      <c r="G841">
        <v>186</v>
      </c>
      <c r="H841">
        <v>2.5299999999999998</v>
      </c>
      <c r="I841">
        <v>4304</v>
      </c>
      <c r="J841">
        <v>3874</v>
      </c>
      <c r="K841">
        <v>430</v>
      </c>
      <c r="L841">
        <v>9.99</v>
      </c>
      <c r="M841">
        <v>2.2739312269999998</v>
      </c>
      <c r="N841">
        <f>E841/_xlfn.XLOOKUP(C841,Lookups!$A$2:$A$66,Lookups!$C$2:$C$66)</f>
        <v>4.2087094500782829</v>
      </c>
    </row>
    <row r="842" spans="1:27" x14ac:dyDescent="0.2">
      <c r="A842">
        <v>125</v>
      </c>
      <c r="B842">
        <v>1</v>
      </c>
      <c r="C842" t="s">
        <v>207</v>
      </c>
      <c r="D842">
        <v>2018</v>
      </c>
      <c r="E842">
        <v>9955</v>
      </c>
      <c r="F842">
        <v>9789</v>
      </c>
      <c r="G842">
        <v>166</v>
      </c>
      <c r="H842">
        <v>2.5299999999999998</v>
      </c>
      <c r="I842">
        <v>4311</v>
      </c>
      <c r="J842">
        <v>3867</v>
      </c>
      <c r="K842">
        <v>444</v>
      </c>
      <c r="L842">
        <v>10.29</v>
      </c>
      <c r="M842">
        <v>2.270702853</v>
      </c>
      <c r="N842">
        <f>E842/_xlfn.XLOOKUP(C842,Lookups!$A$2:$A$66,Lookups!$C$2:$C$66)</f>
        <v>4.2011132633640136</v>
      </c>
    </row>
    <row r="843" spans="1:27" x14ac:dyDescent="0.2">
      <c r="A843">
        <v>125</v>
      </c>
      <c r="B843">
        <v>1</v>
      </c>
      <c r="C843" t="s">
        <v>207</v>
      </c>
      <c r="D843">
        <v>2019</v>
      </c>
      <c r="E843">
        <v>10010</v>
      </c>
      <c r="F843">
        <v>9793</v>
      </c>
      <c r="G843">
        <v>217</v>
      </c>
      <c r="H843">
        <v>2.54</v>
      </c>
      <c r="I843">
        <v>4317</v>
      </c>
      <c r="J843">
        <v>3862</v>
      </c>
      <c r="K843">
        <v>455</v>
      </c>
      <c r="L843">
        <v>10.55</v>
      </c>
      <c r="M843">
        <v>2.2684734770000001</v>
      </c>
      <c r="N843">
        <f>E843/_xlfn.XLOOKUP(C843,Lookups!$A$2:$A$66,Lookups!$C$2:$C$66)</f>
        <v>4.2243238338798363</v>
      </c>
    </row>
    <row r="844" spans="1:27" x14ac:dyDescent="0.2">
      <c r="A844">
        <v>125</v>
      </c>
      <c r="B844">
        <v>1</v>
      </c>
      <c r="C844" t="s">
        <v>207</v>
      </c>
      <c r="D844">
        <v>2020</v>
      </c>
      <c r="E844">
        <v>9977</v>
      </c>
      <c r="F844">
        <v>9759</v>
      </c>
      <c r="G844">
        <v>218</v>
      </c>
      <c r="I844">
        <v>4315</v>
      </c>
      <c r="M844">
        <v>2.261645423</v>
      </c>
      <c r="N844">
        <f>E844/_xlfn.XLOOKUP(C844,Lookups!$A$2:$A$66,Lookups!$C$2:$C$66)</f>
        <v>4.2103974915703422</v>
      </c>
      <c r="O844">
        <v>9977</v>
      </c>
      <c r="P844">
        <v>116</v>
      </c>
      <c r="Q844">
        <v>19</v>
      </c>
      <c r="R844">
        <v>-52</v>
      </c>
      <c r="S844">
        <v>97</v>
      </c>
      <c r="T844">
        <v>4315</v>
      </c>
      <c r="W844">
        <v>9759</v>
      </c>
      <c r="X844">
        <v>6</v>
      </c>
      <c r="AA844">
        <v>2.261645423</v>
      </c>
    </row>
    <row r="845" spans="1:27" x14ac:dyDescent="0.2">
      <c r="A845">
        <v>125</v>
      </c>
      <c r="B845">
        <v>1</v>
      </c>
      <c r="C845" t="s">
        <v>207</v>
      </c>
      <c r="D845">
        <v>2021</v>
      </c>
      <c r="E845">
        <v>9932</v>
      </c>
      <c r="F845">
        <v>9750</v>
      </c>
      <c r="G845">
        <v>182</v>
      </c>
      <c r="I845">
        <v>4320</v>
      </c>
      <c r="M845">
        <v>2.2569444440000002</v>
      </c>
      <c r="N845">
        <f>E845/_xlfn.XLOOKUP(C845,Lookups!$A$2:$A$66,Lookups!$C$2:$C$66)</f>
        <v>4.1914070247846693</v>
      </c>
      <c r="O845">
        <v>9932</v>
      </c>
      <c r="P845">
        <v>134</v>
      </c>
      <c r="Q845">
        <v>8</v>
      </c>
      <c r="R845">
        <v>-53</v>
      </c>
      <c r="S845">
        <v>126</v>
      </c>
      <c r="T845">
        <v>4320</v>
      </c>
      <c r="W845">
        <v>9750</v>
      </c>
      <c r="X845">
        <v>4</v>
      </c>
      <c r="AA845">
        <v>2.2569444440000002</v>
      </c>
    </row>
    <row r="846" spans="1:27" x14ac:dyDescent="0.2">
      <c r="A846">
        <v>125</v>
      </c>
      <c r="B846">
        <v>1</v>
      </c>
      <c r="C846" t="s">
        <v>207</v>
      </c>
      <c r="D846">
        <v>2022</v>
      </c>
      <c r="E846">
        <v>9920</v>
      </c>
      <c r="F846">
        <v>9757</v>
      </c>
      <c r="G846">
        <v>163</v>
      </c>
      <c r="I846">
        <v>4326</v>
      </c>
      <c r="M846">
        <v>2.25543227</v>
      </c>
      <c r="N846">
        <f>E846/_xlfn.XLOOKUP(C846,Lookups!$A$2:$A$66,Lookups!$C$2:$C$66)</f>
        <v>4.1863429003084898</v>
      </c>
      <c r="O846">
        <v>9920</v>
      </c>
      <c r="P846">
        <v>140</v>
      </c>
      <c r="Q846">
        <v>45</v>
      </c>
      <c r="R846">
        <v>-57</v>
      </c>
      <c r="S846">
        <v>95</v>
      </c>
      <c r="T846">
        <v>4326</v>
      </c>
      <c r="W846">
        <v>9757</v>
      </c>
      <c r="X846">
        <v>20</v>
      </c>
      <c r="AA846">
        <v>2.25543227</v>
      </c>
    </row>
  </sheetData>
  <sortState xmlns:xlrd2="http://schemas.microsoft.com/office/spreadsheetml/2017/richdata2" ref="A2:AA846">
    <sortCondition ref="C2:C8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DC0C-D555-D74D-B5DD-B930641314A4}">
  <dimension ref="A3:BS208"/>
  <sheetViews>
    <sheetView topLeftCell="AV110" zoomScale="84" zoomScaleNormal="75" workbookViewId="0">
      <selection activeCell="BL143" sqref="BL143"/>
    </sheetView>
  </sheetViews>
  <sheetFormatPr baseColWidth="10" defaultRowHeight="16" x14ac:dyDescent="0.2"/>
  <cols>
    <col min="1" max="1" width="16.85546875" bestFit="1" customWidth="1"/>
    <col min="2" max="2" width="16.140625" bestFit="1" customWidth="1"/>
    <col min="3" max="14" width="5.28515625" bestFit="1" customWidth="1"/>
    <col min="15" max="15" width="10.85546875" bestFit="1" customWidth="1"/>
    <col min="16" max="16" width="28" bestFit="1" customWidth="1"/>
    <col min="17" max="17" width="24" bestFit="1" customWidth="1"/>
    <col min="18" max="18" width="28" bestFit="1" customWidth="1"/>
    <col min="19" max="19" width="24" bestFit="1" customWidth="1"/>
    <col min="20" max="20" width="28" bestFit="1" customWidth="1"/>
    <col min="21" max="21" width="24" bestFit="1" customWidth="1"/>
    <col min="22" max="22" width="28" bestFit="1" customWidth="1"/>
    <col min="23" max="23" width="24" bestFit="1" customWidth="1"/>
    <col min="24" max="24" width="28" bestFit="1" customWidth="1"/>
    <col min="25" max="25" width="24" bestFit="1" customWidth="1"/>
    <col min="26" max="26" width="28" bestFit="1" customWidth="1"/>
    <col min="27" max="27" width="24" bestFit="1" customWidth="1"/>
    <col min="28" max="28" width="32.85546875" bestFit="1" customWidth="1"/>
    <col min="29" max="29" width="28.7109375" bestFit="1" customWidth="1"/>
    <col min="30" max="31" width="13.42578125" bestFit="1" customWidth="1"/>
    <col min="33" max="33" width="16.5703125" bestFit="1" customWidth="1"/>
    <col min="47" max="47" width="21.5703125" bestFit="1" customWidth="1"/>
    <col min="49" max="49" width="50.85546875" bestFit="1" customWidth="1"/>
    <col min="61" max="61" width="22.5703125" bestFit="1" customWidth="1"/>
  </cols>
  <sheetData>
    <row r="3" spans="1:63" x14ac:dyDescent="0.2">
      <c r="B3" s="15" t="s">
        <v>226</v>
      </c>
      <c r="AG3" t="s">
        <v>259</v>
      </c>
      <c r="AW3" t="s">
        <v>284</v>
      </c>
    </row>
    <row r="4" spans="1:63" x14ac:dyDescent="0.2">
      <c r="A4" s="15" t="s">
        <v>224</v>
      </c>
      <c r="B4">
        <v>2010</v>
      </c>
      <c r="C4">
        <v>2011</v>
      </c>
      <c r="D4">
        <v>2012</v>
      </c>
      <c r="E4">
        <v>2013</v>
      </c>
      <c r="F4">
        <v>2014</v>
      </c>
      <c r="G4">
        <v>2015</v>
      </c>
      <c r="H4">
        <v>2016</v>
      </c>
      <c r="I4">
        <v>2017</v>
      </c>
      <c r="J4">
        <v>2018</v>
      </c>
      <c r="K4">
        <v>2019</v>
      </c>
      <c r="L4">
        <v>2020</v>
      </c>
      <c r="M4">
        <v>2021</v>
      </c>
      <c r="N4">
        <v>2022</v>
      </c>
      <c r="O4" t="s">
        <v>225</v>
      </c>
      <c r="AD4" s="17">
        <v>2021</v>
      </c>
      <c r="AE4" s="17">
        <v>2022</v>
      </c>
      <c r="AG4" s="17" t="s">
        <v>224</v>
      </c>
      <c r="AH4" s="17">
        <v>2010</v>
      </c>
      <c r="AI4" s="17">
        <v>2011</v>
      </c>
      <c r="AJ4" s="17">
        <v>2012</v>
      </c>
      <c r="AK4" s="17">
        <v>2013</v>
      </c>
      <c r="AL4" s="17">
        <v>2014</v>
      </c>
      <c r="AM4" s="17">
        <v>2015</v>
      </c>
      <c r="AN4" s="17">
        <v>2016</v>
      </c>
      <c r="AO4" s="17">
        <v>2017</v>
      </c>
      <c r="AP4" s="17">
        <v>2018</v>
      </c>
      <c r="AQ4" s="17">
        <v>2019</v>
      </c>
      <c r="AR4" s="17">
        <v>2020</v>
      </c>
      <c r="AS4" s="17">
        <v>2021</v>
      </c>
      <c r="AT4" s="17">
        <v>2022</v>
      </c>
      <c r="AU4" s="33"/>
      <c r="AW4" s="17" t="s">
        <v>224</v>
      </c>
      <c r="AX4" s="17" t="s">
        <v>247</v>
      </c>
      <c r="AY4" s="17" t="s">
        <v>248</v>
      </c>
      <c r="AZ4" s="17" t="s">
        <v>249</v>
      </c>
      <c r="BA4" s="17" t="s">
        <v>250</v>
      </c>
      <c r="BB4" s="17" t="s">
        <v>251</v>
      </c>
      <c r="BC4" s="17" t="s">
        <v>252</v>
      </c>
      <c r="BD4" s="17" t="s">
        <v>253</v>
      </c>
      <c r="BE4" s="17" t="s">
        <v>257</v>
      </c>
      <c r="BF4" s="17" t="s">
        <v>254</v>
      </c>
      <c r="BG4" s="17" t="s">
        <v>255</v>
      </c>
      <c r="BH4" s="17" t="s">
        <v>256</v>
      </c>
      <c r="BI4" s="17"/>
      <c r="BJ4" s="17"/>
      <c r="BK4" s="33"/>
    </row>
    <row r="5" spans="1:63" x14ac:dyDescent="0.2">
      <c r="A5" s="16" t="s">
        <v>144</v>
      </c>
      <c r="AD5" s="23">
        <v>442.71456241700429</v>
      </c>
      <c r="AE5" s="23">
        <v>446.16887565656481</v>
      </c>
      <c r="AG5" s="16" t="s">
        <v>144</v>
      </c>
      <c r="AH5" s="32">
        <f>0</f>
        <v>0</v>
      </c>
      <c r="AI5" s="32" t="e">
        <f>(T5-S5)/T5</f>
        <v>#DIV/0!</v>
      </c>
      <c r="AJ5" s="32" t="e">
        <f t="shared" ref="AJ5:AT20" si="0">(U5-T5)/U5</f>
        <v>#DIV/0!</v>
      </c>
      <c r="AK5" s="32" t="e">
        <f t="shared" si="0"/>
        <v>#DIV/0!</v>
      </c>
      <c r="AL5" s="32" t="e">
        <f t="shared" si="0"/>
        <v>#DIV/0!</v>
      </c>
      <c r="AM5" s="32" t="e">
        <f t="shared" si="0"/>
        <v>#DIV/0!</v>
      </c>
      <c r="AN5" s="32" t="e">
        <f t="shared" si="0"/>
        <v>#DIV/0!</v>
      </c>
      <c r="AO5" s="32" t="e">
        <f t="shared" si="0"/>
        <v>#DIV/0!</v>
      </c>
      <c r="AP5" s="32" t="e">
        <f t="shared" si="0"/>
        <v>#DIV/0!</v>
      </c>
      <c r="AQ5" s="32" t="e">
        <f t="shared" si="0"/>
        <v>#DIV/0!</v>
      </c>
      <c r="AR5" s="32" t="e">
        <f t="shared" si="0"/>
        <v>#DIV/0!</v>
      </c>
      <c r="AS5" s="32">
        <f t="shared" si="0"/>
        <v>1</v>
      </c>
      <c r="AT5" s="32">
        <f t="shared" si="0"/>
        <v>7.7421654176959035E-3</v>
      </c>
      <c r="AU5" s="32"/>
      <c r="AW5" s="16" t="s">
        <v>144</v>
      </c>
      <c r="AX5" s="32" t="e">
        <f>AVERAGE(AH5:AJ5)</f>
        <v>#DIV/0!</v>
      </c>
      <c r="AY5" s="32" t="e">
        <f t="shared" ref="AY5:BH5" si="1">AVERAGE(AI5:AK5)</f>
        <v>#DIV/0!</v>
      </c>
      <c r="AZ5" s="32" t="e">
        <f t="shared" si="1"/>
        <v>#DIV/0!</v>
      </c>
      <c r="BA5" s="32" t="e">
        <f t="shared" si="1"/>
        <v>#DIV/0!</v>
      </c>
      <c r="BB5" s="32" t="e">
        <f t="shared" si="1"/>
        <v>#DIV/0!</v>
      </c>
      <c r="BC5" s="32" t="e">
        <f t="shared" si="1"/>
        <v>#DIV/0!</v>
      </c>
      <c r="BD5" s="32" t="e">
        <f t="shared" si="1"/>
        <v>#DIV/0!</v>
      </c>
      <c r="BE5" s="32" t="e">
        <f t="shared" si="1"/>
        <v>#DIV/0!</v>
      </c>
      <c r="BF5" s="32" t="e">
        <f t="shared" si="1"/>
        <v>#DIV/0!</v>
      </c>
      <c r="BG5" s="32" t="e">
        <f t="shared" si="1"/>
        <v>#DIV/0!</v>
      </c>
      <c r="BH5" s="32" t="e">
        <f t="shared" si="1"/>
        <v>#DIV/0!</v>
      </c>
      <c r="BI5" s="32"/>
      <c r="BJ5" s="32"/>
      <c r="BK5" s="32"/>
    </row>
    <row r="6" spans="1:63" x14ac:dyDescent="0.2">
      <c r="A6" s="16" t="s">
        <v>145</v>
      </c>
      <c r="AD6" s="23">
        <v>22.917271608523112</v>
      </c>
      <c r="AE6" s="23">
        <v>22.918654332766415</v>
      </c>
      <c r="AG6" s="16" t="s">
        <v>145</v>
      </c>
      <c r="AH6" s="32">
        <f>0</f>
        <v>0</v>
      </c>
      <c r="AI6" s="32" t="e">
        <f t="shared" ref="AI6:AI69" si="2">(T6-S6)/T6</f>
        <v>#DIV/0!</v>
      </c>
      <c r="AJ6" s="32" t="e">
        <f t="shared" si="0"/>
        <v>#DIV/0!</v>
      </c>
      <c r="AK6" s="32" t="e">
        <f t="shared" si="0"/>
        <v>#DIV/0!</v>
      </c>
      <c r="AL6" s="32" t="e">
        <f t="shared" si="0"/>
        <v>#DIV/0!</v>
      </c>
      <c r="AM6" s="32" t="e">
        <f t="shared" si="0"/>
        <v>#DIV/0!</v>
      </c>
      <c r="AN6" s="32" t="e">
        <f t="shared" si="0"/>
        <v>#DIV/0!</v>
      </c>
      <c r="AO6" s="32" t="e">
        <f t="shared" si="0"/>
        <v>#DIV/0!</v>
      </c>
      <c r="AP6" s="32" t="e">
        <f t="shared" si="0"/>
        <v>#DIV/0!</v>
      </c>
      <c r="AQ6" s="32" t="e">
        <f t="shared" si="0"/>
        <v>#DIV/0!</v>
      </c>
      <c r="AR6" s="32" t="e">
        <f t="shared" si="0"/>
        <v>#DIV/0!</v>
      </c>
      <c r="AS6" s="32">
        <f t="shared" si="0"/>
        <v>1</v>
      </c>
      <c r="AT6" s="32">
        <f t="shared" si="0"/>
        <v>6.0331825037661313E-5</v>
      </c>
      <c r="AU6" s="32"/>
      <c r="AW6" s="16" t="s">
        <v>145</v>
      </c>
      <c r="AX6" s="32" t="e">
        <f t="shared" ref="AX6:AX16" si="3">AVERAGE(AH6:AJ6)</f>
        <v>#DIV/0!</v>
      </c>
      <c r="AY6" s="32" t="e">
        <f t="shared" ref="AY6:AY16" si="4">AVERAGE(AI6:AK6)</f>
        <v>#DIV/0!</v>
      </c>
      <c r="AZ6" s="32" t="e">
        <f t="shared" ref="AZ6:AZ16" si="5">AVERAGE(AJ6:AL6)</f>
        <v>#DIV/0!</v>
      </c>
      <c r="BA6" s="32" t="e">
        <f t="shared" ref="BA6:BA16" si="6">AVERAGE(AK6:AM6)</f>
        <v>#DIV/0!</v>
      </c>
      <c r="BB6" s="32" t="e">
        <f t="shared" ref="BB6:BB16" si="7">AVERAGE(AL6:AN6)</f>
        <v>#DIV/0!</v>
      </c>
      <c r="BC6" s="32" t="e">
        <f t="shared" ref="BC6:BC16" si="8">AVERAGE(AM6:AO6)</f>
        <v>#DIV/0!</v>
      </c>
      <c r="BD6" s="32" t="e">
        <f t="shared" ref="BD6:BD16" si="9">AVERAGE(AN6:AP6)</f>
        <v>#DIV/0!</v>
      </c>
      <c r="BE6" s="32" t="e">
        <f t="shared" ref="BE6:BE16" si="10">AVERAGE(AO6:AQ6)</f>
        <v>#DIV/0!</v>
      </c>
      <c r="BF6" s="32" t="e">
        <f t="shared" ref="BF6:BF16" si="11">AVERAGE(AP6:AR6)</f>
        <v>#DIV/0!</v>
      </c>
      <c r="BG6" s="32" t="e">
        <f t="shared" ref="BG6:BG16" si="12">AVERAGE(AQ6:AS6)</f>
        <v>#DIV/0!</v>
      </c>
      <c r="BH6" s="32" t="e">
        <f t="shared" ref="BH6:BH16" si="13">AVERAGE(AR6:AT6)</f>
        <v>#DIV/0!</v>
      </c>
      <c r="BI6" s="32"/>
      <c r="BJ6" s="32"/>
      <c r="BK6" s="32"/>
    </row>
    <row r="7" spans="1:63" x14ac:dyDescent="0.2">
      <c r="A7" s="16" t="s">
        <v>146</v>
      </c>
      <c r="AD7" s="23">
        <v>816.4020835146257</v>
      </c>
      <c r="AE7" s="23">
        <v>815.52317847863651</v>
      </c>
      <c r="AG7" s="16" t="s">
        <v>146</v>
      </c>
      <c r="AH7" s="32">
        <f>0</f>
        <v>0</v>
      </c>
      <c r="AI7" s="32" t="e">
        <f t="shared" si="2"/>
        <v>#DIV/0!</v>
      </c>
      <c r="AJ7" s="32" t="e">
        <f t="shared" si="0"/>
        <v>#DIV/0!</v>
      </c>
      <c r="AK7" s="32" t="e">
        <f t="shared" si="0"/>
        <v>#DIV/0!</v>
      </c>
      <c r="AL7" s="32" t="e">
        <f t="shared" si="0"/>
        <v>#DIV/0!</v>
      </c>
      <c r="AM7" s="32" t="e">
        <f t="shared" si="0"/>
        <v>#DIV/0!</v>
      </c>
      <c r="AN7" s="32" t="e">
        <f t="shared" si="0"/>
        <v>#DIV/0!</v>
      </c>
      <c r="AO7" s="32" t="e">
        <f t="shared" si="0"/>
        <v>#DIV/0!</v>
      </c>
      <c r="AP7" s="32" t="e">
        <f t="shared" si="0"/>
        <v>#DIV/0!</v>
      </c>
      <c r="AQ7" s="32" t="e">
        <f t="shared" si="0"/>
        <v>#DIV/0!</v>
      </c>
      <c r="AR7" s="32" t="e">
        <f t="shared" si="0"/>
        <v>#DIV/0!</v>
      </c>
      <c r="AS7" s="32">
        <f t="shared" si="0"/>
        <v>1</v>
      </c>
      <c r="AT7" s="32">
        <f t="shared" si="0"/>
        <v>-1.0777192594682524E-3</v>
      </c>
      <c r="AU7" s="32"/>
      <c r="AW7" s="16" t="s">
        <v>146</v>
      </c>
      <c r="AX7" s="32" t="e">
        <f t="shared" si="3"/>
        <v>#DIV/0!</v>
      </c>
      <c r="AY7" s="32" t="e">
        <f t="shared" si="4"/>
        <v>#DIV/0!</v>
      </c>
      <c r="AZ7" s="32" t="e">
        <f t="shared" si="5"/>
        <v>#DIV/0!</v>
      </c>
      <c r="BA7" s="32" t="e">
        <f t="shared" si="6"/>
        <v>#DIV/0!</v>
      </c>
      <c r="BB7" s="32" t="e">
        <f t="shared" si="7"/>
        <v>#DIV/0!</v>
      </c>
      <c r="BC7" s="32" t="e">
        <f t="shared" si="8"/>
        <v>#DIV/0!</v>
      </c>
      <c r="BD7" s="32" t="e">
        <f t="shared" si="9"/>
        <v>#DIV/0!</v>
      </c>
      <c r="BE7" s="32" t="e">
        <f t="shared" si="10"/>
        <v>#DIV/0!</v>
      </c>
      <c r="BF7" s="32" t="e">
        <f t="shared" si="11"/>
        <v>#DIV/0!</v>
      </c>
      <c r="BG7" s="32" t="e">
        <f t="shared" si="12"/>
        <v>#DIV/0!</v>
      </c>
      <c r="BH7" s="32" t="e">
        <f t="shared" si="13"/>
        <v>#DIV/0!</v>
      </c>
      <c r="BI7" s="32"/>
      <c r="BJ7" s="32"/>
      <c r="BK7" s="32"/>
    </row>
    <row r="8" spans="1:63" x14ac:dyDescent="0.2">
      <c r="A8" s="16" t="s">
        <v>147</v>
      </c>
      <c r="AD8" s="23">
        <v>10.196894863901132</v>
      </c>
      <c r="AE8" s="23">
        <v>10.325352705366438</v>
      </c>
      <c r="AG8" s="16" t="s">
        <v>147</v>
      </c>
      <c r="AH8" s="32">
        <f>0</f>
        <v>0</v>
      </c>
      <c r="AI8" s="32" t="e">
        <f t="shared" si="2"/>
        <v>#DIV/0!</v>
      </c>
      <c r="AJ8" s="32" t="e">
        <f t="shared" si="0"/>
        <v>#DIV/0!</v>
      </c>
      <c r="AK8" s="32" t="e">
        <f t="shared" si="0"/>
        <v>#DIV/0!</v>
      </c>
      <c r="AL8" s="32" t="e">
        <f t="shared" si="0"/>
        <v>#DIV/0!</v>
      </c>
      <c r="AM8" s="32" t="e">
        <f t="shared" si="0"/>
        <v>#DIV/0!</v>
      </c>
      <c r="AN8" s="32" t="e">
        <f t="shared" si="0"/>
        <v>#DIV/0!</v>
      </c>
      <c r="AO8" s="32" t="e">
        <f t="shared" si="0"/>
        <v>#DIV/0!</v>
      </c>
      <c r="AP8" s="32" t="e">
        <f t="shared" si="0"/>
        <v>#DIV/0!</v>
      </c>
      <c r="AQ8" s="32" t="e">
        <f t="shared" si="0"/>
        <v>#DIV/0!</v>
      </c>
      <c r="AR8" s="32" t="e">
        <f t="shared" si="0"/>
        <v>#DIV/0!</v>
      </c>
      <c r="AS8" s="32">
        <f t="shared" si="0"/>
        <v>1</v>
      </c>
      <c r="AT8" s="32">
        <f t="shared" si="0"/>
        <v>1.2441012441012457E-2</v>
      </c>
      <c r="AU8" s="32"/>
      <c r="AW8" s="16" t="s">
        <v>147</v>
      </c>
      <c r="AX8" s="32" t="e">
        <f t="shared" si="3"/>
        <v>#DIV/0!</v>
      </c>
      <c r="AY8" s="32" t="e">
        <f t="shared" si="4"/>
        <v>#DIV/0!</v>
      </c>
      <c r="AZ8" s="32" t="e">
        <f t="shared" si="5"/>
        <v>#DIV/0!</v>
      </c>
      <c r="BA8" s="32" t="e">
        <f t="shared" si="6"/>
        <v>#DIV/0!</v>
      </c>
      <c r="BB8" s="32" t="e">
        <f t="shared" si="7"/>
        <v>#DIV/0!</v>
      </c>
      <c r="BC8" s="32" t="e">
        <f t="shared" si="8"/>
        <v>#DIV/0!</v>
      </c>
      <c r="BD8" s="32" t="e">
        <f t="shared" si="9"/>
        <v>#DIV/0!</v>
      </c>
      <c r="BE8" s="32" t="e">
        <f t="shared" si="10"/>
        <v>#DIV/0!</v>
      </c>
      <c r="BF8" s="32" t="e">
        <f t="shared" si="11"/>
        <v>#DIV/0!</v>
      </c>
      <c r="BG8" s="32" t="e">
        <f t="shared" si="12"/>
        <v>#DIV/0!</v>
      </c>
      <c r="BH8" s="32" t="e">
        <f t="shared" si="13"/>
        <v>#DIV/0!</v>
      </c>
      <c r="BI8" s="32"/>
      <c r="BJ8" s="32"/>
      <c r="BK8" s="32"/>
    </row>
    <row r="9" spans="1:63" x14ac:dyDescent="0.2">
      <c r="A9" s="16" t="s">
        <v>148</v>
      </c>
      <c r="AD9" s="23">
        <v>1.3644820362089991</v>
      </c>
      <c r="AE9" s="23">
        <v>1.3410306119258311</v>
      </c>
      <c r="AG9" s="16" t="s">
        <v>148</v>
      </c>
      <c r="AH9" s="32">
        <f>0</f>
        <v>0</v>
      </c>
      <c r="AI9" s="32" t="e">
        <f t="shared" si="2"/>
        <v>#DIV/0!</v>
      </c>
      <c r="AJ9" s="32" t="e">
        <f t="shared" si="0"/>
        <v>#DIV/0!</v>
      </c>
      <c r="AK9" s="32" t="e">
        <f t="shared" si="0"/>
        <v>#DIV/0!</v>
      </c>
      <c r="AL9" s="32" t="e">
        <f t="shared" si="0"/>
        <v>#DIV/0!</v>
      </c>
      <c r="AM9" s="32" t="e">
        <f t="shared" si="0"/>
        <v>#DIV/0!</v>
      </c>
      <c r="AN9" s="32" t="e">
        <f t="shared" si="0"/>
        <v>#DIV/0!</v>
      </c>
      <c r="AO9" s="32" t="e">
        <f t="shared" si="0"/>
        <v>#DIV/0!</v>
      </c>
      <c r="AP9" s="32" t="e">
        <f t="shared" si="0"/>
        <v>#DIV/0!</v>
      </c>
      <c r="AQ9" s="32" t="e">
        <f t="shared" si="0"/>
        <v>#DIV/0!</v>
      </c>
      <c r="AR9" s="32" t="e">
        <f t="shared" si="0"/>
        <v>#DIV/0!</v>
      </c>
      <c r="AS9" s="32">
        <f t="shared" si="0"/>
        <v>1</v>
      </c>
      <c r="AT9" s="32">
        <f t="shared" si="0"/>
        <v>-1.7487612940833508E-2</v>
      </c>
      <c r="AU9" s="32"/>
      <c r="AW9" s="16" t="s">
        <v>148</v>
      </c>
      <c r="AX9" s="32" t="e">
        <f t="shared" si="3"/>
        <v>#DIV/0!</v>
      </c>
      <c r="AY9" s="32" t="e">
        <f t="shared" si="4"/>
        <v>#DIV/0!</v>
      </c>
      <c r="AZ9" s="32" t="e">
        <f t="shared" si="5"/>
        <v>#DIV/0!</v>
      </c>
      <c r="BA9" s="32" t="e">
        <f t="shared" si="6"/>
        <v>#DIV/0!</v>
      </c>
      <c r="BB9" s="32" t="e">
        <f t="shared" si="7"/>
        <v>#DIV/0!</v>
      </c>
      <c r="BC9" s="32" t="e">
        <f t="shared" si="8"/>
        <v>#DIV/0!</v>
      </c>
      <c r="BD9" s="32" t="e">
        <f t="shared" si="9"/>
        <v>#DIV/0!</v>
      </c>
      <c r="BE9" s="32" t="e">
        <f t="shared" si="10"/>
        <v>#DIV/0!</v>
      </c>
      <c r="BF9" s="32" t="e">
        <f t="shared" si="11"/>
        <v>#DIV/0!</v>
      </c>
      <c r="BG9" s="32" t="e">
        <f t="shared" si="12"/>
        <v>#DIV/0!</v>
      </c>
      <c r="BH9" s="32" t="e">
        <f t="shared" si="13"/>
        <v>#DIV/0!</v>
      </c>
      <c r="BI9" s="32"/>
      <c r="BJ9" s="32"/>
      <c r="BK9" s="32"/>
    </row>
    <row r="10" spans="1:63" x14ac:dyDescent="0.2">
      <c r="A10" s="16" t="s">
        <v>149</v>
      </c>
      <c r="AD10" s="23">
        <v>3.4612314820222316</v>
      </c>
      <c r="AE10" s="23">
        <v>3.5040588681889857</v>
      </c>
      <c r="AG10" s="16" t="s">
        <v>149</v>
      </c>
      <c r="AH10" s="32">
        <f>0</f>
        <v>0</v>
      </c>
      <c r="AI10" s="32" t="e">
        <f t="shared" si="2"/>
        <v>#DIV/0!</v>
      </c>
      <c r="AJ10" s="32" t="e">
        <f t="shared" si="0"/>
        <v>#DIV/0!</v>
      </c>
      <c r="AK10" s="32" t="e">
        <f t="shared" si="0"/>
        <v>#DIV/0!</v>
      </c>
      <c r="AL10" s="32" t="e">
        <f t="shared" si="0"/>
        <v>#DIV/0!</v>
      </c>
      <c r="AM10" s="32" t="e">
        <f t="shared" si="0"/>
        <v>#DIV/0!</v>
      </c>
      <c r="AN10" s="32" t="e">
        <f t="shared" si="0"/>
        <v>#DIV/0!</v>
      </c>
      <c r="AO10" s="32" t="e">
        <f t="shared" si="0"/>
        <v>#DIV/0!</v>
      </c>
      <c r="AP10" s="32" t="e">
        <f t="shared" si="0"/>
        <v>#DIV/0!</v>
      </c>
      <c r="AQ10" s="32" t="e">
        <f t="shared" si="0"/>
        <v>#DIV/0!</v>
      </c>
      <c r="AR10" s="32" t="e">
        <f t="shared" si="0"/>
        <v>#DIV/0!</v>
      </c>
      <c r="AS10" s="32">
        <f t="shared" si="0"/>
        <v>1</v>
      </c>
      <c r="AT10" s="32">
        <f t="shared" si="0"/>
        <v>1.2222222222222167E-2</v>
      </c>
      <c r="AU10" s="32"/>
      <c r="AW10" s="16" t="s">
        <v>149</v>
      </c>
      <c r="AX10" s="32" t="e">
        <f t="shared" si="3"/>
        <v>#DIV/0!</v>
      </c>
      <c r="AY10" s="32" t="e">
        <f t="shared" si="4"/>
        <v>#DIV/0!</v>
      </c>
      <c r="AZ10" s="32" t="e">
        <f t="shared" si="5"/>
        <v>#DIV/0!</v>
      </c>
      <c r="BA10" s="32" t="e">
        <f t="shared" si="6"/>
        <v>#DIV/0!</v>
      </c>
      <c r="BB10" s="32" t="e">
        <f t="shared" si="7"/>
        <v>#DIV/0!</v>
      </c>
      <c r="BC10" s="32" t="e">
        <f t="shared" si="8"/>
        <v>#DIV/0!</v>
      </c>
      <c r="BD10" s="32" t="e">
        <f t="shared" si="9"/>
        <v>#DIV/0!</v>
      </c>
      <c r="BE10" s="32" t="e">
        <f t="shared" si="10"/>
        <v>#DIV/0!</v>
      </c>
      <c r="BF10" s="32" t="e">
        <f t="shared" si="11"/>
        <v>#DIV/0!</v>
      </c>
      <c r="BG10" s="32" t="e">
        <f t="shared" si="12"/>
        <v>#DIV/0!</v>
      </c>
      <c r="BH10" s="32" t="e">
        <f t="shared" si="13"/>
        <v>#DIV/0!</v>
      </c>
      <c r="BI10" s="32"/>
      <c r="BJ10" s="32"/>
      <c r="BK10" s="32"/>
    </row>
    <row r="11" spans="1:63" x14ac:dyDescent="0.2">
      <c r="A11" s="16" t="s">
        <v>150</v>
      </c>
      <c r="AD11" s="23">
        <v>441.7134831460674</v>
      </c>
      <c r="AE11" s="23">
        <v>442.17804667242871</v>
      </c>
      <c r="AG11" s="16" t="s">
        <v>150</v>
      </c>
      <c r="AH11" s="32">
        <f>0</f>
        <v>0</v>
      </c>
      <c r="AI11" s="32" t="e">
        <f t="shared" si="2"/>
        <v>#DIV/0!</v>
      </c>
      <c r="AJ11" s="32" t="e">
        <f t="shared" si="0"/>
        <v>#DIV/0!</v>
      </c>
      <c r="AK11" s="32" t="e">
        <f t="shared" si="0"/>
        <v>#DIV/0!</v>
      </c>
      <c r="AL11" s="32" t="e">
        <f t="shared" si="0"/>
        <v>#DIV/0!</v>
      </c>
      <c r="AM11" s="32" t="e">
        <f t="shared" si="0"/>
        <v>#DIV/0!</v>
      </c>
      <c r="AN11" s="32" t="e">
        <f t="shared" si="0"/>
        <v>#DIV/0!</v>
      </c>
      <c r="AO11" s="32" t="e">
        <f t="shared" si="0"/>
        <v>#DIV/0!</v>
      </c>
      <c r="AP11" s="32" t="e">
        <f t="shared" si="0"/>
        <v>#DIV/0!</v>
      </c>
      <c r="AQ11" s="32" t="e">
        <f t="shared" si="0"/>
        <v>#DIV/0!</v>
      </c>
      <c r="AR11" s="32" t="e">
        <f t="shared" si="0"/>
        <v>#DIV/0!</v>
      </c>
      <c r="AS11" s="32">
        <f t="shared" si="0"/>
        <v>1</v>
      </c>
      <c r="AT11" s="32">
        <f t="shared" si="0"/>
        <v>1.0506254886630719E-3</v>
      </c>
      <c r="AU11" s="32"/>
      <c r="AW11" s="16" t="s">
        <v>150</v>
      </c>
      <c r="AX11" s="32" t="e">
        <f t="shared" si="3"/>
        <v>#DIV/0!</v>
      </c>
      <c r="AY11" s="32" t="e">
        <f t="shared" si="4"/>
        <v>#DIV/0!</v>
      </c>
      <c r="AZ11" s="32" t="e">
        <f t="shared" si="5"/>
        <v>#DIV/0!</v>
      </c>
      <c r="BA11" s="32" t="e">
        <f t="shared" si="6"/>
        <v>#DIV/0!</v>
      </c>
      <c r="BB11" s="32" t="e">
        <f t="shared" si="7"/>
        <v>#DIV/0!</v>
      </c>
      <c r="BC11" s="32" t="e">
        <f t="shared" si="8"/>
        <v>#DIV/0!</v>
      </c>
      <c r="BD11" s="32" t="e">
        <f t="shared" si="9"/>
        <v>#DIV/0!</v>
      </c>
      <c r="BE11" s="32" t="e">
        <f t="shared" si="10"/>
        <v>#DIV/0!</v>
      </c>
      <c r="BF11" s="32" t="e">
        <f t="shared" si="11"/>
        <v>#DIV/0!</v>
      </c>
      <c r="BG11" s="32" t="e">
        <f t="shared" si="12"/>
        <v>#DIV/0!</v>
      </c>
      <c r="BH11" s="32" t="e">
        <f t="shared" si="13"/>
        <v>#DIV/0!</v>
      </c>
      <c r="BI11" s="32"/>
      <c r="BJ11" s="32"/>
      <c r="BK11" s="32"/>
    </row>
    <row r="12" spans="1:63" x14ac:dyDescent="0.2">
      <c r="A12" s="16" t="s">
        <v>151</v>
      </c>
      <c r="AD12" s="23">
        <v>2246.4998510574919</v>
      </c>
      <c r="AE12" s="23">
        <v>2268.5433422698839</v>
      </c>
      <c r="AG12" s="16" t="s">
        <v>151</v>
      </c>
      <c r="AH12" s="32">
        <f>0</f>
        <v>0</v>
      </c>
      <c r="AI12" s="32" t="e">
        <f t="shared" si="2"/>
        <v>#DIV/0!</v>
      </c>
      <c r="AJ12" s="32" t="e">
        <f t="shared" si="0"/>
        <v>#DIV/0!</v>
      </c>
      <c r="AK12" s="32" t="e">
        <f t="shared" si="0"/>
        <v>#DIV/0!</v>
      </c>
      <c r="AL12" s="32" t="e">
        <f t="shared" si="0"/>
        <v>#DIV/0!</v>
      </c>
      <c r="AM12" s="32" t="e">
        <f t="shared" si="0"/>
        <v>#DIV/0!</v>
      </c>
      <c r="AN12" s="32" t="e">
        <f t="shared" si="0"/>
        <v>#DIV/0!</v>
      </c>
      <c r="AO12" s="32" t="e">
        <f t="shared" si="0"/>
        <v>#DIV/0!</v>
      </c>
      <c r="AP12" s="32" t="e">
        <f t="shared" si="0"/>
        <v>#DIV/0!</v>
      </c>
      <c r="AQ12" s="32" t="e">
        <f t="shared" si="0"/>
        <v>#DIV/0!</v>
      </c>
      <c r="AR12" s="32" t="e">
        <f t="shared" si="0"/>
        <v>#DIV/0!</v>
      </c>
      <c r="AS12" s="32">
        <f t="shared" si="0"/>
        <v>1</v>
      </c>
      <c r="AT12" s="32">
        <f t="shared" si="0"/>
        <v>9.7170244895278968E-3</v>
      </c>
      <c r="AU12" s="32"/>
      <c r="AW12" s="16" t="s">
        <v>151</v>
      </c>
      <c r="AX12" s="32" t="e">
        <f t="shared" si="3"/>
        <v>#DIV/0!</v>
      </c>
      <c r="AY12" s="32" t="e">
        <f t="shared" si="4"/>
        <v>#DIV/0!</v>
      </c>
      <c r="AZ12" s="32" t="e">
        <f t="shared" si="5"/>
        <v>#DIV/0!</v>
      </c>
      <c r="BA12" s="32" t="e">
        <f t="shared" si="6"/>
        <v>#DIV/0!</v>
      </c>
      <c r="BB12" s="32" t="e">
        <f t="shared" si="7"/>
        <v>#DIV/0!</v>
      </c>
      <c r="BC12" s="32" t="e">
        <f t="shared" si="8"/>
        <v>#DIV/0!</v>
      </c>
      <c r="BD12" s="32" t="e">
        <f t="shared" si="9"/>
        <v>#DIV/0!</v>
      </c>
      <c r="BE12" s="32" t="e">
        <f t="shared" si="10"/>
        <v>#DIV/0!</v>
      </c>
      <c r="BF12" s="32" t="e">
        <f t="shared" si="11"/>
        <v>#DIV/0!</v>
      </c>
      <c r="BG12" s="32" t="e">
        <f t="shared" si="12"/>
        <v>#DIV/0!</v>
      </c>
      <c r="BH12" s="32" t="e">
        <f t="shared" si="13"/>
        <v>#DIV/0!</v>
      </c>
      <c r="BI12" s="32"/>
      <c r="BJ12" s="32"/>
      <c r="BK12" s="32"/>
    </row>
    <row r="13" spans="1:63" x14ac:dyDescent="0.2">
      <c r="A13" s="16" t="s">
        <v>152</v>
      </c>
      <c r="AD13" s="23">
        <v>19.462193823216186</v>
      </c>
      <c r="AE13" s="23">
        <v>19.978897960793596</v>
      </c>
      <c r="AG13" s="16" t="s">
        <v>152</v>
      </c>
      <c r="AH13" s="32">
        <f>0</f>
        <v>0</v>
      </c>
      <c r="AI13" s="32" t="e">
        <f t="shared" si="2"/>
        <v>#DIV/0!</v>
      </c>
      <c r="AJ13" s="32" t="e">
        <f t="shared" si="0"/>
        <v>#DIV/0!</v>
      </c>
      <c r="AK13" s="32" t="e">
        <f t="shared" si="0"/>
        <v>#DIV/0!</v>
      </c>
      <c r="AL13" s="32" t="e">
        <f t="shared" si="0"/>
        <v>#DIV/0!</v>
      </c>
      <c r="AM13" s="32" t="e">
        <f t="shared" si="0"/>
        <v>#DIV/0!</v>
      </c>
      <c r="AN13" s="32" t="e">
        <f t="shared" si="0"/>
        <v>#DIV/0!</v>
      </c>
      <c r="AO13" s="32" t="e">
        <f t="shared" si="0"/>
        <v>#DIV/0!</v>
      </c>
      <c r="AP13" s="32" t="e">
        <f t="shared" si="0"/>
        <v>#DIV/0!</v>
      </c>
      <c r="AQ13" s="32" t="e">
        <f t="shared" si="0"/>
        <v>#DIV/0!</v>
      </c>
      <c r="AR13" s="32" t="e">
        <f t="shared" si="0"/>
        <v>#DIV/0!</v>
      </c>
      <c r="AS13" s="32">
        <f t="shared" si="0"/>
        <v>1</v>
      </c>
      <c r="AT13" s="32">
        <f t="shared" si="0"/>
        <v>2.5862494447460773E-2</v>
      </c>
      <c r="AU13" s="32"/>
      <c r="AW13" s="16" t="s">
        <v>152</v>
      </c>
      <c r="AX13" s="32" t="e">
        <f t="shared" si="3"/>
        <v>#DIV/0!</v>
      </c>
      <c r="AY13" s="32" t="e">
        <f t="shared" si="4"/>
        <v>#DIV/0!</v>
      </c>
      <c r="AZ13" s="32" t="e">
        <f t="shared" si="5"/>
        <v>#DIV/0!</v>
      </c>
      <c r="BA13" s="32" t="e">
        <f t="shared" si="6"/>
        <v>#DIV/0!</v>
      </c>
      <c r="BB13" s="32" t="e">
        <f t="shared" si="7"/>
        <v>#DIV/0!</v>
      </c>
      <c r="BC13" s="32" t="e">
        <f t="shared" si="8"/>
        <v>#DIV/0!</v>
      </c>
      <c r="BD13" s="32" t="e">
        <f t="shared" si="9"/>
        <v>#DIV/0!</v>
      </c>
      <c r="BE13" s="32" t="e">
        <f t="shared" si="10"/>
        <v>#DIV/0!</v>
      </c>
      <c r="BF13" s="32" t="e">
        <f t="shared" si="11"/>
        <v>#DIV/0!</v>
      </c>
      <c r="BG13" s="32" t="e">
        <f t="shared" si="12"/>
        <v>#DIV/0!</v>
      </c>
      <c r="BH13" s="32" t="e">
        <f t="shared" si="13"/>
        <v>#DIV/0!</v>
      </c>
      <c r="BI13" s="32"/>
      <c r="BJ13" s="32"/>
      <c r="BK13" s="32"/>
    </row>
    <row r="14" spans="1:63" x14ac:dyDescent="0.2">
      <c r="A14" s="16" t="s">
        <v>153</v>
      </c>
      <c r="AD14" s="23">
        <v>0.96301700432123005</v>
      </c>
      <c r="AE14" s="23">
        <v>0.96638419664403163</v>
      </c>
      <c r="AG14" s="16" t="s">
        <v>153</v>
      </c>
      <c r="AH14" s="32">
        <f>0</f>
        <v>0</v>
      </c>
      <c r="AI14" s="32" t="e">
        <f t="shared" si="2"/>
        <v>#DIV/0!</v>
      </c>
      <c r="AJ14" s="32" t="e">
        <f t="shared" si="0"/>
        <v>#DIV/0!</v>
      </c>
      <c r="AK14" s="32" t="e">
        <f t="shared" si="0"/>
        <v>#DIV/0!</v>
      </c>
      <c r="AL14" s="32" t="e">
        <f t="shared" si="0"/>
        <v>#DIV/0!</v>
      </c>
      <c r="AM14" s="32" t="e">
        <f t="shared" si="0"/>
        <v>#DIV/0!</v>
      </c>
      <c r="AN14" s="32" t="e">
        <f t="shared" si="0"/>
        <v>#DIV/0!</v>
      </c>
      <c r="AO14" s="32" t="e">
        <f t="shared" si="0"/>
        <v>#DIV/0!</v>
      </c>
      <c r="AP14" s="32" t="e">
        <f t="shared" si="0"/>
        <v>#DIV/0!</v>
      </c>
      <c r="AQ14" s="32" t="e">
        <f t="shared" si="0"/>
        <v>#DIV/0!</v>
      </c>
      <c r="AR14" s="32" t="e">
        <f t="shared" si="0"/>
        <v>#DIV/0!</v>
      </c>
      <c r="AS14" s="32">
        <f t="shared" si="0"/>
        <v>1</v>
      </c>
      <c r="AT14" s="32">
        <f t="shared" si="0"/>
        <v>3.4843205574913699E-3</v>
      </c>
      <c r="AU14" s="32"/>
      <c r="AW14" s="16" t="s">
        <v>153</v>
      </c>
      <c r="AX14" s="32" t="e">
        <f t="shared" si="3"/>
        <v>#DIV/0!</v>
      </c>
      <c r="AY14" s="32" t="e">
        <f t="shared" si="4"/>
        <v>#DIV/0!</v>
      </c>
      <c r="AZ14" s="32" t="e">
        <f t="shared" si="5"/>
        <v>#DIV/0!</v>
      </c>
      <c r="BA14" s="32" t="e">
        <f t="shared" si="6"/>
        <v>#DIV/0!</v>
      </c>
      <c r="BB14" s="32" t="e">
        <f t="shared" si="7"/>
        <v>#DIV/0!</v>
      </c>
      <c r="BC14" s="32" t="e">
        <f t="shared" si="8"/>
        <v>#DIV/0!</v>
      </c>
      <c r="BD14" s="32" t="e">
        <f t="shared" si="9"/>
        <v>#DIV/0!</v>
      </c>
      <c r="BE14" s="32" t="e">
        <f t="shared" si="10"/>
        <v>#DIV/0!</v>
      </c>
      <c r="BF14" s="32" t="e">
        <f t="shared" si="11"/>
        <v>#DIV/0!</v>
      </c>
      <c r="BG14" s="32" t="e">
        <f t="shared" si="12"/>
        <v>#DIV/0!</v>
      </c>
      <c r="BH14" s="32" t="e">
        <f t="shared" si="13"/>
        <v>#DIV/0!</v>
      </c>
      <c r="BI14" s="32"/>
      <c r="BJ14" s="32"/>
      <c r="BK14" s="32"/>
    </row>
    <row r="15" spans="1:63" x14ac:dyDescent="0.2">
      <c r="A15" s="16" t="s">
        <v>154</v>
      </c>
      <c r="AD15" s="23">
        <v>23.849393488512849</v>
      </c>
      <c r="AE15" s="23">
        <v>23.619902655536784</v>
      </c>
      <c r="AG15" s="16" t="s">
        <v>154</v>
      </c>
      <c r="AH15" s="32">
        <f>0</f>
        <v>0</v>
      </c>
      <c r="AI15" s="32" t="e">
        <f t="shared" si="2"/>
        <v>#DIV/0!</v>
      </c>
      <c r="AJ15" s="32" t="e">
        <f t="shared" si="0"/>
        <v>#DIV/0!</v>
      </c>
      <c r="AK15" s="32" t="e">
        <f t="shared" si="0"/>
        <v>#DIV/0!</v>
      </c>
      <c r="AL15" s="32" t="e">
        <f t="shared" si="0"/>
        <v>#DIV/0!</v>
      </c>
      <c r="AM15" s="32" t="e">
        <f t="shared" si="0"/>
        <v>#DIV/0!</v>
      </c>
      <c r="AN15" s="32" t="e">
        <f t="shared" si="0"/>
        <v>#DIV/0!</v>
      </c>
      <c r="AO15" s="32" t="e">
        <f t="shared" si="0"/>
        <v>#DIV/0!</v>
      </c>
      <c r="AP15" s="32" t="e">
        <f t="shared" si="0"/>
        <v>#DIV/0!</v>
      </c>
      <c r="AQ15" s="32" t="e">
        <f t="shared" si="0"/>
        <v>#DIV/0!</v>
      </c>
      <c r="AR15" s="32" t="e">
        <f t="shared" si="0"/>
        <v>#DIV/0!</v>
      </c>
      <c r="AS15" s="32">
        <f t="shared" si="0"/>
        <v>1</v>
      </c>
      <c r="AT15" s="32">
        <f t="shared" si="0"/>
        <v>-9.7159940209266635E-3</v>
      </c>
      <c r="AU15" s="32"/>
      <c r="AW15" s="16" t="s">
        <v>154</v>
      </c>
      <c r="AX15" s="32" t="e">
        <f t="shared" si="3"/>
        <v>#DIV/0!</v>
      </c>
      <c r="AY15" s="32" t="e">
        <f t="shared" si="4"/>
        <v>#DIV/0!</v>
      </c>
      <c r="AZ15" s="32" t="e">
        <f t="shared" si="5"/>
        <v>#DIV/0!</v>
      </c>
      <c r="BA15" s="32" t="e">
        <f t="shared" si="6"/>
        <v>#DIV/0!</v>
      </c>
      <c r="BB15" s="32" t="e">
        <f t="shared" si="7"/>
        <v>#DIV/0!</v>
      </c>
      <c r="BC15" s="32" t="e">
        <f t="shared" si="8"/>
        <v>#DIV/0!</v>
      </c>
      <c r="BD15" s="32" t="e">
        <f t="shared" si="9"/>
        <v>#DIV/0!</v>
      </c>
      <c r="BE15" s="32" t="e">
        <f t="shared" si="10"/>
        <v>#DIV/0!</v>
      </c>
      <c r="BF15" s="32" t="e">
        <f t="shared" si="11"/>
        <v>#DIV/0!</v>
      </c>
      <c r="BG15" s="32" t="e">
        <f t="shared" si="12"/>
        <v>#DIV/0!</v>
      </c>
      <c r="BH15" s="32" t="e">
        <f t="shared" si="13"/>
        <v>#DIV/0!</v>
      </c>
      <c r="BI15" s="32"/>
      <c r="BJ15" s="32"/>
      <c r="BK15" s="32"/>
    </row>
    <row r="16" spans="1:63" x14ac:dyDescent="0.2">
      <c r="A16" s="16" t="s">
        <v>143</v>
      </c>
      <c r="AD16" s="23">
        <v>55.823736500077757</v>
      </c>
      <c r="AE16" s="23">
        <v>56.089933164559582</v>
      </c>
      <c r="AG16" s="16" t="s">
        <v>143</v>
      </c>
      <c r="AH16" s="32"/>
      <c r="AI16" s="32" t="e">
        <f>(T16-S16)/T16</f>
        <v>#DIV/0!</v>
      </c>
      <c r="AJ16" s="32" t="e">
        <f t="shared" si="0"/>
        <v>#DIV/0!</v>
      </c>
      <c r="AK16" s="32" t="e">
        <f t="shared" si="0"/>
        <v>#DIV/0!</v>
      </c>
      <c r="AL16" s="32" t="e">
        <f t="shared" si="0"/>
        <v>#DIV/0!</v>
      </c>
      <c r="AM16" s="32" t="e">
        <f t="shared" si="0"/>
        <v>#DIV/0!</v>
      </c>
      <c r="AN16" s="32" t="e">
        <f t="shared" si="0"/>
        <v>#DIV/0!</v>
      </c>
      <c r="AO16" s="32" t="e">
        <f t="shared" si="0"/>
        <v>#DIV/0!</v>
      </c>
      <c r="AP16" s="32" t="e">
        <f t="shared" si="0"/>
        <v>#DIV/0!</v>
      </c>
      <c r="AQ16" s="32" t="e">
        <f t="shared" si="0"/>
        <v>#DIV/0!</v>
      </c>
      <c r="AR16" s="32" t="e">
        <f t="shared" si="0"/>
        <v>#DIV/0!</v>
      </c>
      <c r="AS16" s="32">
        <f t="shared" si="0"/>
        <v>1</v>
      </c>
      <c r="AT16" s="32">
        <f t="shared" si="0"/>
        <v>4.7458902063734557E-3</v>
      </c>
      <c r="AU16" s="32"/>
      <c r="AW16" s="16" t="s">
        <v>143</v>
      </c>
      <c r="AX16" s="32" t="e">
        <f t="shared" si="3"/>
        <v>#DIV/0!</v>
      </c>
      <c r="AY16" s="32" t="e">
        <f t="shared" si="4"/>
        <v>#DIV/0!</v>
      </c>
      <c r="AZ16" s="32" t="e">
        <f t="shared" si="5"/>
        <v>#DIV/0!</v>
      </c>
      <c r="BA16" s="32" t="e">
        <f t="shared" si="6"/>
        <v>#DIV/0!</v>
      </c>
      <c r="BB16" s="32" t="e">
        <f t="shared" si="7"/>
        <v>#DIV/0!</v>
      </c>
      <c r="BC16" s="32" t="e">
        <f t="shared" si="8"/>
        <v>#DIV/0!</v>
      </c>
      <c r="BD16" s="32" t="e">
        <f t="shared" si="9"/>
        <v>#DIV/0!</v>
      </c>
      <c r="BE16" s="32" t="e">
        <f t="shared" si="10"/>
        <v>#DIV/0!</v>
      </c>
      <c r="BF16" s="32" t="e">
        <f t="shared" si="11"/>
        <v>#DIV/0!</v>
      </c>
      <c r="BG16" s="32" t="e">
        <f t="shared" si="12"/>
        <v>#DIV/0!</v>
      </c>
      <c r="BH16" s="32" t="e">
        <f t="shared" si="13"/>
        <v>#DIV/0!</v>
      </c>
      <c r="BI16" s="32"/>
      <c r="BJ16" s="32"/>
      <c r="BK16" s="32"/>
    </row>
    <row r="17" spans="1:63" x14ac:dyDescent="0.2">
      <c r="A17" s="16" t="s">
        <v>155</v>
      </c>
      <c r="AD17" s="23">
        <v>5.879617429585652</v>
      </c>
      <c r="AE17" s="23">
        <v>5.8687665669420719</v>
      </c>
      <c r="AG17" s="16" t="s">
        <v>155</v>
      </c>
      <c r="AH17" s="32">
        <f>0</f>
        <v>0</v>
      </c>
      <c r="AI17" s="32" t="e">
        <f t="shared" si="2"/>
        <v>#DIV/0!</v>
      </c>
      <c r="AJ17" s="32" t="e">
        <f t="shared" si="0"/>
        <v>#DIV/0!</v>
      </c>
      <c r="AK17" s="32" t="e">
        <f t="shared" si="0"/>
        <v>#DIV/0!</v>
      </c>
      <c r="AL17" s="32" t="e">
        <f t="shared" si="0"/>
        <v>#DIV/0!</v>
      </c>
      <c r="AM17" s="32" t="e">
        <f t="shared" si="0"/>
        <v>#DIV/0!</v>
      </c>
      <c r="AN17" s="32" t="e">
        <f t="shared" si="0"/>
        <v>#DIV/0!</v>
      </c>
      <c r="AO17" s="32" t="e">
        <f t="shared" si="0"/>
        <v>#DIV/0!</v>
      </c>
      <c r="AP17" s="32" t="e">
        <f t="shared" si="0"/>
        <v>#DIV/0!</v>
      </c>
      <c r="AQ17" s="32" t="e">
        <f t="shared" si="0"/>
        <v>#DIV/0!</v>
      </c>
      <c r="AR17" s="32" t="e">
        <f t="shared" si="0"/>
        <v>#DIV/0!</v>
      </c>
      <c r="AS17" s="32">
        <f t="shared" si="0"/>
        <v>1</v>
      </c>
      <c r="AT17" s="32">
        <f t="shared" si="0"/>
        <v>-1.8489170628631776E-3</v>
      </c>
      <c r="AU17" s="32"/>
      <c r="AW17" s="16" t="s">
        <v>155</v>
      </c>
      <c r="AX17" s="32" t="e">
        <f t="shared" ref="AX17:AX69" si="14">AVERAGE(AH17:AJ17)</f>
        <v>#DIV/0!</v>
      </c>
      <c r="AY17" s="32" t="e">
        <f t="shared" ref="AY17:AY69" si="15">AVERAGE(AI17:AK17)</f>
        <v>#DIV/0!</v>
      </c>
      <c r="AZ17" s="32" t="e">
        <f t="shared" ref="AZ17:AZ69" si="16">AVERAGE(AJ17:AL17)</f>
        <v>#DIV/0!</v>
      </c>
      <c r="BA17" s="32" t="e">
        <f t="shared" ref="BA17:BA69" si="17">AVERAGE(AK17:AM17)</f>
        <v>#DIV/0!</v>
      </c>
      <c r="BB17" s="32" t="e">
        <f t="shared" ref="BB17:BB69" si="18">AVERAGE(AL17:AN17)</f>
        <v>#DIV/0!</v>
      </c>
      <c r="BC17" s="32" t="e">
        <f t="shared" ref="BC17:BC69" si="19">AVERAGE(AM17:AO17)</f>
        <v>#DIV/0!</v>
      </c>
      <c r="BD17" s="32" t="e">
        <f t="shared" ref="BD17:BD69" si="20">AVERAGE(AN17:AP17)</f>
        <v>#DIV/0!</v>
      </c>
      <c r="BE17" s="32" t="e">
        <f t="shared" ref="BE17:BE69" si="21">AVERAGE(AO17:AQ17)</f>
        <v>#DIV/0!</v>
      </c>
      <c r="BF17" s="32" t="e">
        <f t="shared" ref="BF17:BF69" si="22">AVERAGE(AP17:AR17)</f>
        <v>#DIV/0!</v>
      </c>
      <c r="BG17" s="32" t="e">
        <f t="shared" ref="BG17:BG69" si="23">AVERAGE(AQ17:AS17)</f>
        <v>#DIV/0!</v>
      </c>
      <c r="BH17" s="32" t="e">
        <f t="shared" ref="BH17:BH69" si="24">AVERAGE(AR17:AT17)</f>
        <v>#DIV/0!</v>
      </c>
      <c r="BI17" s="32"/>
      <c r="BJ17" s="32"/>
      <c r="BK17" s="32"/>
    </row>
    <row r="18" spans="1:63" x14ac:dyDescent="0.2">
      <c r="A18" s="16" t="s">
        <v>156</v>
      </c>
      <c r="AD18" s="23">
        <v>2.9421334331126254</v>
      </c>
      <c r="AE18" s="23">
        <v>2.9396931786754297</v>
      </c>
      <c r="AG18" s="16" t="s">
        <v>156</v>
      </c>
      <c r="AH18" s="32">
        <f>0</f>
        <v>0</v>
      </c>
      <c r="AI18" s="32" t="e">
        <f t="shared" si="2"/>
        <v>#DIV/0!</v>
      </c>
      <c r="AJ18" s="32" t="e">
        <f t="shared" si="0"/>
        <v>#DIV/0!</v>
      </c>
      <c r="AK18" s="32" t="e">
        <f t="shared" si="0"/>
        <v>#DIV/0!</v>
      </c>
      <c r="AL18" s="32" t="e">
        <f t="shared" si="0"/>
        <v>#DIV/0!</v>
      </c>
      <c r="AM18" s="32" t="e">
        <f t="shared" si="0"/>
        <v>#DIV/0!</v>
      </c>
      <c r="AN18" s="32" t="e">
        <f t="shared" si="0"/>
        <v>#DIV/0!</v>
      </c>
      <c r="AO18" s="32" t="e">
        <f t="shared" si="0"/>
        <v>#DIV/0!</v>
      </c>
      <c r="AP18" s="32" t="e">
        <f t="shared" si="0"/>
        <v>#DIV/0!</v>
      </c>
      <c r="AQ18" s="32" t="e">
        <f t="shared" si="0"/>
        <v>#DIV/0!</v>
      </c>
      <c r="AR18" s="32" t="e">
        <f t="shared" si="0"/>
        <v>#DIV/0!</v>
      </c>
      <c r="AS18" s="32">
        <f t="shared" si="0"/>
        <v>1</v>
      </c>
      <c r="AT18" s="32">
        <f t="shared" si="0"/>
        <v>-8.3010514665183091E-4</v>
      </c>
      <c r="AU18" s="32"/>
      <c r="AW18" s="16" t="s">
        <v>156</v>
      </c>
      <c r="AX18" s="32" t="e">
        <f t="shared" si="14"/>
        <v>#DIV/0!</v>
      </c>
      <c r="AY18" s="32" t="e">
        <f t="shared" si="15"/>
        <v>#DIV/0!</v>
      </c>
      <c r="AZ18" s="32" t="e">
        <f t="shared" si="16"/>
        <v>#DIV/0!</v>
      </c>
      <c r="BA18" s="32" t="e">
        <f t="shared" si="17"/>
        <v>#DIV/0!</v>
      </c>
      <c r="BB18" s="32" t="e">
        <f t="shared" si="18"/>
        <v>#DIV/0!</v>
      </c>
      <c r="BC18" s="32" t="e">
        <f t="shared" si="19"/>
        <v>#DIV/0!</v>
      </c>
      <c r="BD18" s="32" t="e">
        <f t="shared" si="20"/>
        <v>#DIV/0!</v>
      </c>
      <c r="BE18" s="32" t="e">
        <f t="shared" si="21"/>
        <v>#DIV/0!</v>
      </c>
      <c r="BF18" s="32" t="e">
        <f t="shared" si="22"/>
        <v>#DIV/0!</v>
      </c>
      <c r="BG18" s="32" t="e">
        <f t="shared" si="23"/>
        <v>#DIV/0!</v>
      </c>
      <c r="BH18" s="32" t="e">
        <f t="shared" si="24"/>
        <v>#DIV/0!</v>
      </c>
      <c r="BI18" s="32"/>
      <c r="BJ18" s="32"/>
      <c r="BK18" s="32"/>
    </row>
    <row r="19" spans="1:63" x14ac:dyDescent="0.2">
      <c r="A19" s="16" t="s">
        <v>157</v>
      </c>
      <c r="AD19" s="23">
        <v>7.1775775675709452</v>
      </c>
      <c r="AE19" s="23">
        <v>7.0226298624214332</v>
      </c>
      <c r="AG19" s="16" t="s">
        <v>157</v>
      </c>
      <c r="AH19" s="32">
        <f>0</f>
        <v>0</v>
      </c>
      <c r="AI19" s="32" t="e">
        <f t="shared" si="2"/>
        <v>#DIV/0!</v>
      </c>
      <c r="AJ19" s="32" t="e">
        <f t="shared" si="0"/>
        <v>#DIV/0!</v>
      </c>
      <c r="AK19" s="32" t="e">
        <f t="shared" si="0"/>
        <v>#DIV/0!</v>
      </c>
      <c r="AL19" s="32" t="e">
        <f t="shared" si="0"/>
        <v>#DIV/0!</v>
      </c>
      <c r="AM19" s="32" t="e">
        <f t="shared" si="0"/>
        <v>#DIV/0!</v>
      </c>
      <c r="AN19" s="32" t="e">
        <f t="shared" si="0"/>
        <v>#DIV/0!</v>
      </c>
      <c r="AO19" s="32" t="e">
        <f t="shared" si="0"/>
        <v>#DIV/0!</v>
      </c>
      <c r="AP19" s="32" t="e">
        <f t="shared" si="0"/>
        <v>#DIV/0!</v>
      </c>
      <c r="AQ19" s="32" t="e">
        <f t="shared" si="0"/>
        <v>#DIV/0!</v>
      </c>
      <c r="AR19" s="32" t="e">
        <f t="shared" si="0"/>
        <v>#DIV/0!</v>
      </c>
      <c r="AS19" s="32">
        <f t="shared" si="0"/>
        <v>1</v>
      </c>
      <c r="AT19" s="32">
        <f t="shared" si="0"/>
        <v>-2.206405693950178E-2</v>
      </c>
      <c r="AU19" s="32"/>
      <c r="AW19" s="16" t="s">
        <v>157</v>
      </c>
      <c r="AX19" s="32" t="e">
        <f t="shared" si="14"/>
        <v>#DIV/0!</v>
      </c>
      <c r="AY19" s="32" t="e">
        <f t="shared" si="15"/>
        <v>#DIV/0!</v>
      </c>
      <c r="AZ19" s="32" t="e">
        <f t="shared" si="16"/>
        <v>#DIV/0!</v>
      </c>
      <c r="BA19" s="32" t="e">
        <f t="shared" si="17"/>
        <v>#DIV/0!</v>
      </c>
      <c r="BB19" s="32" t="e">
        <f t="shared" si="18"/>
        <v>#DIV/0!</v>
      </c>
      <c r="BC19" s="32" t="e">
        <f t="shared" si="19"/>
        <v>#DIV/0!</v>
      </c>
      <c r="BD19" s="32" t="e">
        <f t="shared" si="20"/>
        <v>#DIV/0!</v>
      </c>
      <c r="BE19" s="32" t="e">
        <f t="shared" si="21"/>
        <v>#DIV/0!</v>
      </c>
      <c r="BF19" s="32" t="e">
        <f t="shared" si="22"/>
        <v>#DIV/0!</v>
      </c>
      <c r="BG19" s="32" t="e">
        <f t="shared" si="23"/>
        <v>#DIV/0!</v>
      </c>
      <c r="BH19" s="32" t="e">
        <f t="shared" si="24"/>
        <v>#DIV/0!</v>
      </c>
      <c r="BI19" s="32"/>
      <c r="BJ19" s="32"/>
      <c r="BK19" s="32"/>
    </row>
    <row r="20" spans="1:63" x14ac:dyDescent="0.2">
      <c r="A20" s="16" t="s">
        <v>158</v>
      </c>
      <c r="AD20" s="23">
        <v>6.8502786645744278</v>
      </c>
      <c r="AE20" s="23">
        <v>7.2209296033764403</v>
      </c>
      <c r="AG20" s="16" t="s">
        <v>158</v>
      </c>
      <c r="AH20" s="32">
        <f>0</f>
        <v>0</v>
      </c>
      <c r="AI20" s="32" t="e">
        <f t="shared" si="2"/>
        <v>#DIV/0!</v>
      </c>
      <c r="AJ20" s="32" t="e">
        <f t="shared" si="0"/>
        <v>#DIV/0!</v>
      </c>
      <c r="AK20" s="32" t="e">
        <f t="shared" si="0"/>
        <v>#DIV/0!</v>
      </c>
      <c r="AL20" s="32" t="e">
        <f t="shared" si="0"/>
        <v>#DIV/0!</v>
      </c>
      <c r="AM20" s="32" t="e">
        <f t="shared" si="0"/>
        <v>#DIV/0!</v>
      </c>
      <c r="AN20" s="32" t="e">
        <f t="shared" si="0"/>
        <v>#DIV/0!</v>
      </c>
      <c r="AO20" s="32" t="e">
        <f t="shared" si="0"/>
        <v>#DIV/0!</v>
      </c>
      <c r="AP20" s="32" t="e">
        <f t="shared" si="0"/>
        <v>#DIV/0!</v>
      </c>
      <c r="AQ20" s="32" t="e">
        <f t="shared" si="0"/>
        <v>#DIV/0!</v>
      </c>
      <c r="AR20" s="32" t="e">
        <f t="shared" si="0"/>
        <v>#DIV/0!</v>
      </c>
      <c r="AS20" s="32">
        <f t="shared" si="0"/>
        <v>1</v>
      </c>
      <c r="AT20" s="32">
        <f t="shared" si="0"/>
        <v>5.1330086174597174E-2</v>
      </c>
      <c r="AU20" s="32"/>
      <c r="AW20" s="16" t="s">
        <v>158</v>
      </c>
      <c r="AX20" s="32" t="e">
        <f t="shared" si="14"/>
        <v>#DIV/0!</v>
      </c>
      <c r="AY20" s="32" t="e">
        <f t="shared" si="15"/>
        <v>#DIV/0!</v>
      </c>
      <c r="AZ20" s="32" t="e">
        <f t="shared" si="16"/>
        <v>#DIV/0!</v>
      </c>
      <c r="BA20" s="32" t="e">
        <f t="shared" si="17"/>
        <v>#DIV/0!</v>
      </c>
      <c r="BB20" s="32" t="e">
        <f t="shared" si="18"/>
        <v>#DIV/0!</v>
      </c>
      <c r="BC20" s="32" t="e">
        <f t="shared" si="19"/>
        <v>#DIV/0!</v>
      </c>
      <c r="BD20" s="32" t="e">
        <f t="shared" si="20"/>
        <v>#DIV/0!</v>
      </c>
      <c r="BE20" s="32" t="e">
        <f t="shared" si="21"/>
        <v>#DIV/0!</v>
      </c>
      <c r="BF20" s="32" t="e">
        <f t="shared" si="22"/>
        <v>#DIV/0!</v>
      </c>
      <c r="BG20" s="32" t="e">
        <f t="shared" si="23"/>
        <v>#DIV/0!</v>
      </c>
      <c r="BH20" s="32" t="e">
        <f t="shared" si="24"/>
        <v>#DIV/0!</v>
      </c>
      <c r="BI20" s="32"/>
      <c r="BJ20" s="32"/>
      <c r="BK20" s="32"/>
    </row>
    <row r="21" spans="1:63" x14ac:dyDescent="0.2">
      <c r="A21" s="16" t="s">
        <v>159</v>
      </c>
      <c r="AD21" s="23">
        <v>27.305470489977726</v>
      </c>
      <c r="AE21" s="23">
        <v>27.475118318485521</v>
      </c>
      <c r="AG21" s="16" t="s">
        <v>159</v>
      </c>
      <c r="AH21" s="32">
        <f>0</f>
        <v>0</v>
      </c>
      <c r="AI21" s="32" t="e">
        <f t="shared" si="2"/>
        <v>#DIV/0!</v>
      </c>
      <c r="AJ21" s="32" t="e">
        <f t="shared" ref="AJ21:AJ69" si="25">(U21-T21)/U21</f>
        <v>#DIV/0!</v>
      </c>
      <c r="AK21" s="32" t="e">
        <f t="shared" ref="AK21:AK69" si="26">(V21-U21)/V21</f>
        <v>#DIV/0!</v>
      </c>
      <c r="AL21" s="32" t="e">
        <f t="shared" ref="AL21:AL69" si="27">(W21-V21)/W21</f>
        <v>#DIV/0!</v>
      </c>
      <c r="AM21" s="32" t="e">
        <f t="shared" ref="AM21:AM69" si="28">(X21-W21)/X21</f>
        <v>#DIV/0!</v>
      </c>
      <c r="AN21" s="32" t="e">
        <f t="shared" ref="AN21:AN69" si="29">(Y21-X21)/Y21</f>
        <v>#DIV/0!</v>
      </c>
      <c r="AO21" s="32" t="e">
        <f t="shared" ref="AO21:AO69" si="30">(Z21-Y21)/Z21</f>
        <v>#DIV/0!</v>
      </c>
      <c r="AP21" s="32" t="e">
        <f t="shared" ref="AP21:AP69" si="31">(AA21-Z21)/AA21</f>
        <v>#DIV/0!</v>
      </c>
      <c r="AQ21" s="32" t="e">
        <f t="shared" ref="AQ21:AQ69" si="32">(AB21-AA21)/AB21</f>
        <v>#DIV/0!</v>
      </c>
      <c r="AR21" s="32" t="e">
        <f t="shared" ref="AR21:AR69" si="33">(AC21-AB21)/AC21</f>
        <v>#DIV/0!</v>
      </c>
      <c r="AS21" s="32">
        <f t="shared" ref="AS21:AS69" si="34">(AD21-AC21)/AD21</f>
        <v>1</v>
      </c>
      <c r="AT21" s="32">
        <f t="shared" ref="AT21:AT69" si="35">(AE21-AD21)/AE21</f>
        <v>6.1745986510876811E-3</v>
      </c>
      <c r="AU21" s="32"/>
      <c r="AW21" s="16" t="s">
        <v>159</v>
      </c>
      <c r="AX21" s="32" t="e">
        <f t="shared" si="14"/>
        <v>#DIV/0!</v>
      </c>
      <c r="AY21" s="32" t="e">
        <f t="shared" si="15"/>
        <v>#DIV/0!</v>
      </c>
      <c r="AZ21" s="32" t="e">
        <f t="shared" si="16"/>
        <v>#DIV/0!</v>
      </c>
      <c r="BA21" s="32" t="e">
        <f t="shared" si="17"/>
        <v>#DIV/0!</v>
      </c>
      <c r="BB21" s="32" t="e">
        <f t="shared" si="18"/>
        <v>#DIV/0!</v>
      </c>
      <c r="BC21" s="32" t="e">
        <f t="shared" si="19"/>
        <v>#DIV/0!</v>
      </c>
      <c r="BD21" s="32" t="e">
        <f t="shared" si="20"/>
        <v>#DIV/0!</v>
      </c>
      <c r="BE21" s="32" t="e">
        <f t="shared" si="21"/>
        <v>#DIV/0!</v>
      </c>
      <c r="BF21" s="32" t="e">
        <f t="shared" si="22"/>
        <v>#DIV/0!</v>
      </c>
      <c r="BG21" s="32" t="e">
        <f t="shared" si="23"/>
        <v>#DIV/0!</v>
      </c>
      <c r="BH21" s="32" t="e">
        <f t="shared" si="24"/>
        <v>#DIV/0!</v>
      </c>
      <c r="BI21" s="32"/>
      <c r="BJ21" s="32"/>
      <c r="BK21" s="32"/>
    </row>
    <row r="22" spans="1:63" x14ac:dyDescent="0.2">
      <c r="A22" s="16" t="s">
        <v>160</v>
      </c>
      <c r="AD22" s="23">
        <v>4570.0565334703842</v>
      </c>
      <c r="AE22" s="23">
        <v>4578.1639470641139</v>
      </c>
      <c r="AG22" s="16" t="s">
        <v>160</v>
      </c>
      <c r="AH22" s="32">
        <f>0</f>
        <v>0</v>
      </c>
      <c r="AI22" s="32" t="e">
        <f t="shared" si="2"/>
        <v>#DIV/0!</v>
      </c>
      <c r="AJ22" s="32" t="e">
        <f t="shared" si="25"/>
        <v>#DIV/0!</v>
      </c>
      <c r="AK22" s="32" t="e">
        <f t="shared" si="26"/>
        <v>#DIV/0!</v>
      </c>
      <c r="AL22" s="32" t="e">
        <f t="shared" si="27"/>
        <v>#DIV/0!</v>
      </c>
      <c r="AM22" s="32" t="e">
        <f t="shared" si="28"/>
        <v>#DIV/0!</v>
      </c>
      <c r="AN22" s="32" t="e">
        <f t="shared" si="29"/>
        <v>#DIV/0!</v>
      </c>
      <c r="AO22" s="32" t="e">
        <f t="shared" si="30"/>
        <v>#DIV/0!</v>
      </c>
      <c r="AP22" s="32" t="e">
        <f t="shared" si="31"/>
        <v>#DIV/0!</v>
      </c>
      <c r="AQ22" s="32" t="e">
        <f t="shared" si="32"/>
        <v>#DIV/0!</v>
      </c>
      <c r="AR22" s="32" t="e">
        <f t="shared" si="33"/>
        <v>#DIV/0!</v>
      </c>
      <c r="AS22" s="32">
        <f t="shared" si="34"/>
        <v>1</v>
      </c>
      <c r="AT22" s="32">
        <f t="shared" si="35"/>
        <v>1.7708875626721084E-3</v>
      </c>
      <c r="AU22" s="32"/>
      <c r="AW22" s="16" t="s">
        <v>160</v>
      </c>
      <c r="AX22" s="32" t="e">
        <f t="shared" si="14"/>
        <v>#DIV/0!</v>
      </c>
      <c r="AY22" s="32" t="e">
        <f t="shared" si="15"/>
        <v>#DIV/0!</v>
      </c>
      <c r="AZ22" s="32" t="e">
        <f t="shared" si="16"/>
        <v>#DIV/0!</v>
      </c>
      <c r="BA22" s="32" t="e">
        <f t="shared" si="17"/>
        <v>#DIV/0!</v>
      </c>
      <c r="BB22" s="32" t="e">
        <f t="shared" si="18"/>
        <v>#DIV/0!</v>
      </c>
      <c r="BC22" s="32" t="e">
        <f t="shared" si="19"/>
        <v>#DIV/0!</v>
      </c>
      <c r="BD22" s="32" t="e">
        <f t="shared" si="20"/>
        <v>#DIV/0!</v>
      </c>
      <c r="BE22" s="32" t="e">
        <f t="shared" si="21"/>
        <v>#DIV/0!</v>
      </c>
      <c r="BF22" s="32" t="e">
        <f t="shared" si="22"/>
        <v>#DIV/0!</v>
      </c>
      <c r="BG22" s="32" t="e">
        <f t="shared" si="23"/>
        <v>#DIV/0!</v>
      </c>
      <c r="BH22" s="32" t="e">
        <f t="shared" si="24"/>
        <v>#DIV/0!</v>
      </c>
      <c r="BI22" s="32"/>
      <c r="BJ22" s="32"/>
      <c r="BK22" s="32"/>
    </row>
    <row r="23" spans="1:63" x14ac:dyDescent="0.2">
      <c r="A23" s="16" t="s">
        <v>161</v>
      </c>
      <c r="AD23" s="23">
        <v>1.9694873390099634</v>
      </c>
      <c r="AE23" s="23">
        <v>2.0456297066661713</v>
      </c>
      <c r="AG23" s="16" t="s">
        <v>161</v>
      </c>
      <c r="AH23" s="32">
        <f>0</f>
        <v>0</v>
      </c>
      <c r="AI23" s="32" t="e">
        <f t="shared" si="2"/>
        <v>#DIV/0!</v>
      </c>
      <c r="AJ23" s="32" t="e">
        <f t="shared" si="25"/>
        <v>#DIV/0!</v>
      </c>
      <c r="AK23" s="32" t="e">
        <f t="shared" si="26"/>
        <v>#DIV/0!</v>
      </c>
      <c r="AL23" s="32" t="e">
        <f t="shared" si="27"/>
        <v>#DIV/0!</v>
      </c>
      <c r="AM23" s="32" t="e">
        <f t="shared" si="28"/>
        <v>#DIV/0!</v>
      </c>
      <c r="AN23" s="32" t="e">
        <f t="shared" si="29"/>
        <v>#DIV/0!</v>
      </c>
      <c r="AO23" s="32" t="e">
        <f t="shared" si="30"/>
        <v>#DIV/0!</v>
      </c>
      <c r="AP23" s="32" t="e">
        <f t="shared" si="31"/>
        <v>#DIV/0!</v>
      </c>
      <c r="AQ23" s="32" t="e">
        <f t="shared" si="32"/>
        <v>#DIV/0!</v>
      </c>
      <c r="AR23" s="32" t="e">
        <f t="shared" si="33"/>
        <v>#DIV/0!</v>
      </c>
      <c r="AS23" s="32">
        <f t="shared" si="34"/>
        <v>1</v>
      </c>
      <c r="AT23" s="32">
        <f t="shared" si="35"/>
        <v>3.7221970040853349E-2</v>
      </c>
      <c r="AU23" s="32"/>
      <c r="AW23" s="16" t="s">
        <v>161</v>
      </c>
      <c r="AX23" s="32" t="e">
        <f t="shared" si="14"/>
        <v>#DIV/0!</v>
      </c>
      <c r="AY23" s="32" t="e">
        <f t="shared" si="15"/>
        <v>#DIV/0!</v>
      </c>
      <c r="AZ23" s="32" t="e">
        <f t="shared" si="16"/>
        <v>#DIV/0!</v>
      </c>
      <c r="BA23" s="32" t="e">
        <f t="shared" si="17"/>
        <v>#DIV/0!</v>
      </c>
      <c r="BB23" s="32" t="e">
        <f t="shared" si="18"/>
        <v>#DIV/0!</v>
      </c>
      <c r="BC23" s="32" t="e">
        <f t="shared" si="19"/>
        <v>#DIV/0!</v>
      </c>
      <c r="BD23" s="32" t="e">
        <f t="shared" si="20"/>
        <v>#DIV/0!</v>
      </c>
      <c r="BE23" s="32" t="e">
        <f t="shared" si="21"/>
        <v>#DIV/0!</v>
      </c>
      <c r="BF23" s="32" t="e">
        <f t="shared" si="22"/>
        <v>#DIV/0!</v>
      </c>
      <c r="BG23" s="32" t="e">
        <f t="shared" si="23"/>
        <v>#DIV/0!</v>
      </c>
      <c r="BH23" s="32" t="e">
        <f t="shared" si="24"/>
        <v>#DIV/0!</v>
      </c>
      <c r="BI23" s="32"/>
      <c r="BJ23" s="32"/>
      <c r="BK23" s="32"/>
    </row>
    <row r="24" spans="1:63" x14ac:dyDescent="0.2">
      <c r="A24" s="16" t="s">
        <v>162</v>
      </c>
      <c r="AD24" s="23">
        <v>438.9861094621869</v>
      </c>
      <c r="AE24" s="23">
        <v>446.42763860857178</v>
      </c>
      <c r="AG24" s="16" t="s">
        <v>162</v>
      </c>
      <c r="AH24" s="32">
        <f>0</f>
        <v>0</v>
      </c>
      <c r="AI24" s="32" t="e">
        <f t="shared" si="2"/>
        <v>#DIV/0!</v>
      </c>
      <c r="AJ24" s="32" t="e">
        <f t="shared" si="25"/>
        <v>#DIV/0!</v>
      </c>
      <c r="AK24" s="32" t="e">
        <f t="shared" si="26"/>
        <v>#DIV/0!</v>
      </c>
      <c r="AL24" s="32" t="e">
        <f t="shared" si="27"/>
        <v>#DIV/0!</v>
      </c>
      <c r="AM24" s="32" t="e">
        <f t="shared" si="28"/>
        <v>#DIV/0!</v>
      </c>
      <c r="AN24" s="32" t="e">
        <f t="shared" si="29"/>
        <v>#DIV/0!</v>
      </c>
      <c r="AO24" s="32" t="e">
        <f t="shared" si="30"/>
        <v>#DIV/0!</v>
      </c>
      <c r="AP24" s="32" t="e">
        <f t="shared" si="31"/>
        <v>#DIV/0!</v>
      </c>
      <c r="AQ24" s="32" t="e">
        <f t="shared" si="32"/>
        <v>#DIV/0!</v>
      </c>
      <c r="AR24" s="32" t="e">
        <f t="shared" si="33"/>
        <v>#DIV/0!</v>
      </c>
      <c r="AS24" s="32">
        <f t="shared" si="34"/>
        <v>1</v>
      </c>
      <c r="AT24" s="32">
        <f t="shared" si="35"/>
        <v>1.6669060118183275E-2</v>
      </c>
      <c r="AU24" s="32"/>
      <c r="AW24" s="16" t="s">
        <v>162</v>
      </c>
      <c r="AX24" s="32" t="e">
        <f t="shared" si="14"/>
        <v>#DIV/0!</v>
      </c>
      <c r="AY24" s="32" t="e">
        <f t="shared" si="15"/>
        <v>#DIV/0!</v>
      </c>
      <c r="AZ24" s="32" t="e">
        <f t="shared" si="16"/>
        <v>#DIV/0!</v>
      </c>
      <c r="BA24" s="32" t="e">
        <f t="shared" si="17"/>
        <v>#DIV/0!</v>
      </c>
      <c r="BB24" s="32" t="e">
        <f t="shared" si="18"/>
        <v>#DIV/0!</v>
      </c>
      <c r="BC24" s="32" t="e">
        <f t="shared" si="19"/>
        <v>#DIV/0!</v>
      </c>
      <c r="BD24" s="32" t="e">
        <f t="shared" si="20"/>
        <v>#DIV/0!</v>
      </c>
      <c r="BE24" s="32" t="e">
        <f t="shared" si="21"/>
        <v>#DIV/0!</v>
      </c>
      <c r="BF24" s="32" t="e">
        <f t="shared" si="22"/>
        <v>#DIV/0!</v>
      </c>
      <c r="BG24" s="32" t="e">
        <f t="shared" si="23"/>
        <v>#DIV/0!</v>
      </c>
      <c r="BH24" s="32" t="e">
        <f t="shared" si="24"/>
        <v>#DIV/0!</v>
      </c>
      <c r="BI24" s="32"/>
      <c r="BJ24" s="32"/>
      <c r="BK24" s="32"/>
    </row>
    <row r="25" spans="1:63" x14ac:dyDescent="0.2">
      <c r="A25" s="16" t="s">
        <v>163</v>
      </c>
      <c r="AD25" s="23">
        <v>32.80004233401538</v>
      </c>
      <c r="AE25" s="23">
        <v>32.509583950704389</v>
      </c>
      <c r="AG25" s="16" t="s">
        <v>163</v>
      </c>
      <c r="AH25" s="32">
        <f>0</f>
        <v>0</v>
      </c>
      <c r="AI25" s="32" t="e">
        <f t="shared" si="2"/>
        <v>#DIV/0!</v>
      </c>
      <c r="AJ25" s="32" t="e">
        <f t="shared" si="25"/>
        <v>#DIV/0!</v>
      </c>
      <c r="AK25" s="32" t="e">
        <f t="shared" si="26"/>
        <v>#DIV/0!</v>
      </c>
      <c r="AL25" s="32" t="e">
        <f t="shared" si="27"/>
        <v>#DIV/0!</v>
      </c>
      <c r="AM25" s="32" t="e">
        <f t="shared" si="28"/>
        <v>#DIV/0!</v>
      </c>
      <c r="AN25" s="32" t="e">
        <f t="shared" si="29"/>
        <v>#DIV/0!</v>
      </c>
      <c r="AO25" s="32" t="e">
        <f t="shared" si="30"/>
        <v>#DIV/0!</v>
      </c>
      <c r="AP25" s="32" t="e">
        <f t="shared" si="31"/>
        <v>#DIV/0!</v>
      </c>
      <c r="AQ25" s="32" t="e">
        <f t="shared" si="32"/>
        <v>#DIV/0!</v>
      </c>
      <c r="AR25" s="32" t="e">
        <f t="shared" si="33"/>
        <v>#DIV/0!</v>
      </c>
      <c r="AS25" s="32">
        <f t="shared" si="34"/>
        <v>1</v>
      </c>
      <c r="AT25" s="32">
        <f t="shared" si="35"/>
        <v>-8.9345463095259845E-3</v>
      </c>
      <c r="AU25" s="32"/>
      <c r="AW25" s="16" t="s">
        <v>163</v>
      </c>
      <c r="AX25" s="32" t="e">
        <f t="shared" si="14"/>
        <v>#DIV/0!</v>
      </c>
      <c r="AY25" s="32" t="e">
        <f t="shared" si="15"/>
        <v>#DIV/0!</v>
      </c>
      <c r="AZ25" s="32" t="e">
        <f t="shared" si="16"/>
        <v>#DIV/0!</v>
      </c>
      <c r="BA25" s="32" t="e">
        <f t="shared" si="17"/>
        <v>#DIV/0!</v>
      </c>
      <c r="BB25" s="32" t="e">
        <f t="shared" si="18"/>
        <v>#DIV/0!</v>
      </c>
      <c r="BC25" s="32" t="e">
        <f t="shared" si="19"/>
        <v>#DIV/0!</v>
      </c>
      <c r="BD25" s="32" t="e">
        <f t="shared" si="20"/>
        <v>#DIV/0!</v>
      </c>
      <c r="BE25" s="32" t="e">
        <f t="shared" si="21"/>
        <v>#DIV/0!</v>
      </c>
      <c r="BF25" s="32" t="e">
        <f t="shared" si="22"/>
        <v>#DIV/0!</v>
      </c>
      <c r="BG25" s="32" t="e">
        <f t="shared" si="23"/>
        <v>#DIV/0!</v>
      </c>
      <c r="BH25" s="32" t="e">
        <f t="shared" si="24"/>
        <v>#DIV/0!</v>
      </c>
      <c r="BI25" s="32"/>
      <c r="BJ25" s="32"/>
      <c r="BK25" s="32"/>
    </row>
    <row r="26" spans="1:63" x14ac:dyDescent="0.2">
      <c r="A26" s="16" t="s">
        <v>165</v>
      </c>
      <c r="AD26" s="23">
        <v>346.33186131729775</v>
      </c>
      <c r="AE26" s="23">
        <v>347.90566569576248</v>
      </c>
      <c r="AG26" s="16" t="s">
        <v>165</v>
      </c>
      <c r="AH26" s="32">
        <f>0</f>
        <v>0</v>
      </c>
      <c r="AI26" s="32" t="e">
        <f t="shared" si="2"/>
        <v>#DIV/0!</v>
      </c>
      <c r="AJ26" s="32" t="e">
        <f t="shared" si="25"/>
        <v>#DIV/0!</v>
      </c>
      <c r="AK26" s="32" t="e">
        <f t="shared" si="26"/>
        <v>#DIV/0!</v>
      </c>
      <c r="AL26" s="32" t="e">
        <f t="shared" si="27"/>
        <v>#DIV/0!</v>
      </c>
      <c r="AM26" s="32" t="e">
        <f t="shared" si="28"/>
        <v>#DIV/0!</v>
      </c>
      <c r="AN26" s="32" t="e">
        <f t="shared" si="29"/>
        <v>#DIV/0!</v>
      </c>
      <c r="AO26" s="32" t="e">
        <f t="shared" si="30"/>
        <v>#DIV/0!</v>
      </c>
      <c r="AP26" s="32" t="e">
        <f t="shared" si="31"/>
        <v>#DIV/0!</v>
      </c>
      <c r="AQ26" s="32" t="e">
        <f t="shared" si="32"/>
        <v>#DIV/0!</v>
      </c>
      <c r="AR26" s="32" t="e">
        <f t="shared" si="33"/>
        <v>#DIV/0!</v>
      </c>
      <c r="AS26" s="32">
        <f t="shared" si="34"/>
        <v>1</v>
      </c>
      <c r="AT26" s="32">
        <f t="shared" si="35"/>
        <v>4.5236526266893102E-3</v>
      </c>
      <c r="AU26" s="32"/>
      <c r="AW26" s="16" t="s">
        <v>165</v>
      </c>
      <c r="AX26" s="32" t="e">
        <f t="shared" si="14"/>
        <v>#DIV/0!</v>
      </c>
      <c r="AY26" s="32" t="e">
        <f t="shared" si="15"/>
        <v>#DIV/0!</v>
      </c>
      <c r="AZ26" s="32" t="e">
        <f t="shared" si="16"/>
        <v>#DIV/0!</v>
      </c>
      <c r="BA26" s="32" t="e">
        <f t="shared" si="17"/>
        <v>#DIV/0!</v>
      </c>
      <c r="BB26" s="32" t="e">
        <f t="shared" si="18"/>
        <v>#DIV/0!</v>
      </c>
      <c r="BC26" s="32" t="e">
        <f t="shared" si="19"/>
        <v>#DIV/0!</v>
      </c>
      <c r="BD26" s="32" t="e">
        <f t="shared" si="20"/>
        <v>#DIV/0!</v>
      </c>
      <c r="BE26" s="32" t="e">
        <f t="shared" si="21"/>
        <v>#DIV/0!</v>
      </c>
      <c r="BF26" s="32" t="e">
        <f t="shared" si="22"/>
        <v>#DIV/0!</v>
      </c>
      <c r="BG26" s="32" t="e">
        <f t="shared" si="23"/>
        <v>#DIV/0!</v>
      </c>
      <c r="BH26" s="32" t="e">
        <f t="shared" si="24"/>
        <v>#DIV/0!</v>
      </c>
      <c r="BI26" s="32"/>
      <c r="BJ26" s="32"/>
      <c r="BK26" s="32"/>
    </row>
    <row r="27" spans="1:63" x14ac:dyDescent="0.2">
      <c r="A27" s="16" t="s">
        <v>164</v>
      </c>
      <c r="AD27" s="23">
        <v>14.679732623791292</v>
      </c>
      <c r="AE27" s="23">
        <v>15.045860644212258</v>
      </c>
      <c r="AG27" s="16" t="s">
        <v>164</v>
      </c>
      <c r="AH27" s="32">
        <f>0</f>
        <v>0</v>
      </c>
      <c r="AI27" s="32" t="e">
        <f t="shared" si="2"/>
        <v>#DIV/0!</v>
      </c>
      <c r="AJ27" s="32" t="e">
        <f t="shared" si="25"/>
        <v>#DIV/0!</v>
      </c>
      <c r="AK27" s="32" t="e">
        <f t="shared" si="26"/>
        <v>#DIV/0!</v>
      </c>
      <c r="AL27" s="32" t="e">
        <f t="shared" si="27"/>
        <v>#DIV/0!</v>
      </c>
      <c r="AM27" s="32" t="e">
        <f t="shared" si="28"/>
        <v>#DIV/0!</v>
      </c>
      <c r="AN27" s="32" t="e">
        <f t="shared" si="29"/>
        <v>#DIV/0!</v>
      </c>
      <c r="AO27" s="32" t="e">
        <f t="shared" si="30"/>
        <v>#DIV/0!</v>
      </c>
      <c r="AP27" s="32" t="e">
        <f t="shared" si="31"/>
        <v>#DIV/0!</v>
      </c>
      <c r="AQ27" s="32" t="e">
        <f t="shared" si="32"/>
        <v>#DIV/0!</v>
      </c>
      <c r="AR27" s="32" t="e">
        <f t="shared" si="33"/>
        <v>#DIV/0!</v>
      </c>
      <c r="AS27" s="32">
        <f t="shared" si="34"/>
        <v>1</v>
      </c>
      <c r="AT27" s="32">
        <f t="shared" si="35"/>
        <v>2.4334136084252896E-2</v>
      </c>
      <c r="AU27" s="32"/>
      <c r="AW27" s="16" t="s">
        <v>164</v>
      </c>
      <c r="AX27" s="32" t="e">
        <f t="shared" si="14"/>
        <v>#DIV/0!</v>
      </c>
      <c r="AY27" s="32" t="e">
        <f t="shared" si="15"/>
        <v>#DIV/0!</v>
      </c>
      <c r="AZ27" s="32" t="e">
        <f t="shared" si="16"/>
        <v>#DIV/0!</v>
      </c>
      <c r="BA27" s="32" t="e">
        <f t="shared" si="17"/>
        <v>#DIV/0!</v>
      </c>
      <c r="BB27" s="32" t="e">
        <f t="shared" si="18"/>
        <v>#DIV/0!</v>
      </c>
      <c r="BC27" s="32" t="e">
        <f t="shared" si="19"/>
        <v>#DIV/0!</v>
      </c>
      <c r="BD27" s="32" t="e">
        <f t="shared" si="20"/>
        <v>#DIV/0!</v>
      </c>
      <c r="BE27" s="32" t="e">
        <f t="shared" si="21"/>
        <v>#DIV/0!</v>
      </c>
      <c r="BF27" s="32" t="e">
        <f t="shared" si="22"/>
        <v>#DIV/0!</v>
      </c>
      <c r="BG27" s="32" t="e">
        <f t="shared" si="23"/>
        <v>#DIV/0!</v>
      </c>
      <c r="BH27" s="32" t="e">
        <f t="shared" si="24"/>
        <v>#DIV/0!</v>
      </c>
      <c r="BI27" s="32"/>
      <c r="BJ27" s="32"/>
      <c r="BK27" s="32"/>
    </row>
    <row r="28" spans="1:63" x14ac:dyDescent="0.2">
      <c r="A28" s="16" t="s">
        <v>166</v>
      </c>
      <c r="AD28" s="23">
        <v>32.12401098435187</v>
      </c>
      <c r="AE28" s="23">
        <v>32.333392038301731</v>
      </c>
      <c r="AG28" s="16" t="s">
        <v>166</v>
      </c>
      <c r="AH28" s="32">
        <f>0</f>
        <v>0</v>
      </c>
      <c r="AI28" s="32" t="e">
        <f t="shared" si="2"/>
        <v>#DIV/0!</v>
      </c>
      <c r="AJ28" s="32" t="e">
        <f t="shared" si="25"/>
        <v>#DIV/0!</v>
      </c>
      <c r="AK28" s="32" t="e">
        <f t="shared" si="26"/>
        <v>#DIV/0!</v>
      </c>
      <c r="AL28" s="32" t="e">
        <f t="shared" si="27"/>
        <v>#DIV/0!</v>
      </c>
      <c r="AM28" s="32" t="e">
        <f t="shared" si="28"/>
        <v>#DIV/0!</v>
      </c>
      <c r="AN28" s="32" t="e">
        <f t="shared" si="29"/>
        <v>#DIV/0!</v>
      </c>
      <c r="AO28" s="32" t="e">
        <f t="shared" si="30"/>
        <v>#DIV/0!</v>
      </c>
      <c r="AP28" s="32" t="e">
        <f t="shared" si="31"/>
        <v>#DIV/0!</v>
      </c>
      <c r="AQ28" s="32" t="e">
        <f t="shared" si="32"/>
        <v>#DIV/0!</v>
      </c>
      <c r="AR28" s="32" t="e">
        <f t="shared" si="33"/>
        <v>#DIV/0!</v>
      </c>
      <c r="AS28" s="32">
        <f t="shared" si="34"/>
        <v>1</v>
      </c>
      <c r="AT28" s="32">
        <f t="shared" si="35"/>
        <v>6.4756909421019538E-3</v>
      </c>
      <c r="AU28" s="32"/>
      <c r="AW28" s="16" t="s">
        <v>166</v>
      </c>
      <c r="AX28" s="32" t="e">
        <f t="shared" si="14"/>
        <v>#DIV/0!</v>
      </c>
      <c r="AY28" s="32" t="e">
        <f t="shared" si="15"/>
        <v>#DIV/0!</v>
      </c>
      <c r="AZ28" s="32" t="e">
        <f t="shared" si="16"/>
        <v>#DIV/0!</v>
      </c>
      <c r="BA28" s="32" t="e">
        <f t="shared" si="17"/>
        <v>#DIV/0!</v>
      </c>
      <c r="BB28" s="32" t="e">
        <f t="shared" si="18"/>
        <v>#DIV/0!</v>
      </c>
      <c r="BC28" s="32" t="e">
        <f t="shared" si="19"/>
        <v>#DIV/0!</v>
      </c>
      <c r="BD28" s="32" t="e">
        <f t="shared" si="20"/>
        <v>#DIV/0!</v>
      </c>
      <c r="BE28" s="32" t="e">
        <f t="shared" si="21"/>
        <v>#DIV/0!</v>
      </c>
      <c r="BF28" s="32" t="e">
        <f t="shared" si="22"/>
        <v>#DIV/0!</v>
      </c>
      <c r="BG28" s="32" t="e">
        <f t="shared" si="23"/>
        <v>#DIV/0!</v>
      </c>
      <c r="BH28" s="32" t="e">
        <f t="shared" si="24"/>
        <v>#DIV/0!</v>
      </c>
      <c r="BI28" s="32"/>
      <c r="BJ28" s="32"/>
      <c r="BK28" s="32"/>
    </row>
    <row r="29" spans="1:63" x14ac:dyDescent="0.2">
      <c r="A29" s="16" t="s">
        <v>167</v>
      </c>
      <c r="AD29" s="23">
        <v>21.013917105836935</v>
      </c>
      <c r="AE29" s="23">
        <v>21.044340703731624</v>
      </c>
      <c r="AG29" s="16" t="s">
        <v>167</v>
      </c>
      <c r="AH29" s="32">
        <f>0</f>
        <v>0</v>
      </c>
      <c r="AI29" s="32" t="e">
        <f t="shared" si="2"/>
        <v>#DIV/0!</v>
      </c>
      <c r="AJ29" s="32" t="e">
        <f t="shared" si="25"/>
        <v>#DIV/0!</v>
      </c>
      <c r="AK29" s="32" t="e">
        <f t="shared" si="26"/>
        <v>#DIV/0!</v>
      </c>
      <c r="AL29" s="32" t="e">
        <f t="shared" si="27"/>
        <v>#DIV/0!</v>
      </c>
      <c r="AM29" s="32" t="e">
        <f t="shared" si="28"/>
        <v>#DIV/0!</v>
      </c>
      <c r="AN29" s="32" t="e">
        <f t="shared" si="29"/>
        <v>#DIV/0!</v>
      </c>
      <c r="AO29" s="32" t="e">
        <f t="shared" si="30"/>
        <v>#DIV/0!</v>
      </c>
      <c r="AP29" s="32" t="e">
        <f t="shared" si="31"/>
        <v>#DIV/0!</v>
      </c>
      <c r="AQ29" s="32" t="e">
        <f t="shared" si="32"/>
        <v>#DIV/0!</v>
      </c>
      <c r="AR29" s="32" t="e">
        <f t="shared" si="33"/>
        <v>#DIV/0!</v>
      </c>
      <c r="AS29" s="32">
        <f t="shared" si="34"/>
        <v>1</v>
      </c>
      <c r="AT29" s="32">
        <f t="shared" si="35"/>
        <v>1.4456902367720366E-3</v>
      </c>
      <c r="AU29" s="32"/>
      <c r="AW29" s="16" t="s">
        <v>167</v>
      </c>
      <c r="AX29" s="32" t="e">
        <f t="shared" si="14"/>
        <v>#DIV/0!</v>
      </c>
      <c r="AY29" s="32" t="e">
        <f t="shared" si="15"/>
        <v>#DIV/0!</v>
      </c>
      <c r="AZ29" s="32" t="e">
        <f t="shared" si="16"/>
        <v>#DIV/0!</v>
      </c>
      <c r="BA29" s="32" t="e">
        <f t="shared" si="17"/>
        <v>#DIV/0!</v>
      </c>
      <c r="BB29" s="32" t="e">
        <f t="shared" si="18"/>
        <v>#DIV/0!</v>
      </c>
      <c r="BC29" s="32" t="e">
        <f t="shared" si="19"/>
        <v>#DIV/0!</v>
      </c>
      <c r="BD29" s="32" t="e">
        <f t="shared" si="20"/>
        <v>#DIV/0!</v>
      </c>
      <c r="BE29" s="32" t="e">
        <f t="shared" si="21"/>
        <v>#DIV/0!</v>
      </c>
      <c r="BF29" s="32" t="e">
        <f t="shared" si="22"/>
        <v>#DIV/0!</v>
      </c>
      <c r="BG29" s="32" t="e">
        <f t="shared" si="23"/>
        <v>#DIV/0!</v>
      </c>
      <c r="BH29" s="32" t="e">
        <f t="shared" si="24"/>
        <v>#DIV/0!</v>
      </c>
      <c r="BI29" s="32"/>
      <c r="BJ29" s="32"/>
      <c r="BK29" s="32"/>
    </row>
    <row r="30" spans="1:63" x14ac:dyDescent="0.2">
      <c r="A30" s="16" t="s">
        <v>168</v>
      </c>
      <c r="AD30" s="23">
        <v>39.254079254079251</v>
      </c>
      <c r="AE30" s="23">
        <v>39.260739260739257</v>
      </c>
      <c r="AG30" s="16" t="s">
        <v>168</v>
      </c>
      <c r="AH30" s="32">
        <f>0</f>
        <v>0</v>
      </c>
      <c r="AI30" s="32" t="e">
        <f t="shared" si="2"/>
        <v>#DIV/0!</v>
      </c>
      <c r="AJ30" s="32" t="e">
        <f t="shared" si="25"/>
        <v>#DIV/0!</v>
      </c>
      <c r="AK30" s="32" t="e">
        <f t="shared" si="26"/>
        <v>#DIV/0!</v>
      </c>
      <c r="AL30" s="32" t="e">
        <f t="shared" si="27"/>
        <v>#DIV/0!</v>
      </c>
      <c r="AM30" s="32" t="e">
        <f t="shared" si="28"/>
        <v>#DIV/0!</v>
      </c>
      <c r="AN30" s="32" t="e">
        <f t="shared" si="29"/>
        <v>#DIV/0!</v>
      </c>
      <c r="AO30" s="32" t="e">
        <f t="shared" si="30"/>
        <v>#DIV/0!</v>
      </c>
      <c r="AP30" s="32" t="e">
        <f t="shared" si="31"/>
        <v>#DIV/0!</v>
      </c>
      <c r="AQ30" s="32" t="e">
        <f t="shared" si="32"/>
        <v>#DIV/0!</v>
      </c>
      <c r="AR30" s="32" t="e">
        <f t="shared" si="33"/>
        <v>#DIV/0!</v>
      </c>
      <c r="AS30" s="32">
        <f t="shared" si="34"/>
        <v>1</v>
      </c>
      <c r="AT30" s="32">
        <f t="shared" si="35"/>
        <v>1.6963528413908388E-4</v>
      </c>
      <c r="AU30" s="32"/>
      <c r="AW30" s="16" t="s">
        <v>168</v>
      </c>
      <c r="AX30" s="32" t="e">
        <f t="shared" si="14"/>
        <v>#DIV/0!</v>
      </c>
      <c r="AY30" s="32" t="e">
        <f t="shared" si="15"/>
        <v>#DIV/0!</v>
      </c>
      <c r="AZ30" s="32" t="e">
        <f t="shared" si="16"/>
        <v>#DIV/0!</v>
      </c>
      <c r="BA30" s="32" t="e">
        <f t="shared" si="17"/>
        <v>#DIV/0!</v>
      </c>
      <c r="BB30" s="32" t="e">
        <f t="shared" si="18"/>
        <v>#DIV/0!</v>
      </c>
      <c r="BC30" s="32" t="e">
        <f t="shared" si="19"/>
        <v>#DIV/0!</v>
      </c>
      <c r="BD30" s="32" t="e">
        <f t="shared" si="20"/>
        <v>#DIV/0!</v>
      </c>
      <c r="BE30" s="32" t="e">
        <f t="shared" si="21"/>
        <v>#DIV/0!</v>
      </c>
      <c r="BF30" s="32" t="e">
        <f t="shared" si="22"/>
        <v>#DIV/0!</v>
      </c>
      <c r="BG30" s="32" t="e">
        <f t="shared" si="23"/>
        <v>#DIV/0!</v>
      </c>
      <c r="BH30" s="32" t="e">
        <f t="shared" si="24"/>
        <v>#DIV/0!</v>
      </c>
      <c r="BI30" s="32"/>
      <c r="BJ30" s="32"/>
      <c r="BK30" s="32"/>
    </row>
    <row r="31" spans="1:63" x14ac:dyDescent="0.2">
      <c r="A31" s="16" t="s">
        <v>169</v>
      </c>
      <c r="AD31" s="23">
        <v>8.4879557727197312</v>
      </c>
      <c r="AE31" s="23">
        <v>8.4280156058505877</v>
      </c>
      <c r="AG31" s="16" t="s">
        <v>169</v>
      </c>
      <c r="AH31" s="32">
        <f>0</f>
        <v>0</v>
      </c>
      <c r="AI31" s="32" t="e">
        <f t="shared" si="2"/>
        <v>#DIV/0!</v>
      </c>
      <c r="AJ31" s="32" t="e">
        <f t="shared" si="25"/>
        <v>#DIV/0!</v>
      </c>
      <c r="AK31" s="32" t="e">
        <f t="shared" si="26"/>
        <v>#DIV/0!</v>
      </c>
      <c r="AL31" s="32" t="e">
        <f t="shared" si="27"/>
        <v>#DIV/0!</v>
      </c>
      <c r="AM31" s="32" t="e">
        <f t="shared" si="28"/>
        <v>#DIV/0!</v>
      </c>
      <c r="AN31" s="32" t="e">
        <f t="shared" si="29"/>
        <v>#DIV/0!</v>
      </c>
      <c r="AO31" s="32" t="e">
        <f t="shared" si="30"/>
        <v>#DIV/0!</v>
      </c>
      <c r="AP31" s="32" t="e">
        <f t="shared" si="31"/>
        <v>#DIV/0!</v>
      </c>
      <c r="AQ31" s="32" t="e">
        <f t="shared" si="32"/>
        <v>#DIV/0!</v>
      </c>
      <c r="AR31" s="32" t="e">
        <f t="shared" si="33"/>
        <v>#DIV/0!</v>
      </c>
      <c r="AS31" s="32">
        <f t="shared" si="34"/>
        <v>1</v>
      </c>
      <c r="AT31" s="32">
        <f t="shared" si="35"/>
        <v>-7.1120142240284926E-3</v>
      </c>
      <c r="AU31" s="32"/>
      <c r="AW31" s="16" t="s">
        <v>169</v>
      </c>
      <c r="AX31" s="32" t="e">
        <f t="shared" si="14"/>
        <v>#DIV/0!</v>
      </c>
      <c r="AY31" s="32" t="e">
        <f t="shared" si="15"/>
        <v>#DIV/0!</v>
      </c>
      <c r="AZ31" s="32" t="e">
        <f t="shared" si="16"/>
        <v>#DIV/0!</v>
      </c>
      <c r="BA31" s="32" t="e">
        <f t="shared" si="17"/>
        <v>#DIV/0!</v>
      </c>
      <c r="BB31" s="32" t="e">
        <f t="shared" si="18"/>
        <v>#DIV/0!</v>
      </c>
      <c r="BC31" s="32" t="e">
        <f t="shared" si="19"/>
        <v>#DIV/0!</v>
      </c>
      <c r="BD31" s="32" t="e">
        <f t="shared" si="20"/>
        <v>#DIV/0!</v>
      </c>
      <c r="BE31" s="32" t="e">
        <f t="shared" si="21"/>
        <v>#DIV/0!</v>
      </c>
      <c r="BF31" s="32" t="e">
        <f t="shared" si="22"/>
        <v>#DIV/0!</v>
      </c>
      <c r="BG31" s="32" t="e">
        <f t="shared" si="23"/>
        <v>#DIV/0!</v>
      </c>
      <c r="BH31" s="32" t="e">
        <f t="shared" si="24"/>
        <v>#DIV/0!</v>
      </c>
      <c r="BI31" s="32"/>
      <c r="BJ31" s="32"/>
      <c r="BK31" s="32"/>
    </row>
    <row r="32" spans="1:63" x14ac:dyDescent="0.2">
      <c r="A32" s="16" t="s">
        <v>170</v>
      </c>
      <c r="AD32" s="23">
        <v>5.3120071673590621</v>
      </c>
      <c r="AE32" s="23">
        <v>5.2985070047434668</v>
      </c>
      <c r="AG32" s="16" t="s">
        <v>170</v>
      </c>
      <c r="AH32" s="32">
        <f>0</f>
        <v>0</v>
      </c>
      <c r="AI32" s="32" t="e">
        <f t="shared" si="2"/>
        <v>#DIV/0!</v>
      </c>
      <c r="AJ32" s="32" t="e">
        <f t="shared" si="25"/>
        <v>#DIV/0!</v>
      </c>
      <c r="AK32" s="32" t="e">
        <f t="shared" si="26"/>
        <v>#DIV/0!</v>
      </c>
      <c r="AL32" s="32" t="e">
        <f t="shared" si="27"/>
        <v>#DIV/0!</v>
      </c>
      <c r="AM32" s="32" t="e">
        <f t="shared" si="28"/>
        <v>#DIV/0!</v>
      </c>
      <c r="AN32" s="32" t="e">
        <f t="shared" si="29"/>
        <v>#DIV/0!</v>
      </c>
      <c r="AO32" s="32" t="e">
        <f t="shared" si="30"/>
        <v>#DIV/0!</v>
      </c>
      <c r="AP32" s="32" t="e">
        <f t="shared" si="31"/>
        <v>#DIV/0!</v>
      </c>
      <c r="AQ32" s="32" t="e">
        <f t="shared" si="32"/>
        <v>#DIV/0!</v>
      </c>
      <c r="AR32" s="32" t="e">
        <f t="shared" si="33"/>
        <v>#DIV/0!</v>
      </c>
      <c r="AS32" s="32">
        <f t="shared" si="34"/>
        <v>1</v>
      </c>
      <c r="AT32" s="32">
        <f t="shared" si="35"/>
        <v>-2.5479182349875755E-3</v>
      </c>
      <c r="AU32" s="32"/>
      <c r="AW32" s="16" t="s">
        <v>170</v>
      </c>
      <c r="AX32" s="32" t="e">
        <f t="shared" si="14"/>
        <v>#DIV/0!</v>
      </c>
      <c r="AY32" s="32" t="e">
        <f t="shared" si="15"/>
        <v>#DIV/0!</v>
      </c>
      <c r="AZ32" s="32" t="e">
        <f t="shared" si="16"/>
        <v>#DIV/0!</v>
      </c>
      <c r="BA32" s="32" t="e">
        <f t="shared" si="17"/>
        <v>#DIV/0!</v>
      </c>
      <c r="BB32" s="32" t="e">
        <f t="shared" si="18"/>
        <v>#DIV/0!</v>
      </c>
      <c r="BC32" s="32" t="e">
        <f t="shared" si="19"/>
        <v>#DIV/0!</v>
      </c>
      <c r="BD32" s="32" t="e">
        <f t="shared" si="20"/>
        <v>#DIV/0!</v>
      </c>
      <c r="BE32" s="32" t="e">
        <f t="shared" si="21"/>
        <v>#DIV/0!</v>
      </c>
      <c r="BF32" s="32" t="e">
        <f t="shared" si="22"/>
        <v>#DIV/0!</v>
      </c>
      <c r="BG32" s="32" t="e">
        <f t="shared" si="23"/>
        <v>#DIV/0!</v>
      </c>
      <c r="BH32" s="32" t="e">
        <f t="shared" si="24"/>
        <v>#DIV/0!</v>
      </c>
      <c r="BI32" s="32"/>
      <c r="BJ32" s="32"/>
      <c r="BK32" s="32"/>
    </row>
    <row r="33" spans="1:63" x14ac:dyDescent="0.2">
      <c r="A33" s="16" t="s">
        <v>171</v>
      </c>
      <c r="AD33" s="23">
        <v>0.69257132683491351</v>
      </c>
      <c r="AE33" s="23">
        <v>0.69346152134241335</v>
      </c>
      <c r="AG33" s="16" t="s">
        <v>171</v>
      </c>
      <c r="AH33" s="32">
        <f>0</f>
        <v>0</v>
      </c>
      <c r="AI33" s="32" t="e">
        <f t="shared" si="2"/>
        <v>#DIV/0!</v>
      </c>
      <c r="AJ33" s="32" t="e">
        <f t="shared" si="25"/>
        <v>#DIV/0!</v>
      </c>
      <c r="AK33" s="32" t="e">
        <f t="shared" si="26"/>
        <v>#DIV/0!</v>
      </c>
      <c r="AL33" s="32" t="e">
        <f t="shared" si="27"/>
        <v>#DIV/0!</v>
      </c>
      <c r="AM33" s="32" t="e">
        <f t="shared" si="28"/>
        <v>#DIV/0!</v>
      </c>
      <c r="AN33" s="32" t="e">
        <f t="shared" si="29"/>
        <v>#DIV/0!</v>
      </c>
      <c r="AO33" s="32" t="e">
        <f t="shared" si="30"/>
        <v>#DIV/0!</v>
      </c>
      <c r="AP33" s="32" t="e">
        <f t="shared" si="31"/>
        <v>#DIV/0!</v>
      </c>
      <c r="AQ33" s="32" t="e">
        <f t="shared" si="32"/>
        <v>#DIV/0!</v>
      </c>
      <c r="AR33" s="32" t="e">
        <f t="shared" si="33"/>
        <v>#DIV/0!</v>
      </c>
      <c r="AS33" s="32">
        <f t="shared" si="34"/>
        <v>1</v>
      </c>
      <c r="AT33" s="32">
        <f t="shared" si="35"/>
        <v>1.2836970474967072E-3</v>
      </c>
      <c r="AU33" s="32"/>
      <c r="AW33" s="16" t="s">
        <v>171</v>
      </c>
      <c r="AX33" s="32" t="e">
        <f t="shared" si="14"/>
        <v>#DIV/0!</v>
      </c>
      <c r="AY33" s="32" t="e">
        <f t="shared" si="15"/>
        <v>#DIV/0!</v>
      </c>
      <c r="AZ33" s="32" t="e">
        <f t="shared" si="16"/>
        <v>#DIV/0!</v>
      </c>
      <c r="BA33" s="32" t="e">
        <f t="shared" si="17"/>
        <v>#DIV/0!</v>
      </c>
      <c r="BB33" s="32" t="e">
        <f t="shared" si="18"/>
        <v>#DIV/0!</v>
      </c>
      <c r="BC33" s="32" t="e">
        <f t="shared" si="19"/>
        <v>#DIV/0!</v>
      </c>
      <c r="BD33" s="32" t="e">
        <f t="shared" si="20"/>
        <v>#DIV/0!</v>
      </c>
      <c r="BE33" s="32" t="e">
        <f t="shared" si="21"/>
        <v>#DIV/0!</v>
      </c>
      <c r="BF33" s="32" t="e">
        <f t="shared" si="22"/>
        <v>#DIV/0!</v>
      </c>
      <c r="BG33" s="32" t="e">
        <f t="shared" si="23"/>
        <v>#DIV/0!</v>
      </c>
      <c r="BH33" s="32" t="e">
        <f t="shared" si="24"/>
        <v>#DIV/0!</v>
      </c>
      <c r="BI33" s="32"/>
      <c r="BJ33" s="32"/>
      <c r="BK33" s="32"/>
    </row>
    <row r="34" spans="1:63" x14ac:dyDescent="0.2">
      <c r="A34" s="16" t="s">
        <v>172</v>
      </c>
      <c r="AD34" s="23">
        <v>4.3633075227491105</v>
      </c>
      <c r="AE34" s="23">
        <v>4.4612747037434772</v>
      </c>
      <c r="AG34" s="16" t="s">
        <v>172</v>
      </c>
      <c r="AH34" s="32">
        <f>0</f>
        <v>0</v>
      </c>
      <c r="AI34" s="32" t="e">
        <f t="shared" si="2"/>
        <v>#DIV/0!</v>
      </c>
      <c r="AJ34" s="32" t="e">
        <f t="shared" si="25"/>
        <v>#DIV/0!</v>
      </c>
      <c r="AK34" s="32" t="e">
        <f t="shared" si="26"/>
        <v>#DIV/0!</v>
      </c>
      <c r="AL34" s="32" t="e">
        <f t="shared" si="27"/>
        <v>#DIV/0!</v>
      </c>
      <c r="AM34" s="32" t="e">
        <f t="shared" si="28"/>
        <v>#DIV/0!</v>
      </c>
      <c r="AN34" s="32" t="e">
        <f t="shared" si="29"/>
        <v>#DIV/0!</v>
      </c>
      <c r="AO34" s="32" t="e">
        <f t="shared" si="30"/>
        <v>#DIV/0!</v>
      </c>
      <c r="AP34" s="32" t="e">
        <f t="shared" si="31"/>
        <v>#DIV/0!</v>
      </c>
      <c r="AQ34" s="32" t="e">
        <f t="shared" si="32"/>
        <v>#DIV/0!</v>
      </c>
      <c r="AR34" s="32" t="e">
        <f t="shared" si="33"/>
        <v>#DIV/0!</v>
      </c>
      <c r="AS34" s="32">
        <f t="shared" si="34"/>
        <v>1</v>
      </c>
      <c r="AT34" s="32">
        <f t="shared" si="35"/>
        <v>2.1959459459459426E-2</v>
      </c>
      <c r="AU34" s="32"/>
      <c r="AW34" s="16" t="s">
        <v>172</v>
      </c>
      <c r="AX34" s="32" t="e">
        <f t="shared" si="14"/>
        <v>#DIV/0!</v>
      </c>
      <c r="AY34" s="32" t="e">
        <f t="shared" si="15"/>
        <v>#DIV/0!</v>
      </c>
      <c r="AZ34" s="32" t="e">
        <f t="shared" si="16"/>
        <v>#DIV/0!</v>
      </c>
      <c r="BA34" s="32" t="e">
        <f t="shared" si="17"/>
        <v>#DIV/0!</v>
      </c>
      <c r="BB34" s="32" t="e">
        <f t="shared" si="18"/>
        <v>#DIV/0!</v>
      </c>
      <c r="BC34" s="32" t="e">
        <f t="shared" si="19"/>
        <v>#DIV/0!</v>
      </c>
      <c r="BD34" s="32" t="e">
        <f t="shared" si="20"/>
        <v>#DIV/0!</v>
      </c>
      <c r="BE34" s="32" t="e">
        <f t="shared" si="21"/>
        <v>#DIV/0!</v>
      </c>
      <c r="BF34" s="32" t="e">
        <f t="shared" si="22"/>
        <v>#DIV/0!</v>
      </c>
      <c r="BG34" s="32" t="e">
        <f t="shared" si="23"/>
        <v>#DIV/0!</v>
      </c>
      <c r="BH34" s="32" t="e">
        <f t="shared" si="24"/>
        <v>#DIV/0!</v>
      </c>
      <c r="BI34" s="32"/>
      <c r="BJ34" s="32"/>
      <c r="BK34" s="32"/>
    </row>
    <row r="35" spans="1:63" x14ac:dyDescent="0.2">
      <c r="A35" s="16" t="s">
        <v>173</v>
      </c>
      <c r="AD35" s="23">
        <v>0.83840098780676031</v>
      </c>
      <c r="AE35" s="23">
        <v>0.81123630189844109</v>
      </c>
      <c r="AG35" s="16" t="s">
        <v>173</v>
      </c>
      <c r="AH35" s="32">
        <f>0</f>
        <v>0</v>
      </c>
      <c r="AI35" s="32" t="e">
        <f t="shared" si="2"/>
        <v>#DIV/0!</v>
      </c>
      <c r="AJ35" s="32" t="e">
        <f t="shared" si="25"/>
        <v>#DIV/0!</v>
      </c>
      <c r="AK35" s="32" t="e">
        <f t="shared" si="26"/>
        <v>#DIV/0!</v>
      </c>
      <c r="AL35" s="32" t="e">
        <f t="shared" si="27"/>
        <v>#DIV/0!</v>
      </c>
      <c r="AM35" s="32" t="e">
        <f t="shared" si="28"/>
        <v>#DIV/0!</v>
      </c>
      <c r="AN35" s="32" t="e">
        <f t="shared" si="29"/>
        <v>#DIV/0!</v>
      </c>
      <c r="AO35" s="32" t="e">
        <f t="shared" si="30"/>
        <v>#DIV/0!</v>
      </c>
      <c r="AP35" s="32" t="e">
        <f t="shared" si="31"/>
        <v>#DIV/0!</v>
      </c>
      <c r="AQ35" s="32" t="e">
        <f t="shared" si="32"/>
        <v>#DIV/0!</v>
      </c>
      <c r="AR35" s="32" t="e">
        <f t="shared" si="33"/>
        <v>#DIV/0!</v>
      </c>
      <c r="AS35" s="32">
        <f t="shared" si="34"/>
        <v>1</v>
      </c>
      <c r="AT35" s="32">
        <f t="shared" si="35"/>
        <v>-3.348554033485545E-2</v>
      </c>
      <c r="AU35" s="32"/>
      <c r="AW35" s="16" t="s">
        <v>173</v>
      </c>
      <c r="AX35" s="32" t="e">
        <f t="shared" si="14"/>
        <v>#DIV/0!</v>
      </c>
      <c r="AY35" s="32" t="e">
        <f t="shared" si="15"/>
        <v>#DIV/0!</v>
      </c>
      <c r="AZ35" s="32" t="e">
        <f t="shared" si="16"/>
        <v>#DIV/0!</v>
      </c>
      <c r="BA35" s="32" t="e">
        <f t="shared" si="17"/>
        <v>#DIV/0!</v>
      </c>
      <c r="BB35" s="32" t="e">
        <f t="shared" si="18"/>
        <v>#DIV/0!</v>
      </c>
      <c r="BC35" s="32" t="e">
        <f t="shared" si="19"/>
        <v>#DIV/0!</v>
      </c>
      <c r="BD35" s="32" t="e">
        <f t="shared" si="20"/>
        <v>#DIV/0!</v>
      </c>
      <c r="BE35" s="32" t="e">
        <f t="shared" si="21"/>
        <v>#DIV/0!</v>
      </c>
      <c r="BF35" s="32" t="e">
        <f t="shared" si="22"/>
        <v>#DIV/0!</v>
      </c>
      <c r="BG35" s="32" t="e">
        <f t="shared" si="23"/>
        <v>#DIV/0!</v>
      </c>
      <c r="BH35" s="32" t="e">
        <f t="shared" si="24"/>
        <v>#DIV/0!</v>
      </c>
      <c r="BI35" s="32"/>
      <c r="BJ35" s="32"/>
      <c r="BK35" s="32"/>
    </row>
    <row r="36" spans="1:63" x14ac:dyDescent="0.2">
      <c r="A36" s="16" t="s">
        <v>174</v>
      </c>
      <c r="AD36" s="23">
        <v>751.40842336805326</v>
      </c>
      <c r="AE36" s="23">
        <v>745.21058420133272</v>
      </c>
      <c r="AG36" s="16" t="s">
        <v>174</v>
      </c>
      <c r="AH36" s="32">
        <f>0</f>
        <v>0</v>
      </c>
      <c r="AI36" s="32" t="e">
        <f t="shared" si="2"/>
        <v>#DIV/0!</v>
      </c>
      <c r="AJ36" s="32" t="e">
        <f t="shared" si="25"/>
        <v>#DIV/0!</v>
      </c>
      <c r="AK36" s="32" t="e">
        <f t="shared" si="26"/>
        <v>#DIV/0!</v>
      </c>
      <c r="AL36" s="32" t="e">
        <f t="shared" si="27"/>
        <v>#DIV/0!</v>
      </c>
      <c r="AM36" s="32" t="e">
        <f t="shared" si="28"/>
        <v>#DIV/0!</v>
      </c>
      <c r="AN36" s="32" t="e">
        <f t="shared" si="29"/>
        <v>#DIV/0!</v>
      </c>
      <c r="AO36" s="32" t="e">
        <f t="shared" si="30"/>
        <v>#DIV/0!</v>
      </c>
      <c r="AP36" s="32" t="e">
        <f t="shared" si="31"/>
        <v>#DIV/0!</v>
      </c>
      <c r="AQ36" s="32" t="e">
        <f t="shared" si="32"/>
        <v>#DIV/0!</v>
      </c>
      <c r="AR36" s="32" t="e">
        <f t="shared" si="33"/>
        <v>#DIV/0!</v>
      </c>
      <c r="AS36" s="32">
        <f t="shared" si="34"/>
        <v>1</v>
      </c>
      <c r="AT36" s="32">
        <f t="shared" si="35"/>
        <v>-8.3168963218134828E-3</v>
      </c>
      <c r="AU36" s="32"/>
      <c r="AW36" s="16" t="s">
        <v>174</v>
      </c>
      <c r="AX36" s="32" t="e">
        <f t="shared" si="14"/>
        <v>#DIV/0!</v>
      </c>
      <c r="AY36" s="32" t="e">
        <f t="shared" si="15"/>
        <v>#DIV/0!</v>
      </c>
      <c r="AZ36" s="32" t="e">
        <f t="shared" si="16"/>
        <v>#DIV/0!</v>
      </c>
      <c r="BA36" s="32" t="e">
        <f t="shared" si="17"/>
        <v>#DIV/0!</v>
      </c>
      <c r="BB36" s="32" t="e">
        <f t="shared" si="18"/>
        <v>#DIV/0!</v>
      </c>
      <c r="BC36" s="32" t="e">
        <f t="shared" si="19"/>
        <v>#DIV/0!</v>
      </c>
      <c r="BD36" s="32" t="e">
        <f t="shared" si="20"/>
        <v>#DIV/0!</v>
      </c>
      <c r="BE36" s="32" t="e">
        <f t="shared" si="21"/>
        <v>#DIV/0!</v>
      </c>
      <c r="BF36" s="32" t="e">
        <f t="shared" si="22"/>
        <v>#DIV/0!</v>
      </c>
      <c r="BG36" s="32" t="e">
        <f t="shared" si="23"/>
        <v>#DIV/0!</v>
      </c>
      <c r="BH36" s="32" t="e">
        <f t="shared" si="24"/>
        <v>#DIV/0!</v>
      </c>
      <c r="BI36" s="32"/>
      <c r="BJ36" s="32"/>
      <c r="BK36" s="32"/>
    </row>
    <row r="37" spans="1:63" x14ac:dyDescent="0.2">
      <c r="A37" s="16" t="s">
        <v>175</v>
      </c>
      <c r="AD37" s="23">
        <v>0.8135953860798476</v>
      </c>
      <c r="AE37" s="23">
        <v>0.79959684192843938</v>
      </c>
      <c r="AG37" s="16" t="s">
        <v>175</v>
      </c>
      <c r="AH37" s="32">
        <f>0</f>
        <v>0</v>
      </c>
      <c r="AI37" s="32" t="e">
        <f t="shared" si="2"/>
        <v>#DIV/0!</v>
      </c>
      <c r="AJ37" s="32" t="e">
        <f t="shared" si="25"/>
        <v>#DIV/0!</v>
      </c>
      <c r="AK37" s="32" t="e">
        <f t="shared" si="26"/>
        <v>#DIV/0!</v>
      </c>
      <c r="AL37" s="32" t="e">
        <f t="shared" si="27"/>
        <v>#DIV/0!</v>
      </c>
      <c r="AM37" s="32" t="e">
        <f t="shared" si="28"/>
        <v>#DIV/0!</v>
      </c>
      <c r="AN37" s="32" t="e">
        <f t="shared" si="29"/>
        <v>#DIV/0!</v>
      </c>
      <c r="AO37" s="32" t="e">
        <f t="shared" si="30"/>
        <v>#DIV/0!</v>
      </c>
      <c r="AP37" s="32" t="e">
        <f t="shared" si="31"/>
        <v>#DIV/0!</v>
      </c>
      <c r="AQ37" s="32" t="e">
        <f t="shared" si="32"/>
        <v>#DIV/0!</v>
      </c>
      <c r="AR37" s="32" t="e">
        <f t="shared" si="33"/>
        <v>#DIV/0!</v>
      </c>
      <c r="AS37" s="32">
        <f t="shared" si="34"/>
        <v>1</v>
      </c>
      <c r="AT37" s="32">
        <f t="shared" si="35"/>
        <v>-1.750700280112041E-2</v>
      </c>
      <c r="AU37" s="32"/>
      <c r="AW37" s="16" t="s">
        <v>175</v>
      </c>
      <c r="AX37" s="32" t="e">
        <f t="shared" si="14"/>
        <v>#DIV/0!</v>
      </c>
      <c r="AY37" s="32" t="e">
        <f t="shared" si="15"/>
        <v>#DIV/0!</v>
      </c>
      <c r="AZ37" s="32" t="e">
        <f t="shared" si="16"/>
        <v>#DIV/0!</v>
      </c>
      <c r="BA37" s="32" t="e">
        <f t="shared" si="17"/>
        <v>#DIV/0!</v>
      </c>
      <c r="BB37" s="32" t="e">
        <f t="shared" si="18"/>
        <v>#DIV/0!</v>
      </c>
      <c r="BC37" s="32" t="e">
        <f t="shared" si="19"/>
        <v>#DIV/0!</v>
      </c>
      <c r="BD37" s="32" t="e">
        <f t="shared" si="20"/>
        <v>#DIV/0!</v>
      </c>
      <c r="BE37" s="32" t="e">
        <f t="shared" si="21"/>
        <v>#DIV/0!</v>
      </c>
      <c r="BF37" s="32" t="e">
        <f t="shared" si="22"/>
        <v>#DIV/0!</v>
      </c>
      <c r="BG37" s="32" t="e">
        <f t="shared" si="23"/>
        <v>#DIV/0!</v>
      </c>
      <c r="BH37" s="32" t="e">
        <f t="shared" si="24"/>
        <v>#DIV/0!</v>
      </c>
      <c r="BI37" s="32"/>
      <c r="BJ37" s="32"/>
      <c r="BK37" s="32"/>
    </row>
    <row r="38" spans="1:63" x14ac:dyDescent="0.2">
      <c r="A38" s="16" t="s">
        <v>176</v>
      </c>
      <c r="AD38" s="23">
        <v>3.2042655716023178</v>
      </c>
      <c r="AE38" s="23">
        <v>3.2250754937732089</v>
      </c>
      <c r="AG38" s="16" t="s">
        <v>176</v>
      </c>
      <c r="AH38" s="32">
        <f>0</f>
        <v>0</v>
      </c>
      <c r="AI38" s="32" t="e">
        <f t="shared" si="2"/>
        <v>#DIV/0!</v>
      </c>
      <c r="AJ38" s="32" t="e">
        <f t="shared" si="25"/>
        <v>#DIV/0!</v>
      </c>
      <c r="AK38" s="32" t="e">
        <f t="shared" si="26"/>
        <v>#DIV/0!</v>
      </c>
      <c r="AL38" s="32" t="e">
        <f t="shared" si="27"/>
        <v>#DIV/0!</v>
      </c>
      <c r="AM38" s="32" t="e">
        <f t="shared" si="28"/>
        <v>#DIV/0!</v>
      </c>
      <c r="AN38" s="32" t="e">
        <f t="shared" si="29"/>
        <v>#DIV/0!</v>
      </c>
      <c r="AO38" s="32" t="e">
        <f t="shared" si="30"/>
        <v>#DIV/0!</v>
      </c>
      <c r="AP38" s="32" t="e">
        <f t="shared" si="31"/>
        <v>#DIV/0!</v>
      </c>
      <c r="AQ38" s="32" t="e">
        <f t="shared" si="32"/>
        <v>#DIV/0!</v>
      </c>
      <c r="AR38" s="32" t="e">
        <f t="shared" si="33"/>
        <v>#DIV/0!</v>
      </c>
      <c r="AS38" s="32">
        <f t="shared" si="34"/>
        <v>1</v>
      </c>
      <c r="AT38" s="32">
        <f t="shared" si="35"/>
        <v>6.4525379982793164E-3</v>
      </c>
      <c r="AU38" s="32"/>
      <c r="AW38" s="16" t="s">
        <v>176</v>
      </c>
      <c r="AX38" s="32" t="e">
        <f t="shared" si="14"/>
        <v>#DIV/0!</v>
      </c>
      <c r="AY38" s="32" t="e">
        <f t="shared" si="15"/>
        <v>#DIV/0!</v>
      </c>
      <c r="AZ38" s="32" t="e">
        <f t="shared" si="16"/>
        <v>#DIV/0!</v>
      </c>
      <c r="BA38" s="32" t="e">
        <f t="shared" si="17"/>
        <v>#DIV/0!</v>
      </c>
      <c r="BB38" s="32" t="e">
        <f t="shared" si="18"/>
        <v>#DIV/0!</v>
      </c>
      <c r="BC38" s="32" t="e">
        <f t="shared" si="19"/>
        <v>#DIV/0!</v>
      </c>
      <c r="BD38" s="32" t="e">
        <f t="shared" si="20"/>
        <v>#DIV/0!</v>
      </c>
      <c r="BE38" s="32" t="e">
        <f t="shared" si="21"/>
        <v>#DIV/0!</v>
      </c>
      <c r="BF38" s="32" t="e">
        <f t="shared" si="22"/>
        <v>#DIV/0!</v>
      </c>
      <c r="BG38" s="32" t="e">
        <f t="shared" si="23"/>
        <v>#DIV/0!</v>
      </c>
      <c r="BH38" s="32" t="e">
        <f t="shared" si="24"/>
        <v>#DIV/0!</v>
      </c>
      <c r="BI38" s="32"/>
      <c r="BJ38" s="32"/>
      <c r="BK38" s="32"/>
    </row>
    <row r="39" spans="1:63" x14ac:dyDescent="0.2">
      <c r="A39" s="16" t="s">
        <v>178</v>
      </c>
      <c r="AD39" s="23">
        <v>33.033214932605681</v>
      </c>
      <c r="AE39" s="23">
        <v>33.260215003175645</v>
      </c>
      <c r="AG39" s="16" t="s">
        <v>178</v>
      </c>
      <c r="AH39" s="32">
        <f>0</f>
        <v>0</v>
      </c>
      <c r="AI39" s="32" t="e">
        <f t="shared" si="2"/>
        <v>#DIV/0!</v>
      </c>
      <c r="AJ39" s="32" t="e">
        <f t="shared" si="25"/>
        <v>#DIV/0!</v>
      </c>
      <c r="AK39" s="32" t="e">
        <f t="shared" si="26"/>
        <v>#DIV/0!</v>
      </c>
      <c r="AL39" s="32" t="e">
        <f t="shared" si="27"/>
        <v>#DIV/0!</v>
      </c>
      <c r="AM39" s="32" t="e">
        <f t="shared" si="28"/>
        <v>#DIV/0!</v>
      </c>
      <c r="AN39" s="32" t="e">
        <f t="shared" si="29"/>
        <v>#DIV/0!</v>
      </c>
      <c r="AO39" s="32" t="e">
        <f t="shared" si="30"/>
        <v>#DIV/0!</v>
      </c>
      <c r="AP39" s="32" t="e">
        <f t="shared" si="31"/>
        <v>#DIV/0!</v>
      </c>
      <c r="AQ39" s="32" t="e">
        <f t="shared" si="32"/>
        <v>#DIV/0!</v>
      </c>
      <c r="AR39" s="32" t="e">
        <f t="shared" si="33"/>
        <v>#DIV/0!</v>
      </c>
      <c r="AS39" s="32">
        <f t="shared" si="34"/>
        <v>1</v>
      </c>
      <c r="AT39" s="32">
        <f t="shared" si="35"/>
        <v>6.8249730360519529E-3</v>
      </c>
      <c r="AU39" s="32"/>
      <c r="AW39" s="16" t="s">
        <v>178</v>
      </c>
      <c r="AX39" s="32" t="e">
        <f t="shared" si="14"/>
        <v>#DIV/0!</v>
      </c>
      <c r="AY39" s="32" t="e">
        <f t="shared" si="15"/>
        <v>#DIV/0!</v>
      </c>
      <c r="AZ39" s="32" t="e">
        <f t="shared" si="16"/>
        <v>#DIV/0!</v>
      </c>
      <c r="BA39" s="32" t="e">
        <f t="shared" si="17"/>
        <v>#DIV/0!</v>
      </c>
      <c r="BB39" s="32" t="e">
        <f t="shared" si="18"/>
        <v>#DIV/0!</v>
      </c>
      <c r="BC39" s="32" t="e">
        <f t="shared" si="19"/>
        <v>#DIV/0!</v>
      </c>
      <c r="BD39" s="32" t="e">
        <f t="shared" si="20"/>
        <v>#DIV/0!</v>
      </c>
      <c r="BE39" s="32" t="e">
        <f t="shared" si="21"/>
        <v>#DIV/0!</v>
      </c>
      <c r="BF39" s="32" t="e">
        <f t="shared" si="22"/>
        <v>#DIV/0!</v>
      </c>
      <c r="BG39" s="32" t="e">
        <f t="shared" si="23"/>
        <v>#DIV/0!</v>
      </c>
      <c r="BH39" s="32" t="e">
        <f t="shared" si="24"/>
        <v>#DIV/0!</v>
      </c>
      <c r="BI39" s="32"/>
      <c r="BJ39" s="32"/>
      <c r="BK39" s="32"/>
    </row>
    <row r="40" spans="1:63" x14ac:dyDescent="0.2">
      <c r="A40" s="16" t="s">
        <v>177</v>
      </c>
      <c r="AD40" s="23">
        <v>19.290835614652586</v>
      </c>
      <c r="AE40" s="23">
        <v>19.142223960370224</v>
      </c>
      <c r="AG40" s="16" t="s">
        <v>177</v>
      </c>
      <c r="AH40" s="32">
        <f>0</f>
        <v>0</v>
      </c>
      <c r="AI40" s="32" t="e">
        <f t="shared" si="2"/>
        <v>#DIV/0!</v>
      </c>
      <c r="AJ40" s="32" t="e">
        <f t="shared" si="25"/>
        <v>#DIV/0!</v>
      </c>
      <c r="AK40" s="32" t="e">
        <f t="shared" si="26"/>
        <v>#DIV/0!</v>
      </c>
      <c r="AL40" s="32" t="e">
        <f t="shared" si="27"/>
        <v>#DIV/0!</v>
      </c>
      <c r="AM40" s="32" t="e">
        <f t="shared" si="28"/>
        <v>#DIV/0!</v>
      </c>
      <c r="AN40" s="32" t="e">
        <f t="shared" si="29"/>
        <v>#DIV/0!</v>
      </c>
      <c r="AO40" s="32" t="e">
        <f t="shared" si="30"/>
        <v>#DIV/0!</v>
      </c>
      <c r="AP40" s="32" t="e">
        <f t="shared" si="31"/>
        <v>#DIV/0!</v>
      </c>
      <c r="AQ40" s="32" t="e">
        <f t="shared" si="32"/>
        <v>#DIV/0!</v>
      </c>
      <c r="AR40" s="32" t="e">
        <f t="shared" si="33"/>
        <v>#DIV/0!</v>
      </c>
      <c r="AS40" s="32">
        <f t="shared" si="34"/>
        <v>1</v>
      </c>
      <c r="AT40" s="32">
        <f t="shared" si="35"/>
        <v>-7.7635521656224567E-3</v>
      </c>
      <c r="AU40" s="32"/>
      <c r="AW40" s="16" t="s">
        <v>177</v>
      </c>
      <c r="AX40" s="32" t="e">
        <f t="shared" si="14"/>
        <v>#DIV/0!</v>
      </c>
      <c r="AY40" s="32" t="e">
        <f t="shared" si="15"/>
        <v>#DIV/0!</v>
      </c>
      <c r="AZ40" s="32" t="e">
        <f t="shared" si="16"/>
        <v>#DIV/0!</v>
      </c>
      <c r="BA40" s="32" t="e">
        <f t="shared" si="17"/>
        <v>#DIV/0!</v>
      </c>
      <c r="BB40" s="32" t="e">
        <f t="shared" si="18"/>
        <v>#DIV/0!</v>
      </c>
      <c r="BC40" s="32" t="e">
        <f t="shared" si="19"/>
        <v>#DIV/0!</v>
      </c>
      <c r="BD40" s="32" t="e">
        <f t="shared" si="20"/>
        <v>#DIV/0!</v>
      </c>
      <c r="BE40" s="32" t="e">
        <f t="shared" si="21"/>
        <v>#DIV/0!</v>
      </c>
      <c r="BF40" s="32" t="e">
        <f t="shared" si="22"/>
        <v>#DIV/0!</v>
      </c>
      <c r="BG40" s="32" t="e">
        <f t="shared" si="23"/>
        <v>#DIV/0!</v>
      </c>
      <c r="BH40" s="32" t="e">
        <f t="shared" si="24"/>
        <v>#DIV/0!</v>
      </c>
      <c r="BI40" s="32"/>
      <c r="BJ40" s="32"/>
      <c r="BK40" s="32"/>
    </row>
    <row r="41" spans="1:63" x14ac:dyDescent="0.2">
      <c r="A41" s="16" t="s">
        <v>179</v>
      </c>
      <c r="AD41" s="23">
        <v>137.8451600645958</v>
      </c>
      <c r="AE41" s="23">
        <v>139.39127956682816</v>
      </c>
      <c r="AG41" s="16" t="s">
        <v>179</v>
      </c>
      <c r="AH41" s="32">
        <f>0</f>
        <v>0</v>
      </c>
      <c r="AI41" s="32" t="e">
        <f t="shared" si="2"/>
        <v>#DIV/0!</v>
      </c>
      <c r="AJ41" s="32" t="e">
        <f t="shared" si="25"/>
        <v>#DIV/0!</v>
      </c>
      <c r="AK41" s="32" t="e">
        <f t="shared" si="26"/>
        <v>#DIV/0!</v>
      </c>
      <c r="AL41" s="32" t="e">
        <f t="shared" si="27"/>
        <v>#DIV/0!</v>
      </c>
      <c r="AM41" s="32" t="e">
        <f t="shared" si="28"/>
        <v>#DIV/0!</v>
      </c>
      <c r="AN41" s="32" t="e">
        <f t="shared" si="29"/>
        <v>#DIV/0!</v>
      </c>
      <c r="AO41" s="32" t="e">
        <f t="shared" si="30"/>
        <v>#DIV/0!</v>
      </c>
      <c r="AP41" s="32" t="e">
        <f t="shared" si="31"/>
        <v>#DIV/0!</v>
      </c>
      <c r="AQ41" s="32" t="e">
        <f t="shared" si="32"/>
        <v>#DIV/0!</v>
      </c>
      <c r="AR41" s="32" t="e">
        <f t="shared" si="33"/>
        <v>#DIV/0!</v>
      </c>
      <c r="AS41" s="32">
        <f t="shared" si="34"/>
        <v>1</v>
      </c>
      <c r="AT41" s="32">
        <f t="shared" si="35"/>
        <v>1.1091938513205944E-2</v>
      </c>
      <c r="AU41" s="32"/>
      <c r="AW41" s="16" t="s">
        <v>179</v>
      </c>
      <c r="AX41" s="32" t="e">
        <f t="shared" si="14"/>
        <v>#DIV/0!</v>
      </c>
      <c r="AY41" s="32" t="e">
        <f t="shared" si="15"/>
        <v>#DIV/0!</v>
      </c>
      <c r="AZ41" s="32" t="e">
        <f t="shared" si="16"/>
        <v>#DIV/0!</v>
      </c>
      <c r="BA41" s="32" t="e">
        <f t="shared" si="17"/>
        <v>#DIV/0!</v>
      </c>
      <c r="BB41" s="32" t="e">
        <f t="shared" si="18"/>
        <v>#DIV/0!</v>
      </c>
      <c r="BC41" s="32" t="e">
        <f t="shared" si="19"/>
        <v>#DIV/0!</v>
      </c>
      <c r="BD41" s="32" t="e">
        <f t="shared" si="20"/>
        <v>#DIV/0!</v>
      </c>
      <c r="BE41" s="32" t="e">
        <f t="shared" si="21"/>
        <v>#DIV/0!</v>
      </c>
      <c r="BF41" s="32" t="e">
        <f t="shared" si="22"/>
        <v>#DIV/0!</v>
      </c>
      <c r="BG41" s="32" t="e">
        <f t="shared" si="23"/>
        <v>#DIV/0!</v>
      </c>
      <c r="BH41" s="32" t="e">
        <f t="shared" si="24"/>
        <v>#DIV/0!</v>
      </c>
      <c r="BI41" s="32"/>
      <c r="BJ41" s="32"/>
      <c r="BK41" s="32"/>
    </row>
    <row r="42" spans="1:63" x14ac:dyDescent="0.2">
      <c r="A42" s="16" t="s">
        <v>180</v>
      </c>
      <c r="AD42" s="23">
        <v>3.0021348048612375</v>
      </c>
      <c r="AE42" s="23">
        <v>2.9952213053106149</v>
      </c>
      <c r="AG42" s="16" t="s">
        <v>180</v>
      </c>
      <c r="AH42" s="32">
        <f>0</f>
        <v>0</v>
      </c>
      <c r="AI42" s="32" t="e">
        <f t="shared" si="2"/>
        <v>#DIV/0!</v>
      </c>
      <c r="AJ42" s="32" t="e">
        <f t="shared" si="25"/>
        <v>#DIV/0!</v>
      </c>
      <c r="AK42" s="32" t="e">
        <f t="shared" si="26"/>
        <v>#DIV/0!</v>
      </c>
      <c r="AL42" s="32" t="e">
        <f t="shared" si="27"/>
        <v>#DIV/0!</v>
      </c>
      <c r="AM42" s="32" t="e">
        <f t="shared" si="28"/>
        <v>#DIV/0!</v>
      </c>
      <c r="AN42" s="32" t="e">
        <f t="shared" si="29"/>
        <v>#DIV/0!</v>
      </c>
      <c r="AO42" s="32" t="e">
        <f t="shared" si="30"/>
        <v>#DIV/0!</v>
      </c>
      <c r="AP42" s="32" t="e">
        <f t="shared" si="31"/>
        <v>#DIV/0!</v>
      </c>
      <c r="AQ42" s="32" t="e">
        <f t="shared" si="32"/>
        <v>#DIV/0!</v>
      </c>
      <c r="AR42" s="32" t="e">
        <f t="shared" si="33"/>
        <v>#DIV/0!</v>
      </c>
      <c r="AS42" s="32">
        <f t="shared" si="34"/>
        <v>1</v>
      </c>
      <c r="AT42" s="32">
        <f t="shared" si="35"/>
        <v>-2.3081765405330002E-3</v>
      </c>
      <c r="AU42" s="32"/>
      <c r="AW42" s="16" t="s">
        <v>180</v>
      </c>
      <c r="AX42" s="32" t="e">
        <f t="shared" si="14"/>
        <v>#DIV/0!</v>
      </c>
      <c r="AY42" s="32" t="e">
        <f t="shared" si="15"/>
        <v>#DIV/0!</v>
      </c>
      <c r="AZ42" s="32" t="e">
        <f t="shared" si="16"/>
        <v>#DIV/0!</v>
      </c>
      <c r="BA42" s="32" t="e">
        <f t="shared" si="17"/>
        <v>#DIV/0!</v>
      </c>
      <c r="BB42" s="32" t="e">
        <f t="shared" si="18"/>
        <v>#DIV/0!</v>
      </c>
      <c r="BC42" s="32" t="e">
        <f t="shared" si="19"/>
        <v>#DIV/0!</v>
      </c>
      <c r="BD42" s="32" t="e">
        <f t="shared" si="20"/>
        <v>#DIV/0!</v>
      </c>
      <c r="BE42" s="32" t="e">
        <f t="shared" si="21"/>
        <v>#DIV/0!</v>
      </c>
      <c r="BF42" s="32" t="e">
        <f t="shared" si="22"/>
        <v>#DIV/0!</v>
      </c>
      <c r="BG42" s="32" t="e">
        <f t="shared" si="23"/>
        <v>#DIV/0!</v>
      </c>
      <c r="BH42" s="32" t="e">
        <f t="shared" si="24"/>
        <v>#DIV/0!</v>
      </c>
      <c r="BI42" s="32"/>
      <c r="BJ42" s="32"/>
      <c r="BK42" s="32"/>
    </row>
    <row r="43" spans="1:63" x14ac:dyDescent="0.2">
      <c r="A43" s="16" t="s">
        <v>181</v>
      </c>
      <c r="AD43" s="23">
        <v>2.1158822687518617</v>
      </c>
      <c r="AE43" s="23">
        <v>2.1325153469157243</v>
      </c>
      <c r="AG43" s="16" t="s">
        <v>181</v>
      </c>
      <c r="AH43" s="32">
        <f>0</f>
        <v>0</v>
      </c>
      <c r="AI43" s="32" t="e">
        <f t="shared" si="2"/>
        <v>#DIV/0!</v>
      </c>
      <c r="AJ43" s="32" t="e">
        <f t="shared" si="25"/>
        <v>#DIV/0!</v>
      </c>
      <c r="AK43" s="32" t="e">
        <f t="shared" si="26"/>
        <v>#DIV/0!</v>
      </c>
      <c r="AL43" s="32" t="e">
        <f t="shared" si="27"/>
        <v>#DIV/0!</v>
      </c>
      <c r="AM43" s="32" t="e">
        <f t="shared" si="28"/>
        <v>#DIV/0!</v>
      </c>
      <c r="AN43" s="32" t="e">
        <f t="shared" si="29"/>
        <v>#DIV/0!</v>
      </c>
      <c r="AO43" s="32" t="e">
        <f t="shared" si="30"/>
        <v>#DIV/0!</v>
      </c>
      <c r="AP43" s="32" t="e">
        <f t="shared" si="31"/>
        <v>#DIV/0!</v>
      </c>
      <c r="AQ43" s="32" t="e">
        <f t="shared" si="32"/>
        <v>#DIV/0!</v>
      </c>
      <c r="AR43" s="32" t="e">
        <f t="shared" si="33"/>
        <v>#DIV/0!</v>
      </c>
      <c r="AS43" s="32">
        <f t="shared" si="34"/>
        <v>1</v>
      </c>
      <c r="AT43" s="32">
        <f t="shared" si="35"/>
        <v>7.7997460547794793E-3</v>
      </c>
      <c r="AU43" s="32"/>
      <c r="AW43" s="16" t="s">
        <v>181</v>
      </c>
      <c r="AX43" s="32" t="e">
        <f t="shared" si="14"/>
        <v>#DIV/0!</v>
      </c>
      <c r="AY43" s="32" t="e">
        <f t="shared" si="15"/>
        <v>#DIV/0!</v>
      </c>
      <c r="AZ43" s="32" t="e">
        <f t="shared" si="16"/>
        <v>#DIV/0!</v>
      </c>
      <c r="BA43" s="32" t="e">
        <f t="shared" si="17"/>
        <v>#DIV/0!</v>
      </c>
      <c r="BB43" s="32" t="e">
        <f t="shared" si="18"/>
        <v>#DIV/0!</v>
      </c>
      <c r="BC43" s="32" t="e">
        <f t="shared" si="19"/>
        <v>#DIV/0!</v>
      </c>
      <c r="BD43" s="32" t="e">
        <f t="shared" si="20"/>
        <v>#DIV/0!</v>
      </c>
      <c r="BE43" s="32" t="e">
        <f t="shared" si="21"/>
        <v>#DIV/0!</v>
      </c>
      <c r="BF43" s="32" t="e">
        <f t="shared" si="22"/>
        <v>#DIV/0!</v>
      </c>
      <c r="BG43" s="32" t="e">
        <f t="shared" si="23"/>
        <v>#DIV/0!</v>
      </c>
      <c r="BH43" s="32" t="e">
        <f t="shared" si="24"/>
        <v>#DIV/0!</v>
      </c>
      <c r="BI43" s="32"/>
      <c r="BJ43" s="32"/>
      <c r="BK43" s="32"/>
    </row>
    <row r="44" spans="1:63" x14ac:dyDescent="0.2">
      <c r="A44" s="16" t="s">
        <v>182</v>
      </c>
      <c r="AD44" s="23">
        <v>11.428432079162851</v>
      </c>
      <c r="AE44" s="23">
        <v>11.276696056489154</v>
      </c>
      <c r="AG44" s="16" t="s">
        <v>182</v>
      </c>
      <c r="AH44" s="32">
        <f>0</f>
        <v>0</v>
      </c>
      <c r="AI44" s="32" t="e">
        <f t="shared" si="2"/>
        <v>#DIV/0!</v>
      </c>
      <c r="AJ44" s="32" t="e">
        <f t="shared" si="25"/>
        <v>#DIV/0!</v>
      </c>
      <c r="AK44" s="32" t="e">
        <f t="shared" si="26"/>
        <v>#DIV/0!</v>
      </c>
      <c r="AL44" s="32" t="e">
        <f t="shared" si="27"/>
        <v>#DIV/0!</v>
      </c>
      <c r="AM44" s="32" t="e">
        <f t="shared" si="28"/>
        <v>#DIV/0!</v>
      </c>
      <c r="AN44" s="32" t="e">
        <f t="shared" si="29"/>
        <v>#DIV/0!</v>
      </c>
      <c r="AO44" s="32" t="e">
        <f t="shared" si="30"/>
        <v>#DIV/0!</v>
      </c>
      <c r="AP44" s="32" t="e">
        <f t="shared" si="31"/>
        <v>#DIV/0!</v>
      </c>
      <c r="AQ44" s="32" t="e">
        <f t="shared" si="32"/>
        <v>#DIV/0!</v>
      </c>
      <c r="AR44" s="32" t="e">
        <f t="shared" si="33"/>
        <v>#DIV/0!</v>
      </c>
      <c r="AS44" s="32">
        <f t="shared" si="34"/>
        <v>1</v>
      </c>
      <c r="AT44" s="32">
        <f t="shared" si="35"/>
        <v>-1.3455716276611093E-2</v>
      </c>
      <c r="AU44" s="32"/>
      <c r="AW44" s="16" t="s">
        <v>182</v>
      </c>
      <c r="AX44" s="32" t="e">
        <f t="shared" si="14"/>
        <v>#DIV/0!</v>
      </c>
      <c r="AY44" s="32" t="e">
        <f t="shared" si="15"/>
        <v>#DIV/0!</v>
      </c>
      <c r="AZ44" s="32" t="e">
        <f t="shared" si="16"/>
        <v>#DIV/0!</v>
      </c>
      <c r="BA44" s="32" t="e">
        <f t="shared" si="17"/>
        <v>#DIV/0!</v>
      </c>
      <c r="BB44" s="32" t="e">
        <f t="shared" si="18"/>
        <v>#DIV/0!</v>
      </c>
      <c r="BC44" s="32" t="e">
        <f t="shared" si="19"/>
        <v>#DIV/0!</v>
      </c>
      <c r="BD44" s="32" t="e">
        <f t="shared" si="20"/>
        <v>#DIV/0!</v>
      </c>
      <c r="BE44" s="32" t="e">
        <f t="shared" si="21"/>
        <v>#DIV/0!</v>
      </c>
      <c r="BF44" s="32" t="e">
        <f t="shared" si="22"/>
        <v>#DIV/0!</v>
      </c>
      <c r="BG44" s="32" t="e">
        <f t="shared" si="23"/>
        <v>#DIV/0!</v>
      </c>
      <c r="BH44" s="32" t="e">
        <f t="shared" si="24"/>
        <v>#DIV/0!</v>
      </c>
      <c r="BI44" s="32"/>
      <c r="BJ44" s="32"/>
      <c r="BK44" s="32"/>
    </row>
    <row r="45" spans="1:63" x14ac:dyDescent="0.2">
      <c r="A45" s="16" t="s">
        <v>183</v>
      </c>
      <c r="AD45" s="23">
        <v>47.055166497792683</v>
      </c>
      <c r="AE45" s="23">
        <v>47.384545489869055</v>
      </c>
      <c r="AG45" s="16" t="s">
        <v>183</v>
      </c>
      <c r="AH45" s="32">
        <f>0</f>
        <v>0</v>
      </c>
      <c r="AI45" s="32" t="e">
        <f t="shared" si="2"/>
        <v>#DIV/0!</v>
      </c>
      <c r="AJ45" s="32" t="e">
        <f t="shared" si="25"/>
        <v>#DIV/0!</v>
      </c>
      <c r="AK45" s="32" t="e">
        <f t="shared" si="26"/>
        <v>#DIV/0!</v>
      </c>
      <c r="AL45" s="32" t="e">
        <f t="shared" si="27"/>
        <v>#DIV/0!</v>
      </c>
      <c r="AM45" s="32" t="e">
        <f t="shared" si="28"/>
        <v>#DIV/0!</v>
      </c>
      <c r="AN45" s="32" t="e">
        <f t="shared" si="29"/>
        <v>#DIV/0!</v>
      </c>
      <c r="AO45" s="32" t="e">
        <f t="shared" si="30"/>
        <v>#DIV/0!</v>
      </c>
      <c r="AP45" s="32" t="e">
        <f t="shared" si="31"/>
        <v>#DIV/0!</v>
      </c>
      <c r="AQ45" s="32" t="e">
        <f t="shared" si="32"/>
        <v>#DIV/0!</v>
      </c>
      <c r="AR45" s="32" t="e">
        <f t="shared" si="33"/>
        <v>#DIV/0!</v>
      </c>
      <c r="AS45" s="32">
        <f t="shared" si="34"/>
        <v>1</v>
      </c>
      <c r="AT45" s="32">
        <f t="shared" si="35"/>
        <v>6.951190280949167E-3</v>
      </c>
      <c r="AU45" s="32"/>
      <c r="AW45" s="16" t="s">
        <v>183</v>
      </c>
      <c r="AX45" s="32" t="e">
        <f t="shared" si="14"/>
        <v>#DIV/0!</v>
      </c>
      <c r="AY45" s="32" t="e">
        <f t="shared" si="15"/>
        <v>#DIV/0!</v>
      </c>
      <c r="AZ45" s="32" t="e">
        <f t="shared" si="16"/>
        <v>#DIV/0!</v>
      </c>
      <c r="BA45" s="32" t="e">
        <f t="shared" si="17"/>
        <v>#DIV/0!</v>
      </c>
      <c r="BB45" s="32" t="e">
        <f t="shared" si="18"/>
        <v>#DIV/0!</v>
      </c>
      <c r="BC45" s="32" t="e">
        <f t="shared" si="19"/>
        <v>#DIV/0!</v>
      </c>
      <c r="BD45" s="32" t="e">
        <f t="shared" si="20"/>
        <v>#DIV/0!</v>
      </c>
      <c r="BE45" s="32" t="e">
        <f t="shared" si="21"/>
        <v>#DIV/0!</v>
      </c>
      <c r="BF45" s="32" t="e">
        <f t="shared" si="22"/>
        <v>#DIV/0!</v>
      </c>
      <c r="BG45" s="32" t="e">
        <f t="shared" si="23"/>
        <v>#DIV/0!</v>
      </c>
      <c r="BH45" s="32" t="e">
        <f t="shared" si="24"/>
        <v>#DIV/0!</v>
      </c>
      <c r="BI45" s="32"/>
      <c r="BJ45" s="32"/>
      <c r="BK45" s="32"/>
    </row>
    <row r="46" spans="1:63" x14ac:dyDescent="0.2">
      <c r="A46" s="16" t="s">
        <v>184</v>
      </c>
      <c r="AD46" s="23">
        <v>1.0544775439555434</v>
      </c>
      <c r="AE46" s="23">
        <v>1.0522000546597432</v>
      </c>
      <c r="AG46" s="16" t="s">
        <v>184</v>
      </c>
      <c r="AH46" s="32">
        <f>0</f>
        <v>0</v>
      </c>
      <c r="AI46" s="32" t="e">
        <f t="shared" si="2"/>
        <v>#DIV/0!</v>
      </c>
      <c r="AJ46" s="32" t="e">
        <f t="shared" si="25"/>
        <v>#DIV/0!</v>
      </c>
      <c r="AK46" s="32" t="e">
        <f t="shared" si="26"/>
        <v>#DIV/0!</v>
      </c>
      <c r="AL46" s="32" t="e">
        <f t="shared" si="27"/>
        <v>#DIV/0!</v>
      </c>
      <c r="AM46" s="32" t="e">
        <f t="shared" si="28"/>
        <v>#DIV/0!</v>
      </c>
      <c r="AN46" s="32" t="e">
        <f t="shared" si="29"/>
        <v>#DIV/0!</v>
      </c>
      <c r="AO46" s="32" t="e">
        <f t="shared" si="30"/>
        <v>#DIV/0!</v>
      </c>
      <c r="AP46" s="32" t="e">
        <f t="shared" si="31"/>
        <v>#DIV/0!</v>
      </c>
      <c r="AQ46" s="32" t="e">
        <f t="shared" si="32"/>
        <v>#DIV/0!</v>
      </c>
      <c r="AR46" s="32" t="e">
        <f t="shared" si="33"/>
        <v>#DIV/0!</v>
      </c>
      <c r="AS46" s="32">
        <f t="shared" si="34"/>
        <v>1</v>
      </c>
      <c r="AT46" s="32">
        <f t="shared" si="35"/>
        <v>-2.1645021645020444E-3</v>
      </c>
      <c r="AU46" s="32"/>
      <c r="AW46" s="16" t="s">
        <v>184</v>
      </c>
      <c r="AX46" s="32" t="e">
        <f t="shared" si="14"/>
        <v>#DIV/0!</v>
      </c>
      <c r="AY46" s="32" t="e">
        <f t="shared" si="15"/>
        <v>#DIV/0!</v>
      </c>
      <c r="AZ46" s="32" t="e">
        <f t="shared" si="16"/>
        <v>#DIV/0!</v>
      </c>
      <c r="BA46" s="32" t="e">
        <f t="shared" si="17"/>
        <v>#DIV/0!</v>
      </c>
      <c r="BB46" s="32" t="e">
        <f t="shared" si="18"/>
        <v>#DIV/0!</v>
      </c>
      <c r="BC46" s="32" t="e">
        <f t="shared" si="19"/>
        <v>#DIV/0!</v>
      </c>
      <c r="BD46" s="32" t="e">
        <f t="shared" si="20"/>
        <v>#DIV/0!</v>
      </c>
      <c r="BE46" s="32" t="e">
        <f t="shared" si="21"/>
        <v>#DIV/0!</v>
      </c>
      <c r="BF46" s="32" t="e">
        <f t="shared" si="22"/>
        <v>#DIV/0!</v>
      </c>
      <c r="BG46" s="32" t="e">
        <f t="shared" si="23"/>
        <v>#DIV/0!</v>
      </c>
      <c r="BH46" s="32" t="e">
        <f t="shared" si="24"/>
        <v>#DIV/0!</v>
      </c>
      <c r="BI46" s="32"/>
      <c r="BJ46" s="32"/>
      <c r="BK46" s="32"/>
    </row>
    <row r="47" spans="1:63" x14ac:dyDescent="0.2">
      <c r="A47" s="16" t="s">
        <v>185</v>
      </c>
      <c r="AD47" s="23">
        <v>2.7673228396126044</v>
      </c>
      <c r="AE47" s="23">
        <v>2.7683741741767003</v>
      </c>
      <c r="AG47" s="16" t="s">
        <v>185</v>
      </c>
      <c r="AH47" s="32">
        <f>0</f>
        <v>0</v>
      </c>
      <c r="AI47" s="32" t="e">
        <f t="shared" si="2"/>
        <v>#DIV/0!</v>
      </c>
      <c r="AJ47" s="32" t="e">
        <f t="shared" si="25"/>
        <v>#DIV/0!</v>
      </c>
      <c r="AK47" s="32" t="e">
        <f t="shared" si="26"/>
        <v>#DIV/0!</v>
      </c>
      <c r="AL47" s="32" t="e">
        <f t="shared" si="27"/>
        <v>#DIV/0!</v>
      </c>
      <c r="AM47" s="32" t="e">
        <f t="shared" si="28"/>
        <v>#DIV/0!</v>
      </c>
      <c r="AN47" s="32" t="e">
        <f t="shared" si="29"/>
        <v>#DIV/0!</v>
      </c>
      <c r="AO47" s="32" t="e">
        <f t="shared" si="30"/>
        <v>#DIV/0!</v>
      </c>
      <c r="AP47" s="32" t="e">
        <f t="shared" si="31"/>
        <v>#DIV/0!</v>
      </c>
      <c r="AQ47" s="32" t="e">
        <f t="shared" si="32"/>
        <v>#DIV/0!</v>
      </c>
      <c r="AR47" s="32" t="e">
        <f t="shared" si="33"/>
        <v>#DIV/0!</v>
      </c>
      <c r="AS47" s="32">
        <f t="shared" si="34"/>
        <v>1</v>
      </c>
      <c r="AT47" s="32">
        <f t="shared" si="35"/>
        <v>3.7976606410459573E-4</v>
      </c>
      <c r="AU47" s="32"/>
      <c r="AW47" s="16" t="s">
        <v>185</v>
      </c>
      <c r="AX47" s="32" t="e">
        <f t="shared" si="14"/>
        <v>#DIV/0!</v>
      </c>
      <c r="AY47" s="32" t="e">
        <f t="shared" si="15"/>
        <v>#DIV/0!</v>
      </c>
      <c r="AZ47" s="32" t="e">
        <f t="shared" si="16"/>
        <v>#DIV/0!</v>
      </c>
      <c r="BA47" s="32" t="e">
        <f t="shared" si="17"/>
        <v>#DIV/0!</v>
      </c>
      <c r="BB47" s="32" t="e">
        <f t="shared" si="18"/>
        <v>#DIV/0!</v>
      </c>
      <c r="BC47" s="32" t="e">
        <f t="shared" si="19"/>
        <v>#DIV/0!</v>
      </c>
      <c r="BD47" s="32" t="e">
        <f t="shared" si="20"/>
        <v>#DIV/0!</v>
      </c>
      <c r="BE47" s="32" t="e">
        <f t="shared" si="21"/>
        <v>#DIV/0!</v>
      </c>
      <c r="BF47" s="32" t="e">
        <f t="shared" si="22"/>
        <v>#DIV/0!</v>
      </c>
      <c r="BG47" s="32" t="e">
        <f t="shared" si="23"/>
        <v>#DIV/0!</v>
      </c>
      <c r="BH47" s="32" t="e">
        <f t="shared" si="24"/>
        <v>#DIV/0!</v>
      </c>
      <c r="BI47" s="32"/>
      <c r="BJ47" s="32"/>
      <c r="BK47" s="32"/>
    </row>
    <row r="48" spans="1:63" x14ac:dyDescent="0.2">
      <c r="A48" s="16" t="s">
        <v>186</v>
      </c>
      <c r="AD48" s="23">
        <v>12.89321151390117</v>
      </c>
      <c r="AE48" s="23">
        <v>12.999312309657137</v>
      </c>
      <c r="AG48" s="16" t="s">
        <v>186</v>
      </c>
      <c r="AH48" s="32">
        <f>0</f>
        <v>0</v>
      </c>
      <c r="AI48" s="32" t="e">
        <f t="shared" si="2"/>
        <v>#DIV/0!</v>
      </c>
      <c r="AJ48" s="32" t="e">
        <f t="shared" si="25"/>
        <v>#DIV/0!</v>
      </c>
      <c r="AK48" s="32" t="e">
        <f t="shared" si="26"/>
        <v>#DIV/0!</v>
      </c>
      <c r="AL48" s="32" t="e">
        <f t="shared" si="27"/>
        <v>#DIV/0!</v>
      </c>
      <c r="AM48" s="32" t="e">
        <f t="shared" si="28"/>
        <v>#DIV/0!</v>
      </c>
      <c r="AN48" s="32" t="e">
        <f t="shared" si="29"/>
        <v>#DIV/0!</v>
      </c>
      <c r="AO48" s="32" t="e">
        <f t="shared" si="30"/>
        <v>#DIV/0!</v>
      </c>
      <c r="AP48" s="32" t="e">
        <f t="shared" si="31"/>
        <v>#DIV/0!</v>
      </c>
      <c r="AQ48" s="32" t="e">
        <f t="shared" si="32"/>
        <v>#DIV/0!</v>
      </c>
      <c r="AR48" s="32" t="e">
        <f t="shared" si="33"/>
        <v>#DIV/0!</v>
      </c>
      <c r="AS48" s="32">
        <f t="shared" si="34"/>
        <v>1</v>
      </c>
      <c r="AT48" s="32">
        <f t="shared" si="35"/>
        <v>8.1620314389358566E-3</v>
      </c>
      <c r="AU48" s="32"/>
      <c r="AW48" s="16" t="s">
        <v>186</v>
      </c>
      <c r="AX48" s="32" t="e">
        <f t="shared" si="14"/>
        <v>#DIV/0!</v>
      </c>
      <c r="AY48" s="32" t="e">
        <f t="shared" si="15"/>
        <v>#DIV/0!</v>
      </c>
      <c r="AZ48" s="32" t="e">
        <f t="shared" si="16"/>
        <v>#DIV/0!</v>
      </c>
      <c r="BA48" s="32" t="e">
        <f t="shared" si="17"/>
        <v>#DIV/0!</v>
      </c>
      <c r="BB48" s="32" t="e">
        <f t="shared" si="18"/>
        <v>#DIV/0!</v>
      </c>
      <c r="BC48" s="32" t="e">
        <f t="shared" si="19"/>
        <v>#DIV/0!</v>
      </c>
      <c r="BD48" s="32" t="e">
        <f t="shared" si="20"/>
        <v>#DIV/0!</v>
      </c>
      <c r="BE48" s="32" t="e">
        <f t="shared" si="21"/>
        <v>#DIV/0!</v>
      </c>
      <c r="BF48" s="32" t="e">
        <f t="shared" si="22"/>
        <v>#DIV/0!</v>
      </c>
      <c r="BG48" s="32" t="e">
        <f t="shared" si="23"/>
        <v>#DIV/0!</v>
      </c>
      <c r="BH48" s="32" t="e">
        <f t="shared" si="24"/>
        <v>#DIV/0!</v>
      </c>
      <c r="BI48" s="32"/>
      <c r="BJ48" s="32"/>
      <c r="BK48" s="32"/>
    </row>
    <row r="49" spans="1:63" x14ac:dyDescent="0.2">
      <c r="A49" s="16" t="s">
        <v>187</v>
      </c>
      <c r="AD49" s="23">
        <v>19.245647538538929</v>
      </c>
      <c r="AE49" s="23">
        <v>19.497157712459327</v>
      </c>
      <c r="AG49" s="16" t="s">
        <v>187</v>
      </c>
      <c r="AH49" s="32">
        <f>0</f>
        <v>0</v>
      </c>
      <c r="AI49" s="32" t="e">
        <f t="shared" si="2"/>
        <v>#DIV/0!</v>
      </c>
      <c r="AJ49" s="32" t="e">
        <f t="shared" si="25"/>
        <v>#DIV/0!</v>
      </c>
      <c r="AK49" s="32" t="e">
        <f t="shared" si="26"/>
        <v>#DIV/0!</v>
      </c>
      <c r="AL49" s="32" t="e">
        <f t="shared" si="27"/>
        <v>#DIV/0!</v>
      </c>
      <c r="AM49" s="32" t="e">
        <f t="shared" si="28"/>
        <v>#DIV/0!</v>
      </c>
      <c r="AN49" s="32" t="e">
        <f t="shared" si="29"/>
        <v>#DIV/0!</v>
      </c>
      <c r="AO49" s="32" t="e">
        <f t="shared" si="30"/>
        <v>#DIV/0!</v>
      </c>
      <c r="AP49" s="32" t="e">
        <f t="shared" si="31"/>
        <v>#DIV/0!</v>
      </c>
      <c r="AQ49" s="32" t="e">
        <f t="shared" si="32"/>
        <v>#DIV/0!</v>
      </c>
      <c r="AR49" s="32" t="e">
        <f t="shared" si="33"/>
        <v>#DIV/0!</v>
      </c>
      <c r="AS49" s="32">
        <f t="shared" si="34"/>
        <v>1</v>
      </c>
      <c r="AT49" s="32">
        <f t="shared" si="35"/>
        <v>1.2899837895842349E-2</v>
      </c>
      <c r="AU49" s="32"/>
      <c r="AW49" s="16" t="s">
        <v>187</v>
      </c>
      <c r="AX49" s="32" t="e">
        <f t="shared" si="14"/>
        <v>#DIV/0!</v>
      </c>
      <c r="AY49" s="32" t="e">
        <f t="shared" si="15"/>
        <v>#DIV/0!</v>
      </c>
      <c r="AZ49" s="32" t="e">
        <f t="shared" si="16"/>
        <v>#DIV/0!</v>
      </c>
      <c r="BA49" s="32" t="e">
        <f t="shared" si="17"/>
        <v>#DIV/0!</v>
      </c>
      <c r="BB49" s="32" t="e">
        <f t="shared" si="18"/>
        <v>#DIV/0!</v>
      </c>
      <c r="BC49" s="32" t="e">
        <f t="shared" si="19"/>
        <v>#DIV/0!</v>
      </c>
      <c r="BD49" s="32" t="e">
        <f t="shared" si="20"/>
        <v>#DIV/0!</v>
      </c>
      <c r="BE49" s="32" t="e">
        <f t="shared" si="21"/>
        <v>#DIV/0!</v>
      </c>
      <c r="BF49" s="32" t="e">
        <f t="shared" si="22"/>
        <v>#DIV/0!</v>
      </c>
      <c r="BG49" s="32" t="e">
        <f t="shared" si="23"/>
        <v>#DIV/0!</v>
      </c>
      <c r="BH49" s="32" t="e">
        <f t="shared" si="24"/>
        <v>#DIV/0!</v>
      </c>
      <c r="BI49" s="32"/>
      <c r="BJ49" s="32"/>
      <c r="BK49" s="32"/>
    </row>
    <row r="50" spans="1:63" x14ac:dyDescent="0.2">
      <c r="A50" s="16" t="s">
        <v>188</v>
      </c>
      <c r="AD50" s="23">
        <v>22.422574835952176</v>
      </c>
      <c r="AE50" s="23">
        <v>22.642851070078759</v>
      </c>
      <c r="AG50" s="16" t="s">
        <v>188</v>
      </c>
      <c r="AH50" s="32">
        <f>0</f>
        <v>0</v>
      </c>
      <c r="AI50" s="32" t="e">
        <f t="shared" si="2"/>
        <v>#DIV/0!</v>
      </c>
      <c r="AJ50" s="32" t="e">
        <f t="shared" si="25"/>
        <v>#DIV/0!</v>
      </c>
      <c r="AK50" s="32" t="e">
        <f t="shared" si="26"/>
        <v>#DIV/0!</v>
      </c>
      <c r="AL50" s="32" t="e">
        <f t="shared" si="27"/>
        <v>#DIV/0!</v>
      </c>
      <c r="AM50" s="32" t="e">
        <f t="shared" si="28"/>
        <v>#DIV/0!</v>
      </c>
      <c r="AN50" s="32" t="e">
        <f t="shared" si="29"/>
        <v>#DIV/0!</v>
      </c>
      <c r="AO50" s="32" t="e">
        <f t="shared" si="30"/>
        <v>#DIV/0!</v>
      </c>
      <c r="AP50" s="32" t="e">
        <f t="shared" si="31"/>
        <v>#DIV/0!</v>
      </c>
      <c r="AQ50" s="32" t="e">
        <f t="shared" si="32"/>
        <v>#DIV/0!</v>
      </c>
      <c r="AR50" s="32" t="e">
        <f t="shared" si="33"/>
        <v>#DIV/0!</v>
      </c>
      <c r="AS50" s="32">
        <f t="shared" si="34"/>
        <v>1</v>
      </c>
      <c r="AT50" s="32">
        <f t="shared" si="35"/>
        <v>9.7282905516110421E-3</v>
      </c>
      <c r="AU50" s="32"/>
      <c r="AW50" s="16" t="s">
        <v>188</v>
      </c>
      <c r="AX50" s="32" t="e">
        <f t="shared" si="14"/>
        <v>#DIV/0!</v>
      </c>
      <c r="AY50" s="32" t="e">
        <f t="shared" si="15"/>
        <v>#DIV/0!</v>
      </c>
      <c r="AZ50" s="32" t="e">
        <f t="shared" si="16"/>
        <v>#DIV/0!</v>
      </c>
      <c r="BA50" s="32" t="e">
        <f t="shared" si="17"/>
        <v>#DIV/0!</v>
      </c>
      <c r="BB50" s="32" t="e">
        <f t="shared" si="18"/>
        <v>#DIV/0!</v>
      </c>
      <c r="BC50" s="32" t="e">
        <f t="shared" si="19"/>
        <v>#DIV/0!</v>
      </c>
      <c r="BD50" s="32" t="e">
        <f t="shared" si="20"/>
        <v>#DIV/0!</v>
      </c>
      <c r="BE50" s="32" t="e">
        <f t="shared" si="21"/>
        <v>#DIV/0!</v>
      </c>
      <c r="BF50" s="32" t="e">
        <f t="shared" si="22"/>
        <v>#DIV/0!</v>
      </c>
      <c r="BG50" s="32" t="e">
        <f t="shared" si="23"/>
        <v>#DIV/0!</v>
      </c>
      <c r="BH50" s="32" t="e">
        <f t="shared" si="24"/>
        <v>#DIV/0!</v>
      </c>
      <c r="BI50" s="32"/>
      <c r="BJ50" s="32"/>
      <c r="BK50" s="32"/>
    </row>
    <row r="51" spans="1:63" x14ac:dyDescent="0.2">
      <c r="A51" s="16" t="s">
        <v>189</v>
      </c>
      <c r="AD51" s="23">
        <v>14.611962198065726</v>
      </c>
      <c r="AE51" s="23">
        <v>14.431314390293926</v>
      </c>
      <c r="AG51" s="16" t="s">
        <v>189</v>
      </c>
      <c r="AH51" s="32">
        <f>0</f>
        <v>0</v>
      </c>
      <c r="AI51" s="32" t="e">
        <f t="shared" si="2"/>
        <v>#DIV/0!</v>
      </c>
      <c r="AJ51" s="32" t="e">
        <f t="shared" si="25"/>
        <v>#DIV/0!</v>
      </c>
      <c r="AK51" s="32" t="e">
        <f t="shared" si="26"/>
        <v>#DIV/0!</v>
      </c>
      <c r="AL51" s="32" t="e">
        <f t="shared" si="27"/>
        <v>#DIV/0!</v>
      </c>
      <c r="AM51" s="32" t="e">
        <f t="shared" si="28"/>
        <v>#DIV/0!</v>
      </c>
      <c r="AN51" s="32" t="e">
        <f t="shared" si="29"/>
        <v>#DIV/0!</v>
      </c>
      <c r="AO51" s="32" t="e">
        <f t="shared" si="30"/>
        <v>#DIV/0!</v>
      </c>
      <c r="AP51" s="32" t="e">
        <f t="shared" si="31"/>
        <v>#DIV/0!</v>
      </c>
      <c r="AQ51" s="32" t="e">
        <f t="shared" si="32"/>
        <v>#DIV/0!</v>
      </c>
      <c r="AR51" s="32" t="e">
        <f t="shared" si="33"/>
        <v>#DIV/0!</v>
      </c>
      <c r="AS51" s="32">
        <f t="shared" si="34"/>
        <v>1</v>
      </c>
      <c r="AT51" s="32">
        <f t="shared" si="35"/>
        <v>-1.2517765387558772E-2</v>
      </c>
      <c r="AU51" s="32"/>
      <c r="AW51" s="16" t="s">
        <v>189</v>
      </c>
      <c r="AX51" s="32" t="e">
        <f t="shared" si="14"/>
        <v>#DIV/0!</v>
      </c>
      <c r="AY51" s="32" t="e">
        <f t="shared" si="15"/>
        <v>#DIV/0!</v>
      </c>
      <c r="AZ51" s="32" t="e">
        <f t="shared" si="16"/>
        <v>#DIV/0!</v>
      </c>
      <c r="BA51" s="32" t="e">
        <f t="shared" si="17"/>
        <v>#DIV/0!</v>
      </c>
      <c r="BB51" s="32" t="e">
        <f t="shared" si="18"/>
        <v>#DIV/0!</v>
      </c>
      <c r="BC51" s="32" t="e">
        <f t="shared" si="19"/>
        <v>#DIV/0!</v>
      </c>
      <c r="BD51" s="32" t="e">
        <f t="shared" si="20"/>
        <v>#DIV/0!</v>
      </c>
      <c r="BE51" s="32" t="e">
        <f t="shared" si="21"/>
        <v>#DIV/0!</v>
      </c>
      <c r="BF51" s="32" t="e">
        <f t="shared" si="22"/>
        <v>#DIV/0!</v>
      </c>
      <c r="BG51" s="32" t="e">
        <f t="shared" si="23"/>
        <v>#DIV/0!</v>
      </c>
      <c r="BH51" s="32" t="e">
        <f t="shared" si="24"/>
        <v>#DIV/0!</v>
      </c>
      <c r="BI51" s="32"/>
      <c r="BJ51" s="32"/>
      <c r="BK51" s="32"/>
    </row>
    <row r="52" spans="1:63" x14ac:dyDescent="0.2">
      <c r="A52" s="16" t="s">
        <v>190</v>
      </c>
      <c r="AD52" s="23">
        <v>9.3140328231606127</v>
      </c>
      <c r="AE52" s="23">
        <v>9.3822607412871104</v>
      </c>
      <c r="AG52" s="16" t="s">
        <v>190</v>
      </c>
      <c r="AH52" s="32">
        <f>0</f>
        <v>0</v>
      </c>
      <c r="AI52" s="32" t="e">
        <f t="shared" si="2"/>
        <v>#DIV/0!</v>
      </c>
      <c r="AJ52" s="32" t="e">
        <f t="shared" si="25"/>
        <v>#DIV/0!</v>
      </c>
      <c r="AK52" s="32" t="e">
        <f t="shared" si="26"/>
        <v>#DIV/0!</v>
      </c>
      <c r="AL52" s="32" t="e">
        <f t="shared" si="27"/>
        <v>#DIV/0!</v>
      </c>
      <c r="AM52" s="32" t="e">
        <f t="shared" si="28"/>
        <v>#DIV/0!</v>
      </c>
      <c r="AN52" s="32" t="e">
        <f t="shared" si="29"/>
        <v>#DIV/0!</v>
      </c>
      <c r="AO52" s="32" t="e">
        <f t="shared" si="30"/>
        <v>#DIV/0!</v>
      </c>
      <c r="AP52" s="32" t="e">
        <f t="shared" si="31"/>
        <v>#DIV/0!</v>
      </c>
      <c r="AQ52" s="32" t="e">
        <f t="shared" si="32"/>
        <v>#DIV/0!</v>
      </c>
      <c r="AR52" s="32" t="e">
        <f t="shared" si="33"/>
        <v>#DIV/0!</v>
      </c>
      <c r="AS52" s="32">
        <f t="shared" si="34"/>
        <v>1</v>
      </c>
      <c r="AT52" s="32">
        <f t="shared" si="35"/>
        <v>7.2720125786162994E-3</v>
      </c>
      <c r="AU52" s="32"/>
      <c r="AW52" s="16" t="s">
        <v>190</v>
      </c>
      <c r="AX52" s="32" t="e">
        <f t="shared" si="14"/>
        <v>#DIV/0!</v>
      </c>
      <c r="AY52" s="32" t="e">
        <f t="shared" si="15"/>
        <v>#DIV/0!</v>
      </c>
      <c r="AZ52" s="32" t="e">
        <f t="shared" si="16"/>
        <v>#DIV/0!</v>
      </c>
      <c r="BA52" s="32" t="e">
        <f t="shared" si="17"/>
        <v>#DIV/0!</v>
      </c>
      <c r="BB52" s="32" t="e">
        <f t="shared" si="18"/>
        <v>#DIV/0!</v>
      </c>
      <c r="BC52" s="32" t="e">
        <f t="shared" si="19"/>
        <v>#DIV/0!</v>
      </c>
      <c r="BD52" s="32" t="e">
        <f t="shared" si="20"/>
        <v>#DIV/0!</v>
      </c>
      <c r="BE52" s="32" t="e">
        <f t="shared" si="21"/>
        <v>#DIV/0!</v>
      </c>
      <c r="BF52" s="32" t="e">
        <f t="shared" si="22"/>
        <v>#DIV/0!</v>
      </c>
      <c r="BG52" s="32" t="e">
        <f t="shared" si="23"/>
        <v>#DIV/0!</v>
      </c>
      <c r="BH52" s="32" t="e">
        <f t="shared" si="24"/>
        <v>#DIV/0!</v>
      </c>
      <c r="BI52" s="32"/>
      <c r="BJ52" s="32"/>
      <c r="BK52" s="32"/>
    </row>
    <row r="53" spans="1:63" x14ac:dyDescent="0.2">
      <c r="A53" s="16" t="s">
        <v>191</v>
      </c>
      <c r="AD53" s="23">
        <v>8.0272115001629434</v>
      </c>
      <c r="AE53" s="23">
        <v>8.1018937610891832</v>
      </c>
      <c r="AG53" s="16" t="s">
        <v>191</v>
      </c>
      <c r="AH53" s="32">
        <f>0</f>
        <v>0</v>
      </c>
      <c r="AI53" s="32" t="e">
        <f t="shared" si="2"/>
        <v>#DIV/0!</v>
      </c>
      <c r="AJ53" s="32" t="e">
        <f t="shared" si="25"/>
        <v>#DIV/0!</v>
      </c>
      <c r="AK53" s="32" t="e">
        <f t="shared" si="26"/>
        <v>#DIV/0!</v>
      </c>
      <c r="AL53" s="32" t="e">
        <f t="shared" si="27"/>
        <v>#DIV/0!</v>
      </c>
      <c r="AM53" s="32" t="e">
        <f t="shared" si="28"/>
        <v>#DIV/0!</v>
      </c>
      <c r="AN53" s="32" t="e">
        <f t="shared" si="29"/>
        <v>#DIV/0!</v>
      </c>
      <c r="AO53" s="32" t="e">
        <f t="shared" si="30"/>
        <v>#DIV/0!</v>
      </c>
      <c r="AP53" s="32" t="e">
        <f t="shared" si="31"/>
        <v>#DIV/0!</v>
      </c>
      <c r="AQ53" s="32" t="e">
        <f t="shared" si="32"/>
        <v>#DIV/0!</v>
      </c>
      <c r="AR53" s="32" t="e">
        <f t="shared" si="33"/>
        <v>#DIV/0!</v>
      </c>
      <c r="AS53" s="32">
        <f t="shared" si="34"/>
        <v>1</v>
      </c>
      <c r="AT53" s="32">
        <f t="shared" si="35"/>
        <v>9.2178770949719168E-3</v>
      </c>
      <c r="AU53" s="32"/>
      <c r="AW53" s="16" t="s">
        <v>191</v>
      </c>
      <c r="AX53" s="32" t="e">
        <f t="shared" si="14"/>
        <v>#DIV/0!</v>
      </c>
      <c r="AY53" s="32" t="e">
        <f t="shared" si="15"/>
        <v>#DIV/0!</v>
      </c>
      <c r="AZ53" s="32" t="e">
        <f t="shared" si="16"/>
        <v>#DIV/0!</v>
      </c>
      <c r="BA53" s="32" t="e">
        <f t="shared" si="17"/>
        <v>#DIV/0!</v>
      </c>
      <c r="BB53" s="32" t="e">
        <f t="shared" si="18"/>
        <v>#DIV/0!</v>
      </c>
      <c r="BC53" s="32" t="e">
        <f t="shared" si="19"/>
        <v>#DIV/0!</v>
      </c>
      <c r="BD53" s="32" t="e">
        <f t="shared" si="20"/>
        <v>#DIV/0!</v>
      </c>
      <c r="BE53" s="32" t="e">
        <f t="shared" si="21"/>
        <v>#DIV/0!</v>
      </c>
      <c r="BF53" s="32" t="e">
        <f t="shared" si="22"/>
        <v>#DIV/0!</v>
      </c>
      <c r="BG53" s="32" t="e">
        <f t="shared" si="23"/>
        <v>#DIV/0!</v>
      </c>
      <c r="BH53" s="32" t="e">
        <f t="shared" si="24"/>
        <v>#DIV/0!</v>
      </c>
      <c r="BI53" s="32"/>
      <c r="BJ53" s="32"/>
      <c r="BK53" s="32"/>
    </row>
    <row r="54" spans="1:63" x14ac:dyDescent="0.2">
      <c r="A54" s="16" t="s">
        <v>192</v>
      </c>
      <c r="AD54" s="23">
        <v>6.534941159378179</v>
      </c>
      <c r="AE54" s="23">
        <v>6.4434113032108096</v>
      </c>
      <c r="AG54" s="16" t="s">
        <v>192</v>
      </c>
      <c r="AH54" s="32">
        <f>0</f>
        <v>0</v>
      </c>
      <c r="AI54" s="32" t="e">
        <f t="shared" si="2"/>
        <v>#DIV/0!</v>
      </c>
      <c r="AJ54" s="32" t="e">
        <f t="shared" si="25"/>
        <v>#DIV/0!</v>
      </c>
      <c r="AK54" s="32" t="e">
        <f t="shared" si="26"/>
        <v>#DIV/0!</v>
      </c>
      <c r="AL54" s="32" t="e">
        <f t="shared" si="27"/>
        <v>#DIV/0!</v>
      </c>
      <c r="AM54" s="32" t="e">
        <f t="shared" si="28"/>
        <v>#DIV/0!</v>
      </c>
      <c r="AN54" s="32" t="e">
        <f t="shared" si="29"/>
        <v>#DIV/0!</v>
      </c>
      <c r="AO54" s="32" t="e">
        <f t="shared" si="30"/>
        <v>#DIV/0!</v>
      </c>
      <c r="AP54" s="32" t="e">
        <f t="shared" si="31"/>
        <v>#DIV/0!</v>
      </c>
      <c r="AQ54" s="32" t="e">
        <f t="shared" si="32"/>
        <v>#DIV/0!</v>
      </c>
      <c r="AR54" s="32" t="e">
        <f t="shared" si="33"/>
        <v>#DIV/0!</v>
      </c>
      <c r="AS54" s="32">
        <f t="shared" si="34"/>
        <v>1</v>
      </c>
      <c r="AT54" s="32">
        <f t="shared" si="35"/>
        <v>-1.4205186020293206E-2</v>
      </c>
      <c r="AU54" s="32"/>
      <c r="AW54" s="16" t="s">
        <v>192</v>
      </c>
      <c r="AX54" s="32" t="e">
        <f t="shared" si="14"/>
        <v>#DIV/0!</v>
      </c>
      <c r="AY54" s="32" t="e">
        <f t="shared" si="15"/>
        <v>#DIV/0!</v>
      </c>
      <c r="AZ54" s="32" t="e">
        <f t="shared" si="16"/>
        <v>#DIV/0!</v>
      </c>
      <c r="BA54" s="32" t="e">
        <f t="shared" si="17"/>
        <v>#DIV/0!</v>
      </c>
      <c r="BB54" s="32" t="e">
        <f t="shared" si="18"/>
        <v>#DIV/0!</v>
      </c>
      <c r="BC54" s="32" t="e">
        <f t="shared" si="19"/>
        <v>#DIV/0!</v>
      </c>
      <c r="BD54" s="32" t="e">
        <f t="shared" si="20"/>
        <v>#DIV/0!</v>
      </c>
      <c r="BE54" s="32" t="e">
        <f t="shared" si="21"/>
        <v>#DIV/0!</v>
      </c>
      <c r="BF54" s="32" t="e">
        <f t="shared" si="22"/>
        <v>#DIV/0!</v>
      </c>
      <c r="BG54" s="32" t="e">
        <f t="shared" si="23"/>
        <v>#DIV/0!</v>
      </c>
      <c r="BH54" s="32" t="e">
        <f t="shared" si="24"/>
        <v>#DIV/0!</v>
      </c>
      <c r="BI54" s="32"/>
      <c r="BJ54" s="32"/>
      <c r="BK54" s="32"/>
    </row>
    <row r="55" spans="1:63" x14ac:dyDescent="0.2">
      <c r="A55" s="16" t="s">
        <v>193</v>
      </c>
      <c r="AD55" s="23">
        <v>17.865350330286386</v>
      </c>
      <c r="AE55" s="23">
        <v>17.370693652936509</v>
      </c>
      <c r="AG55" s="16" t="s">
        <v>193</v>
      </c>
      <c r="AH55" s="32">
        <f>0</f>
        <v>0</v>
      </c>
      <c r="AI55" s="32" t="e">
        <f t="shared" si="2"/>
        <v>#DIV/0!</v>
      </c>
      <c r="AJ55" s="32" t="e">
        <f t="shared" si="25"/>
        <v>#DIV/0!</v>
      </c>
      <c r="AK55" s="32" t="e">
        <f t="shared" si="26"/>
        <v>#DIV/0!</v>
      </c>
      <c r="AL55" s="32" t="e">
        <f t="shared" si="27"/>
        <v>#DIV/0!</v>
      </c>
      <c r="AM55" s="32" t="e">
        <f t="shared" si="28"/>
        <v>#DIV/0!</v>
      </c>
      <c r="AN55" s="32" t="e">
        <f t="shared" si="29"/>
        <v>#DIV/0!</v>
      </c>
      <c r="AO55" s="32" t="e">
        <f t="shared" si="30"/>
        <v>#DIV/0!</v>
      </c>
      <c r="AP55" s="32" t="e">
        <f t="shared" si="31"/>
        <v>#DIV/0!</v>
      </c>
      <c r="AQ55" s="32" t="e">
        <f t="shared" si="32"/>
        <v>#DIV/0!</v>
      </c>
      <c r="AR55" s="32" t="e">
        <f t="shared" si="33"/>
        <v>#DIV/0!</v>
      </c>
      <c r="AS55" s="32">
        <f t="shared" si="34"/>
        <v>1</v>
      </c>
      <c r="AT55" s="32">
        <f t="shared" si="35"/>
        <v>-2.8476506881822482E-2</v>
      </c>
      <c r="AU55" s="32"/>
      <c r="AW55" s="16" t="s">
        <v>193</v>
      </c>
      <c r="AX55" s="32" t="e">
        <f t="shared" si="14"/>
        <v>#DIV/0!</v>
      </c>
      <c r="AY55" s="32" t="e">
        <f t="shared" si="15"/>
        <v>#DIV/0!</v>
      </c>
      <c r="AZ55" s="32" t="e">
        <f t="shared" si="16"/>
        <v>#DIV/0!</v>
      </c>
      <c r="BA55" s="32" t="e">
        <f t="shared" si="17"/>
        <v>#DIV/0!</v>
      </c>
      <c r="BB55" s="32" t="e">
        <f t="shared" si="18"/>
        <v>#DIV/0!</v>
      </c>
      <c r="BC55" s="32" t="e">
        <f t="shared" si="19"/>
        <v>#DIV/0!</v>
      </c>
      <c r="BD55" s="32" t="e">
        <f t="shared" si="20"/>
        <v>#DIV/0!</v>
      </c>
      <c r="BE55" s="32" t="e">
        <f t="shared" si="21"/>
        <v>#DIV/0!</v>
      </c>
      <c r="BF55" s="32" t="e">
        <f t="shared" si="22"/>
        <v>#DIV/0!</v>
      </c>
      <c r="BG55" s="32" t="e">
        <f t="shared" si="23"/>
        <v>#DIV/0!</v>
      </c>
      <c r="BH55" s="32" t="e">
        <f t="shared" si="24"/>
        <v>#DIV/0!</v>
      </c>
      <c r="BI55" s="32"/>
      <c r="BJ55" s="32"/>
      <c r="BK55" s="32"/>
    </row>
    <row r="56" spans="1:63" x14ac:dyDescent="0.2">
      <c r="A56" s="16" t="s">
        <v>194</v>
      </c>
      <c r="AD56" s="23">
        <v>7.2840759221330158</v>
      </c>
      <c r="AE56" s="23">
        <v>7.2020275074907172</v>
      </c>
      <c r="AG56" s="16" t="s">
        <v>194</v>
      </c>
      <c r="AH56" s="32">
        <f>0</f>
        <v>0</v>
      </c>
      <c r="AI56" s="32" t="e">
        <f t="shared" si="2"/>
        <v>#DIV/0!</v>
      </c>
      <c r="AJ56" s="32" t="e">
        <f t="shared" si="25"/>
        <v>#DIV/0!</v>
      </c>
      <c r="AK56" s="32" t="e">
        <f t="shared" si="26"/>
        <v>#DIV/0!</v>
      </c>
      <c r="AL56" s="32" t="e">
        <f t="shared" si="27"/>
        <v>#DIV/0!</v>
      </c>
      <c r="AM56" s="32" t="e">
        <f t="shared" si="28"/>
        <v>#DIV/0!</v>
      </c>
      <c r="AN56" s="32" t="e">
        <f t="shared" si="29"/>
        <v>#DIV/0!</v>
      </c>
      <c r="AO56" s="32" t="e">
        <f t="shared" si="30"/>
        <v>#DIV/0!</v>
      </c>
      <c r="AP56" s="32" t="e">
        <f t="shared" si="31"/>
        <v>#DIV/0!</v>
      </c>
      <c r="AQ56" s="32" t="e">
        <f t="shared" si="32"/>
        <v>#DIV/0!</v>
      </c>
      <c r="AR56" s="32" t="e">
        <f t="shared" si="33"/>
        <v>#DIV/0!</v>
      </c>
      <c r="AS56" s="32">
        <f t="shared" si="34"/>
        <v>1</v>
      </c>
      <c r="AT56" s="32">
        <f t="shared" si="35"/>
        <v>-1.1392405063291044E-2</v>
      </c>
      <c r="AU56" s="32"/>
      <c r="AW56" s="16" t="s">
        <v>194</v>
      </c>
      <c r="AX56" s="32" t="e">
        <f t="shared" si="14"/>
        <v>#DIV/0!</v>
      </c>
      <c r="AY56" s="32" t="e">
        <f t="shared" si="15"/>
        <v>#DIV/0!</v>
      </c>
      <c r="AZ56" s="32" t="e">
        <f t="shared" si="16"/>
        <v>#DIV/0!</v>
      </c>
      <c r="BA56" s="32" t="e">
        <f t="shared" si="17"/>
        <v>#DIV/0!</v>
      </c>
      <c r="BB56" s="32" t="e">
        <f t="shared" si="18"/>
        <v>#DIV/0!</v>
      </c>
      <c r="BC56" s="32" t="e">
        <f t="shared" si="19"/>
        <v>#DIV/0!</v>
      </c>
      <c r="BD56" s="32" t="e">
        <f t="shared" si="20"/>
        <v>#DIV/0!</v>
      </c>
      <c r="BE56" s="32" t="e">
        <f t="shared" si="21"/>
        <v>#DIV/0!</v>
      </c>
      <c r="BF56" s="32" t="e">
        <f t="shared" si="22"/>
        <v>#DIV/0!</v>
      </c>
      <c r="BG56" s="32" t="e">
        <f t="shared" si="23"/>
        <v>#DIV/0!</v>
      </c>
      <c r="BH56" s="32" t="e">
        <f t="shared" si="24"/>
        <v>#DIV/0!</v>
      </c>
      <c r="BI56" s="32"/>
      <c r="BJ56" s="32"/>
      <c r="BK56" s="32"/>
    </row>
    <row r="57" spans="1:63" x14ac:dyDescent="0.2">
      <c r="A57" s="16" t="s">
        <v>195</v>
      </c>
      <c r="AD57" s="23">
        <v>70.625049545847119</v>
      </c>
      <c r="AE57" s="23">
        <v>70.671361874522802</v>
      </c>
      <c r="AG57" s="16" t="s">
        <v>195</v>
      </c>
      <c r="AH57" s="32">
        <f>0</f>
        <v>0</v>
      </c>
      <c r="AI57" s="32" t="e">
        <f t="shared" si="2"/>
        <v>#DIV/0!</v>
      </c>
      <c r="AJ57" s="32" t="e">
        <f t="shared" si="25"/>
        <v>#DIV/0!</v>
      </c>
      <c r="AK57" s="32" t="e">
        <f t="shared" si="26"/>
        <v>#DIV/0!</v>
      </c>
      <c r="AL57" s="32" t="e">
        <f t="shared" si="27"/>
        <v>#DIV/0!</v>
      </c>
      <c r="AM57" s="32" t="e">
        <f t="shared" si="28"/>
        <v>#DIV/0!</v>
      </c>
      <c r="AN57" s="32" t="e">
        <f t="shared" si="29"/>
        <v>#DIV/0!</v>
      </c>
      <c r="AO57" s="32" t="e">
        <f t="shared" si="30"/>
        <v>#DIV/0!</v>
      </c>
      <c r="AP57" s="32" t="e">
        <f t="shared" si="31"/>
        <v>#DIV/0!</v>
      </c>
      <c r="AQ57" s="32" t="e">
        <f t="shared" si="32"/>
        <v>#DIV/0!</v>
      </c>
      <c r="AR57" s="32" t="e">
        <f t="shared" si="33"/>
        <v>#DIV/0!</v>
      </c>
      <c r="AS57" s="32">
        <f t="shared" si="34"/>
        <v>1</v>
      </c>
      <c r="AT57" s="32">
        <f t="shared" si="35"/>
        <v>6.5531960114070321E-4</v>
      </c>
      <c r="AU57" s="32"/>
      <c r="AW57" s="16" t="s">
        <v>195</v>
      </c>
      <c r="AX57" s="32" t="e">
        <f t="shared" si="14"/>
        <v>#DIV/0!</v>
      </c>
      <c r="AY57" s="32" t="e">
        <f t="shared" si="15"/>
        <v>#DIV/0!</v>
      </c>
      <c r="AZ57" s="32" t="e">
        <f t="shared" si="16"/>
        <v>#DIV/0!</v>
      </c>
      <c r="BA57" s="32" t="e">
        <f t="shared" si="17"/>
        <v>#DIV/0!</v>
      </c>
      <c r="BB57" s="32" t="e">
        <f t="shared" si="18"/>
        <v>#DIV/0!</v>
      </c>
      <c r="BC57" s="32" t="e">
        <f t="shared" si="19"/>
        <v>#DIV/0!</v>
      </c>
      <c r="BD57" s="32" t="e">
        <f t="shared" si="20"/>
        <v>#DIV/0!</v>
      </c>
      <c r="BE57" s="32" t="e">
        <f t="shared" si="21"/>
        <v>#DIV/0!</v>
      </c>
      <c r="BF57" s="32" t="e">
        <f t="shared" si="22"/>
        <v>#DIV/0!</v>
      </c>
      <c r="BG57" s="32" t="e">
        <f t="shared" si="23"/>
        <v>#DIV/0!</v>
      </c>
      <c r="BH57" s="32" t="e">
        <f t="shared" si="24"/>
        <v>#DIV/0!</v>
      </c>
      <c r="BI57" s="32"/>
      <c r="BJ57" s="32"/>
      <c r="BK57" s="32"/>
    </row>
    <row r="58" spans="1:63" x14ac:dyDescent="0.2">
      <c r="A58" s="16" t="s">
        <v>196</v>
      </c>
      <c r="AD58" s="23">
        <v>1.9970615949216426</v>
      </c>
      <c r="AE58" s="23">
        <v>2.0327068042055148</v>
      </c>
      <c r="AG58" s="16" t="s">
        <v>196</v>
      </c>
      <c r="AH58" s="32">
        <f>0</f>
        <v>0</v>
      </c>
      <c r="AI58" s="32" t="e">
        <f t="shared" si="2"/>
        <v>#DIV/0!</v>
      </c>
      <c r="AJ58" s="32" t="e">
        <f t="shared" si="25"/>
        <v>#DIV/0!</v>
      </c>
      <c r="AK58" s="32" t="e">
        <f t="shared" si="26"/>
        <v>#DIV/0!</v>
      </c>
      <c r="AL58" s="32" t="e">
        <f t="shared" si="27"/>
        <v>#DIV/0!</v>
      </c>
      <c r="AM58" s="32" t="e">
        <f t="shared" si="28"/>
        <v>#DIV/0!</v>
      </c>
      <c r="AN58" s="32" t="e">
        <f t="shared" si="29"/>
        <v>#DIV/0!</v>
      </c>
      <c r="AO58" s="32" t="e">
        <f t="shared" si="30"/>
        <v>#DIV/0!</v>
      </c>
      <c r="AP58" s="32" t="e">
        <f t="shared" si="31"/>
        <v>#DIV/0!</v>
      </c>
      <c r="AQ58" s="32" t="e">
        <f t="shared" si="32"/>
        <v>#DIV/0!</v>
      </c>
      <c r="AR58" s="32" t="e">
        <f t="shared" si="33"/>
        <v>#DIV/0!</v>
      </c>
      <c r="AS58" s="32">
        <f t="shared" si="34"/>
        <v>1</v>
      </c>
      <c r="AT58" s="32">
        <f t="shared" si="35"/>
        <v>1.7535834095760858E-2</v>
      </c>
      <c r="AU58" s="32"/>
      <c r="AW58" s="16" t="s">
        <v>196</v>
      </c>
      <c r="AX58" s="32" t="e">
        <f t="shared" si="14"/>
        <v>#DIV/0!</v>
      </c>
      <c r="AY58" s="32" t="e">
        <f t="shared" si="15"/>
        <v>#DIV/0!</v>
      </c>
      <c r="AZ58" s="32" t="e">
        <f t="shared" si="16"/>
        <v>#DIV/0!</v>
      </c>
      <c r="BA58" s="32" t="e">
        <f t="shared" si="17"/>
        <v>#DIV/0!</v>
      </c>
      <c r="BB58" s="32" t="e">
        <f t="shared" si="18"/>
        <v>#DIV/0!</v>
      </c>
      <c r="BC58" s="32" t="e">
        <f t="shared" si="19"/>
        <v>#DIV/0!</v>
      </c>
      <c r="BD58" s="32" t="e">
        <f t="shared" si="20"/>
        <v>#DIV/0!</v>
      </c>
      <c r="BE58" s="32" t="e">
        <f t="shared" si="21"/>
        <v>#DIV/0!</v>
      </c>
      <c r="BF58" s="32" t="e">
        <f t="shared" si="22"/>
        <v>#DIV/0!</v>
      </c>
      <c r="BG58" s="32" t="e">
        <f t="shared" si="23"/>
        <v>#DIV/0!</v>
      </c>
      <c r="BH58" s="32" t="e">
        <f t="shared" si="24"/>
        <v>#DIV/0!</v>
      </c>
      <c r="BI58" s="32"/>
      <c r="BJ58" s="32"/>
      <c r="BK58" s="32"/>
    </row>
    <row r="59" spans="1:63" x14ac:dyDescent="0.2">
      <c r="A59" s="16" t="s">
        <v>197</v>
      </c>
      <c r="AD59" s="23">
        <v>12.489322089584929</v>
      </c>
      <c r="AE59" s="23">
        <v>12.414850509254189</v>
      </c>
      <c r="AG59" s="16" t="s">
        <v>197</v>
      </c>
      <c r="AH59" s="32">
        <f>0</f>
        <v>0</v>
      </c>
      <c r="AI59" s="32" t="e">
        <f t="shared" si="2"/>
        <v>#DIV/0!</v>
      </c>
      <c r="AJ59" s="32" t="e">
        <f t="shared" si="25"/>
        <v>#DIV/0!</v>
      </c>
      <c r="AK59" s="32" t="e">
        <f t="shared" si="26"/>
        <v>#DIV/0!</v>
      </c>
      <c r="AL59" s="32" t="e">
        <f t="shared" si="27"/>
        <v>#DIV/0!</v>
      </c>
      <c r="AM59" s="32" t="e">
        <f t="shared" si="28"/>
        <v>#DIV/0!</v>
      </c>
      <c r="AN59" s="32" t="e">
        <f t="shared" si="29"/>
        <v>#DIV/0!</v>
      </c>
      <c r="AO59" s="32" t="e">
        <f t="shared" si="30"/>
        <v>#DIV/0!</v>
      </c>
      <c r="AP59" s="32" t="e">
        <f t="shared" si="31"/>
        <v>#DIV/0!</v>
      </c>
      <c r="AQ59" s="32" t="e">
        <f t="shared" si="32"/>
        <v>#DIV/0!</v>
      </c>
      <c r="AR59" s="32" t="e">
        <f t="shared" si="33"/>
        <v>#DIV/0!</v>
      </c>
      <c r="AS59" s="32">
        <f t="shared" si="34"/>
        <v>1</v>
      </c>
      <c r="AT59" s="32">
        <f t="shared" si="35"/>
        <v>-5.9985885673958525E-3</v>
      </c>
      <c r="AU59" s="32"/>
      <c r="AW59" s="16" t="s">
        <v>197</v>
      </c>
      <c r="AX59" s="32" t="e">
        <f t="shared" si="14"/>
        <v>#DIV/0!</v>
      </c>
      <c r="AY59" s="32" t="e">
        <f t="shared" si="15"/>
        <v>#DIV/0!</v>
      </c>
      <c r="AZ59" s="32" t="e">
        <f t="shared" si="16"/>
        <v>#DIV/0!</v>
      </c>
      <c r="BA59" s="32" t="e">
        <f t="shared" si="17"/>
        <v>#DIV/0!</v>
      </c>
      <c r="BB59" s="32" t="e">
        <f t="shared" si="18"/>
        <v>#DIV/0!</v>
      </c>
      <c r="BC59" s="32" t="e">
        <f t="shared" si="19"/>
        <v>#DIV/0!</v>
      </c>
      <c r="BD59" s="32" t="e">
        <f t="shared" si="20"/>
        <v>#DIV/0!</v>
      </c>
      <c r="BE59" s="32" t="e">
        <f t="shared" si="21"/>
        <v>#DIV/0!</v>
      </c>
      <c r="BF59" s="32" t="e">
        <f t="shared" si="22"/>
        <v>#DIV/0!</v>
      </c>
      <c r="BG59" s="32" t="e">
        <f t="shared" si="23"/>
        <v>#DIV/0!</v>
      </c>
      <c r="BH59" s="32" t="e">
        <f t="shared" si="24"/>
        <v>#DIV/0!</v>
      </c>
      <c r="BI59" s="32"/>
      <c r="BJ59" s="32"/>
      <c r="BK59" s="32"/>
    </row>
    <row r="60" spans="1:63" x14ac:dyDescent="0.2">
      <c r="A60" s="16" t="s">
        <v>198</v>
      </c>
      <c r="AD60" s="23">
        <v>10.609582110909313</v>
      </c>
      <c r="AE60" s="23">
        <v>10.595188200380168</v>
      </c>
      <c r="AG60" s="16" t="s">
        <v>198</v>
      </c>
      <c r="AH60" s="32">
        <f>0</f>
        <v>0</v>
      </c>
      <c r="AI60" s="32" t="e">
        <f t="shared" si="2"/>
        <v>#DIV/0!</v>
      </c>
      <c r="AJ60" s="32" t="e">
        <f t="shared" si="25"/>
        <v>#DIV/0!</v>
      </c>
      <c r="AK60" s="32" t="e">
        <f t="shared" si="26"/>
        <v>#DIV/0!</v>
      </c>
      <c r="AL60" s="32" t="e">
        <f t="shared" si="27"/>
        <v>#DIV/0!</v>
      </c>
      <c r="AM60" s="32" t="e">
        <f t="shared" si="28"/>
        <v>#DIV/0!</v>
      </c>
      <c r="AN60" s="32" t="e">
        <f t="shared" si="29"/>
        <v>#DIV/0!</v>
      </c>
      <c r="AO60" s="32" t="e">
        <f t="shared" si="30"/>
        <v>#DIV/0!</v>
      </c>
      <c r="AP60" s="32" t="e">
        <f t="shared" si="31"/>
        <v>#DIV/0!</v>
      </c>
      <c r="AQ60" s="32" t="e">
        <f t="shared" si="32"/>
        <v>#DIV/0!</v>
      </c>
      <c r="AR60" s="32" t="e">
        <f t="shared" si="33"/>
        <v>#DIV/0!</v>
      </c>
      <c r="AS60" s="32">
        <f t="shared" si="34"/>
        <v>1</v>
      </c>
      <c r="AT60" s="32">
        <f t="shared" si="35"/>
        <v>-1.3585327845926365E-3</v>
      </c>
      <c r="AU60" s="32"/>
      <c r="AW60" s="16" t="s">
        <v>198</v>
      </c>
      <c r="AX60" s="32" t="e">
        <f t="shared" si="14"/>
        <v>#DIV/0!</v>
      </c>
      <c r="AY60" s="32" t="e">
        <f t="shared" si="15"/>
        <v>#DIV/0!</v>
      </c>
      <c r="AZ60" s="32" t="e">
        <f t="shared" si="16"/>
        <v>#DIV/0!</v>
      </c>
      <c r="BA60" s="32" t="e">
        <f t="shared" si="17"/>
        <v>#DIV/0!</v>
      </c>
      <c r="BB60" s="32" t="e">
        <f t="shared" si="18"/>
        <v>#DIV/0!</v>
      </c>
      <c r="BC60" s="32" t="e">
        <f t="shared" si="19"/>
        <v>#DIV/0!</v>
      </c>
      <c r="BD60" s="32" t="e">
        <f t="shared" si="20"/>
        <v>#DIV/0!</v>
      </c>
      <c r="BE60" s="32" t="e">
        <f t="shared" si="21"/>
        <v>#DIV/0!</v>
      </c>
      <c r="BF60" s="32" t="e">
        <f t="shared" si="22"/>
        <v>#DIV/0!</v>
      </c>
      <c r="BG60" s="32" t="e">
        <f t="shared" si="23"/>
        <v>#DIV/0!</v>
      </c>
      <c r="BH60" s="32" t="e">
        <f t="shared" si="24"/>
        <v>#DIV/0!</v>
      </c>
      <c r="BI60" s="32"/>
      <c r="BJ60" s="32"/>
      <c r="BK60" s="32"/>
    </row>
    <row r="61" spans="1:63" x14ac:dyDescent="0.2">
      <c r="A61" s="16" t="s">
        <v>199</v>
      </c>
      <c r="AD61" s="23">
        <v>2.0537698212301785</v>
      </c>
      <c r="AE61" s="23">
        <v>2.0881729118270882</v>
      </c>
      <c r="AG61" s="16" t="s">
        <v>199</v>
      </c>
      <c r="AH61" s="32">
        <f>0</f>
        <v>0</v>
      </c>
      <c r="AI61" s="32" t="e">
        <f t="shared" si="2"/>
        <v>#DIV/0!</v>
      </c>
      <c r="AJ61" s="32" t="e">
        <f t="shared" si="25"/>
        <v>#DIV/0!</v>
      </c>
      <c r="AK61" s="32" t="e">
        <f t="shared" si="26"/>
        <v>#DIV/0!</v>
      </c>
      <c r="AL61" s="32" t="e">
        <f t="shared" si="27"/>
        <v>#DIV/0!</v>
      </c>
      <c r="AM61" s="32" t="e">
        <f t="shared" si="28"/>
        <v>#DIV/0!</v>
      </c>
      <c r="AN61" s="32" t="e">
        <f t="shared" si="29"/>
        <v>#DIV/0!</v>
      </c>
      <c r="AO61" s="32" t="e">
        <f t="shared" si="30"/>
        <v>#DIV/0!</v>
      </c>
      <c r="AP61" s="32" t="e">
        <f t="shared" si="31"/>
        <v>#DIV/0!</v>
      </c>
      <c r="AQ61" s="32" t="e">
        <f t="shared" si="32"/>
        <v>#DIV/0!</v>
      </c>
      <c r="AR61" s="32" t="e">
        <f t="shared" si="33"/>
        <v>#DIV/0!</v>
      </c>
      <c r="AS61" s="32">
        <f t="shared" si="34"/>
        <v>1</v>
      </c>
      <c r="AT61" s="32">
        <f t="shared" si="35"/>
        <v>1.6475211608222639E-2</v>
      </c>
      <c r="AU61" s="32"/>
      <c r="AW61" s="16" t="s">
        <v>199</v>
      </c>
      <c r="AX61" s="32" t="e">
        <f t="shared" si="14"/>
        <v>#DIV/0!</v>
      </c>
      <c r="AY61" s="32" t="e">
        <f t="shared" si="15"/>
        <v>#DIV/0!</v>
      </c>
      <c r="AZ61" s="32" t="e">
        <f t="shared" si="16"/>
        <v>#DIV/0!</v>
      </c>
      <c r="BA61" s="32" t="e">
        <f t="shared" si="17"/>
        <v>#DIV/0!</v>
      </c>
      <c r="BB61" s="32" t="e">
        <f t="shared" si="18"/>
        <v>#DIV/0!</v>
      </c>
      <c r="BC61" s="32" t="e">
        <f t="shared" si="19"/>
        <v>#DIV/0!</v>
      </c>
      <c r="BD61" s="32" t="e">
        <f t="shared" si="20"/>
        <v>#DIV/0!</v>
      </c>
      <c r="BE61" s="32" t="e">
        <f t="shared" si="21"/>
        <v>#DIV/0!</v>
      </c>
      <c r="BF61" s="32" t="e">
        <f t="shared" si="22"/>
        <v>#DIV/0!</v>
      </c>
      <c r="BG61" s="32" t="e">
        <f t="shared" si="23"/>
        <v>#DIV/0!</v>
      </c>
      <c r="BH61" s="32" t="e">
        <f t="shared" si="24"/>
        <v>#DIV/0!</v>
      </c>
      <c r="BI61" s="32"/>
      <c r="BJ61" s="32"/>
      <c r="BK61" s="32"/>
    </row>
    <row r="62" spans="1:63" x14ac:dyDescent="0.2">
      <c r="A62" s="16" t="s">
        <v>200</v>
      </c>
      <c r="AD62" s="23">
        <v>1.9049332887734902</v>
      </c>
      <c r="AE62" s="23">
        <v>2.0591788992004934</v>
      </c>
      <c r="AG62" s="16" t="s">
        <v>200</v>
      </c>
      <c r="AH62" s="32">
        <f>0</f>
        <v>0</v>
      </c>
      <c r="AI62" s="32" t="e">
        <f t="shared" si="2"/>
        <v>#DIV/0!</v>
      </c>
      <c r="AJ62" s="32" t="e">
        <f t="shared" si="25"/>
        <v>#DIV/0!</v>
      </c>
      <c r="AK62" s="32" t="e">
        <f t="shared" si="26"/>
        <v>#DIV/0!</v>
      </c>
      <c r="AL62" s="32" t="e">
        <f t="shared" si="27"/>
        <v>#DIV/0!</v>
      </c>
      <c r="AM62" s="32" t="e">
        <f t="shared" si="28"/>
        <v>#DIV/0!</v>
      </c>
      <c r="AN62" s="32" t="e">
        <f t="shared" si="29"/>
        <v>#DIV/0!</v>
      </c>
      <c r="AO62" s="32" t="e">
        <f t="shared" si="30"/>
        <v>#DIV/0!</v>
      </c>
      <c r="AP62" s="32" t="e">
        <f t="shared" si="31"/>
        <v>#DIV/0!</v>
      </c>
      <c r="AQ62" s="32" t="e">
        <f t="shared" si="32"/>
        <v>#DIV/0!</v>
      </c>
      <c r="AR62" s="32" t="e">
        <f t="shared" si="33"/>
        <v>#DIV/0!</v>
      </c>
      <c r="AS62" s="32">
        <f t="shared" si="34"/>
        <v>1</v>
      </c>
      <c r="AT62" s="32">
        <f t="shared" si="35"/>
        <v>7.4906367041198449E-2</v>
      </c>
      <c r="AU62" s="32"/>
      <c r="AW62" s="16" t="s">
        <v>200</v>
      </c>
      <c r="AX62" s="32" t="e">
        <f t="shared" si="14"/>
        <v>#DIV/0!</v>
      </c>
      <c r="AY62" s="32" t="e">
        <f t="shared" si="15"/>
        <v>#DIV/0!</v>
      </c>
      <c r="AZ62" s="32" t="e">
        <f t="shared" si="16"/>
        <v>#DIV/0!</v>
      </c>
      <c r="BA62" s="32" t="e">
        <f t="shared" si="17"/>
        <v>#DIV/0!</v>
      </c>
      <c r="BB62" s="32" t="e">
        <f t="shared" si="18"/>
        <v>#DIV/0!</v>
      </c>
      <c r="BC62" s="32" t="e">
        <f t="shared" si="19"/>
        <v>#DIV/0!</v>
      </c>
      <c r="BD62" s="32" t="e">
        <f t="shared" si="20"/>
        <v>#DIV/0!</v>
      </c>
      <c r="BE62" s="32" t="e">
        <f t="shared" si="21"/>
        <v>#DIV/0!</v>
      </c>
      <c r="BF62" s="32" t="e">
        <f t="shared" si="22"/>
        <v>#DIV/0!</v>
      </c>
      <c r="BG62" s="32" t="e">
        <f t="shared" si="23"/>
        <v>#DIV/0!</v>
      </c>
      <c r="BH62" s="32" t="e">
        <f t="shared" si="24"/>
        <v>#DIV/0!</v>
      </c>
      <c r="BI62" s="32"/>
      <c r="BJ62" s="32"/>
      <c r="BK62" s="32"/>
    </row>
    <row r="63" spans="1:63" x14ac:dyDescent="0.2">
      <c r="A63" s="16" t="s">
        <v>201</v>
      </c>
      <c r="AD63" s="23">
        <v>6.2583284266633612</v>
      </c>
      <c r="AE63" s="23">
        <v>6.1924757507205062</v>
      </c>
      <c r="AG63" s="16" t="s">
        <v>201</v>
      </c>
      <c r="AH63" s="32">
        <f>0</f>
        <v>0</v>
      </c>
      <c r="AI63" s="32" t="e">
        <f t="shared" si="2"/>
        <v>#DIV/0!</v>
      </c>
      <c r="AJ63" s="32" t="e">
        <f t="shared" si="25"/>
        <v>#DIV/0!</v>
      </c>
      <c r="AK63" s="32" t="e">
        <f t="shared" si="26"/>
        <v>#DIV/0!</v>
      </c>
      <c r="AL63" s="32" t="e">
        <f t="shared" si="27"/>
        <v>#DIV/0!</v>
      </c>
      <c r="AM63" s="32" t="e">
        <f t="shared" si="28"/>
        <v>#DIV/0!</v>
      </c>
      <c r="AN63" s="32" t="e">
        <f t="shared" si="29"/>
        <v>#DIV/0!</v>
      </c>
      <c r="AO63" s="32" t="e">
        <f t="shared" si="30"/>
        <v>#DIV/0!</v>
      </c>
      <c r="AP63" s="32" t="e">
        <f t="shared" si="31"/>
        <v>#DIV/0!</v>
      </c>
      <c r="AQ63" s="32" t="e">
        <f t="shared" si="32"/>
        <v>#DIV/0!</v>
      </c>
      <c r="AR63" s="32" t="e">
        <f t="shared" si="33"/>
        <v>#DIV/0!</v>
      </c>
      <c r="AS63" s="32">
        <f t="shared" si="34"/>
        <v>1</v>
      </c>
      <c r="AT63" s="32">
        <f t="shared" si="35"/>
        <v>-1.0634305016889724E-2</v>
      </c>
      <c r="AU63" s="32"/>
      <c r="AW63" s="16" t="s">
        <v>201</v>
      </c>
      <c r="AX63" s="32" t="e">
        <f t="shared" si="14"/>
        <v>#DIV/0!</v>
      </c>
      <c r="AY63" s="32" t="e">
        <f t="shared" si="15"/>
        <v>#DIV/0!</v>
      </c>
      <c r="AZ63" s="32" t="e">
        <f t="shared" si="16"/>
        <v>#DIV/0!</v>
      </c>
      <c r="BA63" s="32" t="e">
        <f t="shared" si="17"/>
        <v>#DIV/0!</v>
      </c>
      <c r="BB63" s="32" t="e">
        <f t="shared" si="18"/>
        <v>#DIV/0!</v>
      </c>
      <c r="BC63" s="32" t="e">
        <f t="shared" si="19"/>
        <v>#DIV/0!</v>
      </c>
      <c r="BD63" s="32" t="e">
        <f t="shared" si="20"/>
        <v>#DIV/0!</v>
      </c>
      <c r="BE63" s="32" t="e">
        <f t="shared" si="21"/>
        <v>#DIV/0!</v>
      </c>
      <c r="BF63" s="32" t="e">
        <f t="shared" si="22"/>
        <v>#DIV/0!</v>
      </c>
      <c r="BG63" s="32" t="e">
        <f t="shared" si="23"/>
        <v>#DIV/0!</v>
      </c>
      <c r="BH63" s="32" t="e">
        <f t="shared" si="24"/>
        <v>#DIV/0!</v>
      </c>
      <c r="BI63" s="32"/>
      <c r="BJ63" s="32"/>
      <c r="BK63" s="32"/>
    </row>
    <row r="64" spans="1:63" x14ac:dyDescent="0.2">
      <c r="A64" s="16" t="s">
        <v>202</v>
      </c>
      <c r="AD64" s="23">
        <v>4.2453947488293275</v>
      </c>
      <c r="AE64" s="23">
        <v>4.185266840369513</v>
      </c>
      <c r="AG64" s="16" t="s">
        <v>202</v>
      </c>
      <c r="AH64" s="32">
        <f>0</f>
        <v>0</v>
      </c>
      <c r="AI64" s="32" t="e">
        <f t="shared" si="2"/>
        <v>#DIV/0!</v>
      </c>
      <c r="AJ64" s="32" t="e">
        <f t="shared" si="25"/>
        <v>#DIV/0!</v>
      </c>
      <c r="AK64" s="32" t="e">
        <f t="shared" si="26"/>
        <v>#DIV/0!</v>
      </c>
      <c r="AL64" s="32" t="e">
        <f t="shared" si="27"/>
        <v>#DIV/0!</v>
      </c>
      <c r="AM64" s="32" t="e">
        <f t="shared" si="28"/>
        <v>#DIV/0!</v>
      </c>
      <c r="AN64" s="32" t="e">
        <f t="shared" si="29"/>
        <v>#DIV/0!</v>
      </c>
      <c r="AO64" s="32" t="e">
        <f t="shared" si="30"/>
        <v>#DIV/0!</v>
      </c>
      <c r="AP64" s="32" t="e">
        <f t="shared" si="31"/>
        <v>#DIV/0!</v>
      </c>
      <c r="AQ64" s="32" t="e">
        <f t="shared" si="32"/>
        <v>#DIV/0!</v>
      </c>
      <c r="AR64" s="32" t="e">
        <f t="shared" si="33"/>
        <v>#DIV/0!</v>
      </c>
      <c r="AS64" s="32">
        <f t="shared" si="34"/>
        <v>1</v>
      </c>
      <c r="AT64" s="32">
        <f t="shared" si="35"/>
        <v>-1.4366565084893344E-2</v>
      </c>
      <c r="AU64" s="32"/>
      <c r="AW64" s="16" t="s">
        <v>202</v>
      </c>
      <c r="AX64" s="32" t="e">
        <f t="shared" si="14"/>
        <v>#DIV/0!</v>
      </c>
      <c r="AY64" s="32" t="e">
        <f t="shared" si="15"/>
        <v>#DIV/0!</v>
      </c>
      <c r="AZ64" s="32" t="e">
        <f t="shared" si="16"/>
        <v>#DIV/0!</v>
      </c>
      <c r="BA64" s="32" t="e">
        <f t="shared" si="17"/>
        <v>#DIV/0!</v>
      </c>
      <c r="BB64" s="32" t="e">
        <f t="shared" si="18"/>
        <v>#DIV/0!</v>
      </c>
      <c r="BC64" s="32" t="e">
        <f t="shared" si="19"/>
        <v>#DIV/0!</v>
      </c>
      <c r="BD64" s="32" t="e">
        <f t="shared" si="20"/>
        <v>#DIV/0!</v>
      </c>
      <c r="BE64" s="32" t="e">
        <f t="shared" si="21"/>
        <v>#DIV/0!</v>
      </c>
      <c r="BF64" s="32" t="e">
        <f t="shared" si="22"/>
        <v>#DIV/0!</v>
      </c>
      <c r="BG64" s="32" t="e">
        <f t="shared" si="23"/>
        <v>#DIV/0!</v>
      </c>
      <c r="BH64" s="32" t="e">
        <f t="shared" si="24"/>
        <v>#DIV/0!</v>
      </c>
      <c r="BI64" s="32"/>
      <c r="BJ64" s="32"/>
      <c r="BK64" s="32"/>
    </row>
    <row r="65" spans="1:71" x14ac:dyDescent="0.2">
      <c r="A65" s="16" t="s">
        <v>203</v>
      </c>
      <c r="AD65" s="23">
        <v>50.077554449686552</v>
      </c>
      <c r="AE65" s="23">
        <v>49.413494474245461</v>
      </c>
      <c r="AG65" s="16" t="s">
        <v>203</v>
      </c>
      <c r="AH65" s="32">
        <f>0</f>
        <v>0</v>
      </c>
      <c r="AI65" s="32" t="e">
        <f t="shared" si="2"/>
        <v>#DIV/0!</v>
      </c>
      <c r="AJ65" s="32" t="e">
        <f t="shared" si="25"/>
        <v>#DIV/0!</v>
      </c>
      <c r="AK65" s="32" t="e">
        <f t="shared" si="26"/>
        <v>#DIV/0!</v>
      </c>
      <c r="AL65" s="32" t="e">
        <f t="shared" si="27"/>
        <v>#DIV/0!</v>
      </c>
      <c r="AM65" s="32" t="e">
        <f t="shared" si="28"/>
        <v>#DIV/0!</v>
      </c>
      <c r="AN65" s="32" t="e">
        <f t="shared" si="29"/>
        <v>#DIV/0!</v>
      </c>
      <c r="AO65" s="32" t="e">
        <f t="shared" si="30"/>
        <v>#DIV/0!</v>
      </c>
      <c r="AP65" s="32" t="e">
        <f t="shared" si="31"/>
        <v>#DIV/0!</v>
      </c>
      <c r="AQ65" s="32" t="e">
        <f t="shared" si="32"/>
        <v>#DIV/0!</v>
      </c>
      <c r="AR65" s="32" t="e">
        <f t="shared" si="33"/>
        <v>#DIV/0!</v>
      </c>
      <c r="AS65" s="32">
        <f t="shared" si="34"/>
        <v>1</v>
      </c>
      <c r="AT65" s="32">
        <f t="shared" si="35"/>
        <v>-1.3438838570447644E-2</v>
      </c>
      <c r="AU65" s="32"/>
      <c r="AW65" s="16" t="s">
        <v>203</v>
      </c>
      <c r="AX65" s="32" t="e">
        <f t="shared" si="14"/>
        <v>#DIV/0!</v>
      </c>
      <c r="AY65" s="32" t="e">
        <f t="shared" si="15"/>
        <v>#DIV/0!</v>
      </c>
      <c r="AZ65" s="32" t="e">
        <f t="shared" si="16"/>
        <v>#DIV/0!</v>
      </c>
      <c r="BA65" s="32" t="e">
        <f t="shared" si="17"/>
        <v>#DIV/0!</v>
      </c>
      <c r="BB65" s="32" t="e">
        <f t="shared" si="18"/>
        <v>#DIV/0!</v>
      </c>
      <c r="BC65" s="32" t="e">
        <f t="shared" si="19"/>
        <v>#DIV/0!</v>
      </c>
      <c r="BD65" s="32" t="e">
        <f t="shared" si="20"/>
        <v>#DIV/0!</v>
      </c>
      <c r="BE65" s="32" t="e">
        <f t="shared" si="21"/>
        <v>#DIV/0!</v>
      </c>
      <c r="BF65" s="32" t="e">
        <f t="shared" si="22"/>
        <v>#DIV/0!</v>
      </c>
      <c r="BG65" s="32" t="e">
        <f t="shared" si="23"/>
        <v>#DIV/0!</v>
      </c>
      <c r="BH65" s="32" t="e">
        <f t="shared" si="24"/>
        <v>#DIV/0!</v>
      </c>
      <c r="BI65" s="32"/>
      <c r="BJ65" s="32"/>
      <c r="BK65" s="32"/>
    </row>
    <row r="66" spans="1:71" x14ac:dyDescent="0.2">
      <c r="A66" s="16" t="s">
        <v>204</v>
      </c>
      <c r="AD66" s="23">
        <v>44.661462995452752</v>
      </c>
      <c r="AE66" s="23">
        <v>44.491388878943027</v>
      </c>
      <c r="AG66" s="16" t="s">
        <v>204</v>
      </c>
      <c r="AH66" s="32">
        <f>0</f>
        <v>0</v>
      </c>
      <c r="AI66" s="32" t="e">
        <f t="shared" si="2"/>
        <v>#DIV/0!</v>
      </c>
      <c r="AJ66" s="32" t="e">
        <f t="shared" si="25"/>
        <v>#DIV/0!</v>
      </c>
      <c r="AK66" s="32" t="e">
        <f t="shared" si="26"/>
        <v>#DIV/0!</v>
      </c>
      <c r="AL66" s="32" t="e">
        <f t="shared" si="27"/>
        <v>#DIV/0!</v>
      </c>
      <c r="AM66" s="32" t="e">
        <f t="shared" si="28"/>
        <v>#DIV/0!</v>
      </c>
      <c r="AN66" s="32" t="e">
        <f t="shared" si="29"/>
        <v>#DIV/0!</v>
      </c>
      <c r="AO66" s="32" t="e">
        <f t="shared" si="30"/>
        <v>#DIV/0!</v>
      </c>
      <c r="AP66" s="32" t="e">
        <f t="shared" si="31"/>
        <v>#DIV/0!</v>
      </c>
      <c r="AQ66" s="32" t="e">
        <f t="shared" si="32"/>
        <v>#DIV/0!</v>
      </c>
      <c r="AR66" s="32" t="e">
        <f t="shared" si="33"/>
        <v>#DIV/0!</v>
      </c>
      <c r="AS66" s="32">
        <f t="shared" si="34"/>
        <v>1</v>
      </c>
      <c r="AT66" s="32">
        <f t="shared" si="35"/>
        <v>-3.82262996941903E-3</v>
      </c>
      <c r="AU66" s="32"/>
      <c r="AW66" s="16" t="s">
        <v>204</v>
      </c>
      <c r="AX66" s="32" t="e">
        <f t="shared" si="14"/>
        <v>#DIV/0!</v>
      </c>
      <c r="AY66" s="32" t="e">
        <f t="shared" si="15"/>
        <v>#DIV/0!</v>
      </c>
      <c r="AZ66" s="32" t="e">
        <f t="shared" si="16"/>
        <v>#DIV/0!</v>
      </c>
      <c r="BA66" s="32" t="e">
        <f t="shared" si="17"/>
        <v>#DIV/0!</v>
      </c>
      <c r="BB66" s="32" t="e">
        <f t="shared" si="18"/>
        <v>#DIV/0!</v>
      </c>
      <c r="BC66" s="32" t="e">
        <f t="shared" si="19"/>
        <v>#DIV/0!</v>
      </c>
      <c r="BD66" s="32" t="e">
        <f t="shared" si="20"/>
        <v>#DIV/0!</v>
      </c>
      <c r="BE66" s="32" t="e">
        <f t="shared" si="21"/>
        <v>#DIV/0!</v>
      </c>
      <c r="BF66" s="32" t="e">
        <f t="shared" si="22"/>
        <v>#DIV/0!</v>
      </c>
      <c r="BG66" s="32" t="e">
        <f t="shared" si="23"/>
        <v>#DIV/0!</v>
      </c>
      <c r="BH66" s="32" t="e">
        <f t="shared" si="24"/>
        <v>#DIV/0!</v>
      </c>
      <c r="BI66" s="32"/>
      <c r="BJ66" s="32"/>
      <c r="BK66" s="32"/>
    </row>
    <row r="67" spans="1:71" x14ac:dyDescent="0.2">
      <c r="A67" s="16" t="s">
        <v>205</v>
      </c>
      <c r="AD67" s="23">
        <v>1.9303182845138531</v>
      </c>
      <c r="AE67" s="23">
        <v>1.9164453604978398</v>
      </c>
      <c r="AG67" s="16" t="s">
        <v>205</v>
      </c>
      <c r="AH67" s="32">
        <f>0</f>
        <v>0</v>
      </c>
      <c r="AI67" s="32" t="e">
        <f t="shared" si="2"/>
        <v>#DIV/0!</v>
      </c>
      <c r="AJ67" s="32" t="e">
        <f t="shared" si="25"/>
        <v>#DIV/0!</v>
      </c>
      <c r="AK67" s="32" t="e">
        <f t="shared" si="26"/>
        <v>#DIV/0!</v>
      </c>
      <c r="AL67" s="32" t="e">
        <f t="shared" si="27"/>
        <v>#DIV/0!</v>
      </c>
      <c r="AM67" s="32" t="e">
        <f t="shared" si="28"/>
        <v>#DIV/0!</v>
      </c>
      <c r="AN67" s="32" t="e">
        <f t="shared" si="29"/>
        <v>#DIV/0!</v>
      </c>
      <c r="AO67" s="32" t="e">
        <f t="shared" si="30"/>
        <v>#DIV/0!</v>
      </c>
      <c r="AP67" s="32" t="e">
        <f t="shared" si="31"/>
        <v>#DIV/0!</v>
      </c>
      <c r="AQ67" s="32" t="e">
        <f t="shared" si="32"/>
        <v>#DIV/0!</v>
      </c>
      <c r="AR67" s="32" t="e">
        <f t="shared" si="33"/>
        <v>#DIV/0!</v>
      </c>
      <c r="AS67" s="32">
        <f t="shared" si="34"/>
        <v>1</v>
      </c>
      <c r="AT67" s="32">
        <f t="shared" si="35"/>
        <v>-7.238883143743562E-3</v>
      </c>
      <c r="AU67" s="32"/>
      <c r="AW67" s="16" t="s">
        <v>205</v>
      </c>
      <c r="AX67" s="32" t="e">
        <f t="shared" si="14"/>
        <v>#DIV/0!</v>
      </c>
      <c r="AY67" s="32" t="e">
        <f t="shared" si="15"/>
        <v>#DIV/0!</v>
      </c>
      <c r="AZ67" s="32" t="e">
        <f t="shared" si="16"/>
        <v>#DIV/0!</v>
      </c>
      <c r="BA67" s="32" t="e">
        <f t="shared" si="17"/>
        <v>#DIV/0!</v>
      </c>
      <c r="BB67" s="32" t="e">
        <f t="shared" si="18"/>
        <v>#DIV/0!</v>
      </c>
      <c r="BC67" s="32" t="e">
        <f t="shared" si="19"/>
        <v>#DIV/0!</v>
      </c>
      <c r="BD67" s="32" t="e">
        <f t="shared" si="20"/>
        <v>#DIV/0!</v>
      </c>
      <c r="BE67" s="32" t="e">
        <f t="shared" si="21"/>
        <v>#DIV/0!</v>
      </c>
      <c r="BF67" s="32" t="e">
        <f t="shared" si="22"/>
        <v>#DIV/0!</v>
      </c>
      <c r="BG67" s="32" t="e">
        <f t="shared" si="23"/>
        <v>#DIV/0!</v>
      </c>
      <c r="BH67" s="32" t="e">
        <f t="shared" si="24"/>
        <v>#DIV/0!</v>
      </c>
      <c r="BI67" s="32"/>
      <c r="BJ67" s="32"/>
      <c r="BK67" s="32"/>
    </row>
    <row r="68" spans="1:71" x14ac:dyDescent="0.2">
      <c r="A68" s="16" t="s">
        <v>206</v>
      </c>
      <c r="AD68" s="23">
        <v>84.673280449644224</v>
      </c>
      <c r="AE68" s="23">
        <v>87.249616327506828</v>
      </c>
      <c r="AG68" s="16" t="s">
        <v>206</v>
      </c>
      <c r="AH68" s="32">
        <f>0</f>
        <v>0</v>
      </c>
      <c r="AI68" s="32" t="e">
        <f t="shared" si="2"/>
        <v>#DIV/0!</v>
      </c>
      <c r="AJ68" s="32" t="e">
        <f t="shared" si="25"/>
        <v>#DIV/0!</v>
      </c>
      <c r="AK68" s="32" t="e">
        <f t="shared" si="26"/>
        <v>#DIV/0!</v>
      </c>
      <c r="AL68" s="32" t="e">
        <f t="shared" si="27"/>
        <v>#DIV/0!</v>
      </c>
      <c r="AM68" s="32" t="e">
        <f t="shared" si="28"/>
        <v>#DIV/0!</v>
      </c>
      <c r="AN68" s="32" t="e">
        <f t="shared" si="29"/>
        <v>#DIV/0!</v>
      </c>
      <c r="AO68" s="32" t="e">
        <f t="shared" si="30"/>
        <v>#DIV/0!</v>
      </c>
      <c r="AP68" s="32" t="e">
        <f t="shared" si="31"/>
        <v>#DIV/0!</v>
      </c>
      <c r="AQ68" s="32" t="e">
        <f t="shared" si="32"/>
        <v>#DIV/0!</v>
      </c>
      <c r="AR68" s="32" t="e">
        <f t="shared" si="33"/>
        <v>#DIV/0!</v>
      </c>
      <c r="AS68" s="32">
        <f t="shared" si="34"/>
        <v>1</v>
      </c>
      <c r="AT68" s="32">
        <f t="shared" si="35"/>
        <v>2.9528334751546332E-2</v>
      </c>
      <c r="AU68" s="32"/>
      <c r="AW68" s="16" t="s">
        <v>206</v>
      </c>
      <c r="AX68" s="32" t="e">
        <f t="shared" si="14"/>
        <v>#DIV/0!</v>
      </c>
      <c r="AY68" s="32" t="e">
        <f t="shared" si="15"/>
        <v>#DIV/0!</v>
      </c>
      <c r="AZ68" s="32" t="e">
        <f t="shared" si="16"/>
        <v>#DIV/0!</v>
      </c>
      <c r="BA68" s="32" t="e">
        <f t="shared" si="17"/>
        <v>#DIV/0!</v>
      </c>
      <c r="BB68" s="32" t="e">
        <f t="shared" si="18"/>
        <v>#DIV/0!</v>
      </c>
      <c r="BC68" s="32" t="e">
        <f t="shared" si="19"/>
        <v>#DIV/0!</v>
      </c>
      <c r="BD68" s="32" t="e">
        <f t="shared" si="20"/>
        <v>#DIV/0!</v>
      </c>
      <c r="BE68" s="32" t="e">
        <f t="shared" si="21"/>
        <v>#DIV/0!</v>
      </c>
      <c r="BF68" s="32" t="e">
        <f t="shared" si="22"/>
        <v>#DIV/0!</v>
      </c>
      <c r="BG68" s="32" t="e">
        <f t="shared" si="23"/>
        <v>#DIV/0!</v>
      </c>
      <c r="BH68" s="32" t="e">
        <f t="shared" si="24"/>
        <v>#DIV/0!</v>
      </c>
      <c r="BI68" s="32"/>
      <c r="BJ68" s="32"/>
      <c r="BK68" s="32"/>
    </row>
    <row r="69" spans="1:71" x14ac:dyDescent="0.2">
      <c r="A69" s="16" t="s">
        <v>207</v>
      </c>
      <c r="AD69" s="23">
        <v>4.1914070247846693</v>
      </c>
      <c r="AE69" s="23">
        <v>4.1863429003084898</v>
      </c>
      <c r="AG69" s="16" t="s">
        <v>207</v>
      </c>
      <c r="AH69" s="32">
        <f>0</f>
        <v>0</v>
      </c>
      <c r="AI69" s="32" t="e">
        <f t="shared" si="2"/>
        <v>#DIV/0!</v>
      </c>
      <c r="AJ69" s="32" t="e">
        <f t="shared" si="25"/>
        <v>#DIV/0!</v>
      </c>
      <c r="AK69" s="32" t="e">
        <f t="shared" si="26"/>
        <v>#DIV/0!</v>
      </c>
      <c r="AL69" s="32" t="e">
        <f t="shared" si="27"/>
        <v>#DIV/0!</v>
      </c>
      <c r="AM69" s="32" t="e">
        <f t="shared" si="28"/>
        <v>#DIV/0!</v>
      </c>
      <c r="AN69" s="32" t="e">
        <f t="shared" si="29"/>
        <v>#DIV/0!</v>
      </c>
      <c r="AO69" s="32" t="e">
        <f t="shared" si="30"/>
        <v>#DIV/0!</v>
      </c>
      <c r="AP69" s="32" t="e">
        <f t="shared" si="31"/>
        <v>#DIV/0!</v>
      </c>
      <c r="AQ69" s="32" t="e">
        <f t="shared" si="32"/>
        <v>#DIV/0!</v>
      </c>
      <c r="AR69" s="32" t="e">
        <f t="shared" si="33"/>
        <v>#DIV/0!</v>
      </c>
      <c r="AS69" s="32">
        <f t="shared" si="34"/>
        <v>1</v>
      </c>
      <c r="AT69" s="32">
        <f t="shared" si="35"/>
        <v>-1.2096774193548192E-3</v>
      </c>
      <c r="AU69" s="32"/>
      <c r="AW69" s="16" t="s">
        <v>207</v>
      </c>
      <c r="AX69" s="32" t="e">
        <f t="shared" si="14"/>
        <v>#DIV/0!</v>
      </c>
      <c r="AY69" s="32" t="e">
        <f t="shared" si="15"/>
        <v>#DIV/0!</v>
      </c>
      <c r="AZ69" s="32" t="e">
        <f t="shared" si="16"/>
        <v>#DIV/0!</v>
      </c>
      <c r="BA69" s="32" t="e">
        <f t="shared" si="17"/>
        <v>#DIV/0!</v>
      </c>
      <c r="BB69" s="32" t="e">
        <f t="shared" si="18"/>
        <v>#DIV/0!</v>
      </c>
      <c r="BC69" s="32" t="e">
        <f t="shared" si="19"/>
        <v>#DIV/0!</v>
      </c>
      <c r="BD69" s="32" t="e">
        <f t="shared" si="20"/>
        <v>#DIV/0!</v>
      </c>
      <c r="BE69" s="32" t="e">
        <f t="shared" si="21"/>
        <v>#DIV/0!</v>
      </c>
      <c r="BF69" s="32" t="e">
        <f t="shared" si="22"/>
        <v>#DIV/0!</v>
      </c>
      <c r="BG69" s="32" t="e">
        <f t="shared" si="23"/>
        <v>#DIV/0!</v>
      </c>
      <c r="BH69" s="32" t="e">
        <f t="shared" si="24"/>
        <v>#DIV/0!</v>
      </c>
      <c r="BI69" s="32"/>
      <c r="BJ69" s="32"/>
      <c r="BK69" s="32"/>
    </row>
    <row r="70" spans="1:71" x14ac:dyDescent="0.2">
      <c r="A70" s="16" t="s">
        <v>225</v>
      </c>
      <c r="AD70" s="20"/>
      <c r="AE70" s="20"/>
      <c r="AG70" s="19" t="s">
        <v>225</v>
      </c>
      <c r="AH70" s="31">
        <f>SUM(AH5:AH69)</f>
        <v>0</v>
      </c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4"/>
      <c r="AW70" s="19" t="s">
        <v>225</v>
      </c>
      <c r="AX70" s="31" t="e">
        <f>SUM(AX5:AX69)</f>
        <v>#DIV/0!</v>
      </c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4"/>
    </row>
    <row r="72" spans="1:71" x14ac:dyDescent="0.2">
      <c r="R72" s="16" t="s">
        <v>241</v>
      </c>
      <c r="AG72" t="s">
        <v>260</v>
      </c>
      <c r="AW72" t="s">
        <v>246</v>
      </c>
    </row>
    <row r="73" spans="1:71" x14ac:dyDescent="0.2">
      <c r="R73" s="17" t="s">
        <v>224</v>
      </c>
      <c r="S73" s="17">
        <v>2010</v>
      </c>
      <c r="T73" s="17">
        <v>2011</v>
      </c>
      <c r="U73" s="17">
        <v>2012</v>
      </c>
      <c r="V73" s="17">
        <v>2013</v>
      </c>
      <c r="W73" s="17">
        <v>2014</v>
      </c>
      <c r="X73" s="17">
        <v>2015</v>
      </c>
      <c r="Y73" s="17">
        <v>2016</v>
      </c>
      <c r="Z73" s="17">
        <v>2017</v>
      </c>
      <c r="AA73" s="17">
        <v>2018</v>
      </c>
      <c r="AB73" s="17">
        <v>2019</v>
      </c>
      <c r="AC73" s="17">
        <v>2020</v>
      </c>
      <c r="AD73" s="17">
        <v>2021</v>
      </c>
      <c r="AE73" s="17">
        <v>2022</v>
      </c>
      <c r="AG73" s="17" t="s">
        <v>224</v>
      </c>
      <c r="AH73" s="17">
        <v>2010</v>
      </c>
      <c r="AI73" s="17">
        <v>2011</v>
      </c>
      <c r="AJ73" s="17">
        <v>2012</v>
      </c>
      <c r="AK73" s="17">
        <v>2013</v>
      </c>
      <c r="AL73" s="17">
        <v>2014</v>
      </c>
      <c r="AM73" s="17">
        <v>2015</v>
      </c>
      <c r="AN73" s="17">
        <v>2016</v>
      </c>
      <c r="AO73" s="17">
        <v>2017</v>
      </c>
      <c r="AP73" s="17">
        <v>2018</v>
      </c>
      <c r="AQ73" s="17">
        <v>2019</v>
      </c>
      <c r="AR73" s="17">
        <v>2020</v>
      </c>
      <c r="AS73" s="17">
        <v>2021</v>
      </c>
      <c r="AT73" s="17">
        <v>2022</v>
      </c>
      <c r="AU73" s="33"/>
      <c r="AW73" s="17" t="s">
        <v>224</v>
      </c>
      <c r="AX73" s="17" t="s">
        <v>247</v>
      </c>
      <c r="AY73" s="17" t="s">
        <v>248</v>
      </c>
      <c r="AZ73" s="17" t="s">
        <v>249</v>
      </c>
      <c r="BA73" s="17" t="s">
        <v>250</v>
      </c>
      <c r="BB73" s="17" t="s">
        <v>251</v>
      </c>
      <c r="BC73" s="17" t="s">
        <v>252</v>
      </c>
      <c r="BD73" s="17" t="s">
        <v>253</v>
      </c>
      <c r="BE73" s="17" t="s">
        <v>257</v>
      </c>
      <c r="BF73" s="17" t="s">
        <v>254</v>
      </c>
      <c r="BG73" s="17" t="s">
        <v>255</v>
      </c>
      <c r="BH73" s="17" t="s">
        <v>256</v>
      </c>
      <c r="BI73" s="33" t="s">
        <v>276</v>
      </c>
      <c r="BJ73" s="38" t="s">
        <v>278</v>
      </c>
      <c r="BK73" s="38" t="s">
        <v>279</v>
      </c>
      <c r="BL73" s="33" t="s">
        <v>267</v>
      </c>
      <c r="BQ73" t="s">
        <v>302</v>
      </c>
      <c r="BR73" t="s">
        <v>303</v>
      </c>
      <c r="BS73" t="s">
        <v>275</v>
      </c>
    </row>
    <row r="74" spans="1:71" x14ac:dyDescent="0.2">
      <c r="R74" s="16" t="s">
        <v>144</v>
      </c>
      <c r="S74" s="26">
        <v>443711</v>
      </c>
      <c r="T74" s="26">
        <v>452181</v>
      </c>
      <c r="U74" s="26">
        <v>460468</v>
      </c>
      <c r="V74" s="26">
        <v>469878</v>
      </c>
      <c r="W74" s="26">
        <v>479901</v>
      </c>
      <c r="X74" s="26">
        <v>490351</v>
      </c>
      <c r="Y74" s="26">
        <v>497822</v>
      </c>
      <c r="Z74" s="26">
        <v>503706</v>
      </c>
      <c r="AA74" s="26">
        <v>511422</v>
      </c>
      <c r="AB74" s="26">
        <v>516482</v>
      </c>
      <c r="AC74" s="26">
        <v>520433</v>
      </c>
      <c r="AD74" s="26">
        <v>523417</v>
      </c>
      <c r="AE74" s="26">
        <v>527501</v>
      </c>
      <c r="AG74" s="16" t="s">
        <v>144</v>
      </c>
      <c r="AH74" s="29">
        <v>0</v>
      </c>
      <c r="AI74" s="29">
        <f>(T74-S74)/S74</f>
        <v>1.9089001624931542E-2</v>
      </c>
      <c r="AJ74" s="29">
        <f t="shared" ref="AJ74:AJ105" si="36">(U74-T74)/T74</f>
        <v>1.8326731994488931E-2</v>
      </c>
      <c r="AK74" s="29">
        <f t="shared" ref="AK74:AK105" si="37">(V74-U74)/U74</f>
        <v>2.0435730604515406E-2</v>
      </c>
      <c r="AL74" s="29">
        <f t="shared" ref="AL74:AL105" si="38">(W74-V74)/V74</f>
        <v>2.1331068915761111E-2</v>
      </c>
      <c r="AM74" s="29">
        <f t="shared" ref="AM74:AM105" si="39">(X74-W74)/W74</f>
        <v>2.1775324494010224E-2</v>
      </c>
      <c r="AN74" s="29">
        <f t="shared" ref="AN74:AN105" si="40">(Y74-X74)/X74</f>
        <v>1.5236024806720084E-2</v>
      </c>
      <c r="AO74" s="29">
        <f t="shared" ref="AO74:AO105" si="41">(Z74-Y74)/Y74</f>
        <v>1.1819485679620427E-2</v>
      </c>
      <c r="AP74" s="29">
        <f t="shared" ref="AP74:AP105" si="42">(AA74-Z74)/Z74</f>
        <v>1.5318459577610749E-2</v>
      </c>
      <c r="AQ74" s="29">
        <f t="shared" ref="AQ74:AQ105" si="43">(AB74-AA74)/AA74</f>
        <v>9.893981877979437E-3</v>
      </c>
      <c r="AR74" s="29">
        <f t="shared" ref="AR74:AR105" si="44">(AC74-AB74)/AB74</f>
        <v>7.6498309718441302E-3</v>
      </c>
      <c r="AS74" s="29">
        <f t="shared" ref="AS74:AS105" si="45">(AD74-AC74)/AC74</f>
        <v>5.7336871412842771E-3</v>
      </c>
      <c r="AT74" s="29">
        <f t="shared" ref="AT74:AT105" si="46">(AE74-AD74)/AD74</f>
        <v>7.8025742381313563E-3</v>
      </c>
      <c r="AU74" s="29"/>
      <c r="AW74" s="16" t="s">
        <v>144</v>
      </c>
      <c r="AX74" s="32">
        <f t="shared" ref="AX74:AX84" si="47">AVERAGE(AH74:AJ74)</f>
        <v>1.2471911206473492E-2</v>
      </c>
      <c r="AY74" s="32">
        <f t="shared" ref="AY74:AY84" si="48">AVERAGE(AI74:AK74)</f>
        <v>1.9283821407978626E-2</v>
      </c>
      <c r="AZ74" s="32">
        <f t="shared" ref="AZ74:AZ84" si="49">AVERAGE(AJ74:AL74)</f>
        <v>2.003117717158848E-2</v>
      </c>
      <c r="BA74" s="32">
        <f t="shared" ref="BA74:BA84" si="50">AVERAGE(AK74:AM74)</f>
        <v>2.1180708004762249E-2</v>
      </c>
      <c r="BB74" s="32">
        <f t="shared" ref="BB74:BB84" si="51">AVERAGE(AL74:AN74)</f>
        <v>1.9447472738830473E-2</v>
      </c>
      <c r="BC74" s="32">
        <f t="shared" ref="BC74:BC84" si="52">AVERAGE(AM74:AO74)</f>
        <v>1.6276944993450244E-2</v>
      </c>
      <c r="BD74" s="32">
        <f t="shared" ref="BD74:BD84" si="53">AVERAGE(AN74:AP74)</f>
        <v>1.4124656687983753E-2</v>
      </c>
      <c r="BE74" s="32">
        <f t="shared" ref="BE74:BE84" si="54">AVERAGE(AO74:AQ74)</f>
        <v>1.2343975711736871E-2</v>
      </c>
      <c r="BF74" s="32">
        <f t="shared" ref="BF74:BF84" si="55">AVERAGE(AP74:AR74)</f>
        <v>1.0954090809144772E-2</v>
      </c>
      <c r="BG74" s="32">
        <f t="shared" ref="BG74:BG84" si="56">AVERAGE(AQ74:AS74)</f>
        <v>7.7591666637026151E-3</v>
      </c>
      <c r="BH74" s="39">
        <f t="shared" ref="BH74:BH84" si="57">AVERAGE(AR74:AT74)</f>
        <v>7.0620307837532537E-3</v>
      </c>
      <c r="BI74" s="45">
        <f t="shared" ref="BI74:BI105" si="58">(BH74-$BO$78)/$BO$79</f>
        <v>0.2342507626087364</v>
      </c>
      <c r="BJ74" s="39" t="b">
        <f>IF(BI74&gt;1,TRUE,FALSE)</f>
        <v>0</v>
      </c>
      <c r="BK74" s="39" t="b">
        <f>IF(BI74&lt;-1,TRUE,FALSE)</f>
        <v>0</v>
      </c>
      <c r="BL74" s="40" t="str">
        <f>_xlfn.XLOOKUP(AW74,'County Population Strata'!$A$3:$A$66,'County Population Strata'!$P$3:$P$66)</f>
        <v>Medium</v>
      </c>
      <c r="BQ74" s="21">
        <f>POWER(BH74-$BO$78,2)</f>
        <v>1.0802725364653632E-5</v>
      </c>
      <c r="BR74" s="21">
        <f>SUM(BQ74:BQ138)/COUNTA(BH74:BH138)</f>
        <v>1.9401293169982504E-4</v>
      </c>
      <c r="BS74">
        <f>SQRT(BR74)</f>
        <v>1.3928852490418047E-2</v>
      </c>
    </row>
    <row r="75" spans="1:71" x14ac:dyDescent="0.2">
      <c r="R75" s="16" t="s">
        <v>145</v>
      </c>
      <c r="S75" s="26">
        <v>15474</v>
      </c>
      <c r="T75" s="26">
        <v>15528</v>
      </c>
      <c r="U75" s="26">
        <v>15604</v>
      </c>
      <c r="V75" s="26">
        <v>15709</v>
      </c>
      <c r="W75" s="26">
        <v>15788</v>
      </c>
      <c r="X75" s="26">
        <v>15885</v>
      </c>
      <c r="Y75" s="26">
        <v>15936</v>
      </c>
      <c r="Z75" s="26">
        <v>16053</v>
      </c>
      <c r="AA75" s="26">
        <v>16184</v>
      </c>
      <c r="AB75" s="26">
        <v>16247</v>
      </c>
      <c r="AC75" s="26">
        <v>16371</v>
      </c>
      <c r="AD75" s="26">
        <v>16574</v>
      </c>
      <c r="AE75" s="26">
        <v>16575</v>
      </c>
      <c r="AG75" s="16" t="s">
        <v>145</v>
      </c>
      <c r="AH75" s="29">
        <v>0</v>
      </c>
      <c r="AI75" s="29">
        <f t="shared" ref="AI75:AI105" si="59">(T75-S75)/S75</f>
        <v>3.4897246994959287E-3</v>
      </c>
      <c r="AJ75" s="29">
        <f t="shared" si="36"/>
        <v>4.8943843379701188E-3</v>
      </c>
      <c r="AK75" s="29">
        <f t="shared" si="37"/>
        <v>6.7290438349141245E-3</v>
      </c>
      <c r="AL75" s="29">
        <f t="shared" si="38"/>
        <v>5.0289642879877781E-3</v>
      </c>
      <c r="AM75" s="29">
        <f t="shared" si="39"/>
        <v>6.1439067646313654E-3</v>
      </c>
      <c r="AN75" s="29">
        <f t="shared" si="40"/>
        <v>3.2105760151085929E-3</v>
      </c>
      <c r="AO75" s="29">
        <f t="shared" si="41"/>
        <v>7.3418674698795183E-3</v>
      </c>
      <c r="AP75" s="29">
        <f t="shared" si="42"/>
        <v>8.1604684482651218E-3</v>
      </c>
      <c r="AQ75" s="29">
        <f t="shared" si="43"/>
        <v>3.8927335640138406E-3</v>
      </c>
      <c r="AR75" s="29">
        <f t="shared" si="44"/>
        <v>7.6321782482919927E-3</v>
      </c>
      <c r="AS75" s="29">
        <f t="shared" si="45"/>
        <v>1.2399975566550607E-2</v>
      </c>
      <c r="AT75" s="29">
        <f t="shared" si="46"/>
        <v>6.033546518643659E-5</v>
      </c>
      <c r="AU75" s="29"/>
      <c r="AW75" s="16" t="s">
        <v>145</v>
      </c>
      <c r="AX75" s="32">
        <f t="shared" si="47"/>
        <v>2.7947030124886828E-3</v>
      </c>
      <c r="AY75" s="32">
        <f t="shared" si="48"/>
        <v>5.037717624126724E-3</v>
      </c>
      <c r="AZ75" s="32">
        <f t="shared" si="49"/>
        <v>5.5507974869573413E-3</v>
      </c>
      <c r="BA75" s="32">
        <f t="shared" si="50"/>
        <v>5.9673049625110887E-3</v>
      </c>
      <c r="BB75" s="32">
        <f t="shared" si="51"/>
        <v>4.7944823559092449E-3</v>
      </c>
      <c r="BC75" s="32">
        <f t="shared" si="52"/>
        <v>5.5654500832064925E-3</v>
      </c>
      <c r="BD75" s="32">
        <f t="shared" si="53"/>
        <v>6.2376373110844098E-3</v>
      </c>
      <c r="BE75" s="32">
        <f t="shared" si="54"/>
        <v>6.4650231607194936E-3</v>
      </c>
      <c r="BF75" s="32">
        <f t="shared" si="55"/>
        <v>6.561793420190319E-3</v>
      </c>
      <c r="BG75" s="32">
        <f t="shared" si="56"/>
        <v>7.9749624596188121E-3</v>
      </c>
      <c r="BH75" s="41">
        <f t="shared" si="57"/>
        <v>6.6974964266763451E-3</v>
      </c>
      <c r="BI75" s="46">
        <f t="shared" si="58"/>
        <v>0.2082699451068544</v>
      </c>
      <c r="BJ75" s="41" t="b">
        <f>IF(BI75&gt;1,TRUE,FALSE)</f>
        <v>0</v>
      </c>
      <c r="BK75" s="41" t="b">
        <f>IF(BI75&lt;-1,TRUE,FALSE)</f>
        <v>0</v>
      </c>
      <c r="BL75" s="42" t="str">
        <f>_xlfn.XLOOKUP(AW75,'County Population Strata'!$A$3:$A$66,'County Population Strata'!$P$3:$P$66)</f>
        <v>Tiny</v>
      </c>
      <c r="BN75" t="s">
        <v>277</v>
      </c>
      <c r="BO75">
        <f>COUNTA(BH74:BH138)</f>
        <v>64</v>
      </c>
      <c r="BQ75" s="21">
        <f t="shared" ref="BQ75:BQ138" si="60">POWER(BH75-$BO$78,2)</f>
        <v>8.5393440878412452E-6</v>
      </c>
    </row>
    <row r="76" spans="1:71" x14ac:dyDescent="0.2">
      <c r="R76" s="16" t="s">
        <v>146</v>
      </c>
      <c r="S76" s="26">
        <v>574819</v>
      </c>
      <c r="T76" s="26">
        <v>585817</v>
      </c>
      <c r="U76" s="26">
        <v>596228</v>
      </c>
      <c r="V76" s="26">
        <v>607861</v>
      </c>
      <c r="W76" s="26">
        <v>618310</v>
      </c>
      <c r="X76" s="26">
        <v>629965</v>
      </c>
      <c r="Y76" s="26">
        <v>637656</v>
      </c>
      <c r="Z76" s="26">
        <v>642976</v>
      </c>
      <c r="AA76" s="26">
        <v>650167</v>
      </c>
      <c r="AB76" s="26">
        <v>653804</v>
      </c>
      <c r="AC76" s="26">
        <v>655212</v>
      </c>
      <c r="AD76" s="26">
        <v>656722</v>
      </c>
      <c r="AE76" s="26">
        <v>656015</v>
      </c>
      <c r="AG76" s="16" t="s">
        <v>146</v>
      </c>
      <c r="AH76" s="29">
        <v>0</v>
      </c>
      <c r="AI76" s="29">
        <f t="shared" si="59"/>
        <v>1.9132979250859834E-2</v>
      </c>
      <c r="AJ76" s="29">
        <f t="shared" si="36"/>
        <v>1.7771761488656015E-2</v>
      </c>
      <c r="AK76" s="29">
        <f t="shared" si="37"/>
        <v>1.9510992439134022E-2</v>
      </c>
      <c r="AL76" s="29">
        <f t="shared" si="38"/>
        <v>1.7189785164700482E-2</v>
      </c>
      <c r="AM76" s="29">
        <f t="shared" si="39"/>
        <v>1.8849767915770407E-2</v>
      </c>
      <c r="AN76" s="29">
        <f t="shared" si="40"/>
        <v>1.2208614764312302E-2</v>
      </c>
      <c r="AO76" s="29">
        <f t="shared" si="41"/>
        <v>8.3430564442269813E-3</v>
      </c>
      <c r="AP76" s="29">
        <f t="shared" si="42"/>
        <v>1.1183932215199322E-2</v>
      </c>
      <c r="AQ76" s="29">
        <f t="shared" si="43"/>
        <v>5.5939474012061518E-3</v>
      </c>
      <c r="AR76" s="29">
        <f t="shared" si="44"/>
        <v>2.1535506053802058E-3</v>
      </c>
      <c r="AS76" s="29">
        <f t="shared" si="45"/>
        <v>2.3045975958926272E-3</v>
      </c>
      <c r="AT76" s="29">
        <f t="shared" si="46"/>
        <v>-1.0765590310664178E-3</v>
      </c>
      <c r="AU76" s="29"/>
      <c r="AW76" s="16" t="s">
        <v>146</v>
      </c>
      <c r="AX76" s="32">
        <f t="shared" si="47"/>
        <v>1.2301580246505283E-2</v>
      </c>
      <c r="AY76" s="32">
        <f t="shared" si="48"/>
        <v>1.8805244392883291E-2</v>
      </c>
      <c r="AZ76" s="32">
        <f t="shared" si="49"/>
        <v>1.8157513030830175E-2</v>
      </c>
      <c r="BA76" s="32">
        <f t="shared" si="50"/>
        <v>1.8516848506534969E-2</v>
      </c>
      <c r="BB76" s="32">
        <f t="shared" si="51"/>
        <v>1.6082722614927731E-2</v>
      </c>
      <c r="BC76" s="32">
        <f t="shared" si="52"/>
        <v>1.3133813041436564E-2</v>
      </c>
      <c r="BD76" s="32">
        <f t="shared" si="53"/>
        <v>1.0578534474579536E-2</v>
      </c>
      <c r="BE76" s="32">
        <f t="shared" si="54"/>
        <v>8.3736453535441513E-3</v>
      </c>
      <c r="BF76" s="32">
        <f t="shared" si="55"/>
        <v>6.3104767405952264E-3</v>
      </c>
      <c r="BG76" s="32">
        <f t="shared" si="56"/>
        <v>3.3506985341596614E-3</v>
      </c>
      <c r="BH76" s="41">
        <f t="shared" si="57"/>
        <v>1.127196390068805E-3</v>
      </c>
      <c r="BI76" s="46">
        <f t="shared" si="58"/>
        <v>-0.18873227394953571</v>
      </c>
      <c r="BJ76" s="41" t="b">
        <f t="shared" ref="BJ76:BJ137" si="61">IF(BI76&gt;1,TRUE,FALSE)</f>
        <v>0</v>
      </c>
      <c r="BK76" s="41" t="b">
        <f t="shared" ref="BK76:BK137" si="62">IF(BI76&lt;-1,TRUE,FALSE)</f>
        <v>0</v>
      </c>
      <c r="BL76" s="42" t="str">
        <f>_xlfn.XLOOKUP(AW76,'County Population Strata'!$A$3:$A$66,'County Population Strata'!$P$3:$P$66)</f>
        <v>Large</v>
      </c>
      <c r="BN76" t="s">
        <v>304</v>
      </c>
      <c r="BO76" s="21">
        <f>BR74</f>
        <v>1.9401293169982504E-4</v>
      </c>
      <c r="BQ76" s="21">
        <f t="shared" si="60"/>
        <v>7.0123511154769395E-6</v>
      </c>
    </row>
    <row r="77" spans="1:71" x14ac:dyDescent="0.2">
      <c r="R77" s="16" t="s">
        <v>147</v>
      </c>
      <c r="S77" s="26">
        <v>12060</v>
      </c>
      <c r="T77" s="26">
        <v>11955</v>
      </c>
      <c r="U77" s="26">
        <v>11990</v>
      </c>
      <c r="V77" s="26">
        <v>11995</v>
      </c>
      <c r="W77" s="26">
        <v>11931</v>
      </c>
      <c r="X77" s="26">
        <v>12009</v>
      </c>
      <c r="Y77" s="26">
        <v>12362</v>
      </c>
      <c r="Z77" s="26">
        <v>12758</v>
      </c>
      <c r="AA77" s="26">
        <v>13034</v>
      </c>
      <c r="AB77" s="26">
        <v>13194</v>
      </c>
      <c r="AC77" s="26">
        <v>13428</v>
      </c>
      <c r="AD77" s="26">
        <v>13812</v>
      </c>
      <c r="AE77" s="26">
        <v>13986</v>
      </c>
      <c r="AG77" s="16" t="s">
        <v>147</v>
      </c>
      <c r="AH77" s="29">
        <v>0</v>
      </c>
      <c r="AI77" s="29">
        <f t="shared" si="59"/>
        <v>-8.7064676616915426E-3</v>
      </c>
      <c r="AJ77" s="29">
        <f t="shared" si="36"/>
        <v>2.9276453366792136E-3</v>
      </c>
      <c r="AK77" s="29">
        <f t="shared" si="37"/>
        <v>4.1701417848206837E-4</v>
      </c>
      <c r="AL77" s="29">
        <f t="shared" si="38"/>
        <v>-5.3355564818674444E-3</v>
      </c>
      <c r="AM77" s="29">
        <f t="shared" si="39"/>
        <v>6.5375911491073677E-3</v>
      </c>
      <c r="AN77" s="29">
        <f t="shared" si="40"/>
        <v>2.9394620701140812E-2</v>
      </c>
      <c r="AO77" s="29">
        <f t="shared" si="41"/>
        <v>3.2033651512700212E-2</v>
      </c>
      <c r="AP77" s="29">
        <f t="shared" si="42"/>
        <v>2.1633484872237027E-2</v>
      </c>
      <c r="AQ77" s="29">
        <f t="shared" si="43"/>
        <v>1.2275586926499923E-2</v>
      </c>
      <c r="AR77" s="29">
        <f t="shared" si="44"/>
        <v>1.7735334242837655E-2</v>
      </c>
      <c r="AS77" s="29">
        <f t="shared" si="45"/>
        <v>2.8596961572832886E-2</v>
      </c>
      <c r="AT77" s="29">
        <f t="shared" si="46"/>
        <v>1.2597741094700261E-2</v>
      </c>
      <c r="AU77" s="29"/>
      <c r="AW77" s="16" t="s">
        <v>147</v>
      </c>
      <c r="AX77" s="32">
        <f t="shared" si="47"/>
        <v>-1.9262741083374429E-3</v>
      </c>
      <c r="AY77" s="32">
        <f t="shared" si="48"/>
        <v>-1.7872693821767538E-3</v>
      </c>
      <c r="AZ77" s="32">
        <f t="shared" si="49"/>
        <v>-6.6363232223538751E-4</v>
      </c>
      <c r="BA77" s="32">
        <f t="shared" si="50"/>
        <v>5.3968294857399733E-4</v>
      </c>
      <c r="BB77" s="32">
        <f t="shared" si="51"/>
        <v>1.0198885122793579E-2</v>
      </c>
      <c r="BC77" s="32">
        <f t="shared" si="52"/>
        <v>2.2655287787649466E-2</v>
      </c>
      <c r="BD77" s="32">
        <f t="shared" si="53"/>
        <v>2.7687252362026016E-2</v>
      </c>
      <c r="BE77" s="32">
        <f t="shared" si="54"/>
        <v>2.1980907770479053E-2</v>
      </c>
      <c r="BF77" s="32">
        <f t="shared" si="55"/>
        <v>1.7214802013858204E-2</v>
      </c>
      <c r="BG77" s="32">
        <f t="shared" si="56"/>
        <v>1.9535960914056821E-2</v>
      </c>
      <c r="BH77" s="41">
        <f t="shared" si="57"/>
        <v>1.9643345636790266E-2</v>
      </c>
      <c r="BI77" s="46">
        <f t="shared" si="58"/>
        <v>1.1309367368789456</v>
      </c>
      <c r="BJ77" s="41" t="b">
        <f t="shared" si="61"/>
        <v>1</v>
      </c>
      <c r="BK77" s="41" t="b">
        <f>IF(BI77&lt;-1,TRUE,FALSE)</f>
        <v>0</v>
      </c>
      <c r="BL77" s="42" t="str">
        <f>_xlfn.XLOOKUP(AW77,'County Population Strata'!$A$3:$A$66,'County Population Strata'!$P$3:$P$66)</f>
        <v>Tiny</v>
      </c>
      <c r="BN77" t="s">
        <v>305</v>
      </c>
      <c r="BO77">
        <f>BS74</f>
        <v>1.3928852490418047E-2</v>
      </c>
      <c r="BQ77" s="21">
        <f t="shared" si="60"/>
        <v>2.5179548122500822E-4</v>
      </c>
    </row>
    <row r="78" spans="1:71" x14ac:dyDescent="0.2">
      <c r="R78" s="16" t="s">
        <v>148</v>
      </c>
      <c r="S78" s="26">
        <v>3795</v>
      </c>
      <c r="T78" s="26">
        <v>3767</v>
      </c>
      <c r="U78" s="26">
        <v>3704</v>
      </c>
      <c r="V78" s="26">
        <v>3637</v>
      </c>
      <c r="W78" s="26">
        <v>3564</v>
      </c>
      <c r="X78" s="26">
        <v>3530</v>
      </c>
      <c r="Y78" s="26">
        <v>3505</v>
      </c>
      <c r="Z78" s="26">
        <v>3523</v>
      </c>
      <c r="AA78" s="26">
        <v>3550</v>
      </c>
      <c r="AB78" s="26">
        <v>3565</v>
      </c>
      <c r="AC78" s="26">
        <v>3478</v>
      </c>
      <c r="AD78" s="26">
        <v>3491</v>
      </c>
      <c r="AE78" s="26">
        <v>3431</v>
      </c>
      <c r="AG78" s="16" t="s">
        <v>148</v>
      </c>
      <c r="AH78" s="29">
        <v>0</v>
      </c>
      <c r="AI78" s="29">
        <f t="shared" si="59"/>
        <v>-7.3781291172595517E-3</v>
      </c>
      <c r="AJ78" s="29">
        <f t="shared" si="36"/>
        <v>-1.6724183700557473E-2</v>
      </c>
      <c r="AK78" s="29">
        <f t="shared" si="37"/>
        <v>-1.8088552915766738E-2</v>
      </c>
      <c r="AL78" s="29">
        <f t="shared" si="38"/>
        <v>-2.0071487489689305E-2</v>
      </c>
      <c r="AM78" s="29">
        <f t="shared" si="39"/>
        <v>-9.5398428731762065E-3</v>
      </c>
      <c r="AN78" s="29">
        <f t="shared" si="40"/>
        <v>-7.0821529745042494E-3</v>
      </c>
      <c r="AO78" s="29">
        <f t="shared" si="41"/>
        <v>5.1355206847360909E-3</v>
      </c>
      <c r="AP78" s="29">
        <f t="shared" si="42"/>
        <v>7.6639227930740848E-3</v>
      </c>
      <c r="AQ78" s="29">
        <f t="shared" si="43"/>
        <v>4.2253521126760559E-3</v>
      </c>
      <c r="AR78" s="29">
        <f t="shared" si="44"/>
        <v>-2.4403927068723703E-2</v>
      </c>
      <c r="AS78" s="29">
        <f t="shared" si="45"/>
        <v>3.7377803335250145E-3</v>
      </c>
      <c r="AT78" s="29">
        <f t="shared" si="46"/>
        <v>-1.7187052420509882E-2</v>
      </c>
      <c r="AU78" s="29"/>
      <c r="AW78" s="16" t="s">
        <v>148</v>
      </c>
      <c r="AX78" s="32">
        <f t="shared" si="47"/>
        <v>-8.0341042726056744E-3</v>
      </c>
      <c r="AY78" s="32">
        <f t="shared" si="48"/>
        <v>-1.4063621911194585E-2</v>
      </c>
      <c r="AZ78" s="32">
        <f t="shared" si="49"/>
        <v>-1.829474136867117E-2</v>
      </c>
      <c r="BA78" s="32">
        <f t="shared" si="50"/>
        <v>-1.5899961092877415E-2</v>
      </c>
      <c r="BB78" s="32">
        <f t="shared" si="51"/>
        <v>-1.2231161112456588E-2</v>
      </c>
      <c r="BC78" s="32">
        <f t="shared" si="52"/>
        <v>-3.8288250543147876E-3</v>
      </c>
      <c r="BD78" s="32">
        <f t="shared" si="53"/>
        <v>1.9057635011019754E-3</v>
      </c>
      <c r="BE78" s="32">
        <f t="shared" si="54"/>
        <v>5.6749318634954108E-3</v>
      </c>
      <c r="BF78" s="32">
        <f t="shared" si="55"/>
        <v>-4.1715507209911873E-3</v>
      </c>
      <c r="BG78" s="32">
        <f t="shared" si="56"/>
        <v>-5.4802648741742108E-3</v>
      </c>
      <c r="BH78" s="41">
        <f t="shared" si="57"/>
        <v>-1.2617733051902858E-2</v>
      </c>
      <c r="BI78" s="46">
        <f t="shared" si="58"/>
        <v>-1.1683505087618162</v>
      </c>
      <c r="BJ78" s="41" t="b">
        <f t="shared" si="61"/>
        <v>0</v>
      </c>
      <c r="BK78" s="41" t="b">
        <f t="shared" si="62"/>
        <v>1</v>
      </c>
      <c r="BL78" s="42" t="str">
        <f>_xlfn.XLOOKUP(AW78,'County Population Strata'!$A$3:$A$66,'County Population Strata'!$P$3:$P$66)</f>
        <v>Tiny</v>
      </c>
      <c r="BN78" t="s">
        <v>274</v>
      </c>
      <c r="BO78" s="37">
        <f>AVERAGE(BH74:BH138)</f>
        <v>3.7752808138508225E-3</v>
      </c>
      <c r="BQ78" s="21">
        <f t="shared" si="60"/>
        <v>2.6873090360279248E-4</v>
      </c>
    </row>
    <row r="79" spans="1:71" x14ac:dyDescent="0.2">
      <c r="R79" s="16" t="s">
        <v>149</v>
      </c>
      <c r="S79" s="26">
        <v>6506</v>
      </c>
      <c r="T79" s="26">
        <v>6355</v>
      </c>
      <c r="U79" s="26">
        <v>5864</v>
      </c>
      <c r="V79" s="26">
        <v>5800</v>
      </c>
      <c r="W79" s="26">
        <v>5851</v>
      </c>
      <c r="X79" s="26">
        <v>5966</v>
      </c>
      <c r="Y79" s="26">
        <v>5753</v>
      </c>
      <c r="Z79" s="26">
        <v>5968</v>
      </c>
      <c r="AA79" s="26">
        <v>5984</v>
      </c>
      <c r="AB79" s="26">
        <v>5980</v>
      </c>
      <c r="AC79" s="26">
        <v>5477</v>
      </c>
      <c r="AD79" s="26">
        <v>5334</v>
      </c>
      <c r="AE79" s="26">
        <v>5400</v>
      </c>
      <c r="AG79" s="16" t="s">
        <v>149</v>
      </c>
      <c r="AH79" s="29">
        <v>0</v>
      </c>
      <c r="AI79" s="29">
        <f t="shared" si="59"/>
        <v>-2.320934521979711E-2</v>
      </c>
      <c r="AJ79" s="29">
        <f t="shared" si="36"/>
        <v>-7.7261998426435871E-2</v>
      </c>
      <c r="AK79" s="29">
        <f t="shared" si="37"/>
        <v>-1.0914051841746248E-2</v>
      </c>
      <c r="AL79" s="29">
        <f t="shared" si="38"/>
        <v>8.7931034482758626E-3</v>
      </c>
      <c r="AM79" s="29">
        <f t="shared" si="39"/>
        <v>1.9654759870107674E-2</v>
      </c>
      <c r="AN79" s="29">
        <f t="shared" si="40"/>
        <v>-3.5702313107609789E-2</v>
      </c>
      <c r="AO79" s="29">
        <f t="shared" si="41"/>
        <v>3.7371806014253432E-2</v>
      </c>
      <c r="AP79" s="29">
        <f t="shared" si="42"/>
        <v>2.6809651474530832E-3</v>
      </c>
      <c r="AQ79" s="29">
        <f t="shared" si="43"/>
        <v>-6.6844919786096253E-4</v>
      </c>
      <c r="AR79" s="29">
        <f t="shared" si="44"/>
        <v>-8.4113712374581942E-2</v>
      </c>
      <c r="AS79" s="29">
        <f t="shared" si="45"/>
        <v>-2.610918385977725E-2</v>
      </c>
      <c r="AT79" s="29">
        <f t="shared" si="46"/>
        <v>1.2373453318335208E-2</v>
      </c>
      <c r="AU79" s="29"/>
      <c r="AW79" s="16" t="s">
        <v>149</v>
      </c>
      <c r="AX79" s="32">
        <f t="shared" si="47"/>
        <v>-3.349044788207766E-2</v>
      </c>
      <c r="AY79" s="32">
        <f t="shared" si="48"/>
        <v>-3.7128465162659739E-2</v>
      </c>
      <c r="AZ79" s="32">
        <f t="shared" si="49"/>
        <v>-2.6460982273302087E-2</v>
      </c>
      <c r="BA79" s="32">
        <f t="shared" si="50"/>
        <v>5.8446038255457631E-3</v>
      </c>
      <c r="BB79" s="32">
        <f t="shared" si="51"/>
        <v>-2.4181499297420833E-3</v>
      </c>
      <c r="BC79" s="32">
        <f t="shared" si="52"/>
        <v>7.1080842589171063E-3</v>
      </c>
      <c r="BD79" s="32">
        <f t="shared" si="53"/>
        <v>1.450152684698909E-3</v>
      </c>
      <c r="BE79" s="32">
        <f t="shared" si="54"/>
        <v>1.312810732128185E-2</v>
      </c>
      <c r="BF79" s="32">
        <f t="shared" si="55"/>
        <v>-2.7367065474996607E-2</v>
      </c>
      <c r="BG79" s="32">
        <f t="shared" si="56"/>
        <v>-3.6963781810740053E-2</v>
      </c>
      <c r="BH79" s="41">
        <f t="shared" si="57"/>
        <v>-3.2616480972007991E-2</v>
      </c>
      <c r="BI79" s="46">
        <f t="shared" si="58"/>
        <v>-2.5936861729905063</v>
      </c>
      <c r="BJ79" s="41" t="b">
        <f t="shared" si="61"/>
        <v>0</v>
      </c>
      <c r="BK79" s="41" t="b">
        <f t="shared" si="62"/>
        <v>1</v>
      </c>
      <c r="BL79" s="42" t="str">
        <f>_xlfn.XLOOKUP(AW79,'County Population Strata'!$A$3:$A$66,'County Population Strata'!$P$3:$P$66)</f>
        <v>Tiny</v>
      </c>
      <c r="BN79" t="s">
        <v>301</v>
      </c>
      <c r="BO79">
        <f>STDEV(BH74:BH138)</f>
        <v>1.4030904033350847E-2</v>
      </c>
      <c r="BQ79" s="21">
        <f t="shared" si="60"/>
        <v>1.3243603258786942E-3</v>
      </c>
    </row>
    <row r="80" spans="1:71" x14ac:dyDescent="0.2">
      <c r="R80" s="16" t="s">
        <v>150</v>
      </c>
      <c r="S80" s="26">
        <v>295605</v>
      </c>
      <c r="T80" s="26">
        <v>300526</v>
      </c>
      <c r="U80" s="26">
        <v>305881</v>
      </c>
      <c r="V80" s="26">
        <v>310896</v>
      </c>
      <c r="W80" s="26">
        <v>314213</v>
      </c>
      <c r="X80" s="26">
        <v>320352</v>
      </c>
      <c r="Y80" s="26">
        <v>323957</v>
      </c>
      <c r="Z80" s="26">
        <v>325414</v>
      </c>
      <c r="AA80" s="26">
        <v>328055</v>
      </c>
      <c r="AB80" s="26">
        <v>328827</v>
      </c>
      <c r="AC80" s="26">
        <v>330923</v>
      </c>
      <c r="AD80" s="26">
        <v>327080</v>
      </c>
      <c r="AE80" s="26">
        <v>327424</v>
      </c>
      <c r="AG80" s="16" t="s">
        <v>150</v>
      </c>
      <c r="AH80" s="29">
        <v>0</v>
      </c>
      <c r="AI80" s="29">
        <f t="shared" si="59"/>
        <v>1.6647215033575209E-2</v>
      </c>
      <c r="AJ80" s="29">
        <f t="shared" si="36"/>
        <v>1.7818757778029187E-2</v>
      </c>
      <c r="AK80" s="29">
        <f t="shared" si="37"/>
        <v>1.6395264825209803E-2</v>
      </c>
      <c r="AL80" s="29">
        <f t="shared" si="38"/>
        <v>1.0669162678194637E-2</v>
      </c>
      <c r="AM80" s="29">
        <f t="shared" si="39"/>
        <v>1.9537702131993264E-2</v>
      </c>
      <c r="AN80" s="29">
        <f t="shared" si="40"/>
        <v>1.1253246428928179E-2</v>
      </c>
      <c r="AO80" s="29">
        <f t="shared" si="41"/>
        <v>4.4975104720688238E-3</v>
      </c>
      <c r="AP80" s="29">
        <f t="shared" si="42"/>
        <v>8.1158155457355854E-3</v>
      </c>
      <c r="AQ80" s="29">
        <f t="shared" si="43"/>
        <v>2.3532639344012438E-3</v>
      </c>
      <c r="AR80" s="29">
        <f t="shared" si="44"/>
        <v>6.374172437178212E-3</v>
      </c>
      <c r="AS80" s="29">
        <f t="shared" si="45"/>
        <v>-1.161297341073301E-2</v>
      </c>
      <c r="AT80" s="29">
        <f t="shared" si="46"/>
        <v>1.0517304634951694E-3</v>
      </c>
      <c r="AU80" s="29"/>
      <c r="AW80" s="16" t="s">
        <v>150</v>
      </c>
      <c r="AX80" s="32">
        <f t="shared" si="47"/>
        <v>1.148865760386813E-2</v>
      </c>
      <c r="AY80" s="32">
        <f t="shared" si="48"/>
        <v>1.6953745878938064E-2</v>
      </c>
      <c r="AZ80" s="32">
        <f t="shared" si="49"/>
        <v>1.4961061760477875E-2</v>
      </c>
      <c r="BA80" s="32">
        <f t="shared" si="50"/>
        <v>1.5534043211799234E-2</v>
      </c>
      <c r="BB80" s="32">
        <f t="shared" si="51"/>
        <v>1.3820037079705361E-2</v>
      </c>
      <c r="BC80" s="32">
        <f t="shared" si="52"/>
        <v>1.1762819677663421E-2</v>
      </c>
      <c r="BD80" s="32">
        <f t="shared" si="53"/>
        <v>7.9555241489108631E-3</v>
      </c>
      <c r="BE80" s="32">
        <f t="shared" si="54"/>
        <v>4.9888633174018839E-3</v>
      </c>
      <c r="BF80" s="32">
        <f t="shared" si="55"/>
        <v>5.6144173057716797E-3</v>
      </c>
      <c r="BG80" s="32">
        <f t="shared" si="56"/>
        <v>-9.6184567971785136E-4</v>
      </c>
      <c r="BH80" s="41">
        <f t="shared" si="57"/>
        <v>-1.3956901700198764E-3</v>
      </c>
      <c r="BI80" s="46">
        <f t="shared" si="58"/>
        <v>-0.36854154027278119</v>
      </c>
      <c r="BJ80" s="41" t="b">
        <f t="shared" si="61"/>
        <v>0</v>
      </c>
      <c r="BK80" s="41" t="b">
        <f t="shared" si="62"/>
        <v>0</v>
      </c>
      <c r="BL80" s="42" t="str">
        <f>_xlfn.XLOOKUP(AW80,'County Population Strata'!$A$3:$A$66,'County Population Strata'!$P$3:$P$66)</f>
        <v>Small</v>
      </c>
      <c r="BN80" t="s">
        <v>310</v>
      </c>
      <c r="BO80">
        <f>BO79/BO83</f>
        <v>3.6923431666712756</v>
      </c>
      <c r="BQ80" s="21">
        <f t="shared" si="60"/>
        <v>2.6738940916032704E-5</v>
      </c>
    </row>
    <row r="81" spans="18:69" x14ac:dyDescent="0.2">
      <c r="R81" s="16" t="s">
        <v>151</v>
      </c>
      <c r="S81" s="26">
        <v>56107</v>
      </c>
      <c r="T81" s="26">
        <v>57584</v>
      </c>
      <c r="U81" s="26">
        <v>59271</v>
      </c>
      <c r="V81" s="26">
        <v>60669</v>
      </c>
      <c r="W81" s="26">
        <v>62504</v>
      </c>
      <c r="X81" s="26">
        <v>65831</v>
      </c>
      <c r="Y81" s="26">
        <v>67707</v>
      </c>
      <c r="Z81" s="26">
        <v>69655</v>
      </c>
      <c r="AA81" s="26">
        <v>71322</v>
      </c>
      <c r="AB81" s="26">
        <v>72669</v>
      </c>
      <c r="AC81" s="26">
        <v>74494</v>
      </c>
      <c r="AD81" s="26">
        <v>75415</v>
      </c>
      <c r="AE81" s="26">
        <v>76155</v>
      </c>
      <c r="AG81" s="16" t="s">
        <v>151</v>
      </c>
      <c r="AH81" s="29">
        <v>0</v>
      </c>
      <c r="AI81" s="29">
        <f t="shared" si="59"/>
        <v>2.6324701017698328E-2</v>
      </c>
      <c r="AJ81" s="29">
        <f t="shared" si="36"/>
        <v>2.9296332314531815E-2</v>
      </c>
      <c r="AK81" s="29">
        <f t="shared" si="37"/>
        <v>2.3586576909449816E-2</v>
      </c>
      <c r="AL81" s="29">
        <f t="shared" si="38"/>
        <v>3.0246089436120588E-2</v>
      </c>
      <c r="AM81" s="29">
        <f t="shared" si="39"/>
        <v>5.3228593370024321E-2</v>
      </c>
      <c r="AN81" s="29">
        <f t="shared" si="40"/>
        <v>2.8497212559432487E-2</v>
      </c>
      <c r="AO81" s="29">
        <f t="shared" si="41"/>
        <v>2.8771028106399633E-2</v>
      </c>
      <c r="AP81" s="29">
        <f t="shared" si="42"/>
        <v>2.3932237456033307E-2</v>
      </c>
      <c r="AQ81" s="29">
        <f t="shared" si="43"/>
        <v>1.8886178177841339E-2</v>
      </c>
      <c r="AR81" s="29">
        <f t="shared" si="44"/>
        <v>2.5113872490332881E-2</v>
      </c>
      <c r="AS81" s="29">
        <f t="shared" si="45"/>
        <v>1.2363411818401481E-2</v>
      </c>
      <c r="AT81" s="29">
        <f t="shared" si="46"/>
        <v>9.8123715441225216E-3</v>
      </c>
      <c r="AU81" s="29"/>
      <c r="AW81" s="16" t="s">
        <v>151</v>
      </c>
      <c r="AX81" s="32">
        <f t="shared" si="47"/>
        <v>1.8540344444076717E-2</v>
      </c>
      <c r="AY81" s="32">
        <f t="shared" si="48"/>
        <v>2.6402536747226656E-2</v>
      </c>
      <c r="AZ81" s="32">
        <f t="shared" si="49"/>
        <v>2.7709666220034072E-2</v>
      </c>
      <c r="BA81" s="32">
        <f t="shared" si="50"/>
        <v>3.5687086571864909E-2</v>
      </c>
      <c r="BB81" s="32">
        <f t="shared" si="51"/>
        <v>3.7323965121859128E-2</v>
      </c>
      <c r="BC81" s="32">
        <f t="shared" si="52"/>
        <v>3.6832278011952144E-2</v>
      </c>
      <c r="BD81" s="32">
        <f t="shared" si="53"/>
        <v>2.706682604062181E-2</v>
      </c>
      <c r="BE81" s="32">
        <f t="shared" si="54"/>
        <v>2.3863147913424757E-2</v>
      </c>
      <c r="BF81" s="32">
        <f t="shared" si="55"/>
        <v>2.2644096041402509E-2</v>
      </c>
      <c r="BG81" s="32">
        <f t="shared" si="56"/>
        <v>1.8787820828858569E-2</v>
      </c>
      <c r="BH81" s="41">
        <f t="shared" si="57"/>
        <v>1.5763218617618962E-2</v>
      </c>
      <c r="BI81" s="46">
        <f t="shared" si="58"/>
        <v>0.85439525316924225</v>
      </c>
      <c r="BJ81" s="41" t="b">
        <f t="shared" si="61"/>
        <v>0</v>
      </c>
      <c r="BK81" s="41" t="b">
        <f t="shared" si="62"/>
        <v>0</v>
      </c>
      <c r="BL81" s="42" t="str">
        <f>_xlfn.XLOOKUP(AW81,'County Population Strata'!$A$3:$A$66,'County Population Strata'!$P$3:$P$66)</f>
        <v>Small</v>
      </c>
      <c r="BQ81" s="21">
        <f t="shared" si="60"/>
        <v>1.4371065278701329E-4</v>
      </c>
    </row>
    <row r="82" spans="18:69" x14ac:dyDescent="0.2">
      <c r="R82" s="16" t="s">
        <v>152</v>
      </c>
      <c r="S82" s="26">
        <v>17797</v>
      </c>
      <c r="T82" s="26">
        <v>17932</v>
      </c>
      <c r="U82" s="26">
        <v>17967</v>
      </c>
      <c r="V82" s="26">
        <v>18036</v>
      </c>
      <c r="W82" s="26">
        <v>18066</v>
      </c>
      <c r="X82" s="26">
        <v>18108</v>
      </c>
      <c r="Y82" s="26">
        <v>18519</v>
      </c>
      <c r="Z82" s="26">
        <v>18967</v>
      </c>
      <c r="AA82" s="26">
        <v>19250</v>
      </c>
      <c r="AB82" s="26">
        <v>19391</v>
      </c>
      <c r="AC82" s="26">
        <v>19478</v>
      </c>
      <c r="AD82" s="26">
        <v>19737</v>
      </c>
      <c r="AE82" s="26">
        <v>20261</v>
      </c>
      <c r="AG82" s="16" t="s">
        <v>152</v>
      </c>
      <c r="AH82" s="29">
        <v>0</v>
      </c>
      <c r="AI82" s="29">
        <f t="shared" si="59"/>
        <v>7.5855481260886665E-3</v>
      </c>
      <c r="AJ82" s="29">
        <f t="shared" si="36"/>
        <v>1.9518179790318983E-3</v>
      </c>
      <c r="AK82" s="29">
        <f t="shared" si="37"/>
        <v>3.8403740190348975E-3</v>
      </c>
      <c r="AL82" s="29">
        <f t="shared" si="38"/>
        <v>1.66333998669328E-3</v>
      </c>
      <c r="AM82" s="29">
        <f t="shared" si="39"/>
        <v>2.3248090335436732E-3</v>
      </c>
      <c r="AN82" s="29">
        <f t="shared" si="40"/>
        <v>2.2697150430748839E-2</v>
      </c>
      <c r="AO82" s="29">
        <f t="shared" si="41"/>
        <v>2.4191371024353366E-2</v>
      </c>
      <c r="AP82" s="29">
        <f t="shared" si="42"/>
        <v>1.492065165814309E-2</v>
      </c>
      <c r="AQ82" s="29">
        <f t="shared" si="43"/>
        <v>7.3246753246753249E-3</v>
      </c>
      <c r="AR82" s="29">
        <f t="shared" si="44"/>
        <v>4.4866175029652936E-3</v>
      </c>
      <c r="AS82" s="29">
        <f t="shared" si="45"/>
        <v>1.3297053085532395E-2</v>
      </c>
      <c r="AT82" s="29">
        <f t="shared" si="46"/>
        <v>2.6549120940365812E-2</v>
      </c>
      <c r="AU82" s="29"/>
      <c r="AW82" s="16" t="s">
        <v>152</v>
      </c>
      <c r="AX82" s="32">
        <f t="shared" si="47"/>
        <v>3.1791220350401886E-3</v>
      </c>
      <c r="AY82" s="32">
        <f t="shared" si="48"/>
        <v>4.4592467080518212E-3</v>
      </c>
      <c r="AZ82" s="32">
        <f t="shared" si="49"/>
        <v>2.4851773282533588E-3</v>
      </c>
      <c r="BA82" s="32">
        <f t="shared" si="50"/>
        <v>2.6095076797572835E-3</v>
      </c>
      <c r="BB82" s="32">
        <f t="shared" si="51"/>
        <v>8.8950998169952649E-3</v>
      </c>
      <c r="BC82" s="32">
        <f t="shared" si="52"/>
        <v>1.6404443496215292E-2</v>
      </c>
      <c r="BD82" s="32">
        <f t="shared" si="53"/>
        <v>2.06030577044151E-2</v>
      </c>
      <c r="BE82" s="32">
        <f t="shared" si="54"/>
        <v>1.5478899335723927E-2</v>
      </c>
      <c r="BF82" s="32">
        <f t="shared" si="55"/>
        <v>8.9106481619279036E-3</v>
      </c>
      <c r="BG82" s="32">
        <f t="shared" si="56"/>
        <v>8.3694486377243384E-3</v>
      </c>
      <c r="BH82" s="41">
        <f t="shared" si="57"/>
        <v>1.4777597176287835E-2</v>
      </c>
      <c r="BI82" s="46">
        <f t="shared" si="58"/>
        <v>0.78414878587188586</v>
      </c>
      <c r="BJ82" s="41" t="b">
        <f t="shared" si="61"/>
        <v>0</v>
      </c>
      <c r="BK82" s="41" t="b">
        <f t="shared" si="62"/>
        <v>0</v>
      </c>
      <c r="BL82" s="42" t="str">
        <f>_xlfn.XLOOKUP(AW82,'County Population Strata'!$A$3:$A$66,'County Population Strata'!$P$3:$P$66)</f>
        <v>Small</v>
      </c>
      <c r="BQ82" s="21">
        <f t="shared" si="60"/>
        <v>1.2105096533914922E-4</v>
      </c>
    </row>
    <row r="83" spans="18:69" x14ac:dyDescent="0.2">
      <c r="R83" s="16" t="s">
        <v>153</v>
      </c>
      <c r="S83" s="26">
        <v>1834</v>
      </c>
      <c r="T83" s="26">
        <v>1832</v>
      </c>
      <c r="U83" s="26">
        <v>1832</v>
      </c>
      <c r="V83" s="26">
        <v>1818</v>
      </c>
      <c r="W83" s="26">
        <v>1817</v>
      </c>
      <c r="X83" s="26">
        <v>1806</v>
      </c>
      <c r="Y83" s="26">
        <v>1794</v>
      </c>
      <c r="Z83" s="26">
        <v>1788</v>
      </c>
      <c r="AA83" s="26">
        <v>1783</v>
      </c>
      <c r="AB83" s="26">
        <v>1777</v>
      </c>
      <c r="AC83" s="26">
        <v>1744</v>
      </c>
      <c r="AD83" s="26">
        <v>1716</v>
      </c>
      <c r="AE83" s="26">
        <v>1722</v>
      </c>
      <c r="AG83" s="16" t="s">
        <v>153</v>
      </c>
      <c r="AH83" s="29">
        <v>0</v>
      </c>
      <c r="AI83" s="29">
        <f t="shared" si="59"/>
        <v>-1.0905125408942203E-3</v>
      </c>
      <c r="AJ83" s="29">
        <f t="shared" si="36"/>
        <v>0</v>
      </c>
      <c r="AK83" s="29">
        <f t="shared" si="37"/>
        <v>-7.6419213973799123E-3</v>
      </c>
      <c r="AL83" s="29">
        <f t="shared" si="38"/>
        <v>-5.5005500550055003E-4</v>
      </c>
      <c r="AM83" s="29">
        <f t="shared" si="39"/>
        <v>-6.0539350577875619E-3</v>
      </c>
      <c r="AN83" s="29">
        <f t="shared" si="40"/>
        <v>-6.6445182724252493E-3</v>
      </c>
      <c r="AO83" s="29">
        <f t="shared" si="41"/>
        <v>-3.3444816053511705E-3</v>
      </c>
      <c r="AP83" s="29">
        <f t="shared" si="42"/>
        <v>-2.7964205816554811E-3</v>
      </c>
      <c r="AQ83" s="29">
        <f t="shared" si="43"/>
        <v>-3.3651149747616375E-3</v>
      </c>
      <c r="AR83" s="29">
        <f t="shared" si="44"/>
        <v>-1.8570624648283626E-2</v>
      </c>
      <c r="AS83" s="29">
        <f t="shared" si="45"/>
        <v>-1.6055045871559634E-2</v>
      </c>
      <c r="AT83" s="29">
        <f t="shared" si="46"/>
        <v>3.4965034965034965E-3</v>
      </c>
      <c r="AU83" s="29"/>
      <c r="AW83" s="16" t="s">
        <v>153</v>
      </c>
      <c r="AX83" s="32">
        <f t="shared" si="47"/>
        <v>-3.6350418029807346E-4</v>
      </c>
      <c r="AY83" s="32">
        <f t="shared" si="48"/>
        <v>-2.9108113127580444E-3</v>
      </c>
      <c r="AZ83" s="32">
        <f t="shared" si="49"/>
        <v>-2.7306588009601541E-3</v>
      </c>
      <c r="BA83" s="32">
        <f t="shared" si="50"/>
        <v>-4.7486371535560082E-3</v>
      </c>
      <c r="BB83" s="32">
        <f t="shared" si="51"/>
        <v>-4.4161694452377878E-3</v>
      </c>
      <c r="BC83" s="32">
        <f t="shared" si="52"/>
        <v>-5.3476449785213277E-3</v>
      </c>
      <c r="BD83" s="32">
        <f t="shared" si="53"/>
        <v>-4.2618068198106334E-3</v>
      </c>
      <c r="BE83" s="32">
        <f t="shared" si="54"/>
        <v>-3.1686723872560961E-3</v>
      </c>
      <c r="BF83" s="32">
        <f t="shared" si="55"/>
        <v>-8.2440534015669146E-3</v>
      </c>
      <c r="BG83" s="32">
        <f t="shared" si="56"/>
        <v>-1.2663595164868299E-2</v>
      </c>
      <c r="BH83" s="41">
        <f t="shared" si="57"/>
        <v>-1.0376389007779922E-2</v>
      </c>
      <c r="BI83" s="46">
        <f t="shared" si="58"/>
        <v>-1.0086071280933033</v>
      </c>
      <c r="BJ83" s="41" t="b">
        <f t="shared" si="61"/>
        <v>0</v>
      </c>
      <c r="BK83" s="41" t="b">
        <f t="shared" si="62"/>
        <v>1</v>
      </c>
      <c r="BL83" s="42" t="str">
        <f>_xlfn.XLOOKUP(AW83,'County Population Strata'!$A$3:$A$66,'County Population Strata'!$P$3:$P$66)</f>
        <v>Tiny</v>
      </c>
      <c r="BO83" s="59">
        <v>3.8E-3</v>
      </c>
      <c r="BQ83" s="21">
        <f t="shared" si="60"/>
        <v>2.0026975874045435E-4</v>
      </c>
    </row>
    <row r="84" spans="18:69" x14ac:dyDescent="0.2">
      <c r="R84" s="16" t="s">
        <v>154</v>
      </c>
      <c r="S84" s="26">
        <v>9155</v>
      </c>
      <c r="T84" s="26">
        <v>9027</v>
      </c>
      <c r="U84" s="26">
        <v>9016</v>
      </c>
      <c r="V84" s="26">
        <v>8966</v>
      </c>
      <c r="W84" s="26">
        <v>9034</v>
      </c>
      <c r="X84" s="26">
        <v>9158</v>
      </c>
      <c r="Y84" s="26">
        <v>9237</v>
      </c>
      <c r="Z84" s="26">
        <v>9427</v>
      </c>
      <c r="AA84" s="26">
        <v>9385</v>
      </c>
      <c r="AB84" s="26">
        <v>9414</v>
      </c>
      <c r="AC84" s="26">
        <v>9397</v>
      </c>
      <c r="AD84" s="26">
        <v>9457</v>
      </c>
      <c r="AE84" s="26">
        <v>9366</v>
      </c>
      <c r="AG84" s="16" t="s">
        <v>154</v>
      </c>
      <c r="AH84" s="29">
        <v>0</v>
      </c>
      <c r="AI84" s="29">
        <f t="shared" si="59"/>
        <v>-1.3981430912069907E-2</v>
      </c>
      <c r="AJ84" s="29">
        <f t="shared" si="36"/>
        <v>-1.2185665226542594E-3</v>
      </c>
      <c r="AK84" s="29">
        <f t="shared" si="37"/>
        <v>-5.5456965394853593E-3</v>
      </c>
      <c r="AL84" s="29">
        <f t="shared" si="38"/>
        <v>7.584207004238233E-3</v>
      </c>
      <c r="AM84" s="29">
        <f t="shared" si="39"/>
        <v>1.372592428603055E-2</v>
      </c>
      <c r="AN84" s="29">
        <f t="shared" si="40"/>
        <v>8.6263376283031226E-3</v>
      </c>
      <c r="AO84" s="29">
        <f t="shared" si="41"/>
        <v>2.0569448955288512E-2</v>
      </c>
      <c r="AP84" s="29">
        <f t="shared" si="42"/>
        <v>-4.4552880025458793E-3</v>
      </c>
      <c r="AQ84" s="29">
        <f t="shared" si="43"/>
        <v>3.0900372935535429E-3</v>
      </c>
      <c r="AR84" s="29">
        <f t="shared" si="44"/>
        <v>-1.8058211174845973E-3</v>
      </c>
      <c r="AS84" s="29">
        <f t="shared" si="45"/>
        <v>6.3850164946259447E-3</v>
      </c>
      <c r="AT84" s="29">
        <f t="shared" si="46"/>
        <v>-9.6225018504811251E-3</v>
      </c>
      <c r="AU84" s="29"/>
      <c r="AW84" s="16" t="s">
        <v>154</v>
      </c>
      <c r="AX84" s="32">
        <f t="shared" si="47"/>
        <v>-5.0666658115747221E-3</v>
      </c>
      <c r="AY84" s="32">
        <f t="shared" si="48"/>
        <v>-6.9152313247365085E-3</v>
      </c>
      <c r="AZ84" s="32">
        <f t="shared" si="49"/>
        <v>2.7331464736620484E-4</v>
      </c>
      <c r="BA84" s="32">
        <f t="shared" si="50"/>
        <v>5.2548115835944738E-3</v>
      </c>
      <c r="BB84" s="32">
        <f t="shared" si="51"/>
        <v>9.9788229728573017E-3</v>
      </c>
      <c r="BC84" s="32">
        <f t="shared" si="52"/>
        <v>1.4307236956540728E-2</v>
      </c>
      <c r="BD84" s="32">
        <f t="shared" si="53"/>
        <v>8.2468328603485849E-3</v>
      </c>
      <c r="BE84" s="32">
        <f t="shared" si="54"/>
        <v>6.4013994154320589E-3</v>
      </c>
      <c r="BF84" s="32">
        <f t="shared" si="55"/>
        <v>-1.057023942158978E-3</v>
      </c>
      <c r="BG84" s="32">
        <f t="shared" si="56"/>
        <v>2.55641089023163E-3</v>
      </c>
      <c r="BH84" s="41">
        <f t="shared" si="57"/>
        <v>-1.6811021577799259E-3</v>
      </c>
      <c r="BI84" s="46">
        <f t="shared" si="58"/>
        <v>-0.38888320800008069</v>
      </c>
      <c r="BJ84" s="41" t="b">
        <f t="shared" si="61"/>
        <v>0</v>
      </c>
      <c r="BK84" s="41" t="b">
        <f t="shared" si="62"/>
        <v>0</v>
      </c>
      <c r="BL84" s="42" t="str">
        <f>_xlfn.XLOOKUP(AW84,'County Population Strata'!$A$3:$A$66,'County Population Strata'!$P$3:$P$66)</f>
        <v>Tiny</v>
      </c>
      <c r="BQ84" s="21">
        <f t="shared" si="60"/>
        <v>2.9772115133101995E-5</v>
      </c>
    </row>
    <row r="85" spans="18:69" x14ac:dyDescent="0.2">
      <c r="R85" s="16" t="s">
        <v>143</v>
      </c>
      <c r="S85" s="26">
        <v>5050332</v>
      </c>
      <c r="T85" s="26">
        <v>5123553</v>
      </c>
      <c r="U85" s="26">
        <v>5194662</v>
      </c>
      <c r="V85" s="26">
        <v>5270883</v>
      </c>
      <c r="W85" s="26">
        <v>5347655</v>
      </c>
      <c r="X85" s="26">
        <v>5446594</v>
      </c>
      <c r="Y85" s="26">
        <v>5529631</v>
      </c>
      <c r="Z85" s="26">
        <v>5599588</v>
      </c>
      <c r="AA85" s="26">
        <v>5676912</v>
      </c>
      <c r="AB85" s="26">
        <v>5734909</v>
      </c>
      <c r="AC85" s="26">
        <v>5784584</v>
      </c>
      <c r="AD85" s="26">
        <v>5811026</v>
      </c>
      <c r="AE85" s="26">
        <v>5838736</v>
      </c>
      <c r="AG85" s="16" t="s">
        <v>143</v>
      </c>
      <c r="AH85" s="29">
        <v>0</v>
      </c>
      <c r="AI85" s="29">
        <f t="shared" si="59"/>
        <v>1.4498254768201378E-2</v>
      </c>
      <c r="AJ85" s="29">
        <f t="shared" si="36"/>
        <v>1.3878845402789821E-2</v>
      </c>
      <c r="AK85" s="29">
        <f t="shared" si="37"/>
        <v>1.4672946959782947E-2</v>
      </c>
      <c r="AL85" s="29">
        <f t="shared" si="38"/>
        <v>1.4565301487435787E-2</v>
      </c>
      <c r="AM85" s="29">
        <f t="shared" si="39"/>
        <v>1.8501380511644825E-2</v>
      </c>
      <c r="AN85" s="29">
        <f t="shared" si="40"/>
        <v>1.5245674636295637E-2</v>
      </c>
      <c r="AO85" s="29">
        <f t="shared" si="41"/>
        <v>1.2651296261902466E-2</v>
      </c>
      <c r="AP85" s="29">
        <f t="shared" si="42"/>
        <v>1.3808873081376702E-2</v>
      </c>
      <c r="AQ85" s="29">
        <f t="shared" si="43"/>
        <v>1.0216293646968634E-2</v>
      </c>
      <c r="AR85" s="29">
        <f t="shared" si="44"/>
        <v>8.6618636843234995E-3</v>
      </c>
      <c r="AS85" s="29">
        <f t="shared" si="45"/>
        <v>4.5711152262634617E-3</v>
      </c>
      <c r="AT85" s="29">
        <f t="shared" si="46"/>
        <v>4.7685210838843261E-3</v>
      </c>
      <c r="AU85" s="29"/>
      <c r="AW85" s="16" t="s">
        <v>143</v>
      </c>
      <c r="AX85" s="32">
        <f t="shared" ref="AX85:AX116" si="63">AVERAGE(AH85:AJ85)</f>
        <v>9.4590333903304003E-3</v>
      </c>
      <c r="AY85" s="32">
        <f t="shared" ref="AY85:AY116" si="64">AVERAGE(AI85:AK85)</f>
        <v>1.4350015710258049E-2</v>
      </c>
      <c r="AZ85" s="32">
        <f t="shared" ref="AZ85:AZ116" si="65">AVERAGE(AJ85:AL85)</f>
        <v>1.437236461666952E-2</v>
      </c>
      <c r="BA85" s="32">
        <f t="shared" ref="BA85:BA116" si="66">AVERAGE(AK85:AM85)</f>
        <v>1.5913209652954521E-2</v>
      </c>
      <c r="BB85" s="32">
        <f t="shared" ref="BB85:BB116" si="67">AVERAGE(AL85:AN85)</f>
        <v>1.6104118878458747E-2</v>
      </c>
      <c r="BC85" s="32">
        <f t="shared" ref="BC85:BC116" si="68">AVERAGE(AM85:AO85)</f>
        <v>1.546611713661431E-2</v>
      </c>
      <c r="BD85" s="32">
        <f t="shared" ref="BD85:BD116" si="69">AVERAGE(AN85:AP85)</f>
        <v>1.3901947993191601E-2</v>
      </c>
      <c r="BE85" s="32">
        <f t="shared" ref="BE85:BE116" si="70">AVERAGE(AO85:AQ85)</f>
        <v>1.2225487663415933E-2</v>
      </c>
      <c r="BF85" s="32">
        <f t="shared" ref="BF85:BF116" si="71">AVERAGE(AP85:AR85)</f>
        <v>1.0895676804222945E-2</v>
      </c>
      <c r="BG85" s="32">
        <f t="shared" ref="BG85:BG116" si="72">AVERAGE(AQ85:AS85)</f>
        <v>7.816424185851864E-3</v>
      </c>
      <c r="BH85" s="41"/>
      <c r="BI85" s="46">
        <f t="shared" si="58"/>
        <v>-0.26906896411500958</v>
      </c>
      <c r="BJ85" s="41" t="b">
        <f t="shared" si="61"/>
        <v>0</v>
      </c>
      <c r="BK85" s="41" t="b">
        <f t="shared" si="62"/>
        <v>0</v>
      </c>
      <c r="BL85" s="42"/>
      <c r="BQ85" s="21">
        <f t="shared" si="60"/>
        <v>1.4252745223430129E-5</v>
      </c>
    </row>
    <row r="86" spans="18:69" x14ac:dyDescent="0.2">
      <c r="R86" s="16" t="s">
        <v>155</v>
      </c>
      <c r="S86" s="26">
        <v>8282</v>
      </c>
      <c r="T86" s="26">
        <v>8201</v>
      </c>
      <c r="U86" s="26">
        <v>8134</v>
      </c>
      <c r="V86" s="26">
        <v>8067</v>
      </c>
      <c r="W86" s="26">
        <v>7997</v>
      </c>
      <c r="X86" s="26">
        <v>7930</v>
      </c>
      <c r="Y86" s="26">
        <v>7842</v>
      </c>
      <c r="Z86" s="26">
        <v>7757</v>
      </c>
      <c r="AA86" s="26">
        <v>7660</v>
      </c>
      <c r="AB86" s="26">
        <v>7551</v>
      </c>
      <c r="AC86" s="26">
        <v>7454</v>
      </c>
      <c r="AD86" s="26">
        <v>7586</v>
      </c>
      <c r="AE86" s="26">
        <v>7572</v>
      </c>
      <c r="AG86" s="16" t="s">
        <v>155</v>
      </c>
      <c r="AH86" s="29">
        <v>0</v>
      </c>
      <c r="AI86" s="29">
        <f t="shared" si="59"/>
        <v>-9.7802463173146583E-3</v>
      </c>
      <c r="AJ86" s="29">
        <f t="shared" si="36"/>
        <v>-8.1697353981221802E-3</v>
      </c>
      <c r="AK86" s="29">
        <f t="shared" si="37"/>
        <v>-8.2370297516596996E-3</v>
      </c>
      <c r="AL86" s="29">
        <f t="shared" si="38"/>
        <v>-8.6773273831659854E-3</v>
      </c>
      <c r="AM86" s="29">
        <f t="shared" si="39"/>
        <v>-8.3781418031761909E-3</v>
      </c>
      <c r="AN86" s="29">
        <f t="shared" si="40"/>
        <v>-1.1097099621689786E-2</v>
      </c>
      <c r="AO86" s="29">
        <f t="shared" si="41"/>
        <v>-1.0839071665391482E-2</v>
      </c>
      <c r="AP86" s="29">
        <f t="shared" si="42"/>
        <v>-1.2504834343173907E-2</v>
      </c>
      <c r="AQ86" s="29">
        <f t="shared" si="43"/>
        <v>-1.422976501305483E-2</v>
      </c>
      <c r="AR86" s="29">
        <f t="shared" si="44"/>
        <v>-1.2845980664812608E-2</v>
      </c>
      <c r="AS86" s="29">
        <f t="shared" si="45"/>
        <v>1.7708612825328682E-2</v>
      </c>
      <c r="AT86" s="29">
        <f t="shared" si="46"/>
        <v>-1.8455048774057474E-3</v>
      </c>
      <c r="AU86" s="29"/>
      <c r="AW86" s="16" t="s">
        <v>155</v>
      </c>
      <c r="AX86" s="32">
        <f t="shared" si="63"/>
        <v>-5.9833272384789459E-3</v>
      </c>
      <c r="AY86" s="32">
        <f t="shared" si="64"/>
        <v>-8.7290038223655133E-3</v>
      </c>
      <c r="AZ86" s="32">
        <f t="shared" si="65"/>
        <v>-8.3613641776492872E-3</v>
      </c>
      <c r="BA86" s="32">
        <f t="shared" si="66"/>
        <v>-8.4308329793339586E-3</v>
      </c>
      <c r="BB86" s="32">
        <f t="shared" si="67"/>
        <v>-9.3841896026773206E-3</v>
      </c>
      <c r="BC86" s="32">
        <f t="shared" si="68"/>
        <v>-1.0104771030085819E-2</v>
      </c>
      <c r="BD86" s="32">
        <f t="shared" si="69"/>
        <v>-1.1480335210085056E-2</v>
      </c>
      <c r="BE86" s="32">
        <f t="shared" si="70"/>
        <v>-1.2524557007206741E-2</v>
      </c>
      <c r="BF86" s="32">
        <f t="shared" si="71"/>
        <v>-1.3193526673680449E-2</v>
      </c>
      <c r="BG86" s="32">
        <f t="shared" si="72"/>
        <v>-3.1223776175129184E-3</v>
      </c>
      <c r="BH86" s="41">
        <f t="shared" ref="BH86:BH117" si="73">AVERAGE(AR86:AT86)</f>
        <v>1.0057090943701092E-3</v>
      </c>
      <c r="BI86" s="46">
        <f t="shared" si="58"/>
        <v>-0.19739082477490844</v>
      </c>
      <c r="BJ86" s="41" t="b">
        <f t="shared" si="61"/>
        <v>0</v>
      </c>
      <c r="BK86" s="41" t="b">
        <f t="shared" si="62"/>
        <v>0</v>
      </c>
      <c r="BL86" s="42" t="str">
        <f>_xlfn.XLOOKUP(AW86,'County Population Strata'!$A$3:$A$66,'County Population Strata'!$P$3:$P$66)</f>
        <v>Tiny</v>
      </c>
      <c r="BQ86" s="21">
        <f t="shared" si="60"/>
        <v>7.6705275093473532E-6</v>
      </c>
    </row>
    <row r="87" spans="18:69" x14ac:dyDescent="0.2">
      <c r="R87" s="16" t="s">
        <v>156</v>
      </c>
      <c r="S87" s="26">
        <v>3532</v>
      </c>
      <c r="T87" s="26">
        <v>3518</v>
      </c>
      <c r="U87" s="26">
        <v>3517</v>
      </c>
      <c r="V87" s="26">
        <v>3516</v>
      </c>
      <c r="W87" s="26">
        <v>3516</v>
      </c>
      <c r="X87" s="26">
        <v>3516</v>
      </c>
      <c r="Y87" s="26">
        <v>3516</v>
      </c>
      <c r="Z87" s="26">
        <v>3516</v>
      </c>
      <c r="AA87" s="26">
        <v>3515</v>
      </c>
      <c r="AB87" s="26">
        <v>3501</v>
      </c>
      <c r="AC87" s="26">
        <v>3503</v>
      </c>
      <c r="AD87" s="26">
        <v>3617</v>
      </c>
      <c r="AE87" s="26">
        <v>3614</v>
      </c>
      <c r="AG87" s="16" t="s">
        <v>156</v>
      </c>
      <c r="AH87" s="29">
        <v>0</v>
      </c>
      <c r="AI87" s="29">
        <f t="shared" si="59"/>
        <v>-3.9637599093997732E-3</v>
      </c>
      <c r="AJ87" s="29">
        <f t="shared" si="36"/>
        <v>-2.8425241614553722E-4</v>
      </c>
      <c r="AK87" s="29">
        <f t="shared" si="37"/>
        <v>-2.8433323855558713E-4</v>
      </c>
      <c r="AL87" s="29">
        <f t="shared" si="38"/>
        <v>0</v>
      </c>
      <c r="AM87" s="29">
        <f t="shared" si="39"/>
        <v>0</v>
      </c>
      <c r="AN87" s="29">
        <f t="shared" si="40"/>
        <v>0</v>
      </c>
      <c r="AO87" s="29">
        <f t="shared" si="41"/>
        <v>0</v>
      </c>
      <c r="AP87" s="29">
        <f t="shared" si="42"/>
        <v>-2.8441410693970419E-4</v>
      </c>
      <c r="AQ87" s="29">
        <f t="shared" si="43"/>
        <v>-3.982930298719772E-3</v>
      </c>
      <c r="AR87" s="29">
        <f t="shared" si="44"/>
        <v>5.7126535275635532E-4</v>
      </c>
      <c r="AS87" s="29">
        <f t="shared" si="45"/>
        <v>3.25435341136169E-2</v>
      </c>
      <c r="AT87" s="29">
        <f t="shared" si="46"/>
        <v>-8.2941664362731543E-4</v>
      </c>
      <c r="AU87" s="29"/>
      <c r="AW87" s="16" t="s">
        <v>156</v>
      </c>
      <c r="AX87" s="32">
        <f t="shared" si="63"/>
        <v>-1.4160041085151034E-3</v>
      </c>
      <c r="AY87" s="32">
        <f t="shared" si="64"/>
        <v>-1.5107818547002991E-3</v>
      </c>
      <c r="AZ87" s="32">
        <f t="shared" si="65"/>
        <v>-1.8952855156704148E-4</v>
      </c>
      <c r="BA87" s="32">
        <f t="shared" si="66"/>
        <v>-9.4777746185195709E-5</v>
      </c>
      <c r="BB87" s="32">
        <f t="shared" si="67"/>
        <v>0</v>
      </c>
      <c r="BC87" s="32">
        <f t="shared" si="68"/>
        <v>0</v>
      </c>
      <c r="BD87" s="32">
        <f t="shared" si="69"/>
        <v>-9.4804702313234731E-5</v>
      </c>
      <c r="BE87" s="32">
        <f t="shared" si="70"/>
        <v>-1.4224481352198253E-3</v>
      </c>
      <c r="BF87" s="32">
        <f t="shared" si="71"/>
        <v>-1.2320263509677067E-3</v>
      </c>
      <c r="BG87" s="32">
        <f t="shared" si="72"/>
        <v>9.7106230558844948E-3</v>
      </c>
      <c r="BH87" s="41">
        <f t="shared" si="73"/>
        <v>1.0761794274248645E-2</v>
      </c>
      <c r="BI87" s="46">
        <f t="shared" si="58"/>
        <v>0.49793751306339096</v>
      </c>
      <c r="BJ87" s="41" t="b">
        <f t="shared" si="61"/>
        <v>0</v>
      </c>
      <c r="BK87" s="41" t="b">
        <f t="shared" si="62"/>
        <v>0</v>
      </c>
      <c r="BL87" s="42" t="str">
        <f>_xlfn.XLOOKUP(AW87,'County Population Strata'!$A$3:$A$66,'County Population Strata'!$P$3:$P$66)</f>
        <v>Tiny</v>
      </c>
      <c r="BQ87" s="21">
        <f t="shared" si="60"/>
        <v>4.8811370332319949E-5</v>
      </c>
    </row>
    <row r="88" spans="18:69" x14ac:dyDescent="0.2">
      <c r="R88" s="16" t="s">
        <v>157</v>
      </c>
      <c r="S88" s="26">
        <v>5838</v>
      </c>
      <c r="T88" s="26">
        <v>5837</v>
      </c>
      <c r="U88" s="26">
        <v>5839</v>
      </c>
      <c r="V88" s="26">
        <v>5843</v>
      </c>
      <c r="W88" s="26">
        <v>5843</v>
      </c>
      <c r="X88" s="26">
        <v>5839</v>
      </c>
      <c r="Y88" s="26">
        <v>5837</v>
      </c>
      <c r="Z88" s="26">
        <v>5837</v>
      </c>
      <c r="AA88" s="26">
        <v>5837</v>
      </c>
      <c r="AB88" s="26">
        <v>5840</v>
      </c>
      <c r="AC88" s="26">
        <v>5696</v>
      </c>
      <c r="AD88" s="26">
        <v>5744</v>
      </c>
      <c r="AE88" s="26">
        <v>5620</v>
      </c>
      <c r="AG88" s="16" t="s">
        <v>157</v>
      </c>
      <c r="AH88" s="29">
        <v>0</v>
      </c>
      <c r="AI88" s="29">
        <f t="shared" si="59"/>
        <v>-1.7129153819801302E-4</v>
      </c>
      <c r="AJ88" s="29">
        <f t="shared" si="36"/>
        <v>3.4264176803152307E-4</v>
      </c>
      <c r="AK88" s="29">
        <f t="shared" si="37"/>
        <v>6.8504880972769305E-4</v>
      </c>
      <c r="AL88" s="29">
        <f t="shared" si="38"/>
        <v>0</v>
      </c>
      <c r="AM88" s="29">
        <f t="shared" si="39"/>
        <v>-6.8457983912373777E-4</v>
      </c>
      <c r="AN88" s="29">
        <f t="shared" si="40"/>
        <v>-3.4252440486384652E-4</v>
      </c>
      <c r="AO88" s="29">
        <f t="shared" si="41"/>
        <v>0</v>
      </c>
      <c r="AP88" s="29">
        <f t="shared" si="42"/>
        <v>0</v>
      </c>
      <c r="AQ88" s="29">
        <f t="shared" si="43"/>
        <v>5.1396265204728452E-4</v>
      </c>
      <c r="AR88" s="29">
        <f t="shared" si="44"/>
        <v>-2.4657534246575342E-2</v>
      </c>
      <c r="AS88" s="29">
        <f t="shared" si="45"/>
        <v>8.4269662921348312E-3</v>
      </c>
      <c r="AT88" s="29">
        <f t="shared" si="46"/>
        <v>-2.1587743732590529E-2</v>
      </c>
      <c r="AU88" s="29"/>
      <c r="AW88" s="16" t="s">
        <v>157</v>
      </c>
      <c r="AX88" s="32">
        <f t="shared" si="63"/>
        <v>5.7116743277836679E-5</v>
      </c>
      <c r="AY88" s="32">
        <f t="shared" si="64"/>
        <v>2.8546634652040103E-4</v>
      </c>
      <c r="AZ88" s="32">
        <f t="shared" si="65"/>
        <v>3.4256352591973869E-4</v>
      </c>
      <c r="BA88" s="32">
        <f t="shared" si="66"/>
        <v>1.5632353465175908E-7</v>
      </c>
      <c r="BB88" s="32">
        <f t="shared" si="67"/>
        <v>-3.4236808132919475E-4</v>
      </c>
      <c r="BC88" s="32">
        <f t="shared" si="68"/>
        <v>-3.4236808132919475E-4</v>
      </c>
      <c r="BD88" s="32">
        <f t="shared" si="69"/>
        <v>-1.1417480162128218E-4</v>
      </c>
      <c r="BE88" s="32">
        <f t="shared" si="70"/>
        <v>1.7132088401576151E-4</v>
      </c>
      <c r="BF88" s="32">
        <f t="shared" si="71"/>
        <v>-8.0478571981760193E-3</v>
      </c>
      <c r="BG88" s="32">
        <f t="shared" si="72"/>
        <v>-5.2388684341310755E-3</v>
      </c>
      <c r="BH88" s="41">
        <f t="shared" si="73"/>
        <v>-1.2606103895677012E-2</v>
      </c>
      <c r="BI88" s="46">
        <f t="shared" si="58"/>
        <v>-1.1675216843184157</v>
      </c>
      <c r="BJ88" s="41" t="b">
        <f t="shared" si="61"/>
        <v>0</v>
      </c>
      <c r="BK88" s="41" t="b">
        <f t="shared" si="62"/>
        <v>1</v>
      </c>
      <c r="BL88" s="42" t="str">
        <f>_xlfn.XLOOKUP(AW88,'County Population Strata'!$A$3:$A$66,'County Population Strata'!$P$3:$P$66)</f>
        <v>Tiny</v>
      </c>
      <c r="BQ88" s="21">
        <f t="shared" si="60"/>
        <v>2.6834976500155231E-4</v>
      </c>
    </row>
    <row r="89" spans="18:69" x14ac:dyDescent="0.2">
      <c r="R89" s="16" t="s">
        <v>158</v>
      </c>
      <c r="S89" s="26">
        <v>4272</v>
      </c>
      <c r="T89" s="26">
        <v>4318</v>
      </c>
      <c r="U89" s="26">
        <v>4367</v>
      </c>
      <c r="V89" s="26">
        <v>4405</v>
      </c>
      <c r="W89" s="26">
        <v>4437</v>
      </c>
      <c r="X89" s="26">
        <v>4467</v>
      </c>
      <c r="Y89" s="26">
        <v>4496</v>
      </c>
      <c r="Z89" s="26">
        <v>4539</v>
      </c>
      <c r="AA89" s="26">
        <v>4591</v>
      </c>
      <c r="AB89" s="26">
        <v>4646</v>
      </c>
      <c r="AC89" s="26">
        <v>4720</v>
      </c>
      <c r="AD89" s="26">
        <v>5064</v>
      </c>
      <c r="AE89" s="26">
        <v>5338</v>
      </c>
      <c r="AG89" s="16" t="s">
        <v>158</v>
      </c>
      <c r="AH89" s="29">
        <v>0</v>
      </c>
      <c r="AI89" s="29">
        <f t="shared" si="59"/>
        <v>1.0767790262172285E-2</v>
      </c>
      <c r="AJ89" s="29">
        <f t="shared" si="36"/>
        <v>1.1347846225104215E-2</v>
      </c>
      <c r="AK89" s="29">
        <f t="shared" si="37"/>
        <v>8.7016258300893056E-3</v>
      </c>
      <c r="AL89" s="29">
        <f t="shared" si="38"/>
        <v>7.2644721906923952E-3</v>
      </c>
      <c r="AM89" s="29">
        <f t="shared" si="39"/>
        <v>6.7613252197430695E-3</v>
      </c>
      <c r="AN89" s="29">
        <f t="shared" si="40"/>
        <v>6.4920528318782181E-3</v>
      </c>
      <c r="AO89" s="29">
        <f t="shared" si="41"/>
        <v>9.5640569395017798E-3</v>
      </c>
      <c r="AP89" s="29">
        <f t="shared" si="42"/>
        <v>1.1456267900418595E-2</v>
      </c>
      <c r="AQ89" s="29">
        <f t="shared" si="43"/>
        <v>1.1979960792855586E-2</v>
      </c>
      <c r="AR89" s="29">
        <f t="shared" si="44"/>
        <v>1.5927679724494187E-2</v>
      </c>
      <c r="AS89" s="29">
        <f t="shared" si="45"/>
        <v>7.2881355932203393E-2</v>
      </c>
      <c r="AT89" s="29">
        <f t="shared" si="46"/>
        <v>5.410742496050553E-2</v>
      </c>
      <c r="AU89" s="29"/>
      <c r="AW89" s="16" t="s">
        <v>158</v>
      </c>
      <c r="AX89" s="32">
        <f t="shared" si="63"/>
        <v>7.3718788290921657E-3</v>
      </c>
      <c r="AY89" s="32">
        <f t="shared" si="64"/>
        <v>1.0272420772455269E-2</v>
      </c>
      <c r="AZ89" s="32">
        <f t="shared" si="65"/>
        <v>9.1046480819619718E-3</v>
      </c>
      <c r="BA89" s="32">
        <f t="shared" si="66"/>
        <v>7.5758077468415898E-3</v>
      </c>
      <c r="BB89" s="32">
        <f t="shared" si="67"/>
        <v>6.8392834141045612E-3</v>
      </c>
      <c r="BC89" s="32">
        <f t="shared" si="68"/>
        <v>7.6058116637076892E-3</v>
      </c>
      <c r="BD89" s="32">
        <f t="shared" si="69"/>
        <v>9.1707925572661973E-3</v>
      </c>
      <c r="BE89" s="32">
        <f t="shared" si="70"/>
        <v>1.100009521092532E-2</v>
      </c>
      <c r="BF89" s="32">
        <f t="shared" si="71"/>
        <v>1.3121302805922788E-2</v>
      </c>
      <c r="BG89" s="32">
        <f t="shared" si="72"/>
        <v>3.3596332149851055E-2</v>
      </c>
      <c r="BH89" s="41">
        <f t="shared" si="73"/>
        <v>4.7638820205734372E-2</v>
      </c>
      <c r="BI89" s="46">
        <f t="shared" si="58"/>
        <v>3.1262090659035104</v>
      </c>
      <c r="BJ89" s="41" t="b">
        <f t="shared" si="61"/>
        <v>1</v>
      </c>
      <c r="BK89" s="41" t="b">
        <f t="shared" si="62"/>
        <v>0</v>
      </c>
      <c r="BL89" s="42" t="str">
        <f>_xlfn.XLOOKUP(AW89,'County Population Strata'!$A$3:$A$66,'County Population Strata'!$P$3:$P$66)</f>
        <v>Tiny</v>
      </c>
      <c r="BQ89" s="21">
        <f t="shared" si="60"/>
        <v>1.9240100879833195E-3</v>
      </c>
    </row>
    <row r="90" spans="18:69" x14ac:dyDescent="0.2">
      <c r="R90" s="16" t="s">
        <v>159</v>
      </c>
      <c r="S90" s="26">
        <v>30889</v>
      </c>
      <c r="T90" s="26">
        <v>30433</v>
      </c>
      <c r="U90" s="26">
        <v>30554</v>
      </c>
      <c r="V90" s="26">
        <v>30428</v>
      </c>
      <c r="W90" s="26">
        <v>30066</v>
      </c>
      <c r="X90" s="26">
        <v>30039</v>
      </c>
      <c r="Y90" s="26">
        <v>30489</v>
      </c>
      <c r="Z90" s="26">
        <v>30703</v>
      </c>
      <c r="AA90" s="26">
        <v>31033</v>
      </c>
      <c r="AB90" s="26">
        <v>31237</v>
      </c>
      <c r="AC90" s="26">
        <v>31052</v>
      </c>
      <c r="AD90" s="26">
        <v>31386</v>
      </c>
      <c r="AE90" s="26">
        <v>31581</v>
      </c>
      <c r="AG90" s="16" t="s">
        <v>159</v>
      </c>
      <c r="AH90" s="29">
        <v>0</v>
      </c>
      <c r="AI90" s="29">
        <f t="shared" si="59"/>
        <v>-1.4762536825407103E-2</v>
      </c>
      <c r="AJ90" s="29">
        <f t="shared" si="36"/>
        <v>3.9759471626195251E-3</v>
      </c>
      <c r="AK90" s="29">
        <f t="shared" si="37"/>
        <v>-4.1238463049027953E-3</v>
      </c>
      <c r="AL90" s="29">
        <f t="shared" si="38"/>
        <v>-1.1896937031681347E-2</v>
      </c>
      <c r="AM90" s="29">
        <f t="shared" si="39"/>
        <v>-8.9802434643783673E-4</v>
      </c>
      <c r="AN90" s="29">
        <f t="shared" si="40"/>
        <v>1.4980525317087786E-2</v>
      </c>
      <c r="AO90" s="29">
        <f t="shared" si="41"/>
        <v>7.0189248581455609E-3</v>
      </c>
      <c r="AP90" s="29">
        <f t="shared" si="42"/>
        <v>1.0748135361365339E-2</v>
      </c>
      <c r="AQ90" s="29">
        <f t="shared" si="43"/>
        <v>6.5736474075983632E-3</v>
      </c>
      <c r="AR90" s="29">
        <f t="shared" si="44"/>
        <v>-5.9224637449178863E-3</v>
      </c>
      <c r="AS90" s="29">
        <f t="shared" si="45"/>
        <v>1.0756150972562153E-2</v>
      </c>
      <c r="AT90" s="29">
        <f t="shared" si="46"/>
        <v>6.2129611928885492E-3</v>
      </c>
      <c r="AU90" s="29"/>
      <c r="AW90" s="16" t="s">
        <v>159</v>
      </c>
      <c r="AX90" s="32">
        <f t="shared" si="63"/>
        <v>-3.5955298875958593E-3</v>
      </c>
      <c r="AY90" s="32">
        <f t="shared" si="64"/>
        <v>-4.9701453225634573E-3</v>
      </c>
      <c r="AZ90" s="32">
        <f t="shared" si="65"/>
        <v>-4.0149453913215392E-3</v>
      </c>
      <c r="BA90" s="32">
        <f t="shared" si="66"/>
        <v>-5.639602561007327E-3</v>
      </c>
      <c r="BB90" s="32">
        <f t="shared" si="67"/>
        <v>7.2852131298953412E-4</v>
      </c>
      <c r="BC90" s="32">
        <f t="shared" si="68"/>
        <v>7.0338086095985035E-3</v>
      </c>
      <c r="BD90" s="32">
        <f t="shared" si="69"/>
        <v>1.0915861845532894E-2</v>
      </c>
      <c r="BE90" s="32">
        <f t="shared" si="70"/>
        <v>8.1135692090364211E-3</v>
      </c>
      <c r="BF90" s="32">
        <f t="shared" si="71"/>
        <v>3.7997730080152718E-3</v>
      </c>
      <c r="BG90" s="32">
        <f t="shared" si="72"/>
        <v>3.8024448784142102E-3</v>
      </c>
      <c r="BH90" s="41">
        <f t="shared" si="73"/>
        <v>3.6822161401776055E-3</v>
      </c>
      <c r="BI90" s="46">
        <f t="shared" si="58"/>
        <v>-6.6328351652898687E-3</v>
      </c>
      <c r="BJ90" s="41" t="b">
        <f t="shared" si="61"/>
        <v>0</v>
      </c>
      <c r="BK90" s="41" t="b">
        <f t="shared" si="62"/>
        <v>0</v>
      </c>
      <c r="BL90" s="42" t="str">
        <f>_xlfn.XLOOKUP(AW90,'County Population Strata'!$A$3:$A$66,'County Population Strata'!$P$3:$P$66)</f>
        <v>Small</v>
      </c>
      <c r="BQ90" s="21">
        <f t="shared" si="60"/>
        <v>8.6610334859023589E-9</v>
      </c>
    </row>
    <row r="91" spans="18:69" x14ac:dyDescent="0.2">
      <c r="R91" s="16" t="s">
        <v>160</v>
      </c>
      <c r="S91" s="26">
        <v>604879</v>
      </c>
      <c r="T91" s="26">
        <v>620229</v>
      </c>
      <c r="U91" s="26">
        <v>632924</v>
      </c>
      <c r="V91" s="26">
        <v>645302</v>
      </c>
      <c r="W91" s="26">
        <v>658632</v>
      </c>
      <c r="X91" s="26">
        <v>675534</v>
      </c>
      <c r="Y91" s="26">
        <v>686468</v>
      </c>
      <c r="Z91" s="26">
        <v>693134</v>
      </c>
      <c r="AA91" s="26">
        <v>702679</v>
      </c>
      <c r="AB91" s="26">
        <v>710143</v>
      </c>
      <c r="AC91" s="26">
        <v>717545</v>
      </c>
      <c r="AD91" s="26">
        <v>711375</v>
      </c>
      <c r="AE91" s="26">
        <v>712637</v>
      </c>
      <c r="AG91" s="16" t="s">
        <v>160</v>
      </c>
      <c r="AH91" s="29">
        <v>0</v>
      </c>
      <c r="AI91" s="29">
        <f t="shared" si="59"/>
        <v>2.537697622169062E-2</v>
      </c>
      <c r="AJ91" s="29">
        <f t="shared" si="36"/>
        <v>2.0468246405763033E-2</v>
      </c>
      <c r="AK91" s="29">
        <f t="shared" si="37"/>
        <v>1.9556850427539484E-2</v>
      </c>
      <c r="AL91" s="29">
        <f t="shared" si="38"/>
        <v>2.0656994709453869E-2</v>
      </c>
      <c r="AM91" s="29">
        <f t="shared" si="39"/>
        <v>2.5662281820500673E-2</v>
      </c>
      <c r="AN91" s="29">
        <f t="shared" si="40"/>
        <v>1.6185713820473877E-2</v>
      </c>
      <c r="AO91" s="29">
        <f t="shared" si="41"/>
        <v>9.7105764580432009E-3</v>
      </c>
      <c r="AP91" s="29">
        <f t="shared" si="42"/>
        <v>1.377078602405884E-2</v>
      </c>
      <c r="AQ91" s="29">
        <f t="shared" si="43"/>
        <v>1.0622204448973145E-2</v>
      </c>
      <c r="AR91" s="29">
        <f t="shared" si="44"/>
        <v>1.042325278148204E-2</v>
      </c>
      <c r="AS91" s="29">
        <f t="shared" si="45"/>
        <v>-8.598763840595363E-3</v>
      </c>
      <c r="AT91" s="29">
        <f t="shared" si="46"/>
        <v>1.7740291688631172E-3</v>
      </c>
      <c r="AU91" s="29"/>
      <c r="AW91" s="16" t="s">
        <v>160</v>
      </c>
      <c r="AX91" s="32">
        <f t="shared" si="63"/>
        <v>1.5281740875817884E-2</v>
      </c>
      <c r="AY91" s="32">
        <f t="shared" si="64"/>
        <v>2.1800691018331042E-2</v>
      </c>
      <c r="AZ91" s="32">
        <f t="shared" si="65"/>
        <v>2.0227363847585462E-2</v>
      </c>
      <c r="BA91" s="32">
        <f t="shared" si="66"/>
        <v>2.1958708985831341E-2</v>
      </c>
      <c r="BB91" s="32">
        <f t="shared" si="67"/>
        <v>2.083499678347614E-2</v>
      </c>
      <c r="BC91" s="32">
        <f t="shared" si="68"/>
        <v>1.7186190699672584E-2</v>
      </c>
      <c r="BD91" s="32">
        <f t="shared" si="69"/>
        <v>1.3222358767525305E-2</v>
      </c>
      <c r="BE91" s="32">
        <f t="shared" si="70"/>
        <v>1.1367855643691728E-2</v>
      </c>
      <c r="BF91" s="32">
        <f t="shared" si="71"/>
        <v>1.1605414418171341E-2</v>
      </c>
      <c r="BG91" s="32">
        <f t="shared" si="72"/>
        <v>4.1488977966199414E-3</v>
      </c>
      <c r="BH91" s="41">
        <f t="shared" si="73"/>
        <v>1.1995060365832646E-3</v>
      </c>
      <c r="BI91" s="46">
        <f t="shared" si="58"/>
        <v>-0.18357867541143846</v>
      </c>
      <c r="BJ91" s="41" t="b">
        <f t="shared" si="61"/>
        <v>0</v>
      </c>
      <c r="BK91" s="41" t="b">
        <f t="shared" si="62"/>
        <v>0</v>
      </c>
      <c r="BL91" s="42" t="str">
        <f>_xlfn.XLOOKUP(AW91,'County Population Strata'!$A$3:$A$66,'County Population Strata'!$P$3:$P$66)</f>
        <v>Large</v>
      </c>
      <c r="BQ91" s="21">
        <f t="shared" si="60"/>
        <v>6.6346157032077372E-6</v>
      </c>
    </row>
    <row r="92" spans="18:69" x14ac:dyDescent="0.2">
      <c r="R92" s="16" t="s">
        <v>161</v>
      </c>
      <c r="S92" s="26">
        <v>2060</v>
      </c>
      <c r="T92" s="26">
        <v>2065</v>
      </c>
      <c r="U92" s="26">
        <v>2078</v>
      </c>
      <c r="V92" s="26">
        <v>2082</v>
      </c>
      <c r="W92" s="26">
        <v>2084</v>
      </c>
      <c r="X92" s="26">
        <v>2087</v>
      </c>
      <c r="Y92" s="26">
        <v>2088</v>
      </c>
      <c r="Z92" s="26">
        <v>2088</v>
      </c>
      <c r="AA92" s="26">
        <v>2091</v>
      </c>
      <c r="AB92" s="26">
        <v>2085</v>
      </c>
      <c r="AC92" s="26">
        <v>2078</v>
      </c>
      <c r="AD92" s="26">
        <v>2121</v>
      </c>
      <c r="AE92" s="26">
        <v>2203</v>
      </c>
      <c r="AG92" s="16" t="s">
        <v>161</v>
      </c>
      <c r="AH92" s="29">
        <v>0</v>
      </c>
      <c r="AI92" s="29">
        <f t="shared" si="59"/>
        <v>2.4271844660194173E-3</v>
      </c>
      <c r="AJ92" s="29">
        <f t="shared" si="36"/>
        <v>6.2953995157384989E-3</v>
      </c>
      <c r="AK92" s="29">
        <f t="shared" si="37"/>
        <v>1.9249278152069298E-3</v>
      </c>
      <c r="AL92" s="29">
        <f t="shared" si="38"/>
        <v>9.6061479346781938E-4</v>
      </c>
      <c r="AM92" s="29">
        <f t="shared" si="39"/>
        <v>1.4395393474088292E-3</v>
      </c>
      <c r="AN92" s="29">
        <f t="shared" si="40"/>
        <v>4.7915668423574511E-4</v>
      </c>
      <c r="AO92" s="29">
        <f t="shared" si="41"/>
        <v>0</v>
      </c>
      <c r="AP92" s="29">
        <f t="shared" si="42"/>
        <v>1.4367816091954023E-3</v>
      </c>
      <c r="AQ92" s="29">
        <f t="shared" si="43"/>
        <v>-2.8694404591104736E-3</v>
      </c>
      <c r="AR92" s="29">
        <f t="shared" si="44"/>
        <v>-3.357314148681055E-3</v>
      </c>
      <c r="AS92" s="29">
        <f t="shared" si="45"/>
        <v>2.0692974013474495E-2</v>
      </c>
      <c r="AT92" s="29">
        <f t="shared" si="46"/>
        <v>3.8661008958038659E-2</v>
      </c>
      <c r="AU92" s="29"/>
      <c r="AW92" s="16" t="s">
        <v>161</v>
      </c>
      <c r="AX92" s="32">
        <f t="shared" si="63"/>
        <v>2.9075279939193058E-3</v>
      </c>
      <c r="AY92" s="32">
        <f t="shared" si="64"/>
        <v>3.5491705989882821E-3</v>
      </c>
      <c r="AZ92" s="32">
        <f t="shared" si="65"/>
        <v>3.0603140414710828E-3</v>
      </c>
      <c r="BA92" s="32">
        <f t="shared" si="66"/>
        <v>1.4416939853611928E-3</v>
      </c>
      <c r="BB92" s="32">
        <f t="shared" si="67"/>
        <v>9.5977027503746457E-4</v>
      </c>
      <c r="BC92" s="32">
        <f t="shared" si="68"/>
        <v>6.3956534388152474E-4</v>
      </c>
      <c r="BD92" s="32">
        <f t="shared" si="69"/>
        <v>6.3864609781038239E-4</v>
      </c>
      <c r="BE92" s="32">
        <f t="shared" si="70"/>
        <v>-4.7755294997169046E-4</v>
      </c>
      <c r="BF92" s="32">
        <f t="shared" si="71"/>
        <v>-1.5966576661987086E-3</v>
      </c>
      <c r="BG92" s="32">
        <f t="shared" si="72"/>
        <v>4.822073135227656E-3</v>
      </c>
      <c r="BH92" s="41">
        <f t="shared" si="73"/>
        <v>1.8665556274277368E-2</v>
      </c>
      <c r="BI92" s="46">
        <f t="shared" si="58"/>
        <v>1.0612484715904984</v>
      </c>
      <c r="BJ92" s="41" t="b">
        <f t="shared" si="61"/>
        <v>1</v>
      </c>
      <c r="BK92" s="41" t="b">
        <f t="shared" si="62"/>
        <v>0</v>
      </c>
      <c r="BL92" s="42" t="str">
        <f>_xlfn.XLOOKUP(AW92,'County Population Strata'!$A$3:$A$66,'County Population Strata'!$P$3:$P$66)</f>
        <v>Tiny</v>
      </c>
      <c r="BQ92" s="21">
        <f t="shared" si="60"/>
        <v>2.2172030328738098E-4</v>
      </c>
    </row>
    <row r="93" spans="18:69" x14ac:dyDescent="0.2">
      <c r="R93" s="16" t="s">
        <v>162</v>
      </c>
      <c r="S93" s="26">
        <v>287124</v>
      </c>
      <c r="T93" s="26">
        <v>292623</v>
      </c>
      <c r="U93" s="26">
        <v>298733</v>
      </c>
      <c r="V93" s="26">
        <v>306327</v>
      </c>
      <c r="W93" s="26">
        <v>314609</v>
      </c>
      <c r="X93" s="26">
        <v>322079</v>
      </c>
      <c r="Y93" s="26">
        <v>328333</v>
      </c>
      <c r="Z93" s="26">
        <v>335933</v>
      </c>
      <c r="AA93" s="26">
        <v>343267</v>
      </c>
      <c r="AB93" s="26">
        <v>351212</v>
      </c>
      <c r="AC93" s="26">
        <v>360272</v>
      </c>
      <c r="AD93" s="26">
        <v>369758</v>
      </c>
      <c r="AE93" s="26">
        <v>376026</v>
      </c>
      <c r="AG93" s="16" t="s">
        <v>162</v>
      </c>
      <c r="AH93" s="29">
        <v>0</v>
      </c>
      <c r="AI93" s="29">
        <f t="shared" si="59"/>
        <v>1.9152004012203787E-2</v>
      </c>
      <c r="AJ93" s="29">
        <f t="shared" si="36"/>
        <v>2.088010853555599E-2</v>
      </c>
      <c r="AK93" s="29">
        <f t="shared" si="37"/>
        <v>2.5420693395105328E-2</v>
      </c>
      <c r="AL93" s="29">
        <f t="shared" si="38"/>
        <v>2.7036467565705928E-2</v>
      </c>
      <c r="AM93" s="29">
        <f t="shared" si="39"/>
        <v>2.3743758125164886E-2</v>
      </c>
      <c r="AN93" s="29">
        <f t="shared" si="40"/>
        <v>1.941759630401237E-2</v>
      </c>
      <c r="AO93" s="29">
        <f t="shared" si="41"/>
        <v>2.3147231621554947E-2</v>
      </c>
      <c r="AP93" s="29">
        <f t="shared" si="42"/>
        <v>2.1831734304161843E-2</v>
      </c>
      <c r="AQ93" s="29">
        <f t="shared" si="43"/>
        <v>2.3145248450914303E-2</v>
      </c>
      <c r="AR93" s="29">
        <f t="shared" si="44"/>
        <v>2.5796385089347746E-2</v>
      </c>
      <c r="AS93" s="29">
        <f t="shared" si="45"/>
        <v>2.6330106142026025E-2</v>
      </c>
      <c r="AT93" s="29">
        <f t="shared" si="46"/>
        <v>1.6951627821439968E-2</v>
      </c>
      <c r="AU93" s="29"/>
      <c r="AW93" s="16" t="s">
        <v>162</v>
      </c>
      <c r="AX93" s="32">
        <f t="shared" si="63"/>
        <v>1.3344037515919926E-2</v>
      </c>
      <c r="AY93" s="32">
        <f t="shared" si="64"/>
        <v>2.1817601980955035E-2</v>
      </c>
      <c r="AZ93" s="32">
        <f t="shared" si="65"/>
        <v>2.4445756498789079E-2</v>
      </c>
      <c r="BA93" s="32">
        <f t="shared" si="66"/>
        <v>2.5400306361992045E-2</v>
      </c>
      <c r="BB93" s="32">
        <f t="shared" si="67"/>
        <v>2.3399273998294393E-2</v>
      </c>
      <c r="BC93" s="32">
        <f t="shared" si="68"/>
        <v>2.2102862016910734E-2</v>
      </c>
      <c r="BD93" s="32">
        <f t="shared" si="69"/>
        <v>2.1465520743243052E-2</v>
      </c>
      <c r="BE93" s="32">
        <f t="shared" si="70"/>
        <v>2.270807145887703E-2</v>
      </c>
      <c r="BF93" s="32">
        <f t="shared" si="71"/>
        <v>2.3591122614807964E-2</v>
      </c>
      <c r="BG93" s="32">
        <f t="shared" si="72"/>
        <v>2.5090579894096025E-2</v>
      </c>
      <c r="BH93" s="41">
        <f t="shared" si="73"/>
        <v>2.3026039684271249E-2</v>
      </c>
      <c r="BI93" s="46">
        <f t="shared" si="58"/>
        <v>1.3720255533543821</v>
      </c>
      <c r="BJ93" s="41" t="b">
        <f t="shared" si="61"/>
        <v>1</v>
      </c>
      <c r="BK93" s="41" t="b">
        <f t="shared" si="62"/>
        <v>0</v>
      </c>
      <c r="BL93" s="42" t="str">
        <f>_xlfn.XLOOKUP(AW93,'County Population Strata'!$A$3:$A$66,'County Population Strata'!$P$3:$P$66)</f>
        <v>Medium</v>
      </c>
      <c r="BQ93" s="21">
        <f t="shared" si="60"/>
        <v>3.7059171708707074E-4</v>
      </c>
    </row>
    <row r="94" spans="18:69" x14ac:dyDescent="0.2">
      <c r="R94" s="16" t="s">
        <v>163</v>
      </c>
      <c r="S94" s="26">
        <v>52057</v>
      </c>
      <c r="T94" s="26">
        <v>52120</v>
      </c>
      <c r="U94" s="26">
        <v>52160</v>
      </c>
      <c r="V94" s="26">
        <v>52262</v>
      </c>
      <c r="W94" s="26">
        <v>52398</v>
      </c>
      <c r="X94" s="26">
        <v>52780</v>
      </c>
      <c r="Y94" s="26">
        <v>53041</v>
      </c>
      <c r="Z94" s="26">
        <v>53724</v>
      </c>
      <c r="AA94" s="26">
        <v>54205</v>
      </c>
      <c r="AB94" s="26">
        <v>54819</v>
      </c>
      <c r="AC94" s="26">
        <v>55667</v>
      </c>
      <c r="AD94" s="26">
        <v>55785</v>
      </c>
      <c r="AE94" s="26">
        <v>55291</v>
      </c>
      <c r="AG94" s="16" t="s">
        <v>163</v>
      </c>
      <c r="AH94" s="29">
        <v>0</v>
      </c>
      <c r="AI94" s="29">
        <f t="shared" si="59"/>
        <v>1.2102118831281096E-3</v>
      </c>
      <c r="AJ94" s="29">
        <f t="shared" si="36"/>
        <v>7.6745970836531081E-4</v>
      </c>
      <c r="AK94" s="29">
        <f t="shared" si="37"/>
        <v>1.955521472392638E-3</v>
      </c>
      <c r="AL94" s="29">
        <f t="shared" si="38"/>
        <v>2.6022731621445794E-3</v>
      </c>
      <c r="AM94" s="29">
        <f t="shared" si="39"/>
        <v>7.2903545936867818E-3</v>
      </c>
      <c r="AN94" s="29">
        <f t="shared" si="40"/>
        <v>4.9450549450549448E-3</v>
      </c>
      <c r="AO94" s="29">
        <f t="shared" si="41"/>
        <v>1.2876831130634791E-2</v>
      </c>
      <c r="AP94" s="29">
        <f t="shared" si="42"/>
        <v>8.9531680440771352E-3</v>
      </c>
      <c r="AQ94" s="29">
        <f t="shared" si="43"/>
        <v>1.1327368323955355E-2</v>
      </c>
      <c r="AR94" s="29">
        <f t="shared" si="44"/>
        <v>1.5469089184406867E-2</v>
      </c>
      <c r="AS94" s="29">
        <f t="shared" si="45"/>
        <v>2.1197477859414018E-3</v>
      </c>
      <c r="AT94" s="29">
        <f t="shared" si="46"/>
        <v>-8.8554270861342654E-3</v>
      </c>
      <c r="AU94" s="29"/>
      <c r="AW94" s="16" t="s">
        <v>163</v>
      </c>
      <c r="AX94" s="32">
        <f t="shared" si="63"/>
        <v>6.592238638311402E-4</v>
      </c>
      <c r="AY94" s="32">
        <f t="shared" si="64"/>
        <v>1.3110643546286862E-3</v>
      </c>
      <c r="AZ94" s="32">
        <f t="shared" si="65"/>
        <v>1.7750847809675093E-3</v>
      </c>
      <c r="BA94" s="32">
        <f t="shared" si="66"/>
        <v>3.9493830760746664E-3</v>
      </c>
      <c r="BB94" s="32">
        <f t="shared" si="67"/>
        <v>4.9458942336287684E-3</v>
      </c>
      <c r="BC94" s="32">
        <f t="shared" si="68"/>
        <v>8.3707468897921741E-3</v>
      </c>
      <c r="BD94" s="32">
        <f t="shared" si="69"/>
        <v>8.9250180399222893E-3</v>
      </c>
      <c r="BE94" s="32">
        <f t="shared" si="70"/>
        <v>1.1052455832889094E-2</v>
      </c>
      <c r="BF94" s="32">
        <f t="shared" si="71"/>
        <v>1.1916541850813117E-2</v>
      </c>
      <c r="BG94" s="32">
        <f t="shared" si="72"/>
        <v>9.6387350981012084E-3</v>
      </c>
      <c r="BH94" s="41">
        <f t="shared" si="73"/>
        <v>2.911136628071334E-3</v>
      </c>
      <c r="BI94" s="46">
        <f t="shared" si="58"/>
        <v>-6.1588632045765222E-2</v>
      </c>
      <c r="BJ94" s="41" t="b">
        <f t="shared" si="61"/>
        <v>0</v>
      </c>
      <c r="BK94" s="41" t="b">
        <f t="shared" si="62"/>
        <v>0</v>
      </c>
      <c r="BL94" s="42" t="str">
        <f>_xlfn.XLOOKUP(AW94,'County Population Strata'!$A$3:$A$66,'County Population Strata'!$P$3:$P$66)</f>
        <v>Small</v>
      </c>
      <c r="BQ94" s="21">
        <f t="shared" si="60"/>
        <v>7.4674517381649503E-7</v>
      </c>
    </row>
    <row r="95" spans="18:69" x14ac:dyDescent="0.2">
      <c r="R95" s="16" t="s">
        <v>165</v>
      </c>
      <c r="S95" s="26">
        <v>627232</v>
      </c>
      <c r="T95" s="26">
        <v>639139</v>
      </c>
      <c r="U95" s="26">
        <v>648445</v>
      </c>
      <c r="V95" s="26">
        <v>658303</v>
      </c>
      <c r="W95" s="26">
        <v>665754</v>
      </c>
      <c r="X95" s="26">
        <v>677969</v>
      </c>
      <c r="Y95" s="26">
        <v>692295</v>
      </c>
      <c r="Z95" s="26">
        <v>704797</v>
      </c>
      <c r="AA95" s="26">
        <v>717812</v>
      </c>
      <c r="AB95" s="26">
        <v>725497</v>
      </c>
      <c r="AC95" s="26">
        <v>732366</v>
      </c>
      <c r="AD95" s="26">
        <v>737202</v>
      </c>
      <c r="AE95" s="26">
        <v>740552</v>
      </c>
      <c r="AG95" s="16" t="s">
        <v>165</v>
      </c>
      <c r="AH95" s="29">
        <v>0</v>
      </c>
      <c r="AI95" s="29">
        <f t="shared" si="59"/>
        <v>1.898340645885414E-2</v>
      </c>
      <c r="AJ95" s="29">
        <f t="shared" si="36"/>
        <v>1.4560213036600801E-2</v>
      </c>
      <c r="AK95" s="29">
        <f t="shared" si="37"/>
        <v>1.5202522958770597E-2</v>
      </c>
      <c r="AL95" s="29">
        <f t="shared" si="38"/>
        <v>1.131849619400185E-2</v>
      </c>
      <c r="AM95" s="29">
        <f t="shared" si="39"/>
        <v>1.8347617888889889E-2</v>
      </c>
      <c r="AN95" s="29">
        <f t="shared" si="40"/>
        <v>2.1130759666002429E-2</v>
      </c>
      <c r="AO95" s="29">
        <f t="shared" si="41"/>
        <v>1.8058775521995682E-2</v>
      </c>
      <c r="AP95" s="29">
        <f t="shared" si="42"/>
        <v>1.8466310157392838E-2</v>
      </c>
      <c r="AQ95" s="29">
        <f t="shared" si="43"/>
        <v>1.0706145898926182E-2</v>
      </c>
      <c r="AR95" s="29">
        <f t="shared" si="44"/>
        <v>9.467992286666933E-3</v>
      </c>
      <c r="AS95" s="29">
        <f t="shared" si="45"/>
        <v>6.6032557491745927E-3</v>
      </c>
      <c r="AT95" s="29">
        <f t="shared" si="46"/>
        <v>4.5442090498940589E-3</v>
      </c>
      <c r="AU95" s="29"/>
      <c r="AW95" s="16" t="s">
        <v>165</v>
      </c>
      <c r="AX95" s="32">
        <f t="shared" si="63"/>
        <v>1.118120649848498E-2</v>
      </c>
      <c r="AY95" s="32">
        <f t="shared" si="64"/>
        <v>1.6248714151408512E-2</v>
      </c>
      <c r="AZ95" s="32">
        <f t="shared" si="65"/>
        <v>1.3693744063124416E-2</v>
      </c>
      <c r="BA95" s="32">
        <f t="shared" si="66"/>
        <v>1.4956212347220778E-2</v>
      </c>
      <c r="BB95" s="32">
        <f t="shared" si="67"/>
        <v>1.6932291249631391E-2</v>
      </c>
      <c r="BC95" s="32">
        <f t="shared" si="68"/>
        <v>1.9179051025629335E-2</v>
      </c>
      <c r="BD95" s="32">
        <f t="shared" si="69"/>
        <v>1.9218615115130316E-2</v>
      </c>
      <c r="BE95" s="32">
        <f t="shared" si="70"/>
        <v>1.5743743859438233E-2</v>
      </c>
      <c r="BF95" s="32">
        <f t="shared" si="71"/>
        <v>1.2880149447661984E-2</v>
      </c>
      <c r="BG95" s="32">
        <f t="shared" si="72"/>
        <v>8.9257979782559026E-3</v>
      </c>
      <c r="BH95" s="41">
        <f t="shared" si="73"/>
        <v>6.8718190285785288E-3</v>
      </c>
      <c r="BI95" s="46">
        <f t="shared" si="58"/>
        <v>0.220694133989326</v>
      </c>
      <c r="BJ95" s="41" t="b">
        <f t="shared" si="61"/>
        <v>0</v>
      </c>
      <c r="BK95" s="41" t="b">
        <f t="shared" si="62"/>
        <v>0</v>
      </c>
      <c r="BL95" s="42" t="str">
        <f>_xlfn.XLOOKUP(AW95,'County Population Strata'!$A$3:$A$66,'County Population Strata'!$P$3:$P$66)</f>
        <v>Large</v>
      </c>
      <c r="BQ95" s="21">
        <f t="shared" si="60"/>
        <v>9.5885489152690501E-6</v>
      </c>
    </row>
    <row r="96" spans="18:69" x14ac:dyDescent="0.2">
      <c r="R96" s="16" t="s">
        <v>164</v>
      </c>
      <c r="S96" s="26">
        <v>23107</v>
      </c>
      <c r="T96" s="26">
        <v>23032</v>
      </c>
      <c r="U96" s="26">
        <v>23034</v>
      </c>
      <c r="V96" s="26">
        <v>23183</v>
      </c>
      <c r="W96" s="26">
        <v>23569</v>
      </c>
      <c r="X96" s="26">
        <v>24061</v>
      </c>
      <c r="Y96" s="26">
        <v>24450</v>
      </c>
      <c r="Z96" s="26">
        <v>24942</v>
      </c>
      <c r="AA96" s="26">
        <v>25366</v>
      </c>
      <c r="AB96" s="26">
        <v>25667</v>
      </c>
      <c r="AC96" s="26">
        <v>26220</v>
      </c>
      <c r="AD96" s="26">
        <v>27144</v>
      </c>
      <c r="AE96" s="26">
        <v>27821</v>
      </c>
      <c r="AG96" s="16" t="s">
        <v>164</v>
      </c>
      <c r="AH96" s="29">
        <v>0</v>
      </c>
      <c r="AI96" s="29">
        <f t="shared" si="59"/>
        <v>-3.2457696801834941E-3</v>
      </c>
      <c r="AJ96" s="29">
        <f t="shared" si="36"/>
        <v>8.6835706842653695E-5</v>
      </c>
      <c r="AK96" s="29">
        <f t="shared" si="37"/>
        <v>6.4686984457758097E-3</v>
      </c>
      <c r="AL96" s="29">
        <f t="shared" si="38"/>
        <v>1.6650131561920373E-2</v>
      </c>
      <c r="AM96" s="29">
        <f t="shared" si="39"/>
        <v>2.087487801773516E-2</v>
      </c>
      <c r="AN96" s="29">
        <f t="shared" si="40"/>
        <v>1.6167241594281203E-2</v>
      </c>
      <c r="AO96" s="29">
        <f t="shared" si="41"/>
        <v>2.0122699386503066E-2</v>
      </c>
      <c r="AP96" s="29">
        <f t="shared" si="42"/>
        <v>1.6999438697778847E-2</v>
      </c>
      <c r="AQ96" s="29">
        <f t="shared" si="43"/>
        <v>1.1866277694551763E-2</v>
      </c>
      <c r="AR96" s="29">
        <f t="shared" si="44"/>
        <v>2.1545174737990416E-2</v>
      </c>
      <c r="AS96" s="29">
        <f t="shared" si="45"/>
        <v>3.5240274599542334E-2</v>
      </c>
      <c r="AT96" s="29">
        <f t="shared" si="46"/>
        <v>2.4941055113468908E-2</v>
      </c>
      <c r="AU96" s="29"/>
      <c r="AW96" s="16" t="s">
        <v>164</v>
      </c>
      <c r="AX96" s="32">
        <f t="shared" si="63"/>
        <v>-1.0529779911136134E-3</v>
      </c>
      <c r="AY96" s="32">
        <f t="shared" si="64"/>
        <v>1.1032548241449898E-3</v>
      </c>
      <c r="AZ96" s="32">
        <f t="shared" si="65"/>
        <v>7.7352219048462791E-3</v>
      </c>
      <c r="BA96" s="32">
        <f t="shared" si="66"/>
        <v>1.4664569341810449E-2</v>
      </c>
      <c r="BB96" s="32">
        <f t="shared" si="67"/>
        <v>1.7897417057978912E-2</v>
      </c>
      <c r="BC96" s="32">
        <f t="shared" si="68"/>
        <v>1.9054939666173144E-2</v>
      </c>
      <c r="BD96" s="32">
        <f t="shared" si="69"/>
        <v>1.7763126559521038E-2</v>
      </c>
      <c r="BE96" s="32">
        <f t="shared" si="70"/>
        <v>1.6329471926277893E-2</v>
      </c>
      <c r="BF96" s="32">
        <f t="shared" si="71"/>
        <v>1.6803630376773678E-2</v>
      </c>
      <c r="BG96" s="32">
        <f t="shared" si="72"/>
        <v>2.2883909010694838E-2</v>
      </c>
      <c r="BH96" s="41">
        <f t="shared" si="73"/>
        <v>2.7242168150333885E-2</v>
      </c>
      <c r="BI96" s="46">
        <f t="shared" si="58"/>
        <v>1.6725142785313971</v>
      </c>
      <c r="BJ96" s="41" t="b">
        <f t="shared" si="61"/>
        <v>1</v>
      </c>
      <c r="BK96" s="41" t="b">
        <f t="shared" si="62"/>
        <v>0</v>
      </c>
      <c r="BL96" s="42" t="str">
        <f>_xlfn.XLOOKUP(AW96,'County Population Strata'!$A$3:$A$66,'County Population Strata'!$P$3:$P$66)</f>
        <v>Small</v>
      </c>
      <c r="BQ96" s="21">
        <f t="shared" si="60"/>
        <v>5.5069480126318916E-4</v>
      </c>
    </row>
    <row r="97" spans="18:69" x14ac:dyDescent="0.2">
      <c r="R97" s="16" t="s">
        <v>166</v>
      </c>
      <c r="S97" s="26">
        <v>46854</v>
      </c>
      <c r="T97" s="26">
        <v>47076</v>
      </c>
      <c r="U97" s="26">
        <v>47130</v>
      </c>
      <c r="V97" s="26">
        <v>47183</v>
      </c>
      <c r="W97" s="26">
        <v>47119</v>
      </c>
      <c r="X97" s="26">
        <v>47213</v>
      </c>
      <c r="Y97" s="26">
        <v>47284</v>
      </c>
      <c r="Z97" s="26">
        <v>47564</v>
      </c>
      <c r="AA97" s="26">
        <v>47990</v>
      </c>
      <c r="AB97" s="26">
        <v>48379</v>
      </c>
      <c r="AC97" s="26">
        <v>48881</v>
      </c>
      <c r="AD97" s="26">
        <v>49249</v>
      </c>
      <c r="AE97" s="26">
        <v>49570</v>
      </c>
      <c r="AG97" s="16" t="s">
        <v>166</v>
      </c>
      <c r="AH97" s="29">
        <v>0</v>
      </c>
      <c r="AI97" s="29">
        <f t="shared" si="59"/>
        <v>4.7381226789601745E-3</v>
      </c>
      <c r="AJ97" s="29">
        <f t="shared" si="36"/>
        <v>1.1470813153199083E-3</v>
      </c>
      <c r="AK97" s="29">
        <f t="shared" si="37"/>
        <v>1.1245491194568215E-3</v>
      </c>
      <c r="AL97" s="29">
        <f t="shared" si="38"/>
        <v>-1.3564207447597653E-3</v>
      </c>
      <c r="AM97" s="29">
        <f t="shared" si="39"/>
        <v>1.9949489590186547E-3</v>
      </c>
      <c r="AN97" s="29">
        <f t="shared" si="40"/>
        <v>1.5038230995700337E-3</v>
      </c>
      <c r="AO97" s="29">
        <f t="shared" si="41"/>
        <v>5.9216648337704087E-3</v>
      </c>
      <c r="AP97" s="29">
        <f t="shared" si="42"/>
        <v>8.9563535446976709E-3</v>
      </c>
      <c r="AQ97" s="29">
        <f t="shared" si="43"/>
        <v>8.105855386538862E-3</v>
      </c>
      <c r="AR97" s="29">
        <f t="shared" si="44"/>
        <v>1.0376402984766117E-2</v>
      </c>
      <c r="AS97" s="29">
        <f t="shared" si="45"/>
        <v>7.5284875514003398E-3</v>
      </c>
      <c r="AT97" s="29">
        <f t="shared" si="46"/>
        <v>6.5178988405855953E-3</v>
      </c>
      <c r="AU97" s="29"/>
      <c r="AW97" s="16" t="s">
        <v>166</v>
      </c>
      <c r="AX97" s="32">
        <f t="shared" si="63"/>
        <v>1.9617346647600275E-3</v>
      </c>
      <c r="AY97" s="32">
        <f t="shared" si="64"/>
        <v>2.3365843712456346E-3</v>
      </c>
      <c r="AZ97" s="32">
        <f t="shared" si="65"/>
        <v>3.0506989667232145E-4</v>
      </c>
      <c r="BA97" s="32">
        <f t="shared" si="66"/>
        <v>5.8769244457190361E-4</v>
      </c>
      <c r="BB97" s="32">
        <f t="shared" si="67"/>
        <v>7.1411710460964105E-4</v>
      </c>
      <c r="BC97" s="32">
        <f t="shared" si="68"/>
        <v>3.1401456307863659E-3</v>
      </c>
      <c r="BD97" s="32">
        <f t="shared" si="69"/>
        <v>5.4606138260127049E-3</v>
      </c>
      <c r="BE97" s="32">
        <f t="shared" si="70"/>
        <v>7.6612912550023142E-3</v>
      </c>
      <c r="BF97" s="32">
        <f t="shared" si="71"/>
        <v>9.1462039720008829E-3</v>
      </c>
      <c r="BG97" s="32">
        <f t="shared" si="72"/>
        <v>8.6702486409017728E-3</v>
      </c>
      <c r="BH97" s="41">
        <f t="shared" si="73"/>
        <v>8.1409297922506851E-3</v>
      </c>
      <c r="BI97" s="46">
        <f t="shared" si="58"/>
        <v>0.31114523825570367</v>
      </c>
      <c r="BJ97" s="41" t="b">
        <f t="shared" si="61"/>
        <v>0</v>
      </c>
      <c r="BK97" s="41" t="b">
        <f t="shared" si="62"/>
        <v>0</v>
      </c>
      <c r="BL97" s="42" t="str">
        <f>_xlfn.XLOOKUP(AW97,'County Population Strata'!$A$3:$A$66,'County Population Strata'!$P$3:$P$66)</f>
        <v>Small</v>
      </c>
      <c r="BQ97" s="21">
        <f t="shared" si="60"/>
        <v>1.9058891002603762E-5</v>
      </c>
    </row>
    <row r="98" spans="18:69" x14ac:dyDescent="0.2">
      <c r="R98" s="16" t="s">
        <v>167</v>
      </c>
      <c r="S98" s="26">
        <v>56150</v>
      </c>
      <c r="T98" s="26">
        <v>56267</v>
      </c>
      <c r="U98" s="26">
        <v>56415</v>
      </c>
      <c r="V98" s="26">
        <v>56798</v>
      </c>
      <c r="W98" s="26">
        <v>57131</v>
      </c>
      <c r="X98" s="26">
        <v>57495</v>
      </c>
      <c r="Y98" s="26">
        <v>58161</v>
      </c>
      <c r="Z98" s="26">
        <v>58871</v>
      </c>
      <c r="AA98" s="26">
        <v>59769</v>
      </c>
      <c r="AB98" s="26">
        <v>60558</v>
      </c>
      <c r="AC98" s="26">
        <v>61791</v>
      </c>
      <c r="AD98" s="26">
        <v>62164</v>
      </c>
      <c r="AE98" s="26">
        <v>62254</v>
      </c>
      <c r="AG98" s="16" t="s">
        <v>167</v>
      </c>
      <c r="AH98" s="29">
        <v>0</v>
      </c>
      <c r="AI98" s="29">
        <f t="shared" si="59"/>
        <v>2.0837043633125558E-3</v>
      </c>
      <c r="AJ98" s="29">
        <f t="shared" si="36"/>
        <v>2.6303161711127305E-3</v>
      </c>
      <c r="AK98" s="29">
        <f t="shared" si="37"/>
        <v>6.7889745635026149E-3</v>
      </c>
      <c r="AL98" s="29">
        <f t="shared" si="38"/>
        <v>5.8628824958625305E-3</v>
      </c>
      <c r="AM98" s="29">
        <f t="shared" si="39"/>
        <v>6.3713220493252353E-3</v>
      </c>
      <c r="AN98" s="29">
        <f t="shared" si="40"/>
        <v>1.1583615966605792E-2</v>
      </c>
      <c r="AO98" s="29">
        <f t="shared" si="41"/>
        <v>1.2207492993586767E-2</v>
      </c>
      <c r="AP98" s="29">
        <f t="shared" si="42"/>
        <v>1.5253690271950535E-2</v>
      </c>
      <c r="AQ98" s="29">
        <f t="shared" si="43"/>
        <v>1.3200823169201426E-2</v>
      </c>
      <c r="AR98" s="29">
        <f t="shared" si="44"/>
        <v>2.0360645992271872E-2</v>
      </c>
      <c r="AS98" s="29">
        <f t="shared" si="45"/>
        <v>6.0364778042109688E-3</v>
      </c>
      <c r="AT98" s="29">
        <f t="shared" si="46"/>
        <v>1.4477832829290264E-3</v>
      </c>
      <c r="AU98" s="29"/>
      <c r="AW98" s="16" t="s">
        <v>167</v>
      </c>
      <c r="AX98" s="32">
        <f t="shared" si="63"/>
        <v>1.571340178141762E-3</v>
      </c>
      <c r="AY98" s="32">
        <f t="shared" si="64"/>
        <v>3.8343316993093E-3</v>
      </c>
      <c r="AZ98" s="32">
        <f t="shared" si="65"/>
        <v>5.094057743492625E-3</v>
      </c>
      <c r="BA98" s="32">
        <f t="shared" si="66"/>
        <v>6.3410597028967933E-3</v>
      </c>
      <c r="BB98" s="32">
        <f t="shared" si="67"/>
        <v>7.9392735039311851E-3</v>
      </c>
      <c r="BC98" s="32">
        <f t="shared" si="68"/>
        <v>1.0054143669839264E-2</v>
      </c>
      <c r="BD98" s="32">
        <f t="shared" si="69"/>
        <v>1.3014933077381032E-2</v>
      </c>
      <c r="BE98" s="32">
        <f t="shared" si="70"/>
        <v>1.3554002144912909E-2</v>
      </c>
      <c r="BF98" s="32">
        <f t="shared" si="71"/>
        <v>1.627171981114128E-2</v>
      </c>
      <c r="BG98" s="32">
        <f t="shared" si="72"/>
        <v>1.3199315655228088E-2</v>
      </c>
      <c r="BH98" s="41">
        <f t="shared" si="73"/>
        <v>9.2816356931372888E-3</v>
      </c>
      <c r="BI98" s="46">
        <f t="shared" si="58"/>
        <v>0.39244476807753093</v>
      </c>
      <c r="BJ98" s="41" t="b">
        <f t="shared" si="61"/>
        <v>0</v>
      </c>
      <c r="BK98" s="41" t="b">
        <f t="shared" si="62"/>
        <v>0</v>
      </c>
      <c r="BL98" s="42" t="str">
        <f>_xlfn.XLOOKUP(AW98,'County Population Strata'!$A$3:$A$66,'County Population Strata'!$P$3:$P$66)</f>
        <v>Small</v>
      </c>
      <c r="BQ98" s="21">
        <f t="shared" si="60"/>
        <v>3.0319944056641874E-5</v>
      </c>
    </row>
    <row r="99" spans="18:69" x14ac:dyDescent="0.2">
      <c r="R99" s="16" t="s">
        <v>168</v>
      </c>
      <c r="S99" s="26">
        <v>5463</v>
      </c>
      <c r="T99" s="26">
        <v>5477</v>
      </c>
      <c r="U99" s="26">
        <v>5500</v>
      </c>
      <c r="V99" s="26">
        <v>5512</v>
      </c>
      <c r="W99" s="26">
        <v>5536</v>
      </c>
      <c r="X99" s="26">
        <v>5553</v>
      </c>
      <c r="Y99" s="26">
        <v>5578</v>
      </c>
      <c r="Z99" s="26">
        <v>5635</v>
      </c>
      <c r="AA99" s="26">
        <v>5707</v>
      </c>
      <c r="AB99" s="26">
        <v>5751</v>
      </c>
      <c r="AC99" s="26">
        <v>5823</v>
      </c>
      <c r="AD99" s="26">
        <v>5894</v>
      </c>
      <c r="AE99" s="26">
        <v>5895</v>
      </c>
      <c r="AG99" s="16" t="s">
        <v>168</v>
      </c>
      <c r="AH99" s="29">
        <v>0</v>
      </c>
      <c r="AI99" s="29">
        <f t="shared" si="59"/>
        <v>2.5626944902068459E-3</v>
      </c>
      <c r="AJ99" s="29">
        <f t="shared" si="36"/>
        <v>4.1993792222019353E-3</v>
      </c>
      <c r="AK99" s="29">
        <f t="shared" si="37"/>
        <v>2.1818181818181819E-3</v>
      </c>
      <c r="AL99" s="29">
        <f t="shared" si="38"/>
        <v>4.3541364296081275E-3</v>
      </c>
      <c r="AM99" s="29">
        <f t="shared" si="39"/>
        <v>3.0708092485549135E-3</v>
      </c>
      <c r="AN99" s="29">
        <f t="shared" si="40"/>
        <v>4.5020709526382135E-3</v>
      </c>
      <c r="AO99" s="29">
        <f t="shared" si="41"/>
        <v>1.0218716385801362E-2</v>
      </c>
      <c r="AP99" s="29">
        <f t="shared" si="42"/>
        <v>1.2777284826974268E-2</v>
      </c>
      <c r="AQ99" s="29">
        <f t="shared" si="43"/>
        <v>7.7098300332924478E-3</v>
      </c>
      <c r="AR99" s="29">
        <f t="shared" si="44"/>
        <v>1.2519561815336464E-2</v>
      </c>
      <c r="AS99" s="29">
        <f t="shared" si="45"/>
        <v>1.2193027648978189E-2</v>
      </c>
      <c r="AT99" s="29">
        <f t="shared" si="46"/>
        <v>1.6966406515100103E-4</v>
      </c>
      <c r="AU99" s="29"/>
      <c r="AW99" s="16" t="s">
        <v>168</v>
      </c>
      <c r="AX99" s="32">
        <f t="shared" si="63"/>
        <v>2.2540245708029274E-3</v>
      </c>
      <c r="AY99" s="32">
        <f t="shared" si="64"/>
        <v>2.9812972980756548E-3</v>
      </c>
      <c r="AZ99" s="32">
        <f t="shared" si="65"/>
        <v>3.5784446112094152E-3</v>
      </c>
      <c r="BA99" s="32">
        <f t="shared" si="66"/>
        <v>3.2022546199937407E-3</v>
      </c>
      <c r="BB99" s="32">
        <f t="shared" si="67"/>
        <v>3.9756722102670845E-3</v>
      </c>
      <c r="BC99" s="32">
        <f t="shared" si="68"/>
        <v>5.9305321956648295E-3</v>
      </c>
      <c r="BD99" s="32">
        <f t="shared" si="69"/>
        <v>9.1660240551379481E-3</v>
      </c>
      <c r="BE99" s="32">
        <f t="shared" si="70"/>
        <v>1.0235277082022693E-2</v>
      </c>
      <c r="BF99" s="32">
        <f t="shared" si="71"/>
        <v>1.1002225558534395E-2</v>
      </c>
      <c r="BG99" s="32">
        <f t="shared" si="72"/>
        <v>1.0807473165869034E-2</v>
      </c>
      <c r="BH99" s="41">
        <f t="shared" si="73"/>
        <v>8.2940845098218845E-3</v>
      </c>
      <c r="BI99" s="46">
        <f t="shared" si="58"/>
        <v>0.32206076566627945</v>
      </c>
      <c r="BJ99" s="41" t="b">
        <f t="shared" si="61"/>
        <v>0</v>
      </c>
      <c r="BK99" s="41" t="b">
        <f t="shared" si="62"/>
        <v>0</v>
      </c>
      <c r="BL99" s="42" t="str">
        <f>_xlfn.XLOOKUP(AW99,'County Population Strata'!$A$3:$A$66,'County Population Strata'!$P$3:$P$66)</f>
        <v>Tiny</v>
      </c>
      <c r="BQ99" s="21">
        <f t="shared" si="60"/>
        <v>2.0419586842721731E-5</v>
      </c>
    </row>
    <row r="100" spans="18:69" x14ac:dyDescent="0.2">
      <c r="R100" s="16" t="s">
        <v>169</v>
      </c>
      <c r="S100" s="26">
        <v>14790</v>
      </c>
      <c r="T100" s="26">
        <v>14836</v>
      </c>
      <c r="U100" s="26">
        <v>14925</v>
      </c>
      <c r="V100" s="26">
        <v>14948</v>
      </c>
      <c r="W100" s="26">
        <v>14934</v>
      </c>
      <c r="X100" s="26">
        <v>14961</v>
      </c>
      <c r="Y100" s="26">
        <v>15042</v>
      </c>
      <c r="Z100" s="26">
        <v>15147</v>
      </c>
      <c r="AA100" s="26">
        <v>15268</v>
      </c>
      <c r="AB100" s="26">
        <v>15408</v>
      </c>
      <c r="AC100" s="26">
        <v>15748</v>
      </c>
      <c r="AD100" s="26">
        <v>15860</v>
      </c>
      <c r="AE100" s="26">
        <v>15748</v>
      </c>
      <c r="AG100" s="16" t="s">
        <v>169</v>
      </c>
      <c r="AH100" s="29">
        <v>0</v>
      </c>
      <c r="AI100" s="29">
        <f t="shared" si="59"/>
        <v>3.110209601081812E-3</v>
      </c>
      <c r="AJ100" s="29">
        <f t="shared" si="36"/>
        <v>5.9989215421946615E-3</v>
      </c>
      <c r="AK100" s="29">
        <f t="shared" si="37"/>
        <v>1.5410385259631491E-3</v>
      </c>
      <c r="AL100" s="29">
        <f t="shared" si="38"/>
        <v>-9.3658014450093661E-4</v>
      </c>
      <c r="AM100" s="29">
        <f t="shared" si="39"/>
        <v>1.8079550020088388E-3</v>
      </c>
      <c r="AN100" s="29">
        <f t="shared" si="40"/>
        <v>5.4140765991578105E-3</v>
      </c>
      <c r="AO100" s="29">
        <f t="shared" si="41"/>
        <v>6.9804547267650575E-3</v>
      </c>
      <c r="AP100" s="29">
        <f t="shared" si="42"/>
        <v>7.988380537400145E-3</v>
      </c>
      <c r="AQ100" s="29">
        <f t="shared" si="43"/>
        <v>9.1695048467382769E-3</v>
      </c>
      <c r="AR100" s="29">
        <f t="shared" si="44"/>
        <v>2.2066458982346833E-2</v>
      </c>
      <c r="AS100" s="29">
        <f t="shared" si="45"/>
        <v>7.1120142240284484E-3</v>
      </c>
      <c r="AT100" s="29">
        <f t="shared" si="46"/>
        <v>-7.0617906683480454E-3</v>
      </c>
      <c r="AU100" s="29"/>
      <c r="AW100" s="16" t="s">
        <v>169</v>
      </c>
      <c r="AX100" s="32">
        <f t="shared" si="63"/>
        <v>3.0363770477588245E-3</v>
      </c>
      <c r="AY100" s="32">
        <f t="shared" si="64"/>
        <v>3.5500565564132078E-3</v>
      </c>
      <c r="AZ100" s="32">
        <f t="shared" si="65"/>
        <v>2.201126641218958E-3</v>
      </c>
      <c r="BA100" s="32">
        <f t="shared" si="66"/>
        <v>8.0413779449035048E-4</v>
      </c>
      <c r="BB100" s="32">
        <f t="shared" si="67"/>
        <v>2.0951504855552376E-3</v>
      </c>
      <c r="BC100" s="32">
        <f t="shared" si="68"/>
        <v>4.7341621093105685E-3</v>
      </c>
      <c r="BD100" s="32">
        <f t="shared" si="69"/>
        <v>6.7943039544410043E-3</v>
      </c>
      <c r="BE100" s="32">
        <f t="shared" si="70"/>
        <v>8.0461133703011601E-3</v>
      </c>
      <c r="BF100" s="32">
        <f t="shared" si="71"/>
        <v>1.3074781455495085E-2</v>
      </c>
      <c r="BG100" s="32">
        <f t="shared" si="72"/>
        <v>1.2782659351037853E-2</v>
      </c>
      <c r="BH100" s="41">
        <f t="shared" si="73"/>
        <v>7.372227512675745E-3</v>
      </c>
      <c r="BI100" s="46">
        <f t="shared" si="58"/>
        <v>0.25635886969757166</v>
      </c>
      <c r="BJ100" s="41" t="b">
        <f t="shared" si="61"/>
        <v>0</v>
      </c>
      <c r="BK100" s="41" t="b">
        <f t="shared" si="62"/>
        <v>0</v>
      </c>
      <c r="BL100" s="42" t="str">
        <f>_xlfn.XLOOKUP(AW100,'County Population Strata'!$A$3:$A$66,'County Population Strata'!$P$3:$P$66)</f>
        <v>Tiny</v>
      </c>
      <c r="BQ100" s="21">
        <f t="shared" si="60"/>
        <v>1.2938025554187508E-5</v>
      </c>
    </row>
    <row r="101" spans="18:69" x14ac:dyDescent="0.2">
      <c r="R101" s="16" t="s">
        <v>170</v>
      </c>
      <c r="S101" s="26">
        <v>15309</v>
      </c>
      <c r="T101" s="26">
        <v>15348</v>
      </c>
      <c r="U101" s="26">
        <v>15270</v>
      </c>
      <c r="V101" s="26">
        <v>15425</v>
      </c>
      <c r="W101" s="26">
        <v>15552</v>
      </c>
      <c r="X101" s="26">
        <v>15826</v>
      </c>
      <c r="Y101" s="26">
        <v>16082</v>
      </c>
      <c r="Z101" s="26">
        <v>16464</v>
      </c>
      <c r="AA101" s="26">
        <v>16681</v>
      </c>
      <c r="AB101" s="26">
        <v>16941</v>
      </c>
      <c r="AC101" s="26">
        <v>16946</v>
      </c>
      <c r="AD101" s="26">
        <v>17313</v>
      </c>
      <c r="AE101" s="26">
        <v>17269</v>
      </c>
      <c r="AG101" s="16" t="s">
        <v>170</v>
      </c>
      <c r="AH101" s="29">
        <v>0</v>
      </c>
      <c r="AI101" s="29">
        <f t="shared" si="59"/>
        <v>2.5475210660395845E-3</v>
      </c>
      <c r="AJ101" s="29">
        <f t="shared" si="36"/>
        <v>-5.0820953870211105E-3</v>
      </c>
      <c r="AK101" s="29">
        <f t="shared" si="37"/>
        <v>1.0150622134905042E-2</v>
      </c>
      <c r="AL101" s="29">
        <f t="shared" si="38"/>
        <v>8.2333873581847648E-3</v>
      </c>
      <c r="AM101" s="29">
        <f t="shared" si="39"/>
        <v>1.7618312757201646E-2</v>
      </c>
      <c r="AN101" s="29">
        <f t="shared" si="40"/>
        <v>1.6175913054467334E-2</v>
      </c>
      <c r="AO101" s="29">
        <f t="shared" si="41"/>
        <v>2.3753264519338391E-2</v>
      </c>
      <c r="AP101" s="29">
        <f t="shared" si="42"/>
        <v>1.3180272108843538E-2</v>
      </c>
      <c r="AQ101" s="29">
        <f t="shared" si="43"/>
        <v>1.5586595527846052E-2</v>
      </c>
      <c r="AR101" s="29">
        <f t="shared" si="44"/>
        <v>2.9514196328433979E-4</v>
      </c>
      <c r="AS101" s="29">
        <f t="shared" si="45"/>
        <v>2.1657028207246548E-2</v>
      </c>
      <c r="AT101" s="29">
        <f t="shared" si="46"/>
        <v>-2.5414428464159882E-3</v>
      </c>
      <c r="AU101" s="29"/>
      <c r="AW101" s="16" t="s">
        <v>170</v>
      </c>
      <c r="AX101" s="32">
        <f t="shared" si="63"/>
        <v>-8.4485810699384204E-4</v>
      </c>
      <c r="AY101" s="32">
        <f t="shared" si="64"/>
        <v>2.5386826046411722E-3</v>
      </c>
      <c r="AZ101" s="32">
        <f t="shared" si="65"/>
        <v>4.4339713686895659E-3</v>
      </c>
      <c r="BA101" s="32">
        <f t="shared" si="66"/>
        <v>1.2000774083430484E-2</v>
      </c>
      <c r="BB101" s="32">
        <f t="shared" si="67"/>
        <v>1.4009204389951249E-2</v>
      </c>
      <c r="BC101" s="32">
        <f t="shared" si="68"/>
        <v>1.9182496777002456E-2</v>
      </c>
      <c r="BD101" s="32">
        <f t="shared" si="69"/>
        <v>1.7703149894216421E-2</v>
      </c>
      <c r="BE101" s="32">
        <f t="shared" si="70"/>
        <v>1.7506710718675992E-2</v>
      </c>
      <c r="BF101" s="32">
        <f t="shared" si="71"/>
        <v>9.6873365333246444E-3</v>
      </c>
      <c r="BG101" s="32">
        <f t="shared" si="72"/>
        <v>1.2512921899458981E-2</v>
      </c>
      <c r="BH101" s="41">
        <f t="shared" si="73"/>
        <v>6.4702424413716339E-3</v>
      </c>
      <c r="BI101" s="46">
        <f t="shared" si="58"/>
        <v>0.19207327062568494</v>
      </c>
      <c r="BJ101" s="41" t="b">
        <f t="shared" si="61"/>
        <v>0</v>
      </c>
      <c r="BK101" s="41" t="b">
        <f t="shared" si="62"/>
        <v>0</v>
      </c>
      <c r="BL101" s="42" t="str">
        <f>_xlfn.XLOOKUP(AW101,'County Population Strata'!$A$3:$A$66,'County Population Strata'!$P$3:$P$66)</f>
        <v>Tiny</v>
      </c>
      <c r="BQ101" s="21">
        <f t="shared" si="60"/>
        <v>7.2628181738096203E-6</v>
      </c>
    </row>
    <row r="102" spans="18:69" x14ac:dyDescent="0.2">
      <c r="R102" s="16" t="s">
        <v>171</v>
      </c>
      <c r="S102" s="26">
        <v>843</v>
      </c>
      <c r="T102" s="26">
        <v>835</v>
      </c>
      <c r="U102" s="26">
        <v>831</v>
      </c>
      <c r="V102" s="26">
        <v>825</v>
      </c>
      <c r="W102" s="26">
        <v>819</v>
      </c>
      <c r="X102" s="26">
        <v>813</v>
      </c>
      <c r="Y102" s="26">
        <v>809</v>
      </c>
      <c r="Z102" s="26">
        <v>805</v>
      </c>
      <c r="AA102" s="26">
        <v>801</v>
      </c>
      <c r="AB102" s="26">
        <v>798</v>
      </c>
      <c r="AC102" s="26">
        <v>792</v>
      </c>
      <c r="AD102" s="26">
        <v>778</v>
      </c>
      <c r="AE102" s="26">
        <v>779</v>
      </c>
      <c r="AG102" s="16" t="s">
        <v>171</v>
      </c>
      <c r="AH102" s="29">
        <v>0</v>
      </c>
      <c r="AI102" s="29">
        <f t="shared" si="59"/>
        <v>-9.4899169632265724E-3</v>
      </c>
      <c r="AJ102" s="29">
        <f t="shared" si="36"/>
        <v>-4.7904191616766467E-3</v>
      </c>
      <c r="AK102" s="29">
        <f t="shared" si="37"/>
        <v>-7.2202166064981952E-3</v>
      </c>
      <c r="AL102" s="29">
        <f t="shared" si="38"/>
        <v>-7.2727272727272727E-3</v>
      </c>
      <c r="AM102" s="29">
        <f t="shared" si="39"/>
        <v>-7.326007326007326E-3</v>
      </c>
      <c r="AN102" s="29">
        <f t="shared" si="40"/>
        <v>-4.9200492004920051E-3</v>
      </c>
      <c r="AO102" s="29">
        <f t="shared" si="41"/>
        <v>-4.944375772558714E-3</v>
      </c>
      <c r="AP102" s="29">
        <f t="shared" si="42"/>
        <v>-4.9689440993788822E-3</v>
      </c>
      <c r="AQ102" s="29">
        <f t="shared" si="43"/>
        <v>-3.7453183520599251E-3</v>
      </c>
      <c r="AR102" s="29">
        <f t="shared" si="44"/>
        <v>-7.5187969924812026E-3</v>
      </c>
      <c r="AS102" s="29">
        <f t="shared" si="45"/>
        <v>-1.7676767676767676E-2</v>
      </c>
      <c r="AT102" s="29">
        <f t="shared" si="46"/>
        <v>1.2853470437017994E-3</v>
      </c>
      <c r="AU102" s="29"/>
      <c r="AW102" s="16" t="s">
        <v>171</v>
      </c>
      <c r="AX102" s="32">
        <f t="shared" si="63"/>
        <v>-4.7601120416344064E-3</v>
      </c>
      <c r="AY102" s="32">
        <f t="shared" si="64"/>
        <v>-7.1668509104671381E-3</v>
      </c>
      <c r="AZ102" s="32">
        <f t="shared" si="65"/>
        <v>-6.4277876803007046E-3</v>
      </c>
      <c r="BA102" s="32">
        <f t="shared" si="66"/>
        <v>-7.2729837350775971E-3</v>
      </c>
      <c r="BB102" s="32">
        <f t="shared" si="67"/>
        <v>-6.5062612664088674E-3</v>
      </c>
      <c r="BC102" s="32">
        <f t="shared" si="68"/>
        <v>-5.7301440996860159E-3</v>
      </c>
      <c r="BD102" s="32">
        <f t="shared" si="69"/>
        <v>-4.9444563574765343E-3</v>
      </c>
      <c r="BE102" s="32">
        <f t="shared" si="70"/>
        <v>-4.5528794079991736E-3</v>
      </c>
      <c r="BF102" s="32">
        <f t="shared" si="71"/>
        <v>-5.4110198146400034E-3</v>
      </c>
      <c r="BG102" s="32">
        <f t="shared" si="72"/>
        <v>-9.6469610071029336E-3</v>
      </c>
      <c r="BH102" s="41">
        <f t="shared" si="73"/>
        <v>-7.9700725418490274E-3</v>
      </c>
      <c r="BI102" s="46">
        <f t="shared" si="58"/>
        <v>-0.83710595751932004</v>
      </c>
      <c r="BJ102" s="41" t="b">
        <f t="shared" si="61"/>
        <v>0</v>
      </c>
      <c r="BK102" s="41" t="b">
        <f t="shared" si="62"/>
        <v>0</v>
      </c>
      <c r="BL102" s="42" t="str">
        <f>_xlfn.XLOOKUP(AW102,'County Population Strata'!$A$3:$A$66,'County Population Strata'!$P$3:$P$66)</f>
        <v>Tiny</v>
      </c>
      <c r="BQ102" s="21">
        <f t="shared" si="60"/>
        <v>1.3795332545024972E-4</v>
      </c>
    </row>
    <row r="103" spans="18:69" x14ac:dyDescent="0.2">
      <c r="R103" s="16" t="s">
        <v>172</v>
      </c>
      <c r="S103" s="26">
        <v>6655</v>
      </c>
      <c r="T103" s="26">
        <v>6671</v>
      </c>
      <c r="U103" s="26">
        <v>6686</v>
      </c>
      <c r="V103" s="26">
        <v>6697</v>
      </c>
      <c r="W103" s="26">
        <v>6700</v>
      </c>
      <c r="X103" s="26">
        <v>6706</v>
      </c>
      <c r="Y103" s="26">
        <v>6721</v>
      </c>
      <c r="Z103" s="26">
        <v>6737</v>
      </c>
      <c r="AA103" s="26">
        <v>6758</v>
      </c>
      <c r="AB103" s="26">
        <v>6778</v>
      </c>
      <c r="AC103" s="26">
        <v>6833</v>
      </c>
      <c r="AD103" s="26">
        <v>6948</v>
      </c>
      <c r="AE103" s="26">
        <v>7104</v>
      </c>
      <c r="AG103" s="16" t="s">
        <v>172</v>
      </c>
      <c r="AH103" s="29">
        <v>0</v>
      </c>
      <c r="AI103" s="29">
        <f t="shared" si="59"/>
        <v>2.4042073628850491E-3</v>
      </c>
      <c r="AJ103" s="29">
        <f t="shared" si="36"/>
        <v>2.2485384500074953E-3</v>
      </c>
      <c r="AK103" s="29">
        <f t="shared" si="37"/>
        <v>1.645228836374514E-3</v>
      </c>
      <c r="AL103" s="29">
        <f t="shared" si="38"/>
        <v>4.4796177392862478E-4</v>
      </c>
      <c r="AM103" s="29">
        <f t="shared" si="39"/>
        <v>8.955223880597015E-4</v>
      </c>
      <c r="AN103" s="29">
        <f t="shared" si="40"/>
        <v>2.2368028631076647E-3</v>
      </c>
      <c r="AO103" s="29">
        <f t="shared" si="41"/>
        <v>2.3805981252789763E-3</v>
      </c>
      <c r="AP103" s="29">
        <f t="shared" si="42"/>
        <v>3.1171144426302509E-3</v>
      </c>
      <c r="AQ103" s="29">
        <f t="shared" si="43"/>
        <v>2.9594554601953238E-3</v>
      </c>
      <c r="AR103" s="29">
        <f t="shared" si="44"/>
        <v>8.1144880495721446E-3</v>
      </c>
      <c r="AS103" s="29">
        <f t="shared" si="45"/>
        <v>1.6830089272647446E-2</v>
      </c>
      <c r="AT103" s="29">
        <f t="shared" si="46"/>
        <v>2.2452504317789293E-2</v>
      </c>
      <c r="AU103" s="29"/>
      <c r="AW103" s="16" t="s">
        <v>172</v>
      </c>
      <c r="AX103" s="32">
        <f t="shared" si="63"/>
        <v>1.5509152709641816E-3</v>
      </c>
      <c r="AY103" s="32">
        <f t="shared" si="64"/>
        <v>2.0993248830890195E-3</v>
      </c>
      <c r="AZ103" s="32">
        <f t="shared" si="65"/>
        <v>1.4472430201035447E-3</v>
      </c>
      <c r="BA103" s="32">
        <f t="shared" si="66"/>
        <v>9.9623766612094689E-4</v>
      </c>
      <c r="BB103" s="32">
        <f t="shared" si="67"/>
        <v>1.1934290083653303E-3</v>
      </c>
      <c r="BC103" s="32">
        <f t="shared" si="68"/>
        <v>1.8376411254821142E-3</v>
      </c>
      <c r="BD103" s="32">
        <f t="shared" si="69"/>
        <v>2.5781718103389637E-3</v>
      </c>
      <c r="BE103" s="32">
        <f t="shared" si="70"/>
        <v>2.8190560093681837E-3</v>
      </c>
      <c r="BF103" s="32">
        <f t="shared" si="71"/>
        <v>4.7303526507992402E-3</v>
      </c>
      <c r="BG103" s="32">
        <f t="shared" si="72"/>
        <v>9.301344260804971E-3</v>
      </c>
      <c r="BH103" s="41">
        <f t="shared" si="73"/>
        <v>1.5799027213336297E-2</v>
      </c>
      <c r="BI103" s="46">
        <f t="shared" si="58"/>
        <v>0.85694737637044294</v>
      </c>
      <c r="BJ103" s="41" t="b">
        <f t="shared" si="61"/>
        <v>0</v>
      </c>
      <c r="BK103" s="41" t="b">
        <f t="shared" si="62"/>
        <v>0</v>
      </c>
      <c r="BL103" s="42" t="str">
        <f>_xlfn.XLOOKUP(AW103,'County Population Strata'!$A$3:$A$66,'County Population Strata'!$P$3:$P$66)</f>
        <v>Tiny</v>
      </c>
      <c r="BQ103" s="21">
        <f t="shared" si="60"/>
        <v>1.4457047747913992E-4</v>
      </c>
    </row>
    <row r="104" spans="18:69" x14ac:dyDescent="0.2">
      <c r="R104" s="16" t="s">
        <v>173</v>
      </c>
      <c r="S104" s="26">
        <v>1387</v>
      </c>
      <c r="T104" s="26">
        <v>1387</v>
      </c>
      <c r="U104" s="26">
        <v>1385</v>
      </c>
      <c r="V104" s="26">
        <v>1383</v>
      </c>
      <c r="W104" s="26">
        <v>1381</v>
      </c>
      <c r="X104" s="26">
        <v>1381</v>
      </c>
      <c r="Y104" s="26">
        <v>1379</v>
      </c>
      <c r="Z104" s="26">
        <v>1379</v>
      </c>
      <c r="AA104" s="26">
        <v>1379</v>
      </c>
      <c r="AB104" s="26">
        <v>1379</v>
      </c>
      <c r="AC104" s="26">
        <v>1378</v>
      </c>
      <c r="AD104" s="26">
        <v>1358</v>
      </c>
      <c r="AE104" s="26">
        <v>1314</v>
      </c>
      <c r="AG104" s="16" t="s">
        <v>173</v>
      </c>
      <c r="AH104" s="29">
        <v>0</v>
      </c>
      <c r="AI104" s="29">
        <f t="shared" si="59"/>
        <v>0</v>
      </c>
      <c r="AJ104" s="29">
        <f t="shared" si="36"/>
        <v>-1.4419610670511895E-3</v>
      </c>
      <c r="AK104" s="29">
        <f t="shared" si="37"/>
        <v>-1.4440433212996389E-3</v>
      </c>
      <c r="AL104" s="29">
        <f t="shared" si="38"/>
        <v>-1.4461315979754157E-3</v>
      </c>
      <c r="AM104" s="29">
        <f t="shared" si="39"/>
        <v>0</v>
      </c>
      <c r="AN104" s="29">
        <f t="shared" si="40"/>
        <v>-1.448225923244026E-3</v>
      </c>
      <c r="AO104" s="29">
        <f t="shared" si="41"/>
        <v>0</v>
      </c>
      <c r="AP104" s="29">
        <f t="shared" si="42"/>
        <v>0</v>
      </c>
      <c r="AQ104" s="29">
        <f t="shared" si="43"/>
        <v>0</v>
      </c>
      <c r="AR104" s="29">
        <f t="shared" si="44"/>
        <v>-7.2516316171138508E-4</v>
      </c>
      <c r="AS104" s="29">
        <f t="shared" si="45"/>
        <v>-1.4513788098693759E-2</v>
      </c>
      <c r="AT104" s="29">
        <f t="shared" si="46"/>
        <v>-3.2400589101620032E-2</v>
      </c>
      <c r="AU104" s="29"/>
      <c r="AW104" s="16" t="s">
        <v>173</v>
      </c>
      <c r="AX104" s="32">
        <f t="shared" si="63"/>
        <v>-4.8065368901706318E-4</v>
      </c>
      <c r="AY104" s="32">
        <f t="shared" si="64"/>
        <v>-9.6200146278360937E-4</v>
      </c>
      <c r="AZ104" s="32">
        <f t="shared" si="65"/>
        <v>-1.4440453287754146E-3</v>
      </c>
      <c r="BA104" s="32">
        <f t="shared" si="66"/>
        <v>-9.6339163975835151E-4</v>
      </c>
      <c r="BB104" s="32">
        <f t="shared" si="67"/>
        <v>-9.6478584040648064E-4</v>
      </c>
      <c r="BC104" s="32">
        <f t="shared" si="68"/>
        <v>-4.8274197441467532E-4</v>
      </c>
      <c r="BD104" s="32">
        <f t="shared" si="69"/>
        <v>-4.8274197441467532E-4</v>
      </c>
      <c r="BE104" s="32">
        <f t="shared" si="70"/>
        <v>0</v>
      </c>
      <c r="BF104" s="32">
        <f t="shared" si="71"/>
        <v>-2.4172105390379503E-4</v>
      </c>
      <c r="BG104" s="32">
        <f t="shared" si="72"/>
        <v>-5.0796504201350481E-3</v>
      </c>
      <c r="BH104" s="41">
        <f t="shared" si="73"/>
        <v>-1.5879846787341726E-2</v>
      </c>
      <c r="BI104" s="46">
        <f t="shared" si="58"/>
        <v>-1.400845416266348</v>
      </c>
      <c r="BJ104" s="41" t="b">
        <f t="shared" si="61"/>
        <v>0</v>
      </c>
      <c r="BK104" s="41" t="b">
        <f t="shared" si="62"/>
        <v>1</v>
      </c>
      <c r="BL104" s="42" t="str">
        <f>_xlfn.XLOOKUP(AW104,'County Population Strata'!$A$3:$A$66,'County Population Strata'!$P$3:$P$66)</f>
        <v>Tiny</v>
      </c>
      <c r="BQ104" s="21">
        <f t="shared" si="60"/>
        <v>3.8632404101916117E-4</v>
      </c>
    </row>
    <row r="105" spans="18:69" x14ac:dyDescent="0.2">
      <c r="R105" s="16" t="s">
        <v>174</v>
      </c>
      <c r="S105" s="26">
        <v>535651</v>
      </c>
      <c r="T105" s="26">
        <v>540625</v>
      </c>
      <c r="U105" s="26">
        <v>546631</v>
      </c>
      <c r="V105" s="26">
        <v>552236</v>
      </c>
      <c r="W105" s="26">
        <v>559016</v>
      </c>
      <c r="X105" s="26">
        <v>565161</v>
      </c>
      <c r="Y105" s="26">
        <v>571744</v>
      </c>
      <c r="Z105" s="26">
        <v>575923</v>
      </c>
      <c r="AA105" s="26">
        <v>579821</v>
      </c>
      <c r="AB105" s="26">
        <v>582568</v>
      </c>
      <c r="AC105" s="26">
        <v>583063</v>
      </c>
      <c r="AD105" s="26">
        <v>580726</v>
      </c>
      <c r="AE105" s="26">
        <v>575936</v>
      </c>
      <c r="AG105" s="16" t="s">
        <v>174</v>
      </c>
      <c r="AH105" s="29">
        <v>0</v>
      </c>
      <c r="AI105" s="29">
        <f t="shared" si="59"/>
        <v>9.2858969739625236E-3</v>
      </c>
      <c r="AJ105" s="29">
        <f t="shared" si="36"/>
        <v>1.1109364161849711E-2</v>
      </c>
      <c r="AK105" s="29">
        <f t="shared" si="37"/>
        <v>1.0253717773049826E-2</v>
      </c>
      <c r="AL105" s="29">
        <f t="shared" si="38"/>
        <v>1.227735967955729E-2</v>
      </c>
      <c r="AM105" s="29">
        <f t="shared" si="39"/>
        <v>1.0992529730812713E-2</v>
      </c>
      <c r="AN105" s="29">
        <f t="shared" si="40"/>
        <v>1.1648008266670912E-2</v>
      </c>
      <c r="AO105" s="29">
        <f t="shared" si="41"/>
        <v>7.3092153131471427E-3</v>
      </c>
      <c r="AP105" s="29">
        <f t="shared" si="42"/>
        <v>6.7682658966563237E-3</v>
      </c>
      <c r="AQ105" s="29">
        <f t="shared" si="43"/>
        <v>4.7376690392379713E-3</v>
      </c>
      <c r="AR105" s="29">
        <f t="shared" si="44"/>
        <v>8.4968621688798565E-4</v>
      </c>
      <c r="AS105" s="29">
        <f t="shared" si="45"/>
        <v>-4.0081432023640669E-3</v>
      </c>
      <c r="AT105" s="29">
        <f t="shared" si="46"/>
        <v>-8.2482960983320877E-3</v>
      </c>
      <c r="AU105" s="29"/>
      <c r="AW105" s="16" t="s">
        <v>174</v>
      </c>
      <c r="AX105" s="32">
        <f t="shared" si="63"/>
        <v>6.7984203786040781E-3</v>
      </c>
      <c r="AY105" s="32">
        <f t="shared" si="64"/>
        <v>1.0216326302954021E-2</v>
      </c>
      <c r="AZ105" s="32">
        <f t="shared" si="65"/>
        <v>1.1213480538152276E-2</v>
      </c>
      <c r="BA105" s="32">
        <f t="shared" si="66"/>
        <v>1.1174535727806611E-2</v>
      </c>
      <c r="BB105" s="32">
        <f t="shared" si="67"/>
        <v>1.1639299225680305E-2</v>
      </c>
      <c r="BC105" s="32">
        <f t="shared" si="68"/>
        <v>9.9832511035435889E-3</v>
      </c>
      <c r="BD105" s="32">
        <f t="shared" si="69"/>
        <v>8.5751631588247938E-3</v>
      </c>
      <c r="BE105" s="32">
        <f t="shared" si="70"/>
        <v>6.2717167496804784E-3</v>
      </c>
      <c r="BF105" s="32">
        <f t="shared" si="71"/>
        <v>4.1185403842607599E-3</v>
      </c>
      <c r="BG105" s="32">
        <f t="shared" si="72"/>
        <v>5.2640401792063E-4</v>
      </c>
      <c r="BH105" s="41">
        <f t="shared" si="73"/>
        <v>-3.8022510279360562E-3</v>
      </c>
      <c r="BI105" s="46">
        <f t="shared" si="58"/>
        <v>-0.54006012896784239</v>
      </c>
      <c r="BJ105" s="41" t="b">
        <f t="shared" si="61"/>
        <v>0</v>
      </c>
      <c r="BK105" s="41" t="b">
        <f t="shared" si="62"/>
        <v>0</v>
      </c>
      <c r="BL105" s="42" t="str">
        <f>_xlfn.XLOOKUP(AW105,'County Population Strata'!$A$3:$A$66,'County Population Strata'!$P$3:$P$66)</f>
        <v>Medium</v>
      </c>
      <c r="BQ105" s="21">
        <f t="shared" si="60"/>
        <v>5.741898881329404E-5</v>
      </c>
    </row>
    <row r="106" spans="18:69" x14ac:dyDescent="0.2">
      <c r="R106" s="16" t="s">
        <v>175</v>
      </c>
      <c r="S106" s="26">
        <v>1399</v>
      </c>
      <c r="T106" s="26">
        <v>1383</v>
      </c>
      <c r="U106" s="26">
        <v>1392</v>
      </c>
      <c r="V106" s="26">
        <v>1397</v>
      </c>
      <c r="W106" s="26">
        <v>1393</v>
      </c>
      <c r="X106" s="26">
        <v>1406</v>
      </c>
      <c r="Y106" s="26">
        <v>1420</v>
      </c>
      <c r="Z106" s="26">
        <v>1428</v>
      </c>
      <c r="AA106" s="26">
        <v>1442</v>
      </c>
      <c r="AB106" s="26">
        <v>1455</v>
      </c>
      <c r="AC106" s="26">
        <v>1454</v>
      </c>
      <c r="AD106" s="26">
        <v>1453</v>
      </c>
      <c r="AE106" s="26">
        <v>1428</v>
      </c>
      <c r="AG106" s="16" t="s">
        <v>175</v>
      </c>
      <c r="AH106" s="29">
        <v>0</v>
      </c>
      <c r="AI106" s="29">
        <f t="shared" ref="AI106:AI138" si="74">(T106-S106)/S106</f>
        <v>-1.143674052894925E-2</v>
      </c>
      <c r="AJ106" s="29">
        <f t="shared" ref="AJ106:AJ138" si="75">(U106-T106)/T106</f>
        <v>6.5075921908893707E-3</v>
      </c>
      <c r="AK106" s="29">
        <f t="shared" ref="AK106:AK138" si="76">(V106-U106)/U106</f>
        <v>3.5919540229885057E-3</v>
      </c>
      <c r="AL106" s="29">
        <f t="shared" ref="AL106:AL138" si="77">(W106-V106)/V106</f>
        <v>-2.8632784538296348E-3</v>
      </c>
      <c r="AM106" s="29">
        <f t="shared" ref="AM106:AM138" si="78">(X106-W106)/W106</f>
        <v>9.3323761665470208E-3</v>
      </c>
      <c r="AN106" s="29">
        <f t="shared" ref="AN106:AN138" si="79">(Y106-X106)/X106</f>
        <v>9.9573257467994308E-3</v>
      </c>
      <c r="AO106" s="29">
        <f t="shared" ref="AO106:AO138" si="80">(Z106-Y106)/Y106</f>
        <v>5.6338028169014088E-3</v>
      </c>
      <c r="AP106" s="29">
        <f t="shared" ref="AP106:AP138" si="81">(AA106-Z106)/Z106</f>
        <v>9.8039215686274508E-3</v>
      </c>
      <c r="AQ106" s="29">
        <f t="shared" ref="AQ106:AQ138" si="82">(AB106-AA106)/AA106</f>
        <v>9.0152565880721215E-3</v>
      </c>
      <c r="AR106" s="29">
        <f t="shared" ref="AR106:AR138" si="83">(AC106-AB106)/AB106</f>
        <v>-6.8728522336769765E-4</v>
      </c>
      <c r="AS106" s="29">
        <f t="shared" ref="AS106:AS138" si="84">(AD106-AC106)/AC106</f>
        <v>-6.8775790921595599E-4</v>
      </c>
      <c r="AT106" s="29">
        <f t="shared" ref="AT106:AT138" si="85">(AE106-AD106)/AD106</f>
        <v>-1.7205781142463867E-2</v>
      </c>
      <c r="AU106" s="29"/>
      <c r="AW106" s="16" t="s">
        <v>175</v>
      </c>
      <c r="AX106" s="32">
        <f t="shared" si="63"/>
        <v>-1.6430494460199596E-3</v>
      </c>
      <c r="AY106" s="32">
        <f t="shared" si="64"/>
        <v>-4.4573143835712446E-4</v>
      </c>
      <c r="AZ106" s="32">
        <f t="shared" si="65"/>
        <v>2.412089253349414E-3</v>
      </c>
      <c r="BA106" s="32">
        <f t="shared" si="66"/>
        <v>3.3536839119019638E-3</v>
      </c>
      <c r="BB106" s="32">
        <f t="shared" si="67"/>
        <v>5.475474486505605E-3</v>
      </c>
      <c r="BC106" s="32">
        <f t="shared" si="68"/>
        <v>8.3078349100826204E-3</v>
      </c>
      <c r="BD106" s="32">
        <f t="shared" si="69"/>
        <v>8.4650167107760965E-3</v>
      </c>
      <c r="BE106" s="32">
        <f t="shared" si="70"/>
        <v>8.150993657866994E-3</v>
      </c>
      <c r="BF106" s="32">
        <f t="shared" si="71"/>
        <v>6.0439643111106249E-3</v>
      </c>
      <c r="BG106" s="32">
        <f t="shared" si="72"/>
        <v>2.5467378184961561E-3</v>
      </c>
      <c r="BH106" s="41">
        <f t="shared" si="73"/>
        <v>-6.1936080916825077E-3</v>
      </c>
      <c r="BI106" s="46">
        <f t="shared" ref="BI106:BI137" si="86">(BH106-$BO$78)/$BO$79</f>
        <v>-0.71049512432254669</v>
      </c>
      <c r="BJ106" s="41" t="b">
        <f t="shared" si="61"/>
        <v>0</v>
      </c>
      <c r="BK106" s="41" t="b">
        <f>IF(BI106&lt;-1,TRUE,FALSE)</f>
        <v>0</v>
      </c>
      <c r="BL106" s="42" t="str">
        <f>_xlfn.XLOOKUP(AW106,'County Population Strata'!$A$3:$A$66,'County Population Strata'!$P$3:$P$66)</f>
        <v>Tiny</v>
      </c>
      <c r="BQ106" s="21">
        <f t="shared" si="60"/>
        <v>9.9378746010865532E-5</v>
      </c>
    </row>
    <row r="107" spans="18:69" x14ac:dyDescent="0.2">
      <c r="R107" s="16" t="s">
        <v>176</v>
      </c>
      <c r="S107" s="26">
        <v>8267</v>
      </c>
      <c r="T107" s="26">
        <v>8165</v>
      </c>
      <c r="U107" s="26">
        <v>8085</v>
      </c>
      <c r="V107" s="26">
        <v>8006</v>
      </c>
      <c r="W107" s="26">
        <v>7664</v>
      </c>
      <c r="X107" s="26">
        <v>7561</v>
      </c>
      <c r="Y107" s="26">
        <v>7480</v>
      </c>
      <c r="Z107" s="26">
        <v>7400</v>
      </c>
      <c r="AA107" s="26">
        <v>7285</v>
      </c>
      <c r="AB107" s="26">
        <v>7182</v>
      </c>
      <c r="AC107" s="26">
        <v>7067</v>
      </c>
      <c r="AD107" s="26">
        <v>6929</v>
      </c>
      <c r="AE107" s="26">
        <v>6974</v>
      </c>
      <c r="AG107" s="16" t="s">
        <v>176</v>
      </c>
      <c r="AH107" s="29">
        <v>0</v>
      </c>
      <c r="AI107" s="29">
        <f t="shared" si="74"/>
        <v>-1.2338212168864158E-2</v>
      </c>
      <c r="AJ107" s="29">
        <f t="shared" si="75"/>
        <v>-9.7979179424372322E-3</v>
      </c>
      <c r="AK107" s="29">
        <f t="shared" si="76"/>
        <v>-9.7711811997526279E-3</v>
      </c>
      <c r="AL107" s="29">
        <f t="shared" si="77"/>
        <v>-4.2717961528853363E-2</v>
      </c>
      <c r="AM107" s="29">
        <f t="shared" si="78"/>
        <v>-1.3439457202505219E-2</v>
      </c>
      <c r="AN107" s="29">
        <f t="shared" si="79"/>
        <v>-1.0712868668165586E-2</v>
      </c>
      <c r="AO107" s="29">
        <f t="shared" si="80"/>
        <v>-1.06951871657754E-2</v>
      </c>
      <c r="AP107" s="29">
        <f t="shared" si="81"/>
        <v>-1.5540540540540541E-2</v>
      </c>
      <c r="AQ107" s="29">
        <f t="shared" si="82"/>
        <v>-1.4138641043239534E-2</v>
      </c>
      <c r="AR107" s="29">
        <f t="shared" si="83"/>
        <v>-1.6012252854358117E-2</v>
      </c>
      <c r="AS107" s="29">
        <f t="shared" si="84"/>
        <v>-1.9527380783925286E-2</v>
      </c>
      <c r="AT107" s="29">
        <f t="shared" si="85"/>
        <v>6.4944436426612783E-3</v>
      </c>
      <c r="AU107" s="29"/>
      <c r="AW107" s="16" t="s">
        <v>176</v>
      </c>
      <c r="AX107" s="32">
        <f t="shared" si="63"/>
        <v>-7.3787100371004626E-3</v>
      </c>
      <c r="AY107" s="32">
        <f t="shared" si="64"/>
        <v>-1.0635770437018006E-2</v>
      </c>
      <c r="AZ107" s="32">
        <f t="shared" si="65"/>
        <v>-2.0762353557014408E-2</v>
      </c>
      <c r="BA107" s="32">
        <f t="shared" si="66"/>
        <v>-2.1976199977037068E-2</v>
      </c>
      <c r="BB107" s="32">
        <f t="shared" si="67"/>
        <v>-2.2290095799841387E-2</v>
      </c>
      <c r="BC107" s="32">
        <f t="shared" si="68"/>
        <v>-1.1615837678815402E-2</v>
      </c>
      <c r="BD107" s="32">
        <f t="shared" si="69"/>
        <v>-1.2316198791493843E-2</v>
      </c>
      <c r="BE107" s="32">
        <f t="shared" si="70"/>
        <v>-1.3458122916518494E-2</v>
      </c>
      <c r="BF107" s="32">
        <f t="shared" si="71"/>
        <v>-1.5230478146046065E-2</v>
      </c>
      <c r="BG107" s="32">
        <f t="shared" si="72"/>
        <v>-1.655942489384098E-2</v>
      </c>
      <c r="BH107" s="41">
        <f t="shared" si="73"/>
        <v>-9.6817299985407067E-3</v>
      </c>
      <c r="BI107" s="46">
        <f t="shared" si="86"/>
        <v>-0.95909791560150381</v>
      </c>
      <c r="BJ107" s="41" t="b">
        <f t="shared" si="61"/>
        <v>0</v>
      </c>
      <c r="BK107" s="41" t="b">
        <f t="shared" si="62"/>
        <v>0</v>
      </c>
      <c r="BL107" s="42" t="str">
        <f>_xlfn.XLOOKUP(AW107,'County Population Strata'!$A$3:$A$66,'County Population Strata'!$P$3:$P$66)</f>
        <v>Tiny</v>
      </c>
      <c r="BQ107" s="21">
        <f t="shared" si="60"/>
        <v>1.8109114000482252E-4</v>
      </c>
    </row>
    <row r="108" spans="18:69" x14ac:dyDescent="0.2">
      <c r="R108" s="16" t="s">
        <v>178</v>
      </c>
      <c r="S108" s="26">
        <v>51441</v>
      </c>
      <c r="T108" s="26">
        <v>51803</v>
      </c>
      <c r="U108" s="26">
        <v>52314</v>
      </c>
      <c r="V108" s="26">
        <v>53146</v>
      </c>
      <c r="W108" s="26">
        <v>53557</v>
      </c>
      <c r="X108" s="26">
        <v>54300</v>
      </c>
      <c r="Y108" s="26">
        <v>54884</v>
      </c>
      <c r="Z108" s="26">
        <v>55034</v>
      </c>
      <c r="AA108" s="26">
        <v>55731</v>
      </c>
      <c r="AB108" s="26">
        <v>55509</v>
      </c>
      <c r="AC108" s="26">
        <v>55668</v>
      </c>
      <c r="AD108" s="26">
        <v>56171</v>
      </c>
      <c r="AE108" s="26">
        <v>56557</v>
      </c>
      <c r="AG108" s="16" t="s">
        <v>178</v>
      </c>
      <c r="AH108" s="29">
        <v>0</v>
      </c>
      <c r="AI108" s="29">
        <f t="shared" si="74"/>
        <v>7.0371882350654148E-3</v>
      </c>
      <c r="AJ108" s="29">
        <f t="shared" si="75"/>
        <v>9.8642935737312514E-3</v>
      </c>
      <c r="AK108" s="29">
        <f t="shared" si="76"/>
        <v>1.5903964521925298E-2</v>
      </c>
      <c r="AL108" s="29">
        <f t="shared" si="77"/>
        <v>7.7334136153238246E-3</v>
      </c>
      <c r="AM108" s="29">
        <f t="shared" si="78"/>
        <v>1.387306981346976E-2</v>
      </c>
      <c r="AN108" s="29">
        <f t="shared" si="79"/>
        <v>1.0755064456721915E-2</v>
      </c>
      <c r="AO108" s="29">
        <f t="shared" si="80"/>
        <v>2.7330369506595731E-3</v>
      </c>
      <c r="AP108" s="29">
        <f t="shared" si="81"/>
        <v>1.266489806301559E-2</v>
      </c>
      <c r="AQ108" s="29">
        <f t="shared" si="82"/>
        <v>-3.9834203585078325E-3</v>
      </c>
      <c r="AR108" s="29">
        <f t="shared" si="83"/>
        <v>2.8644003675079716E-3</v>
      </c>
      <c r="AS108" s="29">
        <f t="shared" si="84"/>
        <v>9.0357117194797727E-3</v>
      </c>
      <c r="AT108" s="29">
        <f t="shared" si="85"/>
        <v>6.8718733866229903E-3</v>
      </c>
      <c r="AU108" s="29"/>
      <c r="AW108" s="16" t="s">
        <v>178</v>
      </c>
      <c r="AX108" s="32">
        <f t="shared" si="63"/>
        <v>5.6338272695988885E-3</v>
      </c>
      <c r="AY108" s="32">
        <f t="shared" si="64"/>
        <v>1.0935148776907322E-2</v>
      </c>
      <c r="AZ108" s="32">
        <f t="shared" si="65"/>
        <v>1.1167223903660123E-2</v>
      </c>
      <c r="BA108" s="32">
        <f t="shared" si="66"/>
        <v>1.2503482650239628E-2</v>
      </c>
      <c r="BB108" s="32">
        <f t="shared" si="67"/>
        <v>1.0787182628505166E-2</v>
      </c>
      <c r="BC108" s="32">
        <f t="shared" si="68"/>
        <v>9.1203904069504169E-3</v>
      </c>
      <c r="BD108" s="32">
        <f t="shared" si="69"/>
        <v>8.717666490132359E-3</v>
      </c>
      <c r="BE108" s="32">
        <f t="shared" si="70"/>
        <v>3.8048382183891102E-3</v>
      </c>
      <c r="BF108" s="32">
        <f t="shared" si="71"/>
        <v>3.8486260240052431E-3</v>
      </c>
      <c r="BG108" s="32">
        <f t="shared" si="72"/>
        <v>2.6388972428266371E-3</v>
      </c>
      <c r="BH108" s="41">
        <f t="shared" si="73"/>
        <v>6.2573284912035782E-3</v>
      </c>
      <c r="BI108" s="46">
        <f t="shared" si="86"/>
        <v>0.17689862830313974</v>
      </c>
      <c r="BJ108" s="41" t="b">
        <f t="shared" si="61"/>
        <v>0</v>
      </c>
      <c r="BK108" s="41" t="b">
        <f t="shared" si="62"/>
        <v>0</v>
      </c>
      <c r="BL108" s="42" t="str">
        <f>_xlfn.XLOOKUP(AW108,'County Population Strata'!$A$3:$A$66,'County Population Strata'!$P$3:$P$66)</f>
        <v>Small</v>
      </c>
      <c r="BQ108" s="21">
        <f t="shared" si="60"/>
        <v>6.160560672652209E-6</v>
      </c>
    </row>
    <row r="109" spans="18:69" x14ac:dyDescent="0.2">
      <c r="R109" s="16" t="s">
        <v>177</v>
      </c>
      <c r="S109" s="26">
        <v>7282</v>
      </c>
      <c r="T109" s="26">
        <v>7242</v>
      </c>
      <c r="U109" s="26">
        <v>7103</v>
      </c>
      <c r="V109" s="26">
        <v>7071</v>
      </c>
      <c r="W109" s="26">
        <v>7085</v>
      </c>
      <c r="X109" s="26">
        <v>7159</v>
      </c>
      <c r="Y109" s="26">
        <v>7246</v>
      </c>
      <c r="Z109" s="26">
        <v>7352</v>
      </c>
      <c r="AA109" s="26">
        <v>7332</v>
      </c>
      <c r="AB109" s="26">
        <v>7555</v>
      </c>
      <c r="AC109" s="26">
        <v>7412</v>
      </c>
      <c r="AD109" s="26">
        <v>7399</v>
      </c>
      <c r="AE109" s="26">
        <v>7342</v>
      </c>
      <c r="AG109" s="16" t="s">
        <v>177</v>
      </c>
      <c r="AH109" s="29">
        <v>0</v>
      </c>
      <c r="AI109" s="29">
        <f t="shared" si="74"/>
        <v>-5.4929964295523208E-3</v>
      </c>
      <c r="AJ109" s="29">
        <f t="shared" si="75"/>
        <v>-1.9193592930129798E-2</v>
      </c>
      <c r="AK109" s="29">
        <f t="shared" si="76"/>
        <v>-4.505138673799803E-3</v>
      </c>
      <c r="AL109" s="29">
        <f t="shared" si="77"/>
        <v>1.9799179748267574E-3</v>
      </c>
      <c r="AM109" s="29">
        <f t="shared" si="78"/>
        <v>1.0444601270289344E-2</v>
      </c>
      <c r="AN109" s="29">
        <f t="shared" si="79"/>
        <v>1.2152535270289146E-2</v>
      </c>
      <c r="AO109" s="29">
        <f t="shared" si="80"/>
        <v>1.4628760695556169E-2</v>
      </c>
      <c r="AP109" s="29">
        <f t="shared" si="81"/>
        <v>-2.720348204570185E-3</v>
      </c>
      <c r="AQ109" s="29">
        <f t="shared" si="82"/>
        <v>3.0414620840152756E-2</v>
      </c>
      <c r="AR109" s="29">
        <f t="shared" si="83"/>
        <v>-1.8927862342819325E-2</v>
      </c>
      <c r="AS109" s="29">
        <f t="shared" si="84"/>
        <v>-1.7539125742039934E-3</v>
      </c>
      <c r="AT109" s="29">
        <f t="shared" si="85"/>
        <v>-7.7037437491552915E-3</v>
      </c>
      <c r="AU109" s="29"/>
      <c r="AW109" s="16" t="s">
        <v>177</v>
      </c>
      <c r="AX109" s="32">
        <f t="shared" si="63"/>
        <v>-8.2288631198940403E-3</v>
      </c>
      <c r="AY109" s="32">
        <f t="shared" si="64"/>
        <v>-9.7305760111606413E-3</v>
      </c>
      <c r="AZ109" s="32">
        <f t="shared" si="65"/>
        <v>-7.2396045430342809E-3</v>
      </c>
      <c r="BA109" s="32">
        <f t="shared" si="66"/>
        <v>2.6397935237720996E-3</v>
      </c>
      <c r="BB109" s="32">
        <f t="shared" si="67"/>
        <v>8.1923515051350818E-3</v>
      </c>
      <c r="BC109" s="32">
        <f t="shared" si="68"/>
        <v>1.2408632412044887E-2</v>
      </c>
      <c r="BD109" s="32">
        <f t="shared" si="69"/>
        <v>8.0203159204250436E-3</v>
      </c>
      <c r="BE109" s="32">
        <f t="shared" si="70"/>
        <v>1.4107677777046246E-2</v>
      </c>
      <c r="BF109" s="32">
        <f t="shared" si="71"/>
        <v>2.9221367642544155E-3</v>
      </c>
      <c r="BG109" s="32">
        <f t="shared" si="72"/>
        <v>3.2442819743764791E-3</v>
      </c>
      <c r="BH109" s="41">
        <f t="shared" si="73"/>
        <v>-9.4618395553928702E-3</v>
      </c>
      <c r="BI109" s="46">
        <f t="shared" si="86"/>
        <v>-0.94342604993802504</v>
      </c>
      <c r="BJ109" s="41" t="b">
        <f t="shared" si="61"/>
        <v>0</v>
      </c>
      <c r="BK109" s="41" t="b">
        <f t="shared" si="62"/>
        <v>0</v>
      </c>
      <c r="BL109" s="42" t="str">
        <f>_xlfn.XLOOKUP(AW109,'County Population Strata'!$A$3:$A$66,'County Population Strata'!$P$3:$P$66)</f>
        <v>Tiny</v>
      </c>
      <c r="BQ109" s="21">
        <f t="shared" si="60"/>
        <v>1.7522135566984629E-4</v>
      </c>
    </row>
    <row r="110" spans="18:69" x14ac:dyDescent="0.2">
      <c r="R110" s="16" t="s">
        <v>179</v>
      </c>
      <c r="S110" s="26">
        <v>300532</v>
      </c>
      <c r="T110" s="26">
        <v>305342</v>
      </c>
      <c r="U110" s="26">
        <v>310952</v>
      </c>
      <c r="V110" s="26">
        <v>316337</v>
      </c>
      <c r="W110" s="26">
        <v>324123</v>
      </c>
      <c r="X110" s="26">
        <v>333445</v>
      </c>
      <c r="Y110" s="26">
        <v>339128</v>
      </c>
      <c r="Z110" s="26">
        <v>344187</v>
      </c>
      <c r="AA110" s="26">
        <v>350661</v>
      </c>
      <c r="AB110" s="26">
        <v>356800</v>
      </c>
      <c r="AC110" s="26">
        <v>359920</v>
      </c>
      <c r="AD110" s="26">
        <v>362774</v>
      </c>
      <c r="AE110" s="26">
        <v>366843</v>
      </c>
      <c r="AG110" s="16" t="s">
        <v>179</v>
      </c>
      <c r="AH110" s="29">
        <v>0</v>
      </c>
      <c r="AI110" s="29">
        <f t="shared" si="74"/>
        <v>1.6004951219836822E-2</v>
      </c>
      <c r="AJ110" s="29">
        <f t="shared" si="75"/>
        <v>1.8372840945562682E-2</v>
      </c>
      <c r="AK110" s="29">
        <f t="shared" si="76"/>
        <v>1.7317785381666624E-2</v>
      </c>
      <c r="AL110" s="29">
        <f t="shared" si="77"/>
        <v>2.4612991840979714E-2</v>
      </c>
      <c r="AM110" s="29">
        <f t="shared" si="78"/>
        <v>2.8760686529496517E-2</v>
      </c>
      <c r="AN110" s="29">
        <f t="shared" si="79"/>
        <v>1.7043290497683276E-2</v>
      </c>
      <c r="AO110" s="29">
        <f t="shared" si="80"/>
        <v>1.4917671203793259E-2</v>
      </c>
      <c r="AP110" s="29">
        <f t="shared" si="81"/>
        <v>1.8809542487078244E-2</v>
      </c>
      <c r="AQ110" s="29">
        <f t="shared" si="82"/>
        <v>1.7506936899170423E-2</v>
      </c>
      <c r="AR110" s="29">
        <f t="shared" si="83"/>
        <v>8.7443946188340803E-3</v>
      </c>
      <c r="AS110" s="29">
        <f t="shared" si="84"/>
        <v>7.9295398977550571E-3</v>
      </c>
      <c r="AT110" s="29">
        <f t="shared" si="85"/>
        <v>1.1216349573012398E-2</v>
      </c>
      <c r="AU110" s="29"/>
      <c r="AW110" s="16" t="s">
        <v>179</v>
      </c>
      <c r="AX110" s="32">
        <f t="shared" si="63"/>
        <v>1.1459264055133167E-2</v>
      </c>
      <c r="AY110" s="32">
        <f t="shared" si="64"/>
        <v>1.7231859182355376E-2</v>
      </c>
      <c r="AZ110" s="32">
        <f t="shared" si="65"/>
        <v>2.0101206056069673E-2</v>
      </c>
      <c r="BA110" s="32">
        <f t="shared" si="66"/>
        <v>2.3563821250714285E-2</v>
      </c>
      <c r="BB110" s="32">
        <f t="shared" si="67"/>
        <v>2.3472322956053168E-2</v>
      </c>
      <c r="BC110" s="32">
        <f t="shared" si="68"/>
        <v>2.0240549410324351E-2</v>
      </c>
      <c r="BD110" s="32">
        <f t="shared" si="69"/>
        <v>1.6923501396184926E-2</v>
      </c>
      <c r="BE110" s="32">
        <f t="shared" si="70"/>
        <v>1.7078050196680641E-2</v>
      </c>
      <c r="BF110" s="32">
        <f t="shared" si="71"/>
        <v>1.5020291335027585E-2</v>
      </c>
      <c r="BG110" s="32">
        <f t="shared" si="72"/>
        <v>1.1393623805253187E-2</v>
      </c>
      <c r="BH110" s="41">
        <f t="shared" si="73"/>
        <v>9.2967613632005119E-3</v>
      </c>
      <c r="BI110" s="46">
        <f t="shared" si="86"/>
        <v>0.39352279341554691</v>
      </c>
      <c r="BJ110" s="41" t="b">
        <f t="shared" si="61"/>
        <v>0</v>
      </c>
      <c r="BK110" s="41" t="b">
        <f t="shared" si="62"/>
        <v>0</v>
      </c>
      <c r="BL110" s="42" t="str">
        <f>_xlfn.XLOOKUP(AW110,'County Population Strata'!$A$3:$A$66,'County Population Strata'!$P$3:$P$66)</f>
        <v>Medium</v>
      </c>
      <c r="BQ110" s="21">
        <f t="shared" si="60"/>
        <v>3.0486747456846948E-5</v>
      </c>
    </row>
    <row r="111" spans="18:69" x14ac:dyDescent="0.2">
      <c r="R111" s="16" t="s">
        <v>180</v>
      </c>
      <c r="S111" s="26">
        <v>15407</v>
      </c>
      <c r="T111" s="26">
        <v>15325</v>
      </c>
      <c r="U111" s="26">
        <v>15245</v>
      </c>
      <c r="V111" s="26">
        <v>15172</v>
      </c>
      <c r="W111" s="26">
        <v>15086</v>
      </c>
      <c r="X111" s="26">
        <v>14997</v>
      </c>
      <c r="Y111" s="26">
        <v>14906</v>
      </c>
      <c r="Z111" s="26">
        <v>14817</v>
      </c>
      <c r="AA111" s="26">
        <v>14729</v>
      </c>
      <c r="AB111" s="26">
        <v>14643</v>
      </c>
      <c r="AC111" s="26">
        <v>14479</v>
      </c>
      <c r="AD111" s="26">
        <v>14330</v>
      </c>
      <c r="AE111" s="26">
        <v>14297</v>
      </c>
      <c r="AG111" s="16" t="s">
        <v>180</v>
      </c>
      <c r="AH111" s="29">
        <v>0</v>
      </c>
      <c r="AI111" s="29">
        <f t="shared" si="74"/>
        <v>-5.3222561173492571E-3</v>
      </c>
      <c r="AJ111" s="29">
        <f t="shared" si="75"/>
        <v>-5.2202283849918435E-3</v>
      </c>
      <c r="AK111" s="29">
        <f t="shared" si="76"/>
        <v>-4.7884552312233517E-3</v>
      </c>
      <c r="AL111" s="29">
        <f t="shared" si="77"/>
        <v>-5.668336409174796E-3</v>
      </c>
      <c r="AM111" s="29">
        <f t="shared" si="78"/>
        <v>-5.8995094789871406E-3</v>
      </c>
      <c r="AN111" s="29">
        <f t="shared" si="79"/>
        <v>-6.0678802427152094E-3</v>
      </c>
      <c r="AO111" s="29">
        <f t="shared" si="80"/>
        <v>-5.9707500335435398E-3</v>
      </c>
      <c r="AP111" s="29">
        <f t="shared" si="81"/>
        <v>-5.9391239792130658E-3</v>
      </c>
      <c r="AQ111" s="29">
        <f t="shared" si="82"/>
        <v>-5.8388213728019552E-3</v>
      </c>
      <c r="AR111" s="29">
        <f t="shared" si="83"/>
        <v>-1.1199890732773339E-2</v>
      </c>
      <c r="AS111" s="29">
        <f t="shared" si="84"/>
        <v>-1.0290765936874094E-2</v>
      </c>
      <c r="AT111" s="29">
        <f t="shared" si="85"/>
        <v>-2.3028611304954641E-3</v>
      </c>
      <c r="AU111" s="29"/>
      <c r="AW111" s="16" t="s">
        <v>180</v>
      </c>
      <c r="AX111" s="32">
        <f t="shared" si="63"/>
        <v>-3.5141615007803668E-3</v>
      </c>
      <c r="AY111" s="32">
        <f t="shared" si="64"/>
        <v>-5.1103132445214838E-3</v>
      </c>
      <c r="AZ111" s="32">
        <f t="shared" si="65"/>
        <v>-5.2256733417966631E-3</v>
      </c>
      <c r="BA111" s="32">
        <f t="shared" si="66"/>
        <v>-5.4521003731284297E-3</v>
      </c>
      <c r="BB111" s="32">
        <f t="shared" si="67"/>
        <v>-5.8785753769590486E-3</v>
      </c>
      <c r="BC111" s="32">
        <f t="shared" si="68"/>
        <v>-5.979379918415296E-3</v>
      </c>
      <c r="BD111" s="32">
        <f t="shared" si="69"/>
        <v>-5.9925847518239386E-3</v>
      </c>
      <c r="BE111" s="32">
        <f t="shared" si="70"/>
        <v>-5.9162317951861861E-3</v>
      </c>
      <c r="BF111" s="32">
        <f t="shared" si="71"/>
        <v>-7.6592786949294528E-3</v>
      </c>
      <c r="BG111" s="32">
        <f t="shared" si="72"/>
        <v>-9.1098260141497956E-3</v>
      </c>
      <c r="BH111" s="41">
        <f t="shared" si="73"/>
        <v>-7.9311726000476316E-3</v>
      </c>
      <c r="BI111" s="46">
        <f t="shared" si="86"/>
        <v>-0.83433351023374724</v>
      </c>
      <c r="BJ111" s="41" t="b">
        <f t="shared" si="61"/>
        <v>0</v>
      </c>
      <c r="BK111" s="41" t="b">
        <f t="shared" si="62"/>
        <v>0</v>
      </c>
      <c r="BL111" s="42" t="str">
        <f>_xlfn.XLOOKUP(AW111,'County Population Strata'!$A$3:$A$66,'County Population Strata'!$P$3:$P$66)</f>
        <v>Tiny</v>
      </c>
      <c r="BQ111" s="21">
        <f t="shared" si="60"/>
        <v>1.3704105153177477E-4</v>
      </c>
    </row>
    <row r="112" spans="18:69" x14ac:dyDescent="0.2">
      <c r="R112" s="16" t="s">
        <v>181</v>
      </c>
      <c r="S112" s="26">
        <v>5474</v>
      </c>
      <c r="T112" s="26">
        <v>5488</v>
      </c>
      <c r="U112" s="26">
        <v>5503</v>
      </c>
      <c r="V112" s="26">
        <v>5522</v>
      </c>
      <c r="W112" s="26">
        <v>5538</v>
      </c>
      <c r="X112" s="26">
        <v>5553</v>
      </c>
      <c r="Y112" s="26">
        <v>5573</v>
      </c>
      <c r="Z112" s="26">
        <v>5591</v>
      </c>
      <c r="AA112" s="26">
        <v>5621</v>
      </c>
      <c r="AB112" s="26">
        <v>5642</v>
      </c>
      <c r="AC112" s="26">
        <v>5662</v>
      </c>
      <c r="AD112" s="26">
        <v>5470</v>
      </c>
      <c r="AE112" s="26">
        <v>5513</v>
      </c>
      <c r="AG112" s="16" t="s">
        <v>181</v>
      </c>
      <c r="AH112" s="29">
        <v>0</v>
      </c>
      <c r="AI112" s="29">
        <f t="shared" si="74"/>
        <v>2.5575447570332483E-3</v>
      </c>
      <c r="AJ112" s="29">
        <f t="shared" si="75"/>
        <v>2.7332361516034984E-3</v>
      </c>
      <c r="AK112" s="29">
        <f t="shared" si="76"/>
        <v>3.4526621842631291E-3</v>
      </c>
      <c r="AL112" s="29">
        <f t="shared" si="77"/>
        <v>2.897500905469033E-3</v>
      </c>
      <c r="AM112" s="29">
        <f t="shared" si="78"/>
        <v>2.7085590465872156E-3</v>
      </c>
      <c r="AN112" s="29">
        <f t="shared" si="79"/>
        <v>3.6016567621105708E-3</v>
      </c>
      <c r="AO112" s="29">
        <f t="shared" si="80"/>
        <v>3.2298582451103534E-3</v>
      </c>
      <c r="AP112" s="29">
        <f t="shared" si="81"/>
        <v>5.3657664103022714E-3</v>
      </c>
      <c r="AQ112" s="29">
        <f t="shared" si="82"/>
        <v>3.7359900373599006E-3</v>
      </c>
      <c r="AR112" s="29">
        <f t="shared" si="83"/>
        <v>3.5448422545196739E-3</v>
      </c>
      <c r="AS112" s="29">
        <f t="shared" si="84"/>
        <v>-3.3910279053338044E-2</v>
      </c>
      <c r="AT112" s="29">
        <f t="shared" si="85"/>
        <v>7.8610603290676425E-3</v>
      </c>
      <c r="AU112" s="29"/>
      <c r="AW112" s="16" t="s">
        <v>181</v>
      </c>
      <c r="AX112" s="32">
        <f t="shared" si="63"/>
        <v>1.7635936362122488E-3</v>
      </c>
      <c r="AY112" s="32">
        <f t="shared" si="64"/>
        <v>2.9144810309666251E-3</v>
      </c>
      <c r="AZ112" s="32">
        <f t="shared" si="65"/>
        <v>3.027799747111887E-3</v>
      </c>
      <c r="BA112" s="32">
        <f t="shared" si="66"/>
        <v>3.0195740454397927E-3</v>
      </c>
      <c r="BB112" s="32">
        <f t="shared" si="67"/>
        <v>3.069238904722273E-3</v>
      </c>
      <c r="BC112" s="32">
        <f t="shared" si="68"/>
        <v>3.1800246846027135E-3</v>
      </c>
      <c r="BD112" s="32">
        <f t="shared" si="69"/>
        <v>4.0657604725077316E-3</v>
      </c>
      <c r="BE112" s="32">
        <f t="shared" si="70"/>
        <v>4.1105382309241751E-3</v>
      </c>
      <c r="BF112" s="32">
        <f t="shared" si="71"/>
        <v>4.215532900727282E-3</v>
      </c>
      <c r="BG112" s="32">
        <f t="shared" si="72"/>
        <v>-8.8764822538194895E-3</v>
      </c>
      <c r="BH112" s="41">
        <f t="shared" si="73"/>
        <v>-7.5014588232502413E-3</v>
      </c>
      <c r="BI112" s="46">
        <f t="shared" si="86"/>
        <v>-0.80370727433504963</v>
      </c>
      <c r="BJ112" s="41" t="b">
        <f t="shared" si="61"/>
        <v>0</v>
      </c>
      <c r="BK112" s="41" t="b">
        <f t="shared" si="62"/>
        <v>0</v>
      </c>
      <c r="BL112" s="42" t="str">
        <f>_xlfn.XLOOKUP(AW112,'County Population Strata'!$A$3:$A$66,'County Population Strata'!$P$3:$P$66)</f>
        <v>Tiny</v>
      </c>
      <c r="BQ112" s="21">
        <f t="shared" si="60"/>
        <v>1.2716485684296624E-4</v>
      </c>
    </row>
    <row r="113" spans="18:69" x14ac:dyDescent="0.2">
      <c r="R113" s="16" t="s">
        <v>182</v>
      </c>
      <c r="S113" s="26">
        <v>22293</v>
      </c>
      <c r="T113" s="26">
        <v>22210</v>
      </c>
      <c r="U113" s="26">
        <v>22131</v>
      </c>
      <c r="V113" s="26">
        <v>22056</v>
      </c>
      <c r="W113" s="26">
        <v>21964</v>
      </c>
      <c r="X113" s="26">
        <v>21873</v>
      </c>
      <c r="Y113" s="26">
        <v>21772</v>
      </c>
      <c r="Z113" s="26">
        <v>21691</v>
      </c>
      <c r="AA113" s="26">
        <v>21611</v>
      </c>
      <c r="AB113" s="26">
        <v>21505</v>
      </c>
      <c r="AC113" s="26">
        <v>21203</v>
      </c>
      <c r="AD113" s="26">
        <v>21089</v>
      </c>
      <c r="AE113" s="26">
        <v>20809</v>
      </c>
      <c r="AG113" s="16" t="s">
        <v>182</v>
      </c>
      <c r="AH113" s="29">
        <v>0</v>
      </c>
      <c r="AI113" s="29">
        <f t="shared" si="74"/>
        <v>-3.7231417933880589E-3</v>
      </c>
      <c r="AJ113" s="29">
        <f t="shared" si="75"/>
        <v>-3.5569563259792887E-3</v>
      </c>
      <c r="AK113" s="29">
        <f t="shared" si="76"/>
        <v>-3.3889114816320997E-3</v>
      </c>
      <c r="AL113" s="29">
        <f t="shared" si="77"/>
        <v>-4.1712005803409506E-3</v>
      </c>
      <c r="AM113" s="29">
        <f t="shared" si="78"/>
        <v>-4.1431433254416321E-3</v>
      </c>
      <c r="AN113" s="29">
        <f t="shared" si="79"/>
        <v>-4.6175650345174415E-3</v>
      </c>
      <c r="AO113" s="29">
        <f t="shared" si="80"/>
        <v>-3.7203747933125114E-3</v>
      </c>
      <c r="AP113" s="29">
        <f t="shared" si="81"/>
        <v>-3.6881655986353789E-3</v>
      </c>
      <c r="AQ113" s="29">
        <f t="shared" si="82"/>
        <v>-4.9049095368099583E-3</v>
      </c>
      <c r="AR113" s="29">
        <f t="shared" si="83"/>
        <v>-1.4043245756800745E-2</v>
      </c>
      <c r="AS113" s="29">
        <f t="shared" si="84"/>
        <v>-5.3765976512757628E-3</v>
      </c>
      <c r="AT113" s="29">
        <f t="shared" si="85"/>
        <v>-1.3277063872160842E-2</v>
      </c>
      <c r="AU113" s="29"/>
      <c r="AW113" s="16" t="s">
        <v>182</v>
      </c>
      <c r="AX113" s="32">
        <f t="shared" si="63"/>
        <v>-2.4266993731224492E-3</v>
      </c>
      <c r="AY113" s="32">
        <f t="shared" si="64"/>
        <v>-3.5563365336664828E-3</v>
      </c>
      <c r="AZ113" s="32">
        <f t="shared" si="65"/>
        <v>-3.70568946265078E-3</v>
      </c>
      <c r="BA113" s="32">
        <f t="shared" si="66"/>
        <v>-3.9010851291382278E-3</v>
      </c>
      <c r="BB113" s="32">
        <f t="shared" si="67"/>
        <v>-4.3106363134333414E-3</v>
      </c>
      <c r="BC113" s="32">
        <f t="shared" si="68"/>
        <v>-4.1603610510905281E-3</v>
      </c>
      <c r="BD113" s="32">
        <f t="shared" si="69"/>
        <v>-4.0087018088217777E-3</v>
      </c>
      <c r="BE113" s="32">
        <f t="shared" si="70"/>
        <v>-4.1044833095859497E-3</v>
      </c>
      <c r="BF113" s="32">
        <f t="shared" si="71"/>
        <v>-7.545440297415361E-3</v>
      </c>
      <c r="BG113" s="32">
        <f t="shared" si="72"/>
        <v>-8.1082509816288225E-3</v>
      </c>
      <c r="BH113" s="41">
        <f t="shared" si="73"/>
        <v>-1.0898969093412451E-2</v>
      </c>
      <c r="BI113" s="46">
        <f t="shared" si="86"/>
        <v>-1.0458520614483018</v>
      </c>
      <c r="BJ113" s="41" t="b">
        <f t="shared" si="61"/>
        <v>0</v>
      </c>
      <c r="BK113" s="41" t="b">
        <f>IF(BI113&lt;-1,TRUE,FALSE)</f>
        <v>1</v>
      </c>
      <c r="BL113" s="42" t="str">
        <f>_xlfn.XLOOKUP(AW113,'County Population Strata'!$A$3:$A$66,'County Population Strata'!$P$3:$P$66)</f>
        <v>Small</v>
      </c>
      <c r="BQ113" s="21">
        <f t="shared" si="60"/>
        <v>2.153336103408162E-4</v>
      </c>
    </row>
    <row r="114" spans="18:69" x14ac:dyDescent="0.2">
      <c r="R114" s="16" t="s">
        <v>183</v>
      </c>
      <c r="S114" s="26">
        <v>147155</v>
      </c>
      <c r="T114" s="26">
        <v>147957</v>
      </c>
      <c r="U114" s="26">
        <v>147939</v>
      </c>
      <c r="V114" s="26">
        <v>147926</v>
      </c>
      <c r="W114" s="26">
        <v>147876</v>
      </c>
      <c r="X114" s="26">
        <v>148774</v>
      </c>
      <c r="Y114" s="26">
        <v>150346</v>
      </c>
      <c r="Z114" s="26">
        <v>152148</v>
      </c>
      <c r="AA114" s="26">
        <v>154047</v>
      </c>
      <c r="AB114" s="26">
        <v>155109</v>
      </c>
      <c r="AC114" s="26">
        <v>155993</v>
      </c>
      <c r="AD114" s="26">
        <v>157432</v>
      </c>
      <c r="AE114" s="26">
        <v>158534</v>
      </c>
      <c r="AG114" s="16" t="s">
        <v>183</v>
      </c>
      <c r="AH114" s="29">
        <v>0</v>
      </c>
      <c r="AI114" s="29">
        <f t="shared" si="74"/>
        <v>5.4500356766674597E-3</v>
      </c>
      <c r="AJ114" s="29">
        <f t="shared" si="75"/>
        <v>-1.2165696790283663E-4</v>
      </c>
      <c r="AK114" s="29">
        <f t="shared" si="76"/>
        <v>-8.7874056198838707E-5</v>
      </c>
      <c r="AL114" s="29">
        <f t="shared" si="77"/>
        <v>-3.3800684125846709E-4</v>
      </c>
      <c r="AM114" s="29">
        <f t="shared" si="78"/>
        <v>6.0726554680948907E-3</v>
      </c>
      <c r="AN114" s="29">
        <f t="shared" si="79"/>
        <v>1.0566362402032613E-2</v>
      </c>
      <c r="AO114" s="29">
        <f t="shared" si="80"/>
        <v>1.1985686350152316E-2</v>
      </c>
      <c r="AP114" s="29">
        <f t="shared" si="81"/>
        <v>1.2481268238820096E-2</v>
      </c>
      <c r="AQ114" s="29">
        <f t="shared" si="82"/>
        <v>6.8939998831525446E-3</v>
      </c>
      <c r="AR114" s="29">
        <f t="shared" si="83"/>
        <v>5.6992179692990095E-3</v>
      </c>
      <c r="AS114" s="29">
        <f t="shared" si="84"/>
        <v>9.2247729064765735E-3</v>
      </c>
      <c r="AT114" s="29">
        <f t="shared" si="85"/>
        <v>6.9998475532293304E-3</v>
      </c>
      <c r="AU114" s="29"/>
      <c r="AW114" s="16" t="s">
        <v>183</v>
      </c>
      <c r="AX114" s="32">
        <f t="shared" si="63"/>
        <v>1.7761262362548744E-3</v>
      </c>
      <c r="AY114" s="32">
        <f t="shared" si="64"/>
        <v>1.7468348841885948E-3</v>
      </c>
      <c r="AZ114" s="32">
        <f t="shared" si="65"/>
        <v>-1.8251262178671415E-4</v>
      </c>
      <c r="BA114" s="32">
        <f t="shared" si="66"/>
        <v>1.8822581902125284E-3</v>
      </c>
      <c r="BB114" s="32">
        <f t="shared" si="67"/>
        <v>5.4336703429563454E-3</v>
      </c>
      <c r="BC114" s="32">
        <f t="shared" si="68"/>
        <v>9.5415680734266071E-3</v>
      </c>
      <c r="BD114" s="32">
        <f t="shared" si="69"/>
        <v>1.1677772330335007E-2</v>
      </c>
      <c r="BE114" s="32">
        <f t="shared" si="70"/>
        <v>1.0453651490708317E-2</v>
      </c>
      <c r="BF114" s="32">
        <f t="shared" si="71"/>
        <v>8.3581620304238827E-3</v>
      </c>
      <c r="BG114" s="32">
        <f t="shared" si="72"/>
        <v>7.2726635863093756E-3</v>
      </c>
      <c r="BH114" s="41">
        <f t="shared" si="73"/>
        <v>7.3079461430016375E-3</v>
      </c>
      <c r="BI114" s="46">
        <f t="shared" si="86"/>
        <v>0.25177745644570182</v>
      </c>
      <c r="BJ114" s="41" t="b">
        <f t="shared" si="61"/>
        <v>0</v>
      </c>
      <c r="BK114" s="41" t="b">
        <f t="shared" si="62"/>
        <v>0</v>
      </c>
      <c r="BL114" s="42" t="str">
        <f>_xlfn.XLOOKUP(AW114,'County Population Strata'!$A$3:$A$66,'County Population Strata'!$P$3:$P$66)</f>
        <v>Small</v>
      </c>
      <c r="BQ114" s="21">
        <f t="shared" si="60"/>
        <v>1.2479724327784236E-5</v>
      </c>
    </row>
    <row r="115" spans="18:69" x14ac:dyDescent="0.2">
      <c r="R115" s="16" t="s">
        <v>184</v>
      </c>
      <c r="S115" s="26">
        <v>705</v>
      </c>
      <c r="T115" s="26">
        <v>712</v>
      </c>
      <c r="U115" s="26">
        <v>723</v>
      </c>
      <c r="V115" s="26">
        <v>734</v>
      </c>
      <c r="W115" s="26">
        <v>747</v>
      </c>
      <c r="X115" s="26">
        <v>755</v>
      </c>
      <c r="Y115" s="26">
        <v>770</v>
      </c>
      <c r="Z115" s="26">
        <v>788</v>
      </c>
      <c r="AA115" s="26">
        <v>811</v>
      </c>
      <c r="AB115" s="26">
        <v>834</v>
      </c>
      <c r="AC115" s="26">
        <v>871</v>
      </c>
      <c r="AD115" s="26">
        <v>926</v>
      </c>
      <c r="AE115" s="26">
        <v>924</v>
      </c>
      <c r="AG115" s="16" t="s">
        <v>184</v>
      </c>
      <c r="AH115" s="29">
        <v>0</v>
      </c>
      <c r="AI115" s="29">
        <f t="shared" si="74"/>
        <v>9.9290780141843976E-3</v>
      </c>
      <c r="AJ115" s="29">
        <f t="shared" si="75"/>
        <v>1.5449438202247191E-2</v>
      </c>
      <c r="AK115" s="29">
        <f t="shared" si="76"/>
        <v>1.5214384508990318E-2</v>
      </c>
      <c r="AL115" s="29">
        <f t="shared" si="77"/>
        <v>1.7711171662125342E-2</v>
      </c>
      <c r="AM115" s="29">
        <f t="shared" si="78"/>
        <v>1.0709504685408299E-2</v>
      </c>
      <c r="AN115" s="29">
        <f t="shared" si="79"/>
        <v>1.9867549668874173E-2</v>
      </c>
      <c r="AO115" s="29">
        <f t="shared" si="80"/>
        <v>2.3376623376623377E-2</v>
      </c>
      <c r="AP115" s="29">
        <f t="shared" si="81"/>
        <v>2.9187817258883249E-2</v>
      </c>
      <c r="AQ115" s="29">
        <f t="shared" si="82"/>
        <v>2.8360049321824909E-2</v>
      </c>
      <c r="AR115" s="29">
        <f t="shared" si="83"/>
        <v>4.4364508393285373E-2</v>
      </c>
      <c r="AS115" s="29">
        <f t="shared" si="84"/>
        <v>6.3145809414466125E-2</v>
      </c>
      <c r="AT115" s="29">
        <f t="shared" si="85"/>
        <v>-2.1598272138228943E-3</v>
      </c>
      <c r="AU115" s="29"/>
      <c r="AW115" s="16" t="s">
        <v>184</v>
      </c>
      <c r="AX115" s="32">
        <f t="shared" si="63"/>
        <v>8.4595054054771961E-3</v>
      </c>
      <c r="AY115" s="32">
        <f t="shared" si="64"/>
        <v>1.3530966908473968E-2</v>
      </c>
      <c r="AZ115" s="32">
        <f t="shared" si="65"/>
        <v>1.6124998124454282E-2</v>
      </c>
      <c r="BA115" s="32">
        <f t="shared" si="66"/>
        <v>1.4545020285507986E-2</v>
      </c>
      <c r="BB115" s="32">
        <f t="shared" si="67"/>
        <v>1.6096075338802602E-2</v>
      </c>
      <c r="BC115" s="32">
        <f t="shared" si="68"/>
        <v>1.7984559243635283E-2</v>
      </c>
      <c r="BD115" s="32">
        <f t="shared" si="69"/>
        <v>2.4143996768126934E-2</v>
      </c>
      <c r="BE115" s="32">
        <f t="shared" si="70"/>
        <v>2.6974829985777177E-2</v>
      </c>
      <c r="BF115" s="32">
        <f t="shared" si="71"/>
        <v>3.3970791657997844E-2</v>
      </c>
      <c r="BG115" s="32">
        <f t="shared" si="72"/>
        <v>4.5290122376525466E-2</v>
      </c>
      <c r="BH115" s="41">
        <f t="shared" si="73"/>
        <v>3.51168301979762E-2</v>
      </c>
      <c r="BI115" s="46">
        <f t="shared" si="86"/>
        <v>2.2337512472202707</v>
      </c>
      <c r="BJ115" s="41" t="b">
        <f t="shared" si="61"/>
        <v>1</v>
      </c>
      <c r="BK115" s="41" t="b">
        <f t="shared" si="62"/>
        <v>0</v>
      </c>
      <c r="BL115" s="42" t="str">
        <f>_xlfn.XLOOKUP(AW115,'County Population Strata'!$A$3:$A$66,'County Population Strata'!$P$3:$P$66)</f>
        <v>Tiny</v>
      </c>
      <c r="BQ115" s="21">
        <f t="shared" si="60"/>
        <v>9.8229271779756992E-4</v>
      </c>
    </row>
    <row r="116" spans="18:69" x14ac:dyDescent="0.2">
      <c r="R116" s="16" t="s">
        <v>185</v>
      </c>
      <c r="S116" s="26">
        <v>13806</v>
      </c>
      <c r="T116" s="26">
        <v>13452</v>
      </c>
      <c r="U116" s="26">
        <v>13216</v>
      </c>
      <c r="V116" s="26">
        <v>13187</v>
      </c>
      <c r="W116" s="26">
        <v>13016</v>
      </c>
      <c r="X116" s="26">
        <v>13038</v>
      </c>
      <c r="Y116" s="26">
        <v>13266</v>
      </c>
      <c r="Z116" s="26">
        <v>13223</v>
      </c>
      <c r="AA116" s="26">
        <v>13291</v>
      </c>
      <c r="AB116" s="26">
        <v>13364</v>
      </c>
      <c r="AC116" s="26">
        <v>13265</v>
      </c>
      <c r="AD116" s="26">
        <v>13161</v>
      </c>
      <c r="AE116" s="26">
        <v>13166</v>
      </c>
      <c r="AG116" s="16" t="s">
        <v>185</v>
      </c>
      <c r="AH116" s="29">
        <v>0</v>
      </c>
      <c r="AI116" s="29">
        <f t="shared" si="74"/>
        <v>-2.564102564102564E-2</v>
      </c>
      <c r="AJ116" s="29">
        <f t="shared" si="75"/>
        <v>-1.7543859649122806E-2</v>
      </c>
      <c r="AK116" s="29">
        <f t="shared" si="76"/>
        <v>-2.1943099273607747E-3</v>
      </c>
      <c r="AL116" s="29">
        <f t="shared" si="77"/>
        <v>-1.2967316296352468E-2</v>
      </c>
      <c r="AM116" s="29">
        <f t="shared" si="78"/>
        <v>1.6902274124154886E-3</v>
      </c>
      <c r="AN116" s="29">
        <f t="shared" si="79"/>
        <v>1.7487344684767602E-2</v>
      </c>
      <c r="AO116" s="29">
        <f t="shared" si="80"/>
        <v>-3.241368913010704E-3</v>
      </c>
      <c r="AP116" s="29">
        <f t="shared" si="81"/>
        <v>5.1425546396430466E-3</v>
      </c>
      <c r="AQ116" s="29">
        <f t="shared" si="82"/>
        <v>5.4924384922127754E-3</v>
      </c>
      <c r="AR116" s="29">
        <f t="shared" si="83"/>
        <v>-7.4079616881173298E-3</v>
      </c>
      <c r="AS116" s="29">
        <f t="shared" si="84"/>
        <v>-7.8401809272521678E-3</v>
      </c>
      <c r="AT116" s="29">
        <f t="shared" si="85"/>
        <v>3.7991034115948636E-4</v>
      </c>
      <c r="AU116" s="29"/>
      <c r="AW116" s="16" t="s">
        <v>185</v>
      </c>
      <c r="AX116" s="32">
        <f t="shared" si="63"/>
        <v>-1.4394961763382815E-2</v>
      </c>
      <c r="AY116" s="32">
        <f t="shared" si="64"/>
        <v>-1.5126398405836407E-2</v>
      </c>
      <c r="AZ116" s="32">
        <f t="shared" si="65"/>
        <v>-1.0901828624278681E-2</v>
      </c>
      <c r="BA116" s="32">
        <f t="shared" si="66"/>
        <v>-4.4904662704325854E-3</v>
      </c>
      <c r="BB116" s="32">
        <f t="shared" si="67"/>
        <v>2.0700852669435408E-3</v>
      </c>
      <c r="BC116" s="32">
        <f t="shared" si="68"/>
        <v>5.3120677280574626E-3</v>
      </c>
      <c r="BD116" s="32">
        <f t="shared" si="69"/>
        <v>6.4628434704666485E-3</v>
      </c>
      <c r="BE116" s="32">
        <f t="shared" si="70"/>
        <v>2.464541406281706E-3</v>
      </c>
      <c r="BF116" s="32">
        <f t="shared" si="71"/>
        <v>1.0756771479128308E-3</v>
      </c>
      <c r="BG116" s="32">
        <f t="shared" si="72"/>
        <v>-3.2519013743855739E-3</v>
      </c>
      <c r="BH116" s="41">
        <f t="shared" si="73"/>
        <v>-4.95607742473667E-3</v>
      </c>
      <c r="BI116" s="46">
        <f t="shared" si="86"/>
        <v>-0.62229477286947688</v>
      </c>
      <c r="BJ116" s="41" t="b">
        <f t="shared" si="61"/>
        <v>0</v>
      </c>
      <c r="BK116" s="41" t="b">
        <f t="shared" si="62"/>
        <v>0</v>
      </c>
      <c r="BL116" s="42" t="str">
        <f>_xlfn.XLOOKUP(AW116,'County Population Strata'!$A$3:$A$66,'County Population Strata'!$P$3:$P$66)</f>
        <v>Tiny</v>
      </c>
      <c r="BQ116" s="21">
        <f t="shared" si="60"/>
        <v>7.6236616690549666E-5</v>
      </c>
    </row>
    <row r="117" spans="18:69" x14ac:dyDescent="0.2">
      <c r="R117" s="16" t="s">
        <v>186</v>
      </c>
      <c r="S117" s="26">
        <v>25532</v>
      </c>
      <c r="T117" s="26">
        <v>25519</v>
      </c>
      <c r="U117" s="26">
        <v>25501</v>
      </c>
      <c r="V117" s="26">
        <v>25485</v>
      </c>
      <c r="W117" s="26">
        <v>25464</v>
      </c>
      <c r="X117" s="26">
        <v>25522</v>
      </c>
      <c r="Y117" s="26">
        <v>25543</v>
      </c>
      <c r="Z117" s="26">
        <v>25556</v>
      </c>
      <c r="AA117" s="26">
        <v>25612</v>
      </c>
      <c r="AB117" s="26">
        <v>25731</v>
      </c>
      <c r="AC117" s="26">
        <v>25888</v>
      </c>
      <c r="AD117" s="26">
        <v>26248</v>
      </c>
      <c r="AE117" s="26">
        <v>26464</v>
      </c>
      <c r="AG117" s="16" t="s">
        <v>186</v>
      </c>
      <c r="AH117" s="29">
        <v>0</v>
      </c>
      <c r="AI117" s="29">
        <f t="shared" si="74"/>
        <v>-5.0916496945010179E-4</v>
      </c>
      <c r="AJ117" s="29">
        <f t="shared" si="75"/>
        <v>-7.0535679297778129E-4</v>
      </c>
      <c r="AK117" s="29">
        <f t="shared" si="76"/>
        <v>-6.2742637543625743E-4</v>
      </c>
      <c r="AL117" s="29">
        <f t="shared" si="77"/>
        <v>-8.2401412595644501E-4</v>
      </c>
      <c r="AM117" s="29">
        <f t="shared" si="78"/>
        <v>2.2777254162739554E-3</v>
      </c>
      <c r="AN117" s="29">
        <f t="shared" si="79"/>
        <v>8.2281952825013713E-4</v>
      </c>
      <c r="AO117" s="29">
        <f t="shared" si="80"/>
        <v>5.0894569940883999E-4</v>
      </c>
      <c r="AP117" s="29">
        <f t="shared" si="81"/>
        <v>2.1912662388480202E-3</v>
      </c>
      <c r="AQ117" s="29">
        <f t="shared" si="82"/>
        <v>4.6462595658285175E-3</v>
      </c>
      <c r="AR117" s="29">
        <f t="shared" si="83"/>
        <v>6.1015895223660178E-3</v>
      </c>
      <c r="AS117" s="29">
        <f t="shared" si="84"/>
        <v>1.3906056860321385E-2</v>
      </c>
      <c r="AT117" s="29">
        <f t="shared" si="85"/>
        <v>8.2291984151173416E-3</v>
      </c>
      <c r="AU117" s="29"/>
      <c r="AW117" s="16" t="s">
        <v>186</v>
      </c>
      <c r="AX117" s="32">
        <f t="shared" ref="AX117:AX138" si="87">AVERAGE(AH117:AJ117)</f>
        <v>-4.0484058747596101E-4</v>
      </c>
      <c r="AY117" s="32">
        <f t="shared" ref="AY117:AY138" si="88">AVERAGE(AI117:AK117)</f>
        <v>-6.139827126213802E-4</v>
      </c>
      <c r="AZ117" s="32">
        <f t="shared" ref="AZ117:AZ138" si="89">AVERAGE(AJ117:AL117)</f>
        <v>-7.1893243145682798E-4</v>
      </c>
      <c r="BA117" s="32">
        <f t="shared" ref="BA117:BA138" si="90">AVERAGE(AK117:AM117)</f>
        <v>2.7542830496041763E-4</v>
      </c>
      <c r="BB117" s="32">
        <f t="shared" ref="BB117:BB138" si="91">AVERAGE(AL117:AN117)</f>
        <v>7.5884360618921583E-4</v>
      </c>
      <c r="BC117" s="32">
        <f t="shared" ref="BC117:BC138" si="92">AVERAGE(AM117:AO117)</f>
        <v>1.2031635479776441E-3</v>
      </c>
      <c r="BD117" s="32">
        <f t="shared" ref="BD117:BD138" si="93">AVERAGE(AN117:AP117)</f>
        <v>1.1743438221689991E-3</v>
      </c>
      <c r="BE117" s="32">
        <f t="shared" ref="BE117:BE138" si="94">AVERAGE(AO117:AQ117)</f>
        <v>2.4488238346951261E-3</v>
      </c>
      <c r="BF117" s="32">
        <f t="shared" ref="BF117:BF138" si="95">AVERAGE(AP117:AR117)</f>
        <v>4.3130384423475188E-3</v>
      </c>
      <c r="BG117" s="32">
        <f t="shared" ref="BG117:BG138" si="96">AVERAGE(AQ117:AS117)</f>
        <v>8.217968649505308E-3</v>
      </c>
      <c r="BH117" s="41">
        <f t="shared" si="73"/>
        <v>9.4122815992682476E-3</v>
      </c>
      <c r="BI117" s="46">
        <f t="shared" si="86"/>
        <v>0.40175606447157791</v>
      </c>
      <c r="BJ117" s="41" t="b">
        <f t="shared" si="61"/>
        <v>0</v>
      </c>
      <c r="BK117" s="41" t="b">
        <f t="shared" si="62"/>
        <v>0</v>
      </c>
      <c r="BL117" s="42" t="str">
        <f>_xlfn.XLOOKUP(AW117,'County Population Strata'!$A$3:$A$66,'County Population Strata'!$P$3:$P$66)</f>
        <v>Small</v>
      </c>
      <c r="BQ117" s="21">
        <f t="shared" si="60"/>
        <v>3.1775777854796667E-5</v>
      </c>
    </row>
    <row r="118" spans="18:69" x14ac:dyDescent="0.2">
      <c r="R118" s="16" t="s">
        <v>187</v>
      </c>
      <c r="S118" s="26">
        <v>41188</v>
      </c>
      <c r="T118" s="26">
        <v>41260</v>
      </c>
      <c r="U118" s="26">
        <v>41303</v>
      </c>
      <c r="V118" s="26">
        <v>41331</v>
      </c>
      <c r="W118" s="26">
        <v>41388</v>
      </c>
      <c r="X118" s="26">
        <v>41457</v>
      </c>
      <c r="Y118" s="26">
        <v>41594</v>
      </c>
      <c r="Z118" s="26">
        <v>41768</v>
      </c>
      <c r="AA118" s="26">
        <v>42084</v>
      </c>
      <c r="AB118" s="26">
        <v>42501</v>
      </c>
      <c r="AC118" s="26">
        <v>42810</v>
      </c>
      <c r="AD118" s="26">
        <v>43234</v>
      </c>
      <c r="AE118" s="26">
        <v>43799</v>
      </c>
      <c r="AG118" s="16" t="s">
        <v>187</v>
      </c>
      <c r="AH118" s="29">
        <v>0</v>
      </c>
      <c r="AI118" s="29">
        <f t="shared" si="74"/>
        <v>1.7480819656210548E-3</v>
      </c>
      <c r="AJ118" s="29">
        <f t="shared" si="75"/>
        <v>1.0421715947649055E-3</v>
      </c>
      <c r="AK118" s="29">
        <f t="shared" si="76"/>
        <v>6.7791685833958797E-4</v>
      </c>
      <c r="AL118" s="29">
        <f t="shared" si="77"/>
        <v>1.3791101110546564E-3</v>
      </c>
      <c r="AM118" s="29">
        <f t="shared" si="78"/>
        <v>1.6671498985213105E-3</v>
      </c>
      <c r="AN118" s="29">
        <f t="shared" si="79"/>
        <v>3.3046288925875004E-3</v>
      </c>
      <c r="AO118" s="29">
        <f t="shared" si="80"/>
        <v>4.1832956676443721E-3</v>
      </c>
      <c r="AP118" s="29">
        <f t="shared" si="81"/>
        <v>7.5656004596820533E-3</v>
      </c>
      <c r="AQ118" s="29">
        <f t="shared" si="82"/>
        <v>9.908753920729969E-3</v>
      </c>
      <c r="AR118" s="29">
        <f t="shared" si="83"/>
        <v>7.2704171666549021E-3</v>
      </c>
      <c r="AS118" s="29">
        <f t="shared" si="84"/>
        <v>9.9042279841158615E-3</v>
      </c>
      <c r="AT118" s="29">
        <f t="shared" si="85"/>
        <v>1.3068418374427534E-2</v>
      </c>
      <c r="AU118" s="29"/>
      <c r="AW118" s="16" t="s">
        <v>187</v>
      </c>
      <c r="AX118" s="32">
        <f t="shared" si="87"/>
        <v>9.3008452012865344E-4</v>
      </c>
      <c r="AY118" s="32">
        <f t="shared" si="88"/>
        <v>1.1560568062418495E-3</v>
      </c>
      <c r="AZ118" s="32">
        <f t="shared" si="89"/>
        <v>1.0330661880530499E-3</v>
      </c>
      <c r="BA118" s="32">
        <f t="shared" si="90"/>
        <v>1.2413922893051851E-3</v>
      </c>
      <c r="BB118" s="32">
        <f t="shared" si="91"/>
        <v>2.1169629673878226E-3</v>
      </c>
      <c r="BC118" s="32">
        <f t="shared" si="92"/>
        <v>3.0516914862510612E-3</v>
      </c>
      <c r="BD118" s="32">
        <f t="shared" si="93"/>
        <v>5.0178416733046424E-3</v>
      </c>
      <c r="BE118" s="32">
        <f t="shared" si="94"/>
        <v>7.2192166826854642E-3</v>
      </c>
      <c r="BF118" s="32">
        <f t="shared" si="95"/>
        <v>8.2482571823556412E-3</v>
      </c>
      <c r="BG118" s="32">
        <f t="shared" si="96"/>
        <v>9.0277996905002433E-3</v>
      </c>
      <c r="BH118" s="41">
        <f t="shared" ref="BH118:BH138" si="97">AVERAGE(AR118:AT118)</f>
        <v>1.0081021175066098E-2</v>
      </c>
      <c r="BI118" s="46">
        <f t="shared" si="86"/>
        <v>0.44941796667034467</v>
      </c>
      <c r="BJ118" s="41" t="b">
        <f t="shared" si="61"/>
        <v>0</v>
      </c>
      <c r="BK118" s="41" t="b">
        <f t="shared" si="62"/>
        <v>0</v>
      </c>
      <c r="BL118" s="42" t="str">
        <f>_xlfn.XLOOKUP(AW118,'County Population Strata'!$A$3:$A$66,'County Population Strata'!$P$3:$P$66)</f>
        <v>Small</v>
      </c>
      <c r="BQ118" s="21">
        <f t="shared" si="60"/>
        <v>3.976236150305935E-5</v>
      </c>
    </row>
    <row r="119" spans="18:69" x14ac:dyDescent="0.2">
      <c r="R119" s="16" t="s">
        <v>188</v>
      </c>
      <c r="S119" s="26">
        <v>28196</v>
      </c>
      <c r="T119" s="26">
        <v>28430</v>
      </c>
      <c r="U119" s="26">
        <v>28247</v>
      </c>
      <c r="V119" s="26">
        <v>28249</v>
      </c>
      <c r="W119" s="26">
        <v>28162</v>
      </c>
      <c r="X119" s="26">
        <v>28335</v>
      </c>
      <c r="Y119" s="26">
        <v>28294</v>
      </c>
      <c r="Z119" s="26">
        <v>28425</v>
      </c>
      <c r="AA119" s="26">
        <v>28933</v>
      </c>
      <c r="AB119" s="26">
        <v>29130</v>
      </c>
      <c r="AC119" s="26">
        <v>29078</v>
      </c>
      <c r="AD119" s="26">
        <v>29011</v>
      </c>
      <c r="AE119" s="26">
        <v>29296</v>
      </c>
      <c r="AG119" s="16" t="s">
        <v>188</v>
      </c>
      <c r="AH119" s="29">
        <v>0</v>
      </c>
      <c r="AI119" s="29">
        <f t="shared" si="74"/>
        <v>8.2990495105688747E-3</v>
      </c>
      <c r="AJ119" s="29">
        <f t="shared" si="75"/>
        <v>-6.4368624692226518E-3</v>
      </c>
      <c r="AK119" s="29">
        <f t="shared" si="76"/>
        <v>7.0803979183630113E-5</v>
      </c>
      <c r="AL119" s="29">
        <f t="shared" si="77"/>
        <v>-3.0797550355764806E-3</v>
      </c>
      <c r="AM119" s="29">
        <f t="shared" si="78"/>
        <v>6.1430296143739791E-3</v>
      </c>
      <c r="AN119" s="29">
        <f t="shared" si="79"/>
        <v>-1.4469737074289748E-3</v>
      </c>
      <c r="AO119" s="29">
        <f t="shared" si="80"/>
        <v>4.6299568813175937E-3</v>
      </c>
      <c r="AP119" s="29">
        <f t="shared" si="81"/>
        <v>1.7871591908531222E-2</v>
      </c>
      <c r="AQ119" s="29">
        <f t="shared" si="82"/>
        <v>6.8088342031590223E-3</v>
      </c>
      <c r="AR119" s="29">
        <f t="shared" si="83"/>
        <v>-1.7851012701682115E-3</v>
      </c>
      <c r="AS119" s="29">
        <f t="shared" si="84"/>
        <v>-2.304147465437788E-3</v>
      </c>
      <c r="AT119" s="29">
        <f t="shared" si="85"/>
        <v>9.8238599152045778E-3</v>
      </c>
      <c r="AU119" s="29"/>
      <c r="AW119" s="16" t="s">
        <v>188</v>
      </c>
      <c r="AX119" s="32">
        <f t="shared" si="87"/>
        <v>6.2072901378207432E-4</v>
      </c>
      <c r="AY119" s="32">
        <f t="shared" si="88"/>
        <v>6.443303401766177E-4</v>
      </c>
      <c r="AZ119" s="32">
        <f t="shared" si="89"/>
        <v>-3.1486045085385005E-3</v>
      </c>
      <c r="BA119" s="32">
        <f t="shared" si="90"/>
        <v>1.0446928526603762E-3</v>
      </c>
      <c r="BB119" s="32">
        <f t="shared" si="91"/>
        <v>5.3876695712284125E-4</v>
      </c>
      <c r="BC119" s="32">
        <f t="shared" si="92"/>
        <v>3.1086709294208662E-3</v>
      </c>
      <c r="BD119" s="32">
        <f t="shared" si="93"/>
        <v>7.0181916941399469E-3</v>
      </c>
      <c r="BE119" s="32">
        <f t="shared" si="94"/>
        <v>9.7701276643359456E-3</v>
      </c>
      <c r="BF119" s="32">
        <f t="shared" si="95"/>
        <v>7.6317749471740111E-3</v>
      </c>
      <c r="BG119" s="32">
        <f t="shared" si="96"/>
        <v>9.0652848918434091E-4</v>
      </c>
      <c r="BH119" s="41">
        <f t="shared" si="97"/>
        <v>1.9115370598661926E-3</v>
      </c>
      <c r="BI119" s="46">
        <f t="shared" si="86"/>
        <v>-0.13283133784926418</v>
      </c>
      <c r="BJ119" s="41" t="b">
        <f t="shared" si="61"/>
        <v>0</v>
      </c>
      <c r="BK119" s="41" t="b">
        <f t="shared" si="62"/>
        <v>0</v>
      </c>
      <c r="BL119" s="42" t="str">
        <f>_xlfn.XLOOKUP(AW119,'County Population Strata'!$A$3:$A$66,'County Population Strata'!$P$3:$P$66)</f>
        <v>Small</v>
      </c>
      <c r="BQ119" s="21">
        <f t="shared" si="60"/>
        <v>3.4735407805167206E-6</v>
      </c>
    </row>
    <row r="120" spans="18:69" x14ac:dyDescent="0.2">
      <c r="R120" s="16" t="s">
        <v>189</v>
      </c>
      <c r="S120" s="26">
        <v>18838</v>
      </c>
      <c r="T120" s="26">
        <v>18831</v>
      </c>
      <c r="U120" s="26">
        <v>18815</v>
      </c>
      <c r="V120" s="26">
        <v>18799</v>
      </c>
      <c r="W120" s="26">
        <v>18779</v>
      </c>
      <c r="X120" s="26">
        <v>18817</v>
      </c>
      <c r="Y120" s="26">
        <v>18797</v>
      </c>
      <c r="Z120" s="26">
        <v>18763</v>
      </c>
      <c r="AA120" s="26">
        <v>18756</v>
      </c>
      <c r="AB120" s="26">
        <v>18736</v>
      </c>
      <c r="AC120" s="26">
        <v>18668</v>
      </c>
      <c r="AD120" s="26">
        <v>18523</v>
      </c>
      <c r="AE120" s="26">
        <v>18294</v>
      </c>
      <c r="AG120" s="16" t="s">
        <v>189</v>
      </c>
      <c r="AH120" s="29">
        <v>0</v>
      </c>
      <c r="AI120" s="29">
        <f t="shared" si="74"/>
        <v>-3.7158934069434125E-4</v>
      </c>
      <c r="AJ120" s="29">
        <f t="shared" si="75"/>
        <v>-8.4966279008018687E-4</v>
      </c>
      <c r="AK120" s="29">
        <f t="shared" si="76"/>
        <v>-8.5038533085304282E-4</v>
      </c>
      <c r="AL120" s="29">
        <f t="shared" si="77"/>
        <v>-1.0638863769349433E-3</v>
      </c>
      <c r="AM120" s="29">
        <f t="shared" si="78"/>
        <v>2.0235369295489641E-3</v>
      </c>
      <c r="AN120" s="29">
        <f t="shared" si="79"/>
        <v>-1.062868682574268E-3</v>
      </c>
      <c r="AO120" s="29">
        <f t="shared" si="80"/>
        <v>-1.8087992764802894E-3</v>
      </c>
      <c r="AP120" s="29">
        <f t="shared" si="81"/>
        <v>-3.7307466823002718E-4</v>
      </c>
      <c r="AQ120" s="29">
        <f t="shared" si="82"/>
        <v>-1.0663254425250586E-3</v>
      </c>
      <c r="AR120" s="29">
        <f t="shared" si="83"/>
        <v>-3.6293766011955592E-3</v>
      </c>
      <c r="AS120" s="29">
        <f t="shared" si="84"/>
        <v>-7.7673023355474607E-3</v>
      </c>
      <c r="AT120" s="29">
        <f t="shared" si="85"/>
        <v>-1.236300815202721E-2</v>
      </c>
      <c r="AU120" s="29"/>
      <c r="AW120" s="16" t="s">
        <v>189</v>
      </c>
      <c r="AX120" s="32">
        <f t="shared" si="87"/>
        <v>-4.0708404359150936E-4</v>
      </c>
      <c r="AY120" s="32">
        <f t="shared" si="88"/>
        <v>-6.9054582054252356E-4</v>
      </c>
      <c r="AZ120" s="32">
        <f t="shared" si="89"/>
        <v>-9.2131149928939093E-4</v>
      </c>
      <c r="BA120" s="32">
        <f t="shared" si="90"/>
        <v>3.6421740586992653E-5</v>
      </c>
      <c r="BB120" s="32">
        <f t="shared" si="91"/>
        <v>-3.4406043320082394E-5</v>
      </c>
      <c r="BC120" s="32">
        <f t="shared" si="92"/>
        <v>-2.8271034316853112E-4</v>
      </c>
      <c r="BD120" s="32">
        <f t="shared" si="93"/>
        <v>-1.0815808757615281E-3</v>
      </c>
      <c r="BE120" s="32">
        <f t="shared" si="94"/>
        <v>-1.0827331290784584E-3</v>
      </c>
      <c r="BF120" s="32">
        <f t="shared" si="95"/>
        <v>-1.6895922373168816E-3</v>
      </c>
      <c r="BG120" s="32">
        <f t="shared" si="96"/>
        <v>-4.1543347930893598E-3</v>
      </c>
      <c r="BH120" s="41">
        <f t="shared" si="97"/>
        <v>-7.9198956962567429E-3</v>
      </c>
      <c r="BI120" s="46">
        <f t="shared" si="86"/>
        <v>-0.8335297912599674</v>
      </c>
      <c r="BJ120" s="41" t="b">
        <f t="shared" si="61"/>
        <v>0</v>
      </c>
      <c r="BK120" s="41" t="b">
        <f t="shared" si="62"/>
        <v>0</v>
      </c>
      <c r="BL120" s="42" t="str">
        <f>_xlfn.XLOOKUP(AW120,'County Population Strata'!$A$3:$A$66,'County Population Strata'!$P$3:$P$66)</f>
        <v>Tiny</v>
      </c>
      <c r="BQ120" s="21">
        <f t="shared" si="60"/>
        <v>1.3677715360257178E-4</v>
      </c>
    </row>
    <row r="121" spans="18:69" x14ac:dyDescent="0.2">
      <c r="R121" s="16" t="s">
        <v>190</v>
      </c>
      <c r="S121" s="26">
        <v>4446</v>
      </c>
      <c r="T121" s="26">
        <v>4404</v>
      </c>
      <c r="U121" s="26">
        <v>4478</v>
      </c>
      <c r="V121" s="26">
        <v>4515</v>
      </c>
      <c r="W121" s="26">
        <v>4528</v>
      </c>
      <c r="X121" s="26">
        <v>4550</v>
      </c>
      <c r="Y121" s="26">
        <v>4721</v>
      </c>
      <c r="Z121" s="26">
        <v>4730</v>
      </c>
      <c r="AA121" s="26">
        <v>4736</v>
      </c>
      <c r="AB121" s="26">
        <v>4887</v>
      </c>
      <c r="AC121" s="26">
        <v>4876</v>
      </c>
      <c r="AD121" s="26">
        <v>5051</v>
      </c>
      <c r="AE121" s="26">
        <v>5088</v>
      </c>
      <c r="AG121" s="16" t="s">
        <v>190</v>
      </c>
      <c r="AH121" s="29">
        <v>0</v>
      </c>
      <c r="AI121" s="29">
        <f t="shared" si="74"/>
        <v>-9.4466936572199737E-3</v>
      </c>
      <c r="AJ121" s="29">
        <f t="shared" si="75"/>
        <v>1.6802906448683014E-2</v>
      </c>
      <c r="AK121" s="29">
        <f t="shared" si="76"/>
        <v>8.2626172398392143E-3</v>
      </c>
      <c r="AL121" s="29">
        <f t="shared" si="77"/>
        <v>2.8792912513842745E-3</v>
      </c>
      <c r="AM121" s="29">
        <f t="shared" si="78"/>
        <v>4.8586572438162542E-3</v>
      </c>
      <c r="AN121" s="29">
        <f t="shared" si="79"/>
        <v>3.7582417582417579E-2</v>
      </c>
      <c r="AO121" s="29">
        <f t="shared" si="80"/>
        <v>1.9063757678457953E-3</v>
      </c>
      <c r="AP121" s="29">
        <f t="shared" si="81"/>
        <v>1.2684989429175475E-3</v>
      </c>
      <c r="AQ121" s="29">
        <f t="shared" si="82"/>
        <v>3.1883445945945943E-2</v>
      </c>
      <c r="AR121" s="29">
        <f t="shared" si="83"/>
        <v>-2.2508696541845715E-3</v>
      </c>
      <c r="AS121" s="29">
        <f t="shared" si="84"/>
        <v>3.5890073831009027E-2</v>
      </c>
      <c r="AT121" s="29">
        <f t="shared" si="85"/>
        <v>7.3252821223520094E-3</v>
      </c>
      <c r="AU121" s="29"/>
      <c r="AW121" s="16" t="s">
        <v>190</v>
      </c>
      <c r="AX121" s="32">
        <f t="shared" si="87"/>
        <v>2.4520709304876802E-3</v>
      </c>
      <c r="AY121" s="32">
        <f t="shared" si="88"/>
        <v>5.2062766771007515E-3</v>
      </c>
      <c r="AZ121" s="32">
        <f t="shared" si="89"/>
        <v>9.3149383133021672E-3</v>
      </c>
      <c r="BA121" s="32">
        <f t="shared" si="90"/>
        <v>5.3335219116799138E-3</v>
      </c>
      <c r="BB121" s="32">
        <f t="shared" si="91"/>
        <v>1.5106788692539369E-2</v>
      </c>
      <c r="BC121" s="32">
        <f t="shared" si="92"/>
        <v>1.4782483531359877E-2</v>
      </c>
      <c r="BD121" s="32">
        <f t="shared" si="93"/>
        <v>1.3585764097726974E-2</v>
      </c>
      <c r="BE121" s="32">
        <f t="shared" si="94"/>
        <v>1.1686106885569763E-2</v>
      </c>
      <c r="BF121" s="32">
        <f t="shared" si="95"/>
        <v>1.0300358411559641E-2</v>
      </c>
      <c r="BG121" s="32">
        <f t="shared" si="96"/>
        <v>2.1840883374256798E-2</v>
      </c>
      <c r="BH121" s="41">
        <f t="shared" si="97"/>
        <v>1.3654828766392157E-2</v>
      </c>
      <c r="BI121" s="46">
        <f t="shared" si="86"/>
        <v>0.70412768336652298</v>
      </c>
      <c r="BJ121" s="41" t="b">
        <f t="shared" si="61"/>
        <v>0</v>
      </c>
      <c r="BK121" s="41" t="b">
        <f t="shared" si="62"/>
        <v>0</v>
      </c>
      <c r="BL121" s="42" t="str">
        <f>_xlfn.XLOOKUP(AW121,'County Population Strata'!$A$3:$A$66,'County Population Strata'!$P$3:$P$66)</f>
        <v>Tiny</v>
      </c>
      <c r="BQ121" s="21">
        <f t="shared" si="60"/>
        <v>9.7605467746563675E-5</v>
      </c>
    </row>
    <row r="122" spans="18:69" x14ac:dyDescent="0.2">
      <c r="R122" s="16" t="s">
        <v>191</v>
      </c>
      <c r="S122" s="26">
        <v>16262</v>
      </c>
      <c r="T122" s="26">
        <v>15896</v>
      </c>
      <c r="U122" s="26">
        <v>15739</v>
      </c>
      <c r="V122" s="26">
        <v>15730</v>
      </c>
      <c r="W122" s="26">
        <v>15778</v>
      </c>
      <c r="X122" s="26">
        <v>15975</v>
      </c>
      <c r="Y122" s="26">
        <v>16461</v>
      </c>
      <c r="Z122" s="26">
        <v>16866</v>
      </c>
      <c r="AA122" s="26">
        <v>17366</v>
      </c>
      <c r="AB122" s="26">
        <v>17511</v>
      </c>
      <c r="AC122" s="26">
        <v>17416</v>
      </c>
      <c r="AD122" s="26">
        <v>17735</v>
      </c>
      <c r="AE122" s="26">
        <v>17900</v>
      </c>
      <c r="AG122" s="16" t="s">
        <v>191</v>
      </c>
      <c r="AH122" s="29">
        <v>0</v>
      </c>
      <c r="AI122" s="29">
        <f t="shared" si="74"/>
        <v>-2.2506456770384948E-2</v>
      </c>
      <c r="AJ122" s="29">
        <f t="shared" si="75"/>
        <v>-9.8766985405133369E-3</v>
      </c>
      <c r="AK122" s="29">
        <f t="shared" si="76"/>
        <v>-5.7182794332549716E-4</v>
      </c>
      <c r="AL122" s="29">
        <f t="shared" si="77"/>
        <v>3.0514939605848696E-3</v>
      </c>
      <c r="AM122" s="29">
        <f t="shared" si="78"/>
        <v>1.2485739637469895E-2</v>
      </c>
      <c r="AN122" s="29">
        <f t="shared" si="79"/>
        <v>3.0422535211267605E-2</v>
      </c>
      <c r="AO122" s="29">
        <f t="shared" si="80"/>
        <v>2.4603608529250958E-2</v>
      </c>
      <c r="AP122" s="29">
        <f t="shared" si="81"/>
        <v>2.9645440531246296E-2</v>
      </c>
      <c r="AQ122" s="29">
        <f t="shared" si="82"/>
        <v>8.3496487389151212E-3</v>
      </c>
      <c r="AR122" s="29">
        <f t="shared" si="83"/>
        <v>-5.4251613271657818E-3</v>
      </c>
      <c r="AS122" s="29">
        <f t="shared" si="84"/>
        <v>1.8316490583371613E-2</v>
      </c>
      <c r="AT122" s="29">
        <f t="shared" si="85"/>
        <v>9.303636876233437E-3</v>
      </c>
      <c r="AU122" s="29"/>
      <c r="AW122" s="16" t="s">
        <v>191</v>
      </c>
      <c r="AX122" s="32">
        <f t="shared" si="87"/>
        <v>-1.079438510363276E-2</v>
      </c>
      <c r="AY122" s="32">
        <f t="shared" si="88"/>
        <v>-1.0984994418074594E-2</v>
      </c>
      <c r="AZ122" s="32">
        <f t="shared" si="89"/>
        <v>-2.4656775077513213E-3</v>
      </c>
      <c r="BA122" s="32">
        <f t="shared" si="90"/>
        <v>4.9884685515764228E-3</v>
      </c>
      <c r="BB122" s="32">
        <f t="shared" si="91"/>
        <v>1.5319922936440791E-2</v>
      </c>
      <c r="BC122" s="32">
        <f t="shared" si="92"/>
        <v>2.250396112599615E-2</v>
      </c>
      <c r="BD122" s="32">
        <f t="shared" si="93"/>
        <v>2.8223861423921619E-2</v>
      </c>
      <c r="BE122" s="32">
        <f t="shared" si="94"/>
        <v>2.0866232599804125E-2</v>
      </c>
      <c r="BF122" s="32">
        <f t="shared" si="95"/>
        <v>1.0856642647665213E-2</v>
      </c>
      <c r="BG122" s="32">
        <f t="shared" si="96"/>
        <v>7.0803259983736504E-3</v>
      </c>
      <c r="BH122" s="41">
        <f t="shared" si="97"/>
        <v>7.3983220441464223E-3</v>
      </c>
      <c r="BI122" s="46">
        <f t="shared" si="86"/>
        <v>0.25821865944516398</v>
      </c>
      <c r="BJ122" s="41" t="b">
        <f t="shared" si="61"/>
        <v>0</v>
      </c>
      <c r="BK122" s="41" t="b">
        <f t="shared" si="62"/>
        <v>0</v>
      </c>
      <c r="BL122" s="42" t="str">
        <f>_xlfn.XLOOKUP(AW122,'County Population Strata'!$A$3:$A$66,'County Population Strata'!$P$3:$P$66)</f>
        <v>Tiny</v>
      </c>
      <c r="BQ122" s="21">
        <f t="shared" si="60"/>
        <v>1.3126427756421854E-5</v>
      </c>
    </row>
    <row r="123" spans="18:69" x14ac:dyDescent="0.2">
      <c r="R123" s="16" t="s">
        <v>192</v>
      </c>
      <c r="S123" s="26">
        <v>4465</v>
      </c>
      <c r="T123" s="26">
        <v>4473</v>
      </c>
      <c r="U123" s="26">
        <v>4482</v>
      </c>
      <c r="V123" s="26">
        <v>4486</v>
      </c>
      <c r="W123" s="26">
        <v>4494</v>
      </c>
      <c r="X123" s="26">
        <v>4499</v>
      </c>
      <c r="Y123" s="26">
        <v>4505</v>
      </c>
      <c r="Z123" s="26">
        <v>4514</v>
      </c>
      <c r="AA123" s="26">
        <v>4515</v>
      </c>
      <c r="AB123" s="26">
        <v>4521</v>
      </c>
      <c r="AC123" s="26">
        <v>4523</v>
      </c>
      <c r="AD123" s="26">
        <v>4498</v>
      </c>
      <c r="AE123" s="26">
        <v>4435</v>
      </c>
      <c r="AG123" s="16" t="s">
        <v>192</v>
      </c>
      <c r="AH123" s="29">
        <v>0</v>
      </c>
      <c r="AI123" s="29">
        <f t="shared" si="74"/>
        <v>1.7917133258678612E-3</v>
      </c>
      <c r="AJ123" s="29">
        <f t="shared" si="75"/>
        <v>2.012072434607646E-3</v>
      </c>
      <c r="AK123" s="29">
        <f t="shared" si="76"/>
        <v>8.9245872378402495E-4</v>
      </c>
      <c r="AL123" s="29">
        <f t="shared" si="77"/>
        <v>1.7833259028087382E-3</v>
      </c>
      <c r="AM123" s="29">
        <f t="shared" si="78"/>
        <v>1.1125945705384957E-3</v>
      </c>
      <c r="AN123" s="29">
        <f t="shared" si="79"/>
        <v>1.3336296954878863E-3</v>
      </c>
      <c r="AO123" s="29">
        <f t="shared" si="80"/>
        <v>1.9977802441731411E-3</v>
      </c>
      <c r="AP123" s="29">
        <f t="shared" si="81"/>
        <v>2.2153300841825432E-4</v>
      </c>
      <c r="AQ123" s="29">
        <f t="shared" si="82"/>
        <v>1.3289036544850499E-3</v>
      </c>
      <c r="AR123" s="29">
        <f t="shared" si="83"/>
        <v>4.4238000442380006E-4</v>
      </c>
      <c r="AS123" s="29">
        <f t="shared" si="84"/>
        <v>-5.5273048861375195E-3</v>
      </c>
      <c r="AT123" s="29">
        <f t="shared" si="85"/>
        <v>-1.4006224988883948E-2</v>
      </c>
      <c r="AU123" s="29"/>
      <c r="AW123" s="16" t="s">
        <v>192</v>
      </c>
      <c r="AX123" s="32">
        <f t="shared" si="87"/>
        <v>1.2679285868251692E-3</v>
      </c>
      <c r="AY123" s="32">
        <f t="shared" si="88"/>
        <v>1.5654148280865108E-3</v>
      </c>
      <c r="AZ123" s="32">
        <f t="shared" si="89"/>
        <v>1.5626190204001366E-3</v>
      </c>
      <c r="BA123" s="32">
        <f t="shared" si="90"/>
        <v>1.2627930657104196E-3</v>
      </c>
      <c r="BB123" s="32">
        <f t="shared" si="91"/>
        <v>1.4098500562783733E-3</v>
      </c>
      <c r="BC123" s="32">
        <f t="shared" si="92"/>
        <v>1.4813348367331742E-3</v>
      </c>
      <c r="BD123" s="32">
        <f t="shared" si="93"/>
        <v>1.1843143160264271E-3</v>
      </c>
      <c r="BE123" s="32">
        <f t="shared" si="94"/>
        <v>1.1827389690254816E-3</v>
      </c>
      <c r="BF123" s="32">
        <f t="shared" si="95"/>
        <v>6.6427222244236806E-4</v>
      </c>
      <c r="BG123" s="32">
        <f t="shared" si="96"/>
        <v>-1.2520070757428899E-3</v>
      </c>
      <c r="BH123" s="41">
        <f t="shared" si="97"/>
        <v>-6.3637166235325565E-3</v>
      </c>
      <c r="BI123" s="46">
        <f t="shared" si="86"/>
        <v>-0.72261897118556473</v>
      </c>
      <c r="BJ123" s="41" t="b">
        <f t="shared" si="61"/>
        <v>0</v>
      </c>
      <c r="BK123" s="41" t="b">
        <f t="shared" si="62"/>
        <v>0</v>
      </c>
      <c r="BL123" s="42" t="str">
        <f>_xlfn.XLOOKUP(AW123,'County Population Strata'!$A$3:$A$66,'County Population Strata'!$P$3:$P$66)</f>
        <v>Tiny</v>
      </c>
      <c r="BQ123" s="21">
        <f t="shared" si="60"/>
        <v>1.0279926903526674E-4</v>
      </c>
    </row>
    <row r="124" spans="18:69" x14ac:dyDescent="0.2">
      <c r="R124" s="16" t="s">
        <v>193</v>
      </c>
      <c r="S124" s="26">
        <v>17156</v>
      </c>
      <c r="T124" s="26">
        <v>17128</v>
      </c>
      <c r="U124" s="26">
        <v>17201</v>
      </c>
      <c r="V124" s="26">
        <v>17321</v>
      </c>
      <c r="W124" s="26">
        <v>17521</v>
      </c>
      <c r="X124" s="26">
        <v>17701</v>
      </c>
      <c r="Y124" s="26">
        <v>17691</v>
      </c>
      <c r="Z124" s="26">
        <v>17658</v>
      </c>
      <c r="AA124" s="26">
        <v>17643</v>
      </c>
      <c r="AB124" s="26">
        <v>17413</v>
      </c>
      <c r="AC124" s="26">
        <v>17355</v>
      </c>
      <c r="AD124" s="26">
        <v>17336</v>
      </c>
      <c r="AE124" s="26">
        <v>16856</v>
      </c>
      <c r="AG124" s="16" t="s">
        <v>193</v>
      </c>
      <c r="AH124" s="29">
        <v>0</v>
      </c>
      <c r="AI124" s="29">
        <f t="shared" si="74"/>
        <v>-1.6320820704126837E-3</v>
      </c>
      <c r="AJ124" s="29">
        <f t="shared" si="75"/>
        <v>4.2620270901447925E-3</v>
      </c>
      <c r="AK124" s="29">
        <f t="shared" si="76"/>
        <v>6.97633858496599E-3</v>
      </c>
      <c r="AL124" s="29">
        <f t="shared" si="77"/>
        <v>1.1546677443565615E-2</v>
      </c>
      <c r="AM124" s="29">
        <f t="shared" si="78"/>
        <v>1.0273386222247589E-2</v>
      </c>
      <c r="AN124" s="29">
        <f t="shared" si="79"/>
        <v>-5.6493983390768887E-4</v>
      </c>
      <c r="AO124" s="29">
        <f t="shared" si="80"/>
        <v>-1.8653552653891809E-3</v>
      </c>
      <c r="AP124" s="29">
        <f t="shared" si="81"/>
        <v>-8.4947332653754668E-4</v>
      </c>
      <c r="AQ124" s="29">
        <f t="shared" si="82"/>
        <v>-1.3036331689621946E-2</v>
      </c>
      <c r="AR124" s="29">
        <f t="shared" si="83"/>
        <v>-3.330844771147993E-3</v>
      </c>
      <c r="AS124" s="29">
        <f t="shared" si="84"/>
        <v>-1.0947853644482858E-3</v>
      </c>
      <c r="AT124" s="29">
        <f t="shared" si="85"/>
        <v>-2.7688047992616521E-2</v>
      </c>
      <c r="AU124" s="29"/>
      <c r="AW124" s="16" t="s">
        <v>193</v>
      </c>
      <c r="AX124" s="32">
        <f t="shared" si="87"/>
        <v>8.7664833991070305E-4</v>
      </c>
      <c r="AY124" s="32">
        <f t="shared" si="88"/>
        <v>3.2020945348993665E-3</v>
      </c>
      <c r="AZ124" s="32">
        <f t="shared" si="89"/>
        <v>7.5950143728921336E-3</v>
      </c>
      <c r="BA124" s="32">
        <f t="shared" si="90"/>
        <v>9.5988007502597322E-3</v>
      </c>
      <c r="BB124" s="32">
        <f t="shared" si="91"/>
        <v>7.085041277301838E-3</v>
      </c>
      <c r="BC124" s="32">
        <f t="shared" si="92"/>
        <v>2.6143637076502402E-3</v>
      </c>
      <c r="BD124" s="32">
        <f t="shared" si="93"/>
        <v>-1.0932561419448054E-3</v>
      </c>
      <c r="BE124" s="32">
        <f t="shared" si="94"/>
        <v>-5.2503867605162248E-3</v>
      </c>
      <c r="BF124" s="32">
        <f t="shared" si="95"/>
        <v>-5.7388832624358293E-3</v>
      </c>
      <c r="BG124" s="32">
        <f t="shared" si="96"/>
        <v>-5.8206539417394081E-3</v>
      </c>
      <c r="BH124" s="41">
        <f t="shared" si="97"/>
        <v>-1.0704559376070934E-2</v>
      </c>
      <c r="BI124" s="46">
        <f t="shared" si="86"/>
        <v>-1.0319962388384816</v>
      </c>
      <c r="BJ124" s="41" t="b">
        <f t="shared" si="61"/>
        <v>0</v>
      </c>
      <c r="BK124" s="41" t="b">
        <f t="shared" si="62"/>
        <v>1</v>
      </c>
      <c r="BL124" s="42" t="str">
        <f>_xlfn.XLOOKUP(AW124,'County Population Strata'!$A$3:$A$66,'County Population Strata'!$P$3:$P$66)</f>
        <v>Tiny</v>
      </c>
      <c r="BQ124" s="21">
        <f t="shared" si="60"/>
        <v>2.0966577192567333E-4</v>
      </c>
    </row>
    <row r="125" spans="18:69" x14ac:dyDescent="0.2">
      <c r="R125" s="16" t="s">
        <v>194</v>
      </c>
      <c r="S125" s="26">
        <v>12531</v>
      </c>
      <c r="T125" s="26">
        <v>12478</v>
      </c>
      <c r="U125" s="26">
        <v>12398</v>
      </c>
      <c r="V125" s="26">
        <v>12287</v>
      </c>
      <c r="W125" s="26">
        <v>12023</v>
      </c>
      <c r="X125" s="26">
        <v>11891</v>
      </c>
      <c r="Y125" s="26">
        <v>11887</v>
      </c>
      <c r="Z125" s="26">
        <v>11930</v>
      </c>
      <c r="AA125" s="26">
        <v>11971</v>
      </c>
      <c r="AB125" s="26">
        <v>12011</v>
      </c>
      <c r="AC125" s="26">
        <v>12012</v>
      </c>
      <c r="AD125" s="26">
        <v>11985</v>
      </c>
      <c r="AE125" s="26">
        <v>11850</v>
      </c>
      <c r="AG125" s="16" t="s">
        <v>194</v>
      </c>
      <c r="AH125" s="29">
        <v>0</v>
      </c>
      <c r="AI125" s="29">
        <f t="shared" si="74"/>
        <v>-4.2295108131833051E-3</v>
      </c>
      <c r="AJ125" s="29">
        <f t="shared" si="75"/>
        <v>-6.4112838595928832E-3</v>
      </c>
      <c r="AK125" s="29">
        <f t="shared" si="76"/>
        <v>-8.9530569446684954E-3</v>
      </c>
      <c r="AL125" s="29">
        <f t="shared" si="77"/>
        <v>-2.1486123545210387E-2</v>
      </c>
      <c r="AM125" s="29">
        <f t="shared" si="78"/>
        <v>-1.0978956999085087E-2</v>
      </c>
      <c r="AN125" s="29">
        <f t="shared" si="79"/>
        <v>-3.3638886552855103E-4</v>
      </c>
      <c r="AO125" s="29">
        <f t="shared" si="80"/>
        <v>3.6173971565575838E-3</v>
      </c>
      <c r="AP125" s="29">
        <f t="shared" si="81"/>
        <v>3.4367141659681476E-3</v>
      </c>
      <c r="AQ125" s="29">
        <f t="shared" si="82"/>
        <v>3.341408403642135E-3</v>
      </c>
      <c r="AR125" s="29">
        <f t="shared" si="83"/>
        <v>8.3257014403463495E-5</v>
      </c>
      <c r="AS125" s="29">
        <f t="shared" si="84"/>
        <v>-2.247752247752248E-3</v>
      </c>
      <c r="AT125" s="29">
        <f t="shared" si="85"/>
        <v>-1.1264080100125156E-2</v>
      </c>
      <c r="AU125" s="29"/>
      <c r="AW125" s="16" t="s">
        <v>194</v>
      </c>
      <c r="AX125" s="32">
        <f t="shared" si="87"/>
        <v>-3.5469315575920625E-3</v>
      </c>
      <c r="AY125" s="32">
        <f t="shared" si="88"/>
        <v>-6.5312838724815607E-3</v>
      </c>
      <c r="AZ125" s="32">
        <f t="shared" si="89"/>
        <v>-1.2283488116490588E-2</v>
      </c>
      <c r="BA125" s="32">
        <f t="shared" si="90"/>
        <v>-1.3806045829654659E-2</v>
      </c>
      <c r="BB125" s="32">
        <f t="shared" si="91"/>
        <v>-1.093382313660801E-2</v>
      </c>
      <c r="BC125" s="32">
        <f t="shared" si="92"/>
        <v>-2.5659829026853515E-3</v>
      </c>
      <c r="BD125" s="32">
        <f t="shared" si="93"/>
        <v>2.23924081899906E-3</v>
      </c>
      <c r="BE125" s="32">
        <f t="shared" si="94"/>
        <v>3.4651732420559558E-3</v>
      </c>
      <c r="BF125" s="32">
        <f t="shared" si="95"/>
        <v>2.2871265280045819E-3</v>
      </c>
      <c r="BG125" s="32">
        <f t="shared" si="96"/>
        <v>3.9230439009778351E-4</v>
      </c>
      <c r="BH125" s="41">
        <f t="shared" si="97"/>
        <v>-4.4761917778246467E-3</v>
      </c>
      <c r="BI125" s="46">
        <f t="shared" si="86"/>
        <v>-0.58809272531991363</v>
      </c>
      <c r="BJ125" s="41" t="b">
        <f t="shared" si="61"/>
        <v>0</v>
      </c>
      <c r="BK125" s="41" t="b">
        <f t="shared" si="62"/>
        <v>0</v>
      </c>
      <c r="BL125" s="42" t="str">
        <f>_xlfn.XLOOKUP(AW125,'County Population Strata'!$A$3:$A$66,'County Population Strata'!$P$3:$P$66)</f>
        <v>Tiny</v>
      </c>
      <c r="BQ125" s="21">
        <f t="shared" si="60"/>
        <v>6.8086799931171472E-5</v>
      </c>
    </row>
    <row r="126" spans="18:69" x14ac:dyDescent="0.2">
      <c r="R126" s="16" t="s">
        <v>195</v>
      </c>
      <c r="S126" s="26">
        <v>159496</v>
      </c>
      <c r="T126" s="26">
        <v>159838</v>
      </c>
      <c r="U126" s="26">
        <v>160327</v>
      </c>
      <c r="V126" s="26">
        <v>160565</v>
      </c>
      <c r="W126" s="26">
        <v>160867</v>
      </c>
      <c r="X126" s="26">
        <v>162449</v>
      </c>
      <c r="Y126" s="26">
        <v>164124</v>
      </c>
      <c r="Z126" s="26">
        <v>165549</v>
      </c>
      <c r="AA126" s="26">
        <v>166686</v>
      </c>
      <c r="AB126" s="26">
        <v>167485</v>
      </c>
      <c r="AC126" s="26">
        <v>168311</v>
      </c>
      <c r="AD126" s="26">
        <v>169272</v>
      </c>
      <c r="AE126" s="26">
        <v>169383</v>
      </c>
      <c r="AG126" s="16" t="s">
        <v>195</v>
      </c>
      <c r="AH126" s="29">
        <v>0</v>
      </c>
      <c r="AI126" s="29">
        <f t="shared" si="74"/>
        <v>2.1442544013642977E-3</v>
      </c>
      <c r="AJ126" s="29">
        <f t="shared" si="75"/>
        <v>3.0593475894343022E-3</v>
      </c>
      <c r="AK126" s="29">
        <f t="shared" si="76"/>
        <v>1.4844661223624219E-3</v>
      </c>
      <c r="AL126" s="29">
        <f t="shared" si="77"/>
        <v>1.880858219412699E-3</v>
      </c>
      <c r="AM126" s="29">
        <f t="shared" si="78"/>
        <v>9.8342108698490065E-3</v>
      </c>
      <c r="AN126" s="29">
        <f t="shared" si="79"/>
        <v>1.0310928352898449E-2</v>
      </c>
      <c r="AO126" s="29">
        <f t="shared" si="80"/>
        <v>8.6824596037142644E-3</v>
      </c>
      <c r="AP126" s="29">
        <f t="shared" si="81"/>
        <v>6.8680571915263758E-3</v>
      </c>
      <c r="AQ126" s="29">
        <f t="shared" si="82"/>
        <v>4.7934439605005815E-3</v>
      </c>
      <c r="AR126" s="29">
        <f t="shared" si="83"/>
        <v>4.9317849359644143E-3</v>
      </c>
      <c r="AS126" s="29">
        <f t="shared" si="84"/>
        <v>5.7096684114526083E-3</v>
      </c>
      <c r="AT126" s="29">
        <f t="shared" si="85"/>
        <v>6.5574932652771867E-4</v>
      </c>
      <c r="AU126" s="29"/>
      <c r="AW126" s="16" t="s">
        <v>195</v>
      </c>
      <c r="AX126" s="32">
        <f t="shared" si="87"/>
        <v>1.7345339969328667E-3</v>
      </c>
      <c r="AY126" s="32">
        <f t="shared" si="88"/>
        <v>2.2293560377203404E-3</v>
      </c>
      <c r="AZ126" s="32">
        <f t="shared" si="89"/>
        <v>2.1415573104031408E-3</v>
      </c>
      <c r="BA126" s="32">
        <f t="shared" si="90"/>
        <v>4.3998450705413751E-3</v>
      </c>
      <c r="BB126" s="32">
        <f t="shared" si="91"/>
        <v>7.3419991473867184E-3</v>
      </c>
      <c r="BC126" s="32">
        <f t="shared" si="92"/>
        <v>9.6091996088205744E-3</v>
      </c>
      <c r="BD126" s="32">
        <f t="shared" si="93"/>
        <v>8.6204817160463621E-3</v>
      </c>
      <c r="BE126" s="32">
        <f t="shared" si="94"/>
        <v>6.7813202519137403E-3</v>
      </c>
      <c r="BF126" s="32">
        <f t="shared" si="95"/>
        <v>5.5310953626637911E-3</v>
      </c>
      <c r="BG126" s="32">
        <f t="shared" si="96"/>
        <v>5.1449657693058677E-3</v>
      </c>
      <c r="BH126" s="41">
        <f t="shared" si="97"/>
        <v>3.7657342246482472E-3</v>
      </c>
      <c r="BI126" s="46">
        <f t="shared" si="86"/>
        <v>-6.8039729869746044E-4</v>
      </c>
      <c r="BJ126" s="41" t="b">
        <f t="shared" si="61"/>
        <v>0</v>
      </c>
      <c r="BK126" s="41" t="b">
        <f t="shared" si="62"/>
        <v>0</v>
      </c>
      <c r="BL126" s="42" t="str">
        <f>_xlfn.XLOOKUP(AW126,'County Population Strata'!$A$3:$A$66,'County Population Strata'!$P$3:$P$66)</f>
        <v>Small</v>
      </c>
      <c r="BQ126" s="21">
        <f t="shared" si="60"/>
        <v>9.1137365402725734E-11</v>
      </c>
    </row>
    <row r="127" spans="18:69" x14ac:dyDescent="0.2">
      <c r="R127" s="16" t="s">
        <v>196</v>
      </c>
      <c r="S127" s="26">
        <v>6617</v>
      </c>
      <c r="T127" s="26">
        <v>6736</v>
      </c>
      <c r="U127" s="26">
        <v>6793</v>
      </c>
      <c r="V127" s="26">
        <v>6764</v>
      </c>
      <c r="W127" s="26">
        <v>6644</v>
      </c>
      <c r="X127" s="26">
        <v>6621</v>
      </c>
      <c r="Y127" s="26">
        <v>6616</v>
      </c>
      <c r="Z127" s="26">
        <v>6568</v>
      </c>
      <c r="AA127" s="26">
        <v>6588</v>
      </c>
      <c r="AB127" s="26">
        <v>6528</v>
      </c>
      <c r="AC127" s="26">
        <v>6521</v>
      </c>
      <c r="AD127" s="26">
        <v>6443</v>
      </c>
      <c r="AE127" s="26">
        <v>6558</v>
      </c>
      <c r="AG127" s="16" t="s">
        <v>196</v>
      </c>
      <c r="AH127" s="29">
        <v>0</v>
      </c>
      <c r="AI127" s="29">
        <f t="shared" si="74"/>
        <v>1.7983980655886352E-2</v>
      </c>
      <c r="AJ127" s="29">
        <f t="shared" si="75"/>
        <v>8.4619952494061762E-3</v>
      </c>
      <c r="AK127" s="29">
        <f t="shared" si="76"/>
        <v>-4.2691005446783455E-3</v>
      </c>
      <c r="AL127" s="29">
        <f t="shared" si="77"/>
        <v>-1.7740981667652277E-2</v>
      </c>
      <c r="AM127" s="29">
        <f t="shared" si="78"/>
        <v>-3.461770018061409E-3</v>
      </c>
      <c r="AN127" s="29">
        <f t="shared" si="79"/>
        <v>-7.5517293460202384E-4</v>
      </c>
      <c r="AO127" s="29">
        <f t="shared" si="80"/>
        <v>-7.2551390568319227E-3</v>
      </c>
      <c r="AP127" s="29">
        <f t="shared" si="81"/>
        <v>3.0450669914738123E-3</v>
      </c>
      <c r="AQ127" s="29">
        <f t="shared" si="82"/>
        <v>-9.1074681238615673E-3</v>
      </c>
      <c r="AR127" s="29">
        <f t="shared" si="83"/>
        <v>-1.0723039215686275E-3</v>
      </c>
      <c r="AS127" s="29">
        <f t="shared" si="84"/>
        <v>-1.1961355620303635E-2</v>
      </c>
      <c r="AT127" s="29">
        <f t="shared" si="85"/>
        <v>1.7848828185627812E-2</v>
      </c>
      <c r="AU127" s="29"/>
      <c r="AW127" s="16" t="s">
        <v>196</v>
      </c>
      <c r="AX127" s="32">
        <f t="shared" si="87"/>
        <v>8.8153253017641767E-3</v>
      </c>
      <c r="AY127" s="32">
        <f t="shared" si="88"/>
        <v>7.3922917868713941E-3</v>
      </c>
      <c r="AZ127" s="32">
        <f t="shared" si="89"/>
        <v>-4.5160289876414817E-3</v>
      </c>
      <c r="BA127" s="32">
        <f t="shared" si="90"/>
        <v>-8.4906174101306766E-3</v>
      </c>
      <c r="BB127" s="32">
        <f t="shared" si="91"/>
        <v>-7.3193082067719026E-3</v>
      </c>
      <c r="BC127" s="32">
        <f t="shared" si="92"/>
        <v>-3.8240273364984517E-3</v>
      </c>
      <c r="BD127" s="32">
        <f t="shared" si="93"/>
        <v>-1.6550816666533782E-3</v>
      </c>
      <c r="BE127" s="32">
        <f t="shared" si="94"/>
        <v>-4.4391800630732255E-3</v>
      </c>
      <c r="BF127" s="32">
        <f t="shared" si="95"/>
        <v>-2.378235017985461E-3</v>
      </c>
      <c r="BG127" s="32">
        <f t="shared" si="96"/>
        <v>-7.3803758885779428E-3</v>
      </c>
      <c r="BH127" s="41">
        <f t="shared" si="97"/>
        <v>1.6050562145851835E-3</v>
      </c>
      <c r="BI127" s="46">
        <f t="shared" si="86"/>
        <v>-0.15467460928441315</v>
      </c>
      <c r="BJ127" s="41" t="b">
        <f t="shared" si="61"/>
        <v>0</v>
      </c>
      <c r="BK127" s="41" t="b">
        <f t="shared" si="62"/>
        <v>0</v>
      </c>
      <c r="BL127" s="42" t="str">
        <f>_xlfn.XLOOKUP(AW127,'County Population Strata'!$A$3:$A$66,'County Population Strata'!$P$3:$P$66)</f>
        <v>Tiny</v>
      </c>
      <c r="BQ127" s="21">
        <f t="shared" si="60"/>
        <v>4.7098748112577028E-6</v>
      </c>
    </row>
    <row r="128" spans="18:69" x14ac:dyDescent="0.2">
      <c r="R128" s="16" t="s">
        <v>197</v>
      </c>
      <c r="S128" s="26">
        <v>12001</v>
      </c>
      <c r="T128" s="26">
        <v>11957</v>
      </c>
      <c r="U128" s="26">
        <v>11912</v>
      </c>
      <c r="V128" s="26">
        <v>11868</v>
      </c>
      <c r="W128" s="26">
        <v>11823</v>
      </c>
      <c r="X128" s="26">
        <v>11778</v>
      </c>
      <c r="Y128" s="26">
        <v>11734</v>
      </c>
      <c r="Z128" s="26">
        <v>11688</v>
      </c>
      <c r="AA128" s="26">
        <v>11644</v>
      </c>
      <c r="AB128" s="26">
        <v>11600</v>
      </c>
      <c r="AC128" s="26">
        <v>11536</v>
      </c>
      <c r="AD128" s="26">
        <v>11404</v>
      </c>
      <c r="AE128" s="26">
        <v>11336</v>
      </c>
      <c r="AG128" s="16" t="s">
        <v>197</v>
      </c>
      <c r="AH128" s="29">
        <v>0</v>
      </c>
      <c r="AI128" s="29">
        <f t="shared" si="74"/>
        <v>-3.6663611365719525E-3</v>
      </c>
      <c r="AJ128" s="29">
        <f t="shared" si="75"/>
        <v>-3.7634858242033956E-3</v>
      </c>
      <c r="AK128" s="29">
        <f t="shared" si="76"/>
        <v>-3.6937541974479517E-3</v>
      </c>
      <c r="AL128" s="29">
        <f t="shared" si="77"/>
        <v>-3.7917087967644083E-3</v>
      </c>
      <c r="AM128" s="29">
        <f t="shared" si="78"/>
        <v>-3.8061405734585133E-3</v>
      </c>
      <c r="AN128" s="29">
        <f t="shared" si="79"/>
        <v>-3.7357785702156563E-3</v>
      </c>
      <c r="AO128" s="29">
        <f t="shared" si="80"/>
        <v>-3.9202318050110792E-3</v>
      </c>
      <c r="AP128" s="29">
        <f t="shared" si="81"/>
        <v>-3.7645448323066393E-3</v>
      </c>
      <c r="AQ128" s="29">
        <f t="shared" si="82"/>
        <v>-3.7787701820680177E-3</v>
      </c>
      <c r="AR128" s="29">
        <f t="shared" si="83"/>
        <v>-5.5172413793103444E-3</v>
      </c>
      <c r="AS128" s="29">
        <f t="shared" si="84"/>
        <v>-1.144244105409154E-2</v>
      </c>
      <c r="AT128" s="29">
        <f t="shared" si="85"/>
        <v>-5.962820063135742E-3</v>
      </c>
      <c r="AU128" s="29"/>
      <c r="AW128" s="16" t="s">
        <v>197</v>
      </c>
      <c r="AX128" s="32">
        <f t="shared" si="87"/>
        <v>-2.4766156535917828E-3</v>
      </c>
      <c r="AY128" s="32">
        <f t="shared" si="88"/>
        <v>-3.7078670527410998E-3</v>
      </c>
      <c r="AZ128" s="32">
        <f t="shared" si="89"/>
        <v>-3.7496496061385858E-3</v>
      </c>
      <c r="BA128" s="32">
        <f t="shared" si="90"/>
        <v>-3.7638678558902911E-3</v>
      </c>
      <c r="BB128" s="32">
        <f t="shared" si="91"/>
        <v>-3.7778759801461929E-3</v>
      </c>
      <c r="BC128" s="32">
        <f t="shared" si="92"/>
        <v>-3.8207169828950831E-3</v>
      </c>
      <c r="BD128" s="32">
        <f t="shared" si="93"/>
        <v>-3.8068517358444583E-3</v>
      </c>
      <c r="BE128" s="32">
        <f t="shared" si="94"/>
        <v>-3.8211822731285786E-3</v>
      </c>
      <c r="BF128" s="32">
        <f t="shared" si="95"/>
        <v>-4.3535187978950007E-3</v>
      </c>
      <c r="BG128" s="32">
        <f t="shared" si="96"/>
        <v>-6.9128175384899669E-3</v>
      </c>
      <c r="BH128" s="41">
        <f t="shared" si="97"/>
        <v>-7.6408341655125429E-3</v>
      </c>
      <c r="BI128" s="46">
        <f t="shared" si="86"/>
        <v>-0.81364072851098967</v>
      </c>
      <c r="BJ128" s="41" t="b">
        <f t="shared" si="61"/>
        <v>0</v>
      </c>
      <c r="BK128" s="41" t="b">
        <f t="shared" si="62"/>
        <v>0</v>
      </c>
      <c r="BL128" s="42" t="str">
        <f>_xlfn.XLOOKUP(AW128,'County Population Strata'!$A$3:$A$66,'County Population Strata'!$P$3:$P$66)</f>
        <v>Tiny</v>
      </c>
      <c r="BQ128" s="21">
        <f t="shared" si="60"/>
        <v>1.3032768122204464E-4</v>
      </c>
    </row>
    <row r="129" spans="18:69" x14ac:dyDescent="0.2">
      <c r="R129" s="16" t="s">
        <v>198</v>
      </c>
      <c r="S129" s="26">
        <v>23439</v>
      </c>
      <c r="T129" s="26">
        <v>23485</v>
      </c>
      <c r="U129" s="26">
        <v>23525</v>
      </c>
      <c r="V129" s="26">
        <v>23578</v>
      </c>
      <c r="W129" s="26">
        <v>23659</v>
      </c>
      <c r="X129" s="26">
        <v>23824</v>
      </c>
      <c r="Y129" s="26">
        <v>23952</v>
      </c>
      <c r="Z129" s="26">
        <v>24162</v>
      </c>
      <c r="AA129" s="26">
        <v>24314</v>
      </c>
      <c r="AB129" s="26">
        <v>24521</v>
      </c>
      <c r="AC129" s="26">
        <v>24834</v>
      </c>
      <c r="AD129" s="26">
        <v>25061</v>
      </c>
      <c r="AE129" s="26">
        <v>25027</v>
      </c>
      <c r="AG129" s="16" t="s">
        <v>198</v>
      </c>
      <c r="AH129" s="29">
        <v>0</v>
      </c>
      <c r="AI129" s="29">
        <f t="shared" si="74"/>
        <v>1.9625410640385682E-3</v>
      </c>
      <c r="AJ129" s="29">
        <f t="shared" si="75"/>
        <v>1.7032148179689163E-3</v>
      </c>
      <c r="AK129" s="29">
        <f t="shared" si="76"/>
        <v>2.252922422954304E-3</v>
      </c>
      <c r="AL129" s="29">
        <f t="shared" si="77"/>
        <v>3.4354058868436678E-3</v>
      </c>
      <c r="AM129" s="29">
        <f t="shared" si="78"/>
        <v>6.9740901982332307E-3</v>
      </c>
      <c r="AN129" s="29">
        <f t="shared" si="79"/>
        <v>5.3727333781061117E-3</v>
      </c>
      <c r="AO129" s="29">
        <f t="shared" si="80"/>
        <v>8.7675350701402806E-3</v>
      </c>
      <c r="AP129" s="29">
        <f t="shared" si="81"/>
        <v>6.2908699610959356E-3</v>
      </c>
      <c r="AQ129" s="29">
        <f t="shared" si="82"/>
        <v>8.5136135559759803E-3</v>
      </c>
      <c r="AR129" s="29">
        <f t="shared" si="83"/>
        <v>1.2764569144814648E-2</v>
      </c>
      <c r="AS129" s="29">
        <f t="shared" si="84"/>
        <v>9.1406942095514209E-3</v>
      </c>
      <c r="AT129" s="29">
        <f t="shared" si="85"/>
        <v>-1.3566896771876622E-3</v>
      </c>
      <c r="AU129" s="29"/>
      <c r="AW129" s="16" t="s">
        <v>198</v>
      </c>
      <c r="AX129" s="32">
        <f t="shared" si="87"/>
        <v>1.2219186273358283E-3</v>
      </c>
      <c r="AY129" s="32">
        <f t="shared" si="88"/>
        <v>1.9728927683205963E-3</v>
      </c>
      <c r="AZ129" s="32">
        <f t="shared" si="89"/>
        <v>2.4638477092556294E-3</v>
      </c>
      <c r="BA129" s="32">
        <f t="shared" si="90"/>
        <v>4.220806169343734E-3</v>
      </c>
      <c r="BB129" s="32">
        <f t="shared" si="91"/>
        <v>5.2607431543943359E-3</v>
      </c>
      <c r="BC129" s="32">
        <f t="shared" si="92"/>
        <v>7.0381195488265413E-3</v>
      </c>
      <c r="BD129" s="32">
        <f t="shared" si="93"/>
        <v>6.810379469780776E-3</v>
      </c>
      <c r="BE129" s="32">
        <f t="shared" si="94"/>
        <v>7.8573395290707313E-3</v>
      </c>
      <c r="BF129" s="32">
        <f t="shared" si="95"/>
        <v>9.1896842206288538E-3</v>
      </c>
      <c r="BG129" s="32">
        <f t="shared" si="96"/>
        <v>1.0139625636780683E-2</v>
      </c>
      <c r="BH129" s="41">
        <f t="shared" si="97"/>
        <v>6.8495245590594689E-3</v>
      </c>
      <c r="BI129" s="46">
        <f t="shared" si="86"/>
        <v>0.21910517938839175</v>
      </c>
      <c r="BJ129" s="41" t="b">
        <f t="shared" si="61"/>
        <v>0</v>
      </c>
      <c r="BK129" s="41" t="b">
        <f t="shared" si="62"/>
        <v>0</v>
      </c>
      <c r="BL129" s="42" t="str">
        <f>_xlfn.XLOOKUP(AW129,'County Population Strata'!$A$3:$A$66,'County Population Strata'!$P$3:$P$66)</f>
        <v>Small</v>
      </c>
      <c r="BQ129" s="21">
        <f t="shared" si="60"/>
        <v>9.4509746049544854E-6</v>
      </c>
    </row>
    <row r="130" spans="18:69" x14ac:dyDescent="0.2">
      <c r="R130" s="16" t="s">
        <v>199</v>
      </c>
      <c r="S130" s="26">
        <v>6144</v>
      </c>
      <c r="T130" s="26">
        <v>6156</v>
      </c>
      <c r="U130" s="26">
        <v>6158</v>
      </c>
      <c r="V130" s="26">
        <v>6166</v>
      </c>
      <c r="W130" s="26">
        <v>6175</v>
      </c>
      <c r="X130" s="26">
        <v>6183</v>
      </c>
      <c r="Y130" s="26">
        <v>6188</v>
      </c>
      <c r="Z130" s="26">
        <v>6214</v>
      </c>
      <c r="AA130" s="26">
        <v>6276</v>
      </c>
      <c r="AB130" s="26">
        <v>6359</v>
      </c>
      <c r="AC130" s="26">
        <v>6390</v>
      </c>
      <c r="AD130" s="26">
        <v>6507</v>
      </c>
      <c r="AE130" s="26">
        <v>6616</v>
      </c>
      <c r="AG130" s="16" t="s">
        <v>199</v>
      </c>
      <c r="AH130" s="29">
        <v>0</v>
      </c>
      <c r="AI130" s="29">
        <f t="shared" si="74"/>
        <v>1.953125E-3</v>
      </c>
      <c r="AJ130" s="29">
        <f t="shared" si="75"/>
        <v>3.2488628979857048E-4</v>
      </c>
      <c r="AK130" s="29">
        <f t="shared" si="76"/>
        <v>1.2991230919129587E-3</v>
      </c>
      <c r="AL130" s="29">
        <f t="shared" si="77"/>
        <v>1.4596172559195588E-3</v>
      </c>
      <c r="AM130" s="29">
        <f t="shared" si="78"/>
        <v>1.2955465587044534E-3</v>
      </c>
      <c r="AN130" s="29">
        <f t="shared" si="79"/>
        <v>8.0866893093967335E-4</v>
      </c>
      <c r="AO130" s="29">
        <f t="shared" si="80"/>
        <v>4.2016806722689074E-3</v>
      </c>
      <c r="AP130" s="29">
        <f t="shared" si="81"/>
        <v>9.9774702285162532E-3</v>
      </c>
      <c r="AQ130" s="29">
        <f t="shared" si="82"/>
        <v>1.3224984066284258E-2</v>
      </c>
      <c r="AR130" s="29">
        <f t="shared" si="83"/>
        <v>4.8749803428211986E-3</v>
      </c>
      <c r="AS130" s="29">
        <f t="shared" si="84"/>
        <v>1.8309859154929577E-2</v>
      </c>
      <c r="AT130" s="29">
        <f t="shared" si="85"/>
        <v>1.6751191025049947E-2</v>
      </c>
      <c r="AU130" s="29"/>
      <c r="AW130" s="16" t="s">
        <v>199</v>
      </c>
      <c r="AX130" s="32">
        <f t="shared" si="87"/>
        <v>7.5933709659952353E-4</v>
      </c>
      <c r="AY130" s="32">
        <f t="shared" si="88"/>
        <v>1.1923781272371763E-3</v>
      </c>
      <c r="AZ130" s="32">
        <f t="shared" si="89"/>
        <v>1.0278755458770293E-3</v>
      </c>
      <c r="BA130" s="32">
        <f t="shared" si="90"/>
        <v>1.3514289688456571E-3</v>
      </c>
      <c r="BB130" s="32">
        <f t="shared" si="91"/>
        <v>1.1879442485212284E-3</v>
      </c>
      <c r="BC130" s="32">
        <f t="shared" si="92"/>
        <v>2.1019653873043448E-3</v>
      </c>
      <c r="BD130" s="32">
        <f t="shared" si="93"/>
        <v>4.9959399439082784E-3</v>
      </c>
      <c r="BE130" s="32">
        <f t="shared" si="94"/>
        <v>9.1347116556898065E-3</v>
      </c>
      <c r="BF130" s="32">
        <f t="shared" si="95"/>
        <v>9.3591448792072363E-3</v>
      </c>
      <c r="BG130" s="32">
        <f t="shared" si="96"/>
        <v>1.2136607854678344E-2</v>
      </c>
      <c r="BH130" s="41">
        <f t="shared" si="97"/>
        <v>1.3312010174266907E-2</v>
      </c>
      <c r="BI130" s="46">
        <f t="shared" si="86"/>
        <v>0.67969457547052525</v>
      </c>
      <c r="BJ130" s="41" t="b">
        <f t="shared" si="61"/>
        <v>0</v>
      </c>
      <c r="BK130" s="41" t="b">
        <f t="shared" si="62"/>
        <v>0</v>
      </c>
      <c r="BL130" s="42" t="str">
        <f>_xlfn.XLOOKUP(AW130,'County Population Strata'!$A$3:$A$66,'County Population Strata'!$P$3:$P$66)</f>
        <v>Tiny</v>
      </c>
      <c r="BQ130" s="21">
        <f t="shared" si="60"/>
        <v>9.0949206893822183E-5</v>
      </c>
    </row>
    <row r="131" spans="18:69" x14ac:dyDescent="0.2">
      <c r="R131" s="16" t="s">
        <v>200</v>
      </c>
      <c r="S131" s="26">
        <v>709</v>
      </c>
      <c r="T131" s="26">
        <v>706</v>
      </c>
      <c r="U131" s="26">
        <v>703</v>
      </c>
      <c r="V131" s="26">
        <v>704</v>
      </c>
      <c r="W131" s="26">
        <v>700</v>
      </c>
      <c r="X131" s="26">
        <v>696</v>
      </c>
      <c r="Y131" s="26">
        <v>697</v>
      </c>
      <c r="Z131" s="26">
        <v>700</v>
      </c>
      <c r="AA131" s="26">
        <v>703</v>
      </c>
      <c r="AB131" s="26">
        <v>705</v>
      </c>
      <c r="AC131" s="26">
        <v>711</v>
      </c>
      <c r="AD131" s="26">
        <v>741</v>
      </c>
      <c r="AE131" s="26">
        <v>801</v>
      </c>
      <c r="AG131" s="16" t="s">
        <v>200</v>
      </c>
      <c r="AH131" s="29">
        <v>0</v>
      </c>
      <c r="AI131" s="29">
        <f t="shared" si="74"/>
        <v>-4.2313117066290554E-3</v>
      </c>
      <c r="AJ131" s="29">
        <f t="shared" si="75"/>
        <v>-4.24929178470255E-3</v>
      </c>
      <c r="AK131" s="29">
        <f t="shared" si="76"/>
        <v>1.4224751066856331E-3</v>
      </c>
      <c r="AL131" s="29">
        <f t="shared" si="77"/>
        <v>-5.681818181818182E-3</v>
      </c>
      <c r="AM131" s="29">
        <f t="shared" si="78"/>
        <v>-5.7142857142857143E-3</v>
      </c>
      <c r="AN131" s="29">
        <f t="shared" si="79"/>
        <v>1.4367816091954023E-3</v>
      </c>
      <c r="AO131" s="29">
        <f t="shared" si="80"/>
        <v>4.30416068866571E-3</v>
      </c>
      <c r="AP131" s="29">
        <f t="shared" si="81"/>
        <v>4.2857142857142859E-3</v>
      </c>
      <c r="AQ131" s="29">
        <f t="shared" si="82"/>
        <v>2.8449502133712661E-3</v>
      </c>
      <c r="AR131" s="29">
        <f t="shared" si="83"/>
        <v>8.5106382978723406E-3</v>
      </c>
      <c r="AS131" s="29">
        <f t="shared" si="84"/>
        <v>4.2194092827004218E-2</v>
      </c>
      <c r="AT131" s="29">
        <f t="shared" si="85"/>
        <v>8.0971659919028341E-2</v>
      </c>
      <c r="AU131" s="29"/>
      <c r="AW131" s="16" t="s">
        <v>200</v>
      </c>
      <c r="AX131" s="32">
        <f t="shared" si="87"/>
        <v>-2.8268678304438685E-3</v>
      </c>
      <c r="AY131" s="32">
        <f t="shared" si="88"/>
        <v>-2.3527094615486575E-3</v>
      </c>
      <c r="AZ131" s="32">
        <f t="shared" si="89"/>
        <v>-2.8362116199450332E-3</v>
      </c>
      <c r="BA131" s="32">
        <f t="shared" si="90"/>
        <v>-3.3245429298060878E-3</v>
      </c>
      <c r="BB131" s="32">
        <f t="shared" si="91"/>
        <v>-3.3197740956361649E-3</v>
      </c>
      <c r="BC131" s="32">
        <f t="shared" si="92"/>
        <v>8.8855278584659917E-6</v>
      </c>
      <c r="BD131" s="32">
        <f t="shared" si="93"/>
        <v>3.3422188611917994E-3</v>
      </c>
      <c r="BE131" s="32">
        <f t="shared" si="94"/>
        <v>3.8116083959170871E-3</v>
      </c>
      <c r="BF131" s="32">
        <f t="shared" si="95"/>
        <v>5.2137675989859635E-3</v>
      </c>
      <c r="BG131" s="32">
        <f t="shared" si="96"/>
        <v>1.784989377941594E-2</v>
      </c>
      <c r="BH131" s="41">
        <f t="shared" si="97"/>
        <v>4.3892130347968294E-2</v>
      </c>
      <c r="BI131" s="46">
        <f t="shared" si="86"/>
        <v>2.8591778148265763</v>
      </c>
      <c r="BJ131" s="41" t="b">
        <f t="shared" si="61"/>
        <v>1</v>
      </c>
      <c r="BK131" s="41" t="b">
        <f t="shared" si="62"/>
        <v>0</v>
      </c>
      <c r="BL131" s="42" t="str">
        <f>_xlfn.XLOOKUP(AW131,'County Population Strata'!$A$3:$A$66,'County Population Strata'!$P$3:$P$66)</f>
        <v>Tiny</v>
      </c>
      <c r="BQ131" s="21">
        <f t="shared" si="60"/>
        <v>1.609361616543021E-3</v>
      </c>
    </row>
    <row r="132" spans="18:69" x14ac:dyDescent="0.2">
      <c r="R132" s="16" t="s">
        <v>201</v>
      </c>
      <c r="S132" s="26">
        <v>7356</v>
      </c>
      <c r="T132" s="26">
        <v>7486</v>
      </c>
      <c r="U132" s="26">
        <v>7576</v>
      </c>
      <c r="V132" s="26">
        <v>7615</v>
      </c>
      <c r="W132" s="26">
        <v>7728</v>
      </c>
      <c r="X132" s="26">
        <v>7825</v>
      </c>
      <c r="Y132" s="26">
        <v>8001</v>
      </c>
      <c r="Z132" s="26">
        <v>8014</v>
      </c>
      <c r="AA132" s="26">
        <v>8154</v>
      </c>
      <c r="AB132" s="26">
        <v>8123</v>
      </c>
      <c r="AC132" s="26">
        <v>8055</v>
      </c>
      <c r="AD132" s="26">
        <v>8078</v>
      </c>
      <c r="AE132" s="26">
        <v>7993</v>
      </c>
      <c r="AG132" s="16" t="s">
        <v>201</v>
      </c>
      <c r="AH132" s="29">
        <v>0</v>
      </c>
      <c r="AI132" s="29">
        <f t="shared" si="74"/>
        <v>1.7672648178357803E-2</v>
      </c>
      <c r="AJ132" s="29">
        <f t="shared" si="75"/>
        <v>1.2022441891530858E-2</v>
      </c>
      <c r="AK132" s="29">
        <f t="shared" si="76"/>
        <v>5.1478352692713837E-3</v>
      </c>
      <c r="AL132" s="29">
        <f t="shared" si="77"/>
        <v>1.4839133289560078E-2</v>
      </c>
      <c r="AM132" s="29">
        <f t="shared" si="78"/>
        <v>1.255175983436853E-2</v>
      </c>
      <c r="AN132" s="29">
        <f t="shared" si="79"/>
        <v>2.2492012779552716E-2</v>
      </c>
      <c r="AO132" s="29">
        <f t="shared" si="80"/>
        <v>1.6247969003874516E-3</v>
      </c>
      <c r="AP132" s="29">
        <f t="shared" si="81"/>
        <v>1.7469428500124781E-2</v>
      </c>
      <c r="AQ132" s="29">
        <f t="shared" si="82"/>
        <v>-3.8018150600932056E-3</v>
      </c>
      <c r="AR132" s="29">
        <f t="shared" si="83"/>
        <v>-8.3712913948048757E-3</v>
      </c>
      <c r="AS132" s="29">
        <f t="shared" si="84"/>
        <v>2.8553693358162632E-3</v>
      </c>
      <c r="AT132" s="29">
        <f t="shared" si="85"/>
        <v>-1.0522406536271353E-2</v>
      </c>
      <c r="AU132" s="29"/>
      <c r="AW132" s="16" t="s">
        <v>201</v>
      </c>
      <c r="AX132" s="32">
        <f t="shared" si="87"/>
        <v>9.8983633566295543E-3</v>
      </c>
      <c r="AY132" s="32">
        <f t="shared" si="88"/>
        <v>1.1614308446386681E-2</v>
      </c>
      <c r="AZ132" s="32">
        <f t="shared" si="89"/>
        <v>1.0669803483454107E-2</v>
      </c>
      <c r="BA132" s="32">
        <f t="shared" si="90"/>
        <v>1.084624279773333E-2</v>
      </c>
      <c r="BB132" s="32">
        <f t="shared" si="91"/>
        <v>1.6627635301160442E-2</v>
      </c>
      <c r="BC132" s="32">
        <f t="shared" si="92"/>
        <v>1.2222856504769565E-2</v>
      </c>
      <c r="BD132" s="32">
        <f t="shared" si="93"/>
        <v>1.3862079393354982E-2</v>
      </c>
      <c r="BE132" s="32">
        <f t="shared" si="94"/>
        <v>5.0974701134730094E-3</v>
      </c>
      <c r="BF132" s="32">
        <f t="shared" si="95"/>
        <v>1.7654406817422333E-3</v>
      </c>
      <c r="BG132" s="32">
        <f t="shared" si="96"/>
        <v>-3.1059123730272724E-3</v>
      </c>
      <c r="BH132" s="41">
        <f t="shared" si="97"/>
        <v>-5.346109531753321E-3</v>
      </c>
      <c r="BI132" s="46">
        <f t="shared" si="86"/>
        <v>-0.65009284675620305</v>
      </c>
      <c r="BJ132" s="41" t="b">
        <f t="shared" si="61"/>
        <v>0</v>
      </c>
      <c r="BK132" s="41" t="b">
        <f t="shared" si="62"/>
        <v>0</v>
      </c>
      <c r="BL132" s="42" t="str">
        <f>_xlfn.XLOOKUP(AW132,'County Population Strata'!$A$3:$A$66,'County Population Strata'!$P$3:$P$66)</f>
        <v>Tiny</v>
      </c>
      <c r="BQ132" s="21">
        <f t="shared" si="60"/>
        <v>8.319976183688046E-5</v>
      </c>
    </row>
    <row r="133" spans="18:69" x14ac:dyDescent="0.2">
      <c r="R133" s="16" t="s">
        <v>202</v>
      </c>
      <c r="S133" s="26">
        <v>2367</v>
      </c>
      <c r="T133" s="26">
        <v>2371</v>
      </c>
      <c r="U133" s="26">
        <v>2375</v>
      </c>
      <c r="V133" s="26">
        <v>2379</v>
      </c>
      <c r="W133" s="26">
        <v>2384</v>
      </c>
      <c r="X133" s="26">
        <v>2388</v>
      </c>
      <c r="Y133" s="26">
        <v>2392</v>
      </c>
      <c r="Z133" s="26">
        <v>2396</v>
      </c>
      <c r="AA133" s="26">
        <v>2401</v>
      </c>
      <c r="AB133" s="26">
        <v>2405</v>
      </c>
      <c r="AC133" s="26">
        <v>2391</v>
      </c>
      <c r="AD133" s="26">
        <v>2330</v>
      </c>
      <c r="AE133" s="26">
        <v>2297</v>
      </c>
      <c r="AG133" s="16" t="s">
        <v>202</v>
      </c>
      <c r="AH133" s="29">
        <v>0</v>
      </c>
      <c r="AI133" s="29">
        <f t="shared" si="74"/>
        <v>1.6899028305872412E-3</v>
      </c>
      <c r="AJ133" s="29">
        <f t="shared" si="75"/>
        <v>1.6870518768452129E-3</v>
      </c>
      <c r="AK133" s="29">
        <f t="shared" si="76"/>
        <v>1.6842105263157896E-3</v>
      </c>
      <c r="AL133" s="29">
        <f t="shared" si="77"/>
        <v>2.101723413198823E-3</v>
      </c>
      <c r="AM133" s="29">
        <f t="shared" si="78"/>
        <v>1.6778523489932886E-3</v>
      </c>
      <c r="AN133" s="29">
        <f t="shared" si="79"/>
        <v>1.6750418760469012E-3</v>
      </c>
      <c r="AO133" s="29">
        <f t="shared" si="80"/>
        <v>1.6722408026755853E-3</v>
      </c>
      <c r="AP133" s="29">
        <f t="shared" si="81"/>
        <v>2.0868113522537562E-3</v>
      </c>
      <c r="AQ133" s="29">
        <f t="shared" si="82"/>
        <v>1.6659725114535611E-3</v>
      </c>
      <c r="AR133" s="29">
        <f t="shared" si="83"/>
        <v>-5.8212058212058215E-3</v>
      </c>
      <c r="AS133" s="29">
        <f t="shared" si="84"/>
        <v>-2.5512337933918862E-2</v>
      </c>
      <c r="AT133" s="29">
        <f t="shared" si="85"/>
        <v>-1.4163090128755365E-2</v>
      </c>
      <c r="AU133" s="29"/>
      <c r="AW133" s="16" t="s">
        <v>202</v>
      </c>
      <c r="AX133" s="32">
        <f t="shared" si="87"/>
        <v>1.1256515691441514E-3</v>
      </c>
      <c r="AY133" s="32">
        <f t="shared" si="88"/>
        <v>1.6870550779160814E-3</v>
      </c>
      <c r="AZ133" s="32">
        <f t="shared" si="89"/>
        <v>1.8243286054532752E-3</v>
      </c>
      <c r="BA133" s="32">
        <f t="shared" si="90"/>
        <v>1.8212620961693005E-3</v>
      </c>
      <c r="BB133" s="32">
        <f t="shared" si="91"/>
        <v>1.8182058794130043E-3</v>
      </c>
      <c r="BC133" s="32">
        <f t="shared" si="92"/>
        <v>1.6750450092385917E-3</v>
      </c>
      <c r="BD133" s="32">
        <f t="shared" si="93"/>
        <v>1.8113646769920809E-3</v>
      </c>
      <c r="BE133" s="32">
        <f t="shared" si="94"/>
        <v>1.8083415554609676E-3</v>
      </c>
      <c r="BF133" s="32">
        <f t="shared" si="95"/>
        <v>-6.8947398583283465E-4</v>
      </c>
      <c r="BG133" s="32">
        <f t="shared" si="96"/>
        <v>-9.8891904145570406E-3</v>
      </c>
      <c r="BH133" s="41">
        <f t="shared" si="97"/>
        <v>-1.5165544627960015E-2</v>
      </c>
      <c r="BI133" s="46">
        <f t="shared" si="86"/>
        <v>-1.3499362120066765</v>
      </c>
      <c r="BJ133" s="41" t="b">
        <f t="shared" si="61"/>
        <v>0</v>
      </c>
      <c r="BK133" s="41" t="b">
        <f t="shared" si="62"/>
        <v>1</v>
      </c>
      <c r="BL133" s="42" t="str">
        <f>_xlfn.XLOOKUP(AW133,'County Population Strata'!$A$3:$A$66,'County Population Strata'!$P$3:$P$66)</f>
        <v>Tiny</v>
      </c>
      <c r="BQ133" s="21">
        <f t="shared" si="60"/>
        <v>3.5875486841714877E-4</v>
      </c>
    </row>
    <row r="134" spans="18:69" x14ac:dyDescent="0.2">
      <c r="R134" s="16" t="s">
        <v>203</v>
      </c>
      <c r="S134" s="26">
        <v>28073</v>
      </c>
      <c r="T134" s="26">
        <v>28087</v>
      </c>
      <c r="U134" s="26">
        <v>28385</v>
      </c>
      <c r="V134" s="26">
        <v>28860</v>
      </c>
      <c r="W134" s="26">
        <v>29496</v>
      </c>
      <c r="X134" s="26">
        <v>30268</v>
      </c>
      <c r="Y134" s="26">
        <v>30817</v>
      </c>
      <c r="Z134" s="26">
        <v>31133</v>
      </c>
      <c r="AA134" s="26">
        <v>31095</v>
      </c>
      <c r="AB134" s="26">
        <v>31190</v>
      </c>
      <c r="AC134" s="26">
        <v>30996</v>
      </c>
      <c r="AD134" s="26">
        <v>30994</v>
      </c>
      <c r="AE134" s="26">
        <v>30583</v>
      </c>
      <c r="AG134" s="16" t="s">
        <v>203</v>
      </c>
      <c r="AH134" s="29">
        <v>0</v>
      </c>
      <c r="AI134" s="29">
        <f t="shared" si="74"/>
        <v>4.9869981833078043E-4</v>
      </c>
      <c r="AJ134" s="29">
        <f t="shared" si="75"/>
        <v>1.0609890696763628E-2</v>
      </c>
      <c r="AK134" s="29">
        <f t="shared" si="76"/>
        <v>1.6734190593623393E-2</v>
      </c>
      <c r="AL134" s="29">
        <f t="shared" si="77"/>
        <v>2.2037422037422039E-2</v>
      </c>
      <c r="AM134" s="29">
        <f t="shared" si="78"/>
        <v>2.6173040412259291E-2</v>
      </c>
      <c r="AN134" s="29">
        <f t="shared" si="79"/>
        <v>1.8137967490418926E-2</v>
      </c>
      <c r="AO134" s="29">
        <f t="shared" si="80"/>
        <v>1.025408053996171E-2</v>
      </c>
      <c r="AP134" s="29">
        <f t="shared" si="81"/>
        <v>-1.2205698133812995E-3</v>
      </c>
      <c r="AQ134" s="29">
        <f t="shared" si="82"/>
        <v>3.0551535616658628E-3</v>
      </c>
      <c r="AR134" s="29">
        <f t="shared" si="83"/>
        <v>-6.2199422891952546E-3</v>
      </c>
      <c r="AS134" s="29">
        <f t="shared" si="84"/>
        <v>-6.4524454768357203E-5</v>
      </c>
      <c r="AT134" s="29">
        <f t="shared" si="85"/>
        <v>-1.3260631089888366E-2</v>
      </c>
      <c r="AU134" s="29"/>
      <c r="AW134" s="16" t="s">
        <v>203</v>
      </c>
      <c r="AX134" s="32">
        <f t="shared" si="87"/>
        <v>3.7028635050314691E-3</v>
      </c>
      <c r="AY134" s="32">
        <f t="shared" si="88"/>
        <v>9.2809270362392681E-3</v>
      </c>
      <c r="AZ134" s="32">
        <f t="shared" si="89"/>
        <v>1.6460501109269686E-2</v>
      </c>
      <c r="BA134" s="32">
        <f t="shared" si="90"/>
        <v>2.1648217681101575E-2</v>
      </c>
      <c r="BB134" s="32">
        <f t="shared" si="91"/>
        <v>2.2116143313366754E-2</v>
      </c>
      <c r="BC134" s="32">
        <f t="shared" si="92"/>
        <v>1.8188362814213307E-2</v>
      </c>
      <c r="BD134" s="32">
        <f t="shared" si="93"/>
        <v>9.0571594056664453E-3</v>
      </c>
      <c r="BE134" s="32">
        <f t="shared" si="94"/>
        <v>4.0295547627487577E-3</v>
      </c>
      <c r="BF134" s="32">
        <f t="shared" si="95"/>
        <v>-1.4617861803035636E-3</v>
      </c>
      <c r="BG134" s="32">
        <f t="shared" si="96"/>
        <v>-1.0764377274325831E-3</v>
      </c>
      <c r="BH134" s="41">
        <f t="shared" si="97"/>
        <v>-6.5150326112839926E-3</v>
      </c>
      <c r="BI134" s="46">
        <f t="shared" si="86"/>
        <v>-0.73340345003252738</v>
      </c>
      <c r="BJ134" s="41" t="b">
        <f t="shared" si="61"/>
        <v>0</v>
      </c>
      <c r="BK134" s="41" t="b">
        <f t="shared" si="62"/>
        <v>0</v>
      </c>
      <c r="BL134" s="42" t="str">
        <f>_xlfn.XLOOKUP(AW134,'County Population Strata'!$A$3:$A$66,'County Population Strata'!$P$3:$P$66)</f>
        <v>Small</v>
      </c>
      <c r="BQ134" s="21">
        <f t="shared" si="60"/>
        <v>1.0589055038750981E-4</v>
      </c>
    </row>
    <row r="135" spans="18:69" x14ac:dyDescent="0.2">
      <c r="R135" s="16" t="s">
        <v>204</v>
      </c>
      <c r="S135" s="26">
        <v>23441</v>
      </c>
      <c r="T135" s="26">
        <v>23268</v>
      </c>
      <c r="U135" s="26">
        <v>23270</v>
      </c>
      <c r="V135" s="26">
        <v>23110</v>
      </c>
      <c r="W135" s="26">
        <v>23121</v>
      </c>
      <c r="X135" s="26">
        <v>23006</v>
      </c>
      <c r="Y135" s="26">
        <v>23607</v>
      </c>
      <c r="Z135" s="26">
        <v>24153</v>
      </c>
      <c r="AA135" s="26">
        <v>24523</v>
      </c>
      <c r="AB135" s="26">
        <v>24679</v>
      </c>
      <c r="AC135" s="26">
        <v>24745</v>
      </c>
      <c r="AD135" s="26">
        <v>24947</v>
      </c>
      <c r="AE135" s="26">
        <v>24852</v>
      </c>
      <c r="AG135" s="16" t="s">
        <v>204</v>
      </c>
      <c r="AH135" s="29">
        <v>0</v>
      </c>
      <c r="AI135" s="29">
        <f t="shared" si="74"/>
        <v>-7.3802312188046585E-3</v>
      </c>
      <c r="AJ135" s="29">
        <f t="shared" si="75"/>
        <v>8.5954959601168991E-5</v>
      </c>
      <c r="AK135" s="29">
        <f t="shared" si="76"/>
        <v>-6.8758057584873229E-3</v>
      </c>
      <c r="AL135" s="29">
        <f t="shared" si="77"/>
        <v>4.7598442232799656E-4</v>
      </c>
      <c r="AM135" s="29">
        <f t="shared" si="78"/>
        <v>-4.9738333117079715E-3</v>
      </c>
      <c r="AN135" s="29">
        <f t="shared" si="79"/>
        <v>2.6123619925236895E-2</v>
      </c>
      <c r="AO135" s="29">
        <f t="shared" si="80"/>
        <v>2.3128733002922862E-2</v>
      </c>
      <c r="AP135" s="29">
        <f t="shared" si="81"/>
        <v>1.531900799072579E-2</v>
      </c>
      <c r="AQ135" s="29">
        <f t="shared" si="82"/>
        <v>6.3613750356807898E-3</v>
      </c>
      <c r="AR135" s="29">
        <f t="shared" si="83"/>
        <v>2.6743385064224644E-3</v>
      </c>
      <c r="AS135" s="29">
        <f t="shared" si="84"/>
        <v>8.1632653061224497E-3</v>
      </c>
      <c r="AT135" s="29">
        <f t="shared" si="85"/>
        <v>-3.8080731150038081E-3</v>
      </c>
      <c r="AU135" s="29"/>
      <c r="AW135" s="16" t="s">
        <v>204</v>
      </c>
      <c r="AX135" s="32">
        <f t="shared" si="87"/>
        <v>-2.4314254197344964E-3</v>
      </c>
      <c r="AY135" s="32">
        <f t="shared" si="88"/>
        <v>-4.723360672563604E-3</v>
      </c>
      <c r="AZ135" s="32">
        <f t="shared" si="89"/>
        <v>-2.1046221255193857E-3</v>
      </c>
      <c r="BA135" s="32">
        <f t="shared" si="90"/>
        <v>-3.7912182159557661E-3</v>
      </c>
      <c r="BB135" s="32">
        <f t="shared" si="91"/>
        <v>7.2085903452856403E-3</v>
      </c>
      <c r="BC135" s="32">
        <f t="shared" si="92"/>
        <v>1.475950653881726E-2</v>
      </c>
      <c r="BD135" s="32">
        <f t="shared" si="93"/>
        <v>2.152378697296185E-2</v>
      </c>
      <c r="BE135" s="32">
        <f t="shared" si="94"/>
        <v>1.493637200977648E-2</v>
      </c>
      <c r="BF135" s="32">
        <f t="shared" si="95"/>
        <v>8.1182405109430141E-3</v>
      </c>
      <c r="BG135" s="32">
        <f t="shared" si="96"/>
        <v>5.7329929494085675E-3</v>
      </c>
      <c r="BH135" s="41">
        <f t="shared" si="97"/>
        <v>2.3431768991803688E-3</v>
      </c>
      <c r="BI135" s="46">
        <f t="shared" si="86"/>
        <v>-0.1020678290769009</v>
      </c>
      <c r="BJ135" s="41" t="b">
        <f t="shared" si="61"/>
        <v>0</v>
      </c>
      <c r="BK135" s="41" t="b">
        <f t="shared" si="62"/>
        <v>0</v>
      </c>
      <c r="BL135" s="42" t="str">
        <f>_xlfn.XLOOKUP(AW135,'County Population Strata'!$A$3:$A$66,'County Population Strata'!$P$3:$P$66)</f>
        <v>Small</v>
      </c>
      <c r="BQ135" s="21">
        <f t="shared" si="60"/>
        <v>2.050921622414438E-6</v>
      </c>
    </row>
    <row r="136" spans="18:69" x14ac:dyDescent="0.2">
      <c r="R136" s="16" t="s">
        <v>205</v>
      </c>
      <c r="S136" s="26">
        <v>4815</v>
      </c>
      <c r="T136" s="26">
        <v>4608</v>
      </c>
      <c r="U136" s="26">
        <v>4560</v>
      </c>
      <c r="V136" s="26">
        <v>4614</v>
      </c>
      <c r="W136" s="26">
        <v>4617</v>
      </c>
      <c r="X136" s="26">
        <v>4682</v>
      </c>
      <c r="Y136" s="26">
        <v>4745</v>
      </c>
      <c r="Z136" s="26">
        <v>4845</v>
      </c>
      <c r="AA136" s="26">
        <v>4812</v>
      </c>
      <c r="AB136" s="26">
        <v>4826</v>
      </c>
      <c r="AC136" s="26">
        <v>4811</v>
      </c>
      <c r="AD136" s="26">
        <v>4870</v>
      </c>
      <c r="AE136" s="26">
        <v>4835</v>
      </c>
      <c r="AG136" s="16" t="s">
        <v>205</v>
      </c>
      <c r="AH136" s="29">
        <v>0</v>
      </c>
      <c r="AI136" s="29">
        <f t="shared" si="74"/>
        <v>-4.2990654205607479E-2</v>
      </c>
      <c r="AJ136" s="29">
        <f t="shared" si="75"/>
        <v>-1.0416666666666666E-2</v>
      </c>
      <c r="AK136" s="29">
        <f t="shared" si="76"/>
        <v>1.1842105263157895E-2</v>
      </c>
      <c r="AL136" s="29">
        <f t="shared" si="77"/>
        <v>6.5019505851755528E-4</v>
      </c>
      <c r="AM136" s="29">
        <f t="shared" si="78"/>
        <v>1.4078405891271389E-2</v>
      </c>
      <c r="AN136" s="29">
        <f t="shared" si="79"/>
        <v>1.3455788124733021E-2</v>
      </c>
      <c r="AO136" s="29">
        <f t="shared" si="80"/>
        <v>2.107481559536354E-2</v>
      </c>
      <c r="AP136" s="29">
        <f t="shared" si="81"/>
        <v>-6.8111455108359137E-3</v>
      </c>
      <c r="AQ136" s="29">
        <f t="shared" si="82"/>
        <v>2.9093931837073984E-3</v>
      </c>
      <c r="AR136" s="29">
        <f t="shared" si="83"/>
        <v>-3.1081641110650643E-3</v>
      </c>
      <c r="AS136" s="29">
        <f t="shared" si="84"/>
        <v>1.2263562668883808E-2</v>
      </c>
      <c r="AT136" s="29">
        <f t="shared" si="85"/>
        <v>-7.1868583162217657E-3</v>
      </c>
      <c r="AU136" s="29"/>
      <c r="AW136" s="16" t="s">
        <v>205</v>
      </c>
      <c r="AX136" s="32">
        <f t="shared" si="87"/>
        <v>-1.7802440290758049E-2</v>
      </c>
      <c r="AY136" s="32">
        <f t="shared" si="88"/>
        <v>-1.3855071869705415E-2</v>
      </c>
      <c r="AZ136" s="32">
        <f t="shared" si="89"/>
        <v>6.9187788500292818E-4</v>
      </c>
      <c r="BA136" s="32">
        <f t="shared" si="90"/>
        <v>8.8569020709822806E-3</v>
      </c>
      <c r="BB136" s="32">
        <f t="shared" si="91"/>
        <v>9.3947963581739874E-3</v>
      </c>
      <c r="BC136" s="32">
        <f t="shared" si="92"/>
        <v>1.6203003203789316E-2</v>
      </c>
      <c r="BD136" s="32">
        <f t="shared" si="93"/>
        <v>9.2398194030868814E-3</v>
      </c>
      <c r="BE136" s="32">
        <f t="shared" si="94"/>
        <v>5.7243544227450092E-3</v>
      </c>
      <c r="BF136" s="32">
        <f t="shared" si="95"/>
        <v>-2.3366388127311934E-3</v>
      </c>
      <c r="BG136" s="32">
        <f t="shared" si="96"/>
        <v>4.0215972471753809E-3</v>
      </c>
      <c r="BH136" s="41">
        <f t="shared" si="97"/>
        <v>6.5618008053232627E-4</v>
      </c>
      <c r="BI136" s="46">
        <f t="shared" si="86"/>
        <v>-0.22230219278134394</v>
      </c>
      <c r="BJ136" s="41" t="b">
        <f t="shared" si="61"/>
        <v>0</v>
      </c>
      <c r="BK136" s="41" t="b">
        <f t="shared" si="62"/>
        <v>0</v>
      </c>
      <c r="BL136" s="42" t="str">
        <f>_xlfn.XLOOKUP(AW136,'County Population Strata'!$A$3:$A$66,'County Population Strata'!$P$3:$P$66)</f>
        <v>Tiny</v>
      </c>
      <c r="BQ136" s="21">
        <f t="shared" si="60"/>
        <v>9.7287893845879819E-6</v>
      </c>
    </row>
    <row r="137" spans="18:69" x14ac:dyDescent="0.2">
      <c r="R137" s="16" t="s">
        <v>206</v>
      </c>
      <c r="S137" s="26">
        <v>254230</v>
      </c>
      <c r="T137" s="26">
        <v>258702</v>
      </c>
      <c r="U137" s="26">
        <v>263850</v>
      </c>
      <c r="V137" s="26">
        <v>269770</v>
      </c>
      <c r="W137" s="26">
        <v>275994</v>
      </c>
      <c r="X137" s="26">
        <v>284855</v>
      </c>
      <c r="Y137" s="26">
        <v>294513</v>
      </c>
      <c r="Z137" s="26">
        <v>304595</v>
      </c>
      <c r="AA137" s="26">
        <v>313219</v>
      </c>
      <c r="AB137" s="26">
        <v>322335</v>
      </c>
      <c r="AC137" s="26">
        <v>331423</v>
      </c>
      <c r="AD137" s="26">
        <v>339865</v>
      </c>
      <c r="AE137" s="26">
        <v>350206</v>
      </c>
      <c r="AG137" s="16" t="s">
        <v>206</v>
      </c>
      <c r="AH137" s="29">
        <v>0</v>
      </c>
      <c r="AI137" s="29">
        <f t="shared" si="74"/>
        <v>1.7590370923966488E-2</v>
      </c>
      <c r="AJ137" s="29">
        <f t="shared" si="75"/>
        <v>1.9899343646357585E-2</v>
      </c>
      <c r="AK137" s="29">
        <f t="shared" si="76"/>
        <v>2.2436990714421071E-2</v>
      </c>
      <c r="AL137" s="29">
        <f t="shared" si="77"/>
        <v>2.3071505356414723E-2</v>
      </c>
      <c r="AM137" s="29">
        <f t="shared" si="78"/>
        <v>3.2105770415298884E-2</v>
      </c>
      <c r="AN137" s="29">
        <f t="shared" si="79"/>
        <v>3.3904969194853522E-2</v>
      </c>
      <c r="AO137" s="29">
        <f t="shared" si="80"/>
        <v>3.423278429135556E-2</v>
      </c>
      <c r="AP137" s="29">
        <f t="shared" si="81"/>
        <v>2.8313005794579689E-2</v>
      </c>
      <c r="AQ137" s="29">
        <f t="shared" si="82"/>
        <v>2.9104236971575798E-2</v>
      </c>
      <c r="AR137" s="29">
        <f t="shared" si="83"/>
        <v>2.8194269936556687E-2</v>
      </c>
      <c r="AS137" s="29">
        <f t="shared" si="84"/>
        <v>2.5471979916903774E-2</v>
      </c>
      <c r="AT137" s="29">
        <f t="shared" si="85"/>
        <v>3.0426787106645287E-2</v>
      </c>
      <c r="AU137" s="29"/>
      <c r="AW137" s="16" t="s">
        <v>206</v>
      </c>
      <c r="AX137" s="32">
        <f t="shared" si="87"/>
        <v>1.2496571523441358E-2</v>
      </c>
      <c r="AY137" s="32">
        <f t="shared" si="88"/>
        <v>1.997556842824838E-2</v>
      </c>
      <c r="AZ137" s="32">
        <f t="shared" si="89"/>
        <v>2.1802613239064461E-2</v>
      </c>
      <c r="BA137" s="32">
        <f t="shared" si="90"/>
        <v>2.5871422162044893E-2</v>
      </c>
      <c r="BB137" s="32">
        <f t="shared" si="91"/>
        <v>2.969408165552238E-2</v>
      </c>
      <c r="BC137" s="32">
        <f t="shared" si="92"/>
        <v>3.3414507967169327E-2</v>
      </c>
      <c r="BD137" s="32">
        <f t="shared" si="93"/>
        <v>3.2150253093596259E-2</v>
      </c>
      <c r="BE137" s="32">
        <f t="shared" si="94"/>
        <v>3.0550009019170349E-2</v>
      </c>
      <c r="BF137" s="32">
        <f t="shared" si="95"/>
        <v>2.8537170900904057E-2</v>
      </c>
      <c r="BG137" s="32">
        <f t="shared" si="96"/>
        <v>2.7590162275012087E-2</v>
      </c>
      <c r="BH137" s="41">
        <f t="shared" si="97"/>
        <v>2.8031012320035253E-2</v>
      </c>
      <c r="BI137" s="46">
        <f t="shared" si="86"/>
        <v>1.7287361846770255</v>
      </c>
      <c r="BJ137" s="41" t="b">
        <f t="shared" si="61"/>
        <v>1</v>
      </c>
      <c r="BK137" s="41" t="b">
        <f t="shared" si="62"/>
        <v>0</v>
      </c>
      <c r="BL137" s="42" t="str">
        <f>_xlfn.XLOOKUP(AW137,'County Population Strata'!$A$3:$A$66,'County Population Strata'!$P$3:$P$66)</f>
        <v>Medium</v>
      </c>
      <c r="BQ137" s="21">
        <f t="shared" si="60"/>
        <v>5.8834051090010805E-4</v>
      </c>
    </row>
    <row r="138" spans="18:69" x14ac:dyDescent="0.2">
      <c r="R138" s="16" t="s">
        <v>207</v>
      </c>
      <c r="S138" s="26">
        <v>10032</v>
      </c>
      <c r="T138" s="26">
        <v>10111</v>
      </c>
      <c r="U138" s="26">
        <v>10078</v>
      </c>
      <c r="V138" s="26">
        <v>10143</v>
      </c>
      <c r="W138" s="26">
        <v>10188</v>
      </c>
      <c r="X138" s="26">
        <v>10039</v>
      </c>
      <c r="Y138" s="26">
        <v>10056</v>
      </c>
      <c r="Z138" s="26">
        <v>9973</v>
      </c>
      <c r="AA138" s="26">
        <v>9955</v>
      </c>
      <c r="AB138" s="26">
        <v>10010</v>
      </c>
      <c r="AC138" s="26">
        <v>9977</v>
      </c>
      <c r="AD138" s="26">
        <v>9932</v>
      </c>
      <c r="AE138" s="26">
        <v>9920</v>
      </c>
      <c r="AG138" s="16" t="s">
        <v>207</v>
      </c>
      <c r="AH138" s="29">
        <v>0</v>
      </c>
      <c r="AI138" s="29">
        <f t="shared" si="74"/>
        <v>7.8748006379585327E-3</v>
      </c>
      <c r="AJ138" s="29">
        <f t="shared" si="75"/>
        <v>-3.2637721293640588E-3</v>
      </c>
      <c r="AK138" s="29">
        <f t="shared" si="76"/>
        <v>6.4496923992855724E-3</v>
      </c>
      <c r="AL138" s="29">
        <f t="shared" si="77"/>
        <v>4.4365572315882874E-3</v>
      </c>
      <c r="AM138" s="29">
        <f t="shared" si="78"/>
        <v>-1.4625049077345896E-2</v>
      </c>
      <c r="AN138" s="29">
        <f t="shared" si="79"/>
        <v>1.6933957565494571E-3</v>
      </c>
      <c r="AO138" s="29">
        <f t="shared" si="80"/>
        <v>-8.2537788385043751E-3</v>
      </c>
      <c r="AP138" s="29">
        <f t="shared" si="81"/>
        <v>-1.8048731575253183E-3</v>
      </c>
      <c r="AQ138" s="29">
        <f t="shared" si="82"/>
        <v>5.5248618784530384E-3</v>
      </c>
      <c r="AR138" s="29">
        <f t="shared" si="83"/>
        <v>-3.2967032967032967E-3</v>
      </c>
      <c r="AS138" s="29">
        <f t="shared" si="84"/>
        <v>-4.5103738598777183E-3</v>
      </c>
      <c r="AT138" s="29">
        <f t="shared" si="85"/>
        <v>-1.2082158679017317E-3</v>
      </c>
      <c r="AU138" s="29"/>
      <c r="AW138" s="16" t="s">
        <v>207</v>
      </c>
      <c r="AX138" s="32">
        <f t="shared" si="87"/>
        <v>1.5370095028648244E-3</v>
      </c>
      <c r="AY138" s="32">
        <f t="shared" si="88"/>
        <v>3.6869069692933485E-3</v>
      </c>
      <c r="AZ138" s="32">
        <f t="shared" si="89"/>
        <v>2.5408258338366005E-3</v>
      </c>
      <c r="BA138" s="32">
        <f t="shared" si="90"/>
        <v>-1.2462664821573453E-3</v>
      </c>
      <c r="BB138" s="32">
        <f t="shared" si="91"/>
        <v>-2.8316986964027173E-3</v>
      </c>
      <c r="BC138" s="32">
        <f t="shared" si="92"/>
        <v>-7.0618107197669379E-3</v>
      </c>
      <c r="BD138" s="32">
        <f t="shared" si="93"/>
        <v>-2.7884187464934118E-3</v>
      </c>
      <c r="BE138" s="32">
        <f t="shared" si="94"/>
        <v>-1.5112633725255515E-3</v>
      </c>
      <c r="BF138" s="32">
        <f t="shared" si="95"/>
        <v>1.4109514140814107E-4</v>
      </c>
      <c r="BG138" s="32">
        <f t="shared" si="96"/>
        <v>-7.607384260426589E-4</v>
      </c>
      <c r="BH138" s="43">
        <f t="shared" si="97"/>
        <v>-3.0050976748275822E-3</v>
      </c>
      <c r="BI138" s="47">
        <f t="shared" ref="BI138" si="98">(BH138-$BO$78)/$BO$79</f>
        <v>-0.48324601697522424</v>
      </c>
      <c r="BJ138" s="43" t="b">
        <f>IF(BI138&gt;1,TRUE,FALSE)</f>
        <v>0</v>
      </c>
      <c r="BK138" s="43" t="b">
        <f>IF(BI138&gt;1,TRUE,FALSE)</f>
        <v>0</v>
      </c>
      <c r="BL138" s="44" t="str">
        <f>_xlfn.XLOOKUP(AW138,'County Population Strata'!$A$3:$A$66,'County Population Strata'!$P$3:$P$66)</f>
        <v>Tiny</v>
      </c>
      <c r="BQ138" s="21">
        <f t="shared" si="60"/>
        <v>4.5973532449732852E-5</v>
      </c>
    </row>
    <row r="139" spans="18:69" x14ac:dyDescent="0.2">
      <c r="R139" s="19" t="s">
        <v>225</v>
      </c>
      <c r="S139" s="27">
        <v>10100664</v>
      </c>
      <c r="T139" s="27">
        <v>10247103</v>
      </c>
      <c r="U139" s="27">
        <v>10389324</v>
      </c>
      <c r="V139" s="27">
        <v>10541766</v>
      </c>
      <c r="W139" s="27">
        <v>10695309</v>
      </c>
      <c r="X139" s="27">
        <v>10893187</v>
      </c>
      <c r="Y139" s="27">
        <v>11059260</v>
      </c>
      <c r="Z139" s="27">
        <v>11199177</v>
      </c>
      <c r="AA139" s="27">
        <v>11353825</v>
      </c>
      <c r="AB139" s="27">
        <v>11469822</v>
      </c>
      <c r="AC139" s="27">
        <v>11569168</v>
      </c>
      <c r="AD139" s="27">
        <v>11622052</v>
      </c>
      <c r="AE139" s="27">
        <v>11677472</v>
      </c>
      <c r="AG139" s="19" t="s">
        <v>225</v>
      </c>
      <c r="AH139" s="31">
        <f>AH85</f>
        <v>0</v>
      </c>
      <c r="AI139" s="31">
        <f t="shared" ref="AI139:AT139" si="99">AI85</f>
        <v>1.4498254768201378E-2</v>
      </c>
      <c r="AJ139" s="31">
        <f t="shared" si="99"/>
        <v>1.3878845402789821E-2</v>
      </c>
      <c r="AK139" s="31">
        <f t="shared" si="99"/>
        <v>1.4672946959782947E-2</v>
      </c>
      <c r="AL139" s="31">
        <f t="shared" si="99"/>
        <v>1.4565301487435787E-2</v>
      </c>
      <c r="AM139" s="31">
        <f t="shared" si="99"/>
        <v>1.8501380511644825E-2</v>
      </c>
      <c r="AN139" s="31">
        <f t="shared" si="99"/>
        <v>1.5245674636295637E-2</v>
      </c>
      <c r="AO139" s="31">
        <f t="shared" si="99"/>
        <v>1.2651296261902466E-2</v>
      </c>
      <c r="AP139" s="31">
        <f t="shared" si="99"/>
        <v>1.3808873081376702E-2</v>
      </c>
      <c r="AQ139" s="31">
        <f t="shared" si="99"/>
        <v>1.0216293646968634E-2</v>
      </c>
      <c r="AR139" s="31">
        <f t="shared" si="99"/>
        <v>8.6618636843234995E-3</v>
      </c>
      <c r="AS139" s="31">
        <f t="shared" si="99"/>
        <v>4.5711152262634617E-3</v>
      </c>
      <c r="AT139" s="31">
        <f t="shared" si="99"/>
        <v>4.7685210838843261E-3</v>
      </c>
      <c r="AW139" s="19" t="s">
        <v>225</v>
      </c>
      <c r="AX139" s="31">
        <f>AX85</f>
        <v>9.4590333903304003E-3</v>
      </c>
      <c r="AY139" s="31">
        <f t="shared" ref="AY139:BH139" si="100">AY85</f>
        <v>1.4350015710258049E-2</v>
      </c>
      <c r="AZ139" s="31">
        <f t="shared" si="100"/>
        <v>1.437236461666952E-2</v>
      </c>
      <c r="BA139" s="31">
        <f t="shared" si="100"/>
        <v>1.5913209652954521E-2</v>
      </c>
      <c r="BB139" s="31">
        <f t="shared" si="100"/>
        <v>1.6104118878458747E-2</v>
      </c>
      <c r="BC139" s="31">
        <f t="shared" si="100"/>
        <v>1.546611713661431E-2</v>
      </c>
      <c r="BD139" s="31">
        <f t="shared" si="100"/>
        <v>1.3901947993191601E-2</v>
      </c>
      <c r="BE139" s="31">
        <f t="shared" si="100"/>
        <v>1.2225487663415933E-2</v>
      </c>
      <c r="BF139" s="31">
        <f t="shared" si="100"/>
        <v>1.0895676804222945E-2</v>
      </c>
      <c r="BG139" s="31">
        <f t="shared" si="100"/>
        <v>7.816424185851864E-3</v>
      </c>
      <c r="BH139" s="31">
        <f t="shared" si="100"/>
        <v>0</v>
      </c>
    </row>
    <row r="141" spans="18:69" x14ac:dyDescent="0.2">
      <c r="R141" s="16" t="s">
        <v>138</v>
      </c>
      <c r="AG141" t="s">
        <v>272</v>
      </c>
      <c r="AW141" t="s">
        <v>273</v>
      </c>
    </row>
    <row r="142" spans="18:69" x14ac:dyDescent="0.2">
      <c r="R142" s="17" t="s">
        <v>224</v>
      </c>
      <c r="S142" s="17">
        <v>2010</v>
      </c>
      <c r="T142" s="17">
        <v>2011</v>
      </c>
      <c r="U142" s="17">
        <v>2012</v>
      </c>
      <c r="V142" s="17">
        <v>2013</v>
      </c>
      <c r="W142" s="17">
        <v>2014</v>
      </c>
      <c r="X142" s="17">
        <v>2015</v>
      </c>
      <c r="Y142" s="17">
        <v>2016</v>
      </c>
      <c r="Z142" s="17">
        <v>2017</v>
      </c>
      <c r="AA142" s="17">
        <v>2018</v>
      </c>
      <c r="AB142" s="17">
        <v>2019</v>
      </c>
      <c r="AC142" s="17">
        <v>2020</v>
      </c>
      <c r="AD142" s="17">
        <v>2021</v>
      </c>
      <c r="AE142" s="17">
        <v>2022</v>
      </c>
      <c r="AG142" s="17" t="s">
        <v>224</v>
      </c>
      <c r="AH142" s="17">
        <v>2010</v>
      </c>
      <c r="AI142" s="17">
        <v>2011</v>
      </c>
      <c r="AJ142" s="17">
        <v>2012</v>
      </c>
      <c r="AK142" s="17">
        <v>2013</v>
      </c>
      <c r="AL142" s="17">
        <v>2014</v>
      </c>
      <c r="AM142" s="17">
        <v>2015</v>
      </c>
      <c r="AN142" s="17">
        <v>2016</v>
      </c>
      <c r="AO142" s="17">
        <v>2017</v>
      </c>
      <c r="AP142" s="17">
        <v>2018</v>
      </c>
      <c r="AQ142" s="17">
        <v>2019</v>
      </c>
      <c r="AR142" s="17">
        <v>2020</v>
      </c>
      <c r="AS142" s="17">
        <v>2021</v>
      </c>
      <c r="AT142" s="17">
        <v>2022</v>
      </c>
      <c r="AW142" s="17" t="s">
        <v>224</v>
      </c>
      <c r="AX142" s="17" t="s">
        <v>247</v>
      </c>
      <c r="AY142" s="17" t="s">
        <v>248</v>
      </c>
      <c r="AZ142" s="17" t="s">
        <v>249</v>
      </c>
      <c r="BA142" s="17" t="s">
        <v>250</v>
      </c>
      <c r="BB142" s="17" t="s">
        <v>251</v>
      </c>
      <c r="BC142" s="17" t="s">
        <v>252</v>
      </c>
      <c r="BD142" s="17" t="s">
        <v>253</v>
      </c>
      <c r="BE142" s="17" t="s">
        <v>257</v>
      </c>
      <c r="BF142" s="17" t="s">
        <v>254</v>
      </c>
      <c r="BG142" s="17" t="s">
        <v>255</v>
      </c>
      <c r="BH142" s="33" t="s">
        <v>256</v>
      </c>
      <c r="BI142" s="33" t="s">
        <v>276</v>
      </c>
      <c r="BJ142" s="38" t="s">
        <v>278</v>
      </c>
      <c r="BK142" s="38" t="s">
        <v>279</v>
      </c>
      <c r="BL142" s="33" t="s">
        <v>267</v>
      </c>
    </row>
    <row r="143" spans="18:69" x14ac:dyDescent="0.2">
      <c r="R143" s="16" t="s">
        <v>144</v>
      </c>
      <c r="S143" s="26">
        <v>163435</v>
      </c>
      <c r="T143" s="26">
        <v>164593</v>
      </c>
      <c r="U143" s="26">
        <v>165858</v>
      </c>
      <c r="V143" s="26">
        <v>167459</v>
      </c>
      <c r="W143" s="26">
        <v>169377</v>
      </c>
      <c r="X143" s="26">
        <v>171361</v>
      </c>
      <c r="Y143" s="26">
        <v>173204</v>
      </c>
      <c r="Z143" s="26">
        <v>176439</v>
      </c>
      <c r="AA143" s="26">
        <v>180056</v>
      </c>
      <c r="AB143" s="26">
        <v>183751</v>
      </c>
      <c r="AC143" s="26">
        <v>187288</v>
      </c>
      <c r="AD143" s="26">
        <v>191198</v>
      </c>
      <c r="AE143" s="26">
        <v>196741</v>
      </c>
      <c r="AG143" s="16" t="s">
        <v>144</v>
      </c>
      <c r="AH143" s="29">
        <v>0</v>
      </c>
      <c r="AI143" s="29">
        <f>(T143-S143)/S143</f>
        <v>7.0853856273136112E-3</v>
      </c>
      <c r="AJ143" s="29">
        <f t="shared" ref="AJ143:AJ174" si="101">(U143-T143)/T143</f>
        <v>7.6856245405333154E-3</v>
      </c>
      <c r="AK143" s="29">
        <f t="shared" ref="AK143:AK174" si="102">(V143-U143)/U143</f>
        <v>9.6528355581280371E-3</v>
      </c>
      <c r="AL143" s="29">
        <f t="shared" ref="AL143:AL174" si="103">(W143-V143)/V143</f>
        <v>1.1453549824136057E-2</v>
      </c>
      <c r="AM143" s="29">
        <f t="shared" ref="AM143:AM174" si="104">(X143-W143)/W143</f>
        <v>1.1713514821965202E-2</v>
      </c>
      <c r="AN143" s="29">
        <f t="shared" ref="AN143:AN174" si="105">(Y143-X143)/X143</f>
        <v>1.0755072624459475E-2</v>
      </c>
      <c r="AO143" s="29">
        <f t="shared" ref="AO143:AO174" si="106">(Z143-Y143)/Y143</f>
        <v>1.8677397750629314E-2</v>
      </c>
      <c r="AP143" s="29">
        <f t="shared" ref="AP143:AP174" si="107">(AA143-Z143)/Z143</f>
        <v>2.050000283384059E-2</v>
      </c>
      <c r="AQ143" s="29">
        <f t="shared" ref="AQ143:AQ174" si="108">(AB143-AA143)/AA143</f>
        <v>2.0521393344292888E-2</v>
      </c>
      <c r="AR143" s="29">
        <f t="shared" ref="AR143:AR174" si="109">(AC143-AB143)/AB143</f>
        <v>1.9248874836055314E-2</v>
      </c>
      <c r="AS143" s="29">
        <f t="shared" ref="AS143:AS174" si="110">(AD143-AC143)/AC143</f>
        <v>2.0876938191448466E-2</v>
      </c>
      <c r="AT143" s="29">
        <f t="shared" ref="AT143:AT174" si="111">(AE143-AD143)/AD143</f>
        <v>2.8990889026035836E-2</v>
      </c>
      <c r="AW143" s="16" t="s">
        <v>144</v>
      </c>
      <c r="AX143" s="32">
        <f>AVERAGE(AH143:AJ143)</f>
        <v>4.9236700559489753E-3</v>
      </c>
      <c r="AY143" s="32">
        <f t="shared" ref="AY143:AY153" si="112">AVERAGE(AI143:AK143)</f>
        <v>8.1412819086583207E-3</v>
      </c>
      <c r="AZ143" s="32">
        <f t="shared" ref="AZ143:AZ153" si="113">AVERAGE(AJ143:AL143)</f>
        <v>9.59733664093247E-3</v>
      </c>
      <c r="BA143" s="32">
        <f t="shared" ref="BA143:BA153" si="114">AVERAGE(AK143:AM143)</f>
        <v>1.09399667347431E-2</v>
      </c>
      <c r="BB143" s="32">
        <f t="shared" ref="BB143:BB153" si="115">AVERAGE(AL143:AN143)</f>
        <v>1.1307379090186911E-2</v>
      </c>
      <c r="BC143" s="32">
        <f t="shared" ref="BC143:BC153" si="116">AVERAGE(AM143:AO143)</f>
        <v>1.3715328399017998E-2</v>
      </c>
      <c r="BD143" s="32">
        <f t="shared" ref="BD143:BD153" si="117">AVERAGE(AN143:AP143)</f>
        <v>1.6644157736309794E-2</v>
      </c>
      <c r="BE143" s="32">
        <f t="shared" ref="BE143:BE153" si="118">AVERAGE(AO143:AQ143)</f>
        <v>1.9899597976254263E-2</v>
      </c>
      <c r="BF143" s="32">
        <f t="shared" ref="BF143:BF153" si="119">AVERAGE(AP143:AR143)</f>
        <v>2.0090090338062933E-2</v>
      </c>
      <c r="BG143" s="32">
        <f t="shared" ref="BG143:BG153" si="120">AVERAGE(AQ143:AS143)</f>
        <v>2.0215735457265557E-2</v>
      </c>
      <c r="BH143" s="39">
        <f t="shared" ref="BH143:BH153" si="121">AVERAGE(AR143:AT143)</f>
        <v>2.3038900684513208E-2</v>
      </c>
      <c r="BI143" s="45">
        <f>(BH143-BO147)/$BO$148</f>
        <v>1.2116055992001791</v>
      </c>
      <c r="BJ143" s="39" t="b">
        <f>IF(BI143&gt;1,TRUE,FALSE)</f>
        <v>1</v>
      </c>
      <c r="BK143" s="39" t="b">
        <f>IF(BI143&lt;-1,TRUE,FALSE)</f>
        <v>0</v>
      </c>
      <c r="BL143" s="40" t="str">
        <f>_xlfn.XLOOKUP(AW143,'County Population Strata'!$A$3:$A$66,'County Population Strata'!$P$3:$P$66)</f>
        <v>Medium</v>
      </c>
    </row>
    <row r="144" spans="18:69" x14ac:dyDescent="0.2">
      <c r="R144" s="16" t="s">
        <v>145</v>
      </c>
      <c r="S144" s="26">
        <v>6561</v>
      </c>
      <c r="T144" s="26">
        <v>6591</v>
      </c>
      <c r="U144" s="26">
        <v>6636</v>
      </c>
      <c r="V144" s="26">
        <v>6700</v>
      </c>
      <c r="W144" s="26">
        <v>6747</v>
      </c>
      <c r="X144" s="26">
        <v>6807</v>
      </c>
      <c r="Y144" s="26">
        <v>6835</v>
      </c>
      <c r="Z144" s="26">
        <v>6908</v>
      </c>
      <c r="AA144" s="26">
        <v>6990</v>
      </c>
      <c r="AB144" s="26">
        <v>7026</v>
      </c>
      <c r="AC144" s="26">
        <v>7072</v>
      </c>
      <c r="AD144" s="26">
        <v>7137</v>
      </c>
      <c r="AE144" s="26">
        <v>7250</v>
      </c>
      <c r="AG144" s="16" t="s">
        <v>145</v>
      </c>
      <c r="AH144" s="29">
        <v>0</v>
      </c>
      <c r="AI144" s="29">
        <f t="shared" ref="AI144:AI174" si="122">(T144-S144)/S144</f>
        <v>4.5724737082761778E-3</v>
      </c>
      <c r="AJ144" s="29">
        <f t="shared" si="101"/>
        <v>6.8274920345926266E-3</v>
      </c>
      <c r="AK144" s="29">
        <f t="shared" si="102"/>
        <v>9.6443640747438213E-3</v>
      </c>
      <c r="AL144" s="29">
        <f t="shared" si="103"/>
        <v>7.0149253731343281E-3</v>
      </c>
      <c r="AM144" s="29">
        <f t="shared" si="104"/>
        <v>8.8928412627834585E-3</v>
      </c>
      <c r="AN144" s="29">
        <f t="shared" si="105"/>
        <v>4.1134126634346999E-3</v>
      </c>
      <c r="AO144" s="29">
        <f t="shared" si="106"/>
        <v>1.0680321872713972E-2</v>
      </c>
      <c r="AP144" s="29">
        <f t="shared" si="107"/>
        <v>1.1870295309785756E-2</v>
      </c>
      <c r="AQ144" s="29">
        <f t="shared" si="108"/>
        <v>5.1502145922746783E-3</v>
      </c>
      <c r="AR144" s="29">
        <f t="shared" si="109"/>
        <v>6.5471107315684604E-3</v>
      </c>
      <c r="AS144" s="29">
        <f t="shared" si="110"/>
        <v>9.1911764705882356E-3</v>
      </c>
      <c r="AT144" s="29">
        <f t="shared" si="111"/>
        <v>1.5832983046097801E-2</v>
      </c>
      <c r="AW144" s="16" t="s">
        <v>145</v>
      </c>
      <c r="AX144" s="32">
        <f t="shared" ref="AX144:AX153" si="123">AVERAGE(AH144:AJ144)</f>
        <v>3.7999885809562681E-3</v>
      </c>
      <c r="AY144" s="32">
        <f t="shared" si="112"/>
        <v>7.0147766058708746E-3</v>
      </c>
      <c r="AZ144" s="32">
        <f t="shared" si="113"/>
        <v>7.8289271608235917E-3</v>
      </c>
      <c r="BA144" s="32">
        <f t="shared" si="114"/>
        <v>8.517376903553869E-3</v>
      </c>
      <c r="BB144" s="32">
        <f t="shared" si="115"/>
        <v>6.6737264331174955E-3</v>
      </c>
      <c r="BC144" s="32">
        <f t="shared" si="116"/>
        <v>7.8955252663107101E-3</v>
      </c>
      <c r="BD144" s="32">
        <f t="shared" si="117"/>
        <v>8.8880099486448091E-3</v>
      </c>
      <c r="BE144" s="32">
        <f t="shared" si="118"/>
        <v>9.2336105915914683E-3</v>
      </c>
      <c r="BF144" s="32">
        <f t="shared" si="119"/>
        <v>7.8558735445429639E-3</v>
      </c>
      <c r="BG144" s="32">
        <f t="shared" si="120"/>
        <v>6.9628339314771236E-3</v>
      </c>
      <c r="BH144" s="41">
        <f t="shared" si="121"/>
        <v>1.0523756749418167E-2</v>
      </c>
      <c r="BI144" s="46">
        <f t="shared" ref="BI144:BI153" si="124">(BH144-$BO$147)/$BO$148</f>
        <v>-0.21165816751011737</v>
      </c>
      <c r="BJ144" s="41" t="b">
        <f>IF(BI144&gt;1,TRUE,FALSE)</f>
        <v>0</v>
      </c>
      <c r="BK144" s="41" t="b">
        <f>IF(BI144&lt;-1,TRUE,FALSE)</f>
        <v>0</v>
      </c>
      <c r="BL144" s="42" t="str">
        <f>_xlfn.XLOOKUP(AW144,'County Population Strata'!$A$3:$A$66,'County Population Strata'!$P$3:$P$66)</f>
        <v>Tiny</v>
      </c>
    </row>
    <row r="145" spans="18:67" x14ac:dyDescent="0.2">
      <c r="R145" s="16" t="s">
        <v>146</v>
      </c>
      <c r="S145" s="26">
        <v>239171</v>
      </c>
      <c r="T145" s="26">
        <v>240616</v>
      </c>
      <c r="U145" s="26">
        <v>241137</v>
      </c>
      <c r="V145" s="26">
        <v>242604</v>
      </c>
      <c r="W145" s="26">
        <v>245659</v>
      </c>
      <c r="X145" s="26">
        <v>247801</v>
      </c>
      <c r="Y145" s="26">
        <v>249881</v>
      </c>
      <c r="Z145" s="26">
        <v>254352</v>
      </c>
      <c r="AA145" s="26">
        <v>257003</v>
      </c>
      <c r="AB145" s="26">
        <v>259939</v>
      </c>
      <c r="AC145" s="26">
        <v>263241</v>
      </c>
      <c r="AD145" s="26">
        <v>266515</v>
      </c>
      <c r="AE145" s="26">
        <v>270939</v>
      </c>
      <c r="AG145" s="16" t="s">
        <v>146</v>
      </c>
      <c r="AH145" s="29">
        <v>0</v>
      </c>
      <c r="AI145" s="29">
        <f t="shared" si="122"/>
        <v>6.041702380305305E-3</v>
      </c>
      <c r="AJ145" s="29">
        <f t="shared" si="101"/>
        <v>2.1652757921335241E-3</v>
      </c>
      <c r="AK145" s="29">
        <f t="shared" si="102"/>
        <v>6.0836785727615425E-3</v>
      </c>
      <c r="AL145" s="29">
        <f t="shared" si="103"/>
        <v>1.2592537633344874E-2</v>
      </c>
      <c r="AM145" s="29">
        <f t="shared" si="104"/>
        <v>8.7194037263035352E-3</v>
      </c>
      <c r="AN145" s="29">
        <f t="shared" si="105"/>
        <v>8.393832147570026E-3</v>
      </c>
      <c r="AO145" s="29">
        <f t="shared" si="106"/>
        <v>1.7892516838014894E-2</v>
      </c>
      <c r="AP145" s="29">
        <f t="shared" si="107"/>
        <v>1.0422564005787255E-2</v>
      </c>
      <c r="AQ145" s="29">
        <f t="shared" si="108"/>
        <v>1.1423991159636269E-2</v>
      </c>
      <c r="AR145" s="29">
        <f t="shared" si="109"/>
        <v>1.2702980314612275E-2</v>
      </c>
      <c r="AS145" s="29">
        <f t="shared" si="110"/>
        <v>1.243727230940469E-2</v>
      </c>
      <c r="AT145" s="29">
        <f t="shared" si="111"/>
        <v>1.6599440932030092E-2</v>
      </c>
      <c r="AW145" s="16" t="s">
        <v>146</v>
      </c>
      <c r="AX145" s="32">
        <f t="shared" si="123"/>
        <v>2.7356593908129429E-3</v>
      </c>
      <c r="AY145" s="32">
        <f t="shared" si="112"/>
        <v>4.7635522484001241E-3</v>
      </c>
      <c r="AZ145" s="32">
        <f t="shared" si="113"/>
        <v>6.9471639994133126E-3</v>
      </c>
      <c r="BA145" s="32">
        <f t="shared" si="114"/>
        <v>9.1318733108033175E-3</v>
      </c>
      <c r="BB145" s="32">
        <f t="shared" si="115"/>
        <v>9.9019245024061456E-3</v>
      </c>
      <c r="BC145" s="32">
        <f t="shared" si="116"/>
        <v>1.1668584237296151E-2</v>
      </c>
      <c r="BD145" s="32">
        <f t="shared" si="117"/>
        <v>1.2236304330457392E-2</v>
      </c>
      <c r="BE145" s="32">
        <f t="shared" si="118"/>
        <v>1.3246357334479472E-2</v>
      </c>
      <c r="BF145" s="32">
        <f t="shared" si="119"/>
        <v>1.1516511826678601E-2</v>
      </c>
      <c r="BG145" s="32">
        <f t="shared" si="120"/>
        <v>1.2188081261217745E-2</v>
      </c>
      <c r="BH145" s="41">
        <f t="shared" si="121"/>
        <v>1.3913231185349019E-2</v>
      </c>
      <c r="BI145" s="46">
        <f t="shared" si="124"/>
        <v>0.17380413143503393</v>
      </c>
      <c r="BJ145" s="41" t="b">
        <f t="shared" ref="BJ145:BJ206" si="125">IF(BI145&gt;1,TRUE,FALSE)</f>
        <v>0</v>
      </c>
      <c r="BK145" s="41" t="b">
        <f t="shared" ref="BK145:BK206" si="126">IF(BI145&lt;-1,TRUE,FALSE)</f>
        <v>0</v>
      </c>
      <c r="BL145" s="42" t="str">
        <f>_xlfn.XLOOKUP(AW145,'County Population Strata'!$A$3:$A$66,'County Population Strata'!$P$3:$P$66)</f>
        <v>Large</v>
      </c>
    </row>
    <row r="146" spans="18:67" x14ac:dyDescent="0.2">
      <c r="R146" s="16" t="s">
        <v>147</v>
      </c>
      <c r="S146" s="26">
        <v>8762</v>
      </c>
      <c r="T146" s="26">
        <v>8781</v>
      </c>
      <c r="U146" s="26">
        <v>8807</v>
      </c>
      <c r="V146" s="26">
        <v>8840</v>
      </c>
      <c r="W146" s="26">
        <v>8899</v>
      </c>
      <c r="X146" s="26">
        <v>8952</v>
      </c>
      <c r="Y146" s="26">
        <v>9033</v>
      </c>
      <c r="Z146" s="26">
        <v>9137</v>
      </c>
      <c r="AA146" s="26">
        <v>9277</v>
      </c>
      <c r="AB146" s="26">
        <v>9411</v>
      </c>
      <c r="AC146" s="26">
        <v>9537</v>
      </c>
      <c r="AD146" s="26">
        <v>9687</v>
      </c>
      <c r="AE146" s="26">
        <v>9879</v>
      </c>
      <c r="AG146" s="16" t="s">
        <v>147</v>
      </c>
      <c r="AH146" s="29">
        <v>0</v>
      </c>
      <c r="AI146" s="29">
        <f t="shared" si="122"/>
        <v>2.1684546907098836E-3</v>
      </c>
      <c r="AJ146" s="29">
        <f t="shared" si="101"/>
        <v>2.9609383897050449E-3</v>
      </c>
      <c r="AK146" s="29">
        <f t="shared" si="102"/>
        <v>3.7470194163733393E-3</v>
      </c>
      <c r="AL146" s="29">
        <f t="shared" si="103"/>
        <v>6.6742081447963798E-3</v>
      </c>
      <c r="AM146" s="29">
        <f t="shared" si="104"/>
        <v>5.9557253624002698E-3</v>
      </c>
      <c r="AN146" s="29">
        <f t="shared" si="105"/>
        <v>9.0482573726541563E-3</v>
      </c>
      <c r="AO146" s="29">
        <f t="shared" si="106"/>
        <v>1.1513339975644857E-2</v>
      </c>
      <c r="AP146" s="29">
        <f t="shared" si="107"/>
        <v>1.5322315858596914E-2</v>
      </c>
      <c r="AQ146" s="29">
        <f t="shared" si="108"/>
        <v>1.4444324673924759E-2</v>
      </c>
      <c r="AR146" s="29">
        <f t="shared" si="109"/>
        <v>1.33885878227606E-2</v>
      </c>
      <c r="AS146" s="29">
        <f t="shared" si="110"/>
        <v>1.5728216420257943E-2</v>
      </c>
      <c r="AT146" s="29">
        <f t="shared" si="111"/>
        <v>1.9820377825952307E-2</v>
      </c>
      <c r="AW146" s="16" t="s">
        <v>147</v>
      </c>
      <c r="AX146" s="32">
        <f t="shared" si="123"/>
        <v>1.7097976934716428E-3</v>
      </c>
      <c r="AY146" s="32">
        <f t="shared" si="112"/>
        <v>2.9588041655960891E-3</v>
      </c>
      <c r="AZ146" s="32">
        <f t="shared" si="113"/>
        <v>4.4607219836249211E-3</v>
      </c>
      <c r="BA146" s="32">
        <f t="shared" si="114"/>
        <v>5.4589843078566638E-3</v>
      </c>
      <c r="BB146" s="32">
        <f t="shared" si="115"/>
        <v>7.2260636266169341E-3</v>
      </c>
      <c r="BC146" s="32">
        <f t="shared" si="116"/>
        <v>8.8391075702330939E-3</v>
      </c>
      <c r="BD146" s="32">
        <f t="shared" si="117"/>
        <v>1.1961304402298643E-2</v>
      </c>
      <c r="BE146" s="32">
        <f t="shared" si="118"/>
        <v>1.3759993502722176E-2</v>
      </c>
      <c r="BF146" s="32">
        <f t="shared" si="119"/>
        <v>1.4385076118427424E-2</v>
      </c>
      <c r="BG146" s="32">
        <f t="shared" si="120"/>
        <v>1.4520376305647767E-2</v>
      </c>
      <c r="BH146" s="41">
        <f t="shared" si="121"/>
        <v>1.6312394022990284E-2</v>
      </c>
      <c r="BI146" s="46">
        <f t="shared" si="124"/>
        <v>0.44664490377943439</v>
      </c>
      <c r="BJ146" s="41" t="b">
        <f t="shared" si="125"/>
        <v>0</v>
      </c>
      <c r="BK146" s="41" t="b">
        <f t="shared" si="126"/>
        <v>0</v>
      </c>
      <c r="BL146" s="42" t="str">
        <f>_xlfn.XLOOKUP(AW146,'County Population Strata'!$A$3:$A$66,'County Population Strata'!$P$3:$P$66)</f>
        <v>Tiny</v>
      </c>
    </row>
    <row r="147" spans="18:67" x14ac:dyDescent="0.2">
      <c r="R147" s="16" t="s">
        <v>148</v>
      </c>
      <c r="S147" s="26">
        <v>1964</v>
      </c>
      <c r="T147" s="26">
        <v>1966</v>
      </c>
      <c r="U147" s="26">
        <v>1968</v>
      </c>
      <c r="V147" s="26">
        <v>1968</v>
      </c>
      <c r="W147" s="26">
        <v>1968</v>
      </c>
      <c r="X147" s="26">
        <v>1968</v>
      </c>
      <c r="Y147" s="26">
        <v>1968</v>
      </c>
      <c r="Z147" s="26">
        <v>1969</v>
      </c>
      <c r="AA147" s="26">
        <v>1969</v>
      </c>
      <c r="AB147" s="26">
        <v>1969</v>
      </c>
      <c r="AC147" s="26">
        <v>1972</v>
      </c>
      <c r="AD147" s="26">
        <v>1977</v>
      </c>
      <c r="AE147" s="26">
        <v>1981</v>
      </c>
      <c r="AG147" s="16" t="s">
        <v>148</v>
      </c>
      <c r="AH147" s="29">
        <v>0</v>
      </c>
      <c r="AI147" s="29">
        <f t="shared" si="122"/>
        <v>1.0183299389002036E-3</v>
      </c>
      <c r="AJ147" s="29">
        <f t="shared" si="101"/>
        <v>1.017293997965412E-3</v>
      </c>
      <c r="AK147" s="29">
        <f t="shared" si="102"/>
        <v>0</v>
      </c>
      <c r="AL147" s="29">
        <f t="shared" si="103"/>
        <v>0</v>
      </c>
      <c r="AM147" s="29">
        <f t="shared" si="104"/>
        <v>0</v>
      </c>
      <c r="AN147" s="29">
        <f t="shared" si="105"/>
        <v>0</v>
      </c>
      <c r="AO147" s="29">
        <f t="shared" si="106"/>
        <v>5.0813008130081306E-4</v>
      </c>
      <c r="AP147" s="29">
        <f t="shared" si="107"/>
        <v>0</v>
      </c>
      <c r="AQ147" s="29">
        <f t="shared" si="108"/>
        <v>0</v>
      </c>
      <c r="AR147" s="29">
        <f t="shared" si="109"/>
        <v>1.5236160487557136E-3</v>
      </c>
      <c r="AS147" s="29">
        <f t="shared" si="110"/>
        <v>2.5354969574036511E-3</v>
      </c>
      <c r="AT147" s="29">
        <f t="shared" si="111"/>
        <v>2.0232675771370764E-3</v>
      </c>
      <c r="AW147" s="16" t="s">
        <v>148</v>
      </c>
      <c r="AX147" s="32">
        <f t="shared" si="123"/>
        <v>6.7854131228853862E-4</v>
      </c>
      <c r="AY147" s="32">
        <f t="shared" si="112"/>
        <v>6.7854131228853862E-4</v>
      </c>
      <c r="AZ147" s="32">
        <f t="shared" si="113"/>
        <v>3.3909799932180397E-4</v>
      </c>
      <c r="BA147" s="32">
        <f t="shared" si="114"/>
        <v>0</v>
      </c>
      <c r="BB147" s="32">
        <f t="shared" si="115"/>
        <v>0</v>
      </c>
      <c r="BC147" s="32">
        <f t="shared" si="116"/>
        <v>1.693766937669377E-4</v>
      </c>
      <c r="BD147" s="32">
        <f t="shared" si="117"/>
        <v>1.693766937669377E-4</v>
      </c>
      <c r="BE147" s="32">
        <f t="shared" si="118"/>
        <v>1.693766937669377E-4</v>
      </c>
      <c r="BF147" s="32">
        <f t="shared" si="119"/>
        <v>5.0787201625190459E-4</v>
      </c>
      <c r="BG147" s="32">
        <f t="shared" si="120"/>
        <v>1.3530376687197882E-3</v>
      </c>
      <c r="BH147" s="41">
        <f t="shared" si="121"/>
        <v>2.0274601944321471E-3</v>
      </c>
      <c r="BI147" s="46">
        <f t="shared" si="124"/>
        <v>-1.1778852521245691</v>
      </c>
      <c r="BJ147" s="41" t="b">
        <f t="shared" si="125"/>
        <v>0</v>
      </c>
      <c r="BK147" s="41" t="b">
        <f t="shared" si="126"/>
        <v>1</v>
      </c>
      <c r="BL147" s="42" t="str">
        <f>_xlfn.XLOOKUP(AW147,'County Population Strata'!$A$3:$A$66,'County Population Strata'!$P$3:$P$66)</f>
        <v>Tiny</v>
      </c>
      <c r="BN147" t="s">
        <v>274</v>
      </c>
      <c r="BO147" s="37">
        <f>AVERAGE(BH143:BH207)</f>
        <v>1.2384924365277781E-2</v>
      </c>
    </row>
    <row r="148" spans="18:67" x14ac:dyDescent="0.2">
      <c r="R148" s="16" t="s">
        <v>149</v>
      </c>
      <c r="S148" s="26">
        <v>2111</v>
      </c>
      <c r="T148" s="26">
        <v>2116</v>
      </c>
      <c r="U148" s="26">
        <v>2118</v>
      </c>
      <c r="V148" s="26">
        <v>2122</v>
      </c>
      <c r="W148" s="26">
        <v>2124</v>
      </c>
      <c r="X148" s="26">
        <v>2124</v>
      </c>
      <c r="Y148" s="26">
        <v>2128</v>
      </c>
      <c r="Z148" s="26">
        <v>2130</v>
      </c>
      <c r="AA148" s="26">
        <v>2133</v>
      </c>
      <c r="AB148" s="26">
        <v>2135</v>
      </c>
      <c r="AC148" s="26">
        <v>2136</v>
      </c>
      <c r="AD148" s="26">
        <v>2143</v>
      </c>
      <c r="AE148" s="26">
        <v>2171</v>
      </c>
      <c r="AG148" s="16" t="s">
        <v>149</v>
      </c>
      <c r="AH148" s="29">
        <v>0</v>
      </c>
      <c r="AI148" s="29">
        <f t="shared" si="122"/>
        <v>2.3685457129322598E-3</v>
      </c>
      <c r="AJ148" s="29">
        <f t="shared" si="101"/>
        <v>9.4517958412098301E-4</v>
      </c>
      <c r="AK148" s="29">
        <f t="shared" si="102"/>
        <v>1.8885741265344666E-3</v>
      </c>
      <c r="AL148" s="29">
        <f t="shared" si="103"/>
        <v>9.42507068803016E-4</v>
      </c>
      <c r="AM148" s="29">
        <f t="shared" si="104"/>
        <v>0</v>
      </c>
      <c r="AN148" s="29">
        <f t="shared" si="105"/>
        <v>1.8832391713747645E-3</v>
      </c>
      <c r="AO148" s="29">
        <f t="shared" si="106"/>
        <v>9.3984962406015032E-4</v>
      </c>
      <c r="AP148" s="29">
        <f t="shared" si="107"/>
        <v>1.4084507042253522E-3</v>
      </c>
      <c r="AQ148" s="29">
        <f t="shared" si="108"/>
        <v>9.3764650726676048E-4</v>
      </c>
      <c r="AR148" s="29">
        <f t="shared" si="109"/>
        <v>4.6838407494145199E-4</v>
      </c>
      <c r="AS148" s="29">
        <f t="shared" si="110"/>
        <v>3.2771535580524347E-3</v>
      </c>
      <c r="AT148" s="29">
        <f t="shared" si="111"/>
        <v>1.3065795613625758E-2</v>
      </c>
      <c r="AW148" s="16" t="s">
        <v>149</v>
      </c>
      <c r="AX148" s="32">
        <f t="shared" si="123"/>
        <v>1.1045750990177476E-3</v>
      </c>
      <c r="AY148" s="32">
        <f t="shared" si="112"/>
        <v>1.7340998078625696E-3</v>
      </c>
      <c r="AZ148" s="32">
        <f t="shared" si="113"/>
        <v>1.2587535931528218E-3</v>
      </c>
      <c r="BA148" s="32">
        <f t="shared" si="114"/>
        <v>9.4369373177916082E-4</v>
      </c>
      <c r="BB148" s="32">
        <f t="shared" si="115"/>
        <v>9.4191541339259347E-4</v>
      </c>
      <c r="BC148" s="32">
        <f t="shared" si="116"/>
        <v>9.4102959847830491E-4</v>
      </c>
      <c r="BD148" s="32">
        <f t="shared" si="117"/>
        <v>1.4105131665534223E-3</v>
      </c>
      <c r="BE148" s="32">
        <f t="shared" si="118"/>
        <v>1.0953156118507542E-3</v>
      </c>
      <c r="BF148" s="32">
        <f t="shared" si="119"/>
        <v>9.3816042881118822E-4</v>
      </c>
      <c r="BG148" s="32">
        <f t="shared" si="120"/>
        <v>1.5610613800868822E-3</v>
      </c>
      <c r="BH148" s="41">
        <f t="shared" si="121"/>
        <v>5.6037777488732151E-3</v>
      </c>
      <c r="BI148" s="46">
        <f t="shared" si="124"/>
        <v>-0.77117453270468117</v>
      </c>
      <c r="BJ148" s="41" t="b">
        <f t="shared" si="125"/>
        <v>0</v>
      </c>
      <c r="BK148" s="41" t="b">
        <f t="shared" si="126"/>
        <v>0</v>
      </c>
      <c r="BL148" s="42" t="str">
        <f>_xlfn.XLOOKUP(AW148,'County Population Strata'!$A$3:$A$66,'County Population Strata'!$P$3:$P$66)</f>
        <v>Tiny</v>
      </c>
      <c r="BN148" t="s">
        <v>275</v>
      </c>
      <c r="BO148">
        <f>STDEV(BH143:BH207)</f>
        <v>8.7932709507685253E-3</v>
      </c>
    </row>
    <row r="149" spans="18:67" x14ac:dyDescent="0.2">
      <c r="R149" s="16" t="s">
        <v>150</v>
      </c>
      <c r="S149" s="26">
        <v>127213</v>
      </c>
      <c r="T149" s="26">
        <v>127865</v>
      </c>
      <c r="U149" s="26">
        <v>128405</v>
      </c>
      <c r="V149" s="26">
        <v>129616</v>
      </c>
      <c r="W149" s="26">
        <v>131002</v>
      </c>
      <c r="X149" s="26">
        <v>132127</v>
      </c>
      <c r="Y149" s="26">
        <v>133334</v>
      </c>
      <c r="Z149" s="26">
        <v>135024</v>
      </c>
      <c r="AA149" s="26">
        <v>136410</v>
      </c>
      <c r="AB149" s="26">
        <v>139591</v>
      </c>
      <c r="AC149" s="26">
        <v>141291</v>
      </c>
      <c r="AD149" s="26">
        <v>143362</v>
      </c>
      <c r="AE149" s="26">
        <v>144094</v>
      </c>
      <c r="AG149" s="16" t="s">
        <v>150</v>
      </c>
      <c r="AH149" s="29">
        <v>0</v>
      </c>
      <c r="AI149" s="29">
        <f t="shared" si="122"/>
        <v>5.1252623552624343E-3</v>
      </c>
      <c r="AJ149" s="29">
        <f t="shared" si="101"/>
        <v>4.2232041606381733E-3</v>
      </c>
      <c r="AK149" s="29">
        <f t="shared" si="102"/>
        <v>9.4310969199018733E-3</v>
      </c>
      <c r="AL149" s="29">
        <f t="shared" si="103"/>
        <v>1.069312430564128E-2</v>
      </c>
      <c r="AM149" s="29">
        <f t="shared" si="104"/>
        <v>8.5876551503030491E-3</v>
      </c>
      <c r="AN149" s="29">
        <f t="shared" si="105"/>
        <v>9.1351502720867037E-3</v>
      </c>
      <c r="AO149" s="29">
        <f t="shared" si="106"/>
        <v>1.2674936625316874E-2</v>
      </c>
      <c r="AP149" s="29">
        <f t="shared" si="107"/>
        <v>1.0264841805901172E-2</v>
      </c>
      <c r="AQ149" s="29">
        <f t="shared" si="108"/>
        <v>2.3319404735723189E-2</v>
      </c>
      <c r="AR149" s="29">
        <f t="shared" si="109"/>
        <v>1.2178435572493929E-2</v>
      </c>
      <c r="AS149" s="29">
        <f t="shared" si="110"/>
        <v>1.4657692280470801E-2</v>
      </c>
      <c r="AT149" s="29">
        <f t="shared" si="111"/>
        <v>5.1059555530754315E-3</v>
      </c>
      <c r="AW149" s="16" t="s">
        <v>150</v>
      </c>
      <c r="AX149" s="32">
        <f t="shared" si="123"/>
        <v>3.1161555053002021E-3</v>
      </c>
      <c r="AY149" s="32">
        <f t="shared" si="112"/>
        <v>6.259854478600827E-3</v>
      </c>
      <c r="AZ149" s="32">
        <f t="shared" si="113"/>
        <v>8.1158084620604424E-3</v>
      </c>
      <c r="BA149" s="32">
        <f t="shared" si="114"/>
        <v>9.5706254586154001E-3</v>
      </c>
      <c r="BB149" s="32">
        <f t="shared" si="115"/>
        <v>9.4719765760103436E-3</v>
      </c>
      <c r="BC149" s="32">
        <f t="shared" si="116"/>
        <v>1.0132580682568877E-2</v>
      </c>
      <c r="BD149" s="32">
        <f t="shared" si="117"/>
        <v>1.0691642901101583E-2</v>
      </c>
      <c r="BE149" s="32">
        <f t="shared" si="118"/>
        <v>1.5419727722313745E-2</v>
      </c>
      <c r="BF149" s="32">
        <f t="shared" si="119"/>
        <v>1.5254227371372763E-2</v>
      </c>
      <c r="BG149" s="32">
        <f t="shared" si="120"/>
        <v>1.6718510862895972E-2</v>
      </c>
      <c r="BH149" s="41">
        <f t="shared" si="121"/>
        <v>1.0647361135346719E-2</v>
      </c>
      <c r="BI149" s="46">
        <f t="shared" si="124"/>
        <v>-0.19760146590037689</v>
      </c>
      <c r="BJ149" s="41" t="b">
        <f t="shared" si="125"/>
        <v>0</v>
      </c>
      <c r="BK149" s="41" t="b">
        <f t="shared" si="126"/>
        <v>0</v>
      </c>
      <c r="BL149" s="42" t="str">
        <f>_xlfn.XLOOKUP(AW149,'County Population Strata'!$A$3:$A$66,'County Population Strata'!$P$3:$P$66)</f>
        <v>Small</v>
      </c>
    </row>
    <row r="150" spans="18:67" x14ac:dyDescent="0.2">
      <c r="R150" s="16" t="s">
        <v>151</v>
      </c>
      <c r="S150" s="26">
        <v>22685</v>
      </c>
      <c r="T150" s="26">
        <v>23056</v>
      </c>
      <c r="U150" s="26">
        <v>23426</v>
      </c>
      <c r="V150" s="26">
        <v>25541</v>
      </c>
      <c r="W150" s="26">
        <v>26564</v>
      </c>
      <c r="X150" s="26">
        <v>27750</v>
      </c>
      <c r="Y150" s="26">
        <v>28585</v>
      </c>
      <c r="Z150" s="26">
        <v>29498</v>
      </c>
      <c r="AA150" s="26">
        <v>30060</v>
      </c>
      <c r="AB150" s="26">
        <v>30982</v>
      </c>
      <c r="AC150" s="26">
        <v>31463</v>
      </c>
      <c r="AD150" s="26">
        <v>32231</v>
      </c>
      <c r="AE150" s="26">
        <v>33645</v>
      </c>
      <c r="AG150" s="16" t="s">
        <v>151</v>
      </c>
      <c r="AH150" s="29">
        <v>0</v>
      </c>
      <c r="AI150" s="29">
        <f t="shared" si="122"/>
        <v>1.6354419219748732E-2</v>
      </c>
      <c r="AJ150" s="29">
        <f t="shared" si="101"/>
        <v>1.6047883414295628E-2</v>
      </c>
      <c r="AK150" s="29">
        <f t="shared" si="102"/>
        <v>9.0284299496286177E-2</v>
      </c>
      <c r="AL150" s="29">
        <f t="shared" si="103"/>
        <v>4.0053247719353195E-2</v>
      </c>
      <c r="AM150" s="29">
        <f t="shared" si="104"/>
        <v>4.4646890528534856E-2</v>
      </c>
      <c r="AN150" s="29">
        <f t="shared" si="105"/>
        <v>3.0090090090090092E-2</v>
      </c>
      <c r="AO150" s="29">
        <f t="shared" si="106"/>
        <v>3.1939828581423822E-2</v>
      </c>
      <c r="AP150" s="29">
        <f t="shared" si="107"/>
        <v>1.9052139128076479E-2</v>
      </c>
      <c r="AQ150" s="29">
        <f t="shared" si="108"/>
        <v>3.0671989354624084E-2</v>
      </c>
      <c r="AR150" s="29">
        <f t="shared" si="109"/>
        <v>1.5525143631786198E-2</v>
      </c>
      <c r="AS150" s="29">
        <f t="shared" si="110"/>
        <v>2.4409624002796938E-2</v>
      </c>
      <c r="AT150" s="29">
        <f t="shared" si="111"/>
        <v>4.387080760758276E-2</v>
      </c>
      <c r="AW150" s="16" t="s">
        <v>151</v>
      </c>
      <c r="AX150" s="32">
        <f t="shared" si="123"/>
        <v>1.0800767544681454E-2</v>
      </c>
      <c r="AY150" s="32">
        <f t="shared" si="112"/>
        <v>4.089553404344351E-2</v>
      </c>
      <c r="AZ150" s="32">
        <f t="shared" si="113"/>
        <v>4.8795143543311666E-2</v>
      </c>
      <c r="BA150" s="32">
        <f t="shared" si="114"/>
        <v>5.8328145914724738E-2</v>
      </c>
      <c r="BB150" s="32">
        <f t="shared" si="115"/>
        <v>3.8263409445992713E-2</v>
      </c>
      <c r="BC150" s="32">
        <f t="shared" si="116"/>
        <v>3.5558936400016256E-2</v>
      </c>
      <c r="BD150" s="32">
        <f t="shared" si="117"/>
        <v>2.7027352599863465E-2</v>
      </c>
      <c r="BE150" s="32">
        <f t="shared" si="118"/>
        <v>2.7221319021374795E-2</v>
      </c>
      <c r="BF150" s="32">
        <f t="shared" si="119"/>
        <v>2.1749757371495589E-2</v>
      </c>
      <c r="BG150" s="32">
        <f t="shared" si="120"/>
        <v>2.3535585663069073E-2</v>
      </c>
      <c r="BH150" s="41">
        <f t="shared" si="121"/>
        <v>2.7935191747388632E-2</v>
      </c>
      <c r="BI150" s="46">
        <f t="shared" si="124"/>
        <v>1.7684280933879071</v>
      </c>
      <c r="BJ150" s="41" t="b">
        <f t="shared" si="125"/>
        <v>1</v>
      </c>
      <c r="BK150" s="41" t="b">
        <f t="shared" si="126"/>
        <v>0</v>
      </c>
      <c r="BL150" s="42" t="str">
        <f>_xlfn.XLOOKUP(AW150,'County Population Strata'!$A$3:$A$66,'County Population Strata'!$P$3:$P$66)</f>
        <v>Small</v>
      </c>
    </row>
    <row r="151" spans="18:67" x14ac:dyDescent="0.2">
      <c r="R151" s="16" t="s">
        <v>152</v>
      </c>
      <c r="S151" s="26">
        <v>10030</v>
      </c>
      <c r="T151" s="26">
        <v>10058</v>
      </c>
      <c r="U151" s="26">
        <v>10056</v>
      </c>
      <c r="V151" s="26">
        <v>10085</v>
      </c>
      <c r="W151" s="26">
        <v>10114</v>
      </c>
      <c r="X151" s="26">
        <v>10183</v>
      </c>
      <c r="Y151" s="26">
        <v>10286</v>
      </c>
      <c r="Z151" s="26">
        <v>10484</v>
      </c>
      <c r="AA151" s="26">
        <v>10673</v>
      </c>
      <c r="AB151" s="26">
        <v>10806</v>
      </c>
      <c r="AC151" s="26">
        <v>10993</v>
      </c>
      <c r="AD151" s="26">
        <v>11322</v>
      </c>
      <c r="AE151" s="26">
        <v>11903</v>
      </c>
      <c r="AG151" s="16" t="s">
        <v>152</v>
      </c>
      <c r="AH151" s="29">
        <v>0</v>
      </c>
      <c r="AI151" s="29">
        <f t="shared" si="122"/>
        <v>2.7916251246261218E-3</v>
      </c>
      <c r="AJ151" s="29">
        <f t="shared" si="101"/>
        <v>-1.9884668920262477E-4</v>
      </c>
      <c r="AK151" s="29">
        <f t="shared" si="102"/>
        <v>2.8838504375497216E-3</v>
      </c>
      <c r="AL151" s="29">
        <f t="shared" si="103"/>
        <v>2.8755577590480912E-3</v>
      </c>
      <c r="AM151" s="29">
        <f t="shared" si="104"/>
        <v>6.82222661657109E-3</v>
      </c>
      <c r="AN151" s="29">
        <f t="shared" si="105"/>
        <v>1.0114897377982913E-2</v>
      </c>
      <c r="AO151" s="29">
        <f t="shared" si="106"/>
        <v>1.924946529263076E-2</v>
      </c>
      <c r="AP151" s="29">
        <f t="shared" si="107"/>
        <v>1.8027470431133154E-2</v>
      </c>
      <c r="AQ151" s="29">
        <f t="shared" si="108"/>
        <v>1.2461351072800525E-2</v>
      </c>
      <c r="AR151" s="29">
        <f t="shared" si="109"/>
        <v>1.730520081436239E-2</v>
      </c>
      <c r="AS151" s="29">
        <f t="shared" si="110"/>
        <v>2.9928136086600565E-2</v>
      </c>
      <c r="AT151" s="29">
        <f t="shared" si="111"/>
        <v>5.13160219042572E-2</v>
      </c>
      <c r="AW151" s="16" t="s">
        <v>152</v>
      </c>
      <c r="AX151" s="32">
        <f t="shared" si="123"/>
        <v>8.642594784744991E-4</v>
      </c>
      <c r="AY151" s="32">
        <f t="shared" si="112"/>
        <v>1.8255429576577397E-3</v>
      </c>
      <c r="AZ151" s="32">
        <f t="shared" si="113"/>
        <v>1.8535205024650628E-3</v>
      </c>
      <c r="BA151" s="32">
        <f t="shared" si="114"/>
        <v>4.1938782710563014E-3</v>
      </c>
      <c r="BB151" s="32">
        <f t="shared" si="115"/>
        <v>6.604227251200699E-3</v>
      </c>
      <c r="BC151" s="32">
        <f t="shared" si="116"/>
        <v>1.2062196429061589E-2</v>
      </c>
      <c r="BD151" s="32">
        <f t="shared" si="117"/>
        <v>1.5797277700582275E-2</v>
      </c>
      <c r="BE151" s="32">
        <f t="shared" si="118"/>
        <v>1.6579428932188146E-2</v>
      </c>
      <c r="BF151" s="32">
        <f t="shared" si="119"/>
        <v>1.5931340772765357E-2</v>
      </c>
      <c r="BG151" s="32">
        <f t="shared" si="120"/>
        <v>1.9898229324587829E-2</v>
      </c>
      <c r="BH151" s="41">
        <f t="shared" si="121"/>
        <v>3.2849786268406719E-2</v>
      </c>
      <c r="BI151" s="46">
        <f t="shared" si="124"/>
        <v>2.3273321176734951</v>
      </c>
      <c r="BJ151" s="41" t="b">
        <f t="shared" si="125"/>
        <v>1</v>
      </c>
      <c r="BK151" s="41" t="b">
        <f t="shared" si="126"/>
        <v>0</v>
      </c>
      <c r="BL151" s="42" t="str">
        <f>_xlfn.XLOOKUP(AW151,'County Population Strata'!$A$3:$A$66,'County Population Strata'!$P$3:$P$66)</f>
        <v>Small</v>
      </c>
    </row>
    <row r="152" spans="18:67" x14ac:dyDescent="0.2">
      <c r="R152" s="16" t="s">
        <v>153</v>
      </c>
      <c r="S152" s="26">
        <v>868</v>
      </c>
      <c r="T152" s="26">
        <v>869</v>
      </c>
      <c r="U152" s="26">
        <v>869</v>
      </c>
      <c r="V152" s="26">
        <v>878</v>
      </c>
      <c r="W152" s="26">
        <v>879</v>
      </c>
      <c r="X152" s="26">
        <v>886</v>
      </c>
      <c r="Y152" s="26">
        <v>894</v>
      </c>
      <c r="Z152" s="26">
        <v>898</v>
      </c>
      <c r="AA152" s="26">
        <v>901</v>
      </c>
      <c r="AB152" s="26">
        <v>905</v>
      </c>
      <c r="AC152" s="26">
        <v>929</v>
      </c>
      <c r="AD152" s="26">
        <v>933</v>
      </c>
      <c r="AE152" s="26">
        <v>945</v>
      </c>
      <c r="AG152" s="16" t="s">
        <v>153</v>
      </c>
      <c r="AH152" s="29">
        <v>0</v>
      </c>
      <c r="AI152" s="29">
        <f t="shared" si="122"/>
        <v>1.152073732718894E-3</v>
      </c>
      <c r="AJ152" s="29">
        <f t="shared" si="101"/>
        <v>0</v>
      </c>
      <c r="AK152" s="29">
        <f t="shared" si="102"/>
        <v>1.0356731875719217E-2</v>
      </c>
      <c r="AL152" s="29">
        <f t="shared" si="103"/>
        <v>1.1389521640091116E-3</v>
      </c>
      <c r="AM152" s="29">
        <f t="shared" si="104"/>
        <v>7.9635949943117172E-3</v>
      </c>
      <c r="AN152" s="29">
        <f t="shared" si="105"/>
        <v>9.0293453724604959E-3</v>
      </c>
      <c r="AO152" s="29">
        <f t="shared" si="106"/>
        <v>4.4742729306487695E-3</v>
      </c>
      <c r="AP152" s="29">
        <f t="shared" si="107"/>
        <v>3.3407572383073497E-3</v>
      </c>
      <c r="AQ152" s="29">
        <f t="shared" si="108"/>
        <v>4.4395116537180911E-3</v>
      </c>
      <c r="AR152" s="29">
        <f t="shared" si="109"/>
        <v>2.6519337016574586E-2</v>
      </c>
      <c r="AS152" s="29">
        <f t="shared" si="110"/>
        <v>4.3057050592034442E-3</v>
      </c>
      <c r="AT152" s="29">
        <f t="shared" si="111"/>
        <v>1.2861736334405145E-2</v>
      </c>
      <c r="AW152" s="16" t="s">
        <v>153</v>
      </c>
      <c r="AX152" s="32">
        <f t="shared" si="123"/>
        <v>3.8402457757296467E-4</v>
      </c>
      <c r="AY152" s="32">
        <f t="shared" si="112"/>
        <v>3.8362685361460372E-3</v>
      </c>
      <c r="AZ152" s="32">
        <f t="shared" si="113"/>
        <v>3.8318946799094432E-3</v>
      </c>
      <c r="BA152" s="32">
        <f t="shared" si="114"/>
        <v>6.4864263446800146E-3</v>
      </c>
      <c r="BB152" s="32">
        <f t="shared" si="115"/>
        <v>6.0439641769271081E-3</v>
      </c>
      <c r="BC152" s="32">
        <f t="shared" si="116"/>
        <v>7.1557377658069939E-3</v>
      </c>
      <c r="BD152" s="32">
        <f t="shared" si="117"/>
        <v>5.6147918471388713E-3</v>
      </c>
      <c r="BE152" s="32">
        <f t="shared" si="118"/>
        <v>4.0848472742247366E-3</v>
      </c>
      <c r="BF152" s="32">
        <f t="shared" si="119"/>
        <v>1.1433201969533341E-2</v>
      </c>
      <c r="BG152" s="32">
        <f t="shared" si="120"/>
        <v>1.1754851243165373E-2</v>
      </c>
      <c r="BH152" s="41">
        <f t="shared" si="121"/>
        <v>1.4562259470061059E-2</v>
      </c>
      <c r="BI152" s="46">
        <f t="shared" si="124"/>
        <v>0.24761378524256447</v>
      </c>
      <c r="BJ152" s="41" t="b">
        <f t="shared" si="125"/>
        <v>0</v>
      </c>
      <c r="BK152" s="41" t="b">
        <f t="shared" si="126"/>
        <v>0</v>
      </c>
      <c r="BL152" s="42" t="str">
        <f>_xlfn.XLOOKUP(AW152,'County Population Strata'!$A$3:$A$66,'County Population Strata'!$P$3:$P$66)</f>
        <v>Tiny</v>
      </c>
    </row>
    <row r="153" spans="18:67" x14ac:dyDescent="0.2">
      <c r="R153" s="16" t="s">
        <v>154</v>
      </c>
      <c r="S153" s="26">
        <v>5472</v>
      </c>
      <c r="T153" s="26">
        <v>5485</v>
      </c>
      <c r="U153" s="26">
        <v>5501</v>
      </c>
      <c r="V153" s="26">
        <v>5496</v>
      </c>
      <c r="W153" s="26">
        <v>5535</v>
      </c>
      <c r="X153" s="26">
        <v>5544</v>
      </c>
      <c r="Y153" s="26">
        <v>5560</v>
      </c>
      <c r="Z153" s="26">
        <v>5572</v>
      </c>
      <c r="AA153" s="26">
        <v>5602</v>
      </c>
      <c r="AB153" s="26">
        <v>5634</v>
      </c>
      <c r="AC153" s="26">
        <v>5688</v>
      </c>
      <c r="AD153" s="26">
        <v>5771</v>
      </c>
      <c r="AE153" s="26">
        <v>5868</v>
      </c>
      <c r="AG153" s="16" t="s">
        <v>154</v>
      </c>
      <c r="AH153" s="29">
        <v>0</v>
      </c>
      <c r="AI153" s="29">
        <f t="shared" si="122"/>
        <v>2.3757309941520467E-3</v>
      </c>
      <c r="AJ153" s="29">
        <f t="shared" si="101"/>
        <v>2.9170464904284413E-3</v>
      </c>
      <c r="AK153" s="29">
        <f t="shared" si="102"/>
        <v>-9.0892564988183963E-4</v>
      </c>
      <c r="AL153" s="29">
        <f t="shared" si="103"/>
        <v>7.0960698689956333E-3</v>
      </c>
      <c r="AM153" s="29">
        <f t="shared" si="104"/>
        <v>1.6260162601626016E-3</v>
      </c>
      <c r="AN153" s="29">
        <f t="shared" si="105"/>
        <v>2.886002886002886E-3</v>
      </c>
      <c r="AO153" s="29">
        <f t="shared" si="106"/>
        <v>2.158273381294964E-3</v>
      </c>
      <c r="AP153" s="29">
        <f t="shared" si="107"/>
        <v>5.3840631730078968E-3</v>
      </c>
      <c r="AQ153" s="29">
        <f t="shared" si="108"/>
        <v>5.7122456265619424E-3</v>
      </c>
      <c r="AR153" s="29">
        <f t="shared" si="109"/>
        <v>9.5846645367412137E-3</v>
      </c>
      <c r="AS153" s="29">
        <f t="shared" si="110"/>
        <v>1.4592123769338959E-2</v>
      </c>
      <c r="AT153" s="29">
        <f t="shared" si="111"/>
        <v>1.6808178825160284E-2</v>
      </c>
      <c r="AW153" s="16" t="s">
        <v>154</v>
      </c>
      <c r="AX153" s="32">
        <f t="shared" si="123"/>
        <v>1.7642591615268292E-3</v>
      </c>
      <c r="AY153" s="32">
        <f t="shared" si="112"/>
        <v>1.4612839448995493E-3</v>
      </c>
      <c r="AZ153" s="32">
        <f t="shared" si="113"/>
        <v>3.0347302365140785E-3</v>
      </c>
      <c r="BA153" s="32">
        <f t="shared" si="114"/>
        <v>2.6043868264254652E-3</v>
      </c>
      <c r="BB153" s="32">
        <f t="shared" si="115"/>
        <v>3.8693630050537068E-3</v>
      </c>
      <c r="BC153" s="32">
        <f t="shared" si="116"/>
        <v>2.2234308424868171E-3</v>
      </c>
      <c r="BD153" s="32">
        <f t="shared" si="117"/>
        <v>3.4761131467685824E-3</v>
      </c>
      <c r="BE153" s="32">
        <f t="shared" si="118"/>
        <v>4.4181940602882677E-3</v>
      </c>
      <c r="BF153" s="32">
        <f t="shared" si="119"/>
        <v>6.8936577787703512E-3</v>
      </c>
      <c r="BG153" s="32">
        <f t="shared" si="120"/>
        <v>9.9630113108807056E-3</v>
      </c>
      <c r="BH153" s="41">
        <f t="shared" si="121"/>
        <v>1.3661655710413487E-2</v>
      </c>
      <c r="BI153" s="46">
        <f t="shared" si="124"/>
        <v>0.14519413222722549</v>
      </c>
      <c r="BJ153" s="41" t="b">
        <f t="shared" si="125"/>
        <v>0</v>
      </c>
      <c r="BK153" s="41" t="b">
        <f t="shared" si="126"/>
        <v>0</v>
      </c>
      <c r="BL153" s="42" t="str">
        <f>_xlfn.XLOOKUP(AW153,'County Population Strata'!$A$3:$A$66,'County Population Strata'!$P$3:$P$66)</f>
        <v>Tiny</v>
      </c>
    </row>
    <row r="154" spans="18:67" x14ac:dyDescent="0.2">
      <c r="R154" s="16" t="s">
        <v>143</v>
      </c>
      <c r="S154" s="26">
        <v>2205618</v>
      </c>
      <c r="T154" s="26">
        <v>2217639</v>
      </c>
      <c r="U154" s="26">
        <v>2230882</v>
      </c>
      <c r="V154" s="26">
        <v>2254094</v>
      </c>
      <c r="W154" s="26">
        <v>2281231</v>
      </c>
      <c r="X154" s="26">
        <v>2310630</v>
      </c>
      <c r="Y154" s="26">
        <v>2339866</v>
      </c>
      <c r="Z154" s="26">
        <v>2377152</v>
      </c>
      <c r="AA154" s="26">
        <v>2418599</v>
      </c>
      <c r="AB154" s="26">
        <v>2460839</v>
      </c>
      <c r="AC154" s="26">
        <v>2501178</v>
      </c>
      <c r="AD154" s="26">
        <v>2542505</v>
      </c>
      <c r="AE154" s="26">
        <v>2598686</v>
      </c>
      <c r="AG154" s="16" t="s">
        <v>143</v>
      </c>
      <c r="AH154" s="29">
        <v>0</v>
      </c>
      <c r="AI154" s="29">
        <f t="shared" si="122"/>
        <v>5.4501731487501459E-3</v>
      </c>
      <c r="AJ154" s="29">
        <f t="shared" si="101"/>
        <v>5.9716662630842979E-3</v>
      </c>
      <c r="AK154" s="29">
        <f t="shared" si="102"/>
        <v>1.0404853327069741E-2</v>
      </c>
      <c r="AL154" s="29">
        <f t="shared" si="103"/>
        <v>1.2038983289960401E-2</v>
      </c>
      <c r="AM154" s="29">
        <f t="shared" si="104"/>
        <v>1.2887340212367796E-2</v>
      </c>
      <c r="AN154" s="29">
        <f t="shared" si="105"/>
        <v>1.2652826285471928E-2</v>
      </c>
      <c r="AO154" s="29">
        <f t="shared" si="106"/>
        <v>1.5935100557040446E-2</v>
      </c>
      <c r="AP154" s="29">
        <f t="shared" si="107"/>
        <v>1.7435569959346309E-2</v>
      </c>
      <c r="AQ154" s="29">
        <f t="shared" si="108"/>
        <v>1.7464656191456294E-2</v>
      </c>
      <c r="AR154" s="29">
        <f t="shared" si="109"/>
        <v>1.6392376746304817E-2</v>
      </c>
      <c r="AS154" s="29">
        <f t="shared" si="110"/>
        <v>1.6523014355635624E-2</v>
      </c>
      <c r="AT154" s="29">
        <f t="shared" si="111"/>
        <v>2.2096711707548265E-2</v>
      </c>
      <c r="AW154" s="16" t="s">
        <v>143</v>
      </c>
      <c r="AX154" s="32">
        <f t="shared" ref="AX154:AX185" si="127">AVERAGE(AH154:AJ154)</f>
        <v>3.807279803944815E-3</v>
      </c>
      <c r="AY154" s="32">
        <f t="shared" ref="AY154:AY185" si="128">AVERAGE(AI154:AK154)</f>
        <v>7.2755642463013951E-3</v>
      </c>
      <c r="AZ154" s="32">
        <f t="shared" ref="AZ154:AZ185" si="129">AVERAGE(AJ154:AL154)</f>
        <v>9.47183429337148E-3</v>
      </c>
      <c r="BA154" s="32">
        <f t="shared" ref="BA154:BA185" si="130">AVERAGE(AK154:AM154)</f>
        <v>1.1777058943132647E-2</v>
      </c>
      <c r="BB154" s="32">
        <f t="shared" ref="BB154:BB185" si="131">AVERAGE(AL154:AN154)</f>
        <v>1.2526383262600041E-2</v>
      </c>
      <c r="BC154" s="32">
        <f t="shared" ref="BC154:BC185" si="132">AVERAGE(AM154:AO154)</f>
        <v>1.3825089018293388E-2</v>
      </c>
      <c r="BD154" s="32">
        <f t="shared" ref="BD154:BD185" si="133">AVERAGE(AN154:AP154)</f>
        <v>1.534116560061956E-2</v>
      </c>
      <c r="BE154" s="32">
        <f t="shared" ref="BE154:BE185" si="134">AVERAGE(AO154:AQ154)</f>
        <v>1.6945108902614348E-2</v>
      </c>
      <c r="BF154" s="32">
        <f t="shared" ref="BF154:BF185" si="135">AVERAGE(AP154:AR154)</f>
        <v>1.7097534299035804E-2</v>
      </c>
      <c r="BG154" s="32">
        <f t="shared" ref="BG154:BG185" si="136">AVERAGE(AQ154:AS154)</f>
        <v>1.679334909779891E-2</v>
      </c>
      <c r="BH154" s="41"/>
      <c r="BI154" s="46"/>
      <c r="BJ154" s="41" t="b">
        <f t="shared" si="125"/>
        <v>0</v>
      </c>
      <c r="BK154" s="41" t="b">
        <f t="shared" si="126"/>
        <v>0</v>
      </c>
      <c r="BL154" s="42"/>
    </row>
    <row r="155" spans="18:67" x14ac:dyDescent="0.2">
      <c r="R155" s="16" t="s">
        <v>155</v>
      </c>
      <c r="S155" s="26">
        <v>3810</v>
      </c>
      <c r="T155" s="26">
        <v>3828</v>
      </c>
      <c r="U155" s="26">
        <v>3842</v>
      </c>
      <c r="V155" s="26">
        <v>3856</v>
      </c>
      <c r="W155" s="26">
        <v>3871</v>
      </c>
      <c r="X155" s="26">
        <v>3885</v>
      </c>
      <c r="Y155" s="26">
        <v>3906</v>
      </c>
      <c r="Z155" s="26">
        <v>3926</v>
      </c>
      <c r="AA155" s="26">
        <v>3950</v>
      </c>
      <c r="AB155" s="26">
        <v>3978</v>
      </c>
      <c r="AC155" s="26">
        <v>4009</v>
      </c>
      <c r="AD155" s="26">
        <v>4062</v>
      </c>
      <c r="AE155" s="26">
        <v>4119</v>
      </c>
      <c r="AG155" s="16" t="s">
        <v>155</v>
      </c>
      <c r="AH155" s="29">
        <v>0</v>
      </c>
      <c r="AI155" s="29">
        <f t="shared" si="122"/>
        <v>4.7244094488188976E-3</v>
      </c>
      <c r="AJ155" s="29">
        <f t="shared" si="101"/>
        <v>3.6572622779519333E-3</v>
      </c>
      <c r="AK155" s="29">
        <f t="shared" si="102"/>
        <v>3.6439354502863092E-3</v>
      </c>
      <c r="AL155" s="29">
        <f t="shared" si="103"/>
        <v>3.8900414937759337E-3</v>
      </c>
      <c r="AM155" s="29">
        <f t="shared" si="104"/>
        <v>3.616636528028933E-3</v>
      </c>
      <c r="AN155" s="29">
        <f t="shared" si="105"/>
        <v>5.4054054054054057E-3</v>
      </c>
      <c r="AO155" s="29">
        <f t="shared" si="106"/>
        <v>5.1203277009728623E-3</v>
      </c>
      <c r="AP155" s="29">
        <f t="shared" si="107"/>
        <v>6.1130922058074376E-3</v>
      </c>
      <c r="AQ155" s="29">
        <f t="shared" si="108"/>
        <v>7.0886075949367086E-3</v>
      </c>
      <c r="AR155" s="29">
        <f t="shared" si="109"/>
        <v>7.7928607340372047E-3</v>
      </c>
      <c r="AS155" s="29">
        <f t="shared" si="110"/>
        <v>1.3220254427538039E-2</v>
      </c>
      <c r="AT155" s="29">
        <f t="shared" si="111"/>
        <v>1.4032496307237814E-2</v>
      </c>
      <c r="AW155" s="16" t="s">
        <v>155</v>
      </c>
      <c r="AX155" s="32">
        <f t="shared" si="127"/>
        <v>2.7938905755902771E-3</v>
      </c>
      <c r="AY155" s="32">
        <f t="shared" si="128"/>
        <v>4.0085357256857135E-3</v>
      </c>
      <c r="AZ155" s="32">
        <f t="shared" si="129"/>
        <v>3.7304130740047257E-3</v>
      </c>
      <c r="BA155" s="32">
        <f t="shared" si="130"/>
        <v>3.716871157363725E-3</v>
      </c>
      <c r="BB155" s="32">
        <f t="shared" si="131"/>
        <v>4.3040278090700906E-3</v>
      </c>
      <c r="BC155" s="32">
        <f t="shared" si="132"/>
        <v>4.7141232114690668E-3</v>
      </c>
      <c r="BD155" s="32">
        <f t="shared" si="133"/>
        <v>5.5462751040619013E-3</v>
      </c>
      <c r="BE155" s="32">
        <f t="shared" si="134"/>
        <v>6.1073425005723362E-3</v>
      </c>
      <c r="BF155" s="32">
        <f t="shared" si="135"/>
        <v>6.998186844927117E-3</v>
      </c>
      <c r="BG155" s="32">
        <f t="shared" si="136"/>
        <v>9.3672409188373176E-3</v>
      </c>
      <c r="BH155" s="41">
        <f t="shared" ref="BH155:BH186" si="137">AVERAGE(AR155:AT155)</f>
        <v>1.1681870489604354E-2</v>
      </c>
      <c r="BI155" s="46">
        <f t="shared" ref="BI155:BI186" si="138">(BH155-$BO$147)/$BO$148</f>
        <v>-7.9953623584404637E-2</v>
      </c>
      <c r="BJ155" s="41" t="b">
        <f t="shared" si="125"/>
        <v>0</v>
      </c>
      <c r="BK155" s="41" t="b">
        <f t="shared" si="126"/>
        <v>0</v>
      </c>
      <c r="BL155" s="42" t="str">
        <f>_xlfn.XLOOKUP(AW155,'County Population Strata'!$A$3:$A$66,'County Population Strata'!$P$3:$P$66)</f>
        <v>Tiny</v>
      </c>
    </row>
    <row r="156" spans="18:67" x14ac:dyDescent="0.2">
      <c r="R156" s="16" t="s">
        <v>156</v>
      </c>
      <c r="S156" s="26">
        <v>2241</v>
      </c>
      <c r="T156" s="26">
        <v>2301</v>
      </c>
      <c r="U156" s="26">
        <v>2305</v>
      </c>
      <c r="V156" s="26">
        <v>2310</v>
      </c>
      <c r="W156" s="26">
        <v>2310</v>
      </c>
      <c r="X156" s="26">
        <v>2310</v>
      </c>
      <c r="Y156" s="26">
        <v>2310</v>
      </c>
      <c r="Z156" s="26">
        <v>2311</v>
      </c>
      <c r="AA156" s="26">
        <v>2313</v>
      </c>
      <c r="AB156" s="26">
        <v>2374</v>
      </c>
      <c r="AC156" s="26">
        <v>2424</v>
      </c>
      <c r="AD156" s="26">
        <v>2424</v>
      </c>
      <c r="AE156" s="26">
        <v>2424</v>
      </c>
      <c r="AG156" s="16" t="s">
        <v>156</v>
      </c>
      <c r="AH156" s="29">
        <v>0</v>
      </c>
      <c r="AI156" s="29">
        <f t="shared" si="122"/>
        <v>2.677376171352075E-2</v>
      </c>
      <c r="AJ156" s="29">
        <f t="shared" si="101"/>
        <v>1.738374619730552E-3</v>
      </c>
      <c r="AK156" s="29">
        <f t="shared" si="102"/>
        <v>2.1691973969631237E-3</v>
      </c>
      <c r="AL156" s="29">
        <f t="shared" si="103"/>
        <v>0</v>
      </c>
      <c r="AM156" s="29">
        <f t="shared" si="104"/>
        <v>0</v>
      </c>
      <c r="AN156" s="29">
        <f t="shared" si="105"/>
        <v>0</v>
      </c>
      <c r="AO156" s="29">
        <f t="shared" si="106"/>
        <v>4.329004329004329E-4</v>
      </c>
      <c r="AP156" s="29">
        <f t="shared" si="107"/>
        <v>8.6542622241453913E-4</v>
      </c>
      <c r="AQ156" s="29">
        <f t="shared" si="108"/>
        <v>2.6372676178123649E-2</v>
      </c>
      <c r="AR156" s="29">
        <f t="shared" si="109"/>
        <v>2.1061499578770009E-2</v>
      </c>
      <c r="AS156" s="29">
        <f t="shared" si="110"/>
        <v>0</v>
      </c>
      <c r="AT156" s="29">
        <f t="shared" si="111"/>
        <v>0</v>
      </c>
      <c r="AW156" s="16" t="s">
        <v>156</v>
      </c>
      <c r="AX156" s="32">
        <f t="shared" si="127"/>
        <v>9.5040454444171012E-3</v>
      </c>
      <c r="AY156" s="32">
        <f t="shared" si="128"/>
        <v>1.0227111243404809E-2</v>
      </c>
      <c r="AZ156" s="32">
        <f t="shared" si="129"/>
        <v>1.3025240055645586E-3</v>
      </c>
      <c r="BA156" s="32">
        <f t="shared" si="130"/>
        <v>7.2306579898770787E-4</v>
      </c>
      <c r="BB156" s="32">
        <f t="shared" si="131"/>
        <v>0</v>
      </c>
      <c r="BC156" s="32">
        <f t="shared" si="132"/>
        <v>1.443001443001443E-4</v>
      </c>
      <c r="BD156" s="32">
        <f t="shared" si="133"/>
        <v>4.3277555177165732E-4</v>
      </c>
      <c r="BE156" s="32">
        <f t="shared" si="134"/>
        <v>9.2236676111462062E-3</v>
      </c>
      <c r="BF156" s="32">
        <f t="shared" si="135"/>
        <v>1.6099867326436066E-2</v>
      </c>
      <c r="BG156" s="32">
        <f t="shared" si="136"/>
        <v>1.5811391918964551E-2</v>
      </c>
      <c r="BH156" s="41">
        <f t="shared" si="137"/>
        <v>7.0204998595900028E-3</v>
      </c>
      <c r="BI156" s="46">
        <f t="shared" si="138"/>
        <v>-0.61006018530782691</v>
      </c>
      <c r="BJ156" s="41" t="b">
        <f t="shared" si="125"/>
        <v>0</v>
      </c>
      <c r="BK156" s="41" t="b">
        <f t="shared" si="126"/>
        <v>0</v>
      </c>
      <c r="BL156" s="42" t="str">
        <f>_xlfn.XLOOKUP(AW156,'County Population Strata'!$A$3:$A$66,'County Population Strata'!$P$3:$P$66)</f>
        <v>Tiny</v>
      </c>
    </row>
    <row r="157" spans="18:67" x14ac:dyDescent="0.2">
      <c r="R157" s="16" t="s">
        <v>157</v>
      </c>
      <c r="S157" s="26">
        <v>1479</v>
      </c>
      <c r="T157" s="26">
        <v>1483</v>
      </c>
      <c r="U157" s="26">
        <v>1485</v>
      </c>
      <c r="V157" s="26">
        <v>1485</v>
      </c>
      <c r="W157" s="26">
        <v>1488</v>
      </c>
      <c r="X157" s="26">
        <v>1495</v>
      </c>
      <c r="Y157" s="26">
        <v>1500</v>
      </c>
      <c r="Z157" s="26">
        <v>1504</v>
      </c>
      <c r="AA157" s="26">
        <v>1507</v>
      </c>
      <c r="AB157" s="26">
        <v>1508</v>
      </c>
      <c r="AC157" s="26">
        <v>1509</v>
      </c>
      <c r="AD157" s="26">
        <v>1521</v>
      </c>
      <c r="AE157" s="26">
        <v>1535</v>
      </c>
      <c r="AG157" s="16" t="s">
        <v>157</v>
      </c>
      <c r="AH157" s="29">
        <v>0</v>
      </c>
      <c r="AI157" s="29">
        <f t="shared" si="122"/>
        <v>2.7045300878972278E-3</v>
      </c>
      <c r="AJ157" s="29">
        <f t="shared" si="101"/>
        <v>1.3486176668914363E-3</v>
      </c>
      <c r="AK157" s="29">
        <f t="shared" si="102"/>
        <v>0</v>
      </c>
      <c r="AL157" s="29">
        <f t="shared" si="103"/>
        <v>2.0202020202020202E-3</v>
      </c>
      <c r="AM157" s="29">
        <f t="shared" si="104"/>
        <v>4.7043010752688174E-3</v>
      </c>
      <c r="AN157" s="29">
        <f t="shared" si="105"/>
        <v>3.3444816053511705E-3</v>
      </c>
      <c r="AO157" s="29">
        <f t="shared" si="106"/>
        <v>2.6666666666666666E-3</v>
      </c>
      <c r="AP157" s="29">
        <f t="shared" si="107"/>
        <v>1.9946808510638296E-3</v>
      </c>
      <c r="AQ157" s="29">
        <f t="shared" si="108"/>
        <v>6.6357000663570006E-4</v>
      </c>
      <c r="AR157" s="29">
        <f t="shared" si="109"/>
        <v>6.6312997347480103E-4</v>
      </c>
      <c r="AS157" s="29">
        <f t="shared" si="110"/>
        <v>7.9522862823061622E-3</v>
      </c>
      <c r="AT157" s="29">
        <f t="shared" si="111"/>
        <v>9.204470742932281E-3</v>
      </c>
      <c r="AW157" s="16" t="s">
        <v>157</v>
      </c>
      <c r="AX157" s="32">
        <f t="shared" si="127"/>
        <v>1.3510492515962213E-3</v>
      </c>
      <c r="AY157" s="32">
        <f t="shared" si="128"/>
        <v>1.3510492515962213E-3</v>
      </c>
      <c r="AZ157" s="32">
        <f t="shared" si="129"/>
        <v>1.1229398956978187E-3</v>
      </c>
      <c r="BA157" s="32">
        <f t="shared" si="130"/>
        <v>2.2415010318236127E-3</v>
      </c>
      <c r="BB157" s="32">
        <f t="shared" si="131"/>
        <v>3.3563282336073357E-3</v>
      </c>
      <c r="BC157" s="32">
        <f t="shared" si="132"/>
        <v>3.5718164490955513E-3</v>
      </c>
      <c r="BD157" s="32">
        <f t="shared" si="133"/>
        <v>2.6686097076938889E-3</v>
      </c>
      <c r="BE157" s="32">
        <f t="shared" si="134"/>
        <v>1.7749725081220656E-3</v>
      </c>
      <c r="BF157" s="32">
        <f t="shared" si="135"/>
        <v>1.1071269437247769E-3</v>
      </c>
      <c r="BG157" s="32">
        <f t="shared" si="136"/>
        <v>3.0929954208055548E-3</v>
      </c>
      <c r="BH157" s="41">
        <f t="shared" si="137"/>
        <v>5.939962332904415E-3</v>
      </c>
      <c r="BI157" s="46">
        <f t="shared" si="138"/>
        <v>-0.73294250438286346</v>
      </c>
      <c r="BJ157" s="41" t="b">
        <f t="shared" si="125"/>
        <v>0</v>
      </c>
      <c r="BK157" s="41" t="b">
        <f t="shared" si="126"/>
        <v>0</v>
      </c>
      <c r="BL157" s="42" t="str">
        <f>_xlfn.XLOOKUP(AW157,'County Population Strata'!$A$3:$A$66,'County Population Strata'!$P$3:$P$66)</f>
        <v>Tiny</v>
      </c>
    </row>
    <row r="158" spans="18:67" x14ac:dyDescent="0.2">
      <c r="R158" s="16" t="s">
        <v>158</v>
      </c>
      <c r="S158" s="26">
        <v>3593</v>
      </c>
      <c r="T158" s="26">
        <v>3656</v>
      </c>
      <c r="U158" s="26">
        <v>3722</v>
      </c>
      <c r="V158" s="26">
        <v>3775</v>
      </c>
      <c r="W158" s="26">
        <v>3821</v>
      </c>
      <c r="X158" s="26">
        <v>3863</v>
      </c>
      <c r="Y158" s="26">
        <v>3905</v>
      </c>
      <c r="Z158" s="26">
        <v>3964</v>
      </c>
      <c r="AA158" s="26">
        <v>4036</v>
      </c>
      <c r="AB158" s="26">
        <v>4110</v>
      </c>
      <c r="AC158" s="26">
        <v>4198</v>
      </c>
      <c r="AD158" s="26">
        <v>4326</v>
      </c>
      <c r="AE158" s="26">
        <v>4470</v>
      </c>
      <c r="AG158" s="16" t="s">
        <v>158</v>
      </c>
      <c r="AH158" s="29">
        <v>0</v>
      </c>
      <c r="AI158" s="29">
        <f t="shared" si="122"/>
        <v>1.753409407180629E-2</v>
      </c>
      <c r="AJ158" s="29">
        <f t="shared" si="101"/>
        <v>1.8052516411378557E-2</v>
      </c>
      <c r="AK158" s="29">
        <f t="shared" si="102"/>
        <v>1.4239656098871574E-2</v>
      </c>
      <c r="AL158" s="29">
        <f t="shared" si="103"/>
        <v>1.2185430463576159E-2</v>
      </c>
      <c r="AM158" s="29">
        <f t="shared" si="104"/>
        <v>1.0991886940591469E-2</v>
      </c>
      <c r="AN158" s="29">
        <f t="shared" si="105"/>
        <v>1.0872378980067305E-2</v>
      </c>
      <c r="AO158" s="29">
        <f t="shared" si="106"/>
        <v>1.5108834827144686E-2</v>
      </c>
      <c r="AP158" s="29">
        <f t="shared" si="107"/>
        <v>1.8163471241170535E-2</v>
      </c>
      <c r="AQ158" s="29">
        <f t="shared" si="108"/>
        <v>1.8334985133795837E-2</v>
      </c>
      <c r="AR158" s="29">
        <f t="shared" si="109"/>
        <v>2.1411192214111922E-2</v>
      </c>
      <c r="AS158" s="29">
        <f t="shared" si="110"/>
        <v>3.049070986183897E-2</v>
      </c>
      <c r="AT158" s="29">
        <f t="shared" si="111"/>
        <v>3.3287101248266296E-2</v>
      </c>
      <c r="AW158" s="16" t="s">
        <v>158</v>
      </c>
      <c r="AX158" s="32">
        <f t="shared" si="127"/>
        <v>1.1862203494394949E-2</v>
      </c>
      <c r="AY158" s="32">
        <f t="shared" si="128"/>
        <v>1.660875552735214E-2</v>
      </c>
      <c r="AZ158" s="32">
        <f t="shared" si="129"/>
        <v>1.4825867657942096E-2</v>
      </c>
      <c r="BA158" s="32">
        <f t="shared" si="130"/>
        <v>1.2472324501013066E-2</v>
      </c>
      <c r="BB158" s="32">
        <f t="shared" si="131"/>
        <v>1.1349898794744977E-2</v>
      </c>
      <c r="BC158" s="32">
        <f t="shared" si="132"/>
        <v>1.2324366915934486E-2</v>
      </c>
      <c r="BD158" s="32">
        <f t="shared" si="133"/>
        <v>1.4714895016127508E-2</v>
      </c>
      <c r="BE158" s="32">
        <f t="shared" si="134"/>
        <v>1.7202430400703687E-2</v>
      </c>
      <c r="BF158" s="32">
        <f t="shared" si="135"/>
        <v>1.930321619635943E-2</v>
      </c>
      <c r="BG158" s="32">
        <f t="shared" si="136"/>
        <v>2.3412295736582243E-2</v>
      </c>
      <c r="BH158" s="41">
        <f t="shared" si="137"/>
        <v>2.839633444140573E-2</v>
      </c>
      <c r="BI158" s="46">
        <f t="shared" si="138"/>
        <v>1.8208707733188367</v>
      </c>
      <c r="BJ158" s="41" t="b">
        <f t="shared" si="125"/>
        <v>1</v>
      </c>
      <c r="BK158" s="41" t="b">
        <f t="shared" si="126"/>
        <v>0</v>
      </c>
      <c r="BL158" s="42" t="str">
        <f>_xlfn.XLOOKUP(AW158,'County Population Strata'!$A$3:$A$66,'County Population Strata'!$P$3:$P$66)</f>
        <v>Tiny</v>
      </c>
    </row>
    <row r="159" spans="18:67" x14ac:dyDescent="0.2">
      <c r="R159" s="16" t="s">
        <v>159</v>
      </c>
      <c r="S159" s="26">
        <v>14575</v>
      </c>
      <c r="T159" s="26">
        <v>14577</v>
      </c>
      <c r="U159" s="26">
        <v>14616</v>
      </c>
      <c r="V159" s="26">
        <v>14616</v>
      </c>
      <c r="W159" s="26">
        <v>14623</v>
      </c>
      <c r="X159" s="26">
        <v>14673</v>
      </c>
      <c r="Y159" s="26">
        <v>14658</v>
      </c>
      <c r="Z159" s="26">
        <v>14660</v>
      </c>
      <c r="AA159" s="26">
        <v>14694</v>
      </c>
      <c r="AB159" s="26">
        <v>14728</v>
      </c>
      <c r="AC159" s="26">
        <v>14794</v>
      </c>
      <c r="AD159" s="26">
        <v>14860</v>
      </c>
      <c r="AE159" s="26">
        <v>15081</v>
      </c>
      <c r="AG159" s="16" t="s">
        <v>159</v>
      </c>
      <c r="AH159" s="29">
        <v>0</v>
      </c>
      <c r="AI159" s="29">
        <f t="shared" si="122"/>
        <v>1.37221269296741E-4</v>
      </c>
      <c r="AJ159" s="29">
        <f t="shared" si="101"/>
        <v>2.6754476229676888E-3</v>
      </c>
      <c r="AK159" s="29">
        <f t="shared" si="102"/>
        <v>0</v>
      </c>
      <c r="AL159" s="29">
        <f t="shared" si="103"/>
        <v>4.7892720306513407E-4</v>
      </c>
      <c r="AM159" s="29">
        <f t="shared" si="104"/>
        <v>3.4192710114203653E-3</v>
      </c>
      <c r="AN159" s="29">
        <f t="shared" si="105"/>
        <v>-1.0222858311183807E-3</v>
      </c>
      <c r="AO159" s="29">
        <f t="shared" si="106"/>
        <v>1.3644426251876109E-4</v>
      </c>
      <c r="AP159" s="29">
        <f t="shared" si="107"/>
        <v>2.3192360163710778E-3</v>
      </c>
      <c r="AQ159" s="29">
        <f t="shared" si="108"/>
        <v>2.3138696066421667E-3</v>
      </c>
      <c r="AR159" s="29">
        <f t="shared" si="109"/>
        <v>4.4812601846822382E-3</v>
      </c>
      <c r="AS159" s="29">
        <f t="shared" si="110"/>
        <v>4.4612680816547247E-3</v>
      </c>
      <c r="AT159" s="29">
        <f t="shared" si="111"/>
        <v>1.4872139973082099E-2</v>
      </c>
      <c r="AW159" s="16" t="s">
        <v>159</v>
      </c>
      <c r="AX159" s="32">
        <f t="shared" si="127"/>
        <v>9.3755629742147664E-4</v>
      </c>
      <c r="AY159" s="32">
        <f t="shared" si="128"/>
        <v>9.3755629742147664E-4</v>
      </c>
      <c r="AZ159" s="32">
        <f t="shared" si="129"/>
        <v>1.0514582753442744E-3</v>
      </c>
      <c r="BA159" s="32">
        <f t="shared" si="130"/>
        <v>1.2993994048284998E-3</v>
      </c>
      <c r="BB159" s="32">
        <f t="shared" si="131"/>
        <v>9.5863746112237296E-4</v>
      </c>
      <c r="BC159" s="32">
        <f t="shared" si="132"/>
        <v>8.4447648094024849E-4</v>
      </c>
      <c r="BD159" s="32">
        <f t="shared" si="133"/>
        <v>4.7779814925715268E-4</v>
      </c>
      <c r="BE159" s="32">
        <f t="shared" si="134"/>
        <v>1.5898499618440017E-3</v>
      </c>
      <c r="BF159" s="32">
        <f t="shared" si="135"/>
        <v>3.0381219358984941E-3</v>
      </c>
      <c r="BG159" s="32">
        <f t="shared" si="136"/>
        <v>3.7521326243263767E-3</v>
      </c>
      <c r="BH159" s="41">
        <f t="shared" si="137"/>
        <v>7.9382227464730205E-3</v>
      </c>
      <c r="BI159" s="46">
        <f t="shared" si="138"/>
        <v>-0.50569368824193017</v>
      </c>
      <c r="BJ159" s="41" t="b">
        <f t="shared" si="125"/>
        <v>0</v>
      </c>
      <c r="BK159" s="41" t="b">
        <f t="shared" si="126"/>
        <v>0</v>
      </c>
      <c r="BL159" s="42" t="str">
        <f>_xlfn.XLOOKUP(AW159,'County Population Strata'!$A$3:$A$66,'County Population Strata'!$P$3:$P$66)</f>
        <v>Small</v>
      </c>
    </row>
    <row r="160" spans="18:67" x14ac:dyDescent="0.2">
      <c r="R160" s="16" t="s">
        <v>160</v>
      </c>
      <c r="S160" s="26">
        <v>287392</v>
      </c>
      <c r="T160" s="26">
        <v>288388</v>
      </c>
      <c r="U160" s="26">
        <v>290342</v>
      </c>
      <c r="V160" s="26">
        <v>295120</v>
      </c>
      <c r="W160" s="26">
        <v>300889</v>
      </c>
      <c r="X160" s="26">
        <v>306476</v>
      </c>
      <c r="Y160" s="26">
        <v>314369</v>
      </c>
      <c r="Z160" s="26">
        <v>321058</v>
      </c>
      <c r="AA160" s="26">
        <v>331306</v>
      </c>
      <c r="AB160" s="26">
        <v>338605</v>
      </c>
      <c r="AC160" s="26">
        <v>347042</v>
      </c>
      <c r="AD160" s="26">
        <v>352130</v>
      </c>
      <c r="AE160" s="26">
        <v>360938</v>
      </c>
      <c r="AG160" s="16" t="s">
        <v>160</v>
      </c>
      <c r="AH160" s="29">
        <v>0</v>
      </c>
      <c r="AI160" s="29">
        <f t="shared" si="122"/>
        <v>3.4656497049326356E-3</v>
      </c>
      <c r="AJ160" s="29">
        <f t="shared" si="101"/>
        <v>6.7755939914282146E-3</v>
      </c>
      <c r="AK160" s="29">
        <f t="shared" si="102"/>
        <v>1.6456454801578826E-2</v>
      </c>
      <c r="AL160" s="29">
        <f t="shared" si="103"/>
        <v>1.9547980482515586E-2</v>
      </c>
      <c r="AM160" s="29">
        <f t="shared" si="104"/>
        <v>1.8568309243608108E-2</v>
      </c>
      <c r="AN160" s="29">
        <f t="shared" si="105"/>
        <v>2.5754055782508254E-2</v>
      </c>
      <c r="AO160" s="29">
        <f t="shared" si="106"/>
        <v>2.1277543269215476E-2</v>
      </c>
      <c r="AP160" s="29">
        <f t="shared" si="107"/>
        <v>3.1919466264662459E-2</v>
      </c>
      <c r="AQ160" s="29">
        <f t="shared" si="108"/>
        <v>2.2030992496362881E-2</v>
      </c>
      <c r="AR160" s="29">
        <f t="shared" si="109"/>
        <v>2.4916938615791261E-2</v>
      </c>
      <c r="AS160" s="29">
        <f t="shared" si="110"/>
        <v>1.466104967122135E-2</v>
      </c>
      <c r="AT160" s="29">
        <f t="shared" si="111"/>
        <v>2.5013489336324652E-2</v>
      </c>
      <c r="AW160" s="16" t="s">
        <v>160</v>
      </c>
      <c r="AX160" s="32">
        <f t="shared" si="127"/>
        <v>3.4137478987869498E-3</v>
      </c>
      <c r="AY160" s="32">
        <f t="shared" si="128"/>
        <v>8.8992328326465576E-3</v>
      </c>
      <c r="AZ160" s="32">
        <f t="shared" si="129"/>
        <v>1.4260009758507544E-2</v>
      </c>
      <c r="BA160" s="32">
        <f t="shared" si="130"/>
        <v>1.8190914842567508E-2</v>
      </c>
      <c r="BB160" s="32">
        <f t="shared" si="131"/>
        <v>2.1290115169543985E-2</v>
      </c>
      <c r="BC160" s="32">
        <f t="shared" si="132"/>
        <v>2.1866636098443946E-2</v>
      </c>
      <c r="BD160" s="32">
        <f t="shared" si="133"/>
        <v>2.6317021772128728E-2</v>
      </c>
      <c r="BE160" s="32">
        <f t="shared" si="134"/>
        <v>2.5076000676746937E-2</v>
      </c>
      <c r="BF160" s="32">
        <f t="shared" si="135"/>
        <v>2.6289132458938866E-2</v>
      </c>
      <c r="BG160" s="32">
        <f t="shared" si="136"/>
        <v>2.0536326927791834E-2</v>
      </c>
      <c r="BH160" s="41">
        <f t="shared" si="137"/>
        <v>2.1530492541112421E-2</v>
      </c>
      <c r="BI160" s="46">
        <f t="shared" si="138"/>
        <v>1.0400644114162461</v>
      </c>
      <c r="BJ160" s="41" t="b">
        <f t="shared" si="125"/>
        <v>1</v>
      </c>
      <c r="BK160" s="41" t="b">
        <f t="shared" si="126"/>
        <v>0</v>
      </c>
      <c r="BL160" s="42" t="str">
        <f>_xlfn.XLOOKUP(AW160,'County Population Strata'!$A$3:$A$66,'County Population Strata'!$P$3:$P$66)</f>
        <v>Large</v>
      </c>
    </row>
    <row r="161" spans="18:64" x14ac:dyDescent="0.2">
      <c r="R161" s="16" t="s">
        <v>161</v>
      </c>
      <c r="S161" s="26">
        <v>1060</v>
      </c>
      <c r="T161" s="26">
        <v>1096</v>
      </c>
      <c r="U161" s="26">
        <v>1156</v>
      </c>
      <c r="V161" s="26">
        <v>1186</v>
      </c>
      <c r="W161" s="26">
        <v>1212</v>
      </c>
      <c r="X161" s="26">
        <v>1243</v>
      </c>
      <c r="Y161" s="26">
        <v>1267</v>
      </c>
      <c r="Z161" s="26">
        <v>1287</v>
      </c>
      <c r="AA161" s="26">
        <v>1317</v>
      </c>
      <c r="AB161" s="26">
        <v>1318</v>
      </c>
      <c r="AC161" s="26">
        <v>1321</v>
      </c>
      <c r="AD161" s="26">
        <v>1337</v>
      </c>
      <c r="AE161" s="26">
        <v>1357</v>
      </c>
      <c r="AG161" s="16" t="s">
        <v>161</v>
      </c>
      <c r="AH161" s="29">
        <v>0</v>
      </c>
      <c r="AI161" s="29">
        <f t="shared" si="122"/>
        <v>3.3962264150943396E-2</v>
      </c>
      <c r="AJ161" s="29">
        <f t="shared" si="101"/>
        <v>5.4744525547445258E-2</v>
      </c>
      <c r="AK161" s="29">
        <f t="shared" si="102"/>
        <v>2.5951557093425604E-2</v>
      </c>
      <c r="AL161" s="29">
        <f t="shared" si="103"/>
        <v>2.1922428330522766E-2</v>
      </c>
      <c r="AM161" s="29">
        <f t="shared" si="104"/>
        <v>2.5577557755775578E-2</v>
      </c>
      <c r="AN161" s="29">
        <f t="shared" si="105"/>
        <v>1.9308125502815767E-2</v>
      </c>
      <c r="AO161" s="29">
        <f t="shared" si="106"/>
        <v>1.5785319652722968E-2</v>
      </c>
      <c r="AP161" s="29">
        <f t="shared" si="107"/>
        <v>2.3310023310023312E-2</v>
      </c>
      <c r="AQ161" s="29">
        <f t="shared" si="108"/>
        <v>7.5930144267274111E-4</v>
      </c>
      <c r="AR161" s="29">
        <f t="shared" si="109"/>
        <v>2.276176024279211E-3</v>
      </c>
      <c r="AS161" s="29">
        <f t="shared" si="110"/>
        <v>1.2112036336109008E-2</v>
      </c>
      <c r="AT161" s="29">
        <f t="shared" si="111"/>
        <v>1.4958863126402393E-2</v>
      </c>
      <c r="AW161" s="16" t="s">
        <v>161</v>
      </c>
      <c r="AX161" s="32">
        <f t="shared" si="127"/>
        <v>2.9568929899462887E-2</v>
      </c>
      <c r="AY161" s="32">
        <f t="shared" si="128"/>
        <v>3.8219448930604756E-2</v>
      </c>
      <c r="AZ161" s="32">
        <f t="shared" si="129"/>
        <v>3.4206170323797878E-2</v>
      </c>
      <c r="BA161" s="32">
        <f t="shared" si="130"/>
        <v>2.4483847726574651E-2</v>
      </c>
      <c r="BB161" s="32">
        <f t="shared" si="131"/>
        <v>2.2269370529704704E-2</v>
      </c>
      <c r="BC161" s="32">
        <f t="shared" si="132"/>
        <v>2.0223667637104772E-2</v>
      </c>
      <c r="BD161" s="32">
        <f t="shared" si="133"/>
        <v>1.9467822821854015E-2</v>
      </c>
      <c r="BE161" s="32">
        <f t="shared" si="134"/>
        <v>1.3284881468473007E-2</v>
      </c>
      <c r="BF161" s="32">
        <f t="shared" si="135"/>
        <v>8.7818335923250893E-3</v>
      </c>
      <c r="BG161" s="32">
        <f t="shared" si="136"/>
        <v>5.0491712676869862E-3</v>
      </c>
      <c r="BH161" s="41">
        <f t="shared" si="137"/>
        <v>9.7823584955968722E-3</v>
      </c>
      <c r="BI161" s="46">
        <f t="shared" si="138"/>
        <v>-0.29597244122830607</v>
      </c>
      <c r="BJ161" s="41" t="b">
        <f t="shared" si="125"/>
        <v>0</v>
      </c>
      <c r="BK161" s="41" t="b">
        <f t="shared" si="126"/>
        <v>0</v>
      </c>
      <c r="BL161" s="42" t="str">
        <f>_xlfn.XLOOKUP(AW161,'County Population Strata'!$A$3:$A$66,'County Population Strata'!$P$3:$P$66)</f>
        <v>Tiny</v>
      </c>
    </row>
    <row r="162" spans="18:64" x14ac:dyDescent="0.2">
      <c r="R162" s="16" t="s">
        <v>162</v>
      </c>
      <c r="S162" s="26">
        <v>107260</v>
      </c>
      <c r="T162" s="26">
        <v>108031</v>
      </c>
      <c r="U162" s="26">
        <v>109233</v>
      </c>
      <c r="V162" s="26">
        <v>111597</v>
      </c>
      <c r="W162" s="26">
        <v>114036</v>
      </c>
      <c r="X162" s="26">
        <v>117377</v>
      </c>
      <c r="Y162" s="26">
        <v>119437</v>
      </c>
      <c r="Z162" s="26">
        <v>122812</v>
      </c>
      <c r="AA162" s="26">
        <v>128333</v>
      </c>
      <c r="AB162" s="26">
        <v>132630</v>
      </c>
      <c r="AC162" s="26">
        <v>136477</v>
      </c>
      <c r="AD162" s="26">
        <v>140356</v>
      </c>
      <c r="AE162" s="26">
        <v>145974</v>
      </c>
      <c r="AG162" s="16" t="s">
        <v>162</v>
      </c>
      <c r="AH162" s="29">
        <v>0</v>
      </c>
      <c r="AI162" s="29">
        <f t="shared" si="122"/>
        <v>7.1881409658773078E-3</v>
      </c>
      <c r="AJ162" s="29">
        <f t="shared" si="101"/>
        <v>1.1126435930427378E-2</v>
      </c>
      <c r="AK162" s="29">
        <f t="shared" si="102"/>
        <v>2.1641811540468538E-2</v>
      </c>
      <c r="AL162" s="29">
        <f t="shared" si="103"/>
        <v>2.1855426221134976E-2</v>
      </c>
      <c r="AM162" s="29">
        <f t="shared" si="104"/>
        <v>2.9297765617875057E-2</v>
      </c>
      <c r="AN162" s="29">
        <f t="shared" si="105"/>
        <v>1.7550286683081014E-2</v>
      </c>
      <c r="AO162" s="29">
        <f t="shared" si="106"/>
        <v>2.8257575123286752E-2</v>
      </c>
      <c r="AP162" s="29">
        <f t="shared" si="107"/>
        <v>4.4954890401589419E-2</v>
      </c>
      <c r="AQ162" s="29">
        <f t="shared" si="108"/>
        <v>3.3483203852477536E-2</v>
      </c>
      <c r="AR162" s="29">
        <f t="shared" si="109"/>
        <v>2.900550403377818E-2</v>
      </c>
      <c r="AS162" s="29">
        <f t="shared" si="110"/>
        <v>2.8422371535130463E-2</v>
      </c>
      <c r="AT162" s="29">
        <f t="shared" si="111"/>
        <v>4.0026789022200693E-2</v>
      </c>
      <c r="AW162" s="16" t="s">
        <v>162</v>
      </c>
      <c r="AX162" s="32">
        <f t="shared" si="127"/>
        <v>6.1048589654348956E-3</v>
      </c>
      <c r="AY162" s="32">
        <f t="shared" si="128"/>
        <v>1.3318796145591075E-2</v>
      </c>
      <c r="AZ162" s="32">
        <f t="shared" si="129"/>
        <v>1.8207891230676964E-2</v>
      </c>
      <c r="BA162" s="32">
        <f t="shared" si="130"/>
        <v>2.4265001126492856E-2</v>
      </c>
      <c r="BB162" s="32">
        <f t="shared" si="131"/>
        <v>2.2901159507363683E-2</v>
      </c>
      <c r="BC162" s="32">
        <f t="shared" si="132"/>
        <v>2.5035209141414272E-2</v>
      </c>
      <c r="BD162" s="32">
        <f t="shared" si="133"/>
        <v>3.0254250735985727E-2</v>
      </c>
      <c r="BE162" s="32">
        <f t="shared" si="134"/>
        <v>3.556522312578457E-2</v>
      </c>
      <c r="BF162" s="32">
        <f t="shared" si="135"/>
        <v>3.5814532762615044E-2</v>
      </c>
      <c r="BG162" s="32">
        <f t="shared" si="136"/>
        <v>3.0303693140462062E-2</v>
      </c>
      <c r="BH162" s="41">
        <f t="shared" si="137"/>
        <v>3.2484888197036446E-2</v>
      </c>
      <c r="BI162" s="46">
        <f t="shared" si="138"/>
        <v>2.2858346961322678</v>
      </c>
      <c r="BJ162" s="41" t="b">
        <f t="shared" si="125"/>
        <v>1</v>
      </c>
      <c r="BK162" s="41" t="b">
        <f t="shared" si="126"/>
        <v>0</v>
      </c>
      <c r="BL162" s="42" t="str">
        <f>_xlfn.XLOOKUP(AW162,'County Population Strata'!$A$3:$A$66,'County Population Strata'!$P$3:$P$66)</f>
        <v>Medium</v>
      </c>
    </row>
    <row r="163" spans="18:64" x14ac:dyDescent="0.2">
      <c r="R163" s="16" t="s">
        <v>163</v>
      </c>
      <c r="S163" s="26">
        <v>30810</v>
      </c>
      <c r="T163" s="26">
        <v>30875</v>
      </c>
      <c r="U163" s="26">
        <v>30927</v>
      </c>
      <c r="V163" s="26">
        <v>31014</v>
      </c>
      <c r="W163" s="26">
        <v>31120</v>
      </c>
      <c r="X163" s="26">
        <v>31363</v>
      </c>
      <c r="Y163" s="26">
        <v>31539</v>
      </c>
      <c r="Z163" s="26">
        <v>31951</v>
      </c>
      <c r="AA163" s="26">
        <v>32251</v>
      </c>
      <c r="AB163" s="26">
        <v>32626</v>
      </c>
      <c r="AC163" s="26">
        <v>33102</v>
      </c>
      <c r="AD163" s="26">
        <v>33694</v>
      </c>
      <c r="AE163" s="26">
        <v>34333</v>
      </c>
      <c r="AG163" s="16" t="s">
        <v>163</v>
      </c>
      <c r="AH163" s="29">
        <v>0</v>
      </c>
      <c r="AI163" s="29">
        <f t="shared" si="122"/>
        <v>2.1097046413502108E-3</v>
      </c>
      <c r="AJ163" s="29">
        <f t="shared" si="101"/>
        <v>1.6842105263157896E-3</v>
      </c>
      <c r="AK163" s="29">
        <f t="shared" si="102"/>
        <v>2.8130759530507325E-3</v>
      </c>
      <c r="AL163" s="29">
        <f t="shared" si="103"/>
        <v>3.4178113110208295E-3</v>
      </c>
      <c r="AM163" s="29">
        <f t="shared" si="104"/>
        <v>7.8084832904884317E-3</v>
      </c>
      <c r="AN163" s="29">
        <f t="shared" si="105"/>
        <v>5.6117080636418713E-3</v>
      </c>
      <c r="AO163" s="29">
        <f t="shared" si="106"/>
        <v>1.3063191604045784E-2</v>
      </c>
      <c r="AP163" s="29">
        <f t="shared" si="107"/>
        <v>9.3893774842727928E-3</v>
      </c>
      <c r="AQ163" s="29">
        <f t="shared" si="108"/>
        <v>1.1627546432668754E-2</v>
      </c>
      <c r="AR163" s="29">
        <f t="shared" si="109"/>
        <v>1.4589591123643719E-2</v>
      </c>
      <c r="AS163" s="29">
        <f t="shared" si="110"/>
        <v>1.7884115763397983E-2</v>
      </c>
      <c r="AT163" s="29">
        <f t="shared" si="111"/>
        <v>1.8964800854751589E-2</v>
      </c>
      <c r="AW163" s="16" t="s">
        <v>163</v>
      </c>
      <c r="AX163" s="32">
        <f t="shared" si="127"/>
        <v>1.2646383892220001E-3</v>
      </c>
      <c r="AY163" s="32">
        <f t="shared" si="128"/>
        <v>2.2023303735722445E-3</v>
      </c>
      <c r="AZ163" s="32">
        <f t="shared" si="129"/>
        <v>2.6383659301291175E-3</v>
      </c>
      <c r="BA163" s="32">
        <f t="shared" si="130"/>
        <v>4.6797901848533311E-3</v>
      </c>
      <c r="BB163" s="32">
        <f t="shared" si="131"/>
        <v>5.6126675550503781E-3</v>
      </c>
      <c r="BC163" s="32">
        <f t="shared" si="132"/>
        <v>8.8277943193920284E-3</v>
      </c>
      <c r="BD163" s="32">
        <f t="shared" si="133"/>
        <v>9.3547590506534838E-3</v>
      </c>
      <c r="BE163" s="32">
        <f t="shared" si="134"/>
        <v>1.1360038506995776E-2</v>
      </c>
      <c r="BF163" s="32">
        <f t="shared" si="135"/>
        <v>1.1868838346861754E-2</v>
      </c>
      <c r="BG163" s="32">
        <f t="shared" si="136"/>
        <v>1.470041777323682E-2</v>
      </c>
      <c r="BH163" s="41">
        <f t="shared" si="137"/>
        <v>1.714616924726443E-2</v>
      </c>
      <c r="BI163" s="46">
        <f t="shared" si="138"/>
        <v>0.5414645936243464</v>
      </c>
      <c r="BJ163" s="41" t="b">
        <f t="shared" si="125"/>
        <v>0</v>
      </c>
      <c r="BK163" s="41" t="b">
        <f t="shared" si="126"/>
        <v>0</v>
      </c>
      <c r="BL163" s="42" t="str">
        <f>_xlfn.XLOOKUP(AW163,'County Population Strata'!$A$3:$A$66,'County Population Strata'!$P$3:$P$66)</f>
        <v>Small</v>
      </c>
    </row>
    <row r="164" spans="18:64" x14ac:dyDescent="0.2">
      <c r="R164" s="16" t="s">
        <v>165</v>
      </c>
      <c r="S164" s="26">
        <v>253716</v>
      </c>
      <c r="T164" s="26">
        <v>255593</v>
      </c>
      <c r="U164" s="26">
        <v>257927</v>
      </c>
      <c r="V164" s="26">
        <v>261089</v>
      </c>
      <c r="W164" s="26">
        <v>264933</v>
      </c>
      <c r="X164" s="26">
        <v>268705</v>
      </c>
      <c r="Y164" s="26">
        <v>272240</v>
      </c>
      <c r="Z164" s="26">
        <v>276227</v>
      </c>
      <c r="AA164" s="26">
        <v>280240</v>
      </c>
      <c r="AB164" s="26">
        <v>284340</v>
      </c>
      <c r="AC164" s="26">
        <v>288421</v>
      </c>
      <c r="AD164" s="26">
        <v>295128</v>
      </c>
      <c r="AE164" s="26">
        <v>304114</v>
      </c>
      <c r="AG164" s="16" t="s">
        <v>165</v>
      </c>
      <c r="AH164" s="29">
        <v>0</v>
      </c>
      <c r="AI164" s="29">
        <f t="shared" si="122"/>
        <v>7.3980355988585659E-3</v>
      </c>
      <c r="AJ164" s="29">
        <f t="shared" si="101"/>
        <v>9.1317054848919967E-3</v>
      </c>
      <c r="AK164" s="29">
        <f t="shared" si="102"/>
        <v>1.2259282665250245E-2</v>
      </c>
      <c r="AL164" s="29">
        <f t="shared" si="103"/>
        <v>1.4722948879500861E-2</v>
      </c>
      <c r="AM164" s="29">
        <f t="shared" si="104"/>
        <v>1.4237561949624999E-2</v>
      </c>
      <c r="AN164" s="29">
        <f t="shared" si="105"/>
        <v>1.3155691185500829E-2</v>
      </c>
      <c r="AO164" s="29">
        <f t="shared" si="106"/>
        <v>1.4645166029973553E-2</v>
      </c>
      <c r="AP164" s="29">
        <f t="shared" si="107"/>
        <v>1.4527906395826622E-2</v>
      </c>
      <c r="AQ164" s="29">
        <f t="shared" si="108"/>
        <v>1.4630316871253211E-2</v>
      </c>
      <c r="AR164" s="29">
        <f t="shared" si="109"/>
        <v>1.4352535696701132E-2</v>
      </c>
      <c r="AS164" s="29">
        <f t="shared" si="110"/>
        <v>2.3254201323759365E-2</v>
      </c>
      <c r="AT164" s="29">
        <f t="shared" si="111"/>
        <v>3.0447805697866689E-2</v>
      </c>
      <c r="AW164" s="16" t="s">
        <v>165</v>
      </c>
      <c r="AX164" s="32">
        <f t="shared" si="127"/>
        <v>5.5099136945835209E-3</v>
      </c>
      <c r="AY164" s="32">
        <f t="shared" si="128"/>
        <v>9.596341249666936E-3</v>
      </c>
      <c r="AZ164" s="32">
        <f t="shared" si="129"/>
        <v>1.2037979009881036E-2</v>
      </c>
      <c r="BA164" s="32">
        <f t="shared" si="130"/>
        <v>1.3739931164792036E-2</v>
      </c>
      <c r="BB164" s="32">
        <f t="shared" si="131"/>
        <v>1.4038734004875562E-2</v>
      </c>
      <c r="BC164" s="32">
        <f t="shared" si="132"/>
        <v>1.401280638836646E-2</v>
      </c>
      <c r="BD164" s="32">
        <f t="shared" si="133"/>
        <v>1.4109587870433668E-2</v>
      </c>
      <c r="BE164" s="32">
        <f t="shared" si="134"/>
        <v>1.4601129765684463E-2</v>
      </c>
      <c r="BF164" s="32">
        <f t="shared" si="135"/>
        <v>1.4503586321260323E-2</v>
      </c>
      <c r="BG164" s="32">
        <f t="shared" si="136"/>
        <v>1.7412351297237904E-2</v>
      </c>
      <c r="BH164" s="41">
        <f t="shared" si="137"/>
        <v>2.2684847572775727E-2</v>
      </c>
      <c r="BI164" s="46">
        <f t="shared" si="138"/>
        <v>1.1713415025153684</v>
      </c>
      <c r="BJ164" s="41" t="b">
        <f t="shared" si="125"/>
        <v>1</v>
      </c>
      <c r="BK164" s="41" t="b">
        <f t="shared" si="126"/>
        <v>0</v>
      </c>
      <c r="BL164" s="42" t="str">
        <f>_xlfn.XLOOKUP(AW164,'County Population Strata'!$A$3:$A$66,'County Population Strata'!$P$3:$P$66)</f>
        <v>Large</v>
      </c>
    </row>
    <row r="165" spans="18:64" x14ac:dyDescent="0.2">
      <c r="R165" s="16" t="s">
        <v>164</v>
      </c>
      <c r="S165" s="26">
        <v>8949</v>
      </c>
      <c r="T165" s="26">
        <v>8956</v>
      </c>
      <c r="U165" s="26">
        <v>8960</v>
      </c>
      <c r="V165" s="26">
        <v>8978</v>
      </c>
      <c r="W165" s="26">
        <v>9029</v>
      </c>
      <c r="X165" s="26">
        <v>9116</v>
      </c>
      <c r="Y165" s="26">
        <v>9236</v>
      </c>
      <c r="Z165" s="26">
        <v>9328</v>
      </c>
      <c r="AA165" s="26">
        <v>9463</v>
      </c>
      <c r="AB165" s="26">
        <v>9673</v>
      </c>
      <c r="AC165" s="26">
        <v>9858</v>
      </c>
      <c r="AD165" s="26">
        <v>10145</v>
      </c>
      <c r="AE165" s="26">
        <v>10555</v>
      </c>
      <c r="AG165" s="16" t="s">
        <v>164</v>
      </c>
      <c r="AH165" s="29">
        <v>0</v>
      </c>
      <c r="AI165" s="29">
        <f t="shared" si="122"/>
        <v>7.8221030282713151E-4</v>
      </c>
      <c r="AJ165" s="29">
        <f t="shared" si="101"/>
        <v>4.4662795891022776E-4</v>
      </c>
      <c r="AK165" s="29">
        <f t="shared" si="102"/>
        <v>2.0089285714285712E-3</v>
      </c>
      <c r="AL165" s="29">
        <f t="shared" si="103"/>
        <v>5.6805524615727333E-3</v>
      </c>
      <c r="AM165" s="29">
        <f t="shared" si="104"/>
        <v>9.635618562410013E-3</v>
      </c>
      <c r="AN165" s="29">
        <f t="shared" si="105"/>
        <v>1.3163668275559455E-2</v>
      </c>
      <c r="AO165" s="29">
        <f t="shared" si="106"/>
        <v>9.9610220874837598E-3</v>
      </c>
      <c r="AP165" s="29">
        <f t="shared" si="107"/>
        <v>1.4472555746140653E-2</v>
      </c>
      <c r="AQ165" s="29">
        <f t="shared" si="108"/>
        <v>2.2191693965972734E-2</v>
      </c>
      <c r="AR165" s="29">
        <f t="shared" si="109"/>
        <v>1.9125400599607153E-2</v>
      </c>
      <c r="AS165" s="29">
        <f t="shared" si="110"/>
        <v>2.9113410428078718E-2</v>
      </c>
      <c r="AT165" s="29">
        <f t="shared" si="111"/>
        <v>4.0413997042878264E-2</v>
      </c>
      <c r="AW165" s="16" t="s">
        <v>164</v>
      </c>
      <c r="AX165" s="32">
        <f t="shared" si="127"/>
        <v>4.0961275391245309E-4</v>
      </c>
      <c r="AY165" s="32">
        <f t="shared" si="128"/>
        <v>1.0792556110553102E-3</v>
      </c>
      <c r="AZ165" s="32">
        <f t="shared" si="129"/>
        <v>2.7120363306371771E-3</v>
      </c>
      <c r="BA165" s="32">
        <f t="shared" si="130"/>
        <v>5.7750331984704395E-3</v>
      </c>
      <c r="BB165" s="32">
        <f t="shared" si="131"/>
        <v>9.4932797665140678E-3</v>
      </c>
      <c r="BC165" s="32">
        <f t="shared" si="132"/>
        <v>1.0920102975151077E-2</v>
      </c>
      <c r="BD165" s="32">
        <f t="shared" si="133"/>
        <v>1.2532415369727956E-2</v>
      </c>
      <c r="BE165" s="32">
        <f t="shared" si="134"/>
        <v>1.5541757266532383E-2</v>
      </c>
      <c r="BF165" s="32">
        <f t="shared" si="135"/>
        <v>1.8596550103906845E-2</v>
      </c>
      <c r="BG165" s="32">
        <f t="shared" si="136"/>
        <v>2.3476834997886203E-2</v>
      </c>
      <c r="BH165" s="41">
        <f t="shared" si="137"/>
        <v>2.9550936023521379E-2</v>
      </c>
      <c r="BI165" s="46">
        <f t="shared" si="138"/>
        <v>1.9521759029548957</v>
      </c>
      <c r="BJ165" s="41" t="b">
        <f t="shared" si="125"/>
        <v>1</v>
      </c>
      <c r="BK165" s="41" t="b">
        <f t="shared" si="126"/>
        <v>0</v>
      </c>
      <c r="BL165" s="42" t="str">
        <f>_xlfn.XLOOKUP(AW165,'County Population Strata'!$A$3:$A$66,'County Population Strata'!$P$3:$P$66)</f>
        <v>Small</v>
      </c>
    </row>
    <row r="166" spans="18:64" x14ac:dyDescent="0.2">
      <c r="R166" s="16" t="s">
        <v>166</v>
      </c>
      <c r="S166" s="26">
        <v>19448</v>
      </c>
      <c r="T166" s="26">
        <v>19536</v>
      </c>
      <c r="U166" s="26">
        <v>19578</v>
      </c>
      <c r="V166" s="26">
        <v>19620</v>
      </c>
      <c r="W166" s="26">
        <v>19630</v>
      </c>
      <c r="X166" s="26">
        <v>19683</v>
      </c>
      <c r="Y166" s="26">
        <v>19730</v>
      </c>
      <c r="Z166" s="26">
        <v>19834</v>
      </c>
      <c r="AA166" s="26">
        <v>19978</v>
      </c>
      <c r="AB166" s="26">
        <v>20112</v>
      </c>
      <c r="AC166" s="26">
        <v>20281</v>
      </c>
      <c r="AD166" s="26">
        <v>20408</v>
      </c>
      <c r="AE166" s="26">
        <v>20610</v>
      </c>
      <c r="AG166" s="16" t="s">
        <v>166</v>
      </c>
      <c r="AH166" s="29">
        <v>0</v>
      </c>
      <c r="AI166" s="29">
        <f t="shared" si="122"/>
        <v>4.5248868778280547E-3</v>
      </c>
      <c r="AJ166" s="29">
        <f t="shared" si="101"/>
        <v>2.1498771498771499E-3</v>
      </c>
      <c r="AK166" s="29">
        <f t="shared" si="102"/>
        <v>2.1452650934722646E-3</v>
      </c>
      <c r="AL166" s="29">
        <f t="shared" si="103"/>
        <v>5.0968399592252807E-4</v>
      </c>
      <c r="AM166" s="29">
        <f t="shared" si="104"/>
        <v>2.6999490575649516E-3</v>
      </c>
      <c r="AN166" s="29">
        <f t="shared" si="105"/>
        <v>2.3878473809886705E-3</v>
      </c>
      <c r="AO166" s="29">
        <f t="shared" si="106"/>
        <v>5.271160669031931E-3</v>
      </c>
      <c r="AP166" s="29">
        <f t="shared" si="107"/>
        <v>7.2602601593223758E-3</v>
      </c>
      <c r="AQ166" s="29">
        <f t="shared" si="108"/>
        <v>6.7073781159275201E-3</v>
      </c>
      <c r="AR166" s="29">
        <f t="shared" si="109"/>
        <v>8.4029435163086707E-3</v>
      </c>
      <c r="AS166" s="29">
        <f t="shared" si="110"/>
        <v>6.2620186381342141E-3</v>
      </c>
      <c r="AT166" s="29">
        <f t="shared" si="111"/>
        <v>9.8980791846334775E-3</v>
      </c>
      <c r="AW166" s="16" t="s">
        <v>166</v>
      </c>
      <c r="AX166" s="32">
        <f t="shared" si="127"/>
        <v>2.2249213425684015E-3</v>
      </c>
      <c r="AY166" s="32">
        <f t="shared" si="128"/>
        <v>2.9400097070591564E-3</v>
      </c>
      <c r="AZ166" s="32">
        <f t="shared" si="129"/>
        <v>1.6016087464239808E-3</v>
      </c>
      <c r="BA166" s="32">
        <f t="shared" si="130"/>
        <v>1.7849660489865813E-3</v>
      </c>
      <c r="BB166" s="32">
        <f t="shared" si="131"/>
        <v>1.8658268114920499E-3</v>
      </c>
      <c r="BC166" s="32">
        <f t="shared" si="132"/>
        <v>3.452985702528518E-3</v>
      </c>
      <c r="BD166" s="32">
        <f t="shared" si="133"/>
        <v>4.9730894031143258E-3</v>
      </c>
      <c r="BE166" s="32">
        <f t="shared" si="134"/>
        <v>6.4129329814272759E-3</v>
      </c>
      <c r="BF166" s="32">
        <f t="shared" si="135"/>
        <v>7.4568605971861894E-3</v>
      </c>
      <c r="BG166" s="32">
        <f t="shared" si="136"/>
        <v>7.1241134234568014E-3</v>
      </c>
      <c r="BH166" s="41">
        <f t="shared" si="137"/>
        <v>8.1876804463587877E-3</v>
      </c>
      <c r="BI166" s="46">
        <f t="shared" si="138"/>
        <v>-0.47732452945193926</v>
      </c>
      <c r="BJ166" s="41" t="b">
        <f t="shared" si="125"/>
        <v>0</v>
      </c>
      <c r="BK166" s="41" t="b">
        <f t="shared" si="126"/>
        <v>0</v>
      </c>
      <c r="BL166" s="42" t="str">
        <f>_xlfn.XLOOKUP(AW166,'County Population Strata'!$A$3:$A$66,'County Population Strata'!$P$3:$P$66)</f>
        <v>Small</v>
      </c>
    </row>
    <row r="167" spans="18:64" x14ac:dyDescent="0.2">
      <c r="R167" s="16" t="s">
        <v>167</v>
      </c>
      <c r="S167" s="26">
        <v>22892</v>
      </c>
      <c r="T167" s="26">
        <v>22920</v>
      </c>
      <c r="U167" s="26">
        <v>22955</v>
      </c>
      <c r="V167" s="26">
        <v>23042</v>
      </c>
      <c r="W167" s="26">
        <v>23118</v>
      </c>
      <c r="X167" s="26">
        <v>23201</v>
      </c>
      <c r="Y167" s="26">
        <v>23351</v>
      </c>
      <c r="Z167" s="26">
        <v>23511</v>
      </c>
      <c r="AA167" s="26">
        <v>23713</v>
      </c>
      <c r="AB167" s="26">
        <v>23891</v>
      </c>
      <c r="AC167" s="26">
        <v>24169</v>
      </c>
      <c r="AD167" s="26">
        <v>24500</v>
      </c>
      <c r="AE167" s="26">
        <v>25068</v>
      </c>
      <c r="AG167" s="16" t="s">
        <v>167</v>
      </c>
      <c r="AH167" s="29">
        <v>0</v>
      </c>
      <c r="AI167" s="29">
        <f t="shared" si="122"/>
        <v>1.2231347195526823E-3</v>
      </c>
      <c r="AJ167" s="29">
        <f t="shared" si="101"/>
        <v>1.5270506108202443E-3</v>
      </c>
      <c r="AK167" s="29">
        <f t="shared" si="102"/>
        <v>3.7900239599215858E-3</v>
      </c>
      <c r="AL167" s="29">
        <f t="shared" si="103"/>
        <v>3.2983247981946012E-3</v>
      </c>
      <c r="AM167" s="29">
        <f t="shared" si="104"/>
        <v>3.5902759754304005E-3</v>
      </c>
      <c r="AN167" s="29">
        <f t="shared" si="105"/>
        <v>6.4652385673031332E-3</v>
      </c>
      <c r="AO167" s="29">
        <f t="shared" si="106"/>
        <v>6.8519549483962144E-3</v>
      </c>
      <c r="AP167" s="29">
        <f t="shared" si="107"/>
        <v>8.5917230232657061E-3</v>
      </c>
      <c r="AQ167" s="29">
        <f t="shared" si="108"/>
        <v>7.506431071564121E-3</v>
      </c>
      <c r="AR167" s="29">
        <f t="shared" si="109"/>
        <v>1.1636180988656816E-2</v>
      </c>
      <c r="AS167" s="29">
        <f t="shared" si="110"/>
        <v>1.3695229426124373E-2</v>
      </c>
      <c r="AT167" s="29">
        <f t="shared" si="111"/>
        <v>2.3183673469387756E-2</v>
      </c>
      <c r="AW167" s="16" t="s">
        <v>167</v>
      </c>
      <c r="AX167" s="32">
        <f t="shared" si="127"/>
        <v>9.1672844345764214E-4</v>
      </c>
      <c r="AY167" s="32">
        <f t="shared" si="128"/>
        <v>2.180069763431504E-3</v>
      </c>
      <c r="AZ167" s="32">
        <f t="shared" si="129"/>
        <v>2.871799789645477E-3</v>
      </c>
      <c r="BA167" s="32">
        <f t="shared" si="130"/>
        <v>3.5595415778488623E-3</v>
      </c>
      <c r="BB167" s="32">
        <f t="shared" si="131"/>
        <v>4.4512797803093786E-3</v>
      </c>
      <c r="BC167" s="32">
        <f t="shared" si="132"/>
        <v>5.6358231637099162E-3</v>
      </c>
      <c r="BD167" s="32">
        <f t="shared" si="133"/>
        <v>7.3029721796550179E-3</v>
      </c>
      <c r="BE167" s="32">
        <f t="shared" si="134"/>
        <v>7.6500363477420138E-3</v>
      </c>
      <c r="BF167" s="32">
        <f t="shared" si="135"/>
        <v>9.2447783611622151E-3</v>
      </c>
      <c r="BG167" s="32">
        <f t="shared" si="136"/>
        <v>1.0945947162115104E-2</v>
      </c>
      <c r="BH167" s="41">
        <f t="shared" si="137"/>
        <v>1.6171694628056316E-2</v>
      </c>
      <c r="BI167" s="46">
        <f t="shared" si="138"/>
        <v>0.4306441009244204</v>
      </c>
      <c r="BJ167" s="41" t="b">
        <f t="shared" si="125"/>
        <v>0</v>
      </c>
      <c r="BK167" s="41" t="b">
        <f t="shared" si="126"/>
        <v>0</v>
      </c>
      <c r="BL167" s="42" t="str">
        <f>_xlfn.XLOOKUP(AW167,'County Population Strata'!$A$3:$A$66,'County Population Strata'!$P$3:$P$66)</f>
        <v>Small</v>
      </c>
    </row>
    <row r="168" spans="18:64" x14ac:dyDescent="0.2">
      <c r="R168" s="16" t="s">
        <v>168</v>
      </c>
      <c r="S168" s="26">
        <v>3298</v>
      </c>
      <c r="T168" s="26">
        <v>3306</v>
      </c>
      <c r="U168" s="26">
        <v>3321</v>
      </c>
      <c r="V168" s="26">
        <v>3328</v>
      </c>
      <c r="W168" s="26">
        <v>3343</v>
      </c>
      <c r="X168" s="26">
        <v>3354</v>
      </c>
      <c r="Y168" s="26">
        <v>3370</v>
      </c>
      <c r="Z168" s="26">
        <v>3410</v>
      </c>
      <c r="AA168" s="26">
        <v>3461</v>
      </c>
      <c r="AB168" s="26">
        <v>3491</v>
      </c>
      <c r="AC168" s="26">
        <v>3523</v>
      </c>
      <c r="AD168" s="26">
        <v>3543</v>
      </c>
      <c r="AE168" s="26">
        <v>3564</v>
      </c>
      <c r="AG168" s="16" t="s">
        <v>168</v>
      </c>
      <c r="AH168" s="29">
        <v>0</v>
      </c>
      <c r="AI168" s="29">
        <f t="shared" si="122"/>
        <v>2.4257125530624622E-3</v>
      </c>
      <c r="AJ168" s="29">
        <f t="shared" si="101"/>
        <v>4.5372050816696917E-3</v>
      </c>
      <c r="AK168" s="29">
        <f t="shared" si="102"/>
        <v>2.1077988557663355E-3</v>
      </c>
      <c r="AL168" s="29">
        <f t="shared" si="103"/>
        <v>4.5072115384615381E-3</v>
      </c>
      <c r="AM168" s="29">
        <f t="shared" si="104"/>
        <v>3.290457672749028E-3</v>
      </c>
      <c r="AN168" s="29">
        <f t="shared" si="105"/>
        <v>4.7704233750745376E-3</v>
      </c>
      <c r="AO168" s="29">
        <f t="shared" si="106"/>
        <v>1.1869436201780416E-2</v>
      </c>
      <c r="AP168" s="29">
        <f t="shared" si="107"/>
        <v>1.4956011730205278E-2</v>
      </c>
      <c r="AQ168" s="29">
        <f t="shared" si="108"/>
        <v>8.6680150245593765E-3</v>
      </c>
      <c r="AR168" s="29">
        <f t="shared" si="109"/>
        <v>9.1664279576052707E-3</v>
      </c>
      <c r="AS168" s="29">
        <f t="shared" si="110"/>
        <v>5.676979846721544E-3</v>
      </c>
      <c r="AT168" s="29">
        <f t="shared" si="111"/>
        <v>5.9271803556308214E-3</v>
      </c>
      <c r="AW168" s="16" t="s">
        <v>168</v>
      </c>
      <c r="AX168" s="32">
        <f t="shared" si="127"/>
        <v>2.3209725449107178E-3</v>
      </c>
      <c r="AY168" s="32">
        <f t="shared" si="128"/>
        <v>3.023572163499496E-3</v>
      </c>
      <c r="AZ168" s="32">
        <f t="shared" si="129"/>
        <v>3.7174051586325216E-3</v>
      </c>
      <c r="BA168" s="32">
        <f t="shared" si="130"/>
        <v>3.3018226889923005E-3</v>
      </c>
      <c r="BB168" s="32">
        <f t="shared" si="131"/>
        <v>4.189364195428368E-3</v>
      </c>
      <c r="BC168" s="32">
        <f t="shared" si="132"/>
        <v>6.6434390832013262E-3</v>
      </c>
      <c r="BD168" s="32">
        <f t="shared" si="133"/>
        <v>1.053195710235341E-2</v>
      </c>
      <c r="BE168" s="32">
        <f t="shared" si="134"/>
        <v>1.1831154318848356E-2</v>
      </c>
      <c r="BF168" s="32">
        <f t="shared" si="135"/>
        <v>1.0930151570789975E-2</v>
      </c>
      <c r="BG168" s="32">
        <f t="shared" si="136"/>
        <v>7.8371409429620637E-3</v>
      </c>
      <c r="BH168" s="41">
        <f t="shared" si="137"/>
        <v>6.9235293866525454E-3</v>
      </c>
      <c r="BI168" s="46">
        <f t="shared" si="138"/>
        <v>-0.62108798980519453</v>
      </c>
      <c r="BJ168" s="41" t="b">
        <f t="shared" si="125"/>
        <v>0</v>
      </c>
      <c r="BK168" s="41" t="b">
        <f t="shared" si="126"/>
        <v>0</v>
      </c>
      <c r="BL168" s="42" t="str">
        <f>_xlfn.XLOOKUP(AW168,'County Population Strata'!$A$3:$A$66,'County Population Strata'!$P$3:$P$66)</f>
        <v>Tiny</v>
      </c>
    </row>
    <row r="169" spans="18:64" x14ac:dyDescent="0.2">
      <c r="R169" s="16" t="s">
        <v>169</v>
      </c>
      <c r="S169" s="26">
        <v>15396</v>
      </c>
      <c r="T169" s="26">
        <v>15482</v>
      </c>
      <c r="U169" s="26">
        <v>15615</v>
      </c>
      <c r="V169" s="26">
        <v>15676</v>
      </c>
      <c r="W169" s="26">
        <v>15697</v>
      </c>
      <c r="X169" s="26">
        <v>15762</v>
      </c>
      <c r="Y169" s="26">
        <v>15889</v>
      </c>
      <c r="Z169" s="26">
        <v>16043</v>
      </c>
      <c r="AA169" s="26">
        <v>16215</v>
      </c>
      <c r="AB169" s="26">
        <v>16409</v>
      </c>
      <c r="AC169" s="26">
        <v>16805</v>
      </c>
      <c r="AD169" s="26">
        <v>16627</v>
      </c>
      <c r="AE169" s="26">
        <v>17285</v>
      </c>
      <c r="AG169" s="16" t="s">
        <v>169</v>
      </c>
      <c r="AH169" s="29">
        <v>0</v>
      </c>
      <c r="AI169" s="29">
        <f t="shared" si="122"/>
        <v>5.585866458820473E-3</v>
      </c>
      <c r="AJ169" s="29">
        <f t="shared" si="101"/>
        <v>8.590621366748482E-3</v>
      </c>
      <c r="AK169" s="29">
        <f t="shared" si="102"/>
        <v>3.9065001601024654E-3</v>
      </c>
      <c r="AL169" s="29">
        <f t="shared" si="103"/>
        <v>1.3396274559836694E-3</v>
      </c>
      <c r="AM169" s="29">
        <f t="shared" si="104"/>
        <v>4.1409186468751987E-3</v>
      </c>
      <c r="AN169" s="29">
        <f t="shared" si="105"/>
        <v>8.0573531277756631E-3</v>
      </c>
      <c r="AO169" s="29">
        <f t="shared" si="106"/>
        <v>9.6922399144061932E-3</v>
      </c>
      <c r="AP169" s="29">
        <f t="shared" si="107"/>
        <v>1.0721186810446924E-2</v>
      </c>
      <c r="AQ169" s="29">
        <f t="shared" si="108"/>
        <v>1.1964230650632131E-2</v>
      </c>
      <c r="AR169" s="29">
        <f t="shared" si="109"/>
        <v>2.4133097690291913E-2</v>
      </c>
      <c r="AS169" s="29">
        <f t="shared" si="110"/>
        <v>-1.0592085688783101E-2</v>
      </c>
      <c r="AT169" s="29">
        <f t="shared" si="111"/>
        <v>3.9574186564022375E-2</v>
      </c>
      <c r="AW169" s="16" t="s">
        <v>169</v>
      </c>
      <c r="AX169" s="32">
        <f t="shared" si="127"/>
        <v>4.7254959418563183E-3</v>
      </c>
      <c r="AY169" s="32">
        <f t="shared" si="128"/>
        <v>6.0276626618904735E-3</v>
      </c>
      <c r="AZ169" s="32">
        <f t="shared" si="129"/>
        <v>4.6122496609448723E-3</v>
      </c>
      <c r="BA169" s="32">
        <f t="shared" si="130"/>
        <v>3.1290154209871108E-3</v>
      </c>
      <c r="BB169" s="32">
        <f t="shared" si="131"/>
        <v>4.5126330768781768E-3</v>
      </c>
      <c r="BC169" s="32">
        <f t="shared" si="132"/>
        <v>7.296837229685685E-3</v>
      </c>
      <c r="BD169" s="32">
        <f t="shared" si="133"/>
        <v>9.4902599508762606E-3</v>
      </c>
      <c r="BE169" s="32">
        <f t="shared" si="134"/>
        <v>1.0792552458495081E-2</v>
      </c>
      <c r="BF169" s="32">
        <f t="shared" si="135"/>
        <v>1.5606171717123656E-2</v>
      </c>
      <c r="BG169" s="32">
        <f t="shared" si="136"/>
        <v>8.501747550713647E-3</v>
      </c>
      <c r="BH169" s="41">
        <f t="shared" si="137"/>
        <v>1.7705066188510397E-2</v>
      </c>
      <c r="BI169" s="46">
        <f t="shared" si="138"/>
        <v>0.60502421147020835</v>
      </c>
      <c r="BJ169" s="41" t="b">
        <f t="shared" si="125"/>
        <v>0</v>
      </c>
      <c r="BK169" s="41" t="b">
        <f t="shared" si="126"/>
        <v>0</v>
      </c>
      <c r="BL169" s="42" t="str">
        <f>_xlfn.XLOOKUP(AW169,'County Population Strata'!$A$3:$A$66,'County Population Strata'!$P$3:$P$66)</f>
        <v>Tiny</v>
      </c>
    </row>
    <row r="170" spans="18:64" x14ac:dyDescent="0.2">
      <c r="R170" s="16" t="s">
        <v>170</v>
      </c>
      <c r="S170" s="26">
        <v>11431</v>
      </c>
      <c r="T170" s="26">
        <v>11448</v>
      </c>
      <c r="U170" s="26">
        <v>11459</v>
      </c>
      <c r="V170" s="26">
        <v>11475</v>
      </c>
      <c r="W170" s="26">
        <v>11497</v>
      </c>
      <c r="X170" s="26">
        <v>11514</v>
      </c>
      <c r="Y170" s="26">
        <v>11539</v>
      </c>
      <c r="Z170" s="26">
        <v>11633</v>
      </c>
      <c r="AA170" s="26">
        <v>11766</v>
      </c>
      <c r="AB170" s="26">
        <v>11882</v>
      </c>
      <c r="AC170" s="26">
        <v>12220</v>
      </c>
      <c r="AD170" s="26">
        <v>12421</v>
      </c>
      <c r="AE170" s="26">
        <v>12619</v>
      </c>
      <c r="AG170" s="16" t="s">
        <v>170</v>
      </c>
      <c r="AH170" s="29">
        <v>0</v>
      </c>
      <c r="AI170" s="29">
        <f t="shared" si="122"/>
        <v>1.4871839734056512E-3</v>
      </c>
      <c r="AJ170" s="29">
        <f t="shared" si="101"/>
        <v>9.6086652690426273E-4</v>
      </c>
      <c r="AK170" s="29">
        <f t="shared" si="102"/>
        <v>1.3962823981150188E-3</v>
      </c>
      <c r="AL170" s="29">
        <f t="shared" si="103"/>
        <v>1.9172113289760348E-3</v>
      </c>
      <c r="AM170" s="29">
        <f t="shared" si="104"/>
        <v>1.4786466034617726E-3</v>
      </c>
      <c r="AN170" s="29">
        <f t="shared" si="105"/>
        <v>2.1712697585548027E-3</v>
      </c>
      <c r="AO170" s="29">
        <f t="shared" si="106"/>
        <v>8.1462865066296904E-3</v>
      </c>
      <c r="AP170" s="29">
        <f t="shared" si="107"/>
        <v>1.1432992349350985E-2</v>
      </c>
      <c r="AQ170" s="29">
        <f t="shared" si="108"/>
        <v>9.8589155192928771E-3</v>
      </c>
      <c r="AR170" s="29">
        <f t="shared" si="109"/>
        <v>2.8446389496717725E-2</v>
      </c>
      <c r="AS170" s="29">
        <f t="shared" si="110"/>
        <v>1.6448445171849426E-2</v>
      </c>
      <c r="AT170" s="29">
        <f t="shared" si="111"/>
        <v>1.5940745511633523E-2</v>
      </c>
      <c r="AW170" s="16" t="s">
        <v>170</v>
      </c>
      <c r="AX170" s="32">
        <f t="shared" si="127"/>
        <v>8.1601683343663798E-4</v>
      </c>
      <c r="AY170" s="32">
        <f t="shared" si="128"/>
        <v>1.2814442994749777E-3</v>
      </c>
      <c r="AZ170" s="32">
        <f t="shared" si="129"/>
        <v>1.4247867513317721E-3</v>
      </c>
      <c r="BA170" s="32">
        <f t="shared" si="130"/>
        <v>1.5973801101842756E-3</v>
      </c>
      <c r="BB170" s="32">
        <f t="shared" si="131"/>
        <v>1.8557092303308701E-3</v>
      </c>
      <c r="BC170" s="32">
        <f t="shared" si="132"/>
        <v>3.9320676228820879E-3</v>
      </c>
      <c r="BD170" s="32">
        <f t="shared" si="133"/>
        <v>7.2501828715118262E-3</v>
      </c>
      <c r="BE170" s="32">
        <f t="shared" si="134"/>
        <v>9.812731458424517E-3</v>
      </c>
      <c r="BF170" s="32">
        <f t="shared" si="135"/>
        <v>1.657943245512053E-2</v>
      </c>
      <c r="BG170" s="32">
        <f t="shared" si="136"/>
        <v>1.8251250062620007E-2</v>
      </c>
      <c r="BH170" s="41">
        <f t="shared" si="137"/>
        <v>2.0278526726733557E-2</v>
      </c>
      <c r="BI170" s="46">
        <f t="shared" si="138"/>
        <v>0.89768669766349929</v>
      </c>
      <c r="BJ170" s="41" t="b">
        <f t="shared" si="125"/>
        <v>0</v>
      </c>
      <c r="BK170" s="41" t="b">
        <f t="shared" si="126"/>
        <v>0</v>
      </c>
      <c r="BL170" s="42" t="str">
        <f>_xlfn.XLOOKUP(AW170,'County Population Strata'!$A$3:$A$66,'County Population Strata'!$P$3:$P$66)</f>
        <v>Tiny</v>
      </c>
    </row>
    <row r="171" spans="18:64" x14ac:dyDescent="0.2">
      <c r="R171" s="16" t="s">
        <v>171</v>
      </c>
      <c r="S171" s="26">
        <v>1274</v>
      </c>
      <c r="T171" s="26">
        <v>1275</v>
      </c>
      <c r="U171" s="26">
        <v>1281</v>
      </c>
      <c r="V171" s="26">
        <v>1284</v>
      </c>
      <c r="W171" s="26">
        <v>1288</v>
      </c>
      <c r="X171" s="26">
        <v>1292</v>
      </c>
      <c r="Y171" s="26">
        <v>1298</v>
      </c>
      <c r="Z171" s="26">
        <v>1305</v>
      </c>
      <c r="AA171" s="26">
        <v>1313</v>
      </c>
      <c r="AB171" s="26">
        <v>1321</v>
      </c>
      <c r="AC171" s="26">
        <v>1332</v>
      </c>
      <c r="AD171" s="26">
        <v>1347</v>
      </c>
      <c r="AE171" s="26">
        <v>1358</v>
      </c>
      <c r="AG171" s="16" t="s">
        <v>171</v>
      </c>
      <c r="AH171" s="29">
        <v>0</v>
      </c>
      <c r="AI171" s="29">
        <f t="shared" si="122"/>
        <v>7.8492935635792783E-4</v>
      </c>
      <c r="AJ171" s="29">
        <f t="shared" si="101"/>
        <v>4.7058823529411761E-3</v>
      </c>
      <c r="AK171" s="29">
        <f t="shared" si="102"/>
        <v>2.34192037470726E-3</v>
      </c>
      <c r="AL171" s="29">
        <f t="shared" si="103"/>
        <v>3.1152647975077881E-3</v>
      </c>
      <c r="AM171" s="29">
        <f t="shared" si="104"/>
        <v>3.105590062111801E-3</v>
      </c>
      <c r="AN171" s="29">
        <f t="shared" si="105"/>
        <v>4.6439628482972135E-3</v>
      </c>
      <c r="AO171" s="29">
        <f t="shared" si="106"/>
        <v>5.3929121725731898E-3</v>
      </c>
      <c r="AP171" s="29">
        <f t="shared" si="107"/>
        <v>6.1302681992337167E-3</v>
      </c>
      <c r="AQ171" s="29">
        <f t="shared" si="108"/>
        <v>6.0929169840060931E-3</v>
      </c>
      <c r="AR171" s="29">
        <f t="shared" si="109"/>
        <v>8.3270249810749441E-3</v>
      </c>
      <c r="AS171" s="29">
        <f t="shared" si="110"/>
        <v>1.1261261261261261E-2</v>
      </c>
      <c r="AT171" s="29">
        <f t="shared" si="111"/>
        <v>8.1662954714179659E-3</v>
      </c>
      <c r="AW171" s="16" t="s">
        <v>171</v>
      </c>
      <c r="AX171" s="32">
        <f t="shared" si="127"/>
        <v>1.8302705697663679E-3</v>
      </c>
      <c r="AY171" s="32">
        <f t="shared" si="128"/>
        <v>2.6109106946687875E-3</v>
      </c>
      <c r="AZ171" s="32">
        <f t="shared" si="129"/>
        <v>3.3876891750520745E-3</v>
      </c>
      <c r="BA171" s="32">
        <f t="shared" si="130"/>
        <v>2.8542584114422827E-3</v>
      </c>
      <c r="BB171" s="32">
        <f t="shared" si="131"/>
        <v>3.621605902638934E-3</v>
      </c>
      <c r="BC171" s="32">
        <f t="shared" si="132"/>
        <v>4.3808216943274012E-3</v>
      </c>
      <c r="BD171" s="32">
        <f t="shared" si="133"/>
        <v>5.3890477400347072E-3</v>
      </c>
      <c r="BE171" s="32">
        <f t="shared" si="134"/>
        <v>5.8720324519376662E-3</v>
      </c>
      <c r="BF171" s="32">
        <f t="shared" si="135"/>
        <v>6.8500700547715855E-3</v>
      </c>
      <c r="BG171" s="32">
        <f t="shared" si="136"/>
        <v>8.5604010754474335E-3</v>
      </c>
      <c r="BH171" s="41">
        <f t="shared" si="137"/>
        <v>9.2515272379180558E-3</v>
      </c>
      <c r="BI171" s="46">
        <f t="shared" si="138"/>
        <v>-0.35634033625290124</v>
      </c>
      <c r="BJ171" s="41" t="b">
        <f t="shared" si="125"/>
        <v>0</v>
      </c>
      <c r="BK171" s="41" t="b">
        <f t="shared" si="126"/>
        <v>0</v>
      </c>
      <c r="BL171" s="42" t="str">
        <f>_xlfn.XLOOKUP(AW171,'County Population Strata'!$A$3:$A$66,'County Population Strata'!$P$3:$P$66)</f>
        <v>Tiny</v>
      </c>
    </row>
    <row r="172" spans="18:64" x14ac:dyDescent="0.2">
      <c r="R172" s="16" t="s">
        <v>172</v>
      </c>
      <c r="S172" s="26">
        <v>4445</v>
      </c>
      <c r="T172" s="26">
        <v>4474</v>
      </c>
      <c r="U172" s="26">
        <v>4502</v>
      </c>
      <c r="V172" s="26">
        <v>4523</v>
      </c>
      <c r="W172" s="26">
        <v>4531</v>
      </c>
      <c r="X172" s="26">
        <v>4543</v>
      </c>
      <c r="Y172" s="26">
        <v>4571</v>
      </c>
      <c r="Z172" s="26">
        <v>4600</v>
      </c>
      <c r="AA172" s="26">
        <v>4637</v>
      </c>
      <c r="AB172" s="26">
        <v>4674</v>
      </c>
      <c r="AC172" s="26">
        <v>4690</v>
      </c>
      <c r="AD172" s="26">
        <v>4702</v>
      </c>
      <c r="AE172" s="26">
        <v>4747</v>
      </c>
      <c r="AG172" s="16" t="s">
        <v>172</v>
      </c>
      <c r="AH172" s="29">
        <v>0</v>
      </c>
      <c r="AI172" s="29">
        <f t="shared" si="122"/>
        <v>6.5241844769403827E-3</v>
      </c>
      <c r="AJ172" s="29">
        <f t="shared" si="101"/>
        <v>6.2583817612874388E-3</v>
      </c>
      <c r="AK172" s="29">
        <f t="shared" si="102"/>
        <v>4.6645935139937806E-3</v>
      </c>
      <c r="AL172" s="29">
        <f t="shared" si="103"/>
        <v>1.7687375635640063E-3</v>
      </c>
      <c r="AM172" s="29">
        <f t="shared" si="104"/>
        <v>2.6484219819024497E-3</v>
      </c>
      <c r="AN172" s="29">
        <f t="shared" si="105"/>
        <v>6.1633281972265025E-3</v>
      </c>
      <c r="AO172" s="29">
        <f t="shared" si="106"/>
        <v>6.3443447823233424E-3</v>
      </c>
      <c r="AP172" s="29">
        <f t="shared" si="107"/>
        <v>8.0434782608695653E-3</v>
      </c>
      <c r="AQ172" s="29">
        <f t="shared" si="108"/>
        <v>7.9792969592408884E-3</v>
      </c>
      <c r="AR172" s="29">
        <f t="shared" si="109"/>
        <v>3.4231921266581087E-3</v>
      </c>
      <c r="AS172" s="29">
        <f t="shared" si="110"/>
        <v>2.5586353944562902E-3</v>
      </c>
      <c r="AT172" s="29">
        <f t="shared" si="111"/>
        <v>9.5703955763504888E-3</v>
      </c>
      <c r="AW172" s="16" t="s">
        <v>172</v>
      </c>
      <c r="AX172" s="32">
        <f t="shared" si="127"/>
        <v>4.2608554127426075E-3</v>
      </c>
      <c r="AY172" s="32">
        <f t="shared" si="128"/>
        <v>5.8157199174072001E-3</v>
      </c>
      <c r="AZ172" s="32">
        <f t="shared" si="129"/>
        <v>4.2305709462817417E-3</v>
      </c>
      <c r="BA172" s="32">
        <f t="shared" si="130"/>
        <v>3.0272510198200791E-3</v>
      </c>
      <c r="BB172" s="32">
        <f t="shared" si="131"/>
        <v>3.5268292475643197E-3</v>
      </c>
      <c r="BC172" s="32">
        <f t="shared" si="132"/>
        <v>5.0520316538174318E-3</v>
      </c>
      <c r="BD172" s="32">
        <f t="shared" si="133"/>
        <v>6.8503837468064698E-3</v>
      </c>
      <c r="BE172" s="32">
        <f t="shared" si="134"/>
        <v>7.4557066674779326E-3</v>
      </c>
      <c r="BF172" s="32">
        <f t="shared" si="135"/>
        <v>6.4819891155895211E-3</v>
      </c>
      <c r="BG172" s="32">
        <f t="shared" si="136"/>
        <v>4.6537081601184293E-3</v>
      </c>
      <c r="BH172" s="41">
        <f t="shared" si="137"/>
        <v>5.1840743658216294E-3</v>
      </c>
      <c r="BI172" s="46">
        <f t="shared" si="138"/>
        <v>-0.81890459645472458</v>
      </c>
      <c r="BJ172" s="41" t="b">
        <f t="shared" si="125"/>
        <v>0</v>
      </c>
      <c r="BK172" s="41" t="b">
        <f t="shared" si="126"/>
        <v>0</v>
      </c>
      <c r="BL172" s="42" t="str">
        <f>_xlfn.XLOOKUP(AW172,'County Population Strata'!$A$3:$A$66,'County Population Strata'!$P$3:$P$66)</f>
        <v>Tiny</v>
      </c>
    </row>
    <row r="173" spans="18:64" x14ac:dyDescent="0.2">
      <c r="R173" s="16" t="s">
        <v>173</v>
      </c>
      <c r="S173" s="26">
        <v>1140</v>
      </c>
      <c r="T173" s="26">
        <v>1147</v>
      </c>
      <c r="U173" s="26">
        <v>1149</v>
      </c>
      <c r="V173" s="26">
        <v>1151</v>
      </c>
      <c r="W173" s="26">
        <v>1155</v>
      </c>
      <c r="X173" s="26">
        <v>1161</v>
      </c>
      <c r="Y173" s="26">
        <v>1165</v>
      </c>
      <c r="Z173" s="26">
        <v>1172</v>
      </c>
      <c r="AA173" s="26">
        <v>1179</v>
      </c>
      <c r="AB173" s="26">
        <v>1186</v>
      </c>
      <c r="AC173" s="26">
        <v>1191</v>
      </c>
      <c r="AD173" s="26">
        <v>1195</v>
      </c>
      <c r="AE173" s="26">
        <v>1199</v>
      </c>
      <c r="AG173" s="16" t="s">
        <v>173</v>
      </c>
      <c r="AH173" s="29">
        <v>0</v>
      </c>
      <c r="AI173" s="29">
        <f t="shared" si="122"/>
        <v>6.1403508771929825E-3</v>
      </c>
      <c r="AJ173" s="29">
        <f t="shared" si="101"/>
        <v>1.7436791630340018E-3</v>
      </c>
      <c r="AK173" s="29">
        <f t="shared" si="102"/>
        <v>1.7406440382941688E-3</v>
      </c>
      <c r="AL173" s="29">
        <f t="shared" si="103"/>
        <v>3.4752389226759338E-3</v>
      </c>
      <c r="AM173" s="29">
        <f t="shared" si="104"/>
        <v>5.1948051948051948E-3</v>
      </c>
      <c r="AN173" s="29">
        <f t="shared" si="105"/>
        <v>3.4453057708871662E-3</v>
      </c>
      <c r="AO173" s="29">
        <f t="shared" si="106"/>
        <v>6.0085836909871248E-3</v>
      </c>
      <c r="AP173" s="29">
        <f t="shared" si="107"/>
        <v>5.9726962457337888E-3</v>
      </c>
      <c r="AQ173" s="29">
        <f t="shared" si="108"/>
        <v>5.9372349448685328E-3</v>
      </c>
      <c r="AR173" s="29">
        <f t="shared" si="109"/>
        <v>4.2158516020236085E-3</v>
      </c>
      <c r="AS173" s="29">
        <f t="shared" si="110"/>
        <v>3.3585222502099076E-3</v>
      </c>
      <c r="AT173" s="29">
        <f t="shared" si="111"/>
        <v>3.3472803347280333E-3</v>
      </c>
      <c r="AW173" s="16" t="s">
        <v>173</v>
      </c>
      <c r="AX173" s="32">
        <f t="shared" si="127"/>
        <v>2.6280100134089949E-3</v>
      </c>
      <c r="AY173" s="32">
        <f t="shared" si="128"/>
        <v>3.2082246928403849E-3</v>
      </c>
      <c r="AZ173" s="32">
        <f t="shared" si="129"/>
        <v>2.3198540413347014E-3</v>
      </c>
      <c r="BA173" s="32">
        <f t="shared" si="130"/>
        <v>3.4702293852584324E-3</v>
      </c>
      <c r="BB173" s="32">
        <f t="shared" si="131"/>
        <v>4.0384499627894319E-3</v>
      </c>
      <c r="BC173" s="32">
        <f t="shared" si="132"/>
        <v>4.8828982188931615E-3</v>
      </c>
      <c r="BD173" s="32">
        <f t="shared" si="133"/>
        <v>5.1421952358693601E-3</v>
      </c>
      <c r="BE173" s="32">
        <f t="shared" si="134"/>
        <v>5.9728382938631494E-3</v>
      </c>
      <c r="BF173" s="32">
        <f t="shared" si="135"/>
        <v>5.3752609308753098E-3</v>
      </c>
      <c r="BG173" s="32">
        <f t="shared" si="136"/>
        <v>4.5038695990340166E-3</v>
      </c>
      <c r="BH173" s="41">
        <f t="shared" si="137"/>
        <v>3.6405513956538501E-3</v>
      </c>
      <c r="BI173" s="46">
        <f t="shared" si="138"/>
        <v>-0.9944391590548769</v>
      </c>
      <c r="BJ173" s="41" t="b">
        <f t="shared" si="125"/>
        <v>0</v>
      </c>
      <c r="BK173" s="41" t="b">
        <f t="shared" si="126"/>
        <v>0</v>
      </c>
      <c r="BL173" s="42" t="str">
        <f>_xlfn.XLOOKUP(AW173,'County Population Strata'!$A$3:$A$66,'County Population Strata'!$P$3:$P$66)</f>
        <v>Tiny</v>
      </c>
    </row>
    <row r="174" spans="18:64" x14ac:dyDescent="0.2">
      <c r="R174" s="16" t="s">
        <v>174</v>
      </c>
      <c r="S174" s="26">
        <v>230181</v>
      </c>
      <c r="T174" s="26">
        <v>230936</v>
      </c>
      <c r="U174" s="26">
        <v>232054</v>
      </c>
      <c r="V174" s="26">
        <v>233257</v>
      </c>
      <c r="W174" s="26">
        <v>234710</v>
      </c>
      <c r="X174" s="26">
        <v>237424</v>
      </c>
      <c r="Y174" s="26">
        <v>239371</v>
      </c>
      <c r="Z174" s="26">
        <v>242056</v>
      </c>
      <c r="AA174" s="26">
        <v>244236</v>
      </c>
      <c r="AB174" s="26">
        <v>246873</v>
      </c>
      <c r="AC174" s="26">
        <v>248886</v>
      </c>
      <c r="AD174" s="26">
        <v>251462</v>
      </c>
      <c r="AE174" s="26">
        <v>254441</v>
      </c>
      <c r="AG174" s="16" t="s">
        <v>174</v>
      </c>
      <c r="AH174" s="29">
        <v>0</v>
      </c>
      <c r="AI174" s="29">
        <f t="shared" si="122"/>
        <v>3.2800274566536767E-3</v>
      </c>
      <c r="AJ174" s="29">
        <f t="shared" si="101"/>
        <v>4.8411681158416183E-3</v>
      </c>
      <c r="AK174" s="29">
        <f t="shared" si="102"/>
        <v>5.1841381747351912E-3</v>
      </c>
      <c r="AL174" s="29">
        <f t="shared" si="103"/>
        <v>6.2291806891111518E-3</v>
      </c>
      <c r="AM174" s="29">
        <f t="shared" si="104"/>
        <v>1.15632056580461E-2</v>
      </c>
      <c r="AN174" s="29">
        <f t="shared" si="105"/>
        <v>8.2005189028910297E-3</v>
      </c>
      <c r="AO174" s="29">
        <f t="shared" si="106"/>
        <v>1.1216897619176927E-2</v>
      </c>
      <c r="AP174" s="29">
        <f t="shared" si="107"/>
        <v>9.0061803880093858E-3</v>
      </c>
      <c r="AQ174" s="29">
        <f t="shared" si="108"/>
        <v>1.0796934112907188E-2</v>
      </c>
      <c r="AR174" s="29">
        <f t="shared" si="109"/>
        <v>8.1539901082742956E-3</v>
      </c>
      <c r="AS174" s="29">
        <f t="shared" si="110"/>
        <v>1.0350120135322998E-2</v>
      </c>
      <c r="AT174" s="29">
        <f t="shared" si="111"/>
        <v>1.1846720379222308E-2</v>
      </c>
      <c r="AW174" s="16" t="s">
        <v>174</v>
      </c>
      <c r="AX174" s="32">
        <f t="shared" si="127"/>
        <v>2.7070651908317651E-3</v>
      </c>
      <c r="AY174" s="32">
        <f t="shared" si="128"/>
        <v>4.4351112490768289E-3</v>
      </c>
      <c r="AZ174" s="32">
        <f t="shared" si="129"/>
        <v>5.4181623265626535E-3</v>
      </c>
      <c r="BA174" s="32">
        <f t="shared" si="130"/>
        <v>7.6588415072974814E-3</v>
      </c>
      <c r="BB174" s="32">
        <f t="shared" si="131"/>
        <v>8.6643017500160936E-3</v>
      </c>
      <c r="BC174" s="32">
        <f t="shared" si="132"/>
        <v>1.0326874060038018E-2</v>
      </c>
      <c r="BD174" s="32">
        <f t="shared" si="133"/>
        <v>9.4745323033591147E-3</v>
      </c>
      <c r="BE174" s="32">
        <f t="shared" si="134"/>
        <v>1.0340004040031167E-2</v>
      </c>
      <c r="BF174" s="32">
        <f t="shared" si="135"/>
        <v>9.3190348697302899E-3</v>
      </c>
      <c r="BG174" s="32">
        <f t="shared" si="136"/>
        <v>9.7670147855014947E-3</v>
      </c>
      <c r="BH174" s="41">
        <f t="shared" si="137"/>
        <v>1.0116943540939867E-2</v>
      </c>
      <c r="BI174" s="46">
        <f t="shared" si="138"/>
        <v>-0.25792231776273122</v>
      </c>
      <c r="BJ174" s="41" t="b">
        <f t="shared" si="125"/>
        <v>0</v>
      </c>
      <c r="BK174" s="41" t="b">
        <f t="shared" si="126"/>
        <v>0</v>
      </c>
      <c r="BL174" s="42" t="str">
        <f>_xlfn.XLOOKUP(AW174,'County Population Strata'!$A$3:$A$66,'County Population Strata'!$P$3:$P$66)</f>
        <v>Medium</v>
      </c>
    </row>
    <row r="175" spans="18:64" x14ac:dyDescent="0.2">
      <c r="R175" s="16" t="s">
        <v>175</v>
      </c>
      <c r="S175" s="26">
        <v>720</v>
      </c>
      <c r="T175" s="26">
        <v>727</v>
      </c>
      <c r="U175" s="26">
        <v>728</v>
      </c>
      <c r="V175" s="26">
        <v>730</v>
      </c>
      <c r="W175" s="26">
        <v>734</v>
      </c>
      <c r="X175" s="26">
        <v>734</v>
      </c>
      <c r="Y175" s="26">
        <v>734</v>
      </c>
      <c r="Z175" s="26">
        <v>735</v>
      </c>
      <c r="AA175" s="26">
        <v>735</v>
      </c>
      <c r="AB175" s="26">
        <v>735</v>
      </c>
      <c r="AC175" s="26">
        <v>737</v>
      </c>
      <c r="AD175" s="26">
        <v>742</v>
      </c>
      <c r="AE175" s="26">
        <v>748</v>
      </c>
      <c r="AG175" s="16" t="s">
        <v>175</v>
      </c>
      <c r="AH175" s="29">
        <v>0</v>
      </c>
      <c r="AI175" s="29">
        <f t="shared" ref="AI175:AI207" si="139">(T175-S175)/S175</f>
        <v>9.7222222222222224E-3</v>
      </c>
      <c r="AJ175" s="29">
        <f t="shared" ref="AJ175:AJ207" si="140">(U175-T175)/T175</f>
        <v>1.375515818431912E-3</v>
      </c>
      <c r="AK175" s="29">
        <f t="shared" ref="AK175:AK207" si="141">(V175-U175)/U175</f>
        <v>2.7472527472527475E-3</v>
      </c>
      <c r="AL175" s="29">
        <f t="shared" ref="AL175:AL207" si="142">(W175-V175)/V175</f>
        <v>5.4794520547945206E-3</v>
      </c>
      <c r="AM175" s="29">
        <f t="shared" ref="AM175:AM207" si="143">(X175-W175)/W175</f>
        <v>0</v>
      </c>
      <c r="AN175" s="29">
        <f t="shared" ref="AN175:AN207" si="144">(Y175-X175)/X175</f>
        <v>0</v>
      </c>
      <c r="AO175" s="29">
        <f t="shared" ref="AO175:AO207" si="145">(Z175-Y175)/Y175</f>
        <v>1.3623978201634877E-3</v>
      </c>
      <c r="AP175" s="29">
        <f t="shared" ref="AP175:AP207" si="146">(AA175-Z175)/Z175</f>
        <v>0</v>
      </c>
      <c r="AQ175" s="29">
        <f t="shared" ref="AQ175:AQ207" si="147">(AB175-AA175)/AA175</f>
        <v>0</v>
      </c>
      <c r="AR175" s="29">
        <f t="shared" ref="AR175:AR207" si="148">(AC175-AB175)/AB175</f>
        <v>2.7210884353741495E-3</v>
      </c>
      <c r="AS175" s="29">
        <f t="shared" ref="AS175:AS207" si="149">(AD175-AC175)/AC175</f>
        <v>6.7842605156037995E-3</v>
      </c>
      <c r="AT175" s="29">
        <f t="shared" ref="AT175:AT207" si="150">(AE175-AD175)/AD175</f>
        <v>8.0862533692722376E-3</v>
      </c>
      <c r="AW175" s="16" t="s">
        <v>175</v>
      </c>
      <c r="AX175" s="32">
        <f t="shared" si="127"/>
        <v>3.6992460135513781E-3</v>
      </c>
      <c r="AY175" s="32">
        <f t="shared" si="128"/>
        <v>4.6149969293022937E-3</v>
      </c>
      <c r="AZ175" s="32">
        <f t="shared" si="129"/>
        <v>3.2007402068263933E-3</v>
      </c>
      <c r="BA175" s="32">
        <f t="shared" si="130"/>
        <v>2.7422349340157563E-3</v>
      </c>
      <c r="BB175" s="32">
        <f t="shared" si="131"/>
        <v>1.8264840182648401E-3</v>
      </c>
      <c r="BC175" s="32">
        <f t="shared" si="132"/>
        <v>4.5413260672116256E-4</v>
      </c>
      <c r="BD175" s="32">
        <f t="shared" si="133"/>
        <v>4.5413260672116256E-4</v>
      </c>
      <c r="BE175" s="32">
        <f t="shared" si="134"/>
        <v>4.5413260672116256E-4</v>
      </c>
      <c r="BF175" s="32">
        <f t="shared" si="135"/>
        <v>9.0702947845804982E-4</v>
      </c>
      <c r="BG175" s="32">
        <f t="shared" si="136"/>
        <v>3.168449650325983E-3</v>
      </c>
      <c r="BH175" s="41">
        <f t="shared" si="137"/>
        <v>5.8638674400833951E-3</v>
      </c>
      <c r="BI175" s="46">
        <f t="shared" si="138"/>
        <v>-0.74159626852217608</v>
      </c>
      <c r="BJ175" s="41" t="b">
        <f t="shared" si="125"/>
        <v>0</v>
      </c>
      <c r="BK175" s="41" t="b">
        <f t="shared" si="126"/>
        <v>0</v>
      </c>
      <c r="BL175" s="42" t="str">
        <f>_xlfn.XLOOKUP(AW175,'County Population Strata'!$A$3:$A$66,'County Population Strata'!$P$3:$P$66)</f>
        <v>Tiny</v>
      </c>
    </row>
    <row r="176" spans="18:64" x14ac:dyDescent="0.2">
      <c r="R176" s="16" t="s">
        <v>176</v>
      </c>
      <c r="S176" s="26">
        <v>3377</v>
      </c>
      <c r="T176" s="26">
        <v>3379</v>
      </c>
      <c r="U176" s="26">
        <v>3379</v>
      </c>
      <c r="V176" s="26">
        <v>3379</v>
      </c>
      <c r="W176" s="26">
        <v>3402</v>
      </c>
      <c r="X176" s="26">
        <v>3404</v>
      </c>
      <c r="Y176" s="26">
        <v>3404</v>
      </c>
      <c r="Z176" s="26">
        <v>3404</v>
      </c>
      <c r="AA176" s="26">
        <v>3407</v>
      </c>
      <c r="AB176" s="26">
        <v>3409</v>
      </c>
      <c r="AC176" s="26">
        <v>3411</v>
      </c>
      <c r="AD176" s="26">
        <v>3422</v>
      </c>
      <c r="AE176" s="26">
        <v>3428</v>
      </c>
      <c r="AG176" s="16" t="s">
        <v>176</v>
      </c>
      <c r="AH176" s="29">
        <v>0</v>
      </c>
      <c r="AI176" s="29">
        <f t="shared" si="139"/>
        <v>5.9224163458691142E-4</v>
      </c>
      <c r="AJ176" s="29">
        <f t="shared" si="140"/>
        <v>0</v>
      </c>
      <c r="AK176" s="29">
        <f t="shared" si="141"/>
        <v>0</v>
      </c>
      <c r="AL176" s="29">
        <f t="shared" si="142"/>
        <v>6.8067475584492453E-3</v>
      </c>
      <c r="AM176" s="29">
        <f t="shared" si="143"/>
        <v>5.8788947677836567E-4</v>
      </c>
      <c r="AN176" s="29">
        <f t="shared" si="144"/>
        <v>0</v>
      </c>
      <c r="AO176" s="29">
        <f t="shared" si="145"/>
        <v>0</v>
      </c>
      <c r="AP176" s="29">
        <f t="shared" si="146"/>
        <v>8.8131609870740308E-4</v>
      </c>
      <c r="AQ176" s="29">
        <f t="shared" si="147"/>
        <v>5.87026709715292E-4</v>
      </c>
      <c r="AR176" s="29">
        <f t="shared" si="148"/>
        <v>5.8668231152830743E-4</v>
      </c>
      <c r="AS176" s="29">
        <f t="shared" si="149"/>
        <v>3.2248607446496626E-3</v>
      </c>
      <c r="AT176" s="29">
        <f t="shared" si="150"/>
        <v>1.7533606078316774E-3</v>
      </c>
      <c r="AW176" s="16" t="s">
        <v>176</v>
      </c>
      <c r="AX176" s="32">
        <f t="shared" si="127"/>
        <v>1.9741387819563713E-4</v>
      </c>
      <c r="AY176" s="32">
        <f t="shared" si="128"/>
        <v>1.9741387819563713E-4</v>
      </c>
      <c r="AZ176" s="32">
        <f t="shared" si="129"/>
        <v>2.268915852816415E-3</v>
      </c>
      <c r="BA176" s="32">
        <f t="shared" si="130"/>
        <v>2.4648790117425367E-3</v>
      </c>
      <c r="BB176" s="32">
        <f t="shared" si="131"/>
        <v>2.4648790117425367E-3</v>
      </c>
      <c r="BC176" s="32">
        <f t="shared" si="132"/>
        <v>1.9596315892612189E-4</v>
      </c>
      <c r="BD176" s="32">
        <f t="shared" si="133"/>
        <v>2.9377203290246768E-4</v>
      </c>
      <c r="BE176" s="32">
        <f t="shared" si="134"/>
        <v>4.894476028075651E-4</v>
      </c>
      <c r="BF176" s="32">
        <f t="shared" si="135"/>
        <v>6.8500837331700087E-4</v>
      </c>
      <c r="BG176" s="32">
        <f t="shared" si="136"/>
        <v>1.4661899219644205E-3</v>
      </c>
      <c r="BH176" s="41">
        <f t="shared" si="137"/>
        <v>1.8549678880032158E-3</v>
      </c>
      <c r="BI176" s="46">
        <f t="shared" si="138"/>
        <v>-1.1975016505495324</v>
      </c>
      <c r="BJ176" s="41" t="b">
        <f t="shared" si="125"/>
        <v>0</v>
      </c>
      <c r="BK176" s="41" t="b">
        <f t="shared" si="126"/>
        <v>1</v>
      </c>
      <c r="BL176" s="42" t="str">
        <f>_xlfn.XLOOKUP(AW176,'County Population Strata'!$A$3:$A$66,'County Population Strata'!$P$3:$P$66)</f>
        <v>Tiny</v>
      </c>
    </row>
    <row r="177" spans="18:64" x14ac:dyDescent="0.2">
      <c r="R177" s="16" t="s">
        <v>178</v>
      </c>
      <c r="S177" s="26">
        <v>25910</v>
      </c>
      <c r="T177" s="26">
        <v>26063</v>
      </c>
      <c r="U177" s="26">
        <v>26154</v>
      </c>
      <c r="V177" s="26">
        <v>26262</v>
      </c>
      <c r="W177" s="26">
        <v>26464</v>
      </c>
      <c r="X177" s="26">
        <v>26672</v>
      </c>
      <c r="Y177" s="26">
        <v>26937</v>
      </c>
      <c r="Z177" s="26">
        <v>27145</v>
      </c>
      <c r="AA177" s="26">
        <v>27670</v>
      </c>
      <c r="AB177" s="26">
        <v>27983</v>
      </c>
      <c r="AC177" s="26">
        <v>28285</v>
      </c>
      <c r="AD177" s="26">
        <v>28533</v>
      </c>
      <c r="AE177" s="26">
        <v>28946</v>
      </c>
      <c r="AG177" s="16" t="s">
        <v>178</v>
      </c>
      <c r="AH177" s="29">
        <v>0</v>
      </c>
      <c r="AI177" s="29">
        <f t="shared" si="139"/>
        <v>5.9050559629486681E-3</v>
      </c>
      <c r="AJ177" s="29">
        <f t="shared" si="140"/>
        <v>3.4915397306526492E-3</v>
      </c>
      <c r="AK177" s="29">
        <f t="shared" si="141"/>
        <v>4.1293874741913286E-3</v>
      </c>
      <c r="AL177" s="29">
        <f t="shared" si="142"/>
        <v>7.6917218795217422E-3</v>
      </c>
      <c r="AM177" s="29">
        <f t="shared" si="143"/>
        <v>7.8597339782345826E-3</v>
      </c>
      <c r="AN177" s="29">
        <f t="shared" si="144"/>
        <v>9.9355128974205151E-3</v>
      </c>
      <c r="AO177" s="29">
        <f t="shared" si="145"/>
        <v>7.7217210528269667E-3</v>
      </c>
      <c r="AP177" s="29">
        <f t="shared" si="146"/>
        <v>1.9340578375391416E-2</v>
      </c>
      <c r="AQ177" s="29">
        <f t="shared" si="147"/>
        <v>1.1311890133718829E-2</v>
      </c>
      <c r="AR177" s="29">
        <f t="shared" si="148"/>
        <v>1.0792266733373834E-2</v>
      </c>
      <c r="AS177" s="29">
        <f t="shared" si="149"/>
        <v>8.7678981792469503E-3</v>
      </c>
      <c r="AT177" s="29">
        <f t="shared" si="150"/>
        <v>1.4474468159674762E-2</v>
      </c>
      <c r="AW177" s="16" t="s">
        <v>178</v>
      </c>
      <c r="AX177" s="32">
        <f t="shared" si="127"/>
        <v>3.1321985645337727E-3</v>
      </c>
      <c r="AY177" s="32">
        <f t="shared" si="128"/>
        <v>4.5086610559308821E-3</v>
      </c>
      <c r="AZ177" s="32">
        <f t="shared" si="129"/>
        <v>5.1042163614552398E-3</v>
      </c>
      <c r="BA177" s="32">
        <f t="shared" si="130"/>
        <v>6.5602811106492175E-3</v>
      </c>
      <c r="BB177" s="32">
        <f t="shared" si="131"/>
        <v>8.4956562517256133E-3</v>
      </c>
      <c r="BC177" s="32">
        <f t="shared" si="132"/>
        <v>8.5056559761606879E-3</v>
      </c>
      <c r="BD177" s="32">
        <f t="shared" si="133"/>
        <v>1.2332604108546299E-2</v>
      </c>
      <c r="BE177" s="32">
        <f t="shared" si="134"/>
        <v>1.2791396520645737E-2</v>
      </c>
      <c r="BF177" s="32">
        <f t="shared" si="135"/>
        <v>1.3814911747494692E-2</v>
      </c>
      <c r="BG177" s="32">
        <f t="shared" si="136"/>
        <v>1.0290685015446537E-2</v>
      </c>
      <c r="BH177" s="41">
        <f t="shared" si="137"/>
        <v>1.1344877690765183E-2</v>
      </c>
      <c r="BI177" s="46">
        <f t="shared" si="138"/>
        <v>-0.1182775647805665</v>
      </c>
      <c r="BJ177" s="41" t="b">
        <f t="shared" si="125"/>
        <v>0</v>
      </c>
      <c r="BK177" s="41" t="b">
        <f t="shared" si="126"/>
        <v>0</v>
      </c>
      <c r="BL177" s="42" t="str">
        <f>_xlfn.XLOOKUP(AW177,'County Population Strata'!$A$3:$A$66,'County Population Strata'!$P$3:$P$66)</f>
        <v>Small</v>
      </c>
    </row>
    <row r="178" spans="18:64" x14ac:dyDescent="0.2">
      <c r="R178" s="16" t="s">
        <v>177</v>
      </c>
      <c r="S178" s="26">
        <v>4271</v>
      </c>
      <c r="T178" s="26">
        <v>4272</v>
      </c>
      <c r="U178" s="26">
        <v>4277</v>
      </c>
      <c r="V178" s="26">
        <v>4277</v>
      </c>
      <c r="W178" s="26">
        <v>4277</v>
      </c>
      <c r="X178" s="26">
        <v>4277</v>
      </c>
      <c r="Y178" s="26">
        <v>4294</v>
      </c>
      <c r="Z178" s="26">
        <v>4294</v>
      </c>
      <c r="AA178" s="26">
        <v>4300</v>
      </c>
      <c r="AB178" s="26">
        <v>4302</v>
      </c>
      <c r="AC178" s="26">
        <v>4303</v>
      </c>
      <c r="AD178" s="26">
        <v>4348</v>
      </c>
      <c r="AE178" s="26">
        <v>4452</v>
      </c>
      <c r="AG178" s="16" t="s">
        <v>177</v>
      </c>
      <c r="AH178" s="29">
        <v>0</v>
      </c>
      <c r="AI178" s="29">
        <f t="shared" si="139"/>
        <v>2.3413720440177945E-4</v>
      </c>
      <c r="AJ178" s="29">
        <f t="shared" si="140"/>
        <v>1.1704119850187266E-3</v>
      </c>
      <c r="AK178" s="29">
        <f t="shared" si="141"/>
        <v>0</v>
      </c>
      <c r="AL178" s="29">
        <f t="shared" si="142"/>
        <v>0</v>
      </c>
      <c r="AM178" s="29">
        <f t="shared" si="143"/>
        <v>0</v>
      </c>
      <c r="AN178" s="29">
        <f t="shared" si="144"/>
        <v>3.9747486555997196E-3</v>
      </c>
      <c r="AO178" s="29">
        <f t="shared" si="145"/>
        <v>0</v>
      </c>
      <c r="AP178" s="29">
        <f t="shared" si="146"/>
        <v>1.3972985561248254E-3</v>
      </c>
      <c r="AQ178" s="29">
        <f t="shared" si="147"/>
        <v>4.6511627906976747E-4</v>
      </c>
      <c r="AR178" s="29">
        <f t="shared" si="148"/>
        <v>2.3245002324500232E-4</v>
      </c>
      <c r="AS178" s="29">
        <f t="shared" si="149"/>
        <v>1.0457820125493842E-2</v>
      </c>
      <c r="AT178" s="29">
        <f t="shared" si="150"/>
        <v>2.391904323827047E-2</v>
      </c>
      <c r="AW178" s="16" t="s">
        <v>177</v>
      </c>
      <c r="AX178" s="32">
        <f t="shared" si="127"/>
        <v>4.6818306314016871E-4</v>
      </c>
      <c r="AY178" s="32">
        <f t="shared" si="128"/>
        <v>4.6818306314016871E-4</v>
      </c>
      <c r="AZ178" s="32">
        <f t="shared" si="129"/>
        <v>3.9013732833957556E-4</v>
      </c>
      <c r="BA178" s="32">
        <f t="shared" si="130"/>
        <v>0</v>
      </c>
      <c r="BB178" s="32">
        <f t="shared" si="131"/>
        <v>1.3249162185332399E-3</v>
      </c>
      <c r="BC178" s="32">
        <f t="shared" si="132"/>
        <v>1.3249162185332399E-3</v>
      </c>
      <c r="BD178" s="32">
        <f t="shared" si="133"/>
        <v>1.7906824039081819E-3</v>
      </c>
      <c r="BE178" s="32">
        <f t="shared" si="134"/>
        <v>6.2080494506486434E-4</v>
      </c>
      <c r="BF178" s="32">
        <f t="shared" si="135"/>
        <v>6.9828828614653174E-4</v>
      </c>
      <c r="BG178" s="32">
        <f t="shared" si="136"/>
        <v>3.7184621426028706E-3</v>
      </c>
      <c r="BH178" s="41">
        <f t="shared" si="137"/>
        <v>1.1536437795669771E-2</v>
      </c>
      <c r="BI178" s="46">
        <f t="shared" si="138"/>
        <v>-9.6492712934525465E-2</v>
      </c>
      <c r="BJ178" s="41" t="b">
        <f t="shared" si="125"/>
        <v>0</v>
      </c>
      <c r="BK178" s="41" t="b">
        <f t="shared" si="126"/>
        <v>0</v>
      </c>
      <c r="BL178" s="42" t="str">
        <f>_xlfn.XLOOKUP(AW178,'County Population Strata'!$A$3:$A$66,'County Population Strata'!$P$3:$P$66)</f>
        <v>Tiny</v>
      </c>
    </row>
    <row r="179" spans="18:64" x14ac:dyDescent="0.2">
      <c r="R179" s="16" t="s">
        <v>179</v>
      </c>
      <c r="S179" s="26">
        <v>133171</v>
      </c>
      <c r="T179" s="26">
        <v>134606</v>
      </c>
      <c r="U179" s="26">
        <v>136123</v>
      </c>
      <c r="V179" s="26">
        <v>138277</v>
      </c>
      <c r="W179" s="26">
        <v>140988</v>
      </c>
      <c r="X179" s="26">
        <v>143765</v>
      </c>
      <c r="Y179" s="26">
        <v>146124</v>
      </c>
      <c r="Z179" s="26">
        <v>149794</v>
      </c>
      <c r="AA179" s="26">
        <v>152984</v>
      </c>
      <c r="AB179" s="26">
        <v>156745</v>
      </c>
      <c r="AC179" s="26">
        <v>159406</v>
      </c>
      <c r="AD179" s="26">
        <v>162284</v>
      </c>
      <c r="AE179" s="26">
        <v>165658</v>
      </c>
      <c r="AG179" s="16" t="s">
        <v>179</v>
      </c>
      <c r="AH179" s="29">
        <v>0</v>
      </c>
      <c r="AI179" s="29">
        <f t="shared" si="139"/>
        <v>1.0775619316517861E-2</v>
      </c>
      <c r="AJ179" s="29">
        <f t="shared" si="140"/>
        <v>1.1269928532160528E-2</v>
      </c>
      <c r="AK179" s="29">
        <f t="shared" si="141"/>
        <v>1.5823923951132433E-2</v>
      </c>
      <c r="AL179" s="29">
        <f t="shared" si="142"/>
        <v>1.9605574318216332E-2</v>
      </c>
      <c r="AM179" s="29">
        <f t="shared" si="143"/>
        <v>1.9696711776888812E-2</v>
      </c>
      <c r="AN179" s="29">
        <f t="shared" si="144"/>
        <v>1.6408722568079851E-2</v>
      </c>
      <c r="AO179" s="29">
        <f t="shared" si="145"/>
        <v>2.5115655196956011E-2</v>
      </c>
      <c r="AP179" s="29">
        <f t="shared" si="146"/>
        <v>2.1295913053927393E-2</v>
      </c>
      <c r="AQ179" s="29">
        <f t="shared" si="147"/>
        <v>2.4584270250483712E-2</v>
      </c>
      <c r="AR179" s="29">
        <f t="shared" si="148"/>
        <v>1.6976618073941751E-2</v>
      </c>
      <c r="AS179" s="29">
        <f t="shared" si="149"/>
        <v>1.8054527433095366E-2</v>
      </c>
      <c r="AT179" s="29">
        <f t="shared" si="150"/>
        <v>2.0790712577949767E-2</v>
      </c>
      <c r="AW179" s="16" t="s">
        <v>179</v>
      </c>
      <c r="AX179" s="32">
        <f t="shared" si="127"/>
        <v>7.3485159495594631E-3</v>
      </c>
      <c r="AY179" s="32">
        <f t="shared" si="128"/>
        <v>1.2623157266603608E-2</v>
      </c>
      <c r="AZ179" s="32">
        <f t="shared" si="129"/>
        <v>1.5566475600503097E-2</v>
      </c>
      <c r="BA179" s="32">
        <f t="shared" si="130"/>
        <v>1.8375403348745861E-2</v>
      </c>
      <c r="BB179" s="32">
        <f t="shared" si="131"/>
        <v>1.8570336221061665E-2</v>
      </c>
      <c r="BC179" s="32">
        <f t="shared" si="132"/>
        <v>2.0407029847308227E-2</v>
      </c>
      <c r="BD179" s="32">
        <f t="shared" si="133"/>
        <v>2.0940096939654419E-2</v>
      </c>
      <c r="BE179" s="32">
        <f t="shared" si="134"/>
        <v>2.3665279500455706E-2</v>
      </c>
      <c r="BF179" s="32">
        <f t="shared" si="135"/>
        <v>2.0952267126117616E-2</v>
      </c>
      <c r="BG179" s="32">
        <f t="shared" si="136"/>
        <v>1.9871805252506942E-2</v>
      </c>
      <c r="BH179" s="41">
        <f t="shared" si="137"/>
        <v>1.8607286028328961E-2</v>
      </c>
      <c r="BI179" s="46">
        <f t="shared" si="138"/>
        <v>0.70762765049419418</v>
      </c>
      <c r="BJ179" s="41" t="b">
        <f t="shared" si="125"/>
        <v>0</v>
      </c>
      <c r="BK179" s="41" t="b">
        <f t="shared" si="126"/>
        <v>0</v>
      </c>
      <c r="BL179" s="42" t="str">
        <f>_xlfn.XLOOKUP(AW179,'County Population Strata'!$A$3:$A$66,'County Population Strata'!$P$3:$P$66)</f>
        <v>Medium</v>
      </c>
    </row>
    <row r="180" spans="18:64" x14ac:dyDescent="0.2">
      <c r="R180" s="16" t="s">
        <v>180</v>
      </c>
      <c r="S180" s="26">
        <v>7648</v>
      </c>
      <c r="T180" s="26">
        <v>7712</v>
      </c>
      <c r="U180" s="26">
        <v>7789</v>
      </c>
      <c r="V180" s="26">
        <v>7915</v>
      </c>
      <c r="W180" s="26">
        <v>7953</v>
      </c>
      <c r="X180" s="26">
        <v>7959</v>
      </c>
      <c r="Y180" s="26">
        <v>7962</v>
      </c>
      <c r="Z180" s="26">
        <v>7969</v>
      </c>
      <c r="AA180" s="26">
        <v>7989</v>
      </c>
      <c r="AB180" s="26">
        <v>8027</v>
      </c>
      <c r="AC180" s="26">
        <v>8085</v>
      </c>
      <c r="AD180" s="26">
        <v>8114</v>
      </c>
      <c r="AE180" s="26">
        <v>8155</v>
      </c>
      <c r="AG180" s="16" t="s">
        <v>180</v>
      </c>
      <c r="AH180" s="29">
        <v>0</v>
      </c>
      <c r="AI180" s="29">
        <f t="shared" si="139"/>
        <v>8.368200836820083E-3</v>
      </c>
      <c r="AJ180" s="29">
        <f t="shared" si="140"/>
        <v>9.9844398340248955E-3</v>
      </c>
      <c r="AK180" s="29">
        <f t="shared" si="141"/>
        <v>1.617665939144948E-2</v>
      </c>
      <c r="AL180" s="29">
        <f t="shared" si="142"/>
        <v>4.8010107391029695E-3</v>
      </c>
      <c r="AM180" s="29">
        <f t="shared" si="143"/>
        <v>7.5443228970199924E-4</v>
      </c>
      <c r="AN180" s="29">
        <f t="shared" si="144"/>
        <v>3.769317753486619E-4</v>
      </c>
      <c r="AO180" s="29">
        <f t="shared" si="145"/>
        <v>8.7917608641044961E-4</v>
      </c>
      <c r="AP180" s="29">
        <f t="shared" si="146"/>
        <v>2.5097251850922323E-3</v>
      </c>
      <c r="AQ180" s="29">
        <f t="shared" si="147"/>
        <v>4.7565402428338963E-3</v>
      </c>
      <c r="AR180" s="29">
        <f t="shared" si="148"/>
        <v>7.2256135542543912E-3</v>
      </c>
      <c r="AS180" s="29">
        <f t="shared" si="149"/>
        <v>3.5868893011750153E-3</v>
      </c>
      <c r="AT180" s="29">
        <f t="shared" si="150"/>
        <v>5.0529948237614001E-3</v>
      </c>
      <c r="AW180" s="16" t="s">
        <v>180</v>
      </c>
      <c r="AX180" s="32">
        <f t="shared" si="127"/>
        <v>6.1175468902816598E-3</v>
      </c>
      <c r="AY180" s="32">
        <f t="shared" si="128"/>
        <v>1.1509766687431486E-2</v>
      </c>
      <c r="AZ180" s="32">
        <f t="shared" si="129"/>
        <v>1.032070332152578E-2</v>
      </c>
      <c r="BA180" s="32">
        <f t="shared" si="130"/>
        <v>7.2440341400848152E-3</v>
      </c>
      <c r="BB180" s="32">
        <f t="shared" si="131"/>
        <v>1.9774582680512102E-3</v>
      </c>
      <c r="BC180" s="32">
        <f t="shared" si="132"/>
        <v>6.7018005048703701E-4</v>
      </c>
      <c r="BD180" s="32">
        <f t="shared" si="133"/>
        <v>1.2552776822837813E-3</v>
      </c>
      <c r="BE180" s="32">
        <f t="shared" si="134"/>
        <v>2.715147171445526E-3</v>
      </c>
      <c r="BF180" s="32">
        <f t="shared" si="135"/>
        <v>4.8306263273935066E-3</v>
      </c>
      <c r="BG180" s="32">
        <f t="shared" si="136"/>
        <v>5.1896810327544335E-3</v>
      </c>
      <c r="BH180" s="41">
        <f t="shared" si="137"/>
        <v>5.2884992263969354E-3</v>
      </c>
      <c r="BI180" s="46">
        <f t="shared" si="138"/>
        <v>-0.80702905421794413</v>
      </c>
      <c r="BJ180" s="41" t="b">
        <f t="shared" si="125"/>
        <v>0</v>
      </c>
      <c r="BK180" s="41" t="b">
        <f t="shared" si="126"/>
        <v>0</v>
      </c>
      <c r="BL180" s="42" t="str">
        <f>_xlfn.XLOOKUP(AW180,'County Population Strata'!$A$3:$A$66,'County Population Strata'!$P$3:$P$66)</f>
        <v>Tiny</v>
      </c>
    </row>
    <row r="181" spans="18:64" x14ac:dyDescent="0.2">
      <c r="R181" s="16" t="s">
        <v>181</v>
      </c>
      <c r="S181" s="26">
        <v>2242</v>
      </c>
      <c r="T181" s="26">
        <v>2243</v>
      </c>
      <c r="U181" s="26">
        <v>2246</v>
      </c>
      <c r="V181" s="26">
        <v>2257</v>
      </c>
      <c r="W181" s="26">
        <v>2264</v>
      </c>
      <c r="X181" s="26">
        <v>2266</v>
      </c>
      <c r="Y181" s="26">
        <v>2281</v>
      </c>
      <c r="Z181" s="26">
        <v>2290</v>
      </c>
      <c r="AA181" s="26">
        <v>2331</v>
      </c>
      <c r="AB181" s="26">
        <v>2348</v>
      </c>
      <c r="AC181" s="26">
        <v>2360</v>
      </c>
      <c r="AD181" s="26">
        <v>2374</v>
      </c>
      <c r="AE181" s="26">
        <v>2386</v>
      </c>
      <c r="AG181" s="16" t="s">
        <v>181</v>
      </c>
      <c r="AH181" s="29">
        <v>0</v>
      </c>
      <c r="AI181" s="29">
        <f t="shared" si="139"/>
        <v>4.4603033006244426E-4</v>
      </c>
      <c r="AJ181" s="29">
        <f t="shared" si="140"/>
        <v>1.3374944271065537E-3</v>
      </c>
      <c r="AK181" s="29">
        <f t="shared" si="141"/>
        <v>4.8975957257346393E-3</v>
      </c>
      <c r="AL181" s="29">
        <f t="shared" si="142"/>
        <v>3.1014621178555605E-3</v>
      </c>
      <c r="AM181" s="29">
        <f t="shared" si="143"/>
        <v>8.8339222614840988E-4</v>
      </c>
      <c r="AN181" s="29">
        <f t="shared" si="144"/>
        <v>6.6195939982347752E-3</v>
      </c>
      <c r="AO181" s="29">
        <f t="shared" si="145"/>
        <v>3.9456378781236303E-3</v>
      </c>
      <c r="AP181" s="29">
        <f t="shared" si="146"/>
        <v>1.7903930131004366E-2</v>
      </c>
      <c r="AQ181" s="29">
        <f t="shared" si="147"/>
        <v>7.2930072930072927E-3</v>
      </c>
      <c r="AR181" s="29">
        <f t="shared" si="148"/>
        <v>5.1107325383304937E-3</v>
      </c>
      <c r="AS181" s="29">
        <f t="shared" si="149"/>
        <v>5.9322033898305086E-3</v>
      </c>
      <c r="AT181" s="29">
        <f t="shared" si="150"/>
        <v>5.054759898904802E-3</v>
      </c>
      <c r="AW181" s="16" t="s">
        <v>181</v>
      </c>
      <c r="AX181" s="32">
        <f t="shared" si="127"/>
        <v>5.9450825238966602E-4</v>
      </c>
      <c r="AY181" s="32">
        <f t="shared" si="128"/>
        <v>2.2270401609678792E-3</v>
      </c>
      <c r="AZ181" s="32">
        <f t="shared" si="129"/>
        <v>3.1121840902322514E-3</v>
      </c>
      <c r="BA181" s="32">
        <f t="shared" si="130"/>
        <v>2.9608166899128697E-3</v>
      </c>
      <c r="BB181" s="32">
        <f t="shared" si="131"/>
        <v>3.5348161140795822E-3</v>
      </c>
      <c r="BC181" s="32">
        <f t="shared" si="132"/>
        <v>3.8162080341689387E-3</v>
      </c>
      <c r="BD181" s="32">
        <f t="shared" si="133"/>
        <v>9.4897206691209237E-3</v>
      </c>
      <c r="BE181" s="32">
        <f t="shared" si="134"/>
        <v>9.7141917673784304E-3</v>
      </c>
      <c r="BF181" s="32">
        <f t="shared" si="135"/>
        <v>1.0102556654114052E-2</v>
      </c>
      <c r="BG181" s="32">
        <f t="shared" si="136"/>
        <v>6.1119810737227656E-3</v>
      </c>
      <c r="BH181" s="41">
        <f t="shared" si="137"/>
        <v>5.3658986090219353E-3</v>
      </c>
      <c r="BI181" s="46">
        <f t="shared" si="138"/>
        <v>-0.79822693916219967</v>
      </c>
      <c r="BJ181" s="41" t="b">
        <f t="shared" si="125"/>
        <v>0</v>
      </c>
      <c r="BK181" s="41" t="b">
        <f t="shared" si="126"/>
        <v>0</v>
      </c>
      <c r="BL181" s="42" t="str">
        <f>_xlfn.XLOOKUP(AW181,'County Population Strata'!$A$3:$A$66,'County Population Strata'!$P$3:$P$66)</f>
        <v>Tiny</v>
      </c>
    </row>
    <row r="182" spans="18:64" x14ac:dyDescent="0.2">
      <c r="R182" s="16" t="s">
        <v>182</v>
      </c>
      <c r="S182" s="26">
        <v>8488</v>
      </c>
      <c r="T182" s="26">
        <v>8503</v>
      </c>
      <c r="U182" s="26">
        <v>8516</v>
      </c>
      <c r="V182" s="26">
        <v>8526</v>
      </c>
      <c r="W182" s="26">
        <v>8547</v>
      </c>
      <c r="X182" s="26">
        <v>8567</v>
      </c>
      <c r="Y182" s="26">
        <v>8593</v>
      </c>
      <c r="Z182" s="26">
        <v>8607</v>
      </c>
      <c r="AA182" s="26">
        <v>8621</v>
      </c>
      <c r="AB182" s="26">
        <v>8650</v>
      </c>
      <c r="AC182" s="26">
        <v>8674</v>
      </c>
      <c r="AD182" s="26">
        <v>8687</v>
      </c>
      <c r="AE182" s="26">
        <v>8708</v>
      </c>
      <c r="AG182" s="16" t="s">
        <v>182</v>
      </c>
      <c r="AH182" s="29">
        <v>0</v>
      </c>
      <c r="AI182" s="29">
        <f t="shared" si="139"/>
        <v>1.767200754005655E-3</v>
      </c>
      <c r="AJ182" s="29">
        <f t="shared" si="140"/>
        <v>1.5288721627660826E-3</v>
      </c>
      <c r="AK182" s="29">
        <f t="shared" si="141"/>
        <v>1.1742602160638798E-3</v>
      </c>
      <c r="AL182" s="29">
        <f t="shared" si="142"/>
        <v>2.4630541871921183E-3</v>
      </c>
      <c r="AM182" s="29">
        <f t="shared" si="143"/>
        <v>2.34000234000234E-3</v>
      </c>
      <c r="AN182" s="29">
        <f t="shared" si="144"/>
        <v>3.0349013657056147E-3</v>
      </c>
      <c r="AO182" s="29">
        <f t="shared" si="145"/>
        <v>1.6292330967066218E-3</v>
      </c>
      <c r="AP182" s="29">
        <f t="shared" si="146"/>
        <v>1.6265830138259556E-3</v>
      </c>
      <c r="AQ182" s="29">
        <f t="shared" si="147"/>
        <v>3.3638789003595871E-3</v>
      </c>
      <c r="AR182" s="29">
        <f t="shared" si="148"/>
        <v>2.7745664739884392E-3</v>
      </c>
      <c r="AS182" s="29">
        <f t="shared" si="149"/>
        <v>1.4987318422872954E-3</v>
      </c>
      <c r="AT182" s="29">
        <f t="shared" si="150"/>
        <v>2.4174053182917004E-3</v>
      </c>
      <c r="AW182" s="16" t="s">
        <v>182</v>
      </c>
      <c r="AX182" s="32">
        <f t="shared" si="127"/>
        <v>1.0986909722572459E-3</v>
      </c>
      <c r="AY182" s="32">
        <f t="shared" si="128"/>
        <v>1.4901110442785391E-3</v>
      </c>
      <c r="AZ182" s="32">
        <f t="shared" si="129"/>
        <v>1.722062188674027E-3</v>
      </c>
      <c r="BA182" s="32">
        <f t="shared" si="130"/>
        <v>1.992438914419446E-3</v>
      </c>
      <c r="BB182" s="32">
        <f t="shared" si="131"/>
        <v>2.6126526309666908E-3</v>
      </c>
      <c r="BC182" s="32">
        <f t="shared" si="132"/>
        <v>2.3347122674715255E-3</v>
      </c>
      <c r="BD182" s="32">
        <f t="shared" si="133"/>
        <v>2.0969058254127308E-3</v>
      </c>
      <c r="BE182" s="32">
        <f t="shared" si="134"/>
        <v>2.2065650036307213E-3</v>
      </c>
      <c r="BF182" s="32">
        <f t="shared" si="135"/>
        <v>2.5883427960579942E-3</v>
      </c>
      <c r="BG182" s="32">
        <f t="shared" si="136"/>
        <v>2.5457257388784402E-3</v>
      </c>
      <c r="BH182" s="41">
        <f t="shared" si="137"/>
        <v>2.2302345448558117E-3</v>
      </c>
      <c r="BI182" s="46">
        <f t="shared" si="138"/>
        <v>-1.1548250790036734</v>
      </c>
      <c r="BJ182" s="41" t="b">
        <f t="shared" si="125"/>
        <v>0</v>
      </c>
      <c r="BK182" s="41" t="b">
        <f t="shared" si="126"/>
        <v>1</v>
      </c>
      <c r="BL182" s="42" t="str">
        <f>_xlfn.XLOOKUP(AW182,'County Population Strata'!$A$3:$A$66,'County Population Strata'!$P$3:$P$66)</f>
        <v>Small</v>
      </c>
    </row>
    <row r="183" spans="18:64" x14ac:dyDescent="0.2">
      <c r="R183" s="16" t="s">
        <v>183</v>
      </c>
      <c r="S183" s="26">
        <v>62994</v>
      </c>
      <c r="T183" s="26">
        <v>63269</v>
      </c>
      <c r="U183" s="26">
        <v>63472</v>
      </c>
      <c r="V183" s="26">
        <v>63811</v>
      </c>
      <c r="W183" s="26">
        <v>64108</v>
      </c>
      <c r="X183" s="26">
        <v>64529</v>
      </c>
      <c r="Y183" s="26">
        <v>64807</v>
      </c>
      <c r="Z183" s="26">
        <v>65240</v>
      </c>
      <c r="AA183" s="26">
        <v>65823</v>
      </c>
      <c r="AB183" s="26">
        <v>66587</v>
      </c>
      <c r="AC183" s="26">
        <v>67680</v>
      </c>
      <c r="AD183" s="26">
        <v>68720</v>
      </c>
      <c r="AE183" s="26">
        <v>70017</v>
      </c>
      <c r="AG183" s="16" t="s">
        <v>183</v>
      </c>
      <c r="AH183" s="29">
        <v>0</v>
      </c>
      <c r="AI183" s="29">
        <f t="shared" si="139"/>
        <v>4.3654951265199859E-3</v>
      </c>
      <c r="AJ183" s="29">
        <f t="shared" si="140"/>
        <v>3.208522341114922E-3</v>
      </c>
      <c r="AK183" s="29">
        <f t="shared" si="141"/>
        <v>5.3409377363246788E-3</v>
      </c>
      <c r="AL183" s="29">
        <f t="shared" si="142"/>
        <v>4.6543699362178934E-3</v>
      </c>
      <c r="AM183" s="29">
        <f t="shared" si="143"/>
        <v>6.5670431147438696E-3</v>
      </c>
      <c r="AN183" s="29">
        <f t="shared" si="144"/>
        <v>4.3081405259650703E-3</v>
      </c>
      <c r="AO183" s="29">
        <f t="shared" si="145"/>
        <v>6.6813770117425588E-3</v>
      </c>
      <c r="AP183" s="29">
        <f t="shared" si="146"/>
        <v>8.9362354383813614E-3</v>
      </c>
      <c r="AQ183" s="29">
        <f t="shared" si="147"/>
        <v>1.1606885131337071E-2</v>
      </c>
      <c r="AR183" s="29">
        <f t="shared" si="148"/>
        <v>1.6414615465481251E-2</v>
      </c>
      <c r="AS183" s="29">
        <f t="shared" si="149"/>
        <v>1.5366430260047281E-2</v>
      </c>
      <c r="AT183" s="29">
        <f t="shared" si="150"/>
        <v>1.8873690337601862E-2</v>
      </c>
      <c r="AW183" s="16" t="s">
        <v>183</v>
      </c>
      <c r="AX183" s="32">
        <f t="shared" si="127"/>
        <v>2.524672489211636E-3</v>
      </c>
      <c r="AY183" s="32">
        <f t="shared" si="128"/>
        <v>4.3049850679865295E-3</v>
      </c>
      <c r="AZ183" s="32">
        <f t="shared" si="129"/>
        <v>4.4012766712191653E-3</v>
      </c>
      <c r="BA183" s="32">
        <f t="shared" si="130"/>
        <v>5.5207835957621467E-3</v>
      </c>
      <c r="BB183" s="32">
        <f t="shared" si="131"/>
        <v>5.1765178589756105E-3</v>
      </c>
      <c r="BC183" s="32">
        <f t="shared" si="132"/>
        <v>5.8521868841505007E-3</v>
      </c>
      <c r="BD183" s="32">
        <f t="shared" si="133"/>
        <v>6.6419176586963308E-3</v>
      </c>
      <c r="BE183" s="32">
        <f t="shared" si="134"/>
        <v>9.0748325271536642E-3</v>
      </c>
      <c r="BF183" s="32">
        <f t="shared" si="135"/>
        <v>1.231924534506656E-2</v>
      </c>
      <c r="BG183" s="32">
        <f t="shared" si="136"/>
        <v>1.4462643618955202E-2</v>
      </c>
      <c r="BH183" s="41">
        <f t="shared" si="137"/>
        <v>1.6884912021043464E-2</v>
      </c>
      <c r="BI183" s="46">
        <f t="shared" si="138"/>
        <v>0.51175355347970797</v>
      </c>
      <c r="BJ183" s="41" t="b">
        <f t="shared" si="125"/>
        <v>0</v>
      </c>
      <c r="BK183" s="41" t="b">
        <f t="shared" si="126"/>
        <v>0</v>
      </c>
      <c r="BL183" s="42" t="str">
        <f>_xlfn.XLOOKUP(AW183,'County Population Strata'!$A$3:$A$66,'County Population Strata'!$P$3:$P$66)</f>
        <v>Small</v>
      </c>
    </row>
    <row r="184" spans="18:64" x14ac:dyDescent="0.2">
      <c r="R184" s="16" t="s">
        <v>184</v>
      </c>
      <c r="S184" s="26">
        <v>1097</v>
      </c>
      <c r="T184" s="26">
        <v>1102</v>
      </c>
      <c r="U184" s="26">
        <v>1111</v>
      </c>
      <c r="V184" s="26">
        <v>1119</v>
      </c>
      <c r="W184" s="26">
        <v>1130</v>
      </c>
      <c r="X184" s="26">
        <v>1136</v>
      </c>
      <c r="Y184" s="26">
        <v>1148</v>
      </c>
      <c r="Z184" s="26">
        <v>1162</v>
      </c>
      <c r="AA184" s="26">
        <v>1181</v>
      </c>
      <c r="AB184" s="26">
        <v>1200</v>
      </c>
      <c r="AC184" s="26">
        <v>1221</v>
      </c>
      <c r="AD184" s="26">
        <v>1290</v>
      </c>
      <c r="AE184" s="26">
        <v>1298</v>
      </c>
      <c r="AG184" s="16" t="s">
        <v>184</v>
      </c>
      <c r="AH184" s="29">
        <v>0</v>
      </c>
      <c r="AI184" s="29">
        <f t="shared" si="139"/>
        <v>4.5578851412944391E-3</v>
      </c>
      <c r="AJ184" s="29">
        <f t="shared" si="140"/>
        <v>8.1669691470054439E-3</v>
      </c>
      <c r="AK184" s="29">
        <f t="shared" si="141"/>
        <v>7.2007200720072004E-3</v>
      </c>
      <c r="AL184" s="29">
        <f t="shared" si="142"/>
        <v>9.8302055406613055E-3</v>
      </c>
      <c r="AM184" s="29">
        <f t="shared" si="143"/>
        <v>5.3097345132743362E-3</v>
      </c>
      <c r="AN184" s="29">
        <f t="shared" si="144"/>
        <v>1.0563380281690141E-2</v>
      </c>
      <c r="AO184" s="29">
        <f t="shared" si="145"/>
        <v>1.2195121951219513E-2</v>
      </c>
      <c r="AP184" s="29">
        <f t="shared" si="146"/>
        <v>1.6351118760757316E-2</v>
      </c>
      <c r="AQ184" s="29">
        <f t="shared" si="147"/>
        <v>1.6088060965283656E-2</v>
      </c>
      <c r="AR184" s="29">
        <f t="shared" si="148"/>
        <v>1.7500000000000002E-2</v>
      </c>
      <c r="AS184" s="29">
        <f t="shared" si="149"/>
        <v>5.6511056511056514E-2</v>
      </c>
      <c r="AT184" s="29">
        <f t="shared" si="150"/>
        <v>6.2015503875968991E-3</v>
      </c>
      <c r="AW184" s="16" t="s">
        <v>184</v>
      </c>
      <c r="AX184" s="32">
        <f t="shared" si="127"/>
        <v>4.2416180960999613E-3</v>
      </c>
      <c r="AY184" s="32">
        <f t="shared" si="128"/>
        <v>6.6418581201023617E-3</v>
      </c>
      <c r="AZ184" s="32">
        <f t="shared" si="129"/>
        <v>8.3992982532246508E-3</v>
      </c>
      <c r="BA184" s="32">
        <f t="shared" si="130"/>
        <v>7.4468867086476135E-3</v>
      </c>
      <c r="BB184" s="32">
        <f t="shared" si="131"/>
        <v>8.5677734452085947E-3</v>
      </c>
      <c r="BC184" s="32">
        <f t="shared" si="132"/>
        <v>9.3560789153946632E-3</v>
      </c>
      <c r="BD184" s="32">
        <f t="shared" si="133"/>
        <v>1.3036540331222321E-2</v>
      </c>
      <c r="BE184" s="32">
        <f t="shared" si="134"/>
        <v>1.4878100559086829E-2</v>
      </c>
      <c r="BF184" s="32">
        <f t="shared" si="135"/>
        <v>1.6646393242013658E-2</v>
      </c>
      <c r="BG184" s="32">
        <f t="shared" si="136"/>
        <v>3.0033039158780056E-2</v>
      </c>
      <c r="BH184" s="41">
        <f t="shared" si="137"/>
        <v>2.6737535632884474E-2</v>
      </c>
      <c r="BI184" s="46">
        <f t="shared" si="138"/>
        <v>1.6322266592219914</v>
      </c>
      <c r="BJ184" s="41" t="b">
        <f t="shared" si="125"/>
        <v>1</v>
      </c>
      <c r="BK184" s="41" t="b">
        <f t="shared" si="126"/>
        <v>0</v>
      </c>
      <c r="BL184" s="42" t="str">
        <f>_xlfn.XLOOKUP(AW184,'County Population Strata'!$A$3:$A$66,'County Population Strata'!$P$3:$P$66)</f>
        <v>Tiny</v>
      </c>
    </row>
    <row r="185" spans="18:64" x14ac:dyDescent="0.2">
      <c r="R185" s="16" t="s">
        <v>185</v>
      </c>
      <c r="S185" s="26">
        <v>5962</v>
      </c>
      <c r="T185" s="26">
        <v>5969</v>
      </c>
      <c r="U185" s="26">
        <v>5979</v>
      </c>
      <c r="V185" s="26">
        <v>5990</v>
      </c>
      <c r="W185" s="26">
        <v>5999</v>
      </c>
      <c r="X185" s="26">
        <v>6008</v>
      </c>
      <c r="Y185" s="26">
        <v>6015</v>
      </c>
      <c r="Z185" s="26">
        <v>6025</v>
      </c>
      <c r="AA185" s="26">
        <v>6047</v>
      </c>
      <c r="AB185" s="26">
        <v>6072</v>
      </c>
      <c r="AC185" s="26">
        <v>6105</v>
      </c>
      <c r="AD185" s="26">
        <v>6119</v>
      </c>
      <c r="AE185" s="26">
        <v>6139</v>
      </c>
      <c r="AG185" s="16" t="s">
        <v>185</v>
      </c>
      <c r="AH185" s="29">
        <v>0</v>
      </c>
      <c r="AI185" s="29">
        <f t="shared" si="139"/>
        <v>1.1741026501174102E-3</v>
      </c>
      <c r="AJ185" s="29">
        <f t="shared" si="140"/>
        <v>1.6753224995811693E-3</v>
      </c>
      <c r="AK185" s="29">
        <f t="shared" si="141"/>
        <v>1.8397725372135808E-3</v>
      </c>
      <c r="AL185" s="29">
        <f t="shared" si="142"/>
        <v>1.5025041736227045E-3</v>
      </c>
      <c r="AM185" s="29">
        <f t="shared" si="143"/>
        <v>1.5002500416736123E-3</v>
      </c>
      <c r="AN185" s="29">
        <f t="shared" si="144"/>
        <v>1.1651131824234355E-3</v>
      </c>
      <c r="AO185" s="29">
        <f t="shared" si="145"/>
        <v>1.6625103906899418E-3</v>
      </c>
      <c r="AP185" s="29">
        <f t="shared" si="146"/>
        <v>3.6514522821576765E-3</v>
      </c>
      <c r="AQ185" s="29">
        <f t="shared" si="147"/>
        <v>4.1342814618819251E-3</v>
      </c>
      <c r="AR185" s="29">
        <f t="shared" si="148"/>
        <v>5.434782608695652E-3</v>
      </c>
      <c r="AS185" s="29">
        <f t="shared" si="149"/>
        <v>2.293202293202293E-3</v>
      </c>
      <c r="AT185" s="29">
        <f t="shared" si="150"/>
        <v>3.2685079261317207E-3</v>
      </c>
      <c r="AW185" s="16" t="s">
        <v>185</v>
      </c>
      <c r="AX185" s="32">
        <f t="shared" si="127"/>
        <v>9.4980838323285985E-4</v>
      </c>
      <c r="AY185" s="32">
        <f t="shared" si="128"/>
        <v>1.5630658956373867E-3</v>
      </c>
      <c r="AZ185" s="32">
        <f t="shared" si="129"/>
        <v>1.6725330701391516E-3</v>
      </c>
      <c r="BA185" s="32">
        <f t="shared" si="130"/>
        <v>1.6141755841699659E-3</v>
      </c>
      <c r="BB185" s="32">
        <f t="shared" si="131"/>
        <v>1.3892891325732509E-3</v>
      </c>
      <c r="BC185" s="32">
        <f t="shared" si="132"/>
        <v>1.4426245382623299E-3</v>
      </c>
      <c r="BD185" s="32">
        <f t="shared" si="133"/>
        <v>2.1596919517570183E-3</v>
      </c>
      <c r="BE185" s="32">
        <f t="shared" si="134"/>
        <v>3.1494147115765144E-3</v>
      </c>
      <c r="BF185" s="32">
        <f t="shared" si="135"/>
        <v>4.4068387842450844E-3</v>
      </c>
      <c r="BG185" s="32">
        <f t="shared" si="136"/>
        <v>3.9540887879266238E-3</v>
      </c>
      <c r="BH185" s="41">
        <f t="shared" si="137"/>
        <v>3.6654976093432219E-3</v>
      </c>
      <c r="BI185" s="46">
        <f t="shared" si="138"/>
        <v>-0.99160219271674865</v>
      </c>
      <c r="BJ185" s="41" t="b">
        <f t="shared" si="125"/>
        <v>0</v>
      </c>
      <c r="BK185" s="41" t="b">
        <f t="shared" si="126"/>
        <v>0</v>
      </c>
      <c r="BL185" s="42" t="str">
        <f>_xlfn.XLOOKUP(AW185,'County Population Strata'!$A$3:$A$66,'County Population Strata'!$P$3:$P$66)</f>
        <v>Tiny</v>
      </c>
    </row>
    <row r="186" spans="18:64" x14ac:dyDescent="0.2">
      <c r="R186" s="16" t="s">
        <v>186</v>
      </c>
      <c r="S186" s="26">
        <v>11932</v>
      </c>
      <c r="T186" s="26">
        <v>11943</v>
      </c>
      <c r="U186" s="26">
        <v>11951</v>
      </c>
      <c r="V186" s="26">
        <v>11960</v>
      </c>
      <c r="W186" s="26">
        <v>11966</v>
      </c>
      <c r="X186" s="26">
        <v>12020</v>
      </c>
      <c r="Y186" s="26">
        <v>12052</v>
      </c>
      <c r="Z186" s="26">
        <v>12079</v>
      </c>
      <c r="AA186" s="26">
        <v>12132</v>
      </c>
      <c r="AB186" s="26">
        <v>12224</v>
      </c>
      <c r="AC186" s="26">
        <v>12302</v>
      </c>
      <c r="AD186" s="26">
        <v>12328</v>
      </c>
      <c r="AE186" s="26">
        <v>12348</v>
      </c>
      <c r="AG186" s="16" t="s">
        <v>186</v>
      </c>
      <c r="AH186" s="29">
        <v>0</v>
      </c>
      <c r="AI186" s="29">
        <f t="shared" si="139"/>
        <v>9.2189071404626219E-4</v>
      </c>
      <c r="AJ186" s="29">
        <f t="shared" si="140"/>
        <v>6.6984844678891404E-4</v>
      </c>
      <c r="AK186" s="29">
        <f t="shared" si="141"/>
        <v>7.5307505648062928E-4</v>
      </c>
      <c r="AL186" s="29">
        <f t="shared" si="142"/>
        <v>5.0167224080267553E-4</v>
      </c>
      <c r="AM186" s="29">
        <f t="shared" si="143"/>
        <v>4.5127862276449944E-3</v>
      </c>
      <c r="AN186" s="29">
        <f t="shared" si="144"/>
        <v>2.6622296173044926E-3</v>
      </c>
      <c r="AO186" s="29">
        <f t="shared" si="145"/>
        <v>2.2402920677066047E-3</v>
      </c>
      <c r="AP186" s="29">
        <f t="shared" si="146"/>
        <v>4.3877804454011092E-3</v>
      </c>
      <c r="AQ186" s="29">
        <f t="shared" si="147"/>
        <v>7.5832509066930433E-3</v>
      </c>
      <c r="AR186" s="29">
        <f t="shared" si="148"/>
        <v>6.3808900523560207E-3</v>
      </c>
      <c r="AS186" s="29">
        <f t="shared" si="149"/>
        <v>2.113477483336043E-3</v>
      </c>
      <c r="AT186" s="29">
        <f t="shared" si="150"/>
        <v>1.6223231667748216E-3</v>
      </c>
      <c r="AW186" s="16" t="s">
        <v>186</v>
      </c>
      <c r="AX186" s="32">
        <f t="shared" ref="AX186:AX207" si="151">AVERAGE(AH186:AJ186)</f>
        <v>5.3057972027839215E-4</v>
      </c>
      <c r="AY186" s="32">
        <f t="shared" ref="AY186:AY207" si="152">AVERAGE(AI186:AK186)</f>
        <v>7.8160473910526861E-4</v>
      </c>
      <c r="AZ186" s="32">
        <f t="shared" ref="AZ186:AZ207" si="153">AVERAGE(AJ186:AL186)</f>
        <v>6.4153191469073958E-4</v>
      </c>
      <c r="BA186" s="32">
        <f t="shared" ref="BA186:BA207" si="154">AVERAGE(AK186:AM186)</f>
        <v>1.9225111749760996E-3</v>
      </c>
      <c r="BB186" s="32">
        <f t="shared" ref="BB186:BB207" si="155">AVERAGE(AL186:AN186)</f>
        <v>2.5588960285840541E-3</v>
      </c>
      <c r="BC186" s="32">
        <f t="shared" ref="BC186:BC207" si="156">AVERAGE(AM186:AO186)</f>
        <v>3.1384359708853636E-3</v>
      </c>
      <c r="BD186" s="32">
        <f t="shared" ref="BD186:BD207" si="157">AVERAGE(AN186:AP186)</f>
        <v>3.0967673768040687E-3</v>
      </c>
      <c r="BE186" s="32">
        <f t="shared" ref="BE186:BE207" si="158">AVERAGE(AO186:AQ186)</f>
        <v>4.7371078066002527E-3</v>
      </c>
      <c r="BF186" s="32">
        <f t="shared" ref="BF186:BF207" si="159">AVERAGE(AP186:AR186)</f>
        <v>6.1173071348167253E-3</v>
      </c>
      <c r="BG186" s="32">
        <f t="shared" ref="BG186:BG207" si="160">AVERAGE(AQ186:AS186)</f>
        <v>5.3592061474617017E-3</v>
      </c>
      <c r="BH186" s="41">
        <f t="shared" si="137"/>
        <v>3.372230234155628E-3</v>
      </c>
      <c r="BI186" s="46">
        <f t="shared" si="138"/>
        <v>-1.0249535333986781</v>
      </c>
      <c r="BJ186" s="41" t="b">
        <f t="shared" si="125"/>
        <v>0</v>
      </c>
      <c r="BK186" s="41" t="b">
        <f t="shared" si="126"/>
        <v>1</v>
      </c>
      <c r="BL186" s="42" t="str">
        <f>_xlfn.XLOOKUP(AW186,'County Population Strata'!$A$3:$A$66,'County Population Strata'!$P$3:$P$66)</f>
        <v>Small</v>
      </c>
    </row>
    <row r="187" spans="18:64" x14ac:dyDescent="0.2">
      <c r="R187" s="16" t="s">
        <v>187</v>
      </c>
      <c r="S187" s="26">
        <v>17198</v>
      </c>
      <c r="T187" s="26">
        <v>17315</v>
      </c>
      <c r="U187" s="26">
        <v>17412</v>
      </c>
      <c r="V187" s="26">
        <v>17500</v>
      </c>
      <c r="W187" s="26">
        <v>17608</v>
      </c>
      <c r="X187" s="26">
        <v>17725</v>
      </c>
      <c r="Y187" s="26">
        <v>17890</v>
      </c>
      <c r="Z187" s="26">
        <v>18081</v>
      </c>
      <c r="AA187" s="26">
        <v>18372</v>
      </c>
      <c r="AB187" s="26">
        <v>18735</v>
      </c>
      <c r="AC187" s="26">
        <v>19029</v>
      </c>
      <c r="AD187" s="26">
        <v>19330</v>
      </c>
      <c r="AE187" s="26">
        <v>19734</v>
      </c>
      <c r="AG187" s="16" t="s">
        <v>187</v>
      </c>
      <c r="AH187" s="29">
        <v>0</v>
      </c>
      <c r="AI187" s="29">
        <f t="shared" si="139"/>
        <v>6.8031166414699385E-3</v>
      </c>
      <c r="AJ187" s="29">
        <f t="shared" si="140"/>
        <v>5.6020791221484262E-3</v>
      </c>
      <c r="AK187" s="29">
        <f t="shared" si="141"/>
        <v>5.0539857569492303E-3</v>
      </c>
      <c r="AL187" s="29">
        <f t="shared" si="142"/>
        <v>6.1714285714285716E-3</v>
      </c>
      <c r="AM187" s="29">
        <f t="shared" si="143"/>
        <v>6.6447069513857334E-3</v>
      </c>
      <c r="AN187" s="29">
        <f t="shared" si="144"/>
        <v>9.3088857545839208E-3</v>
      </c>
      <c r="AO187" s="29">
        <f t="shared" si="145"/>
        <v>1.0676355505869201E-2</v>
      </c>
      <c r="AP187" s="29">
        <f t="shared" si="146"/>
        <v>1.6094242575078813E-2</v>
      </c>
      <c r="AQ187" s="29">
        <f t="shared" si="147"/>
        <v>1.97583278902678E-2</v>
      </c>
      <c r="AR187" s="29">
        <f t="shared" si="148"/>
        <v>1.5692554043234587E-2</v>
      </c>
      <c r="AS187" s="29">
        <f t="shared" si="149"/>
        <v>1.5817962057911607E-2</v>
      </c>
      <c r="AT187" s="29">
        <f t="shared" si="150"/>
        <v>2.0900155199172273E-2</v>
      </c>
      <c r="AW187" s="16" t="s">
        <v>187</v>
      </c>
      <c r="AX187" s="32">
        <f t="shared" si="151"/>
        <v>4.1350652545394549E-3</v>
      </c>
      <c r="AY187" s="32">
        <f t="shared" si="152"/>
        <v>5.8197271735225308E-3</v>
      </c>
      <c r="AZ187" s="32">
        <f t="shared" si="153"/>
        <v>5.6091644835087424E-3</v>
      </c>
      <c r="BA187" s="32">
        <f t="shared" si="154"/>
        <v>5.9567070932545112E-3</v>
      </c>
      <c r="BB187" s="32">
        <f t="shared" si="155"/>
        <v>7.375007092466075E-3</v>
      </c>
      <c r="BC187" s="32">
        <f t="shared" si="156"/>
        <v>8.8766494039462848E-3</v>
      </c>
      <c r="BD187" s="32">
        <f t="shared" si="157"/>
        <v>1.2026494611843977E-2</v>
      </c>
      <c r="BE187" s="32">
        <f t="shared" si="158"/>
        <v>1.5509641990405271E-2</v>
      </c>
      <c r="BF187" s="32">
        <f t="shared" si="159"/>
        <v>1.7181708169527066E-2</v>
      </c>
      <c r="BG187" s="32">
        <f t="shared" si="160"/>
        <v>1.7089614663804667E-2</v>
      </c>
      <c r="BH187" s="41">
        <f t="shared" ref="BH187:BH207" si="161">AVERAGE(AR187:AT187)</f>
        <v>1.7470223766772822E-2</v>
      </c>
      <c r="BI187" s="46">
        <f t="shared" ref="BI187:BI207" si="162">(BH187-$BO$147)/$BO$148</f>
        <v>0.57831715069016387</v>
      </c>
      <c r="BJ187" s="41" t="b">
        <f t="shared" si="125"/>
        <v>0</v>
      </c>
      <c r="BK187" s="41" t="b">
        <f t="shared" si="126"/>
        <v>0</v>
      </c>
      <c r="BL187" s="42" t="str">
        <f>_xlfn.XLOOKUP(AW187,'County Population Strata'!$A$3:$A$66,'County Population Strata'!$P$3:$P$66)</f>
        <v>Small</v>
      </c>
    </row>
    <row r="188" spans="18:64" x14ac:dyDescent="0.2">
      <c r="R188" s="16" t="s">
        <v>188</v>
      </c>
      <c r="S188" s="26">
        <v>10960</v>
      </c>
      <c r="T188" s="26">
        <v>10972</v>
      </c>
      <c r="U188" s="26">
        <v>10997</v>
      </c>
      <c r="V188" s="26">
        <v>11033</v>
      </c>
      <c r="W188" s="26">
        <v>11069</v>
      </c>
      <c r="X188" s="26">
        <v>11118</v>
      </c>
      <c r="Y188" s="26">
        <v>11135</v>
      </c>
      <c r="Z188" s="26">
        <v>11164</v>
      </c>
      <c r="AA188" s="26">
        <v>11251</v>
      </c>
      <c r="AB188" s="26">
        <v>11393</v>
      </c>
      <c r="AC188" s="26">
        <v>11514</v>
      </c>
      <c r="AD188" s="26">
        <v>11639</v>
      </c>
      <c r="AE188" s="26">
        <v>11857</v>
      </c>
      <c r="AG188" s="16" t="s">
        <v>188</v>
      </c>
      <c r="AH188" s="29">
        <v>0</v>
      </c>
      <c r="AI188" s="29">
        <f t="shared" si="139"/>
        <v>1.0948905109489052E-3</v>
      </c>
      <c r="AJ188" s="29">
        <f t="shared" si="140"/>
        <v>2.2785271600437476E-3</v>
      </c>
      <c r="AK188" s="29">
        <f t="shared" si="141"/>
        <v>3.2736200782031463E-3</v>
      </c>
      <c r="AL188" s="29">
        <f t="shared" si="142"/>
        <v>3.262938457355207E-3</v>
      </c>
      <c r="AM188" s="29">
        <f t="shared" si="143"/>
        <v>4.4267774866744965E-3</v>
      </c>
      <c r="AN188" s="29">
        <f t="shared" si="144"/>
        <v>1.5290519877675841E-3</v>
      </c>
      <c r="AO188" s="29">
        <f t="shared" si="145"/>
        <v>2.6044005388414907E-3</v>
      </c>
      <c r="AP188" s="29">
        <f t="shared" si="146"/>
        <v>7.7929057685417417E-3</v>
      </c>
      <c r="AQ188" s="29">
        <f t="shared" si="147"/>
        <v>1.2621100346635855E-2</v>
      </c>
      <c r="AR188" s="29">
        <f t="shared" si="148"/>
        <v>1.0620556482050382E-2</v>
      </c>
      <c r="AS188" s="29">
        <f t="shared" si="149"/>
        <v>1.0856348792774015E-2</v>
      </c>
      <c r="AT188" s="29">
        <f t="shared" si="150"/>
        <v>1.8730131454592319E-2</v>
      </c>
      <c r="AW188" s="16" t="s">
        <v>188</v>
      </c>
      <c r="AX188" s="32">
        <f t="shared" si="151"/>
        <v>1.124472556997551E-3</v>
      </c>
      <c r="AY188" s="32">
        <f t="shared" si="152"/>
        <v>2.215679249731933E-3</v>
      </c>
      <c r="AZ188" s="32">
        <f t="shared" si="153"/>
        <v>2.9383618985340336E-3</v>
      </c>
      <c r="BA188" s="32">
        <f t="shared" si="154"/>
        <v>3.6544453407442831E-3</v>
      </c>
      <c r="BB188" s="32">
        <f t="shared" si="155"/>
        <v>3.0729226439324291E-3</v>
      </c>
      <c r="BC188" s="32">
        <f t="shared" si="156"/>
        <v>2.8534100044278568E-3</v>
      </c>
      <c r="BD188" s="32">
        <f t="shared" si="157"/>
        <v>3.9754527650502722E-3</v>
      </c>
      <c r="BE188" s="32">
        <f t="shared" si="158"/>
        <v>7.6728022180063624E-3</v>
      </c>
      <c r="BF188" s="32">
        <f t="shared" si="159"/>
        <v>1.0344854199075992E-2</v>
      </c>
      <c r="BG188" s="32">
        <f t="shared" si="160"/>
        <v>1.1366001873820085E-2</v>
      </c>
      <c r="BH188" s="41">
        <f t="shared" si="161"/>
        <v>1.3402345576472239E-2</v>
      </c>
      <c r="BI188" s="46">
        <f t="shared" si="162"/>
        <v>0.11570452188847165</v>
      </c>
      <c r="BJ188" s="41" t="b">
        <f t="shared" si="125"/>
        <v>0</v>
      </c>
      <c r="BK188" s="41" t="b">
        <f t="shared" si="126"/>
        <v>0</v>
      </c>
      <c r="BL188" s="42" t="str">
        <f>_xlfn.XLOOKUP(AW188,'County Population Strata'!$A$3:$A$66,'County Population Strata'!$P$3:$P$66)</f>
        <v>Small</v>
      </c>
    </row>
    <row r="189" spans="18:64" x14ac:dyDescent="0.2">
      <c r="R189" s="16" t="s">
        <v>189</v>
      </c>
      <c r="S189" s="26">
        <v>8689</v>
      </c>
      <c r="T189" s="26">
        <v>8690</v>
      </c>
      <c r="U189" s="26">
        <v>8693</v>
      </c>
      <c r="V189" s="26">
        <v>8696</v>
      </c>
      <c r="W189" s="26">
        <v>8700</v>
      </c>
      <c r="X189" s="26">
        <v>8691</v>
      </c>
      <c r="Y189" s="26">
        <v>8695</v>
      </c>
      <c r="Z189" s="26">
        <v>8702</v>
      </c>
      <c r="AA189" s="26">
        <v>8703</v>
      </c>
      <c r="AB189" s="26">
        <v>8707</v>
      </c>
      <c r="AC189" s="26">
        <v>8720</v>
      </c>
      <c r="AD189" s="26">
        <v>8723</v>
      </c>
      <c r="AE189" s="26">
        <v>8738</v>
      </c>
      <c r="AG189" s="16" t="s">
        <v>189</v>
      </c>
      <c r="AH189" s="29">
        <v>0</v>
      </c>
      <c r="AI189" s="29">
        <f t="shared" si="139"/>
        <v>1.1508804235239959E-4</v>
      </c>
      <c r="AJ189" s="29">
        <f t="shared" si="140"/>
        <v>3.4522439585730726E-4</v>
      </c>
      <c r="AK189" s="29">
        <f t="shared" si="141"/>
        <v>3.4510525710341653E-4</v>
      </c>
      <c r="AL189" s="29">
        <f t="shared" si="142"/>
        <v>4.5998160073597056E-4</v>
      </c>
      <c r="AM189" s="29">
        <f t="shared" si="143"/>
        <v>-1.0344827586206897E-3</v>
      </c>
      <c r="AN189" s="29">
        <f t="shared" si="144"/>
        <v>4.6024623173397769E-4</v>
      </c>
      <c r="AO189" s="29">
        <f t="shared" si="145"/>
        <v>8.0506037952846467E-4</v>
      </c>
      <c r="AP189" s="29">
        <f t="shared" si="146"/>
        <v>1.1491611123879568E-4</v>
      </c>
      <c r="AQ189" s="29">
        <f t="shared" si="147"/>
        <v>4.596116281741928E-4</v>
      </c>
      <c r="AR189" s="29">
        <f t="shared" si="148"/>
        <v>1.4930515677041461E-3</v>
      </c>
      <c r="AS189" s="29">
        <f t="shared" si="149"/>
        <v>3.4403669724770644E-4</v>
      </c>
      <c r="AT189" s="29">
        <f t="shared" si="150"/>
        <v>1.7195918835263098E-3</v>
      </c>
      <c r="AW189" s="16" t="s">
        <v>189</v>
      </c>
      <c r="AX189" s="32">
        <f t="shared" si="151"/>
        <v>1.5343747940323562E-4</v>
      </c>
      <c r="AY189" s="32">
        <f t="shared" si="152"/>
        <v>2.6847256510437444E-4</v>
      </c>
      <c r="AZ189" s="32">
        <f t="shared" si="153"/>
        <v>3.8343708456556482E-4</v>
      </c>
      <c r="BA189" s="32">
        <f t="shared" si="154"/>
        <v>-7.6465300260434199E-5</v>
      </c>
      <c r="BB189" s="32">
        <f t="shared" si="155"/>
        <v>-3.808497538358048E-5</v>
      </c>
      <c r="BC189" s="32">
        <f t="shared" si="156"/>
        <v>7.6941284213917559E-5</v>
      </c>
      <c r="BD189" s="32">
        <f t="shared" si="157"/>
        <v>4.60074240833746E-4</v>
      </c>
      <c r="BE189" s="32">
        <f t="shared" si="158"/>
        <v>4.5986270631381772E-4</v>
      </c>
      <c r="BF189" s="32">
        <f t="shared" si="159"/>
        <v>6.8919310237237821E-4</v>
      </c>
      <c r="BG189" s="32">
        <f t="shared" si="160"/>
        <v>7.6556663104201516E-4</v>
      </c>
      <c r="BH189" s="41">
        <f t="shared" si="161"/>
        <v>1.1855600494927209E-3</v>
      </c>
      <c r="BI189" s="46">
        <f t="shared" si="162"/>
        <v>-1.2736289349535219</v>
      </c>
      <c r="BJ189" s="41" t="b">
        <f t="shared" si="125"/>
        <v>0</v>
      </c>
      <c r="BK189" s="41" t="b">
        <f t="shared" si="126"/>
        <v>1</v>
      </c>
      <c r="BL189" s="42" t="str">
        <f>_xlfn.XLOOKUP(AW189,'County Population Strata'!$A$3:$A$66,'County Population Strata'!$P$3:$P$66)</f>
        <v>Tiny</v>
      </c>
    </row>
    <row r="190" spans="18:64" x14ac:dyDescent="0.2">
      <c r="R190" s="16" t="s">
        <v>190</v>
      </c>
      <c r="S190" s="26">
        <v>3088</v>
      </c>
      <c r="T190" s="26">
        <v>3097</v>
      </c>
      <c r="U190" s="26">
        <v>3104</v>
      </c>
      <c r="V190" s="26">
        <v>3112</v>
      </c>
      <c r="W190" s="26">
        <v>3126</v>
      </c>
      <c r="X190" s="26">
        <v>3144</v>
      </c>
      <c r="Y190" s="26">
        <v>3164</v>
      </c>
      <c r="Z190" s="26">
        <v>3200</v>
      </c>
      <c r="AA190" s="26">
        <v>3242</v>
      </c>
      <c r="AB190" s="26">
        <v>3289</v>
      </c>
      <c r="AC190" s="26">
        <v>3326</v>
      </c>
      <c r="AD190" s="26">
        <v>3391</v>
      </c>
      <c r="AE190" s="26">
        <v>3511</v>
      </c>
      <c r="AG190" s="16" t="s">
        <v>190</v>
      </c>
      <c r="AH190" s="29">
        <v>0</v>
      </c>
      <c r="AI190" s="29">
        <f t="shared" si="139"/>
        <v>2.9145077720207253E-3</v>
      </c>
      <c r="AJ190" s="29">
        <f t="shared" si="140"/>
        <v>2.2602518566354536E-3</v>
      </c>
      <c r="AK190" s="29">
        <f t="shared" si="141"/>
        <v>2.5773195876288659E-3</v>
      </c>
      <c r="AL190" s="29">
        <f t="shared" si="142"/>
        <v>4.4987146529562984E-3</v>
      </c>
      <c r="AM190" s="29">
        <f t="shared" si="143"/>
        <v>5.7581573896353169E-3</v>
      </c>
      <c r="AN190" s="29">
        <f t="shared" si="144"/>
        <v>6.3613231552162846E-3</v>
      </c>
      <c r="AO190" s="29">
        <f t="shared" si="145"/>
        <v>1.1378002528445006E-2</v>
      </c>
      <c r="AP190" s="29">
        <f t="shared" si="146"/>
        <v>1.3125E-2</v>
      </c>
      <c r="AQ190" s="29">
        <f t="shared" si="147"/>
        <v>1.4497223935842072E-2</v>
      </c>
      <c r="AR190" s="29">
        <f t="shared" si="148"/>
        <v>1.124961994527212E-2</v>
      </c>
      <c r="AS190" s="29">
        <f t="shared" si="149"/>
        <v>1.9542994588093807E-2</v>
      </c>
      <c r="AT190" s="29">
        <f t="shared" si="150"/>
        <v>3.5387791212031852E-2</v>
      </c>
      <c r="AW190" s="16" t="s">
        <v>190</v>
      </c>
      <c r="AX190" s="32">
        <f t="shared" si="151"/>
        <v>1.7249198762187262E-3</v>
      </c>
      <c r="AY190" s="32">
        <f t="shared" si="152"/>
        <v>2.5840264054283481E-3</v>
      </c>
      <c r="AZ190" s="32">
        <f t="shared" si="153"/>
        <v>3.112095365740206E-3</v>
      </c>
      <c r="BA190" s="32">
        <f t="shared" si="154"/>
        <v>4.2780638767401609E-3</v>
      </c>
      <c r="BB190" s="32">
        <f t="shared" si="155"/>
        <v>5.5393983992692991E-3</v>
      </c>
      <c r="BC190" s="32">
        <f t="shared" si="156"/>
        <v>7.8324943577655366E-3</v>
      </c>
      <c r="BD190" s="32">
        <f t="shared" si="157"/>
        <v>1.028810856122043E-2</v>
      </c>
      <c r="BE190" s="32">
        <f t="shared" si="158"/>
        <v>1.3000075488095694E-2</v>
      </c>
      <c r="BF190" s="32">
        <f t="shared" si="159"/>
        <v>1.295728129370473E-2</v>
      </c>
      <c r="BG190" s="32">
        <f t="shared" si="160"/>
        <v>1.5096612823069335E-2</v>
      </c>
      <c r="BH190" s="41">
        <f t="shared" si="161"/>
        <v>2.2060135248465926E-2</v>
      </c>
      <c r="BI190" s="46">
        <f t="shared" si="162"/>
        <v>1.1002971405472886</v>
      </c>
      <c r="BJ190" s="41" t="b">
        <f t="shared" si="125"/>
        <v>1</v>
      </c>
      <c r="BK190" s="41" t="b">
        <f t="shared" si="126"/>
        <v>0</v>
      </c>
      <c r="BL190" s="42" t="str">
        <f>_xlfn.XLOOKUP(AW190,'County Population Strata'!$A$3:$A$66,'County Population Strata'!$P$3:$P$66)</f>
        <v>Tiny</v>
      </c>
    </row>
    <row r="191" spans="18:64" x14ac:dyDescent="0.2">
      <c r="R191" s="16" t="s">
        <v>191</v>
      </c>
      <c r="S191" s="26">
        <v>13798</v>
      </c>
      <c r="T191" s="26">
        <v>13803</v>
      </c>
      <c r="U191" s="26">
        <v>13806</v>
      </c>
      <c r="V191" s="26">
        <v>13809</v>
      </c>
      <c r="W191" s="26">
        <v>13811</v>
      </c>
      <c r="X191" s="26">
        <v>13812</v>
      </c>
      <c r="Y191" s="26">
        <v>13813</v>
      </c>
      <c r="Z191" s="26">
        <v>13814</v>
      </c>
      <c r="AA191" s="26">
        <v>13820</v>
      </c>
      <c r="AB191" s="26">
        <v>13992</v>
      </c>
      <c r="AC191" s="26">
        <v>14154</v>
      </c>
      <c r="AD191" s="26">
        <v>14327</v>
      </c>
      <c r="AE191" s="26">
        <v>14518</v>
      </c>
      <c r="AG191" s="16" t="s">
        <v>191</v>
      </c>
      <c r="AH191" s="29">
        <v>0</v>
      </c>
      <c r="AI191" s="29">
        <f t="shared" si="139"/>
        <v>3.6237135816785042E-4</v>
      </c>
      <c r="AJ191" s="29">
        <f t="shared" si="140"/>
        <v>2.1734405564007825E-4</v>
      </c>
      <c r="AK191" s="29">
        <f t="shared" si="141"/>
        <v>2.17296827466319E-4</v>
      </c>
      <c r="AL191" s="29">
        <f t="shared" si="142"/>
        <v>1.4483307987544355E-4</v>
      </c>
      <c r="AM191" s="29">
        <f t="shared" si="143"/>
        <v>7.2406053146043011E-5</v>
      </c>
      <c r="AN191" s="29">
        <f t="shared" si="144"/>
        <v>7.2400810889081954E-5</v>
      </c>
      <c r="AO191" s="29">
        <f t="shared" si="145"/>
        <v>7.2395569391153259E-5</v>
      </c>
      <c r="AP191" s="29">
        <f t="shared" si="146"/>
        <v>4.3434197191255248E-4</v>
      </c>
      <c r="AQ191" s="29">
        <f t="shared" si="147"/>
        <v>1.2445730824891461E-2</v>
      </c>
      <c r="AR191" s="29">
        <f t="shared" si="148"/>
        <v>1.1578044596912522E-2</v>
      </c>
      <c r="AS191" s="29">
        <f t="shared" si="149"/>
        <v>1.2222693231595309E-2</v>
      </c>
      <c r="AT191" s="29">
        <f t="shared" si="150"/>
        <v>1.3331472045787674E-2</v>
      </c>
      <c r="AW191" s="16" t="s">
        <v>191</v>
      </c>
      <c r="AX191" s="32">
        <f t="shared" si="151"/>
        <v>1.9323847126930956E-4</v>
      </c>
      <c r="AY191" s="32">
        <f t="shared" si="152"/>
        <v>2.6567074709141588E-4</v>
      </c>
      <c r="AZ191" s="32">
        <f t="shared" si="153"/>
        <v>1.9315798766061359E-4</v>
      </c>
      <c r="BA191" s="32">
        <f t="shared" si="154"/>
        <v>1.4484532016260186E-4</v>
      </c>
      <c r="BB191" s="32">
        <f t="shared" si="155"/>
        <v>9.6546647970189488E-5</v>
      </c>
      <c r="BC191" s="32">
        <f t="shared" si="156"/>
        <v>7.2400811142092741E-5</v>
      </c>
      <c r="BD191" s="32">
        <f t="shared" si="157"/>
        <v>1.930461173975959E-4</v>
      </c>
      <c r="BE191" s="32">
        <f t="shared" si="158"/>
        <v>4.317489455398389E-3</v>
      </c>
      <c r="BF191" s="32">
        <f t="shared" si="159"/>
        <v>8.1527057979055104E-3</v>
      </c>
      <c r="BG191" s="32">
        <f t="shared" si="160"/>
        <v>1.2082156217799766E-2</v>
      </c>
      <c r="BH191" s="41">
        <f t="shared" si="161"/>
        <v>1.2377403291431834E-2</v>
      </c>
      <c r="BI191" s="46">
        <f t="shared" si="162"/>
        <v>-8.5532151665237825E-4</v>
      </c>
      <c r="BJ191" s="41" t="b">
        <f t="shared" si="125"/>
        <v>0</v>
      </c>
      <c r="BK191" s="41" t="b">
        <f t="shared" si="126"/>
        <v>0</v>
      </c>
      <c r="BL191" s="42" t="str">
        <f>_xlfn.XLOOKUP(AW191,'County Population Strata'!$A$3:$A$66,'County Population Strata'!$P$3:$P$66)</f>
        <v>Tiny</v>
      </c>
    </row>
    <row r="192" spans="18:64" x14ac:dyDescent="0.2">
      <c r="R192" s="16" t="s">
        <v>192</v>
      </c>
      <c r="S192" s="26">
        <v>1945</v>
      </c>
      <c r="T192" s="26">
        <v>1948</v>
      </c>
      <c r="U192" s="26">
        <v>1950</v>
      </c>
      <c r="V192" s="26">
        <v>1964</v>
      </c>
      <c r="W192" s="26">
        <v>1967</v>
      </c>
      <c r="X192" s="26">
        <v>1979</v>
      </c>
      <c r="Y192" s="26">
        <v>1988</v>
      </c>
      <c r="Z192" s="26">
        <v>1989</v>
      </c>
      <c r="AA192" s="26">
        <v>2010</v>
      </c>
      <c r="AB192" s="26">
        <v>2021</v>
      </c>
      <c r="AC192" s="26">
        <v>2026</v>
      </c>
      <c r="AD192" s="26">
        <v>2029</v>
      </c>
      <c r="AE192" s="26">
        <v>2037</v>
      </c>
      <c r="AG192" s="16" t="s">
        <v>192</v>
      </c>
      <c r="AH192" s="29">
        <v>0</v>
      </c>
      <c r="AI192" s="29">
        <f t="shared" si="139"/>
        <v>1.5424164524421595E-3</v>
      </c>
      <c r="AJ192" s="29">
        <f t="shared" si="140"/>
        <v>1.026694045174538E-3</v>
      </c>
      <c r="AK192" s="29">
        <f t="shared" si="141"/>
        <v>7.1794871794871795E-3</v>
      </c>
      <c r="AL192" s="29">
        <f t="shared" si="142"/>
        <v>1.5274949083503055E-3</v>
      </c>
      <c r="AM192" s="29">
        <f t="shared" si="143"/>
        <v>6.1006609049313676E-3</v>
      </c>
      <c r="AN192" s="29">
        <f t="shared" si="144"/>
        <v>4.5477513895907026E-3</v>
      </c>
      <c r="AO192" s="29">
        <f t="shared" si="145"/>
        <v>5.0301810865191151E-4</v>
      </c>
      <c r="AP192" s="29">
        <f t="shared" si="146"/>
        <v>1.0558069381598794E-2</v>
      </c>
      <c r="AQ192" s="29">
        <f t="shared" si="147"/>
        <v>5.4726368159203984E-3</v>
      </c>
      <c r="AR192" s="29">
        <f t="shared" si="148"/>
        <v>2.4740227610094011E-3</v>
      </c>
      <c r="AS192" s="29">
        <f t="shared" si="149"/>
        <v>1.4807502467917078E-3</v>
      </c>
      <c r="AT192" s="29">
        <f t="shared" si="150"/>
        <v>3.9428289797930017E-3</v>
      </c>
      <c r="AW192" s="16" t="s">
        <v>192</v>
      </c>
      <c r="AX192" s="32">
        <f t="shared" si="151"/>
        <v>8.5637016587223247E-4</v>
      </c>
      <c r="AY192" s="32">
        <f t="shared" si="152"/>
        <v>3.2495325590346257E-3</v>
      </c>
      <c r="AZ192" s="32">
        <f t="shared" si="153"/>
        <v>3.2445587110040077E-3</v>
      </c>
      <c r="BA192" s="32">
        <f t="shared" si="154"/>
        <v>4.9358809975896178E-3</v>
      </c>
      <c r="BB192" s="32">
        <f t="shared" si="155"/>
        <v>4.0586357342907919E-3</v>
      </c>
      <c r="BC192" s="32">
        <f t="shared" si="156"/>
        <v>3.7171434677246602E-3</v>
      </c>
      <c r="BD192" s="32">
        <f t="shared" si="157"/>
        <v>5.2029462932804693E-3</v>
      </c>
      <c r="BE192" s="32">
        <f t="shared" si="158"/>
        <v>5.511241435390367E-3</v>
      </c>
      <c r="BF192" s="32">
        <f t="shared" si="159"/>
        <v>6.168242986176198E-3</v>
      </c>
      <c r="BG192" s="32">
        <f t="shared" si="160"/>
        <v>3.1424699412405024E-3</v>
      </c>
      <c r="BH192" s="41">
        <f t="shared" si="161"/>
        <v>2.6325339958647039E-3</v>
      </c>
      <c r="BI192" s="46">
        <f t="shared" si="162"/>
        <v>-1.1090742482535154</v>
      </c>
      <c r="BJ192" s="41" t="b">
        <f t="shared" si="125"/>
        <v>0</v>
      </c>
      <c r="BK192" s="41" t="b">
        <f t="shared" si="126"/>
        <v>1</v>
      </c>
      <c r="BL192" s="42" t="str">
        <f>_xlfn.XLOOKUP(AW192,'County Population Strata'!$A$3:$A$66,'County Population Strata'!$P$3:$P$66)</f>
        <v>Tiny</v>
      </c>
    </row>
    <row r="193" spans="18:64" x14ac:dyDescent="0.2">
      <c r="R193" s="16" t="s">
        <v>193</v>
      </c>
      <c r="S193" s="26">
        <v>12488</v>
      </c>
      <c r="T193" s="26">
        <v>12567</v>
      </c>
      <c r="U193" s="26">
        <v>12636</v>
      </c>
      <c r="V193" s="26">
        <v>12699</v>
      </c>
      <c r="W193" s="26">
        <v>12780</v>
      </c>
      <c r="X193" s="26">
        <v>12853</v>
      </c>
      <c r="Y193" s="26">
        <v>12940</v>
      </c>
      <c r="Z193" s="26">
        <v>13040</v>
      </c>
      <c r="AA193" s="26">
        <v>13107</v>
      </c>
      <c r="AB193" s="26">
        <v>13183</v>
      </c>
      <c r="AC193" s="26">
        <v>13260</v>
      </c>
      <c r="AD193" s="26">
        <v>13315</v>
      </c>
      <c r="AE193" s="26">
        <v>13504</v>
      </c>
      <c r="AG193" s="16" t="s">
        <v>193</v>
      </c>
      <c r="AH193" s="29">
        <v>0</v>
      </c>
      <c r="AI193" s="29">
        <f t="shared" si="139"/>
        <v>6.3260730301089047E-3</v>
      </c>
      <c r="AJ193" s="29">
        <f t="shared" si="140"/>
        <v>5.4905705418954402E-3</v>
      </c>
      <c r="AK193" s="29">
        <f t="shared" si="141"/>
        <v>4.9857549857549857E-3</v>
      </c>
      <c r="AL193" s="29">
        <f t="shared" si="142"/>
        <v>6.3784549964564135E-3</v>
      </c>
      <c r="AM193" s="29">
        <f t="shared" si="143"/>
        <v>5.7120500782472617E-3</v>
      </c>
      <c r="AN193" s="29">
        <f t="shared" si="144"/>
        <v>6.7688477398272773E-3</v>
      </c>
      <c r="AO193" s="29">
        <f t="shared" si="145"/>
        <v>7.7279752704791345E-3</v>
      </c>
      <c r="AP193" s="29">
        <f t="shared" si="146"/>
        <v>5.1380368098159507E-3</v>
      </c>
      <c r="AQ193" s="29">
        <f t="shared" si="147"/>
        <v>5.7984283207446405E-3</v>
      </c>
      <c r="AR193" s="29">
        <f t="shared" si="148"/>
        <v>5.8408556474247135E-3</v>
      </c>
      <c r="AS193" s="29">
        <f t="shared" si="149"/>
        <v>4.1478129713423831E-3</v>
      </c>
      <c r="AT193" s="29">
        <f t="shared" si="150"/>
        <v>1.4194517461509576E-2</v>
      </c>
      <c r="AW193" s="16" t="s">
        <v>193</v>
      </c>
      <c r="AX193" s="32">
        <f t="shared" si="151"/>
        <v>3.938881190668115E-3</v>
      </c>
      <c r="AY193" s="32">
        <f t="shared" si="152"/>
        <v>5.6007995192531102E-3</v>
      </c>
      <c r="AZ193" s="32">
        <f t="shared" si="153"/>
        <v>5.6182601747022795E-3</v>
      </c>
      <c r="BA193" s="32">
        <f t="shared" si="154"/>
        <v>5.6920866868195542E-3</v>
      </c>
      <c r="BB193" s="32">
        <f t="shared" si="155"/>
        <v>6.2864509381769839E-3</v>
      </c>
      <c r="BC193" s="32">
        <f t="shared" si="156"/>
        <v>6.7362910295178909E-3</v>
      </c>
      <c r="BD193" s="32">
        <f t="shared" si="157"/>
        <v>6.5449532733741211E-3</v>
      </c>
      <c r="BE193" s="32">
        <f t="shared" si="158"/>
        <v>6.2214801336799089E-3</v>
      </c>
      <c r="BF193" s="32">
        <f t="shared" si="159"/>
        <v>5.5924402593284352E-3</v>
      </c>
      <c r="BG193" s="32">
        <f t="shared" si="160"/>
        <v>5.2623656465039118E-3</v>
      </c>
      <c r="BH193" s="41">
        <f t="shared" si="161"/>
        <v>8.0610620267588893E-3</v>
      </c>
      <c r="BI193" s="46">
        <f t="shared" si="162"/>
        <v>-0.49172399698896901</v>
      </c>
      <c r="BJ193" s="41" t="b">
        <f t="shared" si="125"/>
        <v>0</v>
      </c>
      <c r="BK193" s="41" t="b">
        <f t="shared" si="126"/>
        <v>0</v>
      </c>
      <c r="BL193" s="42" t="str">
        <f>_xlfn.XLOOKUP(AW193,'County Population Strata'!$A$3:$A$66,'County Population Strata'!$P$3:$P$66)</f>
        <v>Tiny</v>
      </c>
    </row>
    <row r="194" spans="18:64" x14ac:dyDescent="0.2">
      <c r="R194" s="16" t="s">
        <v>194</v>
      </c>
      <c r="S194" s="26">
        <v>5419</v>
      </c>
      <c r="T194" s="26">
        <v>5422</v>
      </c>
      <c r="U194" s="26">
        <v>5428</v>
      </c>
      <c r="V194" s="26">
        <v>5432</v>
      </c>
      <c r="W194" s="26">
        <v>5437</v>
      </c>
      <c r="X194" s="26">
        <v>5441</v>
      </c>
      <c r="Y194" s="26">
        <v>5446</v>
      </c>
      <c r="Z194" s="26">
        <v>5445</v>
      </c>
      <c r="AA194" s="26">
        <v>5436</v>
      </c>
      <c r="AB194" s="26">
        <v>5433</v>
      </c>
      <c r="AC194" s="26">
        <v>5438</v>
      </c>
      <c r="AD194" s="26">
        <v>5466</v>
      </c>
      <c r="AE194" s="26">
        <v>5474</v>
      </c>
      <c r="AG194" s="16" t="s">
        <v>194</v>
      </c>
      <c r="AH194" s="29">
        <v>0</v>
      </c>
      <c r="AI194" s="29">
        <f t="shared" si="139"/>
        <v>5.5360767669311681E-4</v>
      </c>
      <c r="AJ194" s="29">
        <f t="shared" si="140"/>
        <v>1.1066027296200663E-3</v>
      </c>
      <c r="AK194" s="29">
        <f t="shared" si="141"/>
        <v>7.3691967575534268E-4</v>
      </c>
      <c r="AL194" s="29">
        <f t="shared" si="142"/>
        <v>9.2047128129602355E-4</v>
      </c>
      <c r="AM194" s="29">
        <f t="shared" si="143"/>
        <v>7.356998344675372E-4</v>
      </c>
      <c r="AN194" s="29">
        <f t="shared" si="144"/>
        <v>9.1894872266127549E-4</v>
      </c>
      <c r="AO194" s="29">
        <f t="shared" si="145"/>
        <v>-1.836210062431142E-4</v>
      </c>
      <c r="AP194" s="29">
        <f t="shared" si="146"/>
        <v>-1.652892561983471E-3</v>
      </c>
      <c r="AQ194" s="29">
        <f t="shared" si="147"/>
        <v>-5.5187637969094923E-4</v>
      </c>
      <c r="AR194" s="29">
        <f t="shared" si="148"/>
        <v>9.2030185900975525E-4</v>
      </c>
      <c r="AS194" s="29">
        <f t="shared" si="149"/>
        <v>5.1489518205222505E-3</v>
      </c>
      <c r="AT194" s="29">
        <f t="shared" si="150"/>
        <v>1.4635931211123307E-3</v>
      </c>
      <c r="AW194" s="16" t="s">
        <v>194</v>
      </c>
      <c r="AX194" s="32">
        <f t="shared" si="151"/>
        <v>5.5340346877106109E-4</v>
      </c>
      <c r="AY194" s="32">
        <f t="shared" si="152"/>
        <v>7.9904336068950868E-4</v>
      </c>
      <c r="AZ194" s="32">
        <f t="shared" si="153"/>
        <v>9.2133122889047749E-4</v>
      </c>
      <c r="BA194" s="32">
        <f t="shared" si="154"/>
        <v>7.9769693050630111E-4</v>
      </c>
      <c r="BB194" s="32">
        <f t="shared" si="155"/>
        <v>8.5837327947494541E-4</v>
      </c>
      <c r="BC194" s="32">
        <f t="shared" si="156"/>
        <v>4.9034251696189945E-4</v>
      </c>
      <c r="BD194" s="32">
        <f t="shared" si="157"/>
        <v>-3.0585494852176991E-4</v>
      </c>
      <c r="BE194" s="32">
        <f t="shared" si="158"/>
        <v>-7.9612998263917827E-4</v>
      </c>
      <c r="BF194" s="32">
        <f t="shared" si="159"/>
        <v>-4.2815569422155491E-4</v>
      </c>
      <c r="BG194" s="32">
        <f t="shared" si="160"/>
        <v>1.8391257666136856E-3</v>
      </c>
      <c r="BH194" s="41">
        <f t="shared" si="161"/>
        <v>2.5109489335481123E-3</v>
      </c>
      <c r="BI194" s="46">
        <f t="shared" si="162"/>
        <v>-1.1229013056701829</v>
      </c>
      <c r="BJ194" s="41" t="b">
        <f t="shared" si="125"/>
        <v>0</v>
      </c>
      <c r="BK194" s="41" t="b">
        <f t="shared" si="126"/>
        <v>1</v>
      </c>
      <c r="BL194" s="42" t="str">
        <f>_xlfn.XLOOKUP(AW194,'County Population Strata'!$A$3:$A$66,'County Population Strata'!$P$3:$P$66)</f>
        <v>Tiny</v>
      </c>
    </row>
    <row r="195" spans="18:64" x14ac:dyDescent="0.2">
      <c r="R195" s="16" t="s">
        <v>195</v>
      </c>
      <c r="S195" s="26">
        <v>69614</v>
      </c>
      <c r="T195" s="26">
        <v>69825</v>
      </c>
      <c r="U195" s="26">
        <v>69927</v>
      </c>
      <c r="V195" s="26">
        <v>70176</v>
      </c>
      <c r="W195" s="26">
        <v>70410</v>
      </c>
      <c r="X195" s="26">
        <v>70455</v>
      </c>
      <c r="Y195" s="26">
        <v>70696</v>
      </c>
      <c r="Z195" s="26">
        <v>70831</v>
      </c>
      <c r="AA195" s="26">
        <v>71066</v>
      </c>
      <c r="AB195" s="26">
        <v>71576</v>
      </c>
      <c r="AC195" s="26">
        <v>72144</v>
      </c>
      <c r="AD195" s="26">
        <v>73047</v>
      </c>
      <c r="AE195" s="26">
        <v>73971</v>
      </c>
      <c r="AG195" s="16" t="s">
        <v>195</v>
      </c>
      <c r="AH195" s="29">
        <v>0</v>
      </c>
      <c r="AI195" s="29">
        <f t="shared" si="139"/>
        <v>3.0309995115924957E-3</v>
      </c>
      <c r="AJ195" s="29">
        <f t="shared" si="140"/>
        <v>1.460794844253491E-3</v>
      </c>
      <c r="AK195" s="29">
        <f t="shared" si="141"/>
        <v>3.5608563215925181E-3</v>
      </c>
      <c r="AL195" s="29">
        <f t="shared" si="142"/>
        <v>3.3344733242134062E-3</v>
      </c>
      <c r="AM195" s="29">
        <f t="shared" si="143"/>
        <v>6.3911376224968044E-4</v>
      </c>
      <c r="AN195" s="29">
        <f t="shared" si="144"/>
        <v>3.4206230927542403E-3</v>
      </c>
      <c r="AO195" s="29">
        <f t="shared" si="145"/>
        <v>1.9095847006902794E-3</v>
      </c>
      <c r="AP195" s="29">
        <f t="shared" si="146"/>
        <v>3.3177563496209288E-3</v>
      </c>
      <c r="AQ195" s="29">
        <f t="shared" si="147"/>
        <v>7.1764275462246367E-3</v>
      </c>
      <c r="AR195" s="29">
        <f t="shared" si="148"/>
        <v>7.9356208785067613E-3</v>
      </c>
      <c r="AS195" s="29">
        <f t="shared" si="149"/>
        <v>1.2516633399866932E-2</v>
      </c>
      <c r="AT195" s="29">
        <f t="shared" si="150"/>
        <v>1.2649390118690707E-2</v>
      </c>
      <c r="AW195" s="16" t="s">
        <v>195</v>
      </c>
      <c r="AX195" s="32">
        <f t="shared" si="151"/>
        <v>1.4972647852819956E-3</v>
      </c>
      <c r="AY195" s="32">
        <f t="shared" si="152"/>
        <v>2.6842168924795014E-3</v>
      </c>
      <c r="AZ195" s="32">
        <f t="shared" si="153"/>
        <v>2.7853748300198052E-3</v>
      </c>
      <c r="BA195" s="32">
        <f t="shared" si="154"/>
        <v>2.5114811360185348E-3</v>
      </c>
      <c r="BB195" s="32">
        <f t="shared" si="155"/>
        <v>2.4647367264057757E-3</v>
      </c>
      <c r="BC195" s="32">
        <f t="shared" si="156"/>
        <v>1.9897738518980666E-3</v>
      </c>
      <c r="BD195" s="32">
        <f t="shared" si="157"/>
        <v>2.8826547143551498E-3</v>
      </c>
      <c r="BE195" s="32">
        <f t="shared" si="158"/>
        <v>4.1345895321786147E-3</v>
      </c>
      <c r="BF195" s="32">
        <f t="shared" si="159"/>
        <v>6.1432682581174418E-3</v>
      </c>
      <c r="BG195" s="32">
        <f t="shared" si="160"/>
        <v>9.2095606081994425E-3</v>
      </c>
      <c r="BH195" s="41">
        <f t="shared" si="161"/>
        <v>1.1033881465688134E-2</v>
      </c>
      <c r="BI195" s="46">
        <f t="shared" si="162"/>
        <v>-0.15364508919989164</v>
      </c>
      <c r="BJ195" s="41" t="b">
        <f t="shared" si="125"/>
        <v>0</v>
      </c>
      <c r="BK195" s="41" t="b">
        <f t="shared" si="126"/>
        <v>0</v>
      </c>
      <c r="BL195" s="42" t="str">
        <f>_xlfn.XLOOKUP(AW195,'County Population Strata'!$A$3:$A$66,'County Population Strata'!$P$3:$P$66)</f>
        <v>Small</v>
      </c>
    </row>
    <row r="196" spans="18:64" x14ac:dyDescent="0.2">
      <c r="R196" s="16" t="s">
        <v>196</v>
      </c>
      <c r="S196" s="26">
        <v>3172</v>
      </c>
      <c r="T196" s="26">
        <v>3195</v>
      </c>
      <c r="U196" s="26">
        <v>3213</v>
      </c>
      <c r="V196" s="26">
        <v>3214</v>
      </c>
      <c r="W196" s="26">
        <v>3223</v>
      </c>
      <c r="X196" s="26">
        <v>3226</v>
      </c>
      <c r="Y196" s="26">
        <v>3232</v>
      </c>
      <c r="Z196" s="26">
        <v>3241</v>
      </c>
      <c r="AA196" s="26">
        <v>3252</v>
      </c>
      <c r="AB196" s="26">
        <v>3269</v>
      </c>
      <c r="AC196" s="26">
        <v>3279</v>
      </c>
      <c r="AD196" s="26">
        <v>3284</v>
      </c>
      <c r="AE196" s="26">
        <v>3296</v>
      </c>
      <c r="AG196" s="16" t="s">
        <v>196</v>
      </c>
      <c r="AH196" s="29">
        <v>0</v>
      </c>
      <c r="AI196" s="29">
        <f t="shared" si="139"/>
        <v>7.2509457755359392E-3</v>
      </c>
      <c r="AJ196" s="29">
        <f t="shared" si="140"/>
        <v>5.6338028169014088E-3</v>
      </c>
      <c r="AK196" s="29">
        <f t="shared" si="141"/>
        <v>3.1123560535325243E-4</v>
      </c>
      <c r="AL196" s="29">
        <f t="shared" si="142"/>
        <v>2.8002489110143126E-3</v>
      </c>
      <c r="AM196" s="29">
        <f t="shared" si="143"/>
        <v>9.3080980452994104E-4</v>
      </c>
      <c r="AN196" s="29">
        <f t="shared" si="144"/>
        <v>1.8598884066955983E-3</v>
      </c>
      <c r="AO196" s="29">
        <f t="shared" si="145"/>
        <v>2.7846534653465345E-3</v>
      </c>
      <c r="AP196" s="29">
        <f t="shared" si="146"/>
        <v>3.3940141931502622E-3</v>
      </c>
      <c r="AQ196" s="29">
        <f t="shared" si="147"/>
        <v>5.2275522755227555E-3</v>
      </c>
      <c r="AR196" s="29">
        <f t="shared" si="148"/>
        <v>3.0590394616090547E-3</v>
      </c>
      <c r="AS196" s="29">
        <f t="shared" si="149"/>
        <v>1.5248551387618177E-3</v>
      </c>
      <c r="AT196" s="29">
        <f t="shared" si="150"/>
        <v>3.6540803897685747E-3</v>
      </c>
      <c r="AW196" s="16" t="s">
        <v>196</v>
      </c>
      <c r="AX196" s="32">
        <f t="shared" si="151"/>
        <v>4.2949161974791157E-3</v>
      </c>
      <c r="AY196" s="32">
        <f t="shared" si="152"/>
        <v>4.3986613992635327E-3</v>
      </c>
      <c r="AZ196" s="32">
        <f t="shared" si="153"/>
        <v>2.9150957777563245E-3</v>
      </c>
      <c r="BA196" s="32">
        <f t="shared" si="154"/>
        <v>1.3474314402991685E-3</v>
      </c>
      <c r="BB196" s="32">
        <f t="shared" si="155"/>
        <v>1.8636490407466174E-3</v>
      </c>
      <c r="BC196" s="32">
        <f t="shared" si="156"/>
        <v>1.8584505588573579E-3</v>
      </c>
      <c r="BD196" s="32">
        <f t="shared" si="157"/>
        <v>2.679518688397465E-3</v>
      </c>
      <c r="BE196" s="32">
        <f t="shared" si="158"/>
        <v>3.8020733113398506E-3</v>
      </c>
      <c r="BF196" s="32">
        <f t="shared" si="159"/>
        <v>3.8935353100940239E-3</v>
      </c>
      <c r="BG196" s="32">
        <f t="shared" si="160"/>
        <v>3.2704822919645427E-3</v>
      </c>
      <c r="BH196" s="41">
        <f t="shared" si="161"/>
        <v>2.7459916633798161E-3</v>
      </c>
      <c r="BI196" s="46">
        <f t="shared" si="162"/>
        <v>-1.0961714651878809</v>
      </c>
      <c r="BJ196" s="41" t="b">
        <f t="shared" si="125"/>
        <v>0</v>
      </c>
      <c r="BK196" s="41" t="b">
        <f t="shared" si="126"/>
        <v>1</v>
      </c>
      <c r="BL196" s="42" t="str">
        <f>_xlfn.XLOOKUP(AW196,'County Population Strata'!$A$3:$A$66,'County Population Strata'!$P$3:$P$66)</f>
        <v>Tiny</v>
      </c>
    </row>
    <row r="197" spans="18:64" x14ac:dyDescent="0.2">
      <c r="R197" s="16" t="s">
        <v>197</v>
      </c>
      <c r="S197" s="26">
        <v>6266</v>
      </c>
      <c r="T197" s="26">
        <v>6301</v>
      </c>
      <c r="U197" s="26">
        <v>6327</v>
      </c>
      <c r="V197" s="26">
        <v>6365</v>
      </c>
      <c r="W197" s="26">
        <v>6384</v>
      </c>
      <c r="X197" s="26">
        <v>6407</v>
      </c>
      <c r="Y197" s="26">
        <v>6431</v>
      </c>
      <c r="Z197" s="26">
        <v>6440</v>
      </c>
      <c r="AA197" s="26">
        <v>6483</v>
      </c>
      <c r="AB197" s="26">
        <v>6506</v>
      </c>
      <c r="AC197" s="26">
        <v>6533</v>
      </c>
      <c r="AD197" s="26">
        <v>6563</v>
      </c>
      <c r="AE197" s="26">
        <v>6606</v>
      </c>
      <c r="AG197" s="16" t="s">
        <v>197</v>
      </c>
      <c r="AH197" s="29">
        <v>0</v>
      </c>
      <c r="AI197" s="29">
        <f t="shared" si="139"/>
        <v>5.5857006064474945E-3</v>
      </c>
      <c r="AJ197" s="29">
        <f t="shared" si="140"/>
        <v>4.126329154102523E-3</v>
      </c>
      <c r="AK197" s="29">
        <f t="shared" si="141"/>
        <v>6.006006006006006E-3</v>
      </c>
      <c r="AL197" s="29">
        <f t="shared" si="142"/>
        <v>2.9850746268656717E-3</v>
      </c>
      <c r="AM197" s="29">
        <f t="shared" si="143"/>
        <v>3.6027568922305762E-3</v>
      </c>
      <c r="AN197" s="29">
        <f t="shared" si="144"/>
        <v>3.7459029186826909E-3</v>
      </c>
      <c r="AO197" s="29">
        <f t="shared" si="145"/>
        <v>1.3994713108381278E-3</v>
      </c>
      <c r="AP197" s="29">
        <f t="shared" si="146"/>
        <v>6.6770186335403728E-3</v>
      </c>
      <c r="AQ197" s="29">
        <f t="shared" si="147"/>
        <v>3.5477402437143297E-3</v>
      </c>
      <c r="AR197" s="29">
        <f t="shared" si="148"/>
        <v>4.1500153704272982E-3</v>
      </c>
      <c r="AS197" s="29">
        <f t="shared" si="149"/>
        <v>4.5920710240318387E-3</v>
      </c>
      <c r="AT197" s="29">
        <f t="shared" si="150"/>
        <v>6.5518817613896083E-3</v>
      </c>
      <c r="AW197" s="16" t="s">
        <v>197</v>
      </c>
      <c r="AX197" s="32">
        <f t="shared" si="151"/>
        <v>3.2373432535166727E-3</v>
      </c>
      <c r="AY197" s="32">
        <f t="shared" si="152"/>
        <v>5.2393452555186751E-3</v>
      </c>
      <c r="AZ197" s="32">
        <f t="shared" si="153"/>
        <v>4.3724699289914007E-3</v>
      </c>
      <c r="BA197" s="32">
        <f t="shared" si="154"/>
        <v>4.1979458417007514E-3</v>
      </c>
      <c r="BB197" s="32">
        <f t="shared" si="155"/>
        <v>3.4445781459263129E-3</v>
      </c>
      <c r="BC197" s="32">
        <f t="shared" si="156"/>
        <v>2.9160437072504649E-3</v>
      </c>
      <c r="BD197" s="32">
        <f t="shared" si="157"/>
        <v>3.9407976210203968E-3</v>
      </c>
      <c r="BE197" s="32">
        <f t="shared" si="158"/>
        <v>3.8747433960309428E-3</v>
      </c>
      <c r="BF197" s="32">
        <f t="shared" si="159"/>
        <v>4.7915914158940002E-3</v>
      </c>
      <c r="BG197" s="32">
        <f t="shared" si="160"/>
        <v>4.0966088793911552E-3</v>
      </c>
      <c r="BH197" s="41">
        <f t="shared" si="161"/>
        <v>5.0979893852829148E-3</v>
      </c>
      <c r="BI197" s="46">
        <f t="shared" si="162"/>
        <v>-0.82869446657480661</v>
      </c>
      <c r="BJ197" s="41" t="b">
        <f t="shared" si="125"/>
        <v>0</v>
      </c>
      <c r="BK197" s="41" t="b">
        <f t="shared" si="126"/>
        <v>0</v>
      </c>
      <c r="BL197" s="42" t="str">
        <f>_xlfn.XLOOKUP(AW197,'County Population Strata'!$A$3:$A$66,'County Population Strata'!$P$3:$P$66)</f>
        <v>Tiny</v>
      </c>
    </row>
    <row r="198" spans="18:64" x14ac:dyDescent="0.2">
      <c r="R198" s="16" t="s">
        <v>198</v>
      </c>
      <c r="S198" s="26">
        <v>15591</v>
      </c>
      <c r="T198" s="26">
        <v>15617</v>
      </c>
      <c r="U198" s="26">
        <v>15638</v>
      </c>
      <c r="V198" s="26">
        <v>15670</v>
      </c>
      <c r="W198" s="26">
        <v>15725</v>
      </c>
      <c r="X198" s="26">
        <v>15848</v>
      </c>
      <c r="Y198" s="26">
        <v>15941</v>
      </c>
      <c r="Z198" s="26">
        <v>16100</v>
      </c>
      <c r="AA198" s="26">
        <v>16212</v>
      </c>
      <c r="AB198" s="26">
        <v>16369</v>
      </c>
      <c r="AC198" s="26">
        <v>16572</v>
      </c>
      <c r="AD198" s="26">
        <v>16824</v>
      </c>
      <c r="AE198" s="26">
        <v>17102</v>
      </c>
      <c r="AG198" s="16" t="s">
        <v>198</v>
      </c>
      <c r="AH198" s="29">
        <v>0</v>
      </c>
      <c r="AI198" s="29">
        <f t="shared" si="139"/>
        <v>1.6676287601821564E-3</v>
      </c>
      <c r="AJ198" s="29">
        <f t="shared" si="140"/>
        <v>1.344688480502017E-3</v>
      </c>
      <c r="AK198" s="29">
        <f t="shared" si="141"/>
        <v>2.0462974804962273E-3</v>
      </c>
      <c r="AL198" s="29">
        <f t="shared" si="142"/>
        <v>3.5098915124441607E-3</v>
      </c>
      <c r="AM198" s="29">
        <f t="shared" si="143"/>
        <v>7.8219395866454683E-3</v>
      </c>
      <c r="AN198" s="29">
        <f t="shared" si="144"/>
        <v>5.868248359414437E-3</v>
      </c>
      <c r="AO198" s="29">
        <f t="shared" si="145"/>
        <v>9.9742801580829307E-3</v>
      </c>
      <c r="AP198" s="29">
        <f t="shared" si="146"/>
        <v>6.956521739130435E-3</v>
      </c>
      <c r="AQ198" s="29">
        <f t="shared" si="147"/>
        <v>9.6841845546508758E-3</v>
      </c>
      <c r="AR198" s="29">
        <f t="shared" si="148"/>
        <v>1.2401490622518175E-2</v>
      </c>
      <c r="AS198" s="29">
        <f t="shared" si="149"/>
        <v>1.5206372194062274E-2</v>
      </c>
      <c r="AT198" s="29">
        <f t="shared" si="150"/>
        <v>1.6524013314312885E-2</v>
      </c>
      <c r="AW198" s="16" t="s">
        <v>198</v>
      </c>
      <c r="AX198" s="32">
        <f t="shared" si="151"/>
        <v>1.0041057468947246E-3</v>
      </c>
      <c r="AY198" s="32">
        <f t="shared" si="152"/>
        <v>1.6862049070601338E-3</v>
      </c>
      <c r="AZ198" s="32">
        <f t="shared" si="153"/>
        <v>2.3002924911474684E-3</v>
      </c>
      <c r="BA198" s="32">
        <f t="shared" si="154"/>
        <v>4.4593761931952854E-3</v>
      </c>
      <c r="BB198" s="32">
        <f t="shared" si="155"/>
        <v>5.733359819501356E-3</v>
      </c>
      <c r="BC198" s="32">
        <f t="shared" si="156"/>
        <v>7.8881560347142787E-3</v>
      </c>
      <c r="BD198" s="32">
        <f t="shared" si="157"/>
        <v>7.5996834188759334E-3</v>
      </c>
      <c r="BE198" s="32">
        <f t="shared" si="158"/>
        <v>8.8716621506214136E-3</v>
      </c>
      <c r="BF198" s="32">
        <f t="shared" si="159"/>
        <v>9.6807323054331623E-3</v>
      </c>
      <c r="BG198" s="32">
        <f t="shared" si="160"/>
        <v>1.2430682457077109E-2</v>
      </c>
      <c r="BH198" s="41">
        <f t="shared" si="161"/>
        <v>1.4710625376964446E-2</v>
      </c>
      <c r="BI198" s="46">
        <f t="shared" si="162"/>
        <v>0.26448644932104592</v>
      </c>
      <c r="BJ198" s="41" t="b">
        <f t="shared" si="125"/>
        <v>0</v>
      </c>
      <c r="BK198" s="41" t="b">
        <f t="shared" si="126"/>
        <v>0</v>
      </c>
      <c r="BL198" s="42" t="str">
        <f>_xlfn.XLOOKUP(AW198,'County Population Strata'!$A$3:$A$66,'County Population Strata'!$P$3:$P$66)</f>
        <v>Small</v>
      </c>
    </row>
    <row r="199" spans="18:64" x14ac:dyDescent="0.2">
      <c r="R199" s="16" t="s">
        <v>199</v>
      </c>
      <c r="S199" s="26">
        <v>3231</v>
      </c>
      <c r="T199" s="26">
        <v>3266</v>
      </c>
      <c r="U199" s="26">
        <v>3290</v>
      </c>
      <c r="V199" s="26">
        <v>3321</v>
      </c>
      <c r="W199" s="26">
        <v>3353</v>
      </c>
      <c r="X199" s="26">
        <v>3384</v>
      </c>
      <c r="Y199" s="26">
        <v>3412</v>
      </c>
      <c r="Z199" s="26">
        <v>3464</v>
      </c>
      <c r="AA199" s="26">
        <v>3559</v>
      </c>
      <c r="AB199" s="26">
        <v>3679</v>
      </c>
      <c r="AC199" s="26">
        <v>3760</v>
      </c>
      <c r="AD199" s="26">
        <v>3814</v>
      </c>
      <c r="AE199" s="26">
        <v>3914</v>
      </c>
      <c r="AG199" s="16" t="s">
        <v>199</v>
      </c>
      <c r="AH199" s="29">
        <v>0</v>
      </c>
      <c r="AI199" s="29">
        <f t="shared" si="139"/>
        <v>1.0832559579077685E-2</v>
      </c>
      <c r="AJ199" s="29">
        <f t="shared" si="140"/>
        <v>7.3484384568279241E-3</v>
      </c>
      <c r="AK199" s="29">
        <f t="shared" si="141"/>
        <v>9.4224924012158047E-3</v>
      </c>
      <c r="AL199" s="29">
        <f t="shared" si="142"/>
        <v>9.6356519120746765E-3</v>
      </c>
      <c r="AM199" s="29">
        <f t="shared" si="143"/>
        <v>9.2454518341783479E-3</v>
      </c>
      <c r="AN199" s="29">
        <f t="shared" si="144"/>
        <v>8.2742316784869974E-3</v>
      </c>
      <c r="AO199" s="29">
        <f t="shared" si="145"/>
        <v>1.5240328253223915E-2</v>
      </c>
      <c r="AP199" s="29">
        <f t="shared" si="146"/>
        <v>2.7424942263279444E-2</v>
      </c>
      <c r="AQ199" s="29">
        <f t="shared" si="147"/>
        <v>3.3717336330429899E-2</v>
      </c>
      <c r="AR199" s="29">
        <f t="shared" si="148"/>
        <v>2.2016852405544986E-2</v>
      </c>
      <c r="AS199" s="29">
        <f t="shared" si="149"/>
        <v>1.4361702127659574E-2</v>
      </c>
      <c r="AT199" s="29">
        <f t="shared" si="150"/>
        <v>2.6219192448872573E-2</v>
      </c>
      <c r="AW199" s="16" t="s">
        <v>199</v>
      </c>
      <c r="AX199" s="32">
        <f t="shared" si="151"/>
        <v>6.0603326786352026E-3</v>
      </c>
      <c r="AY199" s="32">
        <f t="shared" si="152"/>
        <v>9.2011634790404705E-3</v>
      </c>
      <c r="AZ199" s="32">
        <f t="shared" si="153"/>
        <v>8.8021942567061348E-3</v>
      </c>
      <c r="BA199" s="32">
        <f t="shared" si="154"/>
        <v>9.434532049156277E-3</v>
      </c>
      <c r="BB199" s="32">
        <f t="shared" si="155"/>
        <v>9.0517784749133412E-3</v>
      </c>
      <c r="BC199" s="32">
        <f t="shared" si="156"/>
        <v>1.0920003921963087E-2</v>
      </c>
      <c r="BD199" s="32">
        <f t="shared" si="157"/>
        <v>1.6979834064996785E-2</v>
      </c>
      <c r="BE199" s="32">
        <f t="shared" si="158"/>
        <v>2.5460868948977755E-2</v>
      </c>
      <c r="BF199" s="32">
        <f t="shared" si="159"/>
        <v>2.7719710333084777E-2</v>
      </c>
      <c r="BG199" s="32">
        <f t="shared" si="160"/>
        <v>2.3365296954544822E-2</v>
      </c>
      <c r="BH199" s="41">
        <f t="shared" si="161"/>
        <v>2.0865915660692375E-2</v>
      </c>
      <c r="BI199" s="46">
        <f t="shared" si="162"/>
        <v>0.96448651962366316</v>
      </c>
      <c r="BJ199" s="41" t="b">
        <f t="shared" si="125"/>
        <v>0</v>
      </c>
      <c r="BK199" s="41" t="b">
        <f t="shared" si="126"/>
        <v>0</v>
      </c>
      <c r="BL199" s="42" t="str">
        <f>_xlfn.XLOOKUP(AW199,'County Population Strata'!$A$3:$A$66,'County Population Strata'!$P$3:$P$66)</f>
        <v>Tiny</v>
      </c>
    </row>
    <row r="200" spans="18:64" x14ac:dyDescent="0.2">
      <c r="R200" s="16" t="s">
        <v>200</v>
      </c>
      <c r="S200" s="26">
        <v>739</v>
      </c>
      <c r="T200" s="26">
        <v>740</v>
      </c>
      <c r="U200" s="26">
        <v>741</v>
      </c>
      <c r="V200" s="26">
        <v>747</v>
      </c>
      <c r="W200" s="26">
        <v>747</v>
      </c>
      <c r="X200" s="26">
        <v>747</v>
      </c>
      <c r="Y200" s="26">
        <v>753</v>
      </c>
      <c r="Z200" s="26">
        <v>761</v>
      </c>
      <c r="AA200" s="26">
        <v>768</v>
      </c>
      <c r="AB200" s="26">
        <v>775</v>
      </c>
      <c r="AC200" s="26">
        <v>781</v>
      </c>
      <c r="AD200" s="26">
        <v>788</v>
      </c>
      <c r="AE200" s="26">
        <v>805</v>
      </c>
      <c r="AG200" s="16" t="s">
        <v>200</v>
      </c>
      <c r="AH200" s="29">
        <v>0</v>
      </c>
      <c r="AI200" s="29">
        <f t="shared" si="139"/>
        <v>1.3531799729364006E-3</v>
      </c>
      <c r="AJ200" s="29">
        <f t="shared" si="140"/>
        <v>1.3513513513513514E-3</v>
      </c>
      <c r="AK200" s="29">
        <f t="shared" si="141"/>
        <v>8.0971659919028341E-3</v>
      </c>
      <c r="AL200" s="29">
        <f t="shared" si="142"/>
        <v>0</v>
      </c>
      <c r="AM200" s="29">
        <f t="shared" si="143"/>
        <v>0</v>
      </c>
      <c r="AN200" s="29">
        <f t="shared" si="144"/>
        <v>8.0321285140562242E-3</v>
      </c>
      <c r="AO200" s="29">
        <f t="shared" si="145"/>
        <v>1.0624169986719787E-2</v>
      </c>
      <c r="AP200" s="29">
        <f t="shared" si="146"/>
        <v>9.1984231274638631E-3</v>
      </c>
      <c r="AQ200" s="29">
        <f t="shared" si="147"/>
        <v>9.1145833333333339E-3</v>
      </c>
      <c r="AR200" s="29">
        <f t="shared" si="148"/>
        <v>7.7419354838709677E-3</v>
      </c>
      <c r="AS200" s="29">
        <f t="shared" si="149"/>
        <v>8.9628681177976958E-3</v>
      </c>
      <c r="AT200" s="29">
        <f t="shared" si="150"/>
        <v>2.1573604060913704E-2</v>
      </c>
      <c r="AW200" s="16" t="s">
        <v>200</v>
      </c>
      <c r="AX200" s="32">
        <f t="shared" si="151"/>
        <v>9.0151044142925069E-4</v>
      </c>
      <c r="AY200" s="32">
        <f t="shared" si="152"/>
        <v>3.600565772063529E-3</v>
      </c>
      <c r="AZ200" s="32">
        <f t="shared" si="153"/>
        <v>3.1495057810847285E-3</v>
      </c>
      <c r="BA200" s="32">
        <f t="shared" si="154"/>
        <v>2.6990553306342779E-3</v>
      </c>
      <c r="BB200" s="32">
        <f t="shared" si="155"/>
        <v>2.6773761713520749E-3</v>
      </c>
      <c r="BC200" s="32">
        <f t="shared" si="156"/>
        <v>6.2187661669253378E-3</v>
      </c>
      <c r="BD200" s="32">
        <f t="shared" si="157"/>
        <v>9.2849072094132925E-3</v>
      </c>
      <c r="BE200" s="32">
        <f t="shared" si="158"/>
        <v>9.6457254825056613E-3</v>
      </c>
      <c r="BF200" s="32">
        <f t="shared" si="159"/>
        <v>8.6849806482227222E-3</v>
      </c>
      <c r="BG200" s="32">
        <f t="shared" si="160"/>
        <v>8.6064623116673331E-3</v>
      </c>
      <c r="BH200" s="41">
        <f t="shared" si="161"/>
        <v>1.2759469220860789E-2</v>
      </c>
      <c r="BI200" s="46">
        <f t="shared" si="162"/>
        <v>4.2594485906325134E-2</v>
      </c>
      <c r="BJ200" s="41" t="b">
        <f t="shared" si="125"/>
        <v>0</v>
      </c>
      <c r="BK200" s="41" t="b">
        <f t="shared" si="126"/>
        <v>0</v>
      </c>
      <c r="BL200" s="42" t="str">
        <f>_xlfn.XLOOKUP(AW200,'County Population Strata'!$A$3:$A$66,'County Population Strata'!$P$3:$P$66)</f>
        <v>Tiny</v>
      </c>
    </row>
    <row r="201" spans="18:64" x14ac:dyDescent="0.2">
      <c r="R201" s="16" t="s">
        <v>201</v>
      </c>
      <c r="S201" s="26">
        <v>6165</v>
      </c>
      <c r="T201" s="26">
        <v>6190</v>
      </c>
      <c r="U201" s="26">
        <v>6197</v>
      </c>
      <c r="V201" s="26">
        <v>6209</v>
      </c>
      <c r="W201" s="26">
        <v>6238</v>
      </c>
      <c r="X201" s="26">
        <v>6320</v>
      </c>
      <c r="Y201" s="26">
        <v>6355</v>
      </c>
      <c r="Z201" s="26">
        <v>6390</v>
      </c>
      <c r="AA201" s="26">
        <v>6467</v>
      </c>
      <c r="AB201" s="26">
        <v>6512</v>
      </c>
      <c r="AC201" s="26">
        <v>6564</v>
      </c>
      <c r="AD201" s="26">
        <v>6595</v>
      </c>
      <c r="AE201" s="26">
        <v>6711</v>
      </c>
      <c r="AG201" s="16" t="s">
        <v>201</v>
      </c>
      <c r="AH201" s="29">
        <v>0</v>
      </c>
      <c r="AI201" s="29">
        <f t="shared" si="139"/>
        <v>4.0551500405515001E-3</v>
      </c>
      <c r="AJ201" s="29">
        <f t="shared" si="140"/>
        <v>1.1308562197092085E-3</v>
      </c>
      <c r="AK201" s="29">
        <f t="shared" si="141"/>
        <v>1.9364208487978054E-3</v>
      </c>
      <c r="AL201" s="29">
        <f t="shared" si="142"/>
        <v>4.6706393944274437E-3</v>
      </c>
      <c r="AM201" s="29">
        <f t="shared" si="143"/>
        <v>1.3145238858608528E-2</v>
      </c>
      <c r="AN201" s="29">
        <f t="shared" si="144"/>
        <v>5.5379746835443038E-3</v>
      </c>
      <c r="AO201" s="29">
        <f t="shared" si="145"/>
        <v>5.5074744295830055E-3</v>
      </c>
      <c r="AP201" s="29">
        <f t="shared" si="146"/>
        <v>1.2050078247261346E-2</v>
      </c>
      <c r="AQ201" s="29">
        <f t="shared" si="147"/>
        <v>6.9584042059687642E-3</v>
      </c>
      <c r="AR201" s="29">
        <f t="shared" si="148"/>
        <v>7.9852579852579854E-3</v>
      </c>
      <c r="AS201" s="29">
        <f t="shared" si="149"/>
        <v>4.7227300426569167E-3</v>
      </c>
      <c r="AT201" s="29">
        <f t="shared" si="150"/>
        <v>1.7589082638362397E-2</v>
      </c>
      <c r="AW201" s="16" t="s">
        <v>201</v>
      </c>
      <c r="AX201" s="32">
        <f t="shared" si="151"/>
        <v>1.7286687534202362E-3</v>
      </c>
      <c r="AY201" s="32">
        <f t="shared" si="152"/>
        <v>2.3741423696861715E-3</v>
      </c>
      <c r="AZ201" s="32">
        <f t="shared" si="153"/>
        <v>2.5793054876448191E-3</v>
      </c>
      <c r="BA201" s="32">
        <f t="shared" si="154"/>
        <v>6.5840997006112595E-3</v>
      </c>
      <c r="BB201" s="32">
        <f t="shared" si="155"/>
        <v>7.7846176455267577E-3</v>
      </c>
      <c r="BC201" s="32">
        <f t="shared" si="156"/>
        <v>8.0635626572452806E-3</v>
      </c>
      <c r="BD201" s="32">
        <f t="shared" si="157"/>
        <v>7.6985091201295514E-3</v>
      </c>
      <c r="BE201" s="32">
        <f t="shared" si="158"/>
        <v>8.1719856276043727E-3</v>
      </c>
      <c r="BF201" s="32">
        <f t="shared" si="159"/>
        <v>8.9979134794960312E-3</v>
      </c>
      <c r="BG201" s="32">
        <f t="shared" si="160"/>
        <v>6.5554640779612221E-3</v>
      </c>
      <c r="BH201" s="41">
        <f t="shared" si="161"/>
        <v>1.0099023555425767E-2</v>
      </c>
      <c r="BI201" s="46">
        <f t="shared" si="162"/>
        <v>-0.25996023807866719</v>
      </c>
      <c r="BJ201" s="41" t="b">
        <f t="shared" si="125"/>
        <v>0</v>
      </c>
      <c r="BK201" s="41" t="b">
        <f t="shared" si="126"/>
        <v>0</v>
      </c>
      <c r="BL201" s="42" t="str">
        <f>_xlfn.XLOOKUP(AW201,'County Population Strata'!$A$3:$A$66,'County Population Strata'!$P$3:$P$66)</f>
        <v>Tiny</v>
      </c>
    </row>
    <row r="202" spans="18:64" x14ac:dyDescent="0.2">
      <c r="R202" s="16" t="s">
        <v>202</v>
      </c>
      <c r="S202" s="26">
        <v>1325</v>
      </c>
      <c r="T202" s="26">
        <v>1325</v>
      </c>
      <c r="U202" s="26">
        <v>1325</v>
      </c>
      <c r="V202" s="26">
        <v>1327</v>
      </c>
      <c r="W202" s="26">
        <v>1330</v>
      </c>
      <c r="X202" s="26">
        <v>1331</v>
      </c>
      <c r="Y202" s="26">
        <v>1331</v>
      </c>
      <c r="Z202" s="26">
        <v>1335</v>
      </c>
      <c r="AA202" s="26">
        <v>1339</v>
      </c>
      <c r="AB202" s="26">
        <v>1341</v>
      </c>
      <c r="AC202" s="26">
        <v>1343</v>
      </c>
      <c r="AD202" s="26">
        <v>1343</v>
      </c>
      <c r="AE202" s="26">
        <v>1343</v>
      </c>
      <c r="AG202" s="16" t="s">
        <v>202</v>
      </c>
      <c r="AH202" s="29">
        <v>0</v>
      </c>
      <c r="AI202" s="29">
        <f t="shared" si="139"/>
        <v>0</v>
      </c>
      <c r="AJ202" s="29">
        <f t="shared" si="140"/>
        <v>0</v>
      </c>
      <c r="AK202" s="29">
        <f t="shared" si="141"/>
        <v>1.5094339622641509E-3</v>
      </c>
      <c r="AL202" s="29">
        <f t="shared" si="142"/>
        <v>2.2607385079125848E-3</v>
      </c>
      <c r="AM202" s="29">
        <f t="shared" si="143"/>
        <v>7.5187969924812035E-4</v>
      </c>
      <c r="AN202" s="29">
        <f t="shared" si="144"/>
        <v>0</v>
      </c>
      <c r="AO202" s="29">
        <f t="shared" si="145"/>
        <v>3.0052592036063112E-3</v>
      </c>
      <c r="AP202" s="29">
        <f t="shared" si="146"/>
        <v>2.9962546816479402E-3</v>
      </c>
      <c r="AQ202" s="29">
        <f t="shared" si="147"/>
        <v>1.4936519790888724E-3</v>
      </c>
      <c r="AR202" s="29">
        <f t="shared" si="148"/>
        <v>1.4914243102162564E-3</v>
      </c>
      <c r="AS202" s="29">
        <f t="shared" si="149"/>
        <v>0</v>
      </c>
      <c r="AT202" s="29">
        <f t="shared" si="150"/>
        <v>0</v>
      </c>
      <c r="AW202" s="16" t="s">
        <v>202</v>
      </c>
      <c r="AX202" s="32">
        <f t="shared" si="151"/>
        <v>0</v>
      </c>
      <c r="AY202" s="32">
        <f t="shared" si="152"/>
        <v>5.0314465408805029E-4</v>
      </c>
      <c r="AZ202" s="32">
        <f t="shared" si="153"/>
        <v>1.2567241567255786E-3</v>
      </c>
      <c r="BA202" s="32">
        <f t="shared" si="154"/>
        <v>1.5073507231416188E-3</v>
      </c>
      <c r="BB202" s="32">
        <f t="shared" si="155"/>
        <v>1.0042060690535683E-3</v>
      </c>
      <c r="BC202" s="32">
        <f t="shared" si="156"/>
        <v>1.2523796342848105E-3</v>
      </c>
      <c r="BD202" s="32">
        <f t="shared" si="157"/>
        <v>2.0005046284180838E-3</v>
      </c>
      <c r="BE202" s="32">
        <f t="shared" si="158"/>
        <v>2.4983886214477082E-3</v>
      </c>
      <c r="BF202" s="32">
        <f t="shared" si="159"/>
        <v>1.9937769903176895E-3</v>
      </c>
      <c r="BG202" s="32">
        <f t="shared" si="160"/>
        <v>9.9502542976837634E-4</v>
      </c>
      <c r="BH202" s="41">
        <f t="shared" si="161"/>
        <v>4.9714143673875214E-4</v>
      </c>
      <c r="BI202" s="46">
        <f t="shared" si="162"/>
        <v>-1.3519181877933655</v>
      </c>
      <c r="BJ202" s="41" t="b">
        <f t="shared" si="125"/>
        <v>0</v>
      </c>
      <c r="BK202" s="41" t="b">
        <f t="shared" si="126"/>
        <v>1</v>
      </c>
      <c r="BL202" s="42" t="str">
        <f>_xlfn.XLOOKUP(AW202,'County Population Strata'!$A$3:$A$66,'County Population Strata'!$P$3:$P$66)</f>
        <v>Tiny</v>
      </c>
    </row>
    <row r="203" spans="18:64" x14ac:dyDescent="0.2">
      <c r="R203" s="16" t="s">
        <v>203</v>
      </c>
      <c r="S203" s="26">
        <v>29861</v>
      </c>
      <c r="T203" s="26">
        <v>29866</v>
      </c>
      <c r="U203" s="26">
        <v>29866</v>
      </c>
      <c r="V203" s="26">
        <v>29882</v>
      </c>
      <c r="W203" s="26">
        <v>30034</v>
      </c>
      <c r="X203" s="26">
        <v>30121</v>
      </c>
      <c r="Y203" s="26">
        <v>30141</v>
      </c>
      <c r="Z203" s="26">
        <v>30320</v>
      </c>
      <c r="AA203" s="26">
        <v>30593</v>
      </c>
      <c r="AB203" s="26">
        <v>31123</v>
      </c>
      <c r="AC203" s="26">
        <v>31416</v>
      </c>
      <c r="AD203" s="26">
        <v>31737</v>
      </c>
      <c r="AE203" s="26">
        <v>32147</v>
      </c>
      <c r="AG203" s="16" t="s">
        <v>203</v>
      </c>
      <c r="AH203" s="29">
        <v>0</v>
      </c>
      <c r="AI203" s="29">
        <f t="shared" si="139"/>
        <v>1.6744248350691537E-4</v>
      </c>
      <c r="AJ203" s="29">
        <f t="shared" si="140"/>
        <v>0</v>
      </c>
      <c r="AK203" s="29">
        <f t="shared" si="141"/>
        <v>5.357262438893725E-4</v>
      </c>
      <c r="AL203" s="29">
        <f t="shared" si="142"/>
        <v>5.0866742520580951E-3</v>
      </c>
      <c r="AM203" s="29">
        <f t="shared" si="143"/>
        <v>2.8967170540054603E-3</v>
      </c>
      <c r="AN203" s="29">
        <f t="shared" si="144"/>
        <v>6.6398857939643438E-4</v>
      </c>
      <c r="AO203" s="29">
        <f t="shared" si="145"/>
        <v>5.9387545204206893E-3</v>
      </c>
      <c r="AP203" s="29">
        <f t="shared" si="146"/>
        <v>9.0039577836411606E-3</v>
      </c>
      <c r="AQ203" s="29">
        <f t="shared" si="147"/>
        <v>1.7324224495799692E-2</v>
      </c>
      <c r="AR203" s="29">
        <f t="shared" si="148"/>
        <v>9.4142595508145098E-3</v>
      </c>
      <c r="AS203" s="29">
        <f t="shared" si="149"/>
        <v>1.0217723453017571E-2</v>
      </c>
      <c r="AT203" s="29">
        <f t="shared" si="150"/>
        <v>1.2918675363140814E-2</v>
      </c>
      <c r="AW203" s="16" t="s">
        <v>203</v>
      </c>
      <c r="AX203" s="32">
        <f t="shared" si="151"/>
        <v>5.5814161168971789E-5</v>
      </c>
      <c r="AY203" s="32">
        <f t="shared" si="152"/>
        <v>2.3438957579876261E-4</v>
      </c>
      <c r="AZ203" s="32">
        <f t="shared" si="153"/>
        <v>1.8741334986491559E-3</v>
      </c>
      <c r="BA203" s="32">
        <f t="shared" si="154"/>
        <v>2.8397058499843096E-3</v>
      </c>
      <c r="BB203" s="32">
        <f t="shared" si="155"/>
        <v>2.8824599618199969E-3</v>
      </c>
      <c r="BC203" s="32">
        <f t="shared" si="156"/>
        <v>3.1664867179408613E-3</v>
      </c>
      <c r="BD203" s="32">
        <f t="shared" si="157"/>
        <v>5.2022336278194281E-3</v>
      </c>
      <c r="BE203" s="32">
        <f t="shared" si="158"/>
        <v>1.0755645599953846E-2</v>
      </c>
      <c r="BF203" s="32">
        <f t="shared" si="159"/>
        <v>1.1914147276751788E-2</v>
      </c>
      <c r="BG203" s="32">
        <f t="shared" si="160"/>
        <v>1.231873583321059E-2</v>
      </c>
      <c r="BH203" s="41">
        <f t="shared" si="161"/>
        <v>1.0850219455657631E-2</v>
      </c>
      <c r="BI203" s="46">
        <f t="shared" si="162"/>
        <v>-0.17453174344480055</v>
      </c>
      <c r="BJ203" s="41" t="b">
        <f t="shared" si="125"/>
        <v>0</v>
      </c>
      <c r="BK203" s="41" t="b">
        <f t="shared" si="126"/>
        <v>0</v>
      </c>
      <c r="BL203" s="42" t="str">
        <f>_xlfn.XLOOKUP(AW203,'County Population Strata'!$A$3:$A$66,'County Population Strata'!$P$3:$P$66)</f>
        <v>Small</v>
      </c>
    </row>
    <row r="204" spans="18:64" x14ac:dyDescent="0.2">
      <c r="R204" s="16" t="s">
        <v>204</v>
      </c>
      <c r="S204" s="26">
        <v>12651</v>
      </c>
      <c r="T204" s="26">
        <v>12663</v>
      </c>
      <c r="U204" s="26">
        <v>12699</v>
      </c>
      <c r="V204" s="26">
        <v>12744</v>
      </c>
      <c r="W204" s="26">
        <v>12772</v>
      </c>
      <c r="X204" s="26">
        <v>12896</v>
      </c>
      <c r="Y204" s="26">
        <v>12956</v>
      </c>
      <c r="Z204" s="26">
        <v>13056</v>
      </c>
      <c r="AA204" s="26">
        <v>13138</v>
      </c>
      <c r="AB204" s="26">
        <v>13254</v>
      </c>
      <c r="AC204" s="26">
        <v>13346</v>
      </c>
      <c r="AD204" s="26">
        <v>13509</v>
      </c>
      <c r="AE204" s="26">
        <v>13657</v>
      </c>
      <c r="AG204" s="16" t="s">
        <v>204</v>
      </c>
      <c r="AH204" s="29">
        <v>0</v>
      </c>
      <c r="AI204" s="29">
        <f t="shared" si="139"/>
        <v>9.4854161726345748E-4</v>
      </c>
      <c r="AJ204" s="29">
        <f t="shared" si="140"/>
        <v>2.8429282160625444E-3</v>
      </c>
      <c r="AK204" s="29">
        <f t="shared" si="141"/>
        <v>3.5435861091424521E-3</v>
      </c>
      <c r="AL204" s="29">
        <f t="shared" si="142"/>
        <v>2.197112366603892E-3</v>
      </c>
      <c r="AM204" s="29">
        <f t="shared" si="143"/>
        <v>9.7087378640776691E-3</v>
      </c>
      <c r="AN204" s="29">
        <f t="shared" si="144"/>
        <v>4.6526054590570716E-3</v>
      </c>
      <c r="AO204" s="29">
        <f t="shared" si="145"/>
        <v>7.7184316146958936E-3</v>
      </c>
      <c r="AP204" s="29">
        <f t="shared" si="146"/>
        <v>6.280637254901961E-3</v>
      </c>
      <c r="AQ204" s="29">
        <f t="shared" si="147"/>
        <v>8.8293499771654738E-3</v>
      </c>
      <c r="AR204" s="29">
        <f t="shared" si="148"/>
        <v>6.9413007393994263E-3</v>
      </c>
      <c r="AS204" s="29">
        <f t="shared" si="149"/>
        <v>1.2213397272591039E-2</v>
      </c>
      <c r="AT204" s="29">
        <f t="shared" si="150"/>
        <v>1.0955659190169517E-2</v>
      </c>
      <c r="AW204" s="16" t="s">
        <v>204</v>
      </c>
      <c r="AX204" s="32">
        <f t="shared" si="151"/>
        <v>1.2638232777753341E-3</v>
      </c>
      <c r="AY204" s="32">
        <f t="shared" si="152"/>
        <v>2.4450186474894845E-3</v>
      </c>
      <c r="AZ204" s="32">
        <f t="shared" si="153"/>
        <v>2.8612088972696293E-3</v>
      </c>
      <c r="BA204" s="32">
        <f t="shared" si="154"/>
        <v>5.149812113274671E-3</v>
      </c>
      <c r="BB204" s="32">
        <f t="shared" si="155"/>
        <v>5.519485229912878E-3</v>
      </c>
      <c r="BC204" s="32">
        <f t="shared" si="156"/>
        <v>7.3599249792768778E-3</v>
      </c>
      <c r="BD204" s="32">
        <f t="shared" si="157"/>
        <v>6.2172247762183087E-3</v>
      </c>
      <c r="BE204" s="32">
        <f t="shared" si="158"/>
        <v>7.60947294892111E-3</v>
      </c>
      <c r="BF204" s="32">
        <f t="shared" si="159"/>
        <v>7.350429323822287E-3</v>
      </c>
      <c r="BG204" s="32">
        <f t="shared" si="160"/>
        <v>9.3280159963853148E-3</v>
      </c>
      <c r="BH204" s="41">
        <f t="shared" si="161"/>
        <v>1.0036785734053326E-2</v>
      </c>
      <c r="BI204" s="46">
        <f t="shared" si="162"/>
        <v>-0.26703812999407561</v>
      </c>
      <c r="BJ204" s="41" t="b">
        <f t="shared" si="125"/>
        <v>0</v>
      </c>
      <c r="BK204" s="41" t="b">
        <f t="shared" si="126"/>
        <v>0</v>
      </c>
      <c r="BL204" s="42" t="str">
        <f>_xlfn.XLOOKUP(AW204,'County Population Strata'!$A$3:$A$66,'County Population Strata'!$P$3:$P$66)</f>
        <v>Small</v>
      </c>
    </row>
    <row r="205" spans="18:64" x14ac:dyDescent="0.2">
      <c r="R205" s="16" t="s">
        <v>205</v>
      </c>
      <c r="S205" s="26">
        <v>2177</v>
      </c>
      <c r="T205" s="26">
        <v>2187</v>
      </c>
      <c r="U205" s="26">
        <v>2195</v>
      </c>
      <c r="V205" s="26">
        <v>2199</v>
      </c>
      <c r="W205" s="26">
        <v>2205</v>
      </c>
      <c r="X205" s="26">
        <v>2215</v>
      </c>
      <c r="Y205" s="26">
        <v>2227</v>
      </c>
      <c r="Z205" s="26">
        <v>2239</v>
      </c>
      <c r="AA205" s="26">
        <v>2249</v>
      </c>
      <c r="AB205" s="26">
        <v>2268</v>
      </c>
      <c r="AC205" s="26">
        <v>2278</v>
      </c>
      <c r="AD205" s="26">
        <v>2287</v>
      </c>
      <c r="AE205" s="26">
        <v>2289</v>
      </c>
      <c r="AG205" s="16" t="s">
        <v>205</v>
      </c>
      <c r="AH205" s="29">
        <v>0</v>
      </c>
      <c r="AI205" s="29">
        <f t="shared" si="139"/>
        <v>4.5934772622875514E-3</v>
      </c>
      <c r="AJ205" s="29">
        <f t="shared" si="140"/>
        <v>3.6579789666209418E-3</v>
      </c>
      <c r="AK205" s="29">
        <f t="shared" si="141"/>
        <v>1.8223234624145787E-3</v>
      </c>
      <c r="AL205" s="29">
        <f t="shared" si="142"/>
        <v>2.7285129604365621E-3</v>
      </c>
      <c r="AM205" s="29">
        <f t="shared" si="143"/>
        <v>4.5351473922902496E-3</v>
      </c>
      <c r="AN205" s="29">
        <f t="shared" si="144"/>
        <v>5.4176072234762979E-3</v>
      </c>
      <c r="AO205" s="29">
        <f t="shared" si="145"/>
        <v>5.3884149079479124E-3</v>
      </c>
      <c r="AP205" s="29">
        <f t="shared" si="146"/>
        <v>4.4662795891022775E-3</v>
      </c>
      <c r="AQ205" s="29">
        <f t="shared" si="147"/>
        <v>8.4481991996442872E-3</v>
      </c>
      <c r="AR205" s="29">
        <f t="shared" si="148"/>
        <v>4.4091710758377423E-3</v>
      </c>
      <c r="AS205" s="29">
        <f t="shared" si="149"/>
        <v>3.9508340649692716E-3</v>
      </c>
      <c r="AT205" s="29">
        <f t="shared" si="150"/>
        <v>8.7450808919982512E-4</v>
      </c>
      <c r="AW205" s="16" t="s">
        <v>205</v>
      </c>
      <c r="AX205" s="32">
        <f t="shared" si="151"/>
        <v>2.7504854096361644E-3</v>
      </c>
      <c r="AY205" s="32">
        <f t="shared" si="152"/>
        <v>3.3579265637743577E-3</v>
      </c>
      <c r="AZ205" s="32">
        <f t="shared" si="153"/>
        <v>2.7362717964906943E-3</v>
      </c>
      <c r="BA205" s="32">
        <f t="shared" si="154"/>
        <v>3.0286612717137971E-3</v>
      </c>
      <c r="BB205" s="32">
        <f t="shared" si="155"/>
        <v>4.2270891920677027E-3</v>
      </c>
      <c r="BC205" s="32">
        <f t="shared" si="156"/>
        <v>5.1137231745714863E-3</v>
      </c>
      <c r="BD205" s="32">
        <f t="shared" si="157"/>
        <v>5.0907672401754962E-3</v>
      </c>
      <c r="BE205" s="32">
        <f t="shared" si="158"/>
        <v>6.1009645655648254E-3</v>
      </c>
      <c r="BF205" s="32">
        <f t="shared" si="159"/>
        <v>5.7745499548614359E-3</v>
      </c>
      <c r="BG205" s="32">
        <f t="shared" si="160"/>
        <v>5.6027347801504328E-3</v>
      </c>
      <c r="BH205" s="41">
        <f t="shared" si="161"/>
        <v>3.0781710766689466E-3</v>
      </c>
      <c r="BI205" s="46">
        <f t="shared" si="162"/>
        <v>-1.058394918195422</v>
      </c>
      <c r="BJ205" s="41" t="b">
        <f t="shared" si="125"/>
        <v>0</v>
      </c>
      <c r="BK205" s="41" t="b">
        <f t="shared" si="126"/>
        <v>1</v>
      </c>
      <c r="BL205" s="42" t="str">
        <f>_xlfn.XLOOKUP(AW205,'County Population Strata'!$A$3:$A$66,'County Population Strata'!$P$3:$P$66)</f>
        <v>Tiny</v>
      </c>
    </row>
    <row r="206" spans="18:64" x14ac:dyDescent="0.2">
      <c r="R206" s="16" t="s">
        <v>206</v>
      </c>
      <c r="S206" s="26">
        <v>96540</v>
      </c>
      <c r="T206" s="26">
        <v>97321</v>
      </c>
      <c r="U206" s="26">
        <v>98257</v>
      </c>
      <c r="V206" s="26">
        <v>99547</v>
      </c>
      <c r="W206" s="26">
        <v>101046</v>
      </c>
      <c r="X206" s="26">
        <v>103354</v>
      </c>
      <c r="Y206" s="26">
        <v>106316</v>
      </c>
      <c r="Z206" s="26">
        <v>109489</v>
      </c>
      <c r="AA206" s="26">
        <v>113019</v>
      </c>
      <c r="AB206" s="26">
        <v>116937</v>
      </c>
      <c r="AC206" s="26">
        <v>120949</v>
      </c>
      <c r="AD206" s="26">
        <v>124749</v>
      </c>
      <c r="AE206" s="26">
        <v>129656</v>
      </c>
      <c r="AG206" s="16" t="s">
        <v>206</v>
      </c>
      <c r="AH206" s="29">
        <v>0</v>
      </c>
      <c r="AI206" s="29">
        <f t="shared" si="139"/>
        <v>8.0899109177542984E-3</v>
      </c>
      <c r="AJ206" s="29">
        <f t="shared" si="140"/>
        <v>9.6176570318841775E-3</v>
      </c>
      <c r="AK206" s="29">
        <f t="shared" si="141"/>
        <v>1.3128835604587968E-2</v>
      </c>
      <c r="AL206" s="29">
        <f t="shared" si="142"/>
        <v>1.5058213708097682E-2</v>
      </c>
      <c r="AM206" s="29">
        <f t="shared" si="143"/>
        <v>2.2841082279357917E-2</v>
      </c>
      <c r="AN206" s="29">
        <f t="shared" si="144"/>
        <v>2.8658784372157825E-2</v>
      </c>
      <c r="AO206" s="29">
        <f t="shared" si="145"/>
        <v>2.9844990405959591E-2</v>
      </c>
      <c r="AP206" s="29">
        <f t="shared" si="146"/>
        <v>3.2240681712318135E-2</v>
      </c>
      <c r="AQ206" s="29">
        <f t="shared" si="147"/>
        <v>3.4666737451225019E-2</v>
      </c>
      <c r="AR206" s="29">
        <f t="shared" si="148"/>
        <v>3.4309072406509489E-2</v>
      </c>
      <c r="AS206" s="29">
        <f t="shared" si="149"/>
        <v>3.1418201059950891E-2</v>
      </c>
      <c r="AT206" s="29">
        <f t="shared" si="150"/>
        <v>3.9334984649175543E-2</v>
      </c>
      <c r="AW206" s="16" t="s">
        <v>206</v>
      </c>
      <c r="AX206" s="32">
        <f t="shared" si="151"/>
        <v>5.9025226498794917E-3</v>
      </c>
      <c r="AY206" s="32">
        <f t="shared" si="152"/>
        <v>1.0278801184742148E-2</v>
      </c>
      <c r="AZ206" s="32">
        <f t="shared" si="153"/>
        <v>1.2601568781523275E-2</v>
      </c>
      <c r="BA206" s="32">
        <f t="shared" si="154"/>
        <v>1.7009377197347856E-2</v>
      </c>
      <c r="BB206" s="32">
        <f t="shared" si="155"/>
        <v>2.2186026786537808E-2</v>
      </c>
      <c r="BC206" s="32">
        <f t="shared" si="156"/>
        <v>2.711495235249178E-2</v>
      </c>
      <c r="BD206" s="32">
        <f t="shared" si="157"/>
        <v>3.0248152163478519E-2</v>
      </c>
      <c r="BE206" s="32">
        <f t="shared" si="158"/>
        <v>3.2250803189834247E-2</v>
      </c>
      <c r="BF206" s="32">
        <f t="shared" si="159"/>
        <v>3.3738830523350881E-2</v>
      </c>
      <c r="BG206" s="32">
        <f t="shared" si="160"/>
        <v>3.3464670305895138E-2</v>
      </c>
      <c r="BH206" s="41">
        <f t="shared" si="161"/>
        <v>3.5020752705211967E-2</v>
      </c>
      <c r="BI206" s="46">
        <f t="shared" si="162"/>
        <v>2.5742216368251265</v>
      </c>
      <c r="BJ206" s="41" t="b">
        <f t="shared" si="125"/>
        <v>1</v>
      </c>
      <c r="BK206" s="41" t="b">
        <f t="shared" si="126"/>
        <v>0</v>
      </c>
      <c r="BL206" s="42" t="str">
        <f>_xlfn.XLOOKUP(AW206,'County Population Strata'!$A$3:$A$66,'County Population Strata'!$P$3:$P$66)</f>
        <v>Medium</v>
      </c>
    </row>
    <row r="207" spans="18:64" x14ac:dyDescent="0.2">
      <c r="R207" s="16" t="s">
        <v>207</v>
      </c>
      <c r="S207" s="26">
        <v>4227</v>
      </c>
      <c r="T207" s="26">
        <v>4237</v>
      </c>
      <c r="U207" s="26">
        <v>4246</v>
      </c>
      <c r="V207" s="26">
        <v>4254</v>
      </c>
      <c r="W207" s="26">
        <v>4265</v>
      </c>
      <c r="X207" s="26">
        <v>4283</v>
      </c>
      <c r="Y207" s="26">
        <v>4294</v>
      </c>
      <c r="Z207" s="26">
        <v>4304</v>
      </c>
      <c r="AA207" s="26">
        <v>4311</v>
      </c>
      <c r="AB207" s="26">
        <v>4317</v>
      </c>
      <c r="AC207" s="26">
        <v>4315</v>
      </c>
      <c r="AD207" s="26">
        <v>4320</v>
      </c>
      <c r="AE207" s="26">
        <v>4326</v>
      </c>
      <c r="AG207" s="16" t="s">
        <v>207</v>
      </c>
      <c r="AH207" s="29">
        <v>0</v>
      </c>
      <c r="AI207" s="29">
        <f t="shared" si="139"/>
        <v>2.3657440264963333E-3</v>
      </c>
      <c r="AJ207" s="29">
        <f t="shared" si="140"/>
        <v>2.1241444418220439E-3</v>
      </c>
      <c r="AK207" s="29">
        <f t="shared" si="141"/>
        <v>1.8841262364578427E-3</v>
      </c>
      <c r="AL207" s="29">
        <f t="shared" si="142"/>
        <v>2.5858015984955335E-3</v>
      </c>
      <c r="AM207" s="29">
        <f t="shared" si="143"/>
        <v>4.220398593200469E-3</v>
      </c>
      <c r="AN207" s="29">
        <f t="shared" si="144"/>
        <v>2.5682932523931824E-3</v>
      </c>
      <c r="AO207" s="29">
        <f t="shared" si="145"/>
        <v>2.328830926874709E-3</v>
      </c>
      <c r="AP207" s="29">
        <f t="shared" si="146"/>
        <v>1.6263940520446097E-3</v>
      </c>
      <c r="AQ207" s="29">
        <f t="shared" si="147"/>
        <v>1.3917884481558804E-3</v>
      </c>
      <c r="AR207" s="29">
        <f t="shared" si="148"/>
        <v>-4.6328468844104701E-4</v>
      </c>
      <c r="AS207" s="29">
        <f t="shared" si="149"/>
        <v>1.1587485515643105E-3</v>
      </c>
      <c r="AT207" s="29">
        <f t="shared" si="150"/>
        <v>1.3888888888888889E-3</v>
      </c>
      <c r="AW207" s="16" t="s">
        <v>207</v>
      </c>
      <c r="AX207" s="32">
        <f t="shared" si="151"/>
        <v>1.496629489439459E-3</v>
      </c>
      <c r="AY207" s="32">
        <f t="shared" si="152"/>
        <v>2.1246715682587398E-3</v>
      </c>
      <c r="AZ207" s="32">
        <f t="shared" si="153"/>
        <v>2.1980240922584732E-3</v>
      </c>
      <c r="BA207" s="32">
        <f t="shared" si="154"/>
        <v>2.8967754760512812E-3</v>
      </c>
      <c r="BB207" s="32">
        <f t="shared" si="155"/>
        <v>3.1248311480297285E-3</v>
      </c>
      <c r="BC207" s="32">
        <f t="shared" si="156"/>
        <v>3.0391742574894538E-3</v>
      </c>
      <c r="BD207" s="32">
        <f t="shared" si="157"/>
        <v>2.1745060771041669E-3</v>
      </c>
      <c r="BE207" s="32">
        <f t="shared" si="158"/>
        <v>1.7823378090250665E-3</v>
      </c>
      <c r="BF207" s="32">
        <f t="shared" si="159"/>
        <v>8.5163260391981439E-4</v>
      </c>
      <c r="BG207" s="32">
        <f t="shared" si="160"/>
        <v>6.957507704263813E-4</v>
      </c>
      <c r="BH207" s="43">
        <f t="shared" si="161"/>
        <v>6.9478425067071752E-4</v>
      </c>
      <c r="BI207" s="47">
        <f t="shared" si="162"/>
        <v>-1.3294415900587431</v>
      </c>
      <c r="BJ207" s="43" t="b">
        <f>IF(BI207&gt;1,TRUE,FALSE)</f>
        <v>0</v>
      </c>
      <c r="BK207" s="43" t="b">
        <f>IF(BI207&gt;1,TRUE,FALSE)</f>
        <v>0</v>
      </c>
      <c r="BL207" s="44" t="str">
        <f>_xlfn.XLOOKUP(AW207,'County Population Strata'!$A$3:$A$66,'County Population Strata'!$P$3:$P$66)</f>
        <v>Tiny</v>
      </c>
    </row>
    <row r="208" spans="18:64" x14ac:dyDescent="0.2">
      <c r="R208" s="19" t="s">
        <v>225</v>
      </c>
      <c r="S208" s="27">
        <f>S154</f>
        <v>2205618</v>
      </c>
      <c r="T208" s="27">
        <f t="shared" ref="T208:AE208" si="163">T154</f>
        <v>2217639</v>
      </c>
      <c r="U208" s="27">
        <f t="shared" si="163"/>
        <v>2230882</v>
      </c>
      <c r="V208" s="27">
        <f t="shared" si="163"/>
        <v>2254094</v>
      </c>
      <c r="W208" s="27">
        <f t="shared" si="163"/>
        <v>2281231</v>
      </c>
      <c r="X208" s="27">
        <f t="shared" si="163"/>
        <v>2310630</v>
      </c>
      <c r="Y208" s="27">
        <f t="shared" si="163"/>
        <v>2339866</v>
      </c>
      <c r="Z208" s="27">
        <f t="shared" si="163"/>
        <v>2377152</v>
      </c>
      <c r="AA208" s="27">
        <f t="shared" si="163"/>
        <v>2418599</v>
      </c>
      <c r="AB208" s="27">
        <f t="shared" si="163"/>
        <v>2460839</v>
      </c>
      <c r="AC208" s="27">
        <f t="shared" si="163"/>
        <v>2501178</v>
      </c>
      <c r="AD208" s="27">
        <f t="shared" si="163"/>
        <v>2542505</v>
      </c>
      <c r="AE208" s="27">
        <f t="shared" si="163"/>
        <v>2598686</v>
      </c>
      <c r="AG208" s="16" t="s">
        <v>266</v>
      </c>
      <c r="AH208" s="31">
        <f>AH154</f>
        <v>0</v>
      </c>
      <c r="AI208" s="31">
        <f t="shared" ref="AI208:AT208" si="164">AI154</f>
        <v>5.4501731487501459E-3</v>
      </c>
      <c r="AJ208" s="31">
        <f t="shared" si="164"/>
        <v>5.9716662630842979E-3</v>
      </c>
      <c r="AK208" s="31">
        <f t="shared" si="164"/>
        <v>1.0404853327069741E-2</v>
      </c>
      <c r="AL208" s="31">
        <f t="shared" si="164"/>
        <v>1.2038983289960401E-2</v>
      </c>
      <c r="AM208" s="31">
        <f t="shared" si="164"/>
        <v>1.2887340212367796E-2</v>
      </c>
      <c r="AN208" s="31">
        <f t="shared" si="164"/>
        <v>1.2652826285471928E-2</v>
      </c>
      <c r="AO208" s="31">
        <f t="shared" si="164"/>
        <v>1.5935100557040446E-2</v>
      </c>
      <c r="AP208" s="31">
        <f t="shared" si="164"/>
        <v>1.7435569959346309E-2</v>
      </c>
      <c r="AQ208" s="31">
        <f t="shared" si="164"/>
        <v>1.7464656191456294E-2</v>
      </c>
      <c r="AR208" s="31">
        <f t="shared" si="164"/>
        <v>1.6392376746304817E-2</v>
      </c>
      <c r="AS208" s="31">
        <f t="shared" si="164"/>
        <v>1.6523014355635624E-2</v>
      </c>
      <c r="AT208" s="31">
        <f t="shared" si="164"/>
        <v>2.2096711707548265E-2</v>
      </c>
      <c r="AW208" s="19" t="s">
        <v>225</v>
      </c>
      <c r="AX208" s="31">
        <f>AX154</f>
        <v>3.807279803944815E-3</v>
      </c>
      <c r="AY208" s="31">
        <f t="shared" ref="AY208:BH208" si="165">AY154</f>
        <v>7.2755642463013951E-3</v>
      </c>
      <c r="AZ208" s="31">
        <f t="shared" si="165"/>
        <v>9.47183429337148E-3</v>
      </c>
      <c r="BA208" s="31">
        <f t="shared" si="165"/>
        <v>1.1777058943132647E-2</v>
      </c>
      <c r="BB208" s="31">
        <f t="shared" si="165"/>
        <v>1.2526383262600041E-2</v>
      </c>
      <c r="BC208" s="31">
        <f t="shared" si="165"/>
        <v>1.3825089018293388E-2</v>
      </c>
      <c r="BD208" s="31">
        <f t="shared" si="165"/>
        <v>1.534116560061956E-2</v>
      </c>
      <c r="BE208" s="31">
        <f t="shared" si="165"/>
        <v>1.6945108902614348E-2</v>
      </c>
      <c r="BF208" s="31">
        <f t="shared" si="165"/>
        <v>1.7097534299035804E-2</v>
      </c>
      <c r="BG208" s="31">
        <f t="shared" si="165"/>
        <v>1.679334909779891E-2</v>
      </c>
      <c r="BH208" s="34">
        <f t="shared" si="165"/>
        <v>0</v>
      </c>
      <c r="BI208" s="34"/>
      <c r="BJ208" s="32"/>
      <c r="BK208" s="32"/>
    </row>
  </sheetData>
  <conditionalFormatting sqref="AH5:AU6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74:BG1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43:BH207 BJ208:BK208 BJ143:BJ20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:BK6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74:BH1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74:BI1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43:BI20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74:BK1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43:BK2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CCA0-4FB4-514B-9F84-4B5305B55167}">
  <dimension ref="A1:W67"/>
  <sheetViews>
    <sheetView workbookViewId="0">
      <selection activeCell="O4" sqref="O4"/>
    </sheetView>
  </sheetViews>
  <sheetFormatPr baseColWidth="10" defaultRowHeight="16" x14ac:dyDescent="0.2"/>
  <cols>
    <col min="1" max="1" width="25.28515625" bestFit="1" customWidth="1"/>
    <col min="2" max="13" width="13.42578125" bestFit="1" customWidth="1"/>
    <col min="14" max="14" width="13.42578125" customWidth="1"/>
    <col min="15" max="15" width="13.42578125" bestFit="1" customWidth="1"/>
    <col min="20" max="20" width="11.42578125" bestFit="1" customWidth="1"/>
    <col min="21" max="21" width="12.42578125" bestFit="1" customWidth="1"/>
    <col min="22" max="22" width="16.42578125" bestFit="1" customWidth="1"/>
    <col min="23" max="23" width="44" bestFit="1" customWidth="1"/>
  </cols>
  <sheetData>
    <row r="1" spans="1:23" x14ac:dyDescent="0.2">
      <c r="A1" t="s">
        <v>242</v>
      </c>
      <c r="N1" t="s">
        <v>300</v>
      </c>
      <c r="O1" t="s">
        <v>299</v>
      </c>
      <c r="S1" s="60" t="s">
        <v>271</v>
      </c>
      <c r="T1" s="60"/>
      <c r="U1" s="60"/>
      <c r="V1" s="60"/>
      <c r="W1" s="60"/>
    </row>
    <row r="2" spans="1:23" x14ac:dyDescent="0.2">
      <c r="A2" s="17" t="s">
        <v>224</v>
      </c>
      <c r="B2" s="17">
        <v>2010</v>
      </c>
      <c r="C2" s="17">
        <v>2011</v>
      </c>
      <c r="D2" s="17">
        <v>2012</v>
      </c>
      <c r="E2" s="17">
        <v>2013</v>
      </c>
      <c r="F2" s="17">
        <v>2014</v>
      </c>
      <c r="G2" s="17">
        <v>2015</v>
      </c>
      <c r="H2" s="17">
        <v>2016</v>
      </c>
      <c r="I2" s="17">
        <v>2017</v>
      </c>
      <c r="J2" s="17">
        <v>2018</v>
      </c>
      <c r="K2" s="17">
        <v>2019</v>
      </c>
      <c r="L2" s="17">
        <v>2020</v>
      </c>
      <c r="M2" s="17">
        <v>2021</v>
      </c>
      <c r="N2" s="17">
        <v>2022</v>
      </c>
      <c r="O2" s="17">
        <v>2022</v>
      </c>
      <c r="P2" s="17" t="s">
        <v>267</v>
      </c>
      <c r="S2" s="36" t="s">
        <v>261</v>
      </c>
      <c r="T2" s="36" t="s">
        <v>268</v>
      </c>
      <c r="U2" s="36" t="s">
        <v>269</v>
      </c>
      <c r="V2" s="36" t="s">
        <v>270</v>
      </c>
      <c r="W2" s="36" t="s">
        <v>294</v>
      </c>
    </row>
    <row r="3" spans="1:23" x14ac:dyDescent="0.2">
      <c r="A3" s="16" t="s">
        <v>171</v>
      </c>
      <c r="B3" s="32">
        <v>1.6691971933726339E-4</v>
      </c>
      <c r="C3" s="32">
        <v>1.6297284325935538E-4</v>
      </c>
      <c r="D3" s="32">
        <v>1.5997190962568884E-4</v>
      </c>
      <c r="E3" s="32">
        <v>1.5652026425173922E-4</v>
      </c>
      <c r="F3" s="32">
        <v>1.5315124105799645E-4</v>
      </c>
      <c r="G3" s="32">
        <v>1.4926759732779789E-4</v>
      </c>
      <c r="H3" s="32">
        <v>1.4630270989149185E-4</v>
      </c>
      <c r="I3" s="32">
        <v>1.4376057667099795E-4</v>
      </c>
      <c r="J3" s="32">
        <v>1.4109783628846106E-4</v>
      </c>
      <c r="K3" s="32">
        <v>1.3914780513518175E-4</v>
      </c>
      <c r="L3" s="32">
        <v>1.3691563645717653E-4</v>
      </c>
      <c r="M3" s="32">
        <v>1.3388341404770861E-4</v>
      </c>
      <c r="N3" s="26">
        <v>779</v>
      </c>
      <c r="O3" s="32">
        <v>1.3341928801028168E-4</v>
      </c>
      <c r="P3" t="s">
        <v>265</v>
      </c>
      <c r="S3" t="s">
        <v>262</v>
      </c>
      <c r="T3">
        <f t="shared" ref="T3:T6" si="0">COUNTIF($P$3:$P$66,S3)</f>
        <v>3</v>
      </c>
      <c r="U3" s="26">
        <f>SUMIF($P$3:$P$66,S3,$N$3:$N$66)</f>
        <v>2109204</v>
      </c>
      <c r="V3" s="28">
        <f>U3/$N$67</f>
        <v>0.36124325538952268</v>
      </c>
      <c r="W3" t="s">
        <v>295</v>
      </c>
    </row>
    <row r="4" spans="1:23" x14ac:dyDescent="0.2">
      <c r="A4" s="16" t="s">
        <v>200</v>
      </c>
      <c r="B4" s="32">
        <v>1.4038681021366517E-4</v>
      </c>
      <c r="C4" s="32">
        <v>1.3779500280371843E-4</v>
      </c>
      <c r="D4" s="32">
        <v>1.3533123040536613E-4</v>
      </c>
      <c r="E4" s="32">
        <v>1.3356395882815081E-4</v>
      </c>
      <c r="F4" s="32">
        <v>1.3089849663076619E-4</v>
      </c>
      <c r="G4" s="32">
        <v>1.2778628258320704E-4</v>
      </c>
      <c r="H4" s="32">
        <v>1.2604819381257086E-4</v>
      </c>
      <c r="I4" s="32">
        <v>1.2500919710521559E-4</v>
      </c>
      <c r="J4" s="32">
        <v>1.2383492997601514E-4</v>
      </c>
      <c r="K4" s="32">
        <v>1.2293133160438989E-4</v>
      </c>
      <c r="L4" s="32">
        <v>1.2291290091041984E-4</v>
      </c>
      <c r="M4" s="32">
        <v>1.2751620798117234E-4</v>
      </c>
      <c r="N4" s="26">
        <v>801</v>
      </c>
      <c r="O4" s="32">
        <v>1.3718722682443598E-4</v>
      </c>
      <c r="P4" t="s">
        <v>265</v>
      </c>
      <c r="S4" t="s">
        <v>263</v>
      </c>
      <c r="T4">
        <f t="shared" si="0"/>
        <v>5</v>
      </c>
      <c r="U4" s="26">
        <f t="shared" ref="U4:U6" si="1">SUMIF($P$3:$P$66,S4,$N$3:$N$66)</f>
        <v>2196512</v>
      </c>
      <c r="V4" s="28">
        <f t="shared" ref="V4:V6" si="2">U4/$N$67</f>
        <v>0.37619649184344006</v>
      </c>
      <c r="W4" t="s">
        <v>298</v>
      </c>
    </row>
    <row r="5" spans="1:23" x14ac:dyDescent="0.2">
      <c r="A5" s="16" t="s">
        <v>184</v>
      </c>
      <c r="B5" s="32">
        <v>1.3959478307564731E-4</v>
      </c>
      <c r="C5" s="32">
        <v>1.3896606515049226E-4</v>
      </c>
      <c r="D5" s="32">
        <v>1.3918133653354153E-4</v>
      </c>
      <c r="E5" s="32">
        <v>1.3925560480094131E-4</v>
      </c>
      <c r="F5" s="32">
        <v>1.396873956902605E-4</v>
      </c>
      <c r="G5" s="32">
        <v>1.3861874044586396E-4</v>
      </c>
      <c r="H5" s="32">
        <v>1.3924979804258187E-4</v>
      </c>
      <c r="I5" s="32">
        <v>1.4072463902701414E-4</v>
      </c>
      <c r="J5" s="32">
        <v>1.4285935734075145E-4</v>
      </c>
      <c r="K5" s="32">
        <v>1.4542514972774634E-4</v>
      </c>
      <c r="L5" s="32">
        <v>1.5057262544722317E-4</v>
      </c>
      <c r="M5" s="32">
        <v>1.5935223831385371E-4</v>
      </c>
      <c r="N5" s="26">
        <v>924</v>
      </c>
      <c r="O5" s="32">
        <v>1.5825343019448045E-4</v>
      </c>
      <c r="P5" t="s">
        <v>265</v>
      </c>
      <c r="S5" t="s">
        <v>264</v>
      </c>
      <c r="T5">
        <f t="shared" si="0"/>
        <v>18</v>
      </c>
      <c r="U5" s="26">
        <f t="shared" si="1"/>
        <v>1235661</v>
      </c>
      <c r="V5" s="28">
        <f t="shared" si="2"/>
        <v>0.21163159286530508</v>
      </c>
      <c r="W5" t="s">
        <v>297</v>
      </c>
    </row>
    <row r="6" spans="1:23" x14ac:dyDescent="0.2">
      <c r="A6" s="16" t="s">
        <v>173</v>
      </c>
      <c r="B6" s="32">
        <v>2.7463541010769191E-4</v>
      </c>
      <c r="C6" s="32">
        <v>2.7071057916254601E-4</v>
      </c>
      <c r="D6" s="32">
        <v>2.6661984937614803E-4</v>
      </c>
      <c r="E6" s="32">
        <v>2.6238487934564285E-4</v>
      </c>
      <c r="F6" s="32">
        <v>2.5824403406726873E-4</v>
      </c>
      <c r="G6" s="32">
        <v>2.5355295437846112E-4</v>
      </c>
      <c r="H6" s="32">
        <v>2.493837292217148E-4</v>
      </c>
      <c r="I6" s="32">
        <v>2.4626811829727471E-4</v>
      </c>
      <c r="J6" s="32">
        <v>2.4291375311084618E-4</v>
      </c>
      <c r="K6" s="32">
        <v>2.4045717203184915E-4</v>
      </c>
      <c r="L6" s="32">
        <v>2.3821937757321875E-4</v>
      </c>
      <c r="M6" s="32">
        <v>2.3369367130692583E-4</v>
      </c>
      <c r="N6" s="26">
        <v>1314</v>
      </c>
      <c r="O6" s="32">
        <v>2.2504870917267026E-4</v>
      </c>
      <c r="P6" t="s">
        <v>265</v>
      </c>
      <c r="S6" t="s">
        <v>265</v>
      </c>
      <c r="T6">
        <f t="shared" si="0"/>
        <v>38</v>
      </c>
      <c r="U6" s="26">
        <f t="shared" si="1"/>
        <v>297359</v>
      </c>
      <c r="V6" s="28">
        <f t="shared" si="2"/>
        <v>5.0928659901732155E-2</v>
      </c>
      <c r="W6" t="s">
        <v>296</v>
      </c>
    </row>
    <row r="7" spans="1:23" x14ac:dyDescent="0.2">
      <c r="A7" s="16" t="s">
        <v>175</v>
      </c>
      <c r="B7" s="32">
        <v>2.7701149152174553E-4</v>
      </c>
      <c r="C7" s="32">
        <v>2.6992987093136346E-4</v>
      </c>
      <c r="D7" s="32">
        <v>2.6796738652100946E-4</v>
      </c>
      <c r="E7" s="32">
        <v>2.6504098079961174E-4</v>
      </c>
      <c r="F7" s="32">
        <v>2.6048800829522471E-4</v>
      </c>
      <c r="G7" s="32">
        <v>2.5814297889653609E-4</v>
      </c>
      <c r="H7" s="32">
        <v>2.5679832885774836E-4</v>
      </c>
      <c r="I7" s="32">
        <v>2.5501876209463981E-4</v>
      </c>
      <c r="J7" s="32">
        <v>2.540113357402757E-4</v>
      </c>
      <c r="K7" s="32">
        <v>2.537093439494855E-4</v>
      </c>
      <c r="L7" s="32">
        <v>2.5135774672820034E-4</v>
      </c>
      <c r="M7" s="32">
        <v>2.5004190309938385E-4</v>
      </c>
      <c r="N7" s="26">
        <v>1428</v>
      </c>
      <c r="O7" s="32">
        <v>2.4457348302783343E-4</v>
      </c>
      <c r="P7" t="s">
        <v>265</v>
      </c>
    </row>
    <row r="8" spans="1:23" x14ac:dyDescent="0.2">
      <c r="A8" s="16" t="s">
        <v>153</v>
      </c>
      <c r="B8" s="32">
        <v>3.6314444278118745E-4</v>
      </c>
      <c r="C8" s="32">
        <v>3.5756436988160364E-4</v>
      </c>
      <c r="D8" s="32">
        <v>3.5266972134086877E-4</v>
      </c>
      <c r="E8" s="32">
        <v>3.4491374595110532E-4</v>
      </c>
      <c r="F8" s="32">
        <v>3.3977509768300313E-4</v>
      </c>
      <c r="G8" s="32">
        <v>3.3158337118573551E-4</v>
      </c>
      <c r="H8" s="32">
        <v>3.2443394504985955E-4</v>
      </c>
      <c r="I8" s="32">
        <v>3.1930920632017925E-4</v>
      </c>
      <c r="J8" s="32">
        <v>3.1407920362337834E-4</v>
      </c>
      <c r="K8" s="32">
        <v>3.0985670391631321E-4</v>
      </c>
      <c r="L8" s="32">
        <v>3.0149099745115641E-4</v>
      </c>
      <c r="M8" s="32">
        <v>2.9530069216692541E-4</v>
      </c>
      <c r="N8" s="26">
        <v>1722</v>
      </c>
      <c r="O8" s="32">
        <v>2.9492684718062268E-4</v>
      </c>
      <c r="P8" t="s">
        <v>265</v>
      </c>
    </row>
    <row r="9" spans="1:23" x14ac:dyDescent="0.2">
      <c r="A9" s="16" t="s">
        <v>161</v>
      </c>
      <c r="B9" s="32">
        <v>4.0789397607919636E-4</v>
      </c>
      <c r="C9" s="32">
        <v>4.0304062434798663E-4</v>
      </c>
      <c r="D9" s="32">
        <v>4.0002602671742644E-4</v>
      </c>
      <c r="E9" s="32">
        <v>3.950002305116619E-4</v>
      </c>
      <c r="F9" s="32">
        <v>3.8970352425502392E-4</v>
      </c>
      <c r="G9" s="32">
        <v>3.8317524676889815E-4</v>
      </c>
      <c r="H9" s="32">
        <v>3.7760204975702716E-4</v>
      </c>
      <c r="I9" s="32">
        <v>3.7288457650812881E-4</v>
      </c>
      <c r="J9" s="32">
        <v>3.6833405203392269E-4</v>
      </c>
      <c r="K9" s="32">
        <v>3.6356287431936582E-4</v>
      </c>
      <c r="L9" s="32">
        <v>3.5923067242173335E-4</v>
      </c>
      <c r="M9" s="32">
        <v>3.6499578559793058E-4</v>
      </c>
      <c r="N9" s="26">
        <v>2203</v>
      </c>
      <c r="O9" s="32">
        <v>3.7730769125372344E-4</v>
      </c>
      <c r="P9" t="s">
        <v>265</v>
      </c>
    </row>
    <row r="10" spans="1:23" x14ac:dyDescent="0.2">
      <c r="A10" s="16" t="s">
        <v>202</v>
      </c>
      <c r="B10" s="32">
        <v>4.6868205892206693E-4</v>
      </c>
      <c r="C10" s="32">
        <v>4.6276480403345099E-4</v>
      </c>
      <c r="D10" s="32">
        <v>4.5720010272083152E-4</v>
      </c>
      <c r="E10" s="32">
        <v>4.51347525642288E-4</v>
      </c>
      <c r="F10" s="32">
        <v>4.4580287995392372E-4</v>
      </c>
      <c r="G10" s="32">
        <v>4.3843914196652073E-4</v>
      </c>
      <c r="H10" s="32">
        <v>4.3257859339981277E-4</v>
      </c>
      <c r="I10" s="32">
        <v>4.2788862323442367E-4</v>
      </c>
      <c r="J10" s="32">
        <v>4.2294120465492509E-4</v>
      </c>
      <c r="K10" s="32">
        <v>4.1936149291993998E-4</v>
      </c>
      <c r="L10" s="32">
        <v>4.133400085468549E-4</v>
      </c>
      <c r="M10" s="32">
        <v>4.0096189554133816E-4</v>
      </c>
      <c r="N10" s="26">
        <v>2297</v>
      </c>
      <c r="O10" s="32">
        <v>3.9340706618692814E-4</v>
      </c>
      <c r="P10" t="s">
        <v>265</v>
      </c>
    </row>
    <row r="11" spans="1:23" x14ac:dyDescent="0.2">
      <c r="A11" s="16" t="s">
        <v>148</v>
      </c>
      <c r="B11" s="32">
        <v>7.514357471944419E-4</v>
      </c>
      <c r="C11" s="32">
        <v>7.3523197671615775E-4</v>
      </c>
      <c r="D11" s="32">
        <v>7.1303965493808841E-4</v>
      </c>
      <c r="E11" s="32">
        <v>6.9001721343463706E-4</v>
      </c>
      <c r="F11" s="32">
        <v>6.6646034570292962E-4</v>
      </c>
      <c r="G11" s="32">
        <v>6.4811146195218521E-4</v>
      </c>
      <c r="H11" s="32">
        <v>6.3385784693409017E-4</v>
      </c>
      <c r="I11" s="32">
        <v>6.2915343057382076E-4</v>
      </c>
      <c r="J11" s="32">
        <v>6.2533997356309205E-4</v>
      </c>
      <c r="K11" s="32">
        <v>6.2163148534702124E-4</v>
      </c>
      <c r="L11" s="32">
        <v>6.0125326211876251E-4</v>
      </c>
      <c r="M11" s="32">
        <v>6.0075449671021951E-4</v>
      </c>
      <c r="N11" s="26">
        <v>3431</v>
      </c>
      <c r="O11" s="32">
        <v>5.8762718506197233E-4</v>
      </c>
      <c r="P11" t="s">
        <v>265</v>
      </c>
    </row>
    <row r="12" spans="1:23" x14ac:dyDescent="0.2">
      <c r="A12" s="16" t="s">
        <v>156</v>
      </c>
      <c r="B12" s="32">
        <v>6.9935996286976773E-4</v>
      </c>
      <c r="C12" s="32">
        <v>6.8663288932504455E-4</v>
      </c>
      <c r="D12" s="32">
        <v>6.7704116263964814E-4</v>
      </c>
      <c r="E12" s="32">
        <v>6.6706090801104865E-4</v>
      </c>
      <c r="F12" s="32">
        <v>6.5748444879110569E-4</v>
      </c>
      <c r="G12" s="32">
        <v>6.4554104822206319E-4</v>
      </c>
      <c r="H12" s="32">
        <v>6.3584712976326994E-4</v>
      </c>
      <c r="I12" s="32">
        <v>6.2790333860276862E-4</v>
      </c>
      <c r="J12" s="32">
        <v>6.1917464988007565E-4</v>
      </c>
      <c r="K12" s="32">
        <v>6.1047176162690642E-4</v>
      </c>
      <c r="L12" s="32">
        <v>6.0557509407763806E-4</v>
      </c>
      <c r="M12" s="32">
        <v>6.2243741466653222E-4</v>
      </c>
      <c r="N12" s="26">
        <v>3614</v>
      </c>
      <c r="O12" s="32">
        <v>6.1896958519789213E-4</v>
      </c>
      <c r="P12" t="s">
        <v>265</v>
      </c>
    </row>
    <row r="13" spans="1:23" x14ac:dyDescent="0.2">
      <c r="A13" s="16" t="s">
        <v>192</v>
      </c>
      <c r="B13" s="32">
        <v>8.8410029281243291E-4</v>
      </c>
      <c r="C13" s="32">
        <v>8.7302697951987618E-4</v>
      </c>
      <c r="D13" s="32">
        <v>8.6280878332411234E-4</v>
      </c>
      <c r="E13" s="32">
        <v>8.5109079446460867E-4</v>
      </c>
      <c r="F13" s="32">
        <v>8.4036834836951897E-4</v>
      </c>
      <c r="G13" s="32">
        <v>8.2602081227277086E-4</v>
      </c>
      <c r="H13" s="32">
        <v>8.147017404958848E-4</v>
      </c>
      <c r="I13" s="32">
        <v>8.0613073676134741E-4</v>
      </c>
      <c r="J13" s="32">
        <v>7.9532675510911571E-4</v>
      </c>
      <c r="K13" s="32">
        <v>7.8832985841623647E-4</v>
      </c>
      <c r="L13" s="32">
        <v>7.8190583799975938E-4</v>
      </c>
      <c r="M13" s="32">
        <v>7.7404575371027421E-4</v>
      </c>
      <c r="N13" s="26">
        <v>4435</v>
      </c>
      <c r="O13" s="32">
        <v>7.5958221094428653E-4</v>
      </c>
      <c r="P13" t="s">
        <v>265</v>
      </c>
    </row>
    <row r="14" spans="1:23" x14ac:dyDescent="0.2">
      <c r="A14" s="16" t="s">
        <v>205</v>
      </c>
      <c r="B14" s="32">
        <v>9.5340266738899542E-4</v>
      </c>
      <c r="C14" s="32">
        <v>8.9937588232228685E-4</v>
      </c>
      <c r="D14" s="32">
        <v>8.778241972239965E-4</v>
      </c>
      <c r="E14" s="32">
        <v>8.7537515061518153E-4</v>
      </c>
      <c r="F14" s="32">
        <v>8.6336908420606791E-4</v>
      </c>
      <c r="G14" s="32">
        <v>8.596197917450796E-4</v>
      </c>
      <c r="H14" s="32">
        <v>8.5810427495071557E-4</v>
      </c>
      <c r="I14" s="32">
        <v>8.6524222853538507E-4</v>
      </c>
      <c r="J14" s="32">
        <v>8.4764393036214055E-4</v>
      </c>
      <c r="K14" s="32">
        <v>8.4151291676990867E-4</v>
      </c>
      <c r="L14" s="32">
        <v>8.3169334216600538E-4</v>
      </c>
      <c r="M14" s="32">
        <v>8.3806198767653081E-4</v>
      </c>
      <c r="N14" s="26">
        <v>4835</v>
      </c>
      <c r="O14" s="32">
        <v>8.2809018938345561E-4</v>
      </c>
      <c r="P14" t="s">
        <v>265</v>
      </c>
    </row>
    <row r="15" spans="1:23" x14ac:dyDescent="0.2">
      <c r="A15" s="16" t="s">
        <v>190</v>
      </c>
      <c r="B15" s="32">
        <v>8.803381639068481E-4</v>
      </c>
      <c r="C15" s="32">
        <v>8.5955976253197731E-4</v>
      </c>
      <c r="D15" s="32">
        <v>8.6203876209847729E-4</v>
      </c>
      <c r="E15" s="32">
        <v>8.5659271890497287E-4</v>
      </c>
      <c r="F15" s="32">
        <v>8.4672627534872766E-4</v>
      </c>
      <c r="G15" s="32">
        <v>8.3538446228964374E-4</v>
      </c>
      <c r="H15" s="32">
        <v>8.537640215052324E-4</v>
      </c>
      <c r="I15" s="32">
        <v>8.4470500329667116E-4</v>
      </c>
      <c r="J15" s="32">
        <v>8.3425637036473347E-4</v>
      </c>
      <c r="K15" s="32">
        <v>8.5214952844064309E-4</v>
      </c>
      <c r="L15" s="32">
        <v>8.4293010525908171E-4</v>
      </c>
      <c r="M15" s="32">
        <v>8.6920967140742447E-4</v>
      </c>
      <c r="N15" s="26">
        <v>5088</v>
      </c>
      <c r="O15" s="32">
        <v>8.7142148574622996E-4</v>
      </c>
      <c r="P15" t="s">
        <v>265</v>
      </c>
    </row>
    <row r="16" spans="1:23" x14ac:dyDescent="0.2">
      <c r="A16" s="16" t="s">
        <v>158</v>
      </c>
      <c r="B16" s="32">
        <v>8.458849834030713E-4</v>
      </c>
      <c r="C16" s="32">
        <v>8.427745355615527E-4</v>
      </c>
      <c r="D16" s="32">
        <v>8.406706730871037E-4</v>
      </c>
      <c r="E16" s="32">
        <v>8.3572335033807433E-4</v>
      </c>
      <c r="F16" s="32">
        <v>8.2970947078672805E-4</v>
      </c>
      <c r="G16" s="32">
        <v>8.2014558088963488E-4</v>
      </c>
      <c r="H16" s="32">
        <v>8.1307414545382867E-4</v>
      </c>
      <c r="I16" s="32">
        <v>8.1059535094367657E-4</v>
      </c>
      <c r="J16" s="32">
        <v>8.0871431510652267E-4</v>
      </c>
      <c r="K16" s="32">
        <v>8.1012619380708571E-4</v>
      </c>
      <c r="L16" s="32">
        <v>8.1596187383569849E-4</v>
      </c>
      <c r="M16" s="32">
        <v>8.7144679786323447E-4</v>
      </c>
      <c r="N16" s="26">
        <v>5338</v>
      </c>
      <c r="O16" s="32">
        <v>9.1423897227071061E-4</v>
      </c>
      <c r="P16" t="s">
        <v>265</v>
      </c>
    </row>
    <row r="17" spans="1:16" x14ac:dyDescent="0.2">
      <c r="A17" s="16" t="s">
        <v>149</v>
      </c>
      <c r="B17" s="32">
        <v>1.2882321399860445E-3</v>
      </c>
      <c r="C17" s="32">
        <v>1.2403502022912615E-3</v>
      </c>
      <c r="D17" s="32">
        <v>1.128851116781034E-3</v>
      </c>
      <c r="E17" s="32">
        <v>1.1003848880728334E-3</v>
      </c>
      <c r="F17" s="32">
        <v>1.0941244339808757E-3</v>
      </c>
      <c r="G17" s="32">
        <v>1.0953634509934097E-3</v>
      </c>
      <c r="H17" s="32">
        <v>1.0403949196610045E-3</v>
      </c>
      <c r="I17" s="32">
        <v>1.0657926976056096E-3</v>
      </c>
      <c r="J17" s="32">
        <v>1.0540941976905755E-3</v>
      </c>
      <c r="K17" s="32">
        <v>1.0427366850982291E-3</v>
      </c>
      <c r="L17" s="32">
        <v>9.4682694555044925E-4</v>
      </c>
      <c r="M17" s="32">
        <v>9.1791019348390454E-4</v>
      </c>
      <c r="N17" s="26">
        <v>5400</v>
      </c>
      <c r="O17" s="32">
        <v>9.2485770892878185E-4</v>
      </c>
      <c r="P17" t="s">
        <v>265</v>
      </c>
    </row>
    <row r="18" spans="1:16" x14ac:dyDescent="0.2">
      <c r="A18" s="16" t="s">
        <v>181</v>
      </c>
      <c r="B18" s="32">
        <v>1.0838891383774373E-3</v>
      </c>
      <c r="C18" s="32">
        <v>1.0711316931824458E-3</v>
      </c>
      <c r="D18" s="32">
        <v>1.0593567011674676E-3</v>
      </c>
      <c r="E18" s="32">
        <v>1.0476423020583079E-3</v>
      </c>
      <c r="F18" s="32">
        <v>1.0355941062016904E-3</v>
      </c>
      <c r="G18" s="32">
        <v>1.0195362459548113E-3</v>
      </c>
      <c r="H18" s="32">
        <v>1.0078430188198814E-3</v>
      </c>
      <c r="I18" s="32">
        <v>9.984663157360863E-4</v>
      </c>
      <c r="J18" s="32">
        <v>9.9015098349243395E-4</v>
      </c>
      <c r="K18" s="32">
        <v>9.8379939420137276E-4</v>
      </c>
      <c r="L18" s="32">
        <v>9.7880850204612804E-4</v>
      </c>
      <c r="M18" s="32">
        <v>9.4131397794468654E-4</v>
      </c>
      <c r="N18" s="26">
        <v>5513</v>
      </c>
      <c r="O18" s="32">
        <v>9.4421121283784709E-4</v>
      </c>
      <c r="P18" t="s">
        <v>265</v>
      </c>
    </row>
    <row r="19" spans="1:16" x14ac:dyDescent="0.2">
      <c r="A19" s="16" t="s">
        <v>157</v>
      </c>
      <c r="B19" s="32">
        <v>1.1559636079370623E-3</v>
      </c>
      <c r="C19" s="32">
        <v>1.1392484863531225E-3</v>
      </c>
      <c r="D19" s="32">
        <v>1.1240384841208148E-3</v>
      </c>
      <c r="E19" s="32">
        <v>1.1085429139671664E-3</v>
      </c>
      <c r="F19" s="32">
        <v>1.0926284511622384E-3</v>
      </c>
      <c r="G19" s="32">
        <v>1.0720461264415891E-3</v>
      </c>
      <c r="H19" s="32">
        <v>1.0555858067201951E-3</v>
      </c>
      <c r="I19" s="32">
        <v>1.0423981192902048E-3</v>
      </c>
      <c r="J19" s="32">
        <v>1.0281998382219066E-3</v>
      </c>
      <c r="K19" s="32">
        <v>1.018324789460478E-3</v>
      </c>
      <c r="L19" s="32">
        <v>9.8468619351019878E-4</v>
      </c>
      <c r="M19" s="32">
        <v>9.8846572016714424E-4</v>
      </c>
      <c r="N19" s="26">
        <v>5620</v>
      </c>
      <c r="O19" s="32">
        <v>9.6253709707032483E-4</v>
      </c>
      <c r="P19" t="s">
        <v>265</v>
      </c>
    </row>
    <row r="20" spans="1:16" x14ac:dyDescent="0.2">
      <c r="A20" s="16" t="s">
        <v>168</v>
      </c>
      <c r="B20" s="32">
        <v>1.0817110637478882E-3</v>
      </c>
      <c r="C20" s="32">
        <v>1.0689847455466939E-3</v>
      </c>
      <c r="D20" s="32">
        <v>1.0587791852482414E-3</v>
      </c>
      <c r="E20" s="32">
        <v>1.0457450867340445E-3</v>
      </c>
      <c r="F20" s="32">
        <v>1.0352201104970309E-3</v>
      </c>
      <c r="G20" s="32">
        <v>1.0195362459548113E-3</v>
      </c>
      <c r="H20" s="32">
        <v>1.0087472382876905E-3</v>
      </c>
      <c r="I20" s="32">
        <v>1.0063240366969856E-3</v>
      </c>
      <c r="J20" s="32">
        <v>1.0053000645421314E-3</v>
      </c>
      <c r="K20" s="32">
        <v>1.0028057986621933E-3</v>
      </c>
      <c r="L20" s="32">
        <v>1.0066410998612865E-3</v>
      </c>
      <c r="M20" s="32">
        <v>1.0142787177341833E-3</v>
      </c>
      <c r="N20" s="26">
        <v>5895</v>
      </c>
      <c r="O20" s="32">
        <v>1.0096363322472535E-3</v>
      </c>
      <c r="P20" t="s">
        <v>265</v>
      </c>
    </row>
    <row r="21" spans="1:16" x14ac:dyDescent="0.2">
      <c r="A21" s="16" t="s">
        <v>196</v>
      </c>
      <c r="B21" s="32">
        <v>1.31021089306604E-3</v>
      </c>
      <c r="C21" s="32">
        <v>1.3147126613113987E-3</v>
      </c>
      <c r="D21" s="32">
        <v>1.3076885464347824E-3</v>
      </c>
      <c r="E21" s="32">
        <v>1.2832764453318353E-3</v>
      </c>
      <c r="F21" s="32">
        <v>1.242413730878301E-3</v>
      </c>
      <c r="G21" s="32">
        <v>1.2156220933669738E-3</v>
      </c>
      <c r="H21" s="32">
        <v>1.1964631998048333E-3</v>
      </c>
      <c r="I21" s="32">
        <v>1.1729434379815086E-3</v>
      </c>
      <c r="J21" s="32">
        <v>1.1604900692489155E-3</v>
      </c>
      <c r="K21" s="32">
        <v>1.1382918194517123E-3</v>
      </c>
      <c r="L21" s="32">
        <v>1.1273066481530911E-3</v>
      </c>
      <c r="M21" s="32">
        <v>1.1087542888295458E-3</v>
      </c>
      <c r="N21" s="26">
        <v>6558</v>
      </c>
      <c r="O21" s="32">
        <v>1.1231883065101762E-3</v>
      </c>
      <c r="P21" t="s">
        <v>265</v>
      </c>
    </row>
    <row r="22" spans="1:16" x14ac:dyDescent="0.2">
      <c r="A22" s="16" t="s">
        <v>199</v>
      </c>
      <c r="B22" s="32">
        <v>1.2165536839954284E-3</v>
      </c>
      <c r="C22" s="32">
        <v>1.2015099677899301E-3</v>
      </c>
      <c r="D22" s="32">
        <v>1.1854476768652128E-3</v>
      </c>
      <c r="E22" s="32">
        <v>1.1698229689408777E-3</v>
      </c>
      <c r="F22" s="32">
        <v>1.1547117381356874E-3</v>
      </c>
      <c r="G22" s="32">
        <v>1.1352048638103005E-3</v>
      </c>
      <c r="H22" s="32">
        <v>1.1190620133603852E-3</v>
      </c>
      <c r="I22" s="32">
        <v>1.1097245011597282E-3</v>
      </c>
      <c r="J22" s="32">
        <v>1.105530612417455E-3</v>
      </c>
      <c r="K22" s="32">
        <v>1.1088231740032841E-3</v>
      </c>
      <c r="L22" s="32">
        <v>1.1046602486885833E-3</v>
      </c>
      <c r="M22" s="32">
        <v>1.1197678344581491E-3</v>
      </c>
      <c r="N22" s="26">
        <v>6616</v>
      </c>
      <c r="O22" s="32">
        <v>1.1331219633838557E-3</v>
      </c>
      <c r="P22" t="s">
        <v>265</v>
      </c>
    </row>
    <row r="23" spans="1:16" x14ac:dyDescent="0.2">
      <c r="A23" s="16" t="s">
        <v>176</v>
      </c>
      <c r="B23" s="32">
        <v>1.6369220874984059E-3</v>
      </c>
      <c r="C23" s="32">
        <v>1.5936206769013612E-3</v>
      </c>
      <c r="D23" s="32">
        <v>1.5564054023149147E-3</v>
      </c>
      <c r="E23" s="32">
        <v>1.5189105886053626E-3</v>
      </c>
      <c r="F23" s="32">
        <v>1.4331515402545602E-3</v>
      </c>
      <c r="G23" s="32">
        <v>1.3882070152465926E-3</v>
      </c>
      <c r="H23" s="32">
        <v>1.3527123238422239E-3</v>
      </c>
      <c r="I23" s="32">
        <v>1.3215257979694221E-3</v>
      </c>
      <c r="J23" s="32">
        <v>1.2832680865935565E-3</v>
      </c>
      <c r="K23" s="32">
        <v>1.2523302462166357E-3</v>
      </c>
      <c r="L23" s="32">
        <v>1.2216954581349324E-3</v>
      </c>
      <c r="M23" s="32">
        <v>1.1923884009467519E-3</v>
      </c>
      <c r="N23" s="26">
        <v>6974</v>
      </c>
      <c r="O23" s="32">
        <v>1.1944366040869119E-3</v>
      </c>
      <c r="P23" t="s">
        <v>265</v>
      </c>
    </row>
    <row r="24" spans="1:16" x14ac:dyDescent="0.2">
      <c r="A24" s="16" t="s">
        <v>172</v>
      </c>
      <c r="B24" s="32">
        <v>1.3177351508772096E-3</v>
      </c>
      <c r="C24" s="32">
        <v>1.3020261525546822E-3</v>
      </c>
      <c r="D24" s="32">
        <v>1.2870904786490439E-3</v>
      </c>
      <c r="E24" s="32">
        <v>1.2705651026592697E-3</v>
      </c>
      <c r="F24" s="32">
        <v>1.2528856106087621E-3</v>
      </c>
      <c r="G24" s="32">
        <v>1.2312281767284288E-3</v>
      </c>
      <c r="H24" s="32">
        <v>1.2154518086288217E-3</v>
      </c>
      <c r="I24" s="32">
        <v>1.2031242298540536E-3</v>
      </c>
      <c r="J24" s="32">
        <v>1.1904359271378525E-3</v>
      </c>
      <c r="K24" s="32">
        <v>1.181884490233411E-3</v>
      </c>
      <c r="L24" s="32">
        <v>1.1812431109998575E-3</v>
      </c>
      <c r="M24" s="32">
        <v>1.1956580473052435E-3</v>
      </c>
      <c r="N24" s="26">
        <v>7104</v>
      </c>
      <c r="O24" s="32">
        <v>1.216701697079642E-3</v>
      </c>
      <c r="P24" t="s">
        <v>265</v>
      </c>
    </row>
    <row r="25" spans="1:16" x14ac:dyDescent="0.2">
      <c r="A25" s="16" t="s">
        <v>177</v>
      </c>
      <c r="B25" s="32">
        <v>1.4418854047615088E-3</v>
      </c>
      <c r="C25" s="32">
        <v>1.41347225255599E-3</v>
      </c>
      <c r="D25" s="32">
        <v>1.3673651914215016E-3</v>
      </c>
      <c r="E25" s="32">
        <v>1.3415209557867248E-3</v>
      </c>
      <c r="F25" s="32">
        <v>1.3248797837556836E-3</v>
      </c>
      <c r="G25" s="32">
        <v>1.3143994209959473E-3</v>
      </c>
      <c r="H25" s="32">
        <v>1.3103948527487638E-3</v>
      </c>
      <c r="I25" s="32">
        <v>1.31295373873935E-3</v>
      </c>
      <c r="J25" s="32">
        <v>1.2915472355393214E-3</v>
      </c>
      <c r="K25" s="32">
        <v>1.3173705110229299E-3</v>
      </c>
      <c r="L25" s="32">
        <v>1.2813367391674147E-3</v>
      </c>
      <c r="M25" s="32">
        <v>1.2732691266568073E-3</v>
      </c>
      <c r="N25" s="26">
        <v>7342</v>
      </c>
      <c r="O25" s="32">
        <v>1.2574639442509475E-3</v>
      </c>
      <c r="P25" t="s">
        <v>265</v>
      </c>
    </row>
    <row r="26" spans="1:16" x14ac:dyDescent="0.2">
      <c r="A26" s="16" t="s">
        <v>155</v>
      </c>
      <c r="B26" s="32">
        <v>1.6398921892659729E-3</v>
      </c>
      <c r="C26" s="32">
        <v>1.6006470509820042E-3</v>
      </c>
      <c r="D26" s="32">
        <v>1.5658381623289445E-3</v>
      </c>
      <c r="E26" s="32">
        <v>1.5304836020833702E-3</v>
      </c>
      <c r="F26" s="32">
        <v>1.4954218250803389E-3</v>
      </c>
      <c r="G26" s="32">
        <v>1.4559557771333792E-3</v>
      </c>
      <c r="H26" s="32">
        <v>1.4181778133115935E-3</v>
      </c>
      <c r="I26" s="32">
        <v>1.3852804884930819E-3</v>
      </c>
      <c r="J26" s="32">
        <v>1.3493251260544466E-3</v>
      </c>
      <c r="K26" s="32">
        <v>1.3166730282904227E-3</v>
      </c>
      <c r="L26" s="32">
        <v>1.2885974168583255E-3</v>
      </c>
      <c r="M26" s="32">
        <v>1.3054493302903825E-3</v>
      </c>
      <c r="N26" s="26">
        <v>7572</v>
      </c>
      <c r="O26" s="32">
        <v>1.2968560318534696E-3</v>
      </c>
      <c r="P26" t="s">
        <v>265</v>
      </c>
    </row>
    <row r="27" spans="1:16" x14ac:dyDescent="0.2">
      <c r="A27" s="16" t="s">
        <v>201</v>
      </c>
      <c r="B27" s="32">
        <v>1.4565379068148391E-3</v>
      </c>
      <c r="C27" s="32">
        <v>1.4610954546581249E-3</v>
      </c>
      <c r="D27" s="32">
        <v>1.4584202013528504E-3</v>
      </c>
      <c r="E27" s="32">
        <v>1.4447294694266597E-3</v>
      </c>
      <c r="F27" s="32">
        <v>1.4451194028036588E-3</v>
      </c>
      <c r="G27" s="32">
        <v>1.4366776741574644E-3</v>
      </c>
      <c r="H27" s="32">
        <v>1.4469319923879188E-3</v>
      </c>
      <c r="I27" s="32">
        <v>1.4311767222874253E-3</v>
      </c>
      <c r="J27" s="32">
        <v>1.4363442660375923E-3</v>
      </c>
      <c r="K27" s="32">
        <v>1.4164130590389489E-3</v>
      </c>
      <c r="L27" s="32">
        <v>1.392494257149693E-3</v>
      </c>
      <c r="M27" s="32">
        <v>1.3901159623102702E-3</v>
      </c>
      <c r="N27" s="26">
        <v>7993</v>
      </c>
      <c r="O27" s="32">
        <v>1.3689606791606951E-3</v>
      </c>
      <c r="P27" t="s">
        <v>265</v>
      </c>
    </row>
    <row r="28" spans="1:16" x14ac:dyDescent="0.2">
      <c r="A28" s="16" t="s">
        <v>154</v>
      </c>
      <c r="B28" s="32">
        <v>1.8127521121383704E-3</v>
      </c>
      <c r="C28" s="32">
        <v>1.7618633007211988E-3</v>
      </c>
      <c r="D28" s="32">
        <v>1.7356278425814807E-3</v>
      </c>
      <c r="E28" s="32">
        <v>1.7010432597346593E-3</v>
      </c>
      <c r="F28" s="32">
        <v>1.6893385979462026E-3</v>
      </c>
      <c r="G28" s="32">
        <v>1.6814177814612214E-3</v>
      </c>
      <c r="H28" s="32">
        <v>1.670455044830297E-3</v>
      </c>
      <c r="I28" s="32">
        <v>1.6835167158726677E-3</v>
      </c>
      <c r="J28" s="32">
        <v>1.6531875075745405E-3</v>
      </c>
      <c r="K28" s="32">
        <v>1.6415256109556403E-3</v>
      </c>
      <c r="L28" s="32">
        <v>1.6244901967021311E-3</v>
      </c>
      <c r="M28" s="32">
        <v>1.6274234532765814E-3</v>
      </c>
      <c r="N28" s="26">
        <v>9366</v>
      </c>
      <c r="O28" s="32">
        <v>1.6041143151531427E-3</v>
      </c>
      <c r="P28" t="s">
        <v>265</v>
      </c>
    </row>
    <row r="29" spans="1:16" x14ac:dyDescent="0.2">
      <c r="A29" s="16" t="s">
        <v>207</v>
      </c>
      <c r="B29" s="32">
        <v>1.9864040621487855E-3</v>
      </c>
      <c r="C29" s="32">
        <v>1.9734352313716674E-3</v>
      </c>
      <c r="D29" s="32">
        <v>1.9400684779875958E-3</v>
      </c>
      <c r="E29" s="32">
        <v>1.9243455034004739E-3</v>
      </c>
      <c r="F29" s="32">
        <v>1.9051341195346371E-3</v>
      </c>
      <c r="G29" s="32">
        <v>1.8431702454781832E-3</v>
      </c>
      <c r="H29" s="32">
        <v>1.8185661936574067E-3</v>
      </c>
      <c r="I29" s="32">
        <v>1.7810238896147359E-3</v>
      </c>
      <c r="J29" s="32">
        <v>1.7535942075550934E-3</v>
      </c>
      <c r="K29" s="32">
        <v>1.7454505380992097E-3</v>
      </c>
      <c r="L29" s="32">
        <v>1.7247566981480431E-3</v>
      </c>
      <c r="M29" s="32">
        <v>1.7091646122388714E-3</v>
      </c>
      <c r="N29" s="26">
        <v>9920</v>
      </c>
      <c r="O29" s="32">
        <v>1.6989978652913918E-3</v>
      </c>
      <c r="P29" t="s">
        <v>265</v>
      </c>
    </row>
    <row r="30" spans="1:16" x14ac:dyDescent="0.2">
      <c r="A30" s="16" t="s">
        <v>197</v>
      </c>
      <c r="B30" s="32">
        <v>2.3762794208380756E-3</v>
      </c>
      <c r="C30" s="32">
        <v>2.3337320800624096E-3</v>
      </c>
      <c r="D30" s="32">
        <v>2.293123209941282E-3</v>
      </c>
      <c r="E30" s="32">
        <v>2.2516151468359286E-3</v>
      </c>
      <c r="F30" s="32">
        <v>2.2108756080936411E-3</v>
      </c>
      <c r="G30" s="32">
        <v>2.1624523509554778E-3</v>
      </c>
      <c r="H30" s="32">
        <v>2.122022247054098E-3</v>
      </c>
      <c r="I30" s="32">
        <v>2.0872964225225141E-3</v>
      </c>
      <c r="J30" s="32">
        <v>2.0511151132869419E-3</v>
      </c>
      <c r="K30" s="32">
        <v>2.0226999242708124E-3</v>
      </c>
      <c r="L30" s="32">
        <v>1.9942661391035205E-3</v>
      </c>
      <c r="M30" s="32">
        <v>1.962476161696747E-3</v>
      </c>
      <c r="N30" s="26">
        <v>11336</v>
      </c>
      <c r="O30" s="32">
        <v>1.9415161089660503E-3</v>
      </c>
      <c r="P30" t="s">
        <v>265</v>
      </c>
    </row>
    <row r="31" spans="1:16" x14ac:dyDescent="0.2">
      <c r="A31" s="16" t="s">
        <v>194</v>
      </c>
      <c r="B31" s="32">
        <v>2.4812230166254418E-3</v>
      </c>
      <c r="C31" s="32">
        <v>2.4354193271739358E-3</v>
      </c>
      <c r="D31" s="32">
        <v>2.3866807888559449E-3</v>
      </c>
      <c r="E31" s="32">
        <v>2.3311084689225693E-3</v>
      </c>
      <c r="F31" s="32">
        <v>2.2482751785595743E-3</v>
      </c>
      <c r="G31" s="32">
        <v>2.1831992617771766E-3</v>
      </c>
      <c r="H31" s="32">
        <v>2.1496913627690527E-3</v>
      </c>
      <c r="I31" s="32">
        <v>2.13051388780746E-3</v>
      </c>
      <c r="J31" s="32">
        <v>2.1087168516968381E-3</v>
      </c>
      <c r="K31" s="32">
        <v>2.0943662750359249E-3</v>
      </c>
      <c r="L31" s="32">
        <v>2.0765538196005108E-3</v>
      </c>
      <c r="M31" s="32">
        <v>2.062458505606411E-3</v>
      </c>
      <c r="N31" s="26">
        <v>11850</v>
      </c>
      <c r="O31" s="32">
        <v>2.0295488612603824E-3</v>
      </c>
      <c r="P31" t="s">
        <v>265</v>
      </c>
    </row>
    <row r="32" spans="1:16" x14ac:dyDescent="0.2">
      <c r="A32" s="16" t="s">
        <v>185</v>
      </c>
      <c r="B32" s="32">
        <v>2.7336816668686336E-3</v>
      </c>
      <c r="C32" s="32">
        <v>2.6255217814668843E-3</v>
      </c>
      <c r="D32" s="32">
        <v>2.5441501294983194E-3</v>
      </c>
      <c r="E32" s="32">
        <v>2.501857848106285E-3</v>
      </c>
      <c r="F32" s="32">
        <v>2.4339640459229324E-3</v>
      </c>
      <c r="G32" s="32">
        <v>2.3937895866664562E-3</v>
      </c>
      <c r="H32" s="32">
        <v>2.3990750919907675E-3</v>
      </c>
      <c r="I32" s="32">
        <v>2.3614237333175227E-3</v>
      </c>
      <c r="J32" s="32">
        <v>2.3412376305991709E-3</v>
      </c>
      <c r="K32" s="32">
        <v>2.330289809306477E-3</v>
      </c>
      <c r="L32" s="32">
        <v>2.2931640373793517E-3</v>
      </c>
      <c r="M32" s="32">
        <v>2.264832406531996E-3</v>
      </c>
      <c r="N32" s="26">
        <v>13166</v>
      </c>
      <c r="O32" s="32">
        <v>2.2549401103252485E-3</v>
      </c>
      <c r="P32" t="s">
        <v>265</v>
      </c>
    </row>
    <row r="33" spans="1:16" x14ac:dyDescent="0.2">
      <c r="A33" s="16" t="s">
        <v>147</v>
      </c>
      <c r="B33" s="32">
        <v>2.3879618211238391E-3</v>
      </c>
      <c r="C33" s="32">
        <v>2.3333417259468183E-3</v>
      </c>
      <c r="D33" s="32">
        <v>2.3081386238411662E-3</v>
      </c>
      <c r="E33" s="32">
        <v>2.275709781454075E-3</v>
      </c>
      <c r="F33" s="32">
        <v>2.231071376145245E-3</v>
      </c>
      <c r="G33" s="32">
        <v>2.2048641775024905E-3</v>
      </c>
      <c r="H33" s="32">
        <v>2.2355922122109053E-3</v>
      </c>
      <c r="I33" s="32">
        <v>2.2783819095262008E-3</v>
      </c>
      <c r="J33" s="32">
        <v>2.2959665395553075E-3</v>
      </c>
      <c r="K33" s="32">
        <v>2.3006467931749224E-3</v>
      </c>
      <c r="L33" s="32">
        <v>2.3213423817512202E-3</v>
      </c>
      <c r="M33" s="32">
        <v>2.3768608159729452E-3</v>
      </c>
      <c r="N33" s="26">
        <v>13986</v>
      </c>
      <c r="O33" s="32">
        <v>2.3953814661255451E-3</v>
      </c>
      <c r="P33" t="s">
        <v>265</v>
      </c>
    </row>
    <row r="34" spans="1:16" x14ac:dyDescent="0.2">
      <c r="A34" s="16" t="s">
        <v>180</v>
      </c>
      <c r="B34" s="32">
        <v>3.0506905288602807E-3</v>
      </c>
      <c r="C34" s="32">
        <v>2.9910884107181091E-3</v>
      </c>
      <c r="D34" s="32">
        <v>2.9347433962017165E-3</v>
      </c>
      <c r="E34" s="32">
        <v>2.8784550899725908E-3</v>
      </c>
      <c r="F34" s="32">
        <v>2.8210496002453412E-3</v>
      </c>
      <c r="G34" s="32">
        <v>2.7534639079028105E-3</v>
      </c>
      <c r="H34" s="32">
        <v>2.6956590774321106E-3</v>
      </c>
      <c r="I34" s="32">
        <v>2.6460875335828278E-3</v>
      </c>
      <c r="J34" s="32">
        <v>2.5945443579185302E-3</v>
      </c>
      <c r="K34" s="32">
        <v>2.553309913025647E-3</v>
      </c>
      <c r="L34" s="32">
        <v>2.5030321973023469E-3</v>
      </c>
      <c r="M34" s="32">
        <v>2.4660017009044532E-3</v>
      </c>
      <c r="N34" s="26">
        <v>14297</v>
      </c>
      <c r="O34" s="32">
        <v>2.4486464193619988E-3</v>
      </c>
      <c r="P34" t="s">
        <v>265</v>
      </c>
    </row>
    <row r="35" spans="1:16" x14ac:dyDescent="0.2">
      <c r="A35" s="16" t="s">
        <v>169</v>
      </c>
      <c r="B35" s="32">
        <v>2.9285203428210263E-3</v>
      </c>
      <c r="C35" s="32">
        <v>2.8956468294560433E-3</v>
      </c>
      <c r="D35" s="32">
        <v>2.8731416981509095E-3</v>
      </c>
      <c r="E35" s="32">
        <v>2.8359574667090885E-3</v>
      </c>
      <c r="F35" s="32">
        <v>2.792625926691232E-3</v>
      </c>
      <c r="G35" s="32">
        <v>2.7468542725967823E-3</v>
      </c>
      <c r="H35" s="32">
        <v>2.7202538469565146E-3</v>
      </c>
      <c r="I35" s="32">
        <v>2.7050204407895722E-3</v>
      </c>
      <c r="J35" s="32">
        <v>2.6894903426369831E-3</v>
      </c>
      <c r="K35" s="32">
        <v>2.6867034856176445E-3</v>
      </c>
      <c r="L35" s="32">
        <v>2.7224083875348687E-3</v>
      </c>
      <c r="M35" s="32">
        <v>2.7292942760882501E-3</v>
      </c>
      <c r="N35" s="26">
        <v>15748</v>
      </c>
      <c r="O35" s="32">
        <v>2.6971591111500846E-3</v>
      </c>
      <c r="P35" t="s">
        <v>265</v>
      </c>
    </row>
    <row r="36" spans="1:16" x14ac:dyDescent="0.2">
      <c r="A36" s="16" t="s">
        <v>145</v>
      </c>
      <c r="B36" s="32">
        <v>3.0639569834220799E-3</v>
      </c>
      <c r="C36" s="32">
        <v>3.0307093534506229E-3</v>
      </c>
      <c r="D36" s="32">
        <v>3.003852801202465E-3</v>
      </c>
      <c r="E36" s="32">
        <v>2.9803355528855414E-3</v>
      </c>
      <c r="F36" s="32">
        <v>2.9523220925807667E-3</v>
      </c>
      <c r="G36" s="32">
        <v>2.9165015787848332E-3</v>
      </c>
      <c r="H36" s="32">
        <v>2.8819282878007591E-3</v>
      </c>
      <c r="I36" s="32">
        <v>2.8668180587571798E-3</v>
      </c>
      <c r="J36" s="32">
        <v>2.8508456710267835E-3</v>
      </c>
      <c r="K36" s="32">
        <v>2.8330004887610247E-3</v>
      </c>
      <c r="L36" s="32">
        <v>2.8301084399500465E-3</v>
      </c>
      <c r="M36" s="32">
        <v>2.8521641445073556E-3</v>
      </c>
      <c r="N36" s="26">
        <v>16575</v>
      </c>
      <c r="O36" s="32">
        <v>2.8387993565730666E-3</v>
      </c>
      <c r="P36" t="s">
        <v>265</v>
      </c>
    </row>
    <row r="37" spans="1:16" x14ac:dyDescent="0.2">
      <c r="A37" s="16" t="s">
        <v>193</v>
      </c>
      <c r="B37" s="32">
        <v>3.3970043949585887E-3</v>
      </c>
      <c r="C37" s="32">
        <v>3.3429926459236392E-3</v>
      </c>
      <c r="D37" s="32">
        <v>3.3112837755372728E-3</v>
      </c>
      <c r="E37" s="32">
        <v>3.2861666631568182E-3</v>
      </c>
      <c r="F37" s="32">
        <v>3.276389370668078E-3</v>
      </c>
      <c r="G37" s="32">
        <v>3.2499209597777988E-3</v>
      </c>
      <c r="H37" s="32">
        <v>3.1993093210017087E-3</v>
      </c>
      <c r="I37" s="32">
        <v>3.15344628926271E-3</v>
      </c>
      <c r="J37" s="32">
        <v>3.1078515925559531E-3</v>
      </c>
      <c r="K37" s="32">
        <v>3.0363167052868669E-3</v>
      </c>
      <c r="L37" s="32">
        <v>3.0002157458513872E-3</v>
      </c>
      <c r="M37" s="32">
        <v>2.9832941721479132E-3</v>
      </c>
      <c r="N37" s="26">
        <v>16856</v>
      </c>
      <c r="O37" s="32">
        <v>2.8869262114265826E-3</v>
      </c>
      <c r="P37" t="s">
        <v>265</v>
      </c>
    </row>
    <row r="38" spans="1:16" x14ac:dyDescent="0.2">
      <c r="A38" s="16" t="s">
        <v>170</v>
      </c>
      <c r="B38" s="32">
        <v>3.0312858639788432E-3</v>
      </c>
      <c r="C38" s="32">
        <v>2.9955774830474086E-3</v>
      </c>
      <c r="D38" s="32">
        <v>2.9395560288619357E-3</v>
      </c>
      <c r="E38" s="32">
        <v>2.9264546376764574E-3</v>
      </c>
      <c r="F38" s="32">
        <v>2.9081905994309655E-3</v>
      </c>
      <c r="G38" s="32">
        <v>2.9056691209221764E-3</v>
      </c>
      <c r="H38" s="32">
        <v>2.9083314962607813E-3</v>
      </c>
      <c r="I38" s="32">
        <v>2.940216315914671E-3</v>
      </c>
      <c r="J38" s="32">
        <v>2.9383932673256166E-3</v>
      </c>
      <c r="K38" s="32">
        <v>2.95401374285102E-3</v>
      </c>
      <c r="L38" s="32">
        <v>2.9295105750041833E-3</v>
      </c>
      <c r="M38" s="32">
        <v>2.9793361791876339E-3</v>
      </c>
      <c r="N38" s="26">
        <v>17269</v>
      </c>
      <c r="O38" s="32">
        <v>2.9576606991650249E-3</v>
      </c>
      <c r="P38" t="s">
        <v>265</v>
      </c>
    </row>
    <row r="39" spans="1:16" x14ac:dyDescent="0.2">
      <c r="A39" s="16" t="s">
        <v>191</v>
      </c>
      <c r="B39" s="32">
        <v>3.2199863296115978E-3</v>
      </c>
      <c r="C39" s="32">
        <v>3.102534510719417E-3</v>
      </c>
      <c r="D39" s="32">
        <v>3.0298410175676493E-3</v>
      </c>
      <c r="E39" s="32">
        <v>2.9843197050664944E-3</v>
      </c>
      <c r="F39" s="32">
        <v>2.9504521140574702E-3</v>
      </c>
      <c r="G39" s="32">
        <v>2.9330256670499033E-3</v>
      </c>
      <c r="H39" s="32">
        <v>2.9768713319207013E-3</v>
      </c>
      <c r="I39" s="32">
        <v>3.0120073119665231E-3</v>
      </c>
      <c r="J39" s="32">
        <v>3.059057459407509E-3</v>
      </c>
      <c r="K39" s="32">
        <v>3.0534050322332928E-3</v>
      </c>
      <c r="L39" s="32">
        <v>3.0107610158310433E-3</v>
      </c>
      <c r="M39" s="32">
        <v>3.0519567456762367E-3</v>
      </c>
      <c r="N39" s="26">
        <v>17900</v>
      </c>
      <c r="O39" s="32">
        <v>3.0657320351528141E-3</v>
      </c>
      <c r="P39" t="s">
        <v>265</v>
      </c>
    </row>
    <row r="40" spans="1:16" x14ac:dyDescent="0.2">
      <c r="A40" s="16" t="s">
        <v>189</v>
      </c>
      <c r="B40" s="32">
        <v>3.7300518064950976E-3</v>
      </c>
      <c r="C40" s="32">
        <v>3.6753791753496058E-3</v>
      </c>
      <c r="D40" s="32">
        <v>3.6219873400810294E-3</v>
      </c>
      <c r="E40" s="32">
        <v>3.5665750880829643E-3</v>
      </c>
      <c r="F40" s="32">
        <v>3.5116326688987977E-3</v>
      </c>
      <c r="G40" s="32">
        <v>3.454819654264665E-3</v>
      </c>
      <c r="H40" s="32">
        <v>3.3993226672810535E-3</v>
      </c>
      <c r="I40" s="32">
        <v>3.3507822361216574E-3</v>
      </c>
      <c r="J40" s="32">
        <v>3.3039088856758746E-3</v>
      </c>
      <c r="K40" s="32">
        <v>3.2670091190636153E-3</v>
      </c>
      <c r="L40" s="32">
        <v>3.2271983603315295E-3</v>
      </c>
      <c r="M40" s="32">
        <v>3.1875610262284146E-3</v>
      </c>
      <c r="N40" s="26">
        <v>18294</v>
      </c>
      <c r="O40" s="32">
        <v>3.1332123939153953E-3</v>
      </c>
      <c r="P40" t="s">
        <v>265</v>
      </c>
    </row>
    <row r="41" spans="1:16" x14ac:dyDescent="0.2">
      <c r="A41" s="16" t="s">
        <v>152</v>
      </c>
      <c r="B41" s="32">
        <v>3.5239267438259506E-3</v>
      </c>
      <c r="C41" s="32">
        <v>3.4999150003913299E-3</v>
      </c>
      <c r="D41" s="32">
        <v>3.4587428402463915E-3</v>
      </c>
      <c r="E41" s="32">
        <v>3.4218175588416589E-3</v>
      </c>
      <c r="F41" s="32">
        <v>3.3783032001877458E-3</v>
      </c>
      <c r="G41" s="32">
        <v>3.3246465589320592E-3</v>
      </c>
      <c r="H41" s="32">
        <v>3.3490480648708746E-3</v>
      </c>
      <c r="I41" s="32">
        <v>3.3872134878494631E-3</v>
      </c>
      <c r="J41" s="32">
        <v>3.3909280256590201E-3</v>
      </c>
      <c r="K41" s="32">
        <v>3.3812219165116658E-3</v>
      </c>
      <c r="L41" s="32">
        <v>3.3672257157990964E-3</v>
      </c>
      <c r="M41" s="32">
        <v>3.396474219870983E-3</v>
      </c>
      <c r="N41" s="26">
        <v>20261</v>
      </c>
      <c r="O41" s="32">
        <v>3.470100377890009E-3</v>
      </c>
      <c r="P41" t="s">
        <v>264</v>
      </c>
    </row>
    <row r="42" spans="1:16" x14ac:dyDescent="0.2">
      <c r="A42" s="16" t="s">
        <v>182</v>
      </c>
      <c r="B42" s="32">
        <v>4.414165246958022E-3</v>
      </c>
      <c r="C42" s="32">
        <v>4.334882453641057E-3</v>
      </c>
      <c r="D42" s="32">
        <v>4.2603349361325146E-3</v>
      </c>
      <c r="E42" s="32">
        <v>4.1844981191955883E-3</v>
      </c>
      <c r="F42" s="32">
        <v>4.1072208285687839E-3</v>
      </c>
      <c r="G42" s="32">
        <v>4.0159042513541491E-3</v>
      </c>
      <c r="H42" s="32">
        <v>3.9373332506273924E-3</v>
      </c>
      <c r="I42" s="32">
        <v>3.8736778491560452E-3</v>
      </c>
      <c r="J42" s="32">
        <v>3.8068231461047836E-3</v>
      </c>
      <c r="K42" s="32">
        <v>3.7498415406417083E-3</v>
      </c>
      <c r="L42" s="32">
        <v>3.6654321209615075E-3</v>
      </c>
      <c r="M42" s="32">
        <v>3.6291353712752275E-3</v>
      </c>
      <c r="N42" s="26">
        <v>20809</v>
      </c>
      <c r="O42" s="32">
        <v>3.5639563083516707E-3</v>
      </c>
      <c r="P42" t="s">
        <v>264</v>
      </c>
    </row>
    <row r="43" spans="1:16" x14ac:dyDescent="0.2">
      <c r="A43" s="16" t="s">
        <v>204</v>
      </c>
      <c r="B43" s="32">
        <v>4.6414770355691463E-3</v>
      </c>
      <c r="C43" s="32">
        <v>4.5413797807888397E-3</v>
      </c>
      <c r="D43" s="32">
        <v>4.4795984801321046E-3</v>
      </c>
      <c r="E43" s="32">
        <v>4.3844646143729616E-3</v>
      </c>
      <c r="F43" s="32">
        <v>4.3235773437142076E-3</v>
      </c>
      <c r="G43" s="32">
        <v>4.2239241625133062E-3</v>
      </c>
      <c r="H43" s="32">
        <v>4.2691817953132861E-3</v>
      </c>
      <c r="I43" s="32">
        <v>4.3133530538318173E-3</v>
      </c>
      <c r="J43" s="32">
        <v>4.3197780765317486E-3</v>
      </c>
      <c r="K43" s="32">
        <v>4.3032940888861528E-3</v>
      </c>
      <c r="L43" s="32">
        <v>4.2777492728949913E-3</v>
      </c>
      <c r="M43" s="32">
        <v>4.2930456686994687E-3</v>
      </c>
      <c r="N43" s="26">
        <v>24852</v>
      </c>
      <c r="O43" s="32">
        <v>4.2564007004255713E-3</v>
      </c>
      <c r="P43" t="s">
        <v>264</v>
      </c>
    </row>
    <row r="44" spans="1:16" x14ac:dyDescent="0.2">
      <c r="A44" s="16" t="s">
        <v>198</v>
      </c>
      <c r="B44" s="32">
        <v>4.6410810220001378E-3</v>
      </c>
      <c r="C44" s="32">
        <v>4.5837332023304922E-3</v>
      </c>
      <c r="D44" s="32">
        <v>4.5286873332663416E-3</v>
      </c>
      <c r="E44" s="32">
        <v>4.473254291548494E-3</v>
      </c>
      <c r="F44" s="32">
        <v>4.4241821882675678E-3</v>
      </c>
      <c r="G44" s="32">
        <v>4.3741097647447191E-3</v>
      </c>
      <c r="H44" s="32">
        <v>4.3315729385921048E-3</v>
      </c>
      <c r="I44" s="32">
        <v>4.314960314937456E-3</v>
      </c>
      <c r="J44" s="32">
        <v>4.282962286538879E-3</v>
      </c>
      <c r="K44" s="32">
        <v>4.2757435209521194E-3</v>
      </c>
      <c r="L44" s="32">
        <v>4.2931349946685885E-3</v>
      </c>
      <c r="M44" s="32">
        <v>4.3126635468504187E-3</v>
      </c>
      <c r="N44" s="26">
        <v>25027</v>
      </c>
      <c r="O44" s="32">
        <v>4.2863729409927083E-3</v>
      </c>
      <c r="P44" t="s">
        <v>264</v>
      </c>
    </row>
    <row r="45" spans="1:16" x14ac:dyDescent="0.2">
      <c r="A45" s="16" t="s">
        <v>186</v>
      </c>
      <c r="B45" s="32">
        <v>5.0555092219679819E-3</v>
      </c>
      <c r="C45" s="32">
        <v>4.9807233378868143E-3</v>
      </c>
      <c r="D45" s="32">
        <v>4.9090778187300737E-3</v>
      </c>
      <c r="E45" s="32">
        <v>4.8350532538855443E-3</v>
      </c>
      <c r="F45" s="32">
        <v>4.7617133117226146E-3</v>
      </c>
      <c r="G45" s="32">
        <v>4.6858642300123708E-3</v>
      </c>
      <c r="H45" s="32">
        <v>4.6192955732489204E-3</v>
      </c>
      <c r="I45" s="32">
        <v>4.5639072017441282E-3</v>
      </c>
      <c r="J45" s="32">
        <v>4.5116077191261726E-3</v>
      </c>
      <c r="K45" s="32">
        <v>4.4867320475355408E-3</v>
      </c>
      <c r="L45" s="32">
        <v>4.4753434300547797E-3</v>
      </c>
      <c r="M45" s="32">
        <v>4.5169304009309201E-3</v>
      </c>
      <c r="N45" s="26">
        <v>26464</v>
      </c>
      <c r="O45" s="32">
        <v>4.5324878535354229E-3</v>
      </c>
      <c r="P45" t="s">
        <v>264</v>
      </c>
    </row>
    <row r="46" spans="1:16" x14ac:dyDescent="0.2">
      <c r="A46" s="16" t="s">
        <v>164</v>
      </c>
      <c r="B46" s="32">
        <v>4.5753427695446559E-3</v>
      </c>
      <c r="C46" s="32">
        <v>4.4953179951490695E-3</v>
      </c>
      <c r="D46" s="32">
        <v>4.4341672278196348E-3</v>
      </c>
      <c r="E46" s="32">
        <v>4.398314286240085E-3</v>
      </c>
      <c r="F46" s="32">
        <v>4.4073523815578979E-3</v>
      </c>
      <c r="G46" s="32">
        <v>4.4176231971760696E-3</v>
      </c>
      <c r="H46" s="32">
        <v>4.4216331975858785E-3</v>
      </c>
      <c r="I46" s="32">
        <v>4.4542562774261248E-3</v>
      </c>
      <c r="J46" s="32">
        <v>4.4682743012398286E-3</v>
      </c>
      <c r="K46" s="32">
        <v>4.4755723238154256E-3</v>
      </c>
      <c r="L46" s="32">
        <v>4.5327373584686474E-3</v>
      </c>
      <c r="M46" s="32">
        <v>4.6711200397313657E-3</v>
      </c>
      <c r="N46" s="26">
        <v>27821</v>
      </c>
      <c r="O46" s="32">
        <v>4.7649011703903036E-3</v>
      </c>
      <c r="P46" t="s">
        <v>264</v>
      </c>
    </row>
    <row r="47" spans="1:16" x14ac:dyDescent="0.2">
      <c r="A47" s="16" t="s">
        <v>188</v>
      </c>
      <c r="B47" s="32">
        <v>5.582999295887874E-3</v>
      </c>
      <c r="C47" s="32">
        <v>5.5488837531299084E-3</v>
      </c>
      <c r="D47" s="32">
        <v>5.4376973901285588E-3</v>
      </c>
      <c r="E47" s="32">
        <v>5.3594435695119777E-3</v>
      </c>
      <c r="F47" s="32">
        <v>5.2662335173080535E-3</v>
      </c>
      <c r="G47" s="32">
        <v>5.2023337887861665E-3</v>
      </c>
      <c r="H47" s="32">
        <v>5.1167971244374172E-3</v>
      </c>
      <c r="I47" s="32">
        <v>5.076266325308219E-3</v>
      </c>
      <c r="J47" s="32">
        <v>5.0966088605918147E-3</v>
      </c>
      <c r="K47" s="32">
        <v>5.0794179994835143E-3</v>
      </c>
      <c r="L47" s="32">
        <v>5.0268091880072965E-3</v>
      </c>
      <c r="M47" s="32">
        <v>4.9924058161157775E-3</v>
      </c>
      <c r="N47" s="26">
        <v>29296</v>
      </c>
      <c r="O47" s="32">
        <v>5.0175243408847395E-3</v>
      </c>
      <c r="P47" t="s">
        <v>264</v>
      </c>
    </row>
    <row r="48" spans="1:16" x14ac:dyDescent="0.2">
      <c r="A48" s="16" t="s">
        <v>203</v>
      </c>
      <c r="B48" s="32">
        <v>5.5586444613938248E-3</v>
      </c>
      <c r="C48" s="32">
        <v>5.4819380223060056E-3</v>
      </c>
      <c r="D48" s="32">
        <v>5.4642631224129691E-3</v>
      </c>
      <c r="E48" s="32">
        <v>5.4753634258244777E-3</v>
      </c>
      <c r="F48" s="32">
        <v>5.5156886523158285E-3</v>
      </c>
      <c r="G48" s="32">
        <v>5.5572344845237227E-3</v>
      </c>
      <c r="H48" s="32">
        <v>5.573066267893825E-3</v>
      </c>
      <c r="I48" s="32">
        <v>5.5598733335381102E-3</v>
      </c>
      <c r="J48" s="32">
        <v>5.4774497120969991E-3</v>
      </c>
      <c r="K48" s="32">
        <v>5.4386216067247098E-3</v>
      </c>
      <c r="L48" s="32">
        <v>5.3583801358922266E-3</v>
      </c>
      <c r="M48" s="32">
        <v>5.3336536439520322E-3</v>
      </c>
      <c r="N48" s="26">
        <v>30583</v>
      </c>
      <c r="O48" s="32">
        <v>5.2379487615127661E-3</v>
      </c>
      <c r="P48" t="s">
        <v>264</v>
      </c>
    </row>
    <row r="49" spans="1:16" x14ac:dyDescent="0.2">
      <c r="A49" s="16" t="s">
        <v>159</v>
      </c>
      <c r="B49" s="32">
        <v>6.1162315665583963E-3</v>
      </c>
      <c r="C49" s="32">
        <v>5.9398233998945657E-3</v>
      </c>
      <c r="D49" s="32">
        <v>5.8818071320135938E-3</v>
      </c>
      <c r="E49" s="32">
        <v>5.7728467886689954E-3</v>
      </c>
      <c r="F49" s="32">
        <v>5.6222774281437377E-3</v>
      </c>
      <c r="G49" s="32">
        <v>5.5151898599381556E-3</v>
      </c>
      <c r="H49" s="32">
        <v>5.5137494708055561E-3</v>
      </c>
      <c r="I49" s="32">
        <v>5.4830819696020496E-3</v>
      </c>
      <c r="J49" s="32">
        <v>5.4665282815727989E-3</v>
      </c>
      <c r="K49" s="32">
        <v>5.4468170288316693E-3</v>
      </c>
      <c r="L49" s="32">
        <v>5.3680610394801079E-3</v>
      </c>
      <c r="M49" s="32">
        <v>5.4011116109272273E-3</v>
      </c>
      <c r="N49" s="26">
        <v>31581</v>
      </c>
      <c r="O49" s="32">
        <v>5.4088761677184927E-3</v>
      </c>
      <c r="P49" t="s">
        <v>264</v>
      </c>
    </row>
    <row r="50" spans="1:16" x14ac:dyDescent="0.2">
      <c r="A50" s="16" t="s">
        <v>187</v>
      </c>
      <c r="B50" s="32">
        <v>8.1555034401698742E-3</v>
      </c>
      <c r="C50" s="32">
        <v>8.0530054046479074E-3</v>
      </c>
      <c r="D50" s="32">
        <v>7.9510466706014752E-3</v>
      </c>
      <c r="E50" s="32">
        <v>7.8413806567134963E-3</v>
      </c>
      <c r="F50" s="32">
        <v>7.7394671122202165E-3</v>
      </c>
      <c r="G50" s="32">
        <v>7.6115458578333538E-3</v>
      </c>
      <c r="H50" s="32">
        <v>7.5220209088092856E-3</v>
      </c>
      <c r="I50" s="32">
        <v>7.4591202067009216E-3</v>
      </c>
      <c r="J50" s="32">
        <v>7.4131851964589195E-3</v>
      </c>
      <c r="K50" s="32">
        <v>7.4109284035718788E-3</v>
      </c>
      <c r="L50" s="32">
        <v>7.4007050463784432E-3</v>
      </c>
      <c r="M50" s="32">
        <v>7.4399942454224091E-3</v>
      </c>
      <c r="N50" s="26">
        <v>43799</v>
      </c>
      <c r="O50" s="32">
        <v>7.5014523691429103E-3</v>
      </c>
      <c r="P50" t="s">
        <v>264</v>
      </c>
    </row>
    <row r="51" spans="1:16" x14ac:dyDescent="0.2">
      <c r="A51" s="16" t="s">
        <v>166</v>
      </c>
      <c r="B51" s="32">
        <v>9.2774098811721686E-3</v>
      </c>
      <c r="C51" s="32">
        <v>9.1881551727873208E-3</v>
      </c>
      <c r="D51" s="32">
        <v>9.0727750910453847E-3</v>
      </c>
      <c r="E51" s="32">
        <v>8.9516310644724983E-3</v>
      </c>
      <c r="F51" s="32">
        <v>8.8111518039215315E-3</v>
      </c>
      <c r="G51" s="32">
        <v>8.6683531028749344E-3</v>
      </c>
      <c r="H51" s="32">
        <v>8.551022663175898E-3</v>
      </c>
      <c r="I51" s="32">
        <v>8.4941963587321073E-3</v>
      </c>
      <c r="J51" s="32">
        <v>8.45353952994163E-3</v>
      </c>
      <c r="K51" s="32">
        <v>8.4358792789911742E-3</v>
      </c>
      <c r="L51" s="32">
        <v>8.4502187192717747E-3</v>
      </c>
      <c r="M51" s="32">
        <v>8.4750954478606706E-3</v>
      </c>
      <c r="N51" s="26">
        <v>49570</v>
      </c>
      <c r="O51" s="32">
        <v>8.4898512280740211E-3</v>
      </c>
      <c r="P51" t="s">
        <v>264</v>
      </c>
    </row>
    <row r="52" spans="1:16" x14ac:dyDescent="0.2">
      <c r="A52" s="16" t="s">
        <v>163</v>
      </c>
      <c r="B52" s="32">
        <v>1.0307639180948897E-2</v>
      </c>
      <c r="C52" s="32">
        <v>1.0172628252308505E-2</v>
      </c>
      <c r="D52" s="32">
        <v>1.0041076782281503E-2</v>
      </c>
      <c r="E52" s="32">
        <v>9.9152267276659337E-3</v>
      </c>
      <c r="F52" s="32">
        <v>9.798313466369838E-3</v>
      </c>
      <c r="G52" s="32">
        <v>9.6904597625598679E-3</v>
      </c>
      <c r="H52" s="32">
        <v>9.5921409584111498E-3</v>
      </c>
      <c r="I52" s="32">
        <v>9.5942772932580047E-3</v>
      </c>
      <c r="J52" s="32">
        <v>9.5483248639401143E-3</v>
      </c>
      <c r="K52" s="32">
        <v>9.5588264783277293E-3</v>
      </c>
      <c r="L52" s="32">
        <v>9.623336786188947E-3</v>
      </c>
      <c r="M52" s="32">
        <v>9.59985379518178E-3</v>
      </c>
      <c r="N52" s="26">
        <v>55291</v>
      </c>
      <c r="O52" s="32">
        <v>9.4696865897002363E-3</v>
      </c>
      <c r="P52" t="s">
        <v>264</v>
      </c>
    </row>
    <row r="53" spans="1:16" x14ac:dyDescent="0.2">
      <c r="A53" s="16" t="s">
        <v>178</v>
      </c>
      <c r="B53" s="32">
        <v>1.0185667001694146E-2</v>
      </c>
      <c r="C53" s="32">
        <v>1.0110757124987289E-2</v>
      </c>
      <c r="D53" s="32">
        <v>1.0070722599468455E-2</v>
      </c>
      <c r="E53" s="32">
        <v>1.0082940562330828E-2</v>
      </c>
      <c r="F53" s="32">
        <v>1.0015043977219921E-2</v>
      </c>
      <c r="G53" s="32">
        <v>9.9695332532588263E-3</v>
      </c>
      <c r="H53" s="32">
        <v>9.9254362542455371E-3</v>
      </c>
      <c r="I53" s="32">
        <v>9.8282230764120508E-3</v>
      </c>
      <c r="J53" s="32">
        <v>9.8171329765196283E-3</v>
      </c>
      <c r="K53" s="32">
        <v>9.6791422496852169E-3</v>
      </c>
      <c r="L53" s="32">
        <v>9.6235096594673008E-3</v>
      </c>
      <c r="M53" s="32">
        <v>9.6662792422542946E-3</v>
      </c>
      <c r="N53" s="26">
        <v>56557</v>
      </c>
      <c r="O53" s="32">
        <v>9.6865143414602058E-3</v>
      </c>
      <c r="P53" t="s">
        <v>264</v>
      </c>
    </row>
    <row r="54" spans="1:16" x14ac:dyDescent="0.2">
      <c r="A54" s="16" t="s">
        <v>167</v>
      </c>
      <c r="B54" s="32">
        <v>1.1118080949925668E-2</v>
      </c>
      <c r="C54" s="32">
        <v>1.0982027510987005E-2</v>
      </c>
      <c r="D54" s="32">
        <v>1.0860186861050825E-2</v>
      </c>
      <c r="E54" s="32">
        <v>1.0775803598751859E-2</v>
      </c>
      <c r="F54" s="32">
        <v>1.0683374301446148E-2</v>
      </c>
      <c r="G54" s="32">
        <v>1.0556138386668806E-2</v>
      </c>
      <c r="H54" s="32">
        <v>1.0518061693447538E-2</v>
      </c>
      <c r="I54" s="32">
        <v>1.0513452061115924E-2</v>
      </c>
      <c r="J54" s="32">
        <v>1.0528435177434493E-2</v>
      </c>
      <c r="K54" s="32">
        <v>1.0559539828792401E-2</v>
      </c>
      <c r="L54" s="32">
        <v>1.0682012742835095E-2</v>
      </c>
      <c r="M54" s="32">
        <v>1.0697594538382723E-2</v>
      </c>
      <c r="N54" s="26">
        <v>62254</v>
      </c>
      <c r="O54" s="32">
        <v>1.0662239224380071E-2</v>
      </c>
      <c r="P54" t="s">
        <v>264</v>
      </c>
    </row>
    <row r="55" spans="1:16" x14ac:dyDescent="0.2">
      <c r="A55" s="16" t="s">
        <v>151</v>
      </c>
      <c r="B55" s="32">
        <v>1.1109566658191976E-2</v>
      </c>
      <c r="C55" s="32">
        <v>1.1239075696103856E-2</v>
      </c>
      <c r="D55" s="32">
        <v>1.1409982016154275E-2</v>
      </c>
      <c r="E55" s="32">
        <v>1.1510215650774263E-2</v>
      </c>
      <c r="F55" s="32">
        <v>1.1688113762013444E-2</v>
      </c>
      <c r="G55" s="32">
        <v>1.2086636161975722E-2</v>
      </c>
      <c r="H55" s="32">
        <v>1.224439750138843E-2</v>
      </c>
      <c r="I55" s="32">
        <v>1.2439308034805419E-2</v>
      </c>
      <c r="J55" s="32">
        <v>1.2563520449145592E-2</v>
      </c>
      <c r="K55" s="32">
        <v>1.2671343172141004E-2</v>
      </c>
      <c r="L55" s="32">
        <v>1.2878021997778924E-2</v>
      </c>
      <c r="M55" s="32">
        <v>1.2977914743454942E-2</v>
      </c>
      <c r="N55" s="26">
        <v>76155</v>
      </c>
      <c r="O55" s="32">
        <v>1.3043062745087293E-2</v>
      </c>
      <c r="P55" t="s">
        <v>264</v>
      </c>
    </row>
    <row r="56" spans="1:16" x14ac:dyDescent="0.2">
      <c r="A56" s="16" t="s">
        <v>183</v>
      </c>
      <c r="B56" s="32">
        <v>2.9137688373754439E-2</v>
      </c>
      <c r="C56" s="32">
        <v>2.8877811940268793E-2</v>
      </c>
      <c r="D56" s="32">
        <v>2.8479042524807197E-2</v>
      </c>
      <c r="E56" s="32">
        <v>2.8064747405700335E-2</v>
      </c>
      <c r="F56" s="32">
        <v>2.7652494411101687E-2</v>
      </c>
      <c r="G56" s="32">
        <v>2.7315052306083398E-2</v>
      </c>
      <c r="H56" s="32">
        <v>2.7189156021441577E-2</v>
      </c>
      <c r="I56" s="32">
        <v>2.7171284744520491E-2</v>
      </c>
      <c r="J56" s="32">
        <v>2.7135703354217926E-2</v>
      </c>
      <c r="K56" s="32">
        <v>2.7046462289113917E-2</v>
      </c>
      <c r="L56" s="32">
        <v>2.6967021310434769E-2</v>
      </c>
      <c r="M56" s="32">
        <v>2.7091945553160492E-2</v>
      </c>
      <c r="N56" s="26">
        <v>158534</v>
      </c>
      <c r="O56" s="32">
        <v>2.7152109634688056E-2</v>
      </c>
      <c r="P56" t="s">
        <v>264</v>
      </c>
    </row>
    <row r="57" spans="1:16" x14ac:dyDescent="0.2">
      <c r="A57" s="16" t="s">
        <v>195</v>
      </c>
      <c r="B57" s="32">
        <v>3.158129010132403E-2</v>
      </c>
      <c r="C57" s="32">
        <v>3.1196710563938735E-2</v>
      </c>
      <c r="D57" s="32">
        <v>3.0863798260599054E-2</v>
      </c>
      <c r="E57" s="32">
        <v>3.0462637854036981E-2</v>
      </c>
      <c r="F57" s="32">
        <v>3.008178351071638E-2</v>
      </c>
      <c r="G57" s="32">
        <v>2.9825795717470405E-2</v>
      </c>
      <c r="H57" s="32">
        <v>2.9680823186935983E-2</v>
      </c>
      <c r="I57" s="32">
        <v>2.9564496530816196E-2</v>
      </c>
      <c r="J57" s="32">
        <v>2.9362089812207764E-2</v>
      </c>
      <c r="K57" s="32">
        <v>2.9204473863491121E-2</v>
      </c>
      <c r="L57" s="32">
        <v>2.9096474353211915E-2</v>
      </c>
      <c r="M57" s="32">
        <v>2.9129451494452098E-2</v>
      </c>
      <c r="N57" s="26">
        <v>169383</v>
      </c>
      <c r="O57" s="32">
        <v>2.9010217279904417E-2</v>
      </c>
      <c r="P57" t="s">
        <v>264</v>
      </c>
    </row>
    <row r="58" spans="1:16" x14ac:dyDescent="0.2">
      <c r="A58" s="16" t="s">
        <v>150</v>
      </c>
      <c r="B58" s="32">
        <v>5.8531795533442156E-2</v>
      </c>
      <c r="C58" s="32">
        <v>5.865578047109106E-2</v>
      </c>
      <c r="D58" s="32">
        <v>5.888371562962133E-2</v>
      </c>
      <c r="E58" s="32">
        <v>5.8983665545222691E-2</v>
      </c>
      <c r="F58" s="32">
        <v>5.875715617406134E-2</v>
      </c>
      <c r="G58" s="32">
        <v>5.8816941376574054E-2</v>
      </c>
      <c r="H58" s="32">
        <v>5.8585645226598301E-2</v>
      </c>
      <c r="I58" s="32">
        <v>5.8113918381138038E-2</v>
      </c>
      <c r="J58" s="32">
        <v>5.7787578880912724E-2</v>
      </c>
      <c r="K58" s="32">
        <v>5.7337788620534347E-2</v>
      </c>
      <c r="L58" s="32">
        <v>5.7207743893078568E-2</v>
      </c>
      <c r="M58" s="32">
        <v>5.6286101628180638E-2</v>
      </c>
      <c r="N58" s="26">
        <v>327424</v>
      </c>
      <c r="O58" s="32">
        <v>5.6077890831166197E-2</v>
      </c>
      <c r="P58" t="s">
        <v>264</v>
      </c>
    </row>
    <row r="59" spans="1:16" x14ac:dyDescent="0.2">
      <c r="A59" s="16" t="s">
        <v>206</v>
      </c>
      <c r="B59" s="32">
        <v>5.0339264824569949E-2</v>
      </c>
      <c r="C59" s="32">
        <v>5.0492695205846413E-2</v>
      </c>
      <c r="D59" s="32">
        <v>5.079252509595427E-2</v>
      </c>
      <c r="E59" s="32">
        <v>5.1181177802656595E-2</v>
      </c>
      <c r="F59" s="32">
        <v>5.1610285255873835E-2</v>
      </c>
      <c r="G59" s="32">
        <v>5.2299657363849776E-2</v>
      </c>
      <c r="H59" s="32">
        <v>5.3260877624564822E-2</v>
      </c>
      <c r="I59" s="32">
        <v>5.4395966274661638E-2</v>
      </c>
      <c r="J59" s="32">
        <v>5.5174186247734687E-2</v>
      </c>
      <c r="K59" s="32">
        <v>5.6205774145675194E-2</v>
      </c>
      <c r="L59" s="32">
        <v>5.729418053225608E-2</v>
      </c>
      <c r="M59" s="32">
        <v>5.8486229454144584E-2</v>
      </c>
      <c r="N59" s="26">
        <v>350206</v>
      </c>
      <c r="O59" s="32">
        <v>5.9979762743169067E-2</v>
      </c>
      <c r="P59" t="s">
        <v>263</v>
      </c>
    </row>
    <row r="60" spans="1:16" x14ac:dyDescent="0.2">
      <c r="A60" s="16" t="s">
        <v>179</v>
      </c>
      <c r="B60" s="32">
        <v>5.9507374960695657E-2</v>
      </c>
      <c r="C60" s="32">
        <v>5.9595753181434834E-2</v>
      </c>
      <c r="D60" s="32">
        <v>5.9859910038420207E-2</v>
      </c>
      <c r="E60" s="32">
        <v>6.0015940403154465E-2</v>
      </c>
      <c r="F60" s="32">
        <v>6.061030489064833E-2</v>
      </c>
      <c r="G60" s="32">
        <v>6.1220829017180275E-2</v>
      </c>
      <c r="H60" s="32">
        <v>6.1329227935824286E-2</v>
      </c>
      <c r="I60" s="32">
        <v>6.146648646293263E-2</v>
      </c>
      <c r="J60" s="32">
        <v>6.1769673371720402E-2</v>
      </c>
      <c r="K60" s="32">
        <v>6.2215459739640155E-2</v>
      </c>
      <c r="L60" s="32">
        <v>6.2220550345539111E-2</v>
      </c>
      <c r="M60" s="32">
        <v>6.242856252923322E-2</v>
      </c>
      <c r="N60" s="26">
        <v>366843</v>
      </c>
      <c r="O60" s="32">
        <v>6.2829180836400211E-2</v>
      </c>
      <c r="P60" t="s">
        <v>263</v>
      </c>
    </row>
    <row r="61" spans="1:16" x14ac:dyDescent="0.2">
      <c r="A61" s="16" t="s">
        <v>162</v>
      </c>
      <c r="B61" s="32">
        <v>5.6852499994059794E-2</v>
      </c>
      <c r="C61" s="32">
        <v>5.7113296183332156E-2</v>
      </c>
      <c r="D61" s="32">
        <v>5.7507687699411433E-2</v>
      </c>
      <c r="E61" s="32">
        <v>5.8116827863566693E-2</v>
      </c>
      <c r="F61" s="32">
        <v>5.8831207323583885E-2</v>
      </c>
      <c r="G61" s="32">
        <v>5.9134020270282674E-2</v>
      </c>
      <c r="H61" s="32">
        <v>5.9377018104824715E-2</v>
      </c>
      <c r="I61" s="32">
        <v>5.9992449444494847E-2</v>
      </c>
      <c r="J61" s="32">
        <v>6.0467204705656877E-2</v>
      </c>
      <c r="K61" s="32">
        <v>6.1241076362327632E-2</v>
      </c>
      <c r="L61" s="32">
        <v>6.2281401739520077E-2</v>
      </c>
      <c r="M61" s="32">
        <v>6.3630415695954554E-2</v>
      </c>
      <c r="N61" s="26">
        <v>376026</v>
      </c>
      <c r="O61" s="32">
        <v>6.4401952751417427E-2</v>
      </c>
      <c r="P61" t="s">
        <v>263</v>
      </c>
    </row>
    <row r="62" spans="1:16" x14ac:dyDescent="0.2">
      <c r="A62" s="16" t="s">
        <v>144</v>
      </c>
      <c r="B62" s="32">
        <v>8.7857788359260336E-2</v>
      </c>
      <c r="C62" s="32">
        <v>8.8255357171088109E-2</v>
      </c>
      <c r="D62" s="32">
        <v>8.8642533431434037E-2</v>
      </c>
      <c r="E62" s="32">
        <v>8.914597421342875E-2</v>
      </c>
      <c r="F62" s="32">
        <v>8.9740456330859045E-2</v>
      </c>
      <c r="G62" s="32">
        <v>9.0028924498503096E-2</v>
      </c>
      <c r="H62" s="32">
        <v>9.0028068780719728E-2</v>
      </c>
      <c r="I62" s="32">
        <v>8.9954118052971044E-2</v>
      </c>
      <c r="J62" s="32">
        <v>9.0088061960446109E-2</v>
      </c>
      <c r="K62" s="32">
        <v>9.00593191626929E-2</v>
      </c>
      <c r="L62" s="32">
        <v>8.9968958874138569E-2</v>
      </c>
      <c r="M62" s="32">
        <v>9.0073078316978791E-2</v>
      </c>
      <c r="N62" s="26">
        <v>527501</v>
      </c>
      <c r="O62" s="32">
        <v>9.0345067836600249E-2</v>
      </c>
      <c r="P62" t="s">
        <v>263</v>
      </c>
    </row>
    <row r="63" spans="1:16" x14ac:dyDescent="0.2">
      <c r="A63" s="16" t="s">
        <v>174</v>
      </c>
      <c r="B63" s="32">
        <v>0.10606253212660079</v>
      </c>
      <c r="C63" s="32">
        <v>0.10551759687076527</v>
      </c>
      <c r="D63" s="32">
        <v>0.10522936814753299</v>
      </c>
      <c r="E63" s="32">
        <v>0.10477106018099813</v>
      </c>
      <c r="F63" s="32">
        <v>0.10453479141792056</v>
      </c>
      <c r="G63" s="32">
        <v>0.10376411386639063</v>
      </c>
      <c r="H63" s="32">
        <v>0.10339641108059471</v>
      </c>
      <c r="I63" s="32">
        <v>0.10285095974918154</v>
      </c>
      <c r="J63" s="32">
        <v>0.10213668980600721</v>
      </c>
      <c r="K63" s="32">
        <v>0.10158278012781022</v>
      </c>
      <c r="L63" s="32">
        <v>0.10079601229751353</v>
      </c>
      <c r="M63" s="32">
        <v>9.9935192167441692E-2</v>
      </c>
      <c r="N63" s="26">
        <v>575936</v>
      </c>
      <c r="O63" s="32">
        <v>9.8640527675853129E-2</v>
      </c>
      <c r="P63" t="s">
        <v>263</v>
      </c>
    </row>
    <row r="64" spans="1:16" x14ac:dyDescent="0.2">
      <c r="A64" s="16" t="s">
        <v>146</v>
      </c>
      <c r="B64" s="32">
        <v>0.11381806186207165</v>
      </c>
      <c r="C64" s="32">
        <v>0.11433803846666561</v>
      </c>
      <c r="D64" s="32">
        <v>0.11477705382948881</v>
      </c>
      <c r="E64" s="32">
        <v>0.11532432042221388</v>
      </c>
      <c r="F64" s="32">
        <v>0.11562264207395578</v>
      </c>
      <c r="G64" s="32">
        <v>0.11566219182116383</v>
      </c>
      <c r="H64" s="32">
        <v>0.11531619379303971</v>
      </c>
      <c r="I64" s="32">
        <v>0.11482559073989015</v>
      </c>
      <c r="J64" s="32">
        <v>0.11452828580044926</v>
      </c>
      <c r="K64" s="32">
        <v>0.11400425011103053</v>
      </c>
      <c r="L64" s="32">
        <v>0.11326864645754993</v>
      </c>
      <c r="M64" s="32">
        <v>0.1130130892548063</v>
      </c>
      <c r="N64" s="26">
        <v>656015</v>
      </c>
      <c r="O64" s="32">
        <v>0.11235565368942867</v>
      </c>
      <c r="P64" t="s">
        <v>262</v>
      </c>
    </row>
    <row r="65" spans="1:16" x14ac:dyDescent="0.2">
      <c r="A65" s="16" t="s">
        <v>160</v>
      </c>
      <c r="B65" s="32">
        <v>0.11977014580427583</v>
      </c>
      <c r="C65" s="32">
        <v>0.12105447137952902</v>
      </c>
      <c r="D65" s="32">
        <v>0.12184122855346508</v>
      </c>
      <c r="E65" s="32">
        <v>0.12242768431778887</v>
      </c>
      <c r="F65" s="32">
        <v>0.12316276947559257</v>
      </c>
      <c r="G65" s="32">
        <v>0.12402870491173015</v>
      </c>
      <c r="H65" s="32">
        <v>0.12414354592557804</v>
      </c>
      <c r="I65" s="32">
        <v>0.12378303546618073</v>
      </c>
      <c r="J65" s="32">
        <v>0.12377838515023661</v>
      </c>
      <c r="K65" s="32">
        <v>0.12382812002771099</v>
      </c>
      <c r="L65" s="32">
        <v>0.12404435651725344</v>
      </c>
      <c r="M65" s="32">
        <v>0.12241814096168216</v>
      </c>
      <c r="N65" s="26">
        <v>712637</v>
      </c>
      <c r="O65" s="32">
        <v>0.12205330057738524</v>
      </c>
      <c r="P65" t="s">
        <v>262</v>
      </c>
    </row>
    <row r="66" spans="1:16" x14ac:dyDescent="0.2">
      <c r="A66" s="16" t="s">
        <v>165</v>
      </c>
      <c r="B66" s="32">
        <v>0.12419619145830413</v>
      </c>
      <c r="C66" s="32">
        <v>0.12474526954244447</v>
      </c>
      <c r="D66" s="32">
        <v>0.12482910341423561</v>
      </c>
      <c r="E66" s="32">
        <v>0.12489425396086386</v>
      </c>
      <c r="F66" s="32">
        <v>0.12449456817988445</v>
      </c>
      <c r="G66" s="32">
        <v>0.12447577329979066</v>
      </c>
      <c r="H66" s="32">
        <v>0.12519732329336261</v>
      </c>
      <c r="I66" s="32">
        <v>0.1258658672745209</v>
      </c>
      <c r="J66" s="32">
        <v>0.12644409495866768</v>
      </c>
      <c r="K66" s="32">
        <v>0.12650540749643979</v>
      </c>
      <c r="L66" s="32">
        <v>0.12660651137575321</v>
      </c>
      <c r="M66" s="32">
        <v>0.12686262288277492</v>
      </c>
      <c r="N66" s="26">
        <v>740552</v>
      </c>
      <c r="O66" s="32">
        <v>0.12683430112270874</v>
      </c>
      <c r="P66" t="s">
        <v>262</v>
      </c>
    </row>
    <row r="67" spans="1:16" x14ac:dyDescent="0.2">
      <c r="A67" s="19" t="s">
        <v>225</v>
      </c>
      <c r="B67" s="30">
        <v>0.99999999999999989</v>
      </c>
      <c r="C67" s="30">
        <v>0.99999941446882668</v>
      </c>
      <c r="D67" s="30">
        <v>1.0000000000000002</v>
      </c>
      <c r="E67" s="30">
        <v>1</v>
      </c>
      <c r="F67" s="30">
        <v>0.99999981300214746</v>
      </c>
      <c r="G67" s="30">
        <v>0.99999981639901891</v>
      </c>
      <c r="H67" s="30">
        <v>0.99999963831221284</v>
      </c>
      <c r="I67" s="30">
        <v>1.0000001785845674</v>
      </c>
      <c r="J67" s="30">
        <v>1.0000001761521053</v>
      </c>
      <c r="K67" s="30">
        <v>1.0000006974827322</v>
      </c>
      <c r="L67" s="30">
        <v>1</v>
      </c>
      <c r="M67" s="30">
        <v>1.0000000000000002</v>
      </c>
      <c r="N67" s="58">
        <f>SUM(N3:N66)</f>
        <v>5838736</v>
      </c>
      <c r="O67" s="30">
        <v>1</v>
      </c>
      <c r="P67" s="30"/>
    </row>
  </sheetData>
  <sortState xmlns:xlrd2="http://schemas.microsoft.com/office/spreadsheetml/2017/richdata2" ref="A3:O67">
    <sortCondition ref="O3:O67"/>
  </sortState>
  <mergeCells count="1">
    <mergeCell ref="S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F1FC-4372-8444-A373-53D973EB48C2}">
  <dimension ref="A4:BK40"/>
  <sheetViews>
    <sheetView topLeftCell="R3" zoomScale="89" zoomScaleNormal="160" workbookViewId="0">
      <selection activeCell="X48" sqref="X48"/>
    </sheetView>
  </sheetViews>
  <sheetFormatPr baseColWidth="10" defaultRowHeight="16" x14ac:dyDescent="0.2"/>
  <cols>
    <col min="1" max="1" width="24.7109375" bestFit="1" customWidth="1"/>
    <col min="2" max="2" width="16.140625" bestFit="1" customWidth="1"/>
    <col min="3" max="15" width="12" bestFit="1" customWidth="1"/>
    <col min="16" max="16" width="13.42578125" bestFit="1" customWidth="1"/>
    <col min="20" max="32" width="12.42578125" bestFit="1" customWidth="1"/>
    <col min="48" max="48" width="20.5703125" bestFit="1" customWidth="1"/>
  </cols>
  <sheetData>
    <row r="4" spans="1:48" x14ac:dyDescent="0.2">
      <c r="S4" t="s">
        <v>245</v>
      </c>
      <c r="AH4" t="s">
        <v>239</v>
      </c>
    </row>
    <row r="5" spans="1:48" x14ac:dyDescent="0.2">
      <c r="A5" s="15" t="s">
        <v>244</v>
      </c>
      <c r="B5" s="15" t="s">
        <v>226</v>
      </c>
      <c r="S5" s="17" t="s">
        <v>224</v>
      </c>
      <c r="T5" s="17">
        <v>2010</v>
      </c>
      <c r="U5" s="17">
        <v>2011</v>
      </c>
      <c r="V5" s="17">
        <v>2012</v>
      </c>
      <c r="W5" s="17">
        <v>2013</v>
      </c>
      <c r="X5" s="17">
        <v>2014</v>
      </c>
      <c r="Y5" s="17">
        <v>2015</v>
      </c>
      <c r="Z5" s="17">
        <v>2016</v>
      </c>
      <c r="AA5" s="17">
        <v>2017</v>
      </c>
      <c r="AB5" s="17">
        <v>2018</v>
      </c>
      <c r="AC5" s="17">
        <v>2019</v>
      </c>
      <c r="AD5" s="17">
        <v>2020</v>
      </c>
      <c r="AE5" s="17">
        <v>2021</v>
      </c>
      <c r="AF5" s="17">
        <v>2022</v>
      </c>
      <c r="AH5" s="17" t="s">
        <v>224</v>
      </c>
      <c r="AI5" s="17">
        <v>2010</v>
      </c>
      <c r="AJ5" s="17">
        <v>2011</v>
      </c>
      <c r="AK5" s="17">
        <v>2012</v>
      </c>
      <c r="AL5" s="17">
        <v>2013</v>
      </c>
      <c r="AM5" s="17">
        <v>2014</v>
      </c>
      <c r="AN5" s="17">
        <v>2015</v>
      </c>
      <c r="AO5" s="17">
        <v>2016</v>
      </c>
      <c r="AP5" s="17">
        <v>2017</v>
      </c>
      <c r="AQ5" s="17">
        <v>2018</v>
      </c>
      <c r="AR5" s="17">
        <v>2019</v>
      </c>
      <c r="AS5" s="17">
        <v>2020</v>
      </c>
      <c r="AT5" s="17">
        <v>2021</v>
      </c>
      <c r="AU5" s="17">
        <v>2022</v>
      </c>
      <c r="AV5" s="33"/>
    </row>
    <row r="6" spans="1:48" x14ac:dyDescent="0.2">
      <c r="A6" s="15" t="s">
        <v>224</v>
      </c>
      <c r="B6">
        <v>2010</v>
      </c>
      <c r="C6">
        <v>2011</v>
      </c>
      <c r="D6">
        <v>2012</v>
      </c>
      <c r="E6">
        <v>2013</v>
      </c>
      <c r="F6">
        <v>2014</v>
      </c>
      <c r="G6">
        <v>2015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 t="s">
        <v>225</v>
      </c>
      <c r="S6" s="16">
        <v>0</v>
      </c>
      <c r="T6" s="26">
        <v>48.516114504720974</v>
      </c>
      <c r="U6" s="26">
        <v>49.21951349317365</v>
      </c>
      <c r="V6" s="26">
        <v>49.902623511745929</v>
      </c>
      <c r="W6" s="26">
        <v>50.634842059687799</v>
      </c>
      <c r="X6" s="26">
        <v>51.372353800055848</v>
      </c>
      <c r="Y6" s="26">
        <v>52.322813265489522</v>
      </c>
      <c r="Z6" s="26">
        <v>53.120509852590828</v>
      </c>
      <c r="AA6" s="26">
        <v>53.792553160319265</v>
      </c>
      <c r="AB6" s="26">
        <v>54.535367699633319</v>
      </c>
      <c r="AC6" s="26">
        <v>55.092517030198181</v>
      </c>
      <c r="AD6" s="26">
        <v>55.569720902740031</v>
      </c>
      <c r="AE6" s="26">
        <v>55.823736500077757</v>
      </c>
      <c r="AF6" s="26">
        <v>56.089933164559582</v>
      </c>
      <c r="AH6" s="16">
        <v>0</v>
      </c>
      <c r="AI6" s="26">
        <v>2205618</v>
      </c>
      <c r="AJ6" s="26">
        <v>2217639</v>
      </c>
      <c r="AK6" s="26">
        <v>2230882</v>
      </c>
      <c r="AL6" s="26">
        <v>2254094</v>
      </c>
      <c r="AM6" s="26">
        <v>2281231</v>
      </c>
      <c r="AN6" s="26">
        <v>2310630</v>
      </c>
      <c r="AO6" s="26">
        <v>2339866</v>
      </c>
      <c r="AP6" s="26">
        <v>2377152</v>
      </c>
      <c r="AQ6" s="26">
        <v>2418599</v>
      </c>
      <c r="AR6" s="26">
        <v>2460839</v>
      </c>
      <c r="AS6" s="26">
        <v>2501178</v>
      </c>
      <c r="AT6" s="26">
        <v>2542505</v>
      </c>
      <c r="AU6" s="26">
        <v>2598686</v>
      </c>
      <c r="AV6" s="26"/>
    </row>
    <row r="7" spans="1:48" x14ac:dyDescent="0.2">
      <c r="A7" s="16">
        <v>0</v>
      </c>
      <c r="B7">
        <v>48.516114504720974</v>
      </c>
      <c r="C7">
        <v>49.21951349317365</v>
      </c>
      <c r="D7">
        <v>49.902623511745929</v>
      </c>
      <c r="E7">
        <v>50.634842059687799</v>
      </c>
      <c r="F7">
        <v>51.372353800055848</v>
      </c>
      <c r="G7">
        <v>52.322813265489522</v>
      </c>
      <c r="H7">
        <v>53.120509852590828</v>
      </c>
      <c r="I7">
        <v>53.792553160319265</v>
      </c>
      <c r="J7">
        <v>54.535367699633319</v>
      </c>
      <c r="K7">
        <v>55.092517030198181</v>
      </c>
      <c r="L7">
        <v>55.569720902740031</v>
      </c>
      <c r="M7">
        <v>55.823736500077757</v>
      </c>
      <c r="N7">
        <v>56.089933164559582</v>
      </c>
      <c r="O7">
        <v>685.99259894499278</v>
      </c>
      <c r="S7" s="16">
        <v>1</v>
      </c>
      <c r="T7" s="26">
        <v>50.815492947970995</v>
      </c>
      <c r="U7" s="26">
        <v>50.921573890591269</v>
      </c>
      <c r="V7" s="26">
        <v>50.724733984733703</v>
      </c>
      <c r="W7" s="26">
        <v>50.747570470290086</v>
      </c>
      <c r="X7" s="26">
        <v>50.671384832313244</v>
      </c>
      <c r="Y7" s="26">
        <v>50.733219125346722</v>
      </c>
      <c r="Z7" s="26">
        <v>50.694947712616646</v>
      </c>
      <c r="AA7" s="26">
        <v>50.777276416572583</v>
      </c>
      <c r="AB7" s="26">
        <v>51.116442765134828</v>
      </c>
      <c r="AC7" s="26">
        <v>51.256026059095831</v>
      </c>
      <c r="AD7" s="26">
        <v>51.009702187761619</v>
      </c>
      <c r="AE7" s="26">
        <v>50.753068132621053</v>
      </c>
      <c r="AF7" s="26">
        <v>50.651013530954565</v>
      </c>
      <c r="AH7" s="16">
        <v>1</v>
      </c>
      <c r="AI7" s="29">
        <f>T7/T$6</f>
        <v>1.0473941177425961</v>
      </c>
      <c r="AJ7" s="29">
        <f>U7/U$25</f>
        <v>2.2962066364539615E-5</v>
      </c>
      <c r="AK7" s="29">
        <f t="shared" ref="AK7:AK20" si="0">V7/V$25</f>
        <v>2.2737524434162678E-5</v>
      </c>
      <c r="AL7" s="29">
        <f t="shared" ref="AL7:AL20" si="1">W7/W$25</f>
        <v>2.2513511180230323E-5</v>
      </c>
      <c r="AM7" s="29">
        <f t="shared" ref="AM7:AM20" si="2">X7/X$25</f>
        <v>2.2212298900161027E-5</v>
      </c>
      <c r="AN7" s="29">
        <f t="shared" ref="AN7:AN20" si="3">Y7/Y$25</f>
        <v>2.1956444400594955E-5</v>
      </c>
      <c r="AO7" s="29">
        <f t="shared" ref="AO7:AO20" si="4">Z7/Z$25</f>
        <v>2.166574825764238E-5</v>
      </c>
      <c r="AP7" s="29">
        <f t="shared" ref="AP7:AP20" si="5">AA7/AA$25</f>
        <v>2.136055095196798E-5</v>
      </c>
      <c r="AQ7" s="29">
        <f t="shared" ref="AQ7:AQ20" si="6">AB7/AB$25</f>
        <v>2.1134732448469062E-5</v>
      </c>
      <c r="AR7" s="29">
        <f t="shared" ref="AR7:AR20" si="7">AC7/AC$25</f>
        <v>2.0828679185877594E-5</v>
      </c>
      <c r="AS7" s="29">
        <f t="shared" ref="AS7:AS20" si="8">AD7/AD$25</f>
        <v>2.0394271094564889E-5</v>
      </c>
      <c r="AT7" s="29">
        <f t="shared" ref="AT7:AT20" si="9">AE7/AE$25</f>
        <v>1.9961836115414149E-5</v>
      </c>
      <c r="AU7" s="29">
        <f t="shared" ref="AU7:AU20" si="10">AF7/AF$25</f>
        <v>1.9491009506710147E-5</v>
      </c>
      <c r="AV7" s="29"/>
    </row>
    <row r="8" spans="1:48" x14ac:dyDescent="0.2">
      <c r="A8" s="16">
        <v>1</v>
      </c>
      <c r="B8">
        <v>50.815492947970995</v>
      </c>
      <c r="C8">
        <v>50.921573890591269</v>
      </c>
      <c r="D8">
        <v>50.724733984733703</v>
      </c>
      <c r="E8">
        <v>50.747570470290086</v>
      </c>
      <c r="F8">
        <v>50.671384832313244</v>
      </c>
      <c r="G8">
        <v>50.733219125346722</v>
      </c>
      <c r="H8">
        <v>50.694947712616646</v>
      </c>
      <c r="I8">
        <v>50.777276416572583</v>
      </c>
      <c r="J8">
        <v>51.116442765134828</v>
      </c>
      <c r="K8">
        <v>51.256026059095831</v>
      </c>
      <c r="L8">
        <v>51.009702187761619</v>
      </c>
      <c r="M8">
        <v>50.753068132621053</v>
      </c>
      <c r="N8">
        <v>50.651013530954565</v>
      </c>
      <c r="O8">
        <v>660.872452056003</v>
      </c>
      <c r="S8" s="16">
        <v>2</v>
      </c>
      <c r="T8" s="26">
        <v>177.53308665345537</v>
      </c>
      <c r="U8" s="26">
        <v>180.4749129122763</v>
      </c>
      <c r="V8" s="26">
        <v>183.88913668860582</v>
      </c>
      <c r="W8" s="26">
        <v>187.41020054462609</v>
      </c>
      <c r="X8" s="26">
        <v>191.91932304650533</v>
      </c>
      <c r="Y8" s="26">
        <v>197.66906447171459</v>
      </c>
      <c r="Z8" s="26">
        <v>202.23463874649832</v>
      </c>
      <c r="AA8" s="26">
        <v>206.66874293769433</v>
      </c>
      <c r="AB8" s="26">
        <v>211.27726900205994</v>
      </c>
      <c r="AC8" s="26">
        <v>215.88107922781722</v>
      </c>
      <c r="AD8" s="26">
        <v>219.33076815451557</v>
      </c>
      <c r="AE8" s="26">
        <v>222.51844051424001</v>
      </c>
      <c r="AF8" s="26">
        <v>226.64089589433499</v>
      </c>
      <c r="AH8" s="16">
        <v>2</v>
      </c>
      <c r="AI8" s="29">
        <f>T8/T$6</f>
        <v>3.6592601956238706</v>
      </c>
      <c r="AJ8" s="29">
        <f t="shared" ref="AJ8:AJ20" si="11">U8/U$25</f>
        <v>8.1381556201111317E-5</v>
      </c>
      <c r="AK8" s="29">
        <f t="shared" si="0"/>
        <v>8.2428894351474353E-5</v>
      </c>
      <c r="AL8" s="29">
        <f t="shared" si="1"/>
        <v>8.3142140720229981E-5</v>
      </c>
      <c r="AM8" s="29">
        <f t="shared" si="2"/>
        <v>8.4129719018593614E-5</v>
      </c>
      <c r="AN8" s="29">
        <f t="shared" si="3"/>
        <v>8.554769239199465E-5</v>
      </c>
      <c r="AO8" s="29">
        <f t="shared" si="4"/>
        <v>8.6430008704130201E-5</v>
      </c>
      <c r="AP8" s="29">
        <f t="shared" si="5"/>
        <v>8.6939641612187332E-5</v>
      </c>
      <c r="AQ8" s="29">
        <f t="shared" si="6"/>
        <v>8.7355228792395897E-5</v>
      </c>
      <c r="AR8" s="29">
        <f t="shared" si="7"/>
        <v>8.7726616502671335E-5</v>
      </c>
      <c r="AS8" s="29">
        <f t="shared" si="8"/>
        <v>8.7690987268605256E-5</v>
      </c>
      <c r="AT8" s="29">
        <f t="shared" si="9"/>
        <v>8.7519371845577496E-5</v>
      </c>
      <c r="AU8" s="29">
        <f t="shared" si="10"/>
        <v>8.7213651781837046E-5</v>
      </c>
      <c r="AV8" s="29"/>
    </row>
    <row r="9" spans="1:48" x14ac:dyDescent="0.2">
      <c r="A9" s="16">
        <v>2</v>
      </c>
      <c r="B9">
        <v>177.53308665345537</v>
      </c>
      <c r="C9">
        <v>180.4749129122763</v>
      </c>
      <c r="D9">
        <v>183.88913668860582</v>
      </c>
      <c r="E9">
        <v>187.41020054462609</v>
      </c>
      <c r="F9">
        <v>191.91932304650533</v>
      </c>
      <c r="G9">
        <v>197.66906447171459</v>
      </c>
      <c r="H9">
        <v>202.23463874649832</v>
      </c>
      <c r="I9">
        <v>206.66874293769433</v>
      </c>
      <c r="J9">
        <v>211.27726900205994</v>
      </c>
      <c r="K9">
        <v>215.88107922781722</v>
      </c>
      <c r="L9">
        <v>219.33076815451557</v>
      </c>
      <c r="M9">
        <v>222.51844051424001</v>
      </c>
      <c r="N9">
        <v>226.64089589433499</v>
      </c>
      <c r="O9">
        <v>2623.4475587943439</v>
      </c>
      <c r="S9" s="16">
        <v>3</v>
      </c>
      <c r="T9" s="26">
        <v>7446.6843514214688</v>
      </c>
      <c r="U9" s="26">
        <v>7623.0752058020907</v>
      </c>
      <c r="V9" s="26">
        <v>7789.4472295687719</v>
      </c>
      <c r="W9" s="26">
        <v>7948.7739316163415</v>
      </c>
      <c r="X9" s="26">
        <v>8125.1819071177015</v>
      </c>
      <c r="Y9" s="26">
        <v>8373.7837951015372</v>
      </c>
      <c r="Z9" s="26">
        <v>8528.449098638026</v>
      </c>
      <c r="AA9" s="26">
        <v>8652.7408619620837</v>
      </c>
      <c r="AB9" s="26">
        <v>8791.8309440805333</v>
      </c>
      <c r="AC9" s="26">
        <v>8899.5491214479862</v>
      </c>
      <c r="AD9" s="26">
        <v>9020.5811730685327</v>
      </c>
      <c r="AE9" s="26">
        <v>9019.4760958103525</v>
      </c>
      <c r="AF9" s="26">
        <v>9059.8856706664756</v>
      </c>
      <c r="AH9" s="16">
        <v>3</v>
      </c>
      <c r="AI9" s="29">
        <f>T9/T$6</f>
        <v>153.4888856504956</v>
      </c>
      <c r="AJ9" s="29">
        <f t="shared" si="11"/>
        <v>3.4374734597479983E-3</v>
      </c>
      <c r="AK9" s="29">
        <f t="shared" si="0"/>
        <v>3.4916446632178538E-3</v>
      </c>
      <c r="AL9" s="29">
        <f t="shared" si="1"/>
        <v>3.5263719843166884E-3</v>
      </c>
      <c r="AM9" s="29">
        <f t="shared" si="2"/>
        <v>3.5617532407361207E-3</v>
      </c>
      <c r="AN9" s="29">
        <f t="shared" si="3"/>
        <v>3.6240262591161446E-3</v>
      </c>
      <c r="AO9" s="29">
        <f t="shared" si="4"/>
        <v>3.6448450888375769E-3</v>
      </c>
      <c r="AP9" s="29">
        <f t="shared" si="5"/>
        <v>3.6399611223691558E-3</v>
      </c>
      <c r="AQ9" s="29">
        <f t="shared" si="6"/>
        <v>3.6350924415665983E-3</v>
      </c>
      <c r="AR9" s="29">
        <f t="shared" si="7"/>
        <v>3.6164694729919292E-3</v>
      </c>
      <c r="AS9" s="29">
        <f t="shared" si="8"/>
        <v>3.6065330708444313E-3</v>
      </c>
      <c r="AT9" s="29">
        <f t="shared" si="9"/>
        <v>3.5474762471697607E-3</v>
      </c>
      <c r="AU9" s="29">
        <f t="shared" si="10"/>
        <v>3.4863333510345134E-3</v>
      </c>
      <c r="AV9" s="29"/>
    </row>
    <row r="10" spans="1:48" x14ac:dyDescent="0.2">
      <c r="A10" s="16">
        <v>3</v>
      </c>
      <c r="B10">
        <v>7446.6843514214688</v>
      </c>
      <c r="C10">
        <v>7623.0752058020907</v>
      </c>
      <c r="D10">
        <v>7789.4472295687719</v>
      </c>
      <c r="E10">
        <v>7948.7739316163415</v>
      </c>
      <c r="F10">
        <v>8125.1819071177015</v>
      </c>
      <c r="G10">
        <v>8373.7837951015372</v>
      </c>
      <c r="H10">
        <v>8528.449098638026</v>
      </c>
      <c r="I10">
        <v>8652.7408619620837</v>
      </c>
      <c r="J10">
        <v>8791.8309440805333</v>
      </c>
      <c r="K10">
        <v>8899.5491214479862</v>
      </c>
      <c r="L10">
        <v>9020.5811730685327</v>
      </c>
      <c r="M10">
        <v>9019.4760958103525</v>
      </c>
      <c r="N10">
        <v>9059.8856706664756</v>
      </c>
      <c r="O10">
        <v>109279.45938630193</v>
      </c>
      <c r="S10" s="16">
        <v>4</v>
      </c>
      <c r="T10" s="26">
        <v>1037.0799731721438</v>
      </c>
      <c r="U10" s="26">
        <v>1048.6343369551334</v>
      </c>
      <c r="V10" s="26">
        <v>1060.7099801187512</v>
      </c>
      <c r="W10" s="26">
        <v>1072.3030564910189</v>
      </c>
      <c r="X10" s="26">
        <v>1084.6176221772241</v>
      </c>
      <c r="Y10" s="26">
        <v>1098.1905127748828</v>
      </c>
      <c r="Z10" s="26">
        <v>1114.7344974198313</v>
      </c>
      <c r="AA10" s="26">
        <v>1127.1758898594737</v>
      </c>
      <c r="AB10" s="26">
        <v>1139.2226106617893</v>
      </c>
      <c r="AC10" s="26">
        <v>1146.7322510105575</v>
      </c>
      <c r="AD10" s="26">
        <v>1150.6748990630283</v>
      </c>
      <c r="AE10" s="26">
        <v>1150.4289591809668</v>
      </c>
      <c r="AF10" s="26">
        <v>1145.7095325371276</v>
      </c>
      <c r="AH10" s="16">
        <v>4</v>
      </c>
      <c r="AI10" s="29">
        <f t="shared" ref="AI10:AI20" si="12">T10/T$6</f>
        <v>21.375989890353406</v>
      </c>
      <c r="AJ10" s="29">
        <f t="shared" si="11"/>
        <v>4.7286070318709831E-4</v>
      </c>
      <c r="AK10" s="29">
        <f t="shared" si="0"/>
        <v>4.7546664508420937E-4</v>
      </c>
      <c r="AL10" s="29">
        <f t="shared" si="1"/>
        <v>4.7571354898731769E-4</v>
      </c>
      <c r="AM10" s="29">
        <f t="shared" si="2"/>
        <v>4.7545278061591486E-4</v>
      </c>
      <c r="AN10" s="29">
        <f t="shared" si="3"/>
        <v>4.7527752724360145E-4</v>
      </c>
      <c r="AO10" s="29">
        <f t="shared" si="4"/>
        <v>4.7640954542688824E-4</v>
      </c>
      <c r="AP10" s="29">
        <f t="shared" si="5"/>
        <v>4.7417072608713019E-4</v>
      </c>
      <c r="AQ10" s="29">
        <f t="shared" si="6"/>
        <v>4.7102583382437074E-4</v>
      </c>
      <c r="AR10" s="29">
        <f t="shared" si="7"/>
        <v>4.6599239162357128E-4</v>
      </c>
      <c r="AS10" s="29">
        <f t="shared" si="8"/>
        <v>4.6005318256558644E-4</v>
      </c>
      <c r="AT10" s="29">
        <f t="shared" si="9"/>
        <v>4.5247854347620428E-4</v>
      </c>
      <c r="AU10" s="29">
        <f t="shared" si="10"/>
        <v>4.408803266485938E-4</v>
      </c>
      <c r="AV10" s="29"/>
    </row>
    <row r="11" spans="1:48" x14ac:dyDescent="0.2">
      <c r="A11" s="16">
        <v>4</v>
      </c>
      <c r="B11">
        <v>1037.0799731721438</v>
      </c>
      <c r="C11">
        <v>1048.6343369551334</v>
      </c>
      <c r="D11">
        <v>1060.7099801187512</v>
      </c>
      <c r="E11">
        <v>1072.3030564910189</v>
      </c>
      <c r="F11">
        <v>1084.6176221772241</v>
      </c>
      <c r="G11">
        <v>1098.1905127748828</v>
      </c>
      <c r="H11">
        <v>1114.7344974198313</v>
      </c>
      <c r="I11">
        <v>1127.1758898594737</v>
      </c>
      <c r="J11">
        <v>1139.2226106617893</v>
      </c>
      <c r="K11">
        <v>1146.7322510105575</v>
      </c>
      <c r="L11">
        <v>1150.6748990630283</v>
      </c>
      <c r="M11">
        <v>1150.4289591809668</v>
      </c>
      <c r="N11">
        <v>1145.7095325371276</v>
      </c>
      <c r="O11">
        <v>14376.214121421928</v>
      </c>
      <c r="S11" s="16">
        <v>5</v>
      </c>
      <c r="T11" s="26">
        <v>19.466166647679717</v>
      </c>
      <c r="U11" s="26">
        <v>19.382729802843002</v>
      </c>
      <c r="V11" s="26">
        <v>19.352618241186363</v>
      </c>
      <c r="W11" s="26">
        <v>19.396158597337472</v>
      </c>
      <c r="X11" s="26">
        <v>19.452383503141427</v>
      </c>
      <c r="Y11" s="26">
        <v>19.670459220097957</v>
      </c>
      <c r="Z11" s="26">
        <v>19.844378180103856</v>
      </c>
      <c r="AA11" s="26">
        <v>20.077056520419376</v>
      </c>
      <c r="AB11" s="26">
        <v>20.261977308801409</v>
      </c>
      <c r="AC11" s="26">
        <v>20.381885302613483</v>
      </c>
      <c r="AD11" s="26">
        <v>20.616988792498837</v>
      </c>
      <c r="AE11" s="26">
        <v>20.9628974684667</v>
      </c>
      <c r="AF11" s="26">
        <v>21.369835681545222</v>
      </c>
      <c r="AH11" s="16">
        <v>5</v>
      </c>
      <c r="AI11" s="29">
        <f t="shared" si="12"/>
        <v>0.40123094865285464</v>
      </c>
      <c r="AJ11" s="29">
        <f t="shared" si="11"/>
        <v>8.7402547496878442E-6</v>
      </c>
      <c r="AK11" s="29">
        <f t="shared" si="0"/>
        <v>8.6748730955677459E-6</v>
      </c>
      <c r="AL11" s="29">
        <f t="shared" si="1"/>
        <v>8.6048579151257534E-6</v>
      </c>
      <c r="AM11" s="29">
        <f t="shared" si="2"/>
        <v>8.5271432411454276E-6</v>
      </c>
      <c r="AN11" s="29">
        <f t="shared" si="3"/>
        <v>8.513028576664355E-6</v>
      </c>
      <c r="AO11" s="29">
        <f t="shared" si="4"/>
        <v>8.4809891592526487E-6</v>
      </c>
      <c r="AP11" s="29">
        <f t="shared" si="5"/>
        <v>8.4458446579854273E-6</v>
      </c>
      <c r="AQ11" s="29">
        <f t="shared" si="6"/>
        <v>8.3775678848793913E-6</v>
      </c>
      <c r="AR11" s="29">
        <f t="shared" si="7"/>
        <v>8.2824944267436769E-6</v>
      </c>
      <c r="AS11" s="29">
        <f t="shared" si="8"/>
        <v>8.2429114571209392E-6</v>
      </c>
      <c r="AT11" s="29">
        <f t="shared" si="9"/>
        <v>8.2449778735800714E-6</v>
      </c>
      <c r="AU11" s="29">
        <f t="shared" si="10"/>
        <v>8.2233235110148832E-6</v>
      </c>
      <c r="AV11" s="29"/>
    </row>
    <row r="12" spans="1:48" x14ac:dyDescent="0.2">
      <c r="A12" s="16">
        <v>5</v>
      </c>
      <c r="B12">
        <v>19.466166647679717</v>
      </c>
      <c r="C12">
        <v>19.382729802843002</v>
      </c>
      <c r="D12">
        <v>19.352618241186363</v>
      </c>
      <c r="E12">
        <v>19.396158597337472</v>
      </c>
      <c r="F12">
        <v>19.452383503141427</v>
      </c>
      <c r="G12">
        <v>19.670459220097957</v>
      </c>
      <c r="H12">
        <v>19.844378180103856</v>
      </c>
      <c r="I12">
        <v>20.077056520419376</v>
      </c>
      <c r="J12">
        <v>20.261977308801409</v>
      </c>
      <c r="K12">
        <v>20.381885302613483</v>
      </c>
      <c r="L12">
        <v>20.616988792498837</v>
      </c>
      <c r="M12">
        <v>20.9628974684667</v>
      </c>
      <c r="N12">
        <v>21.369835681545222</v>
      </c>
      <c r="O12">
        <v>260.23553526673481</v>
      </c>
      <c r="S12" s="16">
        <v>6</v>
      </c>
      <c r="T12" s="26">
        <v>36.259808795243387</v>
      </c>
      <c r="U12" s="26">
        <v>36.102938697156191</v>
      </c>
      <c r="V12" s="26">
        <v>35.706000573355666</v>
      </c>
      <c r="W12" s="26">
        <v>35.565997874177107</v>
      </c>
      <c r="X12" s="26">
        <v>35.392092096018658</v>
      </c>
      <c r="Y12" s="26">
        <v>35.40545873695774</v>
      </c>
      <c r="Z12" s="26">
        <v>35.244603517753873</v>
      </c>
      <c r="AA12" s="26">
        <v>35.39494480168684</v>
      </c>
      <c r="AB12" s="26">
        <v>35.443115946005015</v>
      </c>
      <c r="AC12" s="26">
        <v>35.465944720934978</v>
      </c>
      <c r="AD12" s="26">
        <v>34.872009971130112</v>
      </c>
      <c r="AE12" s="26">
        <v>34.712924592080761</v>
      </c>
      <c r="AF12" s="26">
        <v>34.300658082249335</v>
      </c>
      <c r="AH12" s="16">
        <v>6</v>
      </c>
      <c r="AI12" s="29">
        <f t="shared" si="12"/>
        <v>0.74737660188585464</v>
      </c>
      <c r="AJ12" s="29">
        <f t="shared" si="11"/>
        <v>1.6279898891188417E-5</v>
      </c>
      <c r="AK12" s="29">
        <f t="shared" si="0"/>
        <v>1.6005329091075039E-5</v>
      </c>
      <c r="AL12" s="29">
        <f t="shared" si="1"/>
        <v>1.5778400490031519E-5</v>
      </c>
      <c r="AM12" s="29">
        <f t="shared" si="2"/>
        <v>1.5514470957136151E-5</v>
      </c>
      <c r="AN12" s="29">
        <f t="shared" si="3"/>
        <v>1.532285945259853E-5</v>
      </c>
      <c r="AO12" s="29">
        <f t="shared" si="4"/>
        <v>1.5062658937628853E-5</v>
      </c>
      <c r="AP12" s="29">
        <f t="shared" si="5"/>
        <v>1.4889643069390111E-5</v>
      </c>
      <c r="AQ12" s="29">
        <f t="shared" si="6"/>
        <v>1.4654399487473953E-5</v>
      </c>
      <c r="AR12" s="29">
        <f t="shared" si="7"/>
        <v>1.4412135341212885E-5</v>
      </c>
      <c r="AS12" s="29">
        <f t="shared" si="8"/>
        <v>1.3942234407599184E-5</v>
      </c>
      <c r="AT12" s="29">
        <f t="shared" si="9"/>
        <v>1.3653040836529628E-5</v>
      </c>
      <c r="AU12" s="29">
        <f t="shared" si="10"/>
        <v>1.319923148939477E-5</v>
      </c>
      <c r="AV12" s="29"/>
    </row>
    <row r="13" spans="1:48" x14ac:dyDescent="0.2">
      <c r="A13" s="16">
        <v>6</v>
      </c>
      <c r="B13">
        <v>36.259808795243387</v>
      </c>
      <c r="C13">
        <v>36.102938697156191</v>
      </c>
      <c r="D13">
        <v>35.706000573355666</v>
      </c>
      <c r="E13">
        <v>35.565997874177107</v>
      </c>
      <c r="F13">
        <v>35.392092096018658</v>
      </c>
      <c r="G13">
        <v>35.40545873695774</v>
      </c>
      <c r="H13">
        <v>35.244603517753873</v>
      </c>
      <c r="I13">
        <v>35.39494480168684</v>
      </c>
      <c r="J13">
        <v>35.443115946005015</v>
      </c>
      <c r="K13">
        <v>35.465944720934978</v>
      </c>
      <c r="L13">
        <v>34.872009971130112</v>
      </c>
      <c r="M13">
        <v>34.712924592080761</v>
      </c>
      <c r="N13">
        <v>34.300658082249335</v>
      </c>
      <c r="O13">
        <v>459.86649840474973</v>
      </c>
      <c r="S13" s="16">
        <v>7</v>
      </c>
      <c r="T13" s="26">
        <v>66.546226796897486</v>
      </c>
      <c r="U13" s="26">
        <v>66.688918836600919</v>
      </c>
      <c r="V13" s="26">
        <v>66.892943419685665</v>
      </c>
      <c r="W13" s="26">
        <v>66.992243728017286</v>
      </c>
      <c r="X13" s="26">
        <v>67.11824664027003</v>
      </c>
      <c r="Y13" s="26">
        <v>67.778301630944981</v>
      </c>
      <c r="Z13" s="26">
        <v>68.477158842942799</v>
      </c>
      <c r="AA13" s="26">
        <v>69.071709008373773</v>
      </c>
      <c r="AB13" s="26">
        <v>69.546097456159742</v>
      </c>
      <c r="AC13" s="26">
        <v>69.879462776987367</v>
      </c>
      <c r="AD13" s="26">
        <v>70.224093258844192</v>
      </c>
      <c r="AE13" s="26">
        <v>70.625049545847119</v>
      </c>
      <c r="AF13" s="26">
        <v>70.671361874522802</v>
      </c>
      <c r="AH13" s="16">
        <v>7</v>
      </c>
      <c r="AI13" s="29">
        <f t="shared" si="12"/>
        <v>1.371631415174891</v>
      </c>
      <c r="AJ13" s="29">
        <f t="shared" si="11"/>
        <v>3.0072035546182638E-5</v>
      </c>
      <c r="AK13" s="29">
        <f t="shared" si="0"/>
        <v>2.9984976085550768E-5</v>
      </c>
      <c r="AL13" s="29">
        <f t="shared" si="1"/>
        <v>2.9720252894518722E-5</v>
      </c>
      <c r="AM13" s="29">
        <f t="shared" si="2"/>
        <v>2.9421942205883591E-5</v>
      </c>
      <c r="AN13" s="29">
        <f t="shared" si="3"/>
        <v>2.9333256138345378E-5</v>
      </c>
      <c r="AO13" s="29">
        <f t="shared" si="4"/>
        <v>2.9265418978241829E-5</v>
      </c>
      <c r="AP13" s="29">
        <f t="shared" si="5"/>
        <v>2.9056496601131847E-5</v>
      </c>
      <c r="AQ13" s="29">
        <f t="shared" si="6"/>
        <v>2.8754703634690887E-5</v>
      </c>
      <c r="AR13" s="29">
        <f t="shared" si="7"/>
        <v>2.8396600824754228E-5</v>
      </c>
      <c r="AS13" s="29">
        <f t="shared" si="8"/>
        <v>2.8076407700229327E-5</v>
      </c>
      <c r="AT13" s="29">
        <f t="shared" si="9"/>
        <v>2.7777742638007444E-5</v>
      </c>
      <c r="AU13" s="29">
        <f t="shared" si="10"/>
        <v>2.719503698196812E-5</v>
      </c>
      <c r="AV13" s="29"/>
    </row>
    <row r="14" spans="1:48" x14ac:dyDescent="0.2">
      <c r="A14" s="16">
        <v>7</v>
      </c>
      <c r="B14">
        <v>66.546226796897486</v>
      </c>
      <c r="C14">
        <v>66.688918836600919</v>
      </c>
      <c r="D14">
        <v>66.892943419685665</v>
      </c>
      <c r="E14">
        <v>66.992243728017286</v>
      </c>
      <c r="F14">
        <v>67.11824664027003</v>
      </c>
      <c r="G14">
        <v>67.778301630944981</v>
      </c>
      <c r="H14">
        <v>68.477158842942799</v>
      </c>
      <c r="I14">
        <v>69.071709008373773</v>
      </c>
      <c r="J14">
        <v>69.546097456159742</v>
      </c>
      <c r="K14">
        <v>69.879462776987367</v>
      </c>
      <c r="L14">
        <v>70.224093258844192</v>
      </c>
      <c r="M14">
        <v>70.625049545847119</v>
      </c>
      <c r="N14">
        <v>70.671361874522802</v>
      </c>
      <c r="O14">
        <v>890.51181381609399</v>
      </c>
      <c r="S14" s="16">
        <v>8</v>
      </c>
      <c r="T14" s="26">
        <v>46.573479942557441</v>
      </c>
      <c r="U14" s="26">
        <v>46.537550422238951</v>
      </c>
      <c r="V14" s="26">
        <v>46.553769695260115</v>
      </c>
      <c r="W14" s="26">
        <v>46.613076889742331</v>
      </c>
      <c r="X14" s="26">
        <v>46.636419430873367</v>
      </c>
      <c r="Y14" s="26">
        <v>46.680966845312213</v>
      </c>
      <c r="Z14" s="26">
        <v>46.653752159374832</v>
      </c>
      <c r="AA14" s="26">
        <v>46.72797647006535</v>
      </c>
      <c r="AB14" s="26">
        <v>46.830691315082596</v>
      </c>
      <c r="AC14" s="26">
        <v>46.826133854623727</v>
      </c>
      <c r="AD14" s="26">
        <v>46.90586453825037</v>
      </c>
      <c r="AE14" s="26">
        <v>47.336591925992046</v>
      </c>
      <c r="AF14" s="26">
        <v>47.282337554124936</v>
      </c>
      <c r="AH14" s="16">
        <v>8</v>
      </c>
      <c r="AI14" s="29">
        <f t="shared" si="12"/>
        <v>0.95995898307201621</v>
      </c>
      <c r="AJ14" s="29">
        <f t="shared" si="11"/>
        <v>2.0985178571552425E-5</v>
      </c>
      <c r="AK14" s="29">
        <f t="shared" si="0"/>
        <v>2.086787633557495E-5</v>
      </c>
      <c r="AL14" s="29">
        <f t="shared" si="1"/>
        <v>2.0679295934305459E-5</v>
      </c>
      <c r="AM14" s="29">
        <f t="shared" si="2"/>
        <v>2.0443532211719621E-5</v>
      </c>
      <c r="AN14" s="29">
        <f t="shared" si="3"/>
        <v>2.0202700928020589E-5</v>
      </c>
      <c r="AO14" s="29">
        <f t="shared" si="4"/>
        <v>1.993864270833237E-5</v>
      </c>
      <c r="AP14" s="29">
        <f t="shared" si="5"/>
        <v>1.9657126035720623E-5</v>
      </c>
      <c r="AQ14" s="29">
        <f t="shared" si="6"/>
        <v>1.936273492012632E-5</v>
      </c>
      <c r="AR14" s="29">
        <f t="shared" si="7"/>
        <v>1.9028523952450252E-5</v>
      </c>
      <c r="AS14" s="29">
        <f t="shared" si="8"/>
        <v>1.8753509161783117E-5</v>
      </c>
      <c r="AT14" s="29">
        <f t="shared" si="9"/>
        <v>1.8618091970710792E-5</v>
      </c>
      <c r="AU14" s="29">
        <f t="shared" si="10"/>
        <v>1.8194709770293502E-5</v>
      </c>
      <c r="AV14" s="29"/>
    </row>
    <row r="15" spans="1:48" x14ac:dyDescent="0.2">
      <c r="A15" s="16">
        <v>8</v>
      </c>
      <c r="B15">
        <v>46.573479942557441</v>
      </c>
      <c r="C15">
        <v>46.537550422238951</v>
      </c>
      <c r="D15">
        <v>46.553769695260115</v>
      </c>
      <c r="E15">
        <v>46.613076889742331</v>
      </c>
      <c r="F15">
        <v>46.636419430873367</v>
      </c>
      <c r="G15">
        <v>46.680966845312213</v>
      </c>
      <c r="H15">
        <v>46.653752159374832</v>
      </c>
      <c r="I15">
        <v>46.72797647006535</v>
      </c>
      <c r="J15">
        <v>46.830691315082596</v>
      </c>
      <c r="K15">
        <v>46.826133854623727</v>
      </c>
      <c r="L15">
        <v>46.90586453825037</v>
      </c>
      <c r="M15">
        <v>47.336591925992046</v>
      </c>
      <c r="N15">
        <v>47.282337554124936</v>
      </c>
      <c r="O15">
        <v>608.15861104349835</v>
      </c>
      <c r="S15" s="16">
        <v>9</v>
      </c>
      <c r="T15" s="26">
        <v>55.43206006474017</v>
      </c>
      <c r="U15" s="26">
        <v>55.557973329065753</v>
      </c>
      <c r="V15" s="26">
        <v>55.879840343636275</v>
      </c>
      <c r="W15" s="26">
        <v>56.371242490928914</v>
      </c>
      <c r="X15" s="26">
        <v>56.546954512460083</v>
      </c>
      <c r="Y15" s="26">
        <v>57.062477477948008</v>
      </c>
      <c r="Z15" s="26">
        <v>57.680339680214892</v>
      </c>
      <c r="AA15" s="26">
        <v>58.0750024482859</v>
      </c>
      <c r="AB15" s="26">
        <v>58.726662662759431</v>
      </c>
      <c r="AC15" s="26">
        <v>58.77225417783459</v>
      </c>
      <c r="AD15" s="26">
        <v>59.124557199824174</v>
      </c>
      <c r="AE15" s="26">
        <v>59.997741938191439</v>
      </c>
      <c r="AF15" s="26">
        <v>60.689688624065887</v>
      </c>
      <c r="AH15" s="16">
        <v>9</v>
      </c>
      <c r="AI15" s="29">
        <f t="shared" si="12"/>
        <v>1.142549452498844</v>
      </c>
      <c r="AJ15" s="29">
        <f t="shared" si="11"/>
        <v>2.5052758058938247E-5</v>
      </c>
      <c r="AK15" s="29">
        <f t="shared" si="0"/>
        <v>2.5048317366690068E-5</v>
      </c>
      <c r="AL15" s="29">
        <f t="shared" si="1"/>
        <v>2.500838141218996E-5</v>
      </c>
      <c r="AM15" s="29">
        <f t="shared" si="2"/>
        <v>2.4787912540404757E-5</v>
      </c>
      <c r="AN15" s="29">
        <f t="shared" si="3"/>
        <v>2.469563602911241E-5</v>
      </c>
      <c r="AO15" s="29">
        <f t="shared" si="4"/>
        <v>2.4651129457932589E-5</v>
      </c>
      <c r="AP15" s="29">
        <f t="shared" si="5"/>
        <v>2.4430496008789466E-5</v>
      </c>
      <c r="AQ15" s="29">
        <f t="shared" si="6"/>
        <v>2.4281273027384626E-5</v>
      </c>
      <c r="AR15" s="29">
        <f t="shared" si="7"/>
        <v>2.3883014767660376E-5</v>
      </c>
      <c r="AS15" s="29">
        <f t="shared" si="8"/>
        <v>2.363868433187249E-5</v>
      </c>
      <c r="AT15" s="29">
        <f t="shared" si="9"/>
        <v>2.359788552557082E-5</v>
      </c>
      <c r="AU15" s="29">
        <f t="shared" si="10"/>
        <v>2.3353990679930507E-5</v>
      </c>
      <c r="AV15" s="29"/>
    </row>
    <row r="16" spans="1:48" x14ac:dyDescent="0.2">
      <c r="A16" s="16">
        <v>9</v>
      </c>
      <c r="B16">
        <v>55.43206006474017</v>
      </c>
      <c r="C16">
        <v>55.557973329065753</v>
      </c>
      <c r="D16">
        <v>55.879840343636275</v>
      </c>
      <c r="E16">
        <v>56.371242490928914</v>
      </c>
      <c r="F16">
        <v>56.546954512460083</v>
      </c>
      <c r="G16">
        <v>57.062477477948008</v>
      </c>
      <c r="H16">
        <v>57.680339680214892</v>
      </c>
      <c r="I16">
        <v>58.0750024482859</v>
      </c>
      <c r="J16">
        <v>58.726662662759431</v>
      </c>
      <c r="K16">
        <v>58.77225417783459</v>
      </c>
      <c r="L16">
        <v>59.124557199824174</v>
      </c>
      <c r="M16">
        <v>59.997741938191439</v>
      </c>
      <c r="N16">
        <v>60.689688624065887</v>
      </c>
      <c r="O16">
        <v>749.91679494995549</v>
      </c>
      <c r="S16" s="16">
        <v>10</v>
      </c>
      <c r="T16" s="26">
        <v>64.5529074340715</v>
      </c>
      <c r="U16" s="26">
        <v>64.216355813473541</v>
      </c>
      <c r="V16" s="26">
        <v>64.51945526282887</v>
      </c>
      <c r="W16" s="26">
        <v>64.562959786266362</v>
      </c>
      <c r="X16" s="26">
        <v>64.418539914997041</v>
      </c>
      <c r="Y16" s="26">
        <v>64.620211120490552</v>
      </c>
      <c r="Z16" s="26">
        <v>65.599354782470144</v>
      </c>
      <c r="AA16" s="26">
        <v>66.003301374989945</v>
      </c>
      <c r="AB16" s="26">
        <v>66.613612124355299</v>
      </c>
      <c r="AC16" s="26">
        <v>67.308247627759272</v>
      </c>
      <c r="AD16" s="26">
        <v>67.208078095665712</v>
      </c>
      <c r="AE16" s="26">
        <v>68.128057772534618</v>
      </c>
      <c r="AF16" s="26">
        <v>68.538981049038341</v>
      </c>
      <c r="AH16" s="16">
        <v>10</v>
      </c>
      <c r="AI16" s="29">
        <f t="shared" si="12"/>
        <v>1.3305456979204306</v>
      </c>
      <c r="AJ16" s="29">
        <f t="shared" si="11"/>
        <v>2.8957082651177014E-5</v>
      </c>
      <c r="AK16" s="29">
        <f t="shared" si="0"/>
        <v>2.8921052419100998E-5</v>
      </c>
      <c r="AL16" s="29">
        <f t="shared" si="1"/>
        <v>2.8642532115460298E-5</v>
      </c>
      <c r="AM16" s="29">
        <f t="shared" si="2"/>
        <v>2.8238499264211753E-5</v>
      </c>
      <c r="AN16" s="29">
        <f t="shared" si="3"/>
        <v>2.7966490143593111E-5</v>
      </c>
      <c r="AO16" s="29">
        <f t="shared" si="4"/>
        <v>2.8035517752926939E-5</v>
      </c>
      <c r="AP16" s="29">
        <f t="shared" si="5"/>
        <v>2.7765705085324767E-5</v>
      </c>
      <c r="AQ16" s="29">
        <f t="shared" si="6"/>
        <v>2.754223090489796E-5</v>
      </c>
      <c r="AR16" s="29">
        <f t="shared" si="7"/>
        <v>2.7351747768854147E-5</v>
      </c>
      <c r="AS16" s="29">
        <f t="shared" si="8"/>
        <v>2.6870569825764385E-5</v>
      </c>
      <c r="AT16" s="29">
        <f t="shared" si="9"/>
        <v>2.6795643576919069E-5</v>
      </c>
      <c r="AU16" s="29">
        <f t="shared" si="10"/>
        <v>2.6374475811636475E-5</v>
      </c>
      <c r="AV16" s="29"/>
    </row>
    <row r="17" spans="1:63" x14ac:dyDescent="0.2">
      <c r="A17" s="16">
        <v>10</v>
      </c>
      <c r="B17">
        <v>64.5529074340715</v>
      </c>
      <c r="C17">
        <v>64.216355813473541</v>
      </c>
      <c r="D17">
        <v>64.51945526282887</v>
      </c>
      <c r="E17">
        <v>64.562959786266362</v>
      </c>
      <c r="F17">
        <v>64.418539914997041</v>
      </c>
      <c r="G17">
        <v>64.620211120490552</v>
      </c>
      <c r="H17">
        <v>65.599354782470144</v>
      </c>
      <c r="I17">
        <v>66.003301374989945</v>
      </c>
      <c r="J17">
        <v>66.613612124355299</v>
      </c>
      <c r="K17">
        <v>67.308247627759272</v>
      </c>
      <c r="L17">
        <v>67.208078095665712</v>
      </c>
      <c r="M17">
        <v>68.128057772534618</v>
      </c>
      <c r="N17">
        <v>68.538981049038341</v>
      </c>
      <c r="O17">
        <v>856.29006215894128</v>
      </c>
      <c r="S17" s="16">
        <v>11</v>
      </c>
      <c r="T17" s="26">
        <v>77.841245278340821</v>
      </c>
      <c r="U17" s="26">
        <v>78.102432015239259</v>
      </c>
      <c r="V17" s="26">
        <v>78.132060522078319</v>
      </c>
      <c r="W17" s="26">
        <v>78.264995271058723</v>
      </c>
      <c r="X17" s="26">
        <v>78.323758714902823</v>
      </c>
      <c r="Y17" s="26">
        <v>78.78255992029186</v>
      </c>
      <c r="Z17" s="26">
        <v>79.578132684287382</v>
      </c>
      <c r="AA17" s="26">
        <v>80.421728552270352</v>
      </c>
      <c r="AB17" s="26">
        <v>81.377730937156599</v>
      </c>
      <c r="AC17" s="26">
        <v>82.04625328872703</v>
      </c>
      <c r="AD17" s="26">
        <v>82.836799628532731</v>
      </c>
      <c r="AE17" s="26">
        <v>83.443050149073187</v>
      </c>
      <c r="AF17" s="26">
        <v>83.825155372363056</v>
      </c>
      <c r="AH17" s="16">
        <v>11</v>
      </c>
      <c r="AI17" s="29">
        <f t="shared" si="12"/>
        <v>1.6044410413526891</v>
      </c>
      <c r="AJ17" s="29">
        <f t="shared" si="11"/>
        <v>3.5218731279184418E-5</v>
      </c>
      <c r="AK17" s="29">
        <f t="shared" si="0"/>
        <v>3.5022946315438612E-5</v>
      </c>
      <c r="AL17" s="29">
        <f t="shared" si="1"/>
        <v>3.4721265071935208E-5</v>
      </c>
      <c r="AM17" s="29">
        <f t="shared" si="2"/>
        <v>3.4333988410162241E-5</v>
      </c>
      <c r="AN17" s="29">
        <f t="shared" si="3"/>
        <v>3.4095705465735259E-5</v>
      </c>
      <c r="AO17" s="29">
        <f t="shared" si="4"/>
        <v>3.4009696574200141E-5</v>
      </c>
      <c r="AP17" s="29">
        <f t="shared" si="5"/>
        <v>3.3831125881841106E-5</v>
      </c>
      <c r="AQ17" s="29">
        <f t="shared" si="6"/>
        <v>3.3646640446455407E-5</v>
      </c>
      <c r="AR17" s="29">
        <f t="shared" si="7"/>
        <v>3.3340764385125165E-5</v>
      </c>
      <c r="AS17" s="29">
        <f t="shared" si="8"/>
        <v>3.3119114124837468E-5</v>
      </c>
      <c r="AT17" s="29">
        <f t="shared" si="9"/>
        <v>3.281922755277696E-5</v>
      </c>
      <c r="AU17" s="29">
        <f t="shared" si="10"/>
        <v>3.2256746437377604E-5</v>
      </c>
      <c r="AV17" s="29"/>
    </row>
    <row r="18" spans="1:63" x14ac:dyDescent="0.2">
      <c r="A18" s="16">
        <v>11</v>
      </c>
      <c r="B18">
        <v>77.841245278340821</v>
      </c>
      <c r="C18">
        <v>78.102432015239259</v>
      </c>
      <c r="D18">
        <v>78.132060522078319</v>
      </c>
      <c r="E18">
        <v>78.264995271058723</v>
      </c>
      <c r="F18">
        <v>78.323758714902823</v>
      </c>
      <c r="G18">
        <v>78.78255992029186</v>
      </c>
      <c r="H18">
        <v>79.578132684287382</v>
      </c>
      <c r="I18">
        <v>80.421728552270352</v>
      </c>
      <c r="J18">
        <v>81.377730937156599</v>
      </c>
      <c r="K18">
        <v>82.04625328872703</v>
      </c>
      <c r="L18">
        <v>82.836799628532731</v>
      </c>
      <c r="M18">
        <v>83.443050149073187</v>
      </c>
      <c r="N18">
        <v>83.825155372363056</v>
      </c>
      <c r="O18">
        <v>1042.9759023343222</v>
      </c>
      <c r="S18" s="16">
        <v>12</v>
      </c>
      <c r="T18" s="26">
        <v>102.41759630459023</v>
      </c>
      <c r="U18" s="26">
        <v>102.47302192585002</v>
      </c>
      <c r="V18" s="26">
        <v>103.09965000177654</v>
      </c>
      <c r="W18" s="26">
        <v>104.06182765088766</v>
      </c>
      <c r="X18" s="26">
        <v>105.36676803009713</v>
      </c>
      <c r="Y18" s="26">
        <v>107.03865368204686</v>
      </c>
      <c r="Z18" s="26">
        <v>108.1109529851669</v>
      </c>
      <c r="AA18" s="26">
        <v>109.04529121249578</v>
      </c>
      <c r="AB18" s="26">
        <v>109.31600744772612</v>
      </c>
      <c r="AC18" s="26">
        <v>109.66841792236696</v>
      </c>
      <c r="AD18" s="26">
        <v>109.97514214026759</v>
      </c>
      <c r="AE18" s="26">
        <v>110.06930387451482</v>
      </c>
      <c r="AF18" s="26">
        <v>108.5330239856354</v>
      </c>
      <c r="AH18" s="16">
        <v>12</v>
      </c>
      <c r="AI18" s="29">
        <f t="shared" si="12"/>
        <v>2.1110016197736581</v>
      </c>
      <c r="AJ18" s="29">
        <f t="shared" si="11"/>
        <v>4.620816189012279E-5</v>
      </c>
      <c r="AK18" s="29">
        <f t="shared" si="0"/>
        <v>4.6214748248350448E-5</v>
      </c>
      <c r="AL18" s="29">
        <f t="shared" si="1"/>
        <v>4.6165700122039129E-5</v>
      </c>
      <c r="AM18" s="29">
        <f t="shared" si="2"/>
        <v>4.6188556980900724E-5</v>
      </c>
      <c r="AN18" s="29">
        <f t="shared" si="3"/>
        <v>4.6324445576334963E-5</v>
      </c>
      <c r="AO18" s="29">
        <f t="shared" si="4"/>
        <v>4.6203907824280069E-5</v>
      </c>
      <c r="AP18" s="29">
        <f t="shared" si="5"/>
        <v>4.5872241746634535E-5</v>
      </c>
      <c r="AQ18" s="29">
        <f t="shared" si="6"/>
        <v>4.5198070224839307E-5</v>
      </c>
      <c r="AR18" s="29">
        <f t="shared" si="7"/>
        <v>4.4565458334481436E-5</v>
      </c>
      <c r="AS18" s="29">
        <f t="shared" si="8"/>
        <v>4.3969338503804047E-5</v>
      </c>
      <c r="AT18" s="29">
        <f t="shared" si="9"/>
        <v>4.3291676466522117E-5</v>
      </c>
      <c r="AU18" s="29">
        <f t="shared" si="10"/>
        <v>4.1764577938864255E-5</v>
      </c>
      <c r="AV18" s="29"/>
    </row>
    <row r="19" spans="1:63" x14ac:dyDescent="0.2">
      <c r="A19" s="16">
        <v>12</v>
      </c>
      <c r="B19">
        <v>102.41759630459023</v>
      </c>
      <c r="C19">
        <v>102.47302192585002</v>
      </c>
      <c r="D19">
        <v>103.09965000177654</v>
      </c>
      <c r="E19">
        <v>104.06182765088766</v>
      </c>
      <c r="F19">
        <v>105.36676803009713</v>
      </c>
      <c r="G19">
        <v>107.03865368204686</v>
      </c>
      <c r="H19">
        <v>108.1109529851669</v>
      </c>
      <c r="I19">
        <v>109.04529121249578</v>
      </c>
      <c r="J19">
        <v>109.31600744772612</v>
      </c>
      <c r="K19">
        <v>109.66841792236696</v>
      </c>
      <c r="L19">
        <v>109.97514214026759</v>
      </c>
      <c r="M19">
        <v>110.06930387451482</v>
      </c>
      <c r="N19">
        <v>108.5330239856354</v>
      </c>
      <c r="O19">
        <v>1389.1756571634219</v>
      </c>
      <c r="S19" s="16">
        <v>13</v>
      </c>
      <c r="T19" s="26">
        <v>72.875710477640737</v>
      </c>
      <c r="U19" s="26">
        <v>73.111573596961492</v>
      </c>
      <c r="V19" s="26">
        <v>72.885189692231819</v>
      </c>
      <c r="W19" s="26">
        <v>72.955772721774011</v>
      </c>
      <c r="X19" s="26">
        <v>73.023398073373613</v>
      </c>
      <c r="Y19" s="26">
        <v>73.35964401655481</v>
      </c>
      <c r="Z19" s="26">
        <v>74.077290989155969</v>
      </c>
      <c r="AA19" s="26">
        <v>75.03622436529578</v>
      </c>
      <c r="AB19" s="26">
        <v>75.611352300232227</v>
      </c>
      <c r="AC19" s="26">
        <v>76.659936262567527</v>
      </c>
      <c r="AD19" s="26">
        <v>76.800438256382975</v>
      </c>
      <c r="AE19" s="26">
        <v>77.727319086795063</v>
      </c>
      <c r="AF19" s="26">
        <v>78.675443562841991</v>
      </c>
      <c r="AH19" s="16">
        <v>13</v>
      </c>
      <c r="AI19" s="29">
        <f t="shared" si="12"/>
        <v>1.5020928864892797</v>
      </c>
      <c r="AJ19" s="29">
        <f t="shared" si="11"/>
        <v>3.296820338971379E-5</v>
      </c>
      <c r="AK19" s="29">
        <f t="shared" si="0"/>
        <v>3.2671019664971887E-5</v>
      </c>
      <c r="AL19" s="29">
        <f t="shared" si="1"/>
        <v>3.2365896329866461E-5</v>
      </c>
      <c r="AM19" s="29">
        <f t="shared" si="2"/>
        <v>3.2010523297892066E-5</v>
      </c>
      <c r="AN19" s="29">
        <f t="shared" si="3"/>
        <v>3.1748762898670413E-5</v>
      </c>
      <c r="AO19" s="29">
        <f t="shared" si="4"/>
        <v>3.1658774899569452E-5</v>
      </c>
      <c r="AP19" s="29">
        <f t="shared" si="5"/>
        <v>3.1565597978293259E-5</v>
      </c>
      <c r="AQ19" s="29">
        <f t="shared" si="6"/>
        <v>3.1262459093149476E-5</v>
      </c>
      <c r="AR19" s="29">
        <f t="shared" si="7"/>
        <v>3.1151951128280851E-5</v>
      </c>
      <c r="AS19" s="29">
        <f t="shared" si="8"/>
        <v>3.0705706773521509E-5</v>
      </c>
      <c r="AT19" s="29">
        <f t="shared" si="9"/>
        <v>3.0571156826356313E-5</v>
      </c>
      <c r="AU19" s="29">
        <f t="shared" si="10"/>
        <v>3.0275086548679597E-5</v>
      </c>
      <c r="AV19" s="29"/>
    </row>
    <row r="20" spans="1:63" x14ac:dyDescent="0.2">
      <c r="A20" s="16">
        <v>13</v>
      </c>
      <c r="B20">
        <v>72.875710477640737</v>
      </c>
      <c r="C20">
        <v>73.111573596961492</v>
      </c>
      <c r="D20">
        <v>72.885189692231819</v>
      </c>
      <c r="E20">
        <v>72.955772721774011</v>
      </c>
      <c r="F20">
        <v>73.023398073373613</v>
      </c>
      <c r="G20">
        <v>73.35964401655481</v>
      </c>
      <c r="H20">
        <v>74.077290989155969</v>
      </c>
      <c r="I20">
        <v>75.03622436529578</v>
      </c>
      <c r="J20">
        <v>75.611352300232227</v>
      </c>
      <c r="K20">
        <v>76.659936262567527</v>
      </c>
      <c r="L20">
        <v>76.800438256382975</v>
      </c>
      <c r="M20">
        <v>77.727319086795063</v>
      </c>
      <c r="N20">
        <v>78.675443562841991</v>
      </c>
      <c r="O20">
        <v>972.79929340180797</v>
      </c>
      <c r="S20" s="16">
        <v>14</v>
      </c>
      <c r="T20" s="26">
        <v>7.4070713512048805</v>
      </c>
      <c r="U20" s="26">
        <v>7.3999402683209379</v>
      </c>
      <c r="V20" s="26">
        <v>7.3926001906597962</v>
      </c>
      <c r="W20" s="26">
        <v>7.3842146339034764</v>
      </c>
      <c r="X20" s="26">
        <v>7.3680816193244727</v>
      </c>
      <c r="Y20" s="26">
        <v>7.3532040890362138</v>
      </c>
      <c r="Z20" s="26">
        <v>7.3435595115248642</v>
      </c>
      <c r="AA20" s="26">
        <v>7.3349619287362442</v>
      </c>
      <c r="AB20" s="26">
        <v>7.3297138196838265</v>
      </c>
      <c r="AC20" s="26">
        <v>7.324256715854208</v>
      </c>
      <c r="AD20" s="26">
        <v>7.3244384293354923</v>
      </c>
      <c r="AE20" s="26">
        <v>7.3654423276103476</v>
      </c>
      <c r="AF20" s="26">
        <v>7.4564960090540922</v>
      </c>
      <c r="AH20" s="16">
        <v>14</v>
      </c>
      <c r="AI20" s="29">
        <f t="shared" si="12"/>
        <v>0.15267239404516036</v>
      </c>
      <c r="AJ20" s="29">
        <f t="shared" si="11"/>
        <v>3.3368552177883495E-6</v>
      </c>
      <c r="AK20" s="29">
        <f t="shared" si="0"/>
        <v>3.3137567072842923E-6</v>
      </c>
      <c r="AL20" s="29">
        <f t="shared" si="1"/>
        <v>3.2759124658969309E-6</v>
      </c>
      <c r="AM20" s="29">
        <f t="shared" si="2"/>
        <v>3.2298708983546483E-6</v>
      </c>
      <c r="AN20" s="29">
        <f t="shared" si="3"/>
        <v>3.1823373231699639E-6</v>
      </c>
      <c r="AO20" s="29">
        <f t="shared" si="4"/>
        <v>3.1384530189014516E-6</v>
      </c>
      <c r="AP20" s="29">
        <f t="shared" si="5"/>
        <v>3.0856091359476566E-6</v>
      </c>
      <c r="AQ20" s="29">
        <f t="shared" si="6"/>
        <v>3.0305618333935584E-6</v>
      </c>
      <c r="AR20" s="29">
        <f t="shared" si="7"/>
        <v>2.9763250321756962E-6</v>
      </c>
      <c r="AS20" s="29">
        <f t="shared" si="8"/>
        <v>2.9283955117690514E-6</v>
      </c>
      <c r="AT20" s="29">
        <f t="shared" si="9"/>
        <v>2.8969234387387036E-6</v>
      </c>
      <c r="AU20" s="29">
        <f t="shared" si="10"/>
        <v>2.8693331972597277E-6</v>
      </c>
      <c r="AV20" s="29"/>
    </row>
    <row r="21" spans="1:63" x14ac:dyDescent="0.2">
      <c r="A21" s="16">
        <v>14</v>
      </c>
      <c r="B21">
        <v>7.4070713512048805</v>
      </c>
      <c r="C21">
        <v>7.3999402683209379</v>
      </c>
      <c r="D21">
        <v>7.3926001906597962</v>
      </c>
      <c r="E21">
        <v>7.3842146339034764</v>
      </c>
      <c r="F21">
        <v>7.3680816193244727</v>
      </c>
      <c r="G21">
        <v>7.3532040890362138</v>
      </c>
      <c r="H21">
        <v>7.3435595115248642</v>
      </c>
      <c r="I21">
        <v>7.3349619287362442</v>
      </c>
      <c r="J21">
        <v>7.3297138196838265</v>
      </c>
      <c r="K21">
        <v>7.324256715854208</v>
      </c>
      <c r="L21">
        <v>7.3244384293354923</v>
      </c>
      <c r="M21">
        <v>7.3654423276103476</v>
      </c>
      <c r="N21">
        <v>7.4564960090540922</v>
      </c>
      <c r="O21">
        <v>95.783980894248842</v>
      </c>
      <c r="S21" s="19" t="s">
        <v>225</v>
      </c>
      <c r="T21" s="24">
        <v>61.17724911402663</v>
      </c>
      <c r="U21" s="24">
        <v>61.199597979313374</v>
      </c>
      <c r="V21" s="24">
        <v>61.268394560864756</v>
      </c>
      <c r="W21" s="24">
        <v>61.460988556612122</v>
      </c>
      <c r="X21" s="24">
        <v>61.609218104977757</v>
      </c>
      <c r="Y21" s="24">
        <v>62.003932746148479</v>
      </c>
      <c r="Z21" s="24">
        <v>62.453514538712227</v>
      </c>
      <c r="AA21" s="24">
        <v>62.934641491716775</v>
      </c>
      <c r="AB21" s="24">
        <v>63.372894969549058</v>
      </c>
      <c r="AC21" s="24">
        <v>63.724451465966993</v>
      </c>
      <c r="AD21" s="24">
        <v>63.781400492211212</v>
      </c>
      <c r="AE21" s="24">
        <v>64.167468439267623</v>
      </c>
      <c r="AF21" s="24">
        <v>64.344404685882893</v>
      </c>
      <c r="AH21" s="19" t="s">
        <v>225</v>
      </c>
      <c r="AI21" s="27">
        <v>4411236</v>
      </c>
      <c r="AJ21" s="27">
        <v>4435278</v>
      </c>
      <c r="AK21" s="27">
        <v>4461764</v>
      </c>
      <c r="AL21" s="27">
        <v>4508188</v>
      </c>
      <c r="AM21" s="27">
        <v>4562462</v>
      </c>
      <c r="AN21" s="27">
        <v>4621260</v>
      </c>
      <c r="AO21" s="27">
        <v>4679732</v>
      </c>
      <c r="AP21" s="27">
        <v>4754304</v>
      </c>
      <c r="AQ21" s="27">
        <v>4837198</v>
      </c>
      <c r="AR21" s="27">
        <v>4921678</v>
      </c>
      <c r="AS21" s="27">
        <v>5002356</v>
      </c>
      <c r="AT21" s="27">
        <v>5085010</v>
      </c>
      <c r="AU21" s="27">
        <v>5197372</v>
      </c>
      <c r="AV21" s="35"/>
    </row>
    <row r="22" spans="1:63" x14ac:dyDescent="0.2">
      <c r="A22" s="16" t="s">
        <v>225</v>
      </c>
      <c r="B22">
        <v>9310.0012917927288</v>
      </c>
      <c r="C22">
        <v>9501.8989777610168</v>
      </c>
      <c r="D22">
        <v>9685.0878318153082</v>
      </c>
      <c r="E22">
        <v>9862.0380908260558</v>
      </c>
      <c r="F22">
        <v>10057.409233509259</v>
      </c>
      <c r="G22">
        <v>10330.451341478652</v>
      </c>
      <c r="H22">
        <v>10511.843215702562</v>
      </c>
      <c r="I22">
        <v>10658.343521018767</v>
      </c>
      <c r="J22">
        <v>10819.039595527109</v>
      </c>
      <c r="K22">
        <v>10942.843787425922</v>
      </c>
      <c r="L22">
        <v>11073.054673687309</v>
      </c>
      <c r="M22">
        <v>11079.368678819365</v>
      </c>
      <c r="N22">
        <v>11120.320027588898</v>
      </c>
      <c r="O22">
        <v>134951.70026695298</v>
      </c>
    </row>
    <row r="23" spans="1:63" x14ac:dyDescent="0.2">
      <c r="S23" t="s">
        <v>238</v>
      </c>
      <c r="AH23" t="s">
        <v>239</v>
      </c>
      <c r="AX23" t="s">
        <v>240</v>
      </c>
    </row>
    <row r="24" spans="1:63" x14ac:dyDescent="0.2">
      <c r="S24" s="17" t="s">
        <v>224</v>
      </c>
      <c r="T24" s="17">
        <v>2010</v>
      </c>
      <c r="U24" s="17">
        <v>2011</v>
      </c>
      <c r="V24" s="17">
        <v>2012</v>
      </c>
      <c r="W24" s="17">
        <v>2013</v>
      </c>
      <c r="X24" s="17">
        <v>2014</v>
      </c>
      <c r="Y24" s="17">
        <v>2015</v>
      </c>
      <c r="Z24" s="17">
        <v>2016</v>
      </c>
      <c r="AA24" s="17">
        <v>2017</v>
      </c>
      <c r="AB24" s="17">
        <v>2018</v>
      </c>
      <c r="AC24" s="17">
        <v>2019</v>
      </c>
      <c r="AD24" s="17">
        <v>2020</v>
      </c>
      <c r="AE24" s="17">
        <v>2021</v>
      </c>
      <c r="AF24" s="17">
        <v>2022</v>
      </c>
      <c r="AH24" s="17" t="s">
        <v>224</v>
      </c>
      <c r="AI24" s="17">
        <v>2010</v>
      </c>
      <c r="AJ24" s="17">
        <v>2011</v>
      </c>
      <c r="AK24" s="17">
        <v>2012</v>
      </c>
      <c r="AL24" s="17">
        <v>2013</v>
      </c>
      <c r="AM24" s="17">
        <v>2014</v>
      </c>
      <c r="AN24" s="17">
        <v>2015</v>
      </c>
      <c r="AO24" s="17">
        <v>2016</v>
      </c>
      <c r="AP24" s="17">
        <v>2017</v>
      </c>
      <c r="AQ24" s="17">
        <v>2018</v>
      </c>
      <c r="AR24" s="17">
        <v>2019</v>
      </c>
      <c r="AS24" s="17">
        <v>2020</v>
      </c>
      <c r="AT24" s="17">
        <v>2021</v>
      </c>
      <c r="AU24" s="17">
        <v>2022</v>
      </c>
      <c r="AV24" s="33" t="s">
        <v>258</v>
      </c>
      <c r="AX24" s="17" t="s">
        <v>224</v>
      </c>
      <c r="AY24" s="17">
        <v>2010</v>
      </c>
      <c r="AZ24" s="17">
        <v>2011</v>
      </c>
      <c r="BA24" s="17">
        <v>2012</v>
      </c>
      <c r="BB24" s="17">
        <v>2013</v>
      </c>
      <c r="BC24" s="17">
        <v>2014</v>
      </c>
      <c r="BD24" s="17">
        <v>2015</v>
      </c>
      <c r="BE24" s="17">
        <v>2016</v>
      </c>
      <c r="BF24" s="17">
        <v>2017</v>
      </c>
      <c r="BG24" s="17">
        <v>2018</v>
      </c>
      <c r="BH24" s="17">
        <v>2019</v>
      </c>
      <c r="BI24" s="17">
        <v>2020</v>
      </c>
      <c r="BJ24" s="17">
        <v>2021</v>
      </c>
      <c r="BK24" s="17">
        <v>2022</v>
      </c>
    </row>
    <row r="25" spans="1:63" x14ac:dyDescent="0.2">
      <c r="S25" s="16">
        <v>0</v>
      </c>
      <c r="T25" s="26">
        <v>2205618</v>
      </c>
      <c r="U25" s="26">
        <v>2217639</v>
      </c>
      <c r="V25" s="26">
        <v>2230882</v>
      </c>
      <c r="W25" s="26">
        <v>2254094</v>
      </c>
      <c r="X25" s="26">
        <v>2281231</v>
      </c>
      <c r="Y25" s="26">
        <v>2310630</v>
      </c>
      <c r="Z25" s="26">
        <v>2339866</v>
      </c>
      <c r="AA25" s="26">
        <v>2377152</v>
      </c>
      <c r="AB25" s="26">
        <v>2418599</v>
      </c>
      <c r="AC25" s="26">
        <v>2460839</v>
      </c>
      <c r="AD25" s="26">
        <v>2501178</v>
      </c>
      <c r="AE25" s="26">
        <v>2542505</v>
      </c>
      <c r="AF25" s="26">
        <v>2598686</v>
      </c>
      <c r="AH25" s="16">
        <v>0</v>
      </c>
      <c r="AI25" s="26">
        <v>2205618</v>
      </c>
      <c r="AJ25" s="26">
        <v>2217639</v>
      </c>
      <c r="AK25" s="26">
        <v>2230882</v>
      </c>
      <c r="AL25" s="26">
        <v>2254094</v>
      </c>
      <c r="AM25" s="26">
        <v>2281231</v>
      </c>
      <c r="AN25" s="26">
        <v>2310630</v>
      </c>
      <c r="AO25" s="26">
        <v>2339866</v>
      </c>
      <c r="AP25" s="26">
        <v>2377152</v>
      </c>
      <c r="AQ25" s="26">
        <v>2418599</v>
      </c>
      <c r="AR25" s="26">
        <v>2460839</v>
      </c>
      <c r="AS25" s="26">
        <v>2501178</v>
      </c>
      <c r="AT25" s="26">
        <v>2542505</v>
      </c>
      <c r="AU25" s="26">
        <v>2598686</v>
      </c>
      <c r="AV25" s="29"/>
      <c r="AX25" s="16">
        <v>0</v>
      </c>
      <c r="AY25" s="26">
        <v>2205618</v>
      </c>
      <c r="AZ25" s="26">
        <v>2217639</v>
      </c>
      <c r="BA25" s="26">
        <v>2230882</v>
      </c>
      <c r="BB25" s="26">
        <v>2254094</v>
      </c>
      <c r="BC25" s="26">
        <v>2281231</v>
      </c>
      <c r="BD25" s="26">
        <v>2310630</v>
      </c>
      <c r="BE25" s="26">
        <v>2339866</v>
      </c>
      <c r="BF25" s="26">
        <v>2377152</v>
      </c>
      <c r="BG25" s="26">
        <v>2418599</v>
      </c>
      <c r="BH25" s="26">
        <v>2460839</v>
      </c>
      <c r="BI25" s="26">
        <v>2501178</v>
      </c>
      <c r="BJ25" s="26">
        <v>2542505</v>
      </c>
      <c r="BK25" s="26">
        <v>2598686</v>
      </c>
    </row>
    <row r="26" spans="1:63" x14ac:dyDescent="0.2">
      <c r="S26" s="16">
        <v>1</v>
      </c>
      <c r="T26" s="26">
        <v>29122</v>
      </c>
      <c r="U26" s="26">
        <v>29172</v>
      </c>
      <c r="V26" s="26">
        <v>29229</v>
      </c>
      <c r="W26" s="26">
        <v>29303</v>
      </c>
      <c r="X26" s="26">
        <v>29383</v>
      </c>
      <c r="Y26" s="26">
        <v>29493</v>
      </c>
      <c r="Z26" s="26">
        <v>29568</v>
      </c>
      <c r="AA26" s="26">
        <v>29638</v>
      </c>
      <c r="AB26" s="26">
        <v>29781</v>
      </c>
      <c r="AC26" s="26">
        <v>29990</v>
      </c>
      <c r="AD26" s="26">
        <v>30150</v>
      </c>
      <c r="AE26" s="26">
        <v>30305</v>
      </c>
      <c r="AF26" s="26">
        <v>30560</v>
      </c>
      <c r="AH26" s="16">
        <v>1</v>
      </c>
      <c r="AI26" s="29">
        <f>T26/T$25</f>
        <v>1.3203555647442123E-2</v>
      </c>
      <c r="AJ26" s="29">
        <f>U26/U$25</f>
        <v>1.3154530561556682E-2</v>
      </c>
      <c r="AK26" s="29">
        <f t="shared" ref="AJ26:AU39" si="13">V26/V$25</f>
        <v>1.3101992844085883E-2</v>
      </c>
      <c r="AL26" s="29">
        <f t="shared" si="13"/>
        <v>1.2999901512536743E-2</v>
      </c>
      <c r="AM26" s="29">
        <f t="shared" si="13"/>
        <v>1.288032645532171E-2</v>
      </c>
      <c r="AN26" s="29">
        <f t="shared" si="13"/>
        <v>1.2764051362615391E-2</v>
      </c>
      <c r="AO26" s="29">
        <f t="shared" si="13"/>
        <v>1.2636621071463067E-2</v>
      </c>
      <c r="AP26" s="29">
        <f t="shared" si="13"/>
        <v>1.2467860700535767E-2</v>
      </c>
      <c r="AQ26" s="29">
        <f t="shared" si="13"/>
        <v>1.2313326847484846E-2</v>
      </c>
      <c r="AR26" s="29">
        <f t="shared" si="13"/>
        <v>1.218690048394064E-2</v>
      </c>
      <c r="AS26" s="29">
        <f t="shared" si="13"/>
        <v>1.2054320004413921E-2</v>
      </c>
      <c r="AT26" s="29">
        <f t="shared" si="13"/>
        <v>1.1919347257920831E-2</v>
      </c>
      <c r="AU26" s="29">
        <f t="shared" si="13"/>
        <v>1.1759789370474154E-2</v>
      </c>
      <c r="AV26" s="29" t="b">
        <f t="shared" ref="AV26:AV39" si="14">IF(AU26&gt;=0.05,TRUE,FALSE)</f>
        <v>0</v>
      </c>
      <c r="AX26" s="16">
        <v>1</v>
      </c>
      <c r="AY26" s="32">
        <f>AI26/AI$25</f>
        <v>5.986329295209834E-9</v>
      </c>
      <c r="AZ26" s="32">
        <f>AJ26-AI26</f>
        <v>-4.9025085885440536E-5</v>
      </c>
      <c r="BA26" s="32">
        <f t="shared" ref="BA26:BK39" si="15">AK26-AJ26</f>
        <v>-5.2537717470799855E-5</v>
      </c>
      <c r="BB26" s="32">
        <f t="shared" si="15"/>
        <v>-1.0209133154913917E-4</v>
      </c>
      <c r="BC26" s="32">
        <f t="shared" si="15"/>
        <v>-1.195750572150333E-4</v>
      </c>
      <c r="BD26" s="32">
        <f t="shared" si="15"/>
        <v>-1.1627509270631907E-4</v>
      </c>
      <c r="BE26" s="32">
        <f t="shared" si="15"/>
        <v>-1.2743029115232403E-4</v>
      </c>
      <c r="BF26" s="32">
        <f t="shared" si="15"/>
        <v>-1.6876037092729973E-4</v>
      </c>
      <c r="BG26" s="32">
        <f t="shared" si="15"/>
        <v>-1.5453385305092167E-4</v>
      </c>
      <c r="BH26" s="32">
        <f t="shared" si="15"/>
        <v>-1.2642636354420582E-4</v>
      </c>
      <c r="BI26" s="32">
        <f t="shared" si="15"/>
        <v>-1.3258047952671888E-4</v>
      </c>
      <c r="BJ26" s="32">
        <f t="shared" si="15"/>
        <v>-1.3497274649309013E-4</v>
      </c>
      <c r="BK26" s="32">
        <f t="shared" si="15"/>
        <v>-1.5955788744667632E-4</v>
      </c>
    </row>
    <row r="27" spans="1:63" x14ac:dyDescent="0.2">
      <c r="S27" s="16">
        <v>2</v>
      </c>
      <c r="T27" s="26">
        <v>229711</v>
      </c>
      <c r="U27" s="26">
        <v>231927</v>
      </c>
      <c r="V27" s="26">
        <v>234380</v>
      </c>
      <c r="W27" s="26">
        <v>237824</v>
      </c>
      <c r="X27" s="26">
        <v>242034</v>
      </c>
      <c r="Y27" s="26">
        <v>247119</v>
      </c>
      <c r="Z27" s="26">
        <v>252440</v>
      </c>
      <c r="AA27" s="26">
        <v>259283</v>
      </c>
      <c r="AB27" s="26">
        <v>266003</v>
      </c>
      <c r="AC27" s="26">
        <v>273682</v>
      </c>
      <c r="AD27" s="26">
        <v>280355</v>
      </c>
      <c r="AE27" s="26">
        <v>287033</v>
      </c>
      <c r="AF27" s="26">
        <v>295314</v>
      </c>
      <c r="AH27" s="16">
        <v>2</v>
      </c>
      <c r="AI27" s="29">
        <f t="shared" ref="AI27:AI39" si="16">T27/T$25</f>
        <v>0.10414813444576532</v>
      </c>
      <c r="AJ27" s="29">
        <f t="shared" si="13"/>
        <v>0.10458284689257359</v>
      </c>
      <c r="AK27" s="29">
        <f t="shared" si="13"/>
        <v>0.10506158550743608</v>
      </c>
      <c r="AL27" s="29">
        <f t="shared" si="13"/>
        <v>0.10550757865466125</v>
      </c>
      <c r="AM27" s="29">
        <f t="shared" si="13"/>
        <v>0.10609797955577494</v>
      </c>
      <c r="AN27" s="29">
        <f t="shared" si="13"/>
        <v>0.10694875423585776</v>
      </c>
      <c r="AO27" s="29">
        <f t="shared" si="13"/>
        <v>0.10788651999729899</v>
      </c>
      <c r="AP27" s="29">
        <f t="shared" si="13"/>
        <v>0.10907295789246964</v>
      </c>
      <c r="AQ27" s="29">
        <f t="shared" si="13"/>
        <v>0.1099822665931806</v>
      </c>
      <c r="AR27" s="29">
        <f t="shared" si="13"/>
        <v>0.11121491491316579</v>
      </c>
      <c r="AS27" s="29">
        <f t="shared" si="13"/>
        <v>0.11208918357669866</v>
      </c>
      <c r="AT27" s="29">
        <f t="shared" si="13"/>
        <v>0.1128937799532351</v>
      </c>
      <c r="AU27" s="29">
        <f t="shared" si="13"/>
        <v>0.11363973946833131</v>
      </c>
      <c r="AV27" s="29" t="b">
        <f t="shared" si="14"/>
        <v>1</v>
      </c>
      <c r="AX27" s="16">
        <v>2</v>
      </c>
      <c r="AY27" s="32">
        <f t="shared" ref="AY27:AY39" si="17">AI27/AI$25</f>
        <v>4.7219479731197927E-8</v>
      </c>
      <c r="AZ27" s="32">
        <f t="shared" ref="AZ27:AZ39" si="18">AJ27-AI27</f>
        <v>4.347124468082747E-4</v>
      </c>
      <c r="BA27" s="32">
        <f t="shared" si="15"/>
        <v>4.787386148624867E-4</v>
      </c>
      <c r="BB27" s="32">
        <f t="shared" si="15"/>
        <v>4.4599314722516825E-4</v>
      </c>
      <c r="BC27" s="32">
        <f t="shared" si="15"/>
        <v>5.9040090111368848E-4</v>
      </c>
      <c r="BD27" s="32">
        <f t="shared" si="15"/>
        <v>8.5077468008282198E-4</v>
      </c>
      <c r="BE27" s="32">
        <f t="shared" si="15"/>
        <v>9.3776576144123658E-4</v>
      </c>
      <c r="BF27" s="32">
        <f t="shared" si="15"/>
        <v>1.1864378951706445E-3</v>
      </c>
      <c r="BG27" s="32">
        <f t="shared" si="15"/>
        <v>9.0930870071095904E-4</v>
      </c>
      <c r="BH27" s="32">
        <f t="shared" si="15"/>
        <v>1.232648319985194E-3</v>
      </c>
      <c r="BI27" s="32">
        <f t="shared" si="15"/>
        <v>8.7426866353286503E-4</v>
      </c>
      <c r="BJ27" s="32">
        <f t="shared" si="15"/>
        <v>8.0459637653644556E-4</v>
      </c>
      <c r="BK27" s="32">
        <f t="shared" si="15"/>
        <v>7.4595951509620617E-4</v>
      </c>
    </row>
    <row r="28" spans="1:63" x14ac:dyDescent="0.2">
      <c r="S28" s="16">
        <v>3</v>
      </c>
      <c r="T28" s="26">
        <v>955926</v>
      </c>
      <c r="U28" s="26">
        <v>961340</v>
      </c>
      <c r="V28" s="26">
        <v>967223</v>
      </c>
      <c r="W28" s="26">
        <v>980761</v>
      </c>
      <c r="X28" s="26">
        <v>996405</v>
      </c>
      <c r="Y28" s="26">
        <v>1011790</v>
      </c>
      <c r="Z28" s="26">
        <v>1027740</v>
      </c>
      <c r="AA28" s="26">
        <v>1048165</v>
      </c>
      <c r="AB28" s="26">
        <v>1072231</v>
      </c>
      <c r="AC28" s="26">
        <v>1094623</v>
      </c>
      <c r="AD28" s="26">
        <v>1116013</v>
      </c>
      <c r="AE28" s="26">
        <v>1135106</v>
      </c>
      <c r="AF28" s="26">
        <v>1161763</v>
      </c>
      <c r="AH28" s="16">
        <v>3</v>
      </c>
      <c r="AI28" s="29">
        <f t="shared" si="16"/>
        <v>0.43340505926230199</v>
      </c>
      <c r="AJ28" s="29">
        <f t="shared" si="13"/>
        <v>0.43349706602382082</v>
      </c>
      <c r="AK28" s="29">
        <f t="shared" si="13"/>
        <v>0.43356080689162402</v>
      </c>
      <c r="AL28" s="29">
        <f t="shared" si="13"/>
        <v>0.43510208536112516</v>
      </c>
      <c r="AM28" s="29">
        <f t="shared" si="13"/>
        <v>0.43678391184408771</v>
      </c>
      <c r="AN28" s="29">
        <f t="shared" si="13"/>
        <v>0.43788490584818857</v>
      </c>
      <c r="AO28" s="29">
        <f t="shared" si="13"/>
        <v>0.43923028070838244</v>
      </c>
      <c r="AP28" s="29">
        <f t="shared" si="13"/>
        <v>0.44093309977653933</v>
      </c>
      <c r="AQ28" s="29">
        <f t="shared" si="13"/>
        <v>0.44332731469747566</v>
      </c>
      <c r="AR28" s="29">
        <f t="shared" si="13"/>
        <v>0.44481699127817786</v>
      </c>
      <c r="AS28" s="29">
        <f t="shared" si="13"/>
        <v>0.44619495293817552</v>
      </c>
      <c r="AT28" s="29">
        <f t="shared" si="13"/>
        <v>0.44645182605343942</v>
      </c>
      <c r="AU28" s="29">
        <f t="shared" si="13"/>
        <v>0.44705785924117036</v>
      </c>
      <c r="AV28" s="29" t="b">
        <f t="shared" si="14"/>
        <v>1</v>
      </c>
      <c r="AX28" s="16">
        <v>3</v>
      </c>
      <c r="AY28" s="32">
        <f t="shared" si="17"/>
        <v>1.9650050881988722E-7</v>
      </c>
      <c r="AZ28" s="32">
        <f t="shared" si="18"/>
        <v>9.2006761518825808E-5</v>
      </c>
      <c r="BA28" s="32">
        <f t="shared" si="15"/>
        <v>6.3740867803196988E-5</v>
      </c>
      <c r="BB28" s="32">
        <f t="shared" si="15"/>
        <v>1.5412784695011394E-3</v>
      </c>
      <c r="BC28" s="32">
        <f t="shared" si="15"/>
        <v>1.6818264829625562E-3</v>
      </c>
      <c r="BD28" s="32">
        <f t="shared" si="15"/>
        <v>1.1009940041008526E-3</v>
      </c>
      <c r="BE28" s="32">
        <f t="shared" si="15"/>
        <v>1.3453748601938709E-3</v>
      </c>
      <c r="BF28" s="32">
        <f t="shared" si="15"/>
        <v>1.7028190681568911E-3</v>
      </c>
      <c r="BG28" s="32">
        <f t="shared" si="15"/>
        <v>2.3942149209363328E-3</v>
      </c>
      <c r="BH28" s="32">
        <f t="shared" si="15"/>
        <v>1.4896765807022039E-3</v>
      </c>
      <c r="BI28" s="32">
        <f t="shared" si="15"/>
        <v>1.3779616599976507E-3</v>
      </c>
      <c r="BJ28" s="32">
        <f t="shared" si="15"/>
        <v>2.5687311526390033E-4</v>
      </c>
      <c r="BK28" s="32">
        <f t="shared" si="15"/>
        <v>6.0603318773094772E-4</v>
      </c>
    </row>
    <row r="29" spans="1:63" x14ac:dyDescent="0.2">
      <c r="S29" s="16">
        <v>4</v>
      </c>
      <c r="T29" s="26">
        <v>510346</v>
      </c>
      <c r="U29" s="26">
        <v>512995</v>
      </c>
      <c r="V29" s="26">
        <v>516486</v>
      </c>
      <c r="W29" s="26">
        <v>520899</v>
      </c>
      <c r="X29" s="26">
        <v>526226</v>
      </c>
      <c r="Y29" s="26">
        <v>532837</v>
      </c>
      <c r="Z29" s="26">
        <v>538380</v>
      </c>
      <c r="AA29" s="26">
        <v>545153</v>
      </c>
      <c r="AB29" s="26">
        <v>551434</v>
      </c>
      <c r="AC29" s="26">
        <v>558459</v>
      </c>
      <c r="AD29" s="26">
        <v>564807</v>
      </c>
      <c r="AE29" s="26">
        <v>574426</v>
      </c>
      <c r="AF29" s="26">
        <v>586730</v>
      </c>
      <c r="AH29" s="16">
        <v>4</v>
      </c>
      <c r="AI29" s="29">
        <f t="shared" si="16"/>
        <v>0.23138458246169555</v>
      </c>
      <c r="AJ29" s="29">
        <f t="shared" si="13"/>
        <v>0.23132484592848521</v>
      </c>
      <c r="AK29" s="29">
        <f t="shared" si="13"/>
        <v>0.23151650333814158</v>
      </c>
      <c r="AL29" s="29">
        <f t="shared" si="13"/>
        <v>0.23109018523628563</v>
      </c>
      <c r="AM29" s="29">
        <f t="shared" si="13"/>
        <v>0.23067633220835593</v>
      </c>
      <c r="AN29" s="29">
        <f t="shared" si="13"/>
        <v>0.23060247638090045</v>
      </c>
      <c r="AO29" s="29">
        <f t="shared" si="13"/>
        <v>0.23009009917661952</v>
      </c>
      <c r="AP29" s="29">
        <f t="shared" si="13"/>
        <v>0.22933030786420053</v>
      </c>
      <c r="AQ29" s="29">
        <f t="shared" si="13"/>
        <v>0.22799728272442021</v>
      </c>
      <c r="AR29" s="29">
        <f t="shared" si="13"/>
        <v>0.22693845473027696</v>
      </c>
      <c r="AS29" s="29">
        <f t="shared" si="13"/>
        <v>0.2258163953145278</v>
      </c>
      <c r="AT29" s="29">
        <f t="shared" si="13"/>
        <v>0.22592915254837256</v>
      </c>
      <c r="AU29" s="29">
        <f t="shared" si="13"/>
        <v>0.22577949009614859</v>
      </c>
      <c r="AV29" s="29" t="b">
        <f t="shared" si="14"/>
        <v>1</v>
      </c>
      <c r="AX29" s="16">
        <v>4</v>
      </c>
      <c r="AY29" s="32">
        <f t="shared" si="17"/>
        <v>1.049069160941267E-7</v>
      </c>
      <c r="AZ29" s="32">
        <f t="shared" si="18"/>
        <v>-5.9736533210341669E-5</v>
      </c>
      <c r="BA29" s="32">
        <f t="shared" si="15"/>
        <v>1.9165740965637612E-4</v>
      </c>
      <c r="BB29" s="32">
        <f t="shared" si="15"/>
        <v>-4.2631810185594921E-4</v>
      </c>
      <c r="BC29" s="32">
        <f t="shared" si="15"/>
        <v>-4.1385302792970591E-4</v>
      </c>
      <c r="BD29" s="32">
        <f t="shared" si="15"/>
        <v>-7.3855827455476808E-5</v>
      </c>
      <c r="BE29" s="32">
        <f t="shared" si="15"/>
        <v>-5.1237720428093381E-4</v>
      </c>
      <c r="BF29" s="32">
        <f t="shared" si="15"/>
        <v>-7.5979131241898923E-4</v>
      </c>
      <c r="BG29" s="32">
        <f t="shared" si="15"/>
        <v>-1.3330251397803139E-3</v>
      </c>
      <c r="BH29" s="32">
        <f t="shared" si="15"/>
        <v>-1.0588279941432521E-3</v>
      </c>
      <c r="BI29" s="32">
        <f t="shared" si="15"/>
        <v>-1.1220594157491659E-3</v>
      </c>
      <c r="BJ29" s="32">
        <f t="shared" si="15"/>
        <v>1.1275723384476799E-4</v>
      </c>
      <c r="BK29" s="32">
        <f t="shared" si="15"/>
        <v>-1.4966245222397534E-4</v>
      </c>
    </row>
    <row r="30" spans="1:63" x14ac:dyDescent="0.2">
      <c r="S30" s="16">
        <v>5</v>
      </c>
      <c r="T30" s="26">
        <v>15436</v>
      </c>
      <c r="U30" s="26">
        <v>15447</v>
      </c>
      <c r="V30" s="26">
        <v>15454</v>
      </c>
      <c r="W30" s="26">
        <v>15492</v>
      </c>
      <c r="X30" s="26">
        <v>15574</v>
      </c>
      <c r="Y30" s="26">
        <v>15672</v>
      </c>
      <c r="Z30" s="26">
        <v>15815</v>
      </c>
      <c r="AA30" s="26">
        <v>15920</v>
      </c>
      <c r="AB30" s="26">
        <v>16102</v>
      </c>
      <c r="AC30" s="26">
        <v>16335</v>
      </c>
      <c r="AD30" s="26">
        <v>16558</v>
      </c>
      <c r="AE30" s="26">
        <v>16874</v>
      </c>
      <c r="AF30" s="26">
        <v>17314</v>
      </c>
      <c r="AH30" s="16">
        <v>5</v>
      </c>
      <c r="AI30" s="29">
        <f t="shared" si="16"/>
        <v>6.9984920326185227E-3</v>
      </c>
      <c r="AJ30" s="29">
        <f t="shared" si="13"/>
        <v>6.965516028533048E-3</v>
      </c>
      <c r="AK30" s="29">
        <f t="shared" si="13"/>
        <v>6.9273049852031617E-3</v>
      </c>
      <c r="AL30" s="29">
        <f t="shared" si="13"/>
        <v>6.872827841252406E-3</v>
      </c>
      <c r="AM30" s="29">
        <f t="shared" si="13"/>
        <v>6.8270157647340405E-3</v>
      </c>
      <c r="AN30" s="29">
        <f t="shared" si="13"/>
        <v>6.7825657937445631E-3</v>
      </c>
      <c r="AO30" s="29">
        <f t="shared" si="13"/>
        <v>6.7589340586170317E-3</v>
      </c>
      <c r="AP30" s="29">
        <f t="shared" si="13"/>
        <v>6.6970896265783593E-3</v>
      </c>
      <c r="AQ30" s="29">
        <f t="shared" si="13"/>
        <v>6.6575732479836466E-3</v>
      </c>
      <c r="AR30" s="29">
        <f t="shared" si="13"/>
        <v>6.6379799734968443E-3</v>
      </c>
      <c r="AS30" s="29">
        <f t="shared" si="13"/>
        <v>6.6200806180127924E-3</v>
      </c>
      <c r="AT30" s="29">
        <f t="shared" si="13"/>
        <v>6.636761776279693E-3</v>
      </c>
      <c r="AU30" s="29">
        <f t="shared" si="13"/>
        <v>6.662597943730024E-3</v>
      </c>
      <c r="AV30" s="29" t="b">
        <f t="shared" si="14"/>
        <v>0</v>
      </c>
      <c r="AX30" s="16">
        <v>5</v>
      </c>
      <c r="AY30" s="32">
        <f t="shared" si="17"/>
        <v>3.1730299773662177E-9</v>
      </c>
      <c r="AZ30" s="32">
        <f t="shared" si="18"/>
        <v>-3.2976004085474679E-5</v>
      </c>
      <c r="BA30" s="32">
        <f t="shared" si="15"/>
        <v>-3.8211043329886354E-5</v>
      </c>
      <c r="BB30" s="32">
        <f t="shared" si="15"/>
        <v>-5.4477143950755653E-5</v>
      </c>
      <c r="BC30" s="32">
        <f t="shared" si="15"/>
        <v>-4.5812076518365538E-5</v>
      </c>
      <c r="BD30" s="32">
        <f t="shared" si="15"/>
        <v>-4.4449970989477415E-5</v>
      </c>
      <c r="BE30" s="32">
        <f t="shared" si="15"/>
        <v>-2.3631735127531417E-5</v>
      </c>
      <c r="BF30" s="32">
        <f t="shared" si="15"/>
        <v>-6.1844432038672334E-5</v>
      </c>
      <c r="BG30" s="32">
        <f t="shared" si="15"/>
        <v>-3.9516378594712728E-5</v>
      </c>
      <c r="BH30" s="32">
        <f t="shared" si="15"/>
        <v>-1.9593274486802252E-5</v>
      </c>
      <c r="BI30" s="32">
        <f t="shared" si="15"/>
        <v>-1.7899355484051957E-5</v>
      </c>
      <c r="BJ30" s="32">
        <f t="shared" si="15"/>
        <v>1.6681158266900614E-5</v>
      </c>
      <c r="BK30" s="32">
        <f t="shared" si="15"/>
        <v>2.5836167450330946E-5</v>
      </c>
    </row>
    <row r="31" spans="1:63" x14ac:dyDescent="0.2">
      <c r="S31" s="16">
        <v>6</v>
      </c>
      <c r="T31" s="26">
        <v>20382</v>
      </c>
      <c r="U31" s="26">
        <v>20404</v>
      </c>
      <c r="V31" s="26">
        <v>20420</v>
      </c>
      <c r="W31" s="26">
        <v>20433</v>
      </c>
      <c r="X31" s="26">
        <v>20451</v>
      </c>
      <c r="Y31" s="26">
        <v>20453</v>
      </c>
      <c r="Z31" s="26">
        <v>20471</v>
      </c>
      <c r="AA31" s="26">
        <v>20485</v>
      </c>
      <c r="AB31" s="26">
        <v>20483</v>
      </c>
      <c r="AC31" s="26">
        <v>20487</v>
      </c>
      <c r="AD31" s="26">
        <v>20512</v>
      </c>
      <c r="AE31" s="26">
        <v>20572</v>
      </c>
      <c r="AF31" s="26">
        <v>20647</v>
      </c>
      <c r="AH31" s="16">
        <v>6</v>
      </c>
      <c r="AI31" s="29">
        <f t="shared" si="16"/>
        <v>9.2409474351406277E-3</v>
      </c>
      <c r="AJ31" s="29">
        <f t="shared" si="13"/>
        <v>9.2007761407514928E-3</v>
      </c>
      <c r="AK31" s="29">
        <f t="shared" si="13"/>
        <v>9.1533303868156189E-3</v>
      </c>
      <c r="AL31" s="29">
        <f t="shared" si="13"/>
        <v>9.0648393545255876E-3</v>
      </c>
      <c r="AM31" s="29">
        <f t="shared" si="13"/>
        <v>8.9648965843441546E-3</v>
      </c>
      <c r="AN31" s="29">
        <f t="shared" si="13"/>
        <v>8.8516984545340457E-3</v>
      </c>
      <c r="AO31" s="29">
        <f t="shared" si="13"/>
        <v>8.7487915974675465E-3</v>
      </c>
      <c r="AP31" s="29">
        <f t="shared" si="13"/>
        <v>8.6174548367121667E-3</v>
      </c>
      <c r="AQ31" s="29">
        <f t="shared" si="13"/>
        <v>8.4689524803408921E-3</v>
      </c>
      <c r="AR31" s="29">
        <f t="shared" si="13"/>
        <v>8.3252094102864924E-3</v>
      </c>
      <c r="AS31" s="29">
        <f t="shared" si="13"/>
        <v>8.2009357190891644E-3</v>
      </c>
      <c r="AT31" s="29">
        <f t="shared" si="13"/>
        <v>8.0912328589324307E-3</v>
      </c>
      <c r="AU31" s="29">
        <f t="shared" si="13"/>
        <v>7.9451692124404404E-3</v>
      </c>
      <c r="AV31" s="29" t="b">
        <f t="shared" si="14"/>
        <v>0</v>
      </c>
      <c r="AX31" s="16">
        <v>6</v>
      </c>
      <c r="AY31" s="32">
        <f t="shared" si="17"/>
        <v>4.1897316013655257E-9</v>
      </c>
      <c r="AZ31" s="32">
        <f t="shared" si="18"/>
        <v>-4.0171294389134901E-5</v>
      </c>
      <c r="BA31" s="32">
        <f t="shared" si="15"/>
        <v>-4.7445753935873927E-5</v>
      </c>
      <c r="BB31" s="32">
        <f t="shared" si="15"/>
        <v>-8.849103229003133E-5</v>
      </c>
      <c r="BC31" s="32">
        <f t="shared" si="15"/>
        <v>-9.9942770181432952E-5</v>
      </c>
      <c r="BD31" s="32">
        <f t="shared" si="15"/>
        <v>-1.1319812981010896E-4</v>
      </c>
      <c r="BE31" s="32">
        <f t="shared" si="15"/>
        <v>-1.029068570664992E-4</v>
      </c>
      <c r="BF31" s="32">
        <f t="shared" si="15"/>
        <v>-1.3133676075537982E-4</v>
      </c>
      <c r="BG31" s="32">
        <f t="shared" si="15"/>
        <v>-1.4850235637127451E-4</v>
      </c>
      <c r="BH31" s="32">
        <f t="shared" si="15"/>
        <v>-1.4374307005439978E-4</v>
      </c>
      <c r="BI31" s="32">
        <f t="shared" si="15"/>
        <v>-1.2427369119732794E-4</v>
      </c>
      <c r="BJ31" s="32">
        <f t="shared" si="15"/>
        <v>-1.0970286015673375E-4</v>
      </c>
      <c r="BK31" s="32">
        <f t="shared" si="15"/>
        <v>-1.4606364649199025E-4</v>
      </c>
    </row>
    <row r="32" spans="1:63" x14ac:dyDescent="0.2">
      <c r="S32" s="16">
        <v>7</v>
      </c>
      <c r="T32" s="26">
        <v>69614</v>
      </c>
      <c r="U32" s="26">
        <v>69825</v>
      </c>
      <c r="V32" s="26">
        <v>69927</v>
      </c>
      <c r="W32" s="26">
        <v>70176</v>
      </c>
      <c r="X32" s="26">
        <v>70410</v>
      </c>
      <c r="Y32" s="26">
        <v>70455</v>
      </c>
      <c r="Z32" s="26">
        <v>70696</v>
      </c>
      <c r="AA32" s="26">
        <v>70831</v>
      </c>
      <c r="AB32" s="26">
        <v>71066</v>
      </c>
      <c r="AC32" s="26">
        <v>71576</v>
      </c>
      <c r="AD32" s="26">
        <v>72144</v>
      </c>
      <c r="AE32" s="26">
        <v>73047</v>
      </c>
      <c r="AF32" s="26">
        <v>73971</v>
      </c>
      <c r="AH32" s="16">
        <v>7</v>
      </c>
      <c r="AI32" s="29">
        <f t="shared" si="16"/>
        <v>3.156212907221468E-2</v>
      </c>
      <c r="AJ32" s="29">
        <f t="shared" si="13"/>
        <v>3.1486188689863408E-2</v>
      </c>
      <c r="AK32" s="29">
        <f t="shared" si="13"/>
        <v>3.134500166301938E-2</v>
      </c>
      <c r="AL32" s="29">
        <f t="shared" si="13"/>
        <v>3.1132685682141028E-2</v>
      </c>
      <c r="AM32" s="29">
        <f t="shared" si="13"/>
        <v>3.0864914600932568E-2</v>
      </c>
      <c r="AN32" s="29">
        <f t="shared" si="13"/>
        <v>3.0491684086158322E-2</v>
      </c>
      <c r="AO32" s="29">
        <f t="shared" si="13"/>
        <v>3.0213695997975954E-2</v>
      </c>
      <c r="AP32" s="29">
        <f t="shared" si="13"/>
        <v>2.9796580109307271E-2</v>
      </c>
      <c r="AQ32" s="29">
        <f t="shared" si="13"/>
        <v>2.9383126347112522E-2</v>
      </c>
      <c r="AR32" s="29">
        <f t="shared" si="13"/>
        <v>2.9086014972942154E-2</v>
      </c>
      <c r="AS32" s="29">
        <f t="shared" si="13"/>
        <v>2.8844008703099101E-2</v>
      </c>
      <c r="AT32" s="29">
        <f t="shared" si="13"/>
        <v>2.873032698067457E-2</v>
      </c>
      <c r="AU32" s="29">
        <f t="shared" si="13"/>
        <v>2.8464770272360725E-2</v>
      </c>
      <c r="AV32" s="29" t="b">
        <f t="shared" si="14"/>
        <v>0</v>
      </c>
      <c r="AX32" s="16">
        <v>7</v>
      </c>
      <c r="AY32" s="32">
        <f t="shared" si="17"/>
        <v>1.4309880075432228E-8</v>
      </c>
      <c r="AZ32" s="32">
        <f t="shared" si="18"/>
        <v>-7.5940382351272206E-5</v>
      </c>
      <c r="BA32" s="32">
        <f t="shared" si="15"/>
        <v>-1.4118702684402795E-4</v>
      </c>
      <c r="BB32" s="32">
        <f t="shared" si="15"/>
        <v>-2.1231598087835188E-4</v>
      </c>
      <c r="BC32" s="32">
        <f t="shared" si="15"/>
        <v>-2.6777108120846008E-4</v>
      </c>
      <c r="BD32" s="32">
        <f t="shared" si="15"/>
        <v>-3.7323051477424624E-4</v>
      </c>
      <c r="BE32" s="32">
        <f t="shared" si="15"/>
        <v>-2.779880881823675E-4</v>
      </c>
      <c r="BF32" s="32">
        <f t="shared" si="15"/>
        <v>-4.1711588866868293E-4</v>
      </c>
      <c r="BG32" s="32">
        <f t="shared" si="15"/>
        <v>-4.1345376219474941E-4</v>
      </c>
      <c r="BH32" s="32">
        <f t="shared" si="15"/>
        <v>-2.9711137417036751E-4</v>
      </c>
      <c r="BI32" s="32">
        <f t="shared" si="15"/>
        <v>-2.4200626984305362E-4</v>
      </c>
      <c r="BJ32" s="32">
        <f t="shared" si="15"/>
        <v>-1.1368172242453081E-4</v>
      </c>
      <c r="BK32" s="32">
        <f t="shared" si="15"/>
        <v>-2.655567083138452E-4</v>
      </c>
    </row>
    <row r="33" spans="19:63" x14ac:dyDescent="0.2">
      <c r="S33" s="16">
        <v>8</v>
      </c>
      <c r="T33" s="26">
        <v>23206</v>
      </c>
      <c r="U33" s="26">
        <v>23389</v>
      </c>
      <c r="V33" s="26">
        <v>23511</v>
      </c>
      <c r="W33" s="26">
        <v>23671</v>
      </c>
      <c r="X33" s="26">
        <v>23795</v>
      </c>
      <c r="Y33" s="26">
        <v>23929</v>
      </c>
      <c r="Z33" s="26">
        <v>24042</v>
      </c>
      <c r="AA33" s="26">
        <v>24211</v>
      </c>
      <c r="AB33" s="26">
        <v>24476</v>
      </c>
      <c r="AC33" s="26">
        <v>24763</v>
      </c>
      <c r="AD33" s="26">
        <v>25019</v>
      </c>
      <c r="AE33" s="26">
        <v>25290</v>
      </c>
      <c r="AF33" s="26">
        <v>25611</v>
      </c>
      <c r="AH33" s="16">
        <v>8</v>
      </c>
      <c r="AI33" s="29">
        <f t="shared" si="16"/>
        <v>1.0521314207627976E-2</v>
      </c>
      <c r="AJ33" s="29">
        <f t="shared" si="13"/>
        <v>1.0546802252305266E-2</v>
      </c>
      <c r="AK33" s="29">
        <f t="shared" si="13"/>
        <v>1.0538881034496669E-2</v>
      </c>
      <c r="AL33" s="29">
        <f t="shared" si="13"/>
        <v>1.0501336678949503E-2</v>
      </c>
      <c r="AM33" s="29">
        <f t="shared" si="13"/>
        <v>1.0430771806976146E-2</v>
      </c>
      <c r="AN33" s="29">
        <f t="shared" si="13"/>
        <v>1.0356050081579483E-2</v>
      </c>
      <c r="AO33" s="29">
        <f t="shared" si="13"/>
        <v>1.0274947368780948E-2</v>
      </c>
      <c r="AP33" s="29">
        <f t="shared" si="13"/>
        <v>1.0184876692781951E-2</v>
      </c>
      <c r="AQ33" s="29">
        <f t="shared" si="13"/>
        <v>1.0119908260939494E-2</v>
      </c>
      <c r="AR33" s="29">
        <f t="shared" si="13"/>
        <v>1.0062828165515908E-2</v>
      </c>
      <c r="AS33" s="29">
        <f t="shared" si="13"/>
        <v>1.000288663981532E-2</v>
      </c>
      <c r="AT33" s="29">
        <f t="shared" si="13"/>
        <v>9.9468830936418999E-3</v>
      </c>
      <c r="AU33" s="29">
        <f t="shared" si="13"/>
        <v>9.8553653654192934E-3</v>
      </c>
      <c r="AV33" s="29" t="b">
        <f t="shared" si="14"/>
        <v>0</v>
      </c>
      <c r="AX33" s="16">
        <v>8</v>
      </c>
      <c r="AY33" s="32">
        <f t="shared" si="17"/>
        <v>4.7702341056465698E-9</v>
      </c>
      <c r="AZ33" s="32">
        <f t="shared" si="18"/>
        <v>2.5488044677290239E-5</v>
      </c>
      <c r="BA33" s="32">
        <f t="shared" si="15"/>
        <v>-7.9212178085968227E-6</v>
      </c>
      <c r="BB33" s="32">
        <f t="shared" si="15"/>
        <v>-3.7544355547166827E-5</v>
      </c>
      <c r="BC33" s="32">
        <f t="shared" si="15"/>
        <v>-7.0564871973356758E-5</v>
      </c>
      <c r="BD33" s="32">
        <f t="shared" si="15"/>
        <v>-7.4721725396662692E-5</v>
      </c>
      <c r="BE33" s="32">
        <f t="shared" si="15"/>
        <v>-8.1102712798535037E-5</v>
      </c>
      <c r="BF33" s="32">
        <f t="shared" si="15"/>
        <v>-9.0070675998997485E-5</v>
      </c>
      <c r="BG33" s="32">
        <f t="shared" si="15"/>
        <v>-6.4968431842456209E-5</v>
      </c>
      <c r="BH33" s="32">
        <f t="shared" si="15"/>
        <v>-5.7080095423586719E-5</v>
      </c>
      <c r="BI33" s="32">
        <f t="shared" si="15"/>
        <v>-5.9941525700588083E-5</v>
      </c>
      <c r="BJ33" s="32">
        <f t="shared" si="15"/>
        <v>-5.6003546173419641E-5</v>
      </c>
      <c r="BK33" s="32">
        <f t="shared" si="15"/>
        <v>-9.1517728222606509E-5</v>
      </c>
    </row>
    <row r="34" spans="19:63" x14ac:dyDescent="0.2">
      <c r="S34" s="16">
        <v>9</v>
      </c>
      <c r="T34" s="26">
        <v>48403</v>
      </c>
      <c r="U34" s="26">
        <v>48623</v>
      </c>
      <c r="V34" s="26">
        <v>48809</v>
      </c>
      <c r="W34" s="26">
        <v>48995</v>
      </c>
      <c r="X34" s="26">
        <v>49288</v>
      </c>
      <c r="Y34" s="26">
        <v>49634</v>
      </c>
      <c r="Z34" s="26">
        <v>50042</v>
      </c>
      <c r="AA34" s="26">
        <v>50409</v>
      </c>
      <c r="AB34" s="26">
        <v>51164</v>
      </c>
      <c r="AC34" s="26">
        <v>51711</v>
      </c>
      <c r="AD34" s="26">
        <v>52226</v>
      </c>
      <c r="AE34" s="26">
        <v>52673</v>
      </c>
      <c r="AF34" s="26">
        <v>53335</v>
      </c>
      <c r="AH34" s="16">
        <v>9</v>
      </c>
      <c r="AI34" s="29">
        <f t="shared" si="16"/>
        <v>2.1945323260872916E-2</v>
      </c>
      <c r="AJ34" s="29">
        <f t="shared" si="13"/>
        <v>2.1925570392656333E-2</v>
      </c>
      <c r="AK34" s="29">
        <f t="shared" si="13"/>
        <v>2.1878790541140232E-2</v>
      </c>
      <c r="AL34" s="29">
        <f t="shared" si="13"/>
        <v>2.1736005685654636E-2</v>
      </c>
      <c r="AM34" s="29">
        <f t="shared" si="13"/>
        <v>2.1605878580468175E-2</v>
      </c>
      <c r="AN34" s="29">
        <f t="shared" si="13"/>
        <v>2.1480721707932467E-2</v>
      </c>
      <c r="AO34" s="29">
        <f t="shared" si="13"/>
        <v>2.1386694793633483E-2</v>
      </c>
      <c r="AP34" s="29">
        <f t="shared" si="13"/>
        <v>2.120562757450933E-2</v>
      </c>
      <c r="AQ34" s="29">
        <f t="shared" si="13"/>
        <v>2.1154395581905062E-2</v>
      </c>
      <c r="AR34" s="29">
        <f t="shared" si="13"/>
        <v>2.101356488579708E-2</v>
      </c>
      <c r="AS34" s="29">
        <f t="shared" si="13"/>
        <v>2.0880561079619282E-2</v>
      </c>
      <c r="AT34" s="29">
        <f t="shared" si="13"/>
        <v>2.0716970074788447E-2</v>
      </c>
      <c r="AU34" s="29">
        <f t="shared" si="13"/>
        <v>2.0523833968397874E-2</v>
      </c>
      <c r="AV34" s="29" t="b">
        <f t="shared" si="14"/>
        <v>0</v>
      </c>
      <c r="AX34" s="16">
        <v>9</v>
      </c>
      <c r="AY34" s="32">
        <f t="shared" si="17"/>
        <v>9.9497389216414247E-9</v>
      </c>
      <c r="AZ34" s="32">
        <f t="shared" si="18"/>
        <v>-1.9752868216583314E-5</v>
      </c>
      <c r="BA34" s="32">
        <f t="shared" si="15"/>
        <v>-4.6779851516100951E-5</v>
      </c>
      <c r="BB34" s="32">
        <f t="shared" si="15"/>
        <v>-1.4278485548559552E-4</v>
      </c>
      <c r="BC34" s="32">
        <f t="shared" si="15"/>
        <v>-1.3012710518646095E-4</v>
      </c>
      <c r="BD34" s="32">
        <f t="shared" si="15"/>
        <v>-1.2515687253570815E-4</v>
      </c>
      <c r="BE34" s="32">
        <f t="shared" si="15"/>
        <v>-9.4026914298984271E-5</v>
      </c>
      <c r="BF34" s="32">
        <f t="shared" si="15"/>
        <v>-1.8106721912415288E-4</v>
      </c>
      <c r="BG34" s="32">
        <f t="shared" si="15"/>
        <v>-5.1231992604268417E-5</v>
      </c>
      <c r="BH34" s="32">
        <f t="shared" si="15"/>
        <v>-1.408306961079818E-4</v>
      </c>
      <c r="BI34" s="32">
        <f t="shared" si="15"/>
        <v>-1.3300380617779772E-4</v>
      </c>
      <c r="BJ34" s="32">
        <f t="shared" si="15"/>
        <v>-1.6359100483083477E-4</v>
      </c>
      <c r="BK34" s="32">
        <f t="shared" si="15"/>
        <v>-1.9313610639057344E-4</v>
      </c>
    </row>
    <row r="35" spans="19:63" x14ac:dyDescent="0.2">
      <c r="S35" s="16">
        <v>10</v>
      </c>
      <c r="T35" s="26">
        <v>53731</v>
      </c>
      <c r="U35" s="26">
        <v>53902</v>
      </c>
      <c r="V35" s="26">
        <v>54069</v>
      </c>
      <c r="W35" s="26">
        <v>54196</v>
      </c>
      <c r="X35" s="26">
        <v>54380</v>
      </c>
      <c r="Y35" s="26">
        <v>54668</v>
      </c>
      <c r="Z35" s="26">
        <v>54904</v>
      </c>
      <c r="AA35" s="26">
        <v>55269</v>
      </c>
      <c r="AB35" s="26">
        <v>55854</v>
      </c>
      <c r="AC35" s="26">
        <v>56467</v>
      </c>
      <c r="AD35" s="26">
        <v>57265</v>
      </c>
      <c r="AE35" s="26">
        <v>57944</v>
      </c>
      <c r="AF35" s="26">
        <v>59014</v>
      </c>
      <c r="AH35" s="16">
        <v>10</v>
      </c>
      <c r="AI35" s="29">
        <f t="shared" si="16"/>
        <v>2.4360972752307971E-2</v>
      </c>
      <c r="AJ35" s="29">
        <f t="shared" si="13"/>
        <v>2.430602997151475E-2</v>
      </c>
      <c r="AK35" s="29">
        <f t="shared" si="13"/>
        <v>2.423660238416913E-2</v>
      </c>
      <c r="AL35" s="29">
        <f t="shared" si="13"/>
        <v>2.4043362876614727E-2</v>
      </c>
      <c r="AM35" s="29">
        <f t="shared" si="13"/>
        <v>2.3838006760385073E-2</v>
      </c>
      <c r="AN35" s="29">
        <f t="shared" si="13"/>
        <v>2.3659348316260067E-2</v>
      </c>
      <c r="AO35" s="29">
        <f t="shared" si="13"/>
        <v>2.3464591562080906E-2</v>
      </c>
      <c r="AP35" s="29">
        <f t="shared" si="13"/>
        <v>2.3250090865035135E-2</v>
      </c>
      <c r="AQ35" s="29">
        <f t="shared" si="13"/>
        <v>2.3093534728162876E-2</v>
      </c>
      <c r="AR35" s="29">
        <f t="shared" si="13"/>
        <v>2.2946239067244953E-2</v>
      </c>
      <c r="AS35" s="29">
        <f t="shared" si="13"/>
        <v>2.2895211776211049E-2</v>
      </c>
      <c r="AT35" s="29">
        <f t="shared" si="13"/>
        <v>2.2790122339975731E-2</v>
      </c>
      <c r="AU35" s="29">
        <f t="shared" si="13"/>
        <v>2.2709169172420215E-2</v>
      </c>
      <c r="AV35" s="29" t="b">
        <f t="shared" si="14"/>
        <v>0</v>
      </c>
      <c r="AX35" s="16">
        <v>10</v>
      </c>
      <c r="AY35" s="32">
        <f t="shared" si="17"/>
        <v>1.1044964609605095E-8</v>
      </c>
      <c r="AZ35" s="32">
        <f t="shared" si="18"/>
        <v>-5.4942780793220541E-5</v>
      </c>
      <c r="BA35" s="32">
        <f t="shared" si="15"/>
        <v>-6.9427587345620434E-5</v>
      </c>
      <c r="BB35" s="32">
        <f t="shared" si="15"/>
        <v>-1.9323950755440258E-4</v>
      </c>
      <c r="BC35" s="32">
        <f t="shared" si="15"/>
        <v>-2.0535611622965466E-4</v>
      </c>
      <c r="BD35" s="32">
        <f t="shared" si="15"/>
        <v>-1.7865844412500581E-4</v>
      </c>
      <c r="BE35" s="32">
        <f t="shared" si="15"/>
        <v>-1.9475675417916088E-4</v>
      </c>
      <c r="BF35" s="32">
        <f t="shared" si="15"/>
        <v>-2.1450069704577121E-4</v>
      </c>
      <c r="BG35" s="32">
        <f t="shared" si="15"/>
        <v>-1.5655613687225872E-4</v>
      </c>
      <c r="BH35" s="32">
        <f t="shared" si="15"/>
        <v>-1.4729566091792323E-4</v>
      </c>
      <c r="BI35" s="32">
        <f t="shared" si="15"/>
        <v>-5.1027291033903938E-5</v>
      </c>
      <c r="BJ35" s="32">
        <f t="shared" si="15"/>
        <v>-1.0508943623531788E-4</v>
      </c>
      <c r="BK35" s="32">
        <f t="shared" si="15"/>
        <v>-8.0953167555516264E-5</v>
      </c>
    </row>
    <row r="36" spans="19:63" x14ac:dyDescent="0.2">
      <c r="S36" s="16">
        <v>11</v>
      </c>
      <c r="T36" s="26">
        <v>110611</v>
      </c>
      <c r="U36" s="26">
        <v>110970</v>
      </c>
      <c r="V36" s="26">
        <v>111257</v>
      </c>
      <c r="W36" s="26">
        <v>111727</v>
      </c>
      <c r="X36" s="26">
        <v>112173</v>
      </c>
      <c r="Y36" s="26">
        <v>112812</v>
      </c>
      <c r="Z36" s="26">
        <v>113346</v>
      </c>
      <c r="AA36" s="26">
        <v>114117</v>
      </c>
      <c r="AB36" s="26">
        <v>115047</v>
      </c>
      <c r="AC36" s="26">
        <v>116188</v>
      </c>
      <c r="AD36" s="26">
        <v>117805</v>
      </c>
      <c r="AE36" s="26">
        <v>119447</v>
      </c>
      <c r="AF36" s="26">
        <v>121622</v>
      </c>
      <c r="AH36" s="16">
        <v>11</v>
      </c>
      <c r="AI36" s="29">
        <f t="shared" si="16"/>
        <v>5.0149663268979489E-2</v>
      </c>
      <c r="AJ36" s="29">
        <f t="shared" si="13"/>
        <v>5.0039704388315683E-2</v>
      </c>
      <c r="AK36" s="29">
        <f t="shared" si="13"/>
        <v>4.9871306505678024E-2</v>
      </c>
      <c r="AL36" s="29">
        <f t="shared" si="13"/>
        <v>4.956625588817503E-2</v>
      </c>
      <c r="AM36" s="29">
        <f t="shared" si="13"/>
        <v>4.9172135570663383E-2</v>
      </c>
      <c r="AN36" s="29">
        <f t="shared" si="13"/>
        <v>4.8823048259565571E-2</v>
      </c>
      <c r="AO36" s="29">
        <f t="shared" si="13"/>
        <v>4.8441235523743666E-2</v>
      </c>
      <c r="AP36" s="29">
        <f t="shared" si="13"/>
        <v>4.8005764881673532E-2</v>
      </c>
      <c r="AQ36" s="29">
        <f t="shared" si="13"/>
        <v>4.7567620758960046E-2</v>
      </c>
      <c r="AR36" s="29">
        <f t="shared" si="13"/>
        <v>4.7214791378062525E-2</v>
      </c>
      <c r="AS36" s="29">
        <f t="shared" si="13"/>
        <v>4.7099806571143675E-2</v>
      </c>
      <c r="AT36" s="29">
        <f t="shared" si="13"/>
        <v>4.6980045270314116E-2</v>
      </c>
      <c r="AU36" s="29">
        <f t="shared" si="13"/>
        <v>4.6801344987428259E-2</v>
      </c>
      <c r="AV36" s="29" t="b">
        <f t="shared" si="14"/>
        <v>0</v>
      </c>
      <c r="AX36" s="16">
        <v>11</v>
      </c>
      <c r="AY36" s="32">
        <f t="shared" si="17"/>
        <v>2.2737238845974004E-8</v>
      </c>
      <c r="AZ36" s="32">
        <f t="shared" si="18"/>
        <v>-1.0995888066380605E-4</v>
      </c>
      <c r="BA36" s="32">
        <f t="shared" si="15"/>
        <v>-1.6839788263765809E-4</v>
      </c>
      <c r="BB36" s="32">
        <f t="shared" si="15"/>
        <v>-3.0505061750299434E-4</v>
      </c>
      <c r="BC36" s="32">
        <f t="shared" si="15"/>
        <v>-3.9412031751164672E-4</v>
      </c>
      <c r="BD36" s="32">
        <f t="shared" si="15"/>
        <v>-3.490873110978121E-4</v>
      </c>
      <c r="BE36" s="32">
        <f t="shared" si="15"/>
        <v>-3.8181273582190561E-4</v>
      </c>
      <c r="BF36" s="32">
        <f t="shared" si="15"/>
        <v>-4.3547064207013347E-4</v>
      </c>
      <c r="BG36" s="32">
        <f t="shared" si="15"/>
        <v>-4.3814412271348663E-4</v>
      </c>
      <c r="BH36" s="32">
        <f t="shared" si="15"/>
        <v>-3.5282938089752081E-4</v>
      </c>
      <c r="BI36" s="32">
        <f t="shared" si="15"/>
        <v>-1.1498480691884971E-4</v>
      </c>
      <c r="BJ36" s="32">
        <f t="shared" si="15"/>
        <v>-1.1976130082955866E-4</v>
      </c>
      <c r="BK36" s="32">
        <f t="shared" si="15"/>
        <v>-1.7870028288585749E-4</v>
      </c>
    </row>
    <row r="37" spans="19:63" x14ac:dyDescent="0.2">
      <c r="S37" s="16">
        <v>12</v>
      </c>
      <c r="T37" s="26">
        <v>89695</v>
      </c>
      <c r="U37" s="26">
        <v>89937</v>
      </c>
      <c r="V37" s="26">
        <v>90193</v>
      </c>
      <c r="W37" s="26">
        <v>90422</v>
      </c>
      <c r="X37" s="26">
        <v>90786</v>
      </c>
      <c r="Y37" s="26">
        <v>91260</v>
      </c>
      <c r="Z37" s="26">
        <v>91674</v>
      </c>
      <c r="AA37" s="26">
        <v>92526</v>
      </c>
      <c r="AB37" s="26">
        <v>93345</v>
      </c>
      <c r="AC37" s="26">
        <v>94527</v>
      </c>
      <c r="AD37" s="26">
        <v>95774</v>
      </c>
      <c r="AE37" s="26">
        <v>96568</v>
      </c>
      <c r="AF37" s="26">
        <v>98468</v>
      </c>
      <c r="AH37" s="16">
        <v>12</v>
      </c>
      <c r="AI37" s="29">
        <f t="shared" si="16"/>
        <v>4.0666606819494584E-2</v>
      </c>
      <c r="AJ37" s="29">
        <f t="shared" si="13"/>
        <v>4.0555293264593562E-2</v>
      </c>
      <c r="AK37" s="29">
        <f t="shared" si="13"/>
        <v>4.0429301056712101E-2</v>
      </c>
      <c r="AL37" s="29">
        <f t="shared" si="13"/>
        <v>4.0114564876176415E-2</v>
      </c>
      <c r="AM37" s="29">
        <f t="shared" si="13"/>
        <v>3.9796934199123189E-2</v>
      </c>
      <c r="AN37" s="29">
        <f t="shared" si="13"/>
        <v>3.9495721945962792E-2</v>
      </c>
      <c r="AO37" s="29">
        <f t="shared" si="13"/>
        <v>3.9179166670228124E-2</v>
      </c>
      <c r="AP37" s="29">
        <f t="shared" si="13"/>
        <v>3.8923047411356111E-2</v>
      </c>
      <c r="AQ37" s="29">
        <f t="shared" si="13"/>
        <v>3.8594657485593931E-2</v>
      </c>
      <c r="AR37" s="29">
        <f t="shared" si="13"/>
        <v>3.8412508904483389E-2</v>
      </c>
      <c r="AS37" s="29">
        <f t="shared" si="13"/>
        <v>3.8291557018332964E-2</v>
      </c>
      <c r="AT37" s="29">
        <f t="shared" si="13"/>
        <v>3.7981439564523961E-2</v>
      </c>
      <c r="AU37" s="29">
        <f t="shared" si="13"/>
        <v>3.7891457451958412E-2</v>
      </c>
      <c r="AV37" s="29" t="b">
        <f t="shared" si="14"/>
        <v>0</v>
      </c>
      <c r="AX37" s="16">
        <v>12</v>
      </c>
      <c r="AY37" s="32">
        <f t="shared" si="17"/>
        <v>1.8437738003359867E-8</v>
      </c>
      <c r="AZ37" s="32">
        <f t="shared" si="18"/>
        <v>-1.1131355490102274E-4</v>
      </c>
      <c r="BA37" s="32">
        <f t="shared" si="15"/>
        <v>-1.2599220788146043E-4</v>
      </c>
      <c r="BB37" s="32">
        <f t="shared" si="15"/>
        <v>-3.1473618053568658E-4</v>
      </c>
      <c r="BC37" s="32">
        <f t="shared" si="15"/>
        <v>-3.1763067705322529E-4</v>
      </c>
      <c r="BD37" s="32">
        <f t="shared" si="15"/>
        <v>-3.0121225316039751E-4</v>
      </c>
      <c r="BE37" s="32">
        <f t="shared" si="15"/>
        <v>-3.1655527573466735E-4</v>
      </c>
      <c r="BF37" s="32">
        <f t="shared" si="15"/>
        <v>-2.561192588720132E-4</v>
      </c>
      <c r="BG37" s="32">
        <f t="shared" si="15"/>
        <v>-3.2838992576218057E-4</v>
      </c>
      <c r="BH37" s="32">
        <f t="shared" si="15"/>
        <v>-1.8214858111054166E-4</v>
      </c>
      <c r="BI37" s="32">
        <f t="shared" si="15"/>
        <v>-1.2095188615042496E-4</v>
      </c>
      <c r="BJ37" s="32">
        <f t="shared" si="15"/>
        <v>-3.1011745380900291E-4</v>
      </c>
      <c r="BK37" s="32">
        <f t="shared" si="15"/>
        <v>-8.9982112565549499E-5</v>
      </c>
    </row>
    <row r="38" spans="19:63" x14ac:dyDescent="0.2">
      <c r="S38" s="16">
        <v>13</v>
      </c>
      <c r="T38" s="26">
        <v>37342</v>
      </c>
      <c r="U38" s="26">
        <v>37522</v>
      </c>
      <c r="V38" s="26">
        <v>37633</v>
      </c>
      <c r="W38" s="26">
        <v>37757</v>
      </c>
      <c r="X38" s="26">
        <v>37842</v>
      </c>
      <c r="Y38" s="26">
        <v>38006</v>
      </c>
      <c r="Z38" s="26">
        <v>38215</v>
      </c>
      <c r="AA38" s="26">
        <v>38576</v>
      </c>
      <c r="AB38" s="26">
        <v>38987</v>
      </c>
      <c r="AC38" s="26">
        <v>39330</v>
      </c>
      <c r="AD38" s="26">
        <v>39775</v>
      </c>
      <c r="AE38" s="26">
        <v>40404</v>
      </c>
      <c r="AF38" s="26">
        <v>41435</v>
      </c>
      <c r="AH38" s="16">
        <v>13</v>
      </c>
      <c r="AI38" s="29">
        <f t="shared" si="16"/>
        <v>1.6930402272741698E-2</v>
      </c>
      <c r="AJ38" s="29">
        <f t="shared" si="13"/>
        <v>1.6919796233742283E-2</v>
      </c>
      <c r="AK38" s="29">
        <f t="shared" si="13"/>
        <v>1.6869112754506962E-2</v>
      </c>
      <c r="AL38" s="29">
        <f t="shared" si="13"/>
        <v>1.6750410586248845E-2</v>
      </c>
      <c r="AM38" s="29">
        <f t="shared" si="13"/>
        <v>1.6588412133624345E-2</v>
      </c>
      <c r="AN38" s="29">
        <f t="shared" si="13"/>
        <v>1.6448327945192437E-2</v>
      </c>
      <c r="AO38" s="29">
        <f t="shared" si="13"/>
        <v>1.6332131840028446E-2</v>
      </c>
      <c r="AP38" s="29">
        <f t="shared" si="13"/>
        <v>1.6227822200683844E-2</v>
      </c>
      <c r="AQ38" s="29">
        <f t="shared" si="13"/>
        <v>1.6119662664211803E-2</v>
      </c>
      <c r="AR38" s="29">
        <f t="shared" si="13"/>
        <v>1.5982353985774769E-2</v>
      </c>
      <c r="AS38" s="29">
        <f t="shared" si="13"/>
        <v>1.5902506738824665E-2</v>
      </c>
      <c r="AT38" s="29">
        <f t="shared" si="13"/>
        <v>1.5891414176176646E-2</v>
      </c>
      <c r="AU38" s="29">
        <f t="shared" si="13"/>
        <v>1.5944596615366381E-2</v>
      </c>
      <c r="AV38" s="29" t="b">
        <f t="shared" si="14"/>
        <v>0</v>
      </c>
      <c r="AX38" s="16">
        <v>13</v>
      </c>
      <c r="AY38" s="32">
        <f t="shared" si="17"/>
        <v>7.6760355930817113E-9</v>
      </c>
      <c r="AZ38" s="32">
        <f t="shared" si="18"/>
        <v>-1.0606038999414619E-5</v>
      </c>
      <c r="BA38" s="32">
        <f t="shared" si="15"/>
        <v>-5.068347923532085E-5</v>
      </c>
      <c r="BB38" s="32">
        <f t="shared" si="15"/>
        <v>-1.1870216825811755E-4</v>
      </c>
      <c r="BC38" s="32">
        <f t="shared" si="15"/>
        <v>-1.6199845262450038E-4</v>
      </c>
      <c r="BD38" s="32">
        <f t="shared" si="15"/>
        <v>-1.4008418843190762E-4</v>
      </c>
      <c r="BE38" s="32">
        <f t="shared" si="15"/>
        <v>-1.1619610516399106E-4</v>
      </c>
      <c r="BF38" s="32">
        <f t="shared" si="15"/>
        <v>-1.0430963934460191E-4</v>
      </c>
      <c r="BG38" s="32">
        <f t="shared" si="15"/>
        <v>-1.0815953647204044E-4</v>
      </c>
      <c r="BH38" s="32">
        <f t="shared" si="15"/>
        <v>-1.373086784370349E-4</v>
      </c>
      <c r="BI38" s="32">
        <f t="shared" si="15"/>
        <v>-7.9847246950103673E-5</v>
      </c>
      <c r="BJ38" s="32">
        <f t="shared" si="15"/>
        <v>-1.1092562648019194E-5</v>
      </c>
      <c r="BK38" s="32">
        <f t="shared" si="15"/>
        <v>5.3182439189735503E-5</v>
      </c>
    </row>
    <row r="39" spans="19:63" x14ac:dyDescent="0.2">
      <c r="S39" s="16">
        <v>14</v>
      </c>
      <c r="T39" s="26">
        <v>12093</v>
      </c>
      <c r="U39" s="26">
        <v>12186</v>
      </c>
      <c r="V39" s="26">
        <v>12291</v>
      </c>
      <c r="W39" s="26">
        <v>12438</v>
      </c>
      <c r="X39" s="26">
        <v>12484</v>
      </c>
      <c r="Y39" s="26">
        <v>12502</v>
      </c>
      <c r="Z39" s="26">
        <v>12533</v>
      </c>
      <c r="AA39" s="26">
        <v>12569</v>
      </c>
      <c r="AB39" s="26">
        <v>12626</v>
      </c>
      <c r="AC39" s="26">
        <v>12701</v>
      </c>
      <c r="AD39" s="26">
        <v>12775</v>
      </c>
      <c r="AE39" s="26">
        <v>12816</v>
      </c>
      <c r="AF39" s="26">
        <v>12902</v>
      </c>
      <c r="AH39" s="16">
        <v>14</v>
      </c>
      <c r="AI39" s="29">
        <f t="shared" si="16"/>
        <v>5.4828170607965658E-3</v>
      </c>
      <c r="AJ39" s="29">
        <f t="shared" si="13"/>
        <v>5.4950332312878698E-3</v>
      </c>
      <c r="AK39" s="29">
        <f t="shared" si="13"/>
        <v>5.5094801069711444E-3</v>
      </c>
      <c r="AL39" s="29">
        <f t="shared" si="13"/>
        <v>5.5179597656530742E-3</v>
      </c>
      <c r="AM39" s="29">
        <f t="shared" si="13"/>
        <v>5.4724839352086659E-3</v>
      </c>
      <c r="AN39" s="29">
        <f t="shared" si="13"/>
        <v>5.4106455815080738E-3</v>
      </c>
      <c r="AO39" s="29">
        <f t="shared" si="13"/>
        <v>5.356289633679877E-3</v>
      </c>
      <c r="AP39" s="29">
        <f t="shared" si="13"/>
        <v>5.2874195676170478E-3</v>
      </c>
      <c r="AQ39" s="29">
        <f t="shared" si="13"/>
        <v>5.2203775822283896E-3</v>
      </c>
      <c r="AR39" s="29">
        <f t="shared" si="13"/>
        <v>5.1612478508346136E-3</v>
      </c>
      <c r="AS39" s="29">
        <f t="shared" si="13"/>
        <v>5.1075933020360807E-3</v>
      </c>
      <c r="AT39" s="29">
        <f t="shared" si="13"/>
        <v>5.0406980517245783E-3</v>
      </c>
      <c r="AU39" s="29">
        <f t="shared" si="13"/>
        <v>4.9648168343539778E-3</v>
      </c>
      <c r="AV39" s="29" t="b">
        <f t="shared" si="14"/>
        <v>0</v>
      </c>
      <c r="AX39" s="16">
        <v>14</v>
      </c>
      <c r="AY39" s="32">
        <f t="shared" si="17"/>
        <v>2.4858416374896132E-9</v>
      </c>
      <c r="AZ39" s="32">
        <f t="shared" si="18"/>
        <v>1.2216170491304024E-5</v>
      </c>
      <c r="BA39" s="32">
        <f t="shared" si="15"/>
        <v>1.4446875683274581E-5</v>
      </c>
      <c r="BB39" s="32">
        <f t="shared" si="15"/>
        <v>8.4796586819297845E-6</v>
      </c>
      <c r="BC39" s="32">
        <f t="shared" si="15"/>
        <v>-4.5475830444408234E-5</v>
      </c>
      <c r="BD39" s="32">
        <f t="shared" si="15"/>
        <v>-6.1838353700592076E-5</v>
      </c>
      <c r="BE39" s="32">
        <f t="shared" si="15"/>
        <v>-5.435594782819686E-5</v>
      </c>
      <c r="BF39" s="32">
        <f t="shared" si="15"/>
        <v>-6.8870066062829208E-5</v>
      </c>
      <c r="BG39" s="32">
        <f t="shared" si="15"/>
        <v>-6.7041985388658146E-5</v>
      </c>
      <c r="BH39" s="32">
        <f t="shared" si="15"/>
        <v>-5.9129731393776051E-5</v>
      </c>
      <c r="BI39" s="32">
        <f t="shared" si="15"/>
        <v>-5.3654548798532861E-5</v>
      </c>
      <c r="BJ39" s="32">
        <f t="shared" si="15"/>
        <v>-6.6895250311502404E-5</v>
      </c>
      <c r="BK39" s="32">
        <f t="shared" si="15"/>
        <v>-7.5881217370600551E-5</v>
      </c>
    </row>
    <row r="40" spans="19:63" x14ac:dyDescent="0.2">
      <c r="S40" s="19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H40" s="19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35"/>
      <c r="AX40" s="19" t="s">
        <v>225</v>
      </c>
      <c r="AY40" s="27">
        <v>4411236</v>
      </c>
      <c r="AZ40" s="27">
        <v>4435278</v>
      </c>
      <c r="BA40" s="27">
        <v>4461764</v>
      </c>
      <c r="BB40" s="27">
        <v>4508188</v>
      </c>
      <c r="BC40" s="27">
        <v>4562462</v>
      </c>
      <c r="BD40" s="27">
        <v>4621260</v>
      </c>
      <c r="BE40" s="27">
        <v>4679732</v>
      </c>
      <c r="BF40" s="27">
        <v>4754304</v>
      </c>
      <c r="BG40" s="27">
        <v>4837198</v>
      </c>
      <c r="BH40" s="27">
        <v>4921678</v>
      </c>
      <c r="BI40" s="27">
        <v>5002356</v>
      </c>
      <c r="BJ40" s="27">
        <v>5085010</v>
      </c>
      <c r="BK40" s="27">
        <v>5197372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A187-A09D-464D-9279-9EC17E72B459}">
  <sheetPr>
    <tabColor theme="7"/>
  </sheetPr>
  <dimension ref="A1:X66"/>
  <sheetViews>
    <sheetView topLeftCell="B2" zoomScale="86" zoomScaleNormal="93" workbookViewId="0">
      <selection activeCell="J3" sqref="J3"/>
    </sheetView>
  </sheetViews>
  <sheetFormatPr baseColWidth="10" defaultRowHeight="16" x14ac:dyDescent="0.2"/>
  <cols>
    <col min="1" max="1" width="16.140625" bestFit="1" customWidth="1"/>
    <col min="2" max="2" width="16.140625" customWidth="1"/>
    <col min="3" max="3" width="12.140625" bestFit="1" customWidth="1"/>
    <col min="4" max="4" width="13.42578125" customWidth="1"/>
    <col min="7" max="8" width="11.42578125" bestFit="1" customWidth="1"/>
    <col min="12" max="12" width="18.42578125" bestFit="1" customWidth="1"/>
    <col min="15" max="18" width="20.7109375" customWidth="1"/>
  </cols>
  <sheetData>
    <row r="1" spans="1:24" ht="16" customHeight="1" x14ac:dyDescent="0.2">
      <c r="B1" s="51" t="s">
        <v>285</v>
      </c>
      <c r="C1" s="61" t="str">
        <f>COUNTY_PIVOT!AW72</f>
        <v>Change in Population (3-year rolling avg, 2010 baseline)</v>
      </c>
      <c r="D1" s="61"/>
      <c r="E1" s="61"/>
      <c r="F1" s="61"/>
      <c r="G1" s="61" t="str">
        <f>COUNTY_PIVOT!AW141</f>
        <v>Change in Housing (3-year rolling avg, 2010 baseline)</v>
      </c>
      <c r="H1" s="61"/>
      <c r="I1" s="61"/>
      <c r="J1" s="61"/>
    </row>
    <row r="2" spans="1:24" s="48" customFormat="1" ht="51" x14ac:dyDescent="0.2">
      <c r="A2" s="48" t="s">
        <v>133</v>
      </c>
      <c r="B2" s="50">
        <f>COUNTY_PIVOT!AE4</f>
        <v>2022</v>
      </c>
      <c r="C2" s="48" t="str">
        <f>COUNTY_PIVOT!BH73</f>
        <v>CY 20-22</v>
      </c>
      <c r="D2" s="48" t="str">
        <f>COUNTY_PIVOT!BI73</f>
        <v>CY 20-22 - Std Devs</v>
      </c>
      <c r="E2" s="48" t="str">
        <f>COUNTY_PIVOT!BJ73</f>
        <v>&gt;1% Dev</v>
      </c>
      <c r="F2" s="48" t="str">
        <f>COUNTY_PIVOT!BK73</f>
        <v>&lt;- 1% Dev</v>
      </c>
      <c r="G2" s="48" t="str" cm="1">
        <f t="array" ref="G2:K2">COUNTY_PIVOT!BH142:BL142</f>
        <v>CY 20-22</v>
      </c>
      <c r="H2" s="48" t="str">
        <v>CY 20-22 - Std Devs</v>
      </c>
      <c r="I2" s="48" t="str">
        <v>&gt;1% Dev</v>
      </c>
      <c r="J2" s="48" t="str">
        <v>&lt;- 1% Dev</v>
      </c>
      <c r="K2" s="48" t="str">
        <v>Stratum</v>
      </c>
      <c r="L2" s="48" t="s">
        <v>286</v>
      </c>
      <c r="N2" s="48" t="s">
        <v>261</v>
      </c>
      <c r="O2" s="48" t="s">
        <v>283</v>
      </c>
      <c r="P2" s="48" t="s">
        <v>282</v>
      </c>
      <c r="Q2" s="48" t="s">
        <v>281</v>
      </c>
      <c r="R2" s="48" t="s">
        <v>280</v>
      </c>
    </row>
    <row r="3" spans="1:24" ht="17" x14ac:dyDescent="0.2">
      <c r="A3" t="s">
        <v>146</v>
      </c>
      <c r="B3" s="23">
        <v>815.52317847863651</v>
      </c>
      <c r="C3" s="49">
        <v>1.127196390068805E-3</v>
      </c>
      <c r="D3" s="22">
        <f>_xlfn.XLOOKUP(PLOTS!A3,COUNTY_PIVOT!$AW$74:$AW$138,COUNTY_PIVOT!$BI$74:$BI$138)</f>
        <v>-0.18873227394953571</v>
      </c>
      <c r="E3" s="48" t="b">
        <f>_xlfn.XLOOKUP(PLOTS!A3,COUNTY_PIVOT!$AW$74:$AW$138,COUNTY_PIVOT!$BJ$74:$BJ$138)</f>
        <v>0</v>
      </c>
      <c r="F3" s="48" t="b">
        <f>_xlfn.XLOOKUP(PLOTS!A3,COUNTY_PIVOT!$AW$74:$AW$138,COUNTY_PIVOT!$BK$74:$BK$138)</f>
        <v>0</v>
      </c>
      <c r="G3" s="49">
        <v>1.3913231185349019E-2</v>
      </c>
      <c r="H3" s="22">
        <v>0.17380413143503393</v>
      </c>
      <c r="I3" s="48" t="b">
        <v>0</v>
      </c>
      <c r="J3" s="48" t="b">
        <v>0</v>
      </c>
      <c r="K3" s="48" t="s">
        <v>262</v>
      </c>
      <c r="L3" s="57" t="s">
        <v>287</v>
      </c>
      <c r="M3">
        <f>COUNTA(L3:L66)-COUNTIF(L3:L66,"--")</f>
        <v>29</v>
      </c>
      <c r="N3" t="s">
        <v>262</v>
      </c>
      <c r="O3">
        <f>COUNTIFS($K$3:$K$66,N3,$E$3:$E$66,TRUE)</f>
        <v>0</v>
      </c>
      <c r="P3">
        <f>COUNTIFS($K$3:$K$66,N3,$F$3:$F$66,TRUE)</f>
        <v>0</v>
      </c>
      <c r="Q3">
        <f>COUNTIFS($K$3:$K$66,N3,$I$3:$I$66,TRUE)</f>
        <v>2</v>
      </c>
      <c r="R3">
        <f>COUNTIFS($K$3:$K$66,N3,$J$3:$J$66,TRUE)</f>
        <v>0</v>
      </c>
      <c r="X3" t="str">
        <f>_xlfn.CONCAT(A3," CO")</f>
        <v>Arapahoe County CO</v>
      </c>
    </row>
    <row r="4" spans="1:24" ht="17" x14ac:dyDescent="0.2">
      <c r="A4" s="52" t="s">
        <v>160</v>
      </c>
      <c r="B4" s="53">
        <v>4578.1639470641139</v>
      </c>
      <c r="C4" s="54">
        <v>1.1995060365832646E-3</v>
      </c>
      <c r="D4" s="55">
        <v>-0.18357867541143846</v>
      </c>
      <c r="E4" s="56" t="b">
        <f>_xlfn.XLOOKUP(PLOTS!A4,COUNTY_PIVOT!$AW$74:$AW$138,COUNTY_PIVOT!$BJ$74:$BJ$138)</f>
        <v>0</v>
      </c>
      <c r="F4" s="56" t="b">
        <f>_xlfn.XLOOKUP(PLOTS!A4,COUNTY_PIVOT!$AW$74:$AW$138,COUNTY_PIVOT!$BK$74:$BK$138)</f>
        <v>0</v>
      </c>
      <c r="G4" s="54">
        <v>2.1530492541112421E-2</v>
      </c>
      <c r="H4" s="55">
        <v>1.0400644114162461</v>
      </c>
      <c r="I4" s="56" t="b">
        <v>1</v>
      </c>
      <c r="J4" s="56" t="b">
        <v>0</v>
      </c>
      <c r="K4" s="56" t="s">
        <v>262</v>
      </c>
      <c r="L4" t="s">
        <v>289</v>
      </c>
      <c r="M4">
        <f>SUM(O3:R6)</f>
        <v>37</v>
      </c>
      <c r="N4" t="s">
        <v>263</v>
      </c>
      <c r="O4">
        <f>COUNTIFS($K$3:$K$66,N4,$E$3:$E$66,TRUE)</f>
        <v>2</v>
      </c>
      <c r="P4">
        <f t="shared" ref="P4:P6" si="0">COUNTIFS($K$3:$K$66,N4,$F$3:$F$66,TRUE)</f>
        <v>0</v>
      </c>
      <c r="Q4">
        <f>COUNTIFS($K$3:$K$66,N4,$I$3:$I$66,TRUE)</f>
        <v>3</v>
      </c>
      <c r="R4">
        <f t="shared" ref="R4:R6" si="1">COUNTIFS($K$3:$K$66,N4,$J$3:$J$66,TRUE)</f>
        <v>0</v>
      </c>
      <c r="X4" t="str">
        <f t="shared" ref="X4:X66" si="2">_xlfn.CONCAT(A4," CO")</f>
        <v>Denver County CO</v>
      </c>
    </row>
    <row r="5" spans="1:24" ht="17" x14ac:dyDescent="0.2">
      <c r="A5" s="52" t="s">
        <v>165</v>
      </c>
      <c r="B5" s="53">
        <v>347.90566569576248</v>
      </c>
      <c r="C5" s="54">
        <v>6.8718190285785288E-3</v>
      </c>
      <c r="D5" s="55">
        <v>0.220694133989326</v>
      </c>
      <c r="E5" s="56" t="b">
        <f>_xlfn.XLOOKUP(PLOTS!A5,COUNTY_PIVOT!$AW$74:$AW$138,COUNTY_PIVOT!$BJ$74:$BJ$138)</f>
        <v>0</v>
      </c>
      <c r="F5" s="56" t="b">
        <f>_xlfn.XLOOKUP(PLOTS!A5,COUNTY_PIVOT!$AW$74:$AW$138,COUNTY_PIVOT!$BK$74:$BK$138)</f>
        <v>0</v>
      </c>
      <c r="G5" s="54">
        <v>2.2684847572775727E-2</v>
      </c>
      <c r="H5" s="55">
        <v>1.1713415025153684</v>
      </c>
      <c r="I5" s="56" t="b">
        <v>1</v>
      </c>
      <c r="J5" s="56" t="b">
        <v>0</v>
      </c>
      <c r="K5" s="56" t="s">
        <v>262</v>
      </c>
      <c r="L5" t="s">
        <v>289</v>
      </c>
      <c r="N5" t="s">
        <v>264</v>
      </c>
      <c r="O5">
        <f>COUNTIFS($K$3:$K$66,N5,$E$3:$E$66,TRUE)</f>
        <v>1</v>
      </c>
      <c r="P5">
        <f t="shared" si="0"/>
        <v>1</v>
      </c>
      <c r="Q5">
        <f>COUNTIFS($K$3:$K$66,N5,$I$3:$I$66,TRUE)</f>
        <v>3</v>
      </c>
      <c r="R5">
        <f t="shared" si="1"/>
        <v>2</v>
      </c>
      <c r="X5" t="str">
        <f t="shared" si="2"/>
        <v>El Paso County CO</v>
      </c>
    </row>
    <row r="6" spans="1:24" ht="17" x14ac:dyDescent="0.2">
      <c r="A6" s="52" t="s">
        <v>144</v>
      </c>
      <c r="B6" s="53">
        <v>446.16887565656481</v>
      </c>
      <c r="C6" s="54">
        <v>7.0620307837532537E-3</v>
      </c>
      <c r="D6" s="55">
        <v>0.2342507626087364</v>
      </c>
      <c r="E6" s="56" t="b">
        <f>_xlfn.XLOOKUP(PLOTS!A6,COUNTY_PIVOT!$AW$74:$AW$138,COUNTY_PIVOT!$BJ$74:$BJ$138)</f>
        <v>0</v>
      </c>
      <c r="F6" s="56" t="b">
        <f>_xlfn.XLOOKUP(PLOTS!A6,COUNTY_PIVOT!$AW$74:$AW$138,COUNTY_PIVOT!$BK$74:$BK$138)</f>
        <v>0</v>
      </c>
      <c r="G6" s="54">
        <v>2.3038900684513208E-2</v>
      </c>
      <c r="H6" s="55">
        <v>1.2116055992001791</v>
      </c>
      <c r="I6" s="56" t="b">
        <v>1</v>
      </c>
      <c r="J6" s="56" t="b">
        <v>0</v>
      </c>
      <c r="K6" s="56" t="s">
        <v>263</v>
      </c>
      <c r="L6" t="s">
        <v>289</v>
      </c>
      <c r="N6" t="s">
        <v>265</v>
      </c>
      <c r="O6">
        <f>COUNTIFS($K$3:$K$66,N6,$E$3:$E$66,TRUE)</f>
        <v>5</v>
      </c>
      <c r="P6">
        <f t="shared" si="0"/>
        <v>7</v>
      </c>
      <c r="Q6">
        <f>COUNTIFS($K$3:$K$66,N6,$I$3:$I$66,TRUE)</f>
        <v>3</v>
      </c>
      <c r="R6">
        <f t="shared" si="1"/>
        <v>8</v>
      </c>
      <c r="X6" t="str">
        <f t="shared" si="2"/>
        <v>Adams County CO</v>
      </c>
    </row>
    <row r="7" spans="1:24" ht="17" x14ac:dyDescent="0.2">
      <c r="A7" s="52" t="s">
        <v>162</v>
      </c>
      <c r="B7" s="53">
        <v>446.42763860857178</v>
      </c>
      <c r="C7" s="54">
        <v>2.3026039684271249E-2</v>
      </c>
      <c r="D7" s="55">
        <v>1.3720255533543821</v>
      </c>
      <c r="E7" s="56" t="b">
        <f>_xlfn.XLOOKUP(PLOTS!A7,COUNTY_PIVOT!$AW$74:$AW$138,COUNTY_PIVOT!$BJ$74:$BJ$138)</f>
        <v>1</v>
      </c>
      <c r="F7" s="56" t="b">
        <f>_xlfn.XLOOKUP(PLOTS!A7,COUNTY_PIVOT!$AW$74:$AW$138,COUNTY_PIVOT!$BK$74:$BK$138)</f>
        <v>0</v>
      </c>
      <c r="G7" s="54">
        <v>3.2484888197036446E-2</v>
      </c>
      <c r="H7" s="55">
        <v>2.2858346961322678</v>
      </c>
      <c r="I7" s="56" t="b">
        <v>1</v>
      </c>
      <c r="J7" s="56" t="b">
        <v>0</v>
      </c>
      <c r="K7" s="56" t="s">
        <v>263</v>
      </c>
      <c r="L7" t="s">
        <v>288</v>
      </c>
      <c r="X7" t="str">
        <f t="shared" si="2"/>
        <v>Douglas County CO</v>
      </c>
    </row>
    <row r="8" spans="1:24" ht="17" x14ac:dyDescent="0.2">
      <c r="A8" s="52" t="s">
        <v>174</v>
      </c>
      <c r="B8" s="53">
        <v>745.21058420133272</v>
      </c>
      <c r="C8" s="54">
        <v>-3.8022510279360562E-3</v>
      </c>
      <c r="D8" s="55">
        <v>-0.54006012896784239</v>
      </c>
      <c r="E8" s="56" t="b">
        <f>_xlfn.XLOOKUP(PLOTS!A8,COUNTY_PIVOT!$AW$74:$AW$138,COUNTY_PIVOT!$BJ$74:$BJ$138)</f>
        <v>0</v>
      </c>
      <c r="F8" s="56" t="b">
        <f>_xlfn.XLOOKUP(PLOTS!A8,COUNTY_PIVOT!$AW$74:$AW$138,COUNTY_PIVOT!$BK$74:$BK$138)</f>
        <v>0</v>
      </c>
      <c r="G8" s="54">
        <v>1.0116943540939867E-2</v>
      </c>
      <c r="H8" s="55">
        <v>-0.25792231776273122</v>
      </c>
      <c r="I8" s="56" t="b">
        <v>0</v>
      </c>
      <c r="J8" s="56" t="b">
        <v>0</v>
      </c>
      <c r="K8" s="56" t="s">
        <v>263</v>
      </c>
      <c r="L8" t="s">
        <v>290</v>
      </c>
      <c r="X8" t="str">
        <f t="shared" si="2"/>
        <v>Jefferson County CO</v>
      </c>
    </row>
    <row r="9" spans="1:24" ht="17" x14ac:dyDescent="0.2">
      <c r="A9" t="s">
        <v>179</v>
      </c>
      <c r="B9" s="23">
        <v>139.39127956682816</v>
      </c>
      <c r="C9" s="49">
        <v>9.2967613632005119E-3</v>
      </c>
      <c r="D9" s="22">
        <v>0.39352279341554691</v>
      </c>
      <c r="E9" s="48" t="b">
        <f>_xlfn.XLOOKUP(PLOTS!A9,COUNTY_PIVOT!$AW$74:$AW$138,COUNTY_PIVOT!$BJ$74:$BJ$138)</f>
        <v>0</v>
      </c>
      <c r="F9" s="48" t="b">
        <f>_xlfn.XLOOKUP(PLOTS!A9,COUNTY_PIVOT!$AW$74:$AW$138,COUNTY_PIVOT!$BK$74:$BK$138)</f>
        <v>0</v>
      </c>
      <c r="G9" s="49">
        <v>1.8607286028328961E-2</v>
      </c>
      <c r="H9" s="22">
        <v>0.70762765049419418</v>
      </c>
      <c r="I9" s="48" t="b">
        <v>0</v>
      </c>
      <c r="J9" s="48" t="b">
        <v>0</v>
      </c>
      <c r="K9" s="48" t="s">
        <v>263</v>
      </c>
      <c r="L9" s="57" t="s">
        <v>287</v>
      </c>
      <c r="X9" t="str">
        <f t="shared" si="2"/>
        <v>Larimer County CO</v>
      </c>
    </row>
    <row r="10" spans="1:24" ht="17" x14ac:dyDescent="0.2">
      <c r="A10" s="52" t="s">
        <v>206</v>
      </c>
      <c r="B10" s="53">
        <v>87.249616327506828</v>
      </c>
      <c r="C10" s="54">
        <v>2.8031012320035253E-2</v>
      </c>
      <c r="D10" s="55">
        <v>1.7287361846770255</v>
      </c>
      <c r="E10" s="56" t="b">
        <f>_xlfn.XLOOKUP(PLOTS!A10,COUNTY_PIVOT!$AW$74:$AW$138,COUNTY_PIVOT!$BJ$74:$BJ$138)</f>
        <v>1</v>
      </c>
      <c r="F10" s="56" t="b">
        <f>_xlfn.XLOOKUP(PLOTS!A10,COUNTY_PIVOT!$AW$74:$AW$138,COUNTY_PIVOT!$BK$74:$BK$138)</f>
        <v>0</v>
      </c>
      <c r="G10" s="54">
        <v>3.5020752705211967E-2</v>
      </c>
      <c r="H10" s="55">
        <v>2.5742216368251265</v>
      </c>
      <c r="I10" s="56" t="b">
        <v>1</v>
      </c>
      <c r="J10" s="56" t="b">
        <v>0</v>
      </c>
      <c r="K10" s="56" t="s">
        <v>263</v>
      </c>
      <c r="L10" t="s">
        <v>288</v>
      </c>
      <c r="X10" t="str">
        <f t="shared" si="2"/>
        <v>Weld County CO</v>
      </c>
    </row>
    <row r="11" spans="1:24" ht="17" x14ac:dyDescent="0.2">
      <c r="A11" t="s">
        <v>150</v>
      </c>
      <c r="B11" s="23">
        <v>442.17804667242871</v>
      </c>
      <c r="C11" s="49">
        <v>-1.3956901700198764E-3</v>
      </c>
      <c r="D11" s="22">
        <v>-0.36854154027278119</v>
      </c>
      <c r="E11" s="48" t="b">
        <f>_xlfn.XLOOKUP(PLOTS!A11,COUNTY_PIVOT!$AW$74:$AW$138,COUNTY_PIVOT!$BJ$74:$BJ$138)</f>
        <v>0</v>
      </c>
      <c r="F11" s="48" t="b">
        <f>_xlfn.XLOOKUP(PLOTS!A11,COUNTY_PIVOT!$AW$74:$AW$138,COUNTY_PIVOT!$BK$74:$BK$138)</f>
        <v>0</v>
      </c>
      <c r="G11" s="49">
        <v>1.0647361135346719E-2</v>
      </c>
      <c r="H11" s="22">
        <v>-0.19760146590037689</v>
      </c>
      <c r="I11" s="48" t="b">
        <v>0</v>
      </c>
      <c r="J11" s="48" t="b">
        <v>0</v>
      </c>
      <c r="K11" s="48" t="s">
        <v>264</v>
      </c>
      <c r="L11" s="57" t="s">
        <v>287</v>
      </c>
      <c r="X11" t="str">
        <f t="shared" si="2"/>
        <v>Boulder County CO</v>
      </c>
    </row>
    <row r="12" spans="1:24" ht="17" x14ac:dyDescent="0.2">
      <c r="A12" s="52" t="s">
        <v>151</v>
      </c>
      <c r="B12" s="53">
        <v>2268.5433422698839</v>
      </c>
      <c r="C12" s="54">
        <v>1.5763218617618962E-2</v>
      </c>
      <c r="D12" s="55">
        <v>0.85439525316924225</v>
      </c>
      <c r="E12" s="56" t="b">
        <f>_xlfn.XLOOKUP(PLOTS!A12,COUNTY_PIVOT!$AW$74:$AW$138,COUNTY_PIVOT!$BJ$74:$BJ$138)</f>
        <v>0</v>
      </c>
      <c r="F12" s="56" t="b">
        <f>_xlfn.XLOOKUP(PLOTS!A12,COUNTY_PIVOT!$AW$74:$AW$138,COUNTY_PIVOT!$BK$74:$BK$138)</f>
        <v>0</v>
      </c>
      <c r="G12" s="54">
        <v>2.7935191747388632E-2</v>
      </c>
      <c r="H12" s="55">
        <v>1.7684280933879071</v>
      </c>
      <c r="I12" s="56" t="b">
        <v>1</v>
      </c>
      <c r="J12" s="56" t="b">
        <v>0</v>
      </c>
      <c r="K12" s="56" t="s">
        <v>264</v>
      </c>
      <c r="L12" t="s">
        <v>289</v>
      </c>
      <c r="N12" t="s">
        <v>306</v>
      </c>
      <c r="X12" t="str">
        <f t="shared" si="2"/>
        <v>Broomfield County CO</v>
      </c>
    </row>
    <row r="13" spans="1:24" ht="17" x14ac:dyDescent="0.2">
      <c r="A13" s="52" t="s">
        <v>152</v>
      </c>
      <c r="B13" s="53">
        <v>19.978897960793596</v>
      </c>
      <c r="C13" s="54">
        <v>1.4777597176287835E-2</v>
      </c>
      <c r="D13" s="55">
        <v>0.78414878587188586</v>
      </c>
      <c r="E13" s="56" t="b">
        <f>_xlfn.XLOOKUP(PLOTS!A13,COUNTY_PIVOT!$AW$74:$AW$138,COUNTY_PIVOT!$BJ$74:$BJ$138)</f>
        <v>0</v>
      </c>
      <c r="F13" s="56" t="b">
        <f>_xlfn.XLOOKUP(PLOTS!A13,COUNTY_PIVOT!$AW$74:$AW$138,COUNTY_PIVOT!$BK$74:$BK$138)</f>
        <v>0</v>
      </c>
      <c r="G13" s="54">
        <v>3.2849786268406719E-2</v>
      </c>
      <c r="H13" s="55">
        <v>2.3273321176734951</v>
      </c>
      <c r="I13" s="56" t="b">
        <v>1</v>
      </c>
      <c r="J13" s="56" t="b">
        <v>0</v>
      </c>
      <c r="K13" s="56" t="s">
        <v>264</v>
      </c>
      <c r="L13" t="s">
        <v>289</v>
      </c>
      <c r="N13" t="s">
        <v>307</v>
      </c>
      <c r="X13" t="str">
        <f t="shared" si="2"/>
        <v>Chaffee County CO</v>
      </c>
    </row>
    <row r="14" spans="1:24" ht="17" x14ac:dyDescent="0.2">
      <c r="A14" t="s">
        <v>159</v>
      </c>
      <c r="B14" s="23">
        <v>27.475118318485521</v>
      </c>
      <c r="C14" s="49">
        <v>3.6822161401776055E-3</v>
      </c>
      <c r="D14" s="22">
        <v>-6.6328351652898687E-3</v>
      </c>
      <c r="E14" s="48" t="b">
        <f>_xlfn.XLOOKUP(PLOTS!A14,COUNTY_PIVOT!$AW$74:$AW$138,COUNTY_PIVOT!$BJ$74:$BJ$138)</f>
        <v>0</v>
      </c>
      <c r="F14" s="48" t="b">
        <f>_xlfn.XLOOKUP(PLOTS!A14,COUNTY_PIVOT!$AW$74:$AW$138,COUNTY_PIVOT!$BK$74:$BK$138)</f>
        <v>0</v>
      </c>
      <c r="G14" s="49">
        <v>7.9382227464730205E-3</v>
      </c>
      <c r="H14" s="22">
        <v>-0.50569368824193017</v>
      </c>
      <c r="I14" s="48" t="b">
        <v>0</v>
      </c>
      <c r="J14" s="48" t="b">
        <v>0</v>
      </c>
      <c r="K14" s="48" t="s">
        <v>264</v>
      </c>
      <c r="L14" s="57" t="s">
        <v>287</v>
      </c>
      <c r="N14" t="s">
        <v>308</v>
      </c>
      <c r="X14" t="str">
        <f t="shared" si="2"/>
        <v>Delta County CO</v>
      </c>
    </row>
    <row r="15" spans="1:24" ht="17" x14ac:dyDescent="0.2">
      <c r="A15" t="s">
        <v>163</v>
      </c>
      <c r="B15" s="23">
        <v>32.509583950704389</v>
      </c>
      <c r="C15" s="49">
        <v>2.911136628071334E-3</v>
      </c>
      <c r="D15" s="22">
        <v>-6.1588632045765222E-2</v>
      </c>
      <c r="E15" s="48" t="b">
        <f>_xlfn.XLOOKUP(PLOTS!A15,COUNTY_PIVOT!$AW$74:$AW$138,COUNTY_PIVOT!$BJ$74:$BJ$138)</f>
        <v>0</v>
      </c>
      <c r="F15" s="48" t="b">
        <f>_xlfn.XLOOKUP(PLOTS!A15,COUNTY_PIVOT!$AW$74:$AW$138,COUNTY_PIVOT!$BK$74:$BK$138)</f>
        <v>0</v>
      </c>
      <c r="G15" s="49">
        <v>1.714616924726443E-2</v>
      </c>
      <c r="H15" s="22">
        <v>0.5414645936243464</v>
      </c>
      <c r="I15" s="48" t="b">
        <v>0</v>
      </c>
      <c r="J15" s="48" t="b">
        <v>0</v>
      </c>
      <c r="K15" s="48" t="s">
        <v>264</v>
      </c>
      <c r="L15" s="57" t="s">
        <v>287</v>
      </c>
      <c r="N15" t="s">
        <v>309</v>
      </c>
      <c r="X15" t="str">
        <f t="shared" si="2"/>
        <v>Eagle County CO</v>
      </c>
    </row>
    <row r="16" spans="1:24" ht="17" x14ac:dyDescent="0.2">
      <c r="A16" s="52" t="s">
        <v>164</v>
      </c>
      <c r="B16" s="53">
        <v>15.045860644212258</v>
      </c>
      <c r="C16" s="54">
        <v>2.7242168150333885E-2</v>
      </c>
      <c r="D16" s="55">
        <v>1.6725142785313971</v>
      </c>
      <c r="E16" s="56" t="b">
        <f>_xlfn.XLOOKUP(PLOTS!A16,COUNTY_PIVOT!$AW$74:$AW$138,COUNTY_PIVOT!$BJ$74:$BJ$138)</f>
        <v>1</v>
      </c>
      <c r="F16" s="56" t="b">
        <f>_xlfn.XLOOKUP(PLOTS!A16,COUNTY_PIVOT!$AW$74:$AW$138,COUNTY_PIVOT!$BK$74:$BK$138)</f>
        <v>0</v>
      </c>
      <c r="G16" s="54">
        <v>2.9550936023521379E-2</v>
      </c>
      <c r="H16" s="55">
        <v>1.9521759029548957</v>
      </c>
      <c r="I16" s="56" t="b">
        <v>1</v>
      </c>
      <c r="J16" s="56" t="b">
        <v>0</v>
      </c>
      <c r="K16" s="56" t="s">
        <v>264</v>
      </c>
      <c r="L16" t="s">
        <v>288</v>
      </c>
      <c r="X16" t="str">
        <f t="shared" si="2"/>
        <v>Elbert County CO</v>
      </c>
    </row>
    <row r="17" spans="1:24" ht="17" x14ac:dyDescent="0.2">
      <c r="A17" t="s">
        <v>166</v>
      </c>
      <c r="B17" s="23">
        <v>32.333392038301731</v>
      </c>
      <c r="C17" s="49">
        <v>8.1409297922506851E-3</v>
      </c>
      <c r="D17" s="22">
        <v>0.31114523825570367</v>
      </c>
      <c r="E17" s="48" t="b">
        <f>_xlfn.XLOOKUP(PLOTS!A17,COUNTY_PIVOT!$AW$74:$AW$138,COUNTY_PIVOT!$BJ$74:$BJ$138)</f>
        <v>0</v>
      </c>
      <c r="F17" s="48" t="b">
        <f>_xlfn.XLOOKUP(PLOTS!A17,COUNTY_PIVOT!$AW$74:$AW$138,COUNTY_PIVOT!$BK$74:$BK$138)</f>
        <v>0</v>
      </c>
      <c r="G17" s="49">
        <v>8.1876804463587877E-3</v>
      </c>
      <c r="H17" s="22">
        <v>-0.47732452945193926</v>
      </c>
      <c r="I17" s="48" t="b">
        <v>0</v>
      </c>
      <c r="J17" s="48" t="b">
        <v>0</v>
      </c>
      <c r="K17" s="48" t="s">
        <v>264</v>
      </c>
      <c r="L17" s="57" t="s">
        <v>287</v>
      </c>
      <c r="X17" t="str">
        <f t="shared" si="2"/>
        <v>Fremont County CO</v>
      </c>
    </row>
    <row r="18" spans="1:24" ht="17" x14ac:dyDescent="0.2">
      <c r="A18" t="s">
        <v>167</v>
      </c>
      <c r="B18" s="23">
        <v>21.044340703731624</v>
      </c>
      <c r="C18" s="49">
        <v>9.2816356931372888E-3</v>
      </c>
      <c r="D18" s="22">
        <v>0.39244476807753093</v>
      </c>
      <c r="E18" s="48" t="b">
        <f>_xlfn.XLOOKUP(PLOTS!A18,COUNTY_PIVOT!$AW$74:$AW$138,COUNTY_PIVOT!$BJ$74:$BJ$138)</f>
        <v>0</v>
      </c>
      <c r="F18" s="48" t="b">
        <f>_xlfn.XLOOKUP(PLOTS!A18,COUNTY_PIVOT!$AW$74:$AW$138,COUNTY_PIVOT!$BK$74:$BK$138)</f>
        <v>0</v>
      </c>
      <c r="G18" s="49">
        <v>1.6171694628056316E-2</v>
      </c>
      <c r="H18" s="22">
        <v>0.4306441009244204</v>
      </c>
      <c r="I18" s="48" t="b">
        <v>0</v>
      </c>
      <c r="J18" s="48" t="b">
        <v>0</v>
      </c>
      <c r="K18" s="48" t="s">
        <v>264</v>
      </c>
      <c r="L18" s="57" t="s">
        <v>287</v>
      </c>
      <c r="X18" t="str">
        <f t="shared" si="2"/>
        <v>Garfield County CO</v>
      </c>
    </row>
    <row r="19" spans="1:24" ht="17" x14ac:dyDescent="0.2">
      <c r="A19" t="s">
        <v>178</v>
      </c>
      <c r="B19" s="23">
        <v>33.260215003175645</v>
      </c>
      <c r="C19" s="49">
        <v>6.2573284912035782E-3</v>
      </c>
      <c r="D19" s="22">
        <v>0.17689862830313974</v>
      </c>
      <c r="E19" s="48" t="b">
        <f>_xlfn.XLOOKUP(PLOTS!A19,COUNTY_PIVOT!$AW$74:$AW$138,COUNTY_PIVOT!$BJ$74:$BJ$138)</f>
        <v>0</v>
      </c>
      <c r="F19" s="48" t="b">
        <f>_xlfn.XLOOKUP(PLOTS!A19,COUNTY_PIVOT!$AW$74:$AW$138,COUNTY_PIVOT!$BK$74:$BK$138)</f>
        <v>0</v>
      </c>
      <c r="G19" s="49">
        <v>1.1344877690765183E-2</v>
      </c>
      <c r="H19" s="22">
        <v>-0.1182775647805665</v>
      </c>
      <c r="I19" s="48" t="b">
        <v>0</v>
      </c>
      <c r="J19" s="48" t="b">
        <v>0</v>
      </c>
      <c r="K19" s="48" t="s">
        <v>264</v>
      </c>
      <c r="L19" s="57" t="s">
        <v>287</v>
      </c>
      <c r="X19" t="str">
        <f t="shared" si="2"/>
        <v>La Plata County CO</v>
      </c>
    </row>
    <row r="20" spans="1:24" ht="17" x14ac:dyDescent="0.2">
      <c r="A20" s="52" t="s">
        <v>182</v>
      </c>
      <c r="B20" s="53">
        <v>11.276696056489154</v>
      </c>
      <c r="C20" s="54">
        <v>-1.0898969093412451E-2</v>
      </c>
      <c r="D20" s="55">
        <v>-1.0458520614483018</v>
      </c>
      <c r="E20" s="56" t="b">
        <f>_xlfn.XLOOKUP(PLOTS!A20,COUNTY_PIVOT!$AW$74:$AW$138,COUNTY_PIVOT!$BJ$74:$BJ$138)</f>
        <v>0</v>
      </c>
      <c r="F20" s="56" t="b">
        <f>_xlfn.XLOOKUP(PLOTS!A20,COUNTY_PIVOT!$AW$74:$AW$138,COUNTY_PIVOT!$BK$74:$BK$138)</f>
        <v>1</v>
      </c>
      <c r="G20" s="54">
        <v>2.2302345448558117E-3</v>
      </c>
      <c r="H20" s="55">
        <v>-1.1548250790036734</v>
      </c>
      <c r="I20" s="56" t="b">
        <v>0</v>
      </c>
      <c r="J20" s="56" t="b">
        <v>1</v>
      </c>
      <c r="K20" s="56" t="s">
        <v>264</v>
      </c>
      <c r="L20" t="s">
        <v>293</v>
      </c>
      <c r="X20" t="str">
        <f t="shared" si="2"/>
        <v>Logan County CO</v>
      </c>
    </row>
    <row r="21" spans="1:24" ht="17" x14ac:dyDescent="0.2">
      <c r="A21" s="52" t="s">
        <v>183</v>
      </c>
      <c r="B21" s="53">
        <v>47.384545489869055</v>
      </c>
      <c r="C21" s="54">
        <v>7.3079461430016375E-3</v>
      </c>
      <c r="D21" s="55">
        <v>0.25177745644570182</v>
      </c>
      <c r="E21" s="56" t="b">
        <f>_xlfn.XLOOKUP(PLOTS!A21,COUNTY_PIVOT!$AW$74:$AW$138,COUNTY_PIVOT!$BJ$74:$BJ$138)</f>
        <v>0</v>
      </c>
      <c r="F21" s="56" t="b">
        <f>_xlfn.XLOOKUP(PLOTS!A21,COUNTY_PIVOT!$AW$74:$AW$138,COUNTY_PIVOT!$BK$74:$BK$138)</f>
        <v>0</v>
      </c>
      <c r="G21" s="54">
        <v>1.6884912021043464E-2</v>
      </c>
      <c r="H21" s="55">
        <v>0.51175355347970797</v>
      </c>
      <c r="I21" s="56" t="b">
        <v>0</v>
      </c>
      <c r="J21" s="56" t="b">
        <v>0</v>
      </c>
      <c r="K21" s="56" t="s">
        <v>264</v>
      </c>
      <c r="L21" t="s">
        <v>290</v>
      </c>
      <c r="X21" t="str">
        <f t="shared" si="2"/>
        <v>Mesa County CO</v>
      </c>
    </row>
    <row r="22" spans="1:24" ht="17" x14ac:dyDescent="0.2">
      <c r="A22" s="52" t="s">
        <v>186</v>
      </c>
      <c r="B22" s="53">
        <v>12.999312309657137</v>
      </c>
      <c r="C22" s="54">
        <v>9.4122815992682476E-3</v>
      </c>
      <c r="D22" s="55">
        <v>0.40175606447157791</v>
      </c>
      <c r="E22" s="56" t="b">
        <f>_xlfn.XLOOKUP(PLOTS!A22,COUNTY_PIVOT!$AW$74:$AW$138,COUNTY_PIVOT!$BJ$74:$BJ$138)</f>
        <v>0</v>
      </c>
      <c r="F22" s="56" t="b">
        <f>_xlfn.XLOOKUP(PLOTS!A22,COUNTY_PIVOT!$AW$74:$AW$138,COUNTY_PIVOT!$BK$74:$BK$138)</f>
        <v>0</v>
      </c>
      <c r="G22" s="54">
        <v>3.372230234155628E-3</v>
      </c>
      <c r="H22" s="55">
        <v>-1.0249535333986781</v>
      </c>
      <c r="I22" s="56" t="b">
        <v>0</v>
      </c>
      <c r="J22" s="56" t="b">
        <v>1</v>
      </c>
      <c r="K22" s="56" t="s">
        <v>264</v>
      </c>
      <c r="L22" t="s">
        <v>291</v>
      </c>
      <c r="X22" t="str">
        <f t="shared" si="2"/>
        <v>Montezuma County CO</v>
      </c>
    </row>
    <row r="23" spans="1:24" ht="17" x14ac:dyDescent="0.2">
      <c r="A23" t="s">
        <v>187</v>
      </c>
      <c r="B23" s="23">
        <v>19.497157712459327</v>
      </c>
      <c r="C23" s="49">
        <v>1.0081021175066098E-2</v>
      </c>
      <c r="D23" s="22">
        <v>0.44941796667034467</v>
      </c>
      <c r="E23" s="48" t="b">
        <f>_xlfn.XLOOKUP(PLOTS!A23,COUNTY_PIVOT!$AW$74:$AW$138,COUNTY_PIVOT!$BJ$74:$BJ$138)</f>
        <v>0</v>
      </c>
      <c r="F23" s="48" t="b">
        <f>_xlfn.XLOOKUP(PLOTS!A23,COUNTY_PIVOT!$AW$74:$AW$138,COUNTY_PIVOT!$BK$74:$BK$138)</f>
        <v>0</v>
      </c>
      <c r="G23" s="49">
        <v>1.7470223766772822E-2</v>
      </c>
      <c r="H23" s="22">
        <v>0.57831715069016387</v>
      </c>
      <c r="I23" s="48" t="b">
        <v>0</v>
      </c>
      <c r="J23" s="48" t="b">
        <v>0</v>
      </c>
      <c r="K23" s="48" t="s">
        <v>264</v>
      </c>
      <c r="L23" s="57" t="s">
        <v>287</v>
      </c>
      <c r="X23" t="str">
        <f t="shared" si="2"/>
        <v>Montrose County CO</v>
      </c>
    </row>
    <row r="24" spans="1:24" ht="17" x14ac:dyDescent="0.2">
      <c r="A24" t="s">
        <v>188</v>
      </c>
      <c r="B24" s="23">
        <v>22.642851070078759</v>
      </c>
      <c r="C24" s="49">
        <v>1.9115370598661926E-3</v>
      </c>
      <c r="D24" s="22">
        <v>-0.13283133784926418</v>
      </c>
      <c r="E24" s="48" t="b">
        <f>_xlfn.XLOOKUP(PLOTS!A24,COUNTY_PIVOT!$AW$74:$AW$138,COUNTY_PIVOT!$BJ$74:$BJ$138)</f>
        <v>0</v>
      </c>
      <c r="F24" s="48" t="b">
        <f>_xlfn.XLOOKUP(PLOTS!A24,COUNTY_PIVOT!$AW$74:$AW$138,COUNTY_PIVOT!$BK$74:$BK$138)</f>
        <v>0</v>
      </c>
      <c r="G24" s="49">
        <v>1.3402345576472239E-2</v>
      </c>
      <c r="H24" s="22">
        <v>0.11570452188847165</v>
      </c>
      <c r="I24" s="48" t="b">
        <v>0</v>
      </c>
      <c r="J24" s="48" t="b">
        <v>0</v>
      </c>
      <c r="K24" s="48" t="s">
        <v>264</v>
      </c>
      <c r="L24" s="57" t="s">
        <v>287</v>
      </c>
      <c r="X24" t="str">
        <f t="shared" si="2"/>
        <v>Morgan County CO</v>
      </c>
    </row>
    <row r="25" spans="1:24" ht="17" x14ac:dyDescent="0.2">
      <c r="A25" t="s">
        <v>195</v>
      </c>
      <c r="B25" s="23">
        <v>70.671361874522802</v>
      </c>
      <c r="C25" s="49">
        <v>3.7657342246482472E-3</v>
      </c>
      <c r="D25" s="22">
        <v>-6.8039729869746044E-4</v>
      </c>
      <c r="E25" s="48" t="b">
        <f>_xlfn.XLOOKUP(PLOTS!A25,COUNTY_PIVOT!$AW$74:$AW$138,COUNTY_PIVOT!$BJ$74:$BJ$138)</f>
        <v>0</v>
      </c>
      <c r="F25" s="48" t="b">
        <f>_xlfn.XLOOKUP(PLOTS!A25,COUNTY_PIVOT!$AW$74:$AW$138,COUNTY_PIVOT!$BK$74:$BK$138)</f>
        <v>0</v>
      </c>
      <c r="G25" s="49">
        <v>1.1033881465688134E-2</v>
      </c>
      <c r="H25" s="22">
        <v>-0.15364508919989164</v>
      </c>
      <c r="I25" s="48" t="b">
        <v>0</v>
      </c>
      <c r="J25" s="48" t="b">
        <v>0</v>
      </c>
      <c r="K25" s="48" t="s">
        <v>264</v>
      </c>
      <c r="L25" s="57" t="s">
        <v>287</v>
      </c>
      <c r="X25" t="str">
        <f t="shared" si="2"/>
        <v>Pueblo County CO</v>
      </c>
    </row>
    <row r="26" spans="1:24" ht="17" x14ac:dyDescent="0.2">
      <c r="A26" t="s">
        <v>198</v>
      </c>
      <c r="B26" s="23">
        <v>10.595188200380168</v>
      </c>
      <c r="C26" s="49">
        <v>6.8495245590594689E-3</v>
      </c>
      <c r="D26" s="22">
        <v>0.21910517938839175</v>
      </c>
      <c r="E26" s="48" t="b">
        <f>_xlfn.XLOOKUP(PLOTS!A26,COUNTY_PIVOT!$AW$74:$AW$138,COUNTY_PIVOT!$BJ$74:$BJ$138)</f>
        <v>0</v>
      </c>
      <c r="F26" s="48" t="b">
        <f>_xlfn.XLOOKUP(PLOTS!A26,COUNTY_PIVOT!$AW$74:$AW$138,COUNTY_PIVOT!$BK$74:$BK$138)</f>
        <v>0</v>
      </c>
      <c r="G26" s="49">
        <v>1.4710625376964446E-2</v>
      </c>
      <c r="H26" s="22">
        <v>0.26448644932104592</v>
      </c>
      <c r="I26" s="48" t="b">
        <v>0</v>
      </c>
      <c r="J26" s="48" t="b">
        <v>0</v>
      </c>
      <c r="K26" s="48" t="s">
        <v>264</v>
      </c>
      <c r="L26" s="57" t="s">
        <v>287</v>
      </c>
      <c r="X26" t="str">
        <f t="shared" si="2"/>
        <v>Routt County CO</v>
      </c>
    </row>
    <row r="27" spans="1:24" ht="17" x14ac:dyDescent="0.2">
      <c r="A27" s="52" t="s">
        <v>203</v>
      </c>
      <c r="B27" s="53">
        <v>49.413494474245461</v>
      </c>
      <c r="C27" s="54">
        <v>-6.5150326112839926E-3</v>
      </c>
      <c r="D27" s="55">
        <v>-0.73340345003252738</v>
      </c>
      <c r="E27" s="56" t="b">
        <f>_xlfn.XLOOKUP(PLOTS!A27,COUNTY_PIVOT!$AW$74:$AW$138,COUNTY_PIVOT!$BJ$74:$BJ$138)</f>
        <v>0</v>
      </c>
      <c r="F27" s="56" t="b">
        <f>_xlfn.XLOOKUP(PLOTS!A27,COUNTY_PIVOT!$AW$74:$AW$138,COUNTY_PIVOT!$BK$74:$BK$138)</f>
        <v>0</v>
      </c>
      <c r="G27" s="54">
        <v>1.0850219455657631E-2</v>
      </c>
      <c r="H27" s="55">
        <v>-0.17453174344480055</v>
      </c>
      <c r="I27" s="56" t="b">
        <v>0</v>
      </c>
      <c r="J27" s="56" t="b">
        <v>0</v>
      </c>
      <c r="K27" s="56" t="s">
        <v>264</v>
      </c>
      <c r="L27" t="s">
        <v>290</v>
      </c>
      <c r="X27" t="str">
        <f t="shared" si="2"/>
        <v>Summit County CO</v>
      </c>
    </row>
    <row r="28" spans="1:24" ht="17" x14ac:dyDescent="0.2">
      <c r="A28" t="s">
        <v>204</v>
      </c>
      <c r="B28" s="23">
        <v>44.491388878943027</v>
      </c>
      <c r="C28" s="49">
        <v>2.3431768991803688E-3</v>
      </c>
      <c r="D28" s="22">
        <v>-0.1020678290769009</v>
      </c>
      <c r="E28" s="48" t="b">
        <f>_xlfn.XLOOKUP(PLOTS!A28,COUNTY_PIVOT!$AW$74:$AW$138,COUNTY_PIVOT!$BJ$74:$BJ$138)</f>
        <v>0</v>
      </c>
      <c r="F28" s="48" t="b">
        <f>_xlfn.XLOOKUP(PLOTS!A28,COUNTY_PIVOT!$AW$74:$AW$138,COUNTY_PIVOT!$BK$74:$BK$138)</f>
        <v>0</v>
      </c>
      <c r="G28" s="49">
        <v>1.0036785734053326E-2</v>
      </c>
      <c r="H28" s="22">
        <v>-0.26703812999407561</v>
      </c>
      <c r="I28" s="48" t="b">
        <v>0</v>
      </c>
      <c r="J28" s="48" t="b">
        <v>0</v>
      </c>
      <c r="K28" s="48" t="s">
        <v>264</v>
      </c>
      <c r="L28" s="57" t="s">
        <v>287</v>
      </c>
      <c r="X28" t="str">
        <f t="shared" si="2"/>
        <v>Teller County CO</v>
      </c>
    </row>
    <row r="29" spans="1:24" ht="17" x14ac:dyDescent="0.2">
      <c r="A29" t="s">
        <v>145</v>
      </c>
      <c r="B29" s="23">
        <v>22.918654332766415</v>
      </c>
      <c r="C29" s="49">
        <v>6.6974964266763451E-3</v>
      </c>
      <c r="D29" s="22">
        <v>0.2082699451068544</v>
      </c>
      <c r="E29" s="48" t="b">
        <f>_xlfn.XLOOKUP(PLOTS!A29,COUNTY_PIVOT!$AW$74:$AW$138,COUNTY_PIVOT!$BJ$74:$BJ$138)</f>
        <v>0</v>
      </c>
      <c r="F29" s="48" t="b">
        <f>_xlfn.XLOOKUP(PLOTS!A29,COUNTY_PIVOT!$AW$74:$AW$138,COUNTY_PIVOT!$BK$74:$BK$138)</f>
        <v>0</v>
      </c>
      <c r="G29" s="49">
        <v>1.0523756749418167E-2</v>
      </c>
      <c r="H29" s="22">
        <v>-0.21165816751011737</v>
      </c>
      <c r="I29" s="48" t="b">
        <v>0</v>
      </c>
      <c r="J29" s="48" t="b">
        <v>0</v>
      </c>
      <c r="K29" s="48" t="s">
        <v>265</v>
      </c>
      <c r="L29" s="57" t="s">
        <v>287</v>
      </c>
      <c r="X29" t="str">
        <f t="shared" si="2"/>
        <v>Alamosa County CO</v>
      </c>
    </row>
    <row r="30" spans="1:24" ht="17" x14ac:dyDescent="0.2">
      <c r="A30" s="52" t="s">
        <v>147</v>
      </c>
      <c r="B30" s="53">
        <v>10.325352705366438</v>
      </c>
      <c r="C30" s="54">
        <v>1.9643345636790266E-2</v>
      </c>
      <c r="D30" s="55">
        <v>1.1309367368789456</v>
      </c>
      <c r="E30" s="56" t="b">
        <f>_xlfn.XLOOKUP(PLOTS!A30,COUNTY_PIVOT!$AW$74:$AW$138,COUNTY_PIVOT!$BJ$74:$BJ$138)</f>
        <v>1</v>
      </c>
      <c r="F30" s="56" t="b">
        <f>_xlfn.XLOOKUP(PLOTS!A30,COUNTY_PIVOT!$AW$74:$AW$138,COUNTY_PIVOT!$BK$74:$BK$138)</f>
        <v>0</v>
      </c>
      <c r="G30" s="54">
        <v>1.6312394022990284E-2</v>
      </c>
      <c r="H30" s="55">
        <v>0.44664490377943439</v>
      </c>
      <c r="I30" s="56" t="b">
        <v>0</v>
      </c>
      <c r="J30" s="56" t="b">
        <v>0</v>
      </c>
      <c r="K30" s="56" t="s">
        <v>265</v>
      </c>
      <c r="L30" t="s">
        <v>292</v>
      </c>
      <c r="X30" t="str">
        <f t="shared" si="2"/>
        <v>Archuleta County CO</v>
      </c>
    </row>
    <row r="31" spans="1:24" ht="17" x14ac:dyDescent="0.2">
      <c r="A31" s="52" t="s">
        <v>148</v>
      </c>
      <c r="B31" s="53">
        <v>1.3410306119258311</v>
      </c>
      <c r="C31" s="54">
        <v>-1.2617733051902858E-2</v>
      </c>
      <c r="D31" s="55">
        <v>-1.1683505087618162</v>
      </c>
      <c r="E31" s="56" t="b">
        <f>_xlfn.XLOOKUP(PLOTS!A31,COUNTY_PIVOT!$AW$74:$AW$138,COUNTY_PIVOT!$BJ$74:$BJ$138)</f>
        <v>0</v>
      </c>
      <c r="F31" s="56" t="b">
        <f>_xlfn.XLOOKUP(PLOTS!A31,COUNTY_PIVOT!$AW$74:$AW$138,COUNTY_PIVOT!$BK$74:$BK$138)</f>
        <v>1</v>
      </c>
      <c r="G31" s="54">
        <v>2.0274601944321471E-3</v>
      </c>
      <c r="H31" s="55">
        <v>-1.1778852521245691</v>
      </c>
      <c r="I31" s="56" t="b">
        <v>0</v>
      </c>
      <c r="J31" s="56" t="b">
        <v>1</v>
      </c>
      <c r="K31" s="56" t="s">
        <v>265</v>
      </c>
      <c r="L31" t="s">
        <v>293</v>
      </c>
      <c r="X31" t="str">
        <f t="shared" si="2"/>
        <v>Baca County CO</v>
      </c>
    </row>
    <row r="32" spans="1:24" ht="17" x14ac:dyDescent="0.2">
      <c r="A32" s="52" t="s">
        <v>149</v>
      </c>
      <c r="B32" s="53">
        <v>3.5040588681889857</v>
      </c>
      <c r="C32" s="54">
        <v>-3.2616480972007991E-2</v>
      </c>
      <c r="D32" s="55">
        <v>-2.5936861729905063</v>
      </c>
      <c r="E32" s="56" t="b">
        <f>_xlfn.XLOOKUP(PLOTS!A32,COUNTY_PIVOT!$AW$74:$AW$138,COUNTY_PIVOT!$BJ$74:$BJ$138)</f>
        <v>0</v>
      </c>
      <c r="F32" s="56" t="b">
        <f>_xlfn.XLOOKUP(PLOTS!A32,COUNTY_PIVOT!$AW$74:$AW$138,COUNTY_PIVOT!$BK$74:$BK$138)</f>
        <v>1</v>
      </c>
      <c r="G32" s="54">
        <v>5.6037777488732151E-3</v>
      </c>
      <c r="H32" s="55">
        <v>-0.77117453270468117</v>
      </c>
      <c r="I32" s="56" t="b">
        <v>0</v>
      </c>
      <c r="J32" s="56" t="b">
        <v>0</v>
      </c>
      <c r="K32" s="56" t="s">
        <v>265</v>
      </c>
      <c r="L32" t="s">
        <v>290</v>
      </c>
      <c r="X32" t="str">
        <f t="shared" si="2"/>
        <v>Bent County CO</v>
      </c>
    </row>
    <row r="33" spans="1:24" ht="17" x14ac:dyDescent="0.2">
      <c r="A33" s="52" t="s">
        <v>153</v>
      </c>
      <c r="B33" s="53">
        <v>0.96638419664403163</v>
      </c>
      <c r="C33" s="54">
        <v>-1.0376389007779922E-2</v>
      </c>
      <c r="D33" s="55">
        <v>-1.0086071280933033</v>
      </c>
      <c r="E33" s="56" t="b">
        <f>_xlfn.XLOOKUP(PLOTS!A33,COUNTY_PIVOT!$AW$74:$AW$138,COUNTY_PIVOT!$BJ$74:$BJ$138)</f>
        <v>0</v>
      </c>
      <c r="F33" s="56" t="b">
        <f>_xlfn.XLOOKUP(PLOTS!A33,COUNTY_PIVOT!$AW$74:$AW$138,COUNTY_PIVOT!$BK$74:$BK$138)</f>
        <v>1</v>
      </c>
      <c r="G33" s="54">
        <v>1.4562259470061059E-2</v>
      </c>
      <c r="H33" s="55">
        <v>0.24761378524256447</v>
      </c>
      <c r="I33" s="56" t="b">
        <v>0</v>
      </c>
      <c r="J33" s="56" t="b">
        <v>0</v>
      </c>
      <c r="K33" s="56" t="s">
        <v>265</v>
      </c>
      <c r="L33" t="s">
        <v>290</v>
      </c>
      <c r="X33" t="str">
        <f t="shared" si="2"/>
        <v>Cheyenne County CO</v>
      </c>
    </row>
    <row r="34" spans="1:24" ht="17" x14ac:dyDescent="0.2">
      <c r="A34" t="s">
        <v>154</v>
      </c>
      <c r="B34" s="23">
        <v>23.619902655536784</v>
      </c>
      <c r="C34" s="49">
        <v>-1.6811021577799259E-3</v>
      </c>
      <c r="D34" s="22">
        <v>-0.38888320800008069</v>
      </c>
      <c r="E34" s="48" t="b">
        <f>_xlfn.XLOOKUP(PLOTS!A34,COUNTY_PIVOT!$AW$74:$AW$138,COUNTY_PIVOT!$BJ$74:$BJ$138)</f>
        <v>0</v>
      </c>
      <c r="F34" s="48" t="b">
        <f>_xlfn.XLOOKUP(PLOTS!A34,COUNTY_PIVOT!$AW$74:$AW$138,COUNTY_PIVOT!$BK$74:$BK$138)</f>
        <v>0</v>
      </c>
      <c r="G34" s="49">
        <v>1.3661655710413487E-2</v>
      </c>
      <c r="H34" s="22">
        <v>0.14519413222722549</v>
      </c>
      <c r="I34" s="48" t="b">
        <v>0</v>
      </c>
      <c r="J34" s="48" t="b">
        <v>0</v>
      </c>
      <c r="K34" s="48" t="s">
        <v>265</v>
      </c>
      <c r="L34" s="57" t="s">
        <v>287</v>
      </c>
      <c r="X34" t="str">
        <f t="shared" si="2"/>
        <v>Clear Creek County CO</v>
      </c>
    </row>
    <row r="35" spans="1:24" ht="17" x14ac:dyDescent="0.2">
      <c r="A35" t="s">
        <v>155</v>
      </c>
      <c r="B35" s="23">
        <v>5.8687665669420719</v>
      </c>
      <c r="C35" s="49">
        <v>1.0057090943701092E-3</v>
      </c>
      <c r="D35" s="22">
        <v>-0.19739082477490844</v>
      </c>
      <c r="E35" s="48" t="b">
        <f>_xlfn.XLOOKUP(PLOTS!A35,COUNTY_PIVOT!$AW$74:$AW$138,COUNTY_PIVOT!$BJ$74:$BJ$138)</f>
        <v>0</v>
      </c>
      <c r="F35" s="48" t="b">
        <f>_xlfn.XLOOKUP(PLOTS!A35,COUNTY_PIVOT!$AW$74:$AW$138,COUNTY_PIVOT!$BK$74:$BK$138)</f>
        <v>0</v>
      </c>
      <c r="G35" s="49">
        <v>1.1681870489604354E-2</v>
      </c>
      <c r="H35" s="22">
        <v>-7.9953623584404637E-2</v>
      </c>
      <c r="I35" s="48" t="b">
        <v>0</v>
      </c>
      <c r="J35" s="48" t="b">
        <v>0</v>
      </c>
      <c r="K35" s="48" t="s">
        <v>265</v>
      </c>
      <c r="L35" s="57" t="s">
        <v>287</v>
      </c>
      <c r="X35" t="str">
        <f t="shared" si="2"/>
        <v>Conejos County CO</v>
      </c>
    </row>
    <row r="36" spans="1:24" ht="17" x14ac:dyDescent="0.2">
      <c r="A36" t="s">
        <v>156</v>
      </c>
      <c r="B36" s="23">
        <v>2.9396931786754297</v>
      </c>
      <c r="C36" s="49">
        <v>1.0761794274248645E-2</v>
      </c>
      <c r="D36" s="22">
        <v>0.49793751306339096</v>
      </c>
      <c r="E36" s="48" t="b">
        <f>_xlfn.XLOOKUP(PLOTS!A36,COUNTY_PIVOT!$AW$74:$AW$138,COUNTY_PIVOT!$BJ$74:$BJ$138)</f>
        <v>0</v>
      </c>
      <c r="F36" s="48" t="b">
        <f>_xlfn.XLOOKUP(PLOTS!A36,COUNTY_PIVOT!$AW$74:$AW$138,COUNTY_PIVOT!$BK$74:$BK$138)</f>
        <v>0</v>
      </c>
      <c r="G36" s="49">
        <v>7.0204998595900028E-3</v>
      </c>
      <c r="H36" s="22">
        <v>-0.61006018530782691</v>
      </c>
      <c r="I36" s="48" t="b">
        <v>0</v>
      </c>
      <c r="J36" s="48" t="b">
        <v>0</v>
      </c>
      <c r="K36" s="48" t="s">
        <v>265</v>
      </c>
      <c r="L36" s="57" t="s">
        <v>287</v>
      </c>
      <c r="X36" t="str">
        <f t="shared" si="2"/>
        <v>Costilla County CO</v>
      </c>
    </row>
    <row r="37" spans="1:24" ht="17" x14ac:dyDescent="0.2">
      <c r="A37" t="s">
        <v>157</v>
      </c>
      <c r="B37" s="23">
        <v>7.0226298624214332</v>
      </c>
      <c r="C37" s="49">
        <v>-1.2606103895677012E-2</v>
      </c>
      <c r="D37" s="22">
        <v>-1.1675216843184157</v>
      </c>
      <c r="E37" s="48" t="b">
        <f>_xlfn.XLOOKUP(PLOTS!A37,COUNTY_PIVOT!$AW$74:$AW$138,COUNTY_PIVOT!$BJ$74:$BJ$138)</f>
        <v>0</v>
      </c>
      <c r="F37" s="48" t="b">
        <f>_xlfn.XLOOKUP(PLOTS!A37,COUNTY_PIVOT!$AW$74:$AW$138,COUNTY_PIVOT!$BK$74:$BK$138)</f>
        <v>1</v>
      </c>
      <c r="G37" s="49">
        <v>5.939962332904415E-3</v>
      </c>
      <c r="H37" s="22">
        <v>-0.73294250438286346</v>
      </c>
      <c r="I37" s="48" t="b">
        <v>0</v>
      </c>
      <c r="J37" s="48" t="b">
        <v>0</v>
      </c>
      <c r="K37" s="48" t="s">
        <v>265</v>
      </c>
      <c r="L37" s="57" t="s">
        <v>287</v>
      </c>
      <c r="X37" t="str">
        <f t="shared" si="2"/>
        <v>Crowley County CO</v>
      </c>
    </row>
    <row r="38" spans="1:24" ht="17" x14ac:dyDescent="0.2">
      <c r="A38" s="52" t="s">
        <v>158</v>
      </c>
      <c r="B38" s="53">
        <v>7.2209296033764403</v>
      </c>
      <c r="C38" s="54">
        <v>4.7638820205734372E-2</v>
      </c>
      <c r="D38" s="55">
        <v>3.1262090659035104</v>
      </c>
      <c r="E38" s="56" t="b">
        <f>_xlfn.XLOOKUP(PLOTS!A38,COUNTY_PIVOT!$AW$74:$AW$138,COUNTY_PIVOT!$BJ$74:$BJ$138)</f>
        <v>1</v>
      </c>
      <c r="F38" s="56" t="b">
        <f>_xlfn.XLOOKUP(PLOTS!A38,COUNTY_PIVOT!$AW$74:$AW$138,COUNTY_PIVOT!$BK$74:$BK$138)</f>
        <v>0</v>
      </c>
      <c r="G38" s="54">
        <v>2.839633444140573E-2</v>
      </c>
      <c r="H38" s="55">
        <v>1.8208707733188367</v>
      </c>
      <c r="I38" s="56" t="b">
        <v>1</v>
      </c>
      <c r="J38" s="56" t="b">
        <v>0</v>
      </c>
      <c r="K38" s="56" t="s">
        <v>265</v>
      </c>
      <c r="L38" t="s">
        <v>288</v>
      </c>
      <c r="X38" t="str">
        <f t="shared" si="2"/>
        <v>Custer County CO</v>
      </c>
    </row>
    <row r="39" spans="1:24" ht="17" x14ac:dyDescent="0.2">
      <c r="A39" s="52" t="s">
        <v>161</v>
      </c>
      <c r="B39" s="53">
        <v>2.0456297066661713</v>
      </c>
      <c r="C39" s="54">
        <v>1.8665556274277368E-2</v>
      </c>
      <c r="D39" s="55">
        <v>1.0612484715904984</v>
      </c>
      <c r="E39" s="56" t="b">
        <f>_xlfn.XLOOKUP(PLOTS!A39,COUNTY_PIVOT!$AW$74:$AW$138,COUNTY_PIVOT!$BJ$74:$BJ$138)</f>
        <v>1</v>
      </c>
      <c r="F39" s="56" t="b">
        <f>_xlfn.XLOOKUP(PLOTS!A39,COUNTY_PIVOT!$AW$74:$AW$138,COUNTY_PIVOT!$BK$74:$BK$138)</f>
        <v>0</v>
      </c>
      <c r="G39" s="54">
        <v>9.7823584955968722E-3</v>
      </c>
      <c r="H39" s="55">
        <v>-0.29597244122830607</v>
      </c>
      <c r="I39" s="56" t="b">
        <v>0</v>
      </c>
      <c r="J39" s="56" t="b">
        <v>0</v>
      </c>
      <c r="K39" s="56" t="s">
        <v>265</v>
      </c>
      <c r="L39" t="s">
        <v>292</v>
      </c>
      <c r="X39" t="str">
        <f t="shared" si="2"/>
        <v>Dolores County CO</v>
      </c>
    </row>
    <row r="40" spans="1:24" ht="17" x14ac:dyDescent="0.2">
      <c r="A40" t="s">
        <v>168</v>
      </c>
      <c r="B40" s="23">
        <v>39.260739260739257</v>
      </c>
      <c r="C40" s="49">
        <v>8.2940845098218845E-3</v>
      </c>
      <c r="D40" s="22">
        <v>0.32206076566627945</v>
      </c>
      <c r="E40" s="48" t="b">
        <f>_xlfn.XLOOKUP(PLOTS!A40,COUNTY_PIVOT!$AW$74:$AW$138,COUNTY_PIVOT!$BJ$74:$BJ$138)</f>
        <v>0</v>
      </c>
      <c r="F40" s="48" t="b">
        <f>_xlfn.XLOOKUP(PLOTS!A40,COUNTY_PIVOT!$AW$74:$AW$138,COUNTY_PIVOT!$BK$74:$BK$138)</f>
        <v>0</v>
      </c>
      <c r="G40" s="49">
        <v>6.9235293866525454E-3</v>
      </c>
      <c r="H40" s="22">
        <v>-0.62108798980519453</v>
      </c>
      <c r="I40" s="48" t="b">
        <v>0</v>
      </c>
      <c r="J40" s="48" t="b">
        <v>0</v>
      </c>
      <c r="K40" s="48" t="s">
        <v>265</v>
      </c>
      <c r="L40" s="57" t="s">
        <v>287</v>
      </c>
      <c r="X40" t="str">
        <f t="shared" si="2"/>
        <v>Gilpin County CO</v>
      </c>
    </row>
    <row r="41" spans="1:24" ht="17" x14ac:dyDescent="0.2">
      <c r="A41" t="s">
        <v>169</v>
      </c>
      <c r="B41" s="23">
        <v>8.4280156058505877</v>
      </c>
      <c r="C41" s="49">
        <v>7.372227512675745E-3</v>
      </c>
      <c r="D41" s="22">
        <v>0.25635886969757166</v>
      </c>
      <c r="E41" s="48" t="b">
        <f>_xlfn.XLOOKUP(PLOTS!A41,COUNTY_PIVOT!$AW$74:$AW$138,COUNTY_PIVOT!$BJ$74:$BJ$138)</f>
        <v>0</v>
      </c>
      <c r="F41" s="48" t="b">
        <f>_xlfn.XLOOKUP(PLOTS!A41,COUNTY_PIVOT!$AW$74:$AW$138,COUNTY_PIVOT!$BK$74:$BK$138)</f>
        <v>0</v>
      </c>
      <c r="G41" s="49">
        <v>1.7705066188510397E-2</v>
      </c>
      <c r="H41" s="22">
        <v>0.60502421147020835</v>
      </c>
      <c r="I41" s="48" t="b">
        <v>0</v>
      </c>
      <c r="J41" s="48" t="b">
        <v>0</v>
      </c>
      <c r="K41" s="48" t="s">
        <v>265</v>
      </c>
      <c r="L41" s="57" t="s">
        <v>287</v>
      </c>
      <c r="X41" t="str">
        <f t="shared" si="2"/>
        <v>Grand County CO</v>
      </c>
    </row>
    <row r="42" spans="1:24" ht="17" x14ac:dyDescent="0.2">
      <c r="A42" t="s">
        <v>170</v>
      </c>
      <c r="B42" s="23">
        <v>5.2985070047434668</v>
      </c>
      <c r="C42" s="49">
        <v>6.4702424413716339E-3</v>
      </c>
      <c r="D42" s="22">
        <v>0.19207327062568494</v>
      </c>
      <c r="E42" s="48" t="b">
        <f>_xlfn.XLOOKUP(PLOTS!A42,COUNTY_PIVOT!$AW$74:$AW$138,COUNTY_PIVOT!$BJ$74:$BJ$138)</f>
        <v>0</v>
      </c>
      <c r="F42" s="48" t="b">
        <f>_xlfn.XLOOKUP(PLOTS!A42,COUNTY_PIVOT!$AW$74:$AW$138,COUNTY_PIVOT!$BK$74:$BK$138)</f>
        <v>0</v>
      </c>
      <c r="G42" s="49">
        <v>2.0278526726733557E-2</v>
      </c>
      <c r="H42" s="22">
        <v>0.89768669766349929</v>
      </c>
      <c r="I42" s="48" t="b">
        <v>0</v>
      </c>
      <c r="J42" s="48" t="b">
        <v>0</v>
      </c>
      <c r="K42" s="48" t="s">
        <v>265</v>
      </c>
      <c r="L42" s="57" t="s">
        <v>287</v>
      </c>
      <c r="X42" t="str">
        <f t="shared" si="2"/>
        <v>Gunnison County CO</v>
      </c>
    </row>
    <row r="43" spans="1:24" ht="17" x14ac:dyDescent="0.2">
      <c r="A43" t="s">
        <v>171</v>
      </c>
      <c r="B43" s="23">
        <v>0.69346152134241335</v>
      </c>
      <c r="C43" s="49">
        <v>-7.9700725418490274E-3</v>
      </c>
      <c r="D43" s="22">
        <v>-0.83710595751932004</v>
      </c>
      <c r="E43" s="48" t="b">
        <f>_xlfn.XLOOKUP(PLOTS!A43,COUNTY_PIVOT!$AW$74:$AW$138,COUNTY_PIVOT!$BJ$74:$BJ$138)</f>
        <v>0</v>
      </c>
      <c r="F43" s="48" t="b">
        <f>_xlfn.XLOOKUP(PLOTS!A43,COUNTY_PIVOT!$AW$74:$AW$138,COUNTY_PIVOT!$BK$74:$BK$138)</f>
        <v>0</v>
      </c>
      <c r="G43" s="49">
        <v>9.2515272379180558E-3</v>
      </c>
      <c r="H43" s="22">
        <v>-0.35634033625290124</v>
      </c>
      <c r="I43" s="48" t="b">
        <v>0</v>
      </c>
      <c r="J43" s="48" t="b">
        <v>0</v>
      </c>
      <c r="K43" s="48" t="s">
        <v>265</v>
      </c>
      <c r="L43" s="57" t="s">
        <v>287</v>
      </c>
      <c r="X43" t="str">
        <f t="shared" si="2"/>
        <v>Hinsdale County CO</v>
      </c>
    </row>
    <row r="44" spans="1:24" ht="17" x14ac:dyDescent="0.2">
      <c r="A44" t="s">
        <v>172</v>
      </c>
      <c r="B44" s="23">
        <v>4.4612747037434772</v>
      </c>
      <c r="C44" s="49">
        <v>1.5799027213336297E-2</v>
      </c>
      <c r="D44" s="22">
        <v>0.85694737637044294</v>
      </c>
      <c r="E44" s="48" t="b">
        <f>_xlfn.XLOOKUP(PLOTS!A44,COUNTY_PIVOT!$AW$74:$AW$138,COUNTY_PIVOT!$BJ$74:$BJ$138)</f>
        <v>0</v>
      </c>
      <c r="F44" s="48" t="b">
        <f>_xlfn.XLOOKUP(PLOTS!A44,COUNTY_PIVOT!$AW$74:$AW$138,COUNTY_PIVOT!$BK$74:$BK$138)</f>
        <v>0</v>
      </c>
      <c r="G44" s="49">
        <v>5.1840743658216294E-3</v>
      </c>
      <c r="H44" s="22">
        <v>-0.81890459645472458</v>
      </c>
      <c r="I44" s="48" t="b">
        <v>0</v>
      </c>
      <c r="J44" s="48" t="b">
        <v>0</v>
      </c>
      <c r="K44" s="48" t="s">
        <v>265</v>
      </c>
      <c r="L44" s="57" t="s">
        <v>287</v>
      </c>
      <c r="X44" t="str">
        <f t="shared" si="2"/>
        <v>Huerfano County CO</v>
      </c>
    </row>
    <row r="45" spans="1:24" ht="17" x14ac:dyDescent="0.2">
      <c r="A45" t="s">
        <v>173</v>
      </c>
      <c r="B45" s="23">
        <v>0.81123630189844109</v>
      </c>
      <c r="C45" s="49">
        <v>-1.5879846787341726E-2</v>
      </c>
      <c r="D45" s="22">
        <v>-1.400845416266348</v>
      </c>
      <c r="E45" s="48" t="b">
        <f>_xlfn.XLOOKUP(PLOTS!A45,COUNTY_PIVOT!$AW$74:$AW$138,COUNTY_PIVOT!$BJ$74:$BJ$138)</f>
        <v>0</v>
      </c>
      <c r="F45" s="48" t="b">
        <f>_xlfn.XLOOKUP(PLOTS!A45,COUNTY_PIVOT!$AW$74:$AW$138,COUNTY_PIVOT!$BK$74:$BK$138)</f>
        <v>1</v>
      </c>
      <c r="G45" s="49">
        <v>3.6405513956538501E-3</v>
      </c>
      <c r="H45" s="22">
        <v>-0.9944391590548769</v>
      </c>
      <c r="I45" s="48" t="b">
        <v>0</v>
      </c>
      <c r="J45" s="48" t="b">
        <v>0</v>
      </c>
      <c r="K45" s="48" t="s">
        <v>265</v>
      </c>
      <c r="L45" s="57" t="s">
        <v>287</v>
      </c>
      <c r="X45" t="str">
        <f t="shared" si="2"/>
        <v>Jackson County CO</v>
      </c>
    </row>
    <row r="46" spans="1:24" ht="17" x14ac:dyDescent="0.2">
      <c r="A46" t="s">
        <v>175</v>
      </c>
      <c r="B46" s="23">
        <v>0.79959684192843938</v>
      </c>
      <c r="C46" s="49">
        <v>-6.1936080916825077E-3</v>
      </c>
      <c r="D46" s="22">
        <v>-0.71049512432254669</v>
      </c>
      <c r="E46" s="48" t="b">
        <f>_xlfn.XLOOKUP(PLOTS!A46,COUNTY_PIVOT!$AW$74:$AW$138,COUNTY_PIVOT!$BJ$74:$BJ$138)</f>
        <v>0</v>
      </c>
      <c r="F46" s="48" t="b">
        <f>_xlfn.XLOOKUP(PLOTS!A46,COUNTY_PIVOT!$AW$74:$AW$138,COUNTY_PIVOT!$BK$74:$BK$138)</f>
        <v>0</v>
      </c>
      <c r="G46" s="49">
        <v>5.8638674400833951E-3</v>
      </c>
      <c r="H46" s="22">
        <v>-0.74159626852217608</v>
      </c>
      <c r="I46" s="48" t="b">
        <v>0</v>
      </c>
      <c r="J46" s="48" t="b">
        <v>0</v>
      </c>
      <c r="K46" s="48" t="s">
        <v>265</v>
      </c>
      <c r="L46" s="57" t="s">
        <v>287</v>
      </c>
      <c r="X46" t="str">
        <f t="shared" si="2"/>
        <v>Kiowa County CO</v>
      </c>
    </row>
    <row r="47" spans="1:24" ht="17" x14ac:dyDescent="0.2">
      <c r="A47" s="52" t="s">
        <v>176</v>
      </c>
      <c r="B47" s="53">
        <v>3.2250754937732089</v>
      </c>
      <c r="C47" s="54">
        <v>-9.6817299985407067E-3</v>
      </c>
      <c r="D47" s="55">
        <v>-0.95909791560150381</v>
      </c>
      <c r="E47" s="56" t="b">
        <f>_xlfn.XLOOKUP(PLOTS!A47,COUNTY_PIVOT!$AW$74:$AW$138,COUNTY_PIVOT!$BJ$74:$BJ$138)</f>
        <v>0</v>
      </c>
      <c r="F47" s="56" t="b">
        <f>_xlfn.XLOOKUP(PLOTS!A47,COUNTY_PIVOT!$AW$74:$AW$138,COUNTY_PIVOT!$BK$74:$BK$138)</f>
        <v>0</v>
      </c>
      <c r="G47" s="54">
        <v>1.8549678880032158E-3</v>
      </c>
      <c r="H47" s="55">
        <v>-1.1975016505495324</v>
      </c>
      <c r="I47" s="56" t="b">
        <v>0</v>
      </c>
      <c r="J47" s="56" t="b">
        <v>1</v>
      </c>
      <c r="K47" s="56" t="s">
        <v>265</v>
      </c>
      <c r="L47" t="s">
        <v>291</v>
      </c>
      <c r="X47" t="str">
        <f t="shared" si="2"/>
        <v>Kit Carson County CO</v>
      </c>
    </row>
    <row r="48" spans="1:24" ht="17" x14ac:dyDescent="0.2">
      <c r="A48" t="s">
        <v>177</v>
      </c>
      <c r="B48" s="23">
        <v>19.142223960370224</v>
      </c>
      <c r="C48" s="49">
        <v>-9.4618395553928702E-3</v>
      </c>
      <c r="D48" s="22">
        <v>-0.94342604993802504</v>
      </c>
      <c r="E48" s="48" t="b">
        <f>_xlfn.XLOOKUP(PLOTS!A48,COUNTY_PIVOT!$AW$74:$AW$138,COUNTY_PIVOT!$BJ$74:$BJ$138)</f>
        <v>0</v>
      </c>
      <c r="F48" s="48" t="b">
        <f>_xlfn.XLOOKUP(PLOTS!A48,COUNTY_PIVOT!$AW$74:$AW$138,COUNTY_PIVOT!$BK$74:$BK$138)</f>
        <v>0</v>
      </c>
      <c r="G48" s="49">
        <v>1.1536437795669771E-2</v>
      </c>
      <c r="H48" s="22">
        <v>-9.6492712934525465E-2</v>
      </c>
      <c r="I48" s="48" t="b">
        <v>0</v>
      </c>
      <c r="J48" s="48" t="b">
        <v>0</v>
      </c>
      <c r="K48" s="48" t="s">
        <v>265</v>
      </c>
      <c r="L48" s="57" t="s">
        <v>287</v>
      </c>
      <c r="X48" t="str">
        <f t="shared" si="2"/>
        <v>Lake County CO</v>
      </c>
    </row>
    <row r="49" spans="1:24" ht="17" x14ac:dyDescent="0.2">
      <c r="A49" t="s">
        <v>180</v>
      </c>
      <c r="B49" s="23">
        <v>2.9952213053106149</v>
      </c>
      <c r="C49" s="49">
        <v>-7.9311726000476316E-3</v>
      </c>
      <c r="D49" s="22">
        <v>-0.83433351023374724</v>
      </c>
      <c r="E49" s="48" t="b">
        <f>_xlfn.XLOOKUP(PLOTS!A49,COUNTY_PIVOT!$AW$74:$AW$138,COUNTY_PIVOT!$BJ$74:$BJ$138)</f>
        <v>0</v>
      </c>
      <c r="F49" s="48" t="b">
        <f>_xlfn.XLOOKUP(PLOTS!A49,COUNTY_PIVOT!$AW$74:$AW$138,COUNTY_PIVOT!$BK$74:$BK$138)</f>
        <v>0</v>
      </c>
      <c r="G49" s="49">
        <v>5.2884992263969354E-3</v>
      </c>
      <c r="H49" s="22">
        <v>-0.80702905421794413</v>
      </c>
      <c r="I49" s="48" t="b">
        <v>0</v>
      </c>
      <c r="J49" s="48" t="b">
        <v>0</v>
      </c>
      <c r="K49" s="48" t="s">
        <v>265</v>
      </c>
      <c r="L49" s="57" t="s">
        <v>287</v>
      </c>
      <c r="X49" t="str">
        <f t="shared" si="2"/>
        <v>Las Animas County CO</v>
      </c>
    </row>
    <row r="50" spans="1:24" ht="17" x14ac:dyDescent="0.2">
      <c r="A50" t="s">
        <v>181</v>
      </c>
      <c r="B50" s="23">
        <v>2.1325153469157243</v>
      </c>
      <c r="C50" s="49">
        <v>-7.5014588232502413E-3</v>
      </c>
      <c r="D50" s="22">
        <v>-0.80370727433504963</v>
      </c>
      <c r="E50" s="48" t="b">
        <f>_xlfn.XLOOKUP(PLOTS!A50,COUNTY_PIVOT!$AW$74:$AW$138,COUNTY_PIVOT!$BJ$74:$BJ$138)</f>
        <v>0</v>
      </c>
      <c r="F50" s="48" t="b">
        <f>_xlfn.XLOOKUP(PLOTS!A50,COUNTY_PIVOT!$AW$74:$AW$138,COUNTY_PIVOT!$BK$74:$BK$138)</f>
        <v>0</v>
      </c>
      <c r="G50" s="49">
        <v>5.3658986090219353E-3</v>
      </c>
      <c r="H50" s="22">
        <v>-0.79822693916219967</v>
      </c>
      <c r="I50" s="48" t="b">
        <v>0</v>
      </c>
      <c r="J50" s="48" t="b">
        <v>0</v>
      </c>
      <c r="K50" s="48" t="s">
        <v>265</v>
      </c>
      <c r="L50" s="57" t="s">
        <v>287</v>
      </c>
      <c r="X50" t="str">
        <f t="shared" si="2"/>
        <v>Lincoln County CO</v>
      </c>
    </row>
    <row r="51" spans="1:24" ht="17" x14ac:dyDescent="0.2">
      <c r="A51" s="52" t="s">
        <v>184</v>
      </c>
      <c r="B51" s="53">
        <v>1.0522000546597432</v>
      </c>
      <c r="C51" s="54">
        <v>3.51168301979762E-2</v>
      </c>
      <c r="D51" s="55">
        <v>2.2337512472202707</v>
      </c>
      <c r="E51" s="56" t="b">
        <f>_xlfn.XLOOKUP(PLOTS!A51,COUNTY_PIVOT!$AW$74:$AW$138,COUNTY_PIVOT!$BJ$74:$BJ$138)</f>
        <v>1</v>
      </c>
      <c r="F51" s="56" t="b">
        <f>_xlfn.XLOOKUP(PLOTS!A51,COUNTY_PIVOT!$AW$74:$AW$138,COUNTY_PIVOT!$BK$74:$BK$138)</f>
        <v>0</v>
      </c>
      <c r="G51" s="54">
        <v>2.6737535632884474E-2</v>
      </c>
      <c r="H51" s="55">
        <v>1.6322266592219914</v>
      </c>
      <c r="I51" s="56" t="b">
        <v>1</v>
      </c>
      <c r="J51" s="56" t="b">
        <v>0</v>
      </c>
      <c r="K51" s="56" t="s">
        <v>265</v>
      </c>
      <c r="L51" t="s">
        <v>288</v>
      </c>
      <c r="X51" t="str">
        <f t="shared" si="2"/>
        <v>Mineral County CO</v>
      </c>
    </row>
    <row r="52" spans="1:24" ht="17" x14ac:dyDescent="0.2">
      <c r="A52" t="s">
        <v>185</v>
      </c>
      <c r="B52" s="23">
        <v>2.7683741741767003</v>
      </c>
      <c r="C52" s="49">
        <v>-4.95607742473667E-3</v>
      </c>
      <c r="D52" s="22">
        <v>-0.62229477286947688</v>
      </c>
      <c r="E52" s="48" t="b">
        <f>_xlfn.XLOOKUP(PLOTS!A52,COUNTY_PIVOT!$AW$74:$AW$138,COUNTY_PIVOT!$BJ$74:$BJ$138)</f>
        <v>0</v>
      </c>
      <c r="F52" s="48" t="b">
        <f>_xlfn.XLOOKUP(PLOTS!A52,COUNTY_PIVOT!$AW$74:$AW$138,COUNTY_PIVOT!$BK$74:$BK$138)</f>
        <v>0</v>
      </c>
      <c r="G52" s="49">
        <v>3.6654976093432219E-3</v>
      </c>
      <c r="H52" s="22">
        <v>-0.99160219271674865</v>
      </c>
      <c r="I52" s="48" t="b">
        <v>0</v>
      </c>
      <c r="J52" s="48" t="b">
        <v>0</v>
      </c>
      <c r="K52" s="48" t="s">
        <v>265</v>
      </c>
      <c r="L52" s="57" t="s">
        <v>287</v>
      </c>
      <c r="X52" t="str">
        <f t="shared" si="2"/>
        <v>Moffat County CO</v>
      </c>
    </row>
    <row r="53" spans="1:24" ht="17" x14ac:dyDescent="0.2">
      <c r="A53" s="52" t="s">
        <v>189</v>
      </c>
      <c r="B53" s="53">
        <v>14.431314390293926</v>
      </c>
      <c r="C53" s="54">
        <v>-7.9198956962567429E-3</v>
      </c>
      <c r="D53" s="55">
        <v>-0.8335297912599674</v>
      </c>
      <c r="E53" s="56" t="b">
        <f>_xlfn.XLOOKUP(PLOTS!A53,COUNTY_PIVOT!$AW$74:$AW$138,COUNTY_PIVOT!$BJ$74:$BJ$138)</f>
        <v>0</v>
      </c>
      <c r="F53" s="56" t="b">
        <f>_xlfn.XLOOKUP(PLOTS!A53,COUNTY_PIVOT!$AW$74:$AW$138,COUNTY_PIVOT!$BK$74:$BK$138)</f>
        <v>0</v>
      </c>
      <c r="G53" s="54">
        <v>1.1855600494927209E-3</v>
      </c>
      <c r="H53" s="55">
        <v>-1.2736289349535219</v>
      </c>
      <c r="I53" s="56" t="b">
        <v>0</v>
      </c>
      <c r="J53" s="56" t="b">
        <v>1</v>
      </c>
      <c r="K53" s="56" t="s">
        <v>265</v>
      </c>
      <c r="L53" t="s">
        <v>291</v>
      </c>
      <c r="X53" t="str">
        <f t="shared" si="2"/>
        <v>Otero County CO</v>
      </c>
    </row>
    <row r="54" spans="1:24" ht="17" x14ac:dyDescent="0.2">
      <c r="A54" s="52" t="s">
        <v>190</v>
      </c>
      <c r="B54" s="53">
        <v>9.3822607412871104</v>
      </c>
      <c r="C54" s="54">
        <v>1.3654828766392157E-2</v>
      </c>
      <c r="D54" s="55">
        <v>0.70412768336652298</v>
      </c>
      <c r="E54" s="56" t="b">
        <f>_xlfn.XLOOKUP(PLOTS!A54,COUNTY_PIVOT!$AW$74:$AW$138,COUNTY_PIVOT!$BJ$74:$BJ$138)</f>
        <v>0</v>
      </c>
      <c r="F54" s="56" t="b">
        <f>_xlfn.XLOOKUP(PLOTS!A54,COUNTY_PIVOT!$AW$74:$AW$138,COUNTY_PIVOT!$BK$74:$BK$138)</f>
        <v>0</v>
      </c>
      <c r="G54" s="54">
        <v>2.2060135248465926E-2</v>
      </c>
      <c r="H54" s="55">
        <v>1.1002971405472886</v>
      </c>
      <c r="I54" s="56" t="b">
        <v>1</v>
      </c>
      <c r="J54" s="56" t="b">
        <v>0</v>
      </c>
      <c r="K54" s="56" t="s">
        <v>265</v>
      </c>
      <c r="L54" t="s">
        <v>289</v>
      </c>
      <c r="X54" t="str">
        <f t="shared" si="2"/>
        <v>Ouray County CO</v>
      </c>
    </row>
    <row r="55" spans="1:24" ht="17" x14ac:dyDescent="0.2">
      <c r="A55" t="s">
        <v>191</v>
      </c>
      <c r="B55" s="23">
        <v>8.1018937610891832</v>
      </c>
      <c r="C55" s="49">
        <v>7.3983220441464223E-3</v>
      </c>
      <c r="D55" s="22">
        <v>0.25821865944516398</v>
      </c>
      <c r="E55" s="48" t="b">
        <f>_xlfn.XLOOKUP(PLOTS!A55,COUNTY_PIVOT!$AW$74:$AW$138,COUNTY_PIVOT!$BJ$74:$BJ$138)</f>
        <v>0</v>
      </c>
      <c r="F55" s="48" t="b">
        <f>_xlfn.XLOOKUP(PLOTS!A55,COUNTY_PIVOT!$AW$74:$AW$138,COUNTY_PIVOT!$BK$74:$BK$138)</f>
        <v>0</v>
      </c>
      <c r="G55" s="49">
        <v>1.2377403291431834E-2</v>
      </c>
      <c r="H55" s="22">
        <v>-8.5532151665237825E-4</v>
      </c>
      <c r="I55" s="48" t="b">
        <v>0</v>
      </c>
      <c r="J55" s="48" t="b">
        <v>0</v>
      </c>
      <c r="K55" s="48" t="s">
        <v>265</v>
      </c>
      <c r="L55" s="57" t="s">
        <v>287</v>
      </c>
      <c r="X55" t="str">
        <f t="shared" si="2"/>
        <v>Park County CO</v>
      </c>
    </row>
    <row r="56" spans="1:24" ht="17" x14ac:dyDescent="0.2">
      <c r="A56" s="52" t="s">
        <v>192</v>
      </c>
      <c r="B56" s="53">
        <v>6.4434113032108096</v>
      </c>
      <c r="C56" s="54">
        <v>-6.3637166235325565E-3</v>
      </c>
      <c r="D56" s="55">
        <v>-0.72261897118556473</v>
      </c>
      <c r="E56" s="56" t="b">
        <f>_xlfn.XLOOKUP(PLOTS!A56,COUNTY_PIVOT!$AW$74:$AW$138,COUNTY_PIVOT!$BJ$74:$BJ$138)</f>
        <v>0</v>
      </c>
      <c r="F56" s="56" t="b">
        <f>_xlfn.XLOOKUP(PLOTS!A56,COUNTY_PIVOT!$AW$74:$AW$138,COUNTY_PIVOT!$BK$74:$BK$138)</f>
        <v>0</v>
      </c>
      <c r="G56" s="54">
        <v>2.6325339958647039E-3</v>
      </c>
      <c r="H56" s="55">
        <v>-1.1090742482535154</v>
      </c>
      <c r="I56" s="56" t="b">
        <v>0</v>
      </c>
      <c r="J56" s="56" t="b">
        <v>1</v>
      </c>
      <c r="K56" s="56" t="s">
        <v>265</v>
      </c>
      <c r="L56" t="s">
        <v>291</v>
      </c>
      <c r="X56" t="str">
        <f t="shared" si="2"/>
        <v>Phillips County CO</v>
      </c>
    </row>
    <row r="57" spans="1:24" ht="17" x14ac:dyDescent="0.2">
      <c r="A57" t="s">
        <v>193</v>
      </c>
      <c r="B57" s="23">
        <v>17.370693652936509</v>
      </c>
      <c r="C57" s="49">
        <v>-1.0704559376070934E-2</v>
      </c>
      <c r="D57" s="22">
        <v>-1.0319962388384816</v>
      </c>
      <c r="E57" s="48" t="b">
        <f>_xlfn.XLOOKUP(PLOTS!A57,COUNTY_PIVOT!$AW$74:$AW$138,COUNTY_PIVOT!$BJ$74:$BJ$138)</f>
        <v>0</v>
      </c>
      <c r="F57" s="48" t="b">
        <f>_xlfn.XLOOKUP(PLOTS!A57,COUNTY_PIVOT!$AW$74:$AW$138,COUNTY_PIVOT!$BK$74:$BK$138)</f>
        <v>1</v>
      </c>
      <c r="G57" s="49">
        <v>8.0610620267588893E-3</v>
      </c>
      <c r="H57" s="22">
        <v>-0.49172399698896901</v>
      </c>
      <c r="I57" s="48" t="b">
        <v>0</v>
      </c>
      <c r="J57" s="48" t="b">
        <v>0</v>
      </c>
      <c r="K57" s="48" t="s">
        <v>265</v>
      </c>
      <c r="L57" s="57" t="s">
        <v>287</v>
      </c>
      <c r="X57" t="str">
        <f t="shared" si="2"/>
        <v>Pitkin County CO</v>
      </c>
    </row>
    <row r="58" spans="1:24" ht="17" x14ac:dyDescent="0.2">
      <c r="A58" s="52" t="s">
        <v>194</v>
      </c>
      <c r="B58" s="53">
        <v>7.2020275074907172</v>
      </c>
      <c r="C58" s="54">
        <v>-4.4761917778246467E-3</v>
      </c>
      <c r="D58" s="55">
        <v>-0.58809272531991363</v>
      </c>
      <c r="E58" s="56" t="b">
        <f>_xlfn.XLOOKUP(PLOTS!A58,COUNTY_PIVOT!$AW$74:$AW$138,COUNTY_PIVOT!$BJ$74:$BJ$138)</f>
        <v>0</v>
      </c>
      <c r="F58" s="56" t="b">
        <f>_xlfn.XLOOKUP(PLOTS!A58,COUNTY_PIVOT!$AW$74:$AW$138,COUNTY_PIVOT!$BK$74:$BK$138)</f>
        <v>0</v>
      </c>
      <c r="G58" s="54">
        <v>2.5109489335481123E-3</v>
      </c>
      <c r="H58" s="55">
        <v>-1.1229013056701829</v>
      </c>
      <c r="I58" s="56" t="b">
        <v>0</v>
      </c>
      <c r="J58" s="56" t="b">
        <v>1</v>
      </c>
      <c r="K58" s="56" t="s">
        <v>265</v>
      </c>
      <c r="L58" t="s">
        <v>293</v>
      </c>
      <c r="X58" t="str">
        <f t="shared" si="2"/>
        <v>Prowers County CO</v>
      </c>
    </row>
    <row r="59" spans="1:24" ht="17" x14ac:dyDescent="0.2">
      <c r="A59" s="52" t="s">
        <v>196</v>
      </c>
      <c r="B59" s="53">
        <v>2.0327068042055148</v>
      </c>
      <c r="C59" s="54">
        <v>1.6050562145851835E-3</v>
      </c>
      <c r="D59" s="55">
        <v>-0.15467460928441315</v>
      </c>
      <c r="E59" s="56" t="b">
        <f>_xlfn.XLOOKUP(PLOTS!A59,COUNTY_PIVOT!$AW$74:$AW$138,COUNTY_PIVOT!$BJ$74:$BJ$138)</f>
        <v>0</v>
      </c>
      <c r="F59" s="56" t="b">
        <f>_xlfn.XLOOKUP(PLOTS!A59,COUNTY_PIVOT!$AW$74:$AW$138,COUNTY_PIVOT!$BK$74:$BK$138)</f>
        <v>0</v>
      </c>
      <c r="G59" s="54">
        <v>2.7459916633798161E-3</v>
      </c>
      <c r="H59" s="55">
        <v>-1.0961714651878809</v>
      </c>
      <c r="I59" s="56" t="b">
        <v>0</v>
      </c>
      <c r="J59" s="56" t="b">
        <v>1</v>
      </c>
      <c r="K59" s="56" t="s">
        <v>265</v>
      </c>
      <c r="L59" t="s">
        <v>291</v>
      </c>
      <c r="X59" t="str">
        <f t="shared" si="2"/>
        <v>Rio Blanco County CO</v>
      </c>
    </row>
    <row r="60" spans="1:24" ht="17" x14ac:dyDescent="0.2">
      <c r="A60" t="s">
        <v>197</v>
      </c>
      <c r="B60" s="23">
        <v>12.414850509254189</v>
      </c>
      <c r="C60" s="49">
        <v>-7.6408341655125429E-3</v>
      </c>
      <c r="D60" s="22">
        <v>-0.81364072851098967</v>
      </c>
      <c r="E60" s="48" t="b">
        <f>_xlfn.XLOOKUP(PLOTS!A60,COUNTY_PIVOT!$AW$74:$AW$138,COUNTY_PIVOT!$BJ$74:$BJ$138)</f>
        <v>0</v>
      </c>
      <c r="F60" s="48" t="b">
        <f>_xlfn.XLOOKUP(PLOTS!A60,COUNTY_PIVOT!$AW$74:$AW$138,COUNTY_PIVOT!$BK$74:$BK$138)</f>
        <v>0</v>
      </c>
      <c r="G60" s="49">
        <v>5.0979893852829148E-3</v>
      </c>
      <c r="H60" s="22">
        <v>-0.82869446657480661</v>
      </c>
      <c r="I60" s="48" t="b">
        <v>0</v>
      </c>
      <c r="J60" s="48" t="b">
        <v>0</v>
      </c>
      <c r="K60" s="48" t="s">
        <v>265</v>
      </c>
      <c r="L60" s="57" t="s">
        <v>287</v>
      </c>
      <c r="X60" t="str">
        <f t="shared" si="2"/>
        <v>Rio Grande County CO</v>
      </c>
    </row>
    <row r="61" spans="1:24" ht="17" x14ac:dyDescent="0.2">
      <c r="A61" t="s">
        <v>199</v>
      </c>
      <c r="B61" s="23">
        <v>2.0881729118270882</v>
      </c>
      <c r="C61" s="49">
        <v>1.3312010174266907E-2</v>
      </c>
      <c r="D61" s="22">
        <v>0.67969457547052525</v>
      </c>
      <c r="E61" s="48" t="b">
        <f>_xlfn.XLOOKUP(PLOTS!A61,COUNTY_PIVOT!$AW$74:$AW$138,COUNTY_PIVOT!$BJ$74:$BJ$138)</f>
        <v>0</v>
      </c>
      <c r="F61" s="48" t="b">
        <f>_xlfn.XLOOKUP(PLOTS!A61,COUNTY_PIVOT!$AW$74:$AW$138,COUNTY_PIVOT!$BK$74:$BK$138)</f>
        <v>0</v>
      </c>
      <c r="G61" s="49">
        <v>2.0865915660692375E-2</v>
      </c>
      <c r="H61" s="22">
        <v>0.96448651962366316</v>
      </c>
      <c r="I61" s="48" t="b">
        <v>0</v>
      </c>
      <c r="J61" s="48" t="b">
        <v>0</v>
      </c>
      <c r="K61" s="48" t="s">
        <v>265</v>
      </c>
      <c r="L61" s="57" t="s">
        <v>287</v>
      </c>
      <c r="X61" t="str">
        <f t="shared" si="2"/>
        <v>Saguache County CO</v>
      </c>
    </row>
    <row r="62" spans="1:24" ht="17" x14ac:dyDescent="0.2">
      <c r="A62" s="52" t="s">
        <v>200</v>
      </c>
      <c r="B62" s="53">
        <v>2.0591788992004934</v>
      </c>
      <c r="C62" s="54">
        <v>4.3892130347968294E-2</v>
      </c>
      <c r="D62" s="55">
        <v>2.8591778148265763</v>
      </c>
      <c r="E62" s="56" t="b">
        <f>_xlfn.XLOOKUP(PLOTS!A62,COUNTY_PIVOT!$AW$74:$AW$138,COUNTY_PIVOT!$BJ$74:$BJ$138)</f>
        <v>1</v>
      </c>
      <c r="F62" s="56" t="b">
        <f>_xlfn.XLOOKUP(PLOTS!A62,COUNTY_PIVOT!$AW$74:$AW$138,COUNTY_PIVOT!$BK$74:$BK$138)</f>
        <v>0</v>
      </c>
      <c r="G62" s="54">
        <v>1.2759469220860789E-2</v>
      </c>
      <c r="H62" s="55">
        <v>4.2594485906325134E-2</v>
      </c>
      <c r="I62" s="56" t="b">
        <v>0</v>
      </c>
      <c r="J62" s="56" t="b">
        <v>0</v>
      </c>
      <c r="K62" s="56" t="s">
        <v>265</v>
      </c>
      <c r="L62" t="s">
        <v>292</v>
      </c>
      <c r="X62" t="str">
        <f t="shared" si="2"/>
        <v>San Juan County CO</v>
      </c>
    </row>
    <row r="63" spans="1:24" ht="17" x14ac:dyDescent="0.2">
      <c r="A63" t="s">
        <v>201</v>
      </c>
      <c r="B63" s="23">
        <v>6.1924757507205062</v>
      </c>
      <c r="C63" s="49">
        <v>-5.346109531753321E-3</v>
      </c>
      <c r="D63" s="22">
        <v>-0.65009284675620305</v>
      </c>
      <c r="E63" s="48" t="b">
        <f>_xlfn.XLOOKUP(PLOTS!A63,COUNTY_PIVOT!$AW$74:$AW$138,COUNTY_PIVOT!$BJ$74:$BJ$138)</f>
        <v>0</v>
      </c>
      <c r="F63" s="48" t="b">
        <f>_xlfn.XLOOKUP(PLOTS!A63,COUNTY_PIVOT!$AW$74:$AW$138,COUNTY_PIVOT!$BK$74:$BK$138)</f>
        <v>0</v>
      </c>
      <c r="G63" s="49">
        <v>1.0099023555425767E-2</v>
      </c>
      <c r="H63" s="22">
        <v>-0.25996023807866719</v>
      </c>
      <c r="I63" s="48" t="b">
        <v>0</v>
      </c>
      <c r="J63" s="48" t="b">
        <v>0</v>
      </c>
      <c r="K63" s="48" t="s">
        <v>265</v>
      </c>
      <c r="L63" s="57" t="s">
        <v>287</v>
      </c>
      <c r="X63" t="str">
        <f t="shared" si="2"/>
        <v>San Miguel County CO</v>
      </c>
    </row>
    <row r="64" spans="1:24" ht="17" x14ac:dyDescent="0.2">
      <c r="A64" s="52" t="s">
        <v>202</v>
      </c>
      <c r="B64" s="53">
        <v>4.185266840369513</v>
      </c>
      <c r="C64" s="54">
        <v>-1.5165544627960015E-2</v>
      </c>
      <c r="D64" s="55">
        <v>-1.3499362120066765</v>
      </c>
      <c r="E64" s="56" t="b">
        <f>_xlfn.XLOOKUP(PLOTS!A64,COUNTY_PIVOT!$AW$74:$AW$138,COUNTY_PIVOT!$BJ$74:$BJ$138)</f>
        <v>0</v>
      </c>
      <c r="F64" s="56" t="b">
        <f>_xlfn.XLOOKUP(PLOTS!A64,COUNTY_PIVOT!$AW$74:$AW$138,COUNTY_PIVOT!$BK$74:$BK$138)</f>
        <v>1</v>
      </c>
      <c r="G64" s="54">
        <v>4.9714143673875214E-4</v>
      </c>
      <c r="H64" s="55">
        <v>-1.3519181877933655</v>
      </c>
      <c r="I64" s="56" t="b">
        <v>0</v>
      </c>
      <c r="J64" s="56" t="b">
        <v>1</v>
      </c>
      <c r="K64" s="56" t="s">
        <v>265</v>
      </c>
      <c r="L64" t="s">
        <v>291</v>
      </c>
      <c r="X64" t="str">
        <f t="shared" si="2"/>
        <v>Sedgwick County CO</v>
      </c>
    </row>
    <row r="65" spans="1:24" ht="17" x14ac:dyDescent="0.2">
      <c r="A65" s="52" t="s">
        <v>205</v>
      </c>
      <c r="B65" s="53">
        <v>1.9164453604978398</v>
      </c>
      <c r="C65" s="54">
        <v>6.5618008053232627E-4</v>
      </c>
      <c r="D65" s="55">
        <v>-0.22230219278134394</v>
      </c>
      <c r="E65" s="56" t="b">
        <f>_xlfn.XLOOKUP(PLOTS!A65,COUNTY_PIVOT!$AW$74:$AW$138,COUNTY_PIVOT!$BJ$74:$BJ$138)</f>
        <v>0</v>
      </c>
      <c r="F65" s="56" t="b">
        <f>_xlfn.XLOOKUP(PLOTS!A65,COUNTY_PIVOT!$AW$74:$AW$138,COUNTY_PIVOT!$BK$74:$BK$138)</f>
        <v>0</v>
      </c>
      <c r="G65" s="54">
        <v>3.0781710766689466E-3</v>
      </c>
      <c r="H65" s="55">
        <v>-1.058394918195422</v>
      </c>
      <c r="I65" s="56" t="b">
        <v>0</v>
      </c>
      <c r="J65" s="56" t="b">
        <v>1</v>
      </c>
      <c r="K65" s="56" t="s">
        <v>265</v>
      </c>
      <c r="L65" t="s">
        <v>291</v>
      </c>
      <c r="X65" t="str">
        <f t="shared" si="2"/>
        <v>Washington County CO</v>
      </c>
    </row>
    <row r="66" spans="1:24" ht="17" x14ac:dyDescent="0.2">
      <c r="A66" t="s">
        <v>207</v>
      </c>
      <c r="B66" s="23">
        <v>4.1863429003084898</v>
      </c>
      <c r="C66" s="49">
        <v>-3.0050976748275822E-3</v>
      </c>
      <c r="D66" s="22">
        <v>-0.48324601697522424</v>
      </c>
      <c r="E66" s="48" t="b">
        <f>_xlfn.XLOOKUP(PLOTS!A66,COUNTY_PIVOT!$AW$74:$AW$138,COUNTY_PIVOT!$BJ$74:$BJ$138)</f>
        <v>0</v>
      </c>
      <c r="F66" s="48" t="b">
        <f>_xlfn.XLOOKUP(PLOTS!A66,COUNTY_PIVOT!$AW$74:$AW$138,COUNTY_PIVOT!$BK$74:$BK$138)</f>
        <v>0</v>
      </c>
      <c r="G66" s="49">
        <v>6.9478425067071752E-4</v>
      </c>
      <c r="H66" s="22">
        <v>-1.3294415900587431</v>
      </c>
      <c r="I66" s="48" t="b">
        <v>0</v>
      </c>
      <c r="J66" s="48" t="b">
        <v>0</v>
      </c>
      <c r="K66" s="48" t="s">
        <v>265</v>
      </c>
      <c r="L66" s="57" t="s">
        <v>287</v>
      </c>
      <c r="X66" t="str">
        <f t="shared" si="2"/>
        <v>Yuma County CO</v>
      </c>
    </row>
  </sheetData>
  <sortState xmlns:xlrd2="http://schemas.microsoft.com/office/spreadsheetml/2017/richdata2" ref="A3:K66">
    <sortCondition ref="K3:K66"/>
  </sortState>
  <mergeCells count="2">
    <mergeCell ref="C1:F1"/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CountyHousingProf</vt:lpstr>
      <vt:lpstr>CountyPopHousing</vt:lpstr>
      <vt:lpstr>Lookups</vt:lpstr>
      <vt:lpstr>COMB_RAW_DATA</vt:lpstr>
      <vt:lpstr>COUNTY_PIVOT</vt:lpstr>
      <vt:lpstr>County Population Strata</vt:lpstr>
      <vt:lpstr>REGION_PIVOT</vt:lpstr>
      <vt:lpstr>PLOTS</vt:lpstr>
    </vt:vector>
  </TitlesOfParts>
  <Company>Dept. of Local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Gedeon, Nancy</dc:creator>
  <cp:lastModifiedBy>David Milner</cp:lastModifiedBy>
  <cp:lastPrinted>2023-10-17T18:54:08Z</cp:lastPrinted>
  <dcterms:created xsi:type="dcterms:W3CDTF">2022-08-18T22:39:48Z</dcterms:created>
  <dcterms:modified xsi:type="dcterms:W3CDTF">2026-04-28T02:03:52Z</dcterms:modified>
</cp:coreProperties>
</file>