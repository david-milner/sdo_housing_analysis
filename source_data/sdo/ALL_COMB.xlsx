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david/Documents/CAREER/AIA/02 - Data Analysis/SDO_Data_Analysis/source_data/"/>
    </mc:Choice>
  </mc:AlternateContent>
  <xr:revisionPtr revIDLastSave="0" documentId="8_{972E9589-582A-3A42-9EF5-E677C884597B}" xr6:coauthVersionLast="47" xr6:coauthVersionMax="47" xr10:uidLastSave="{00000000-0000-0000-0000-000000000000}"/>
  <bookViews>
    <workbookView xWindow="0" yWindow="600" windowWidth="35840" windowHeight="21040" activeTab="3" xr2:uid="{00000000-000D-0000-FFFF-FFFF00000000}"/>
  </bookViews>
  <sheets>
    <sheet name="README" sheetId="9" r:id="rId1"/>
    <sheet name="CountyHousingProf" sheetId="5" r:id="rId2"/>
    <sheet name="CountyPopHousing" sheetId="4" r:id="rId3"/>
    <sheet name="JobsBySector" sheetId="15" r:id="rId4"/>
    <sheet name="Lookups" sheetId="2" r:id="rId5"/>
    <sheet name="COMB_RAW_DATA" sheetId="6" r:id="rId6"/>
    <sheet name="COUNTY_PIVOT" sheetId="12" r:id="rId7"/>
    <sheet name="County Population Strata" sheetId="13" r:id="rId8"/>
    <sheet name="REGION_PIVOT" sheetId="8" r:id="rId9"/>
    <sheet name="PLOTS" sheetId="14" r:id="rId10"/>
  </sheet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143" i="12" l="1"/>
  <c r="AX143" i="12"/>
  <c r="AI143" i="12"/>
  <c r="BJ143" i="12"/>
  <c r="BO148" i="12"/>
  <c r="AI74" i="12"/>
  <c r="AX5" i="12"/>
  <c r="X4" i="14"/>
  <c r="X5" i="14"/>
  <c r="X6" i="14"/>
  <c r="X7" i="14"/>
  <c r="X8" i="14"/>
  <c r="X9" i="14"/>
  <c r="X10" i="14"/>
  <c r="X11" i="14"/>
  <c r="X12" i="14"/>
  <c r="X13" i="14"/>
  <c r="X14" i="14"/>
  <c r="X15" i="14"/>
  <c r="X16" i="14"/>
  <c r="X17" i="14"/>
  <c r="X18" i="14"/>
  <c r="X19" i="14"/>
  <c r="X20" i="14"/>
  <c r="X21" i="14"/>
  <c r="X22" i="14"/>
  <c r="X23" i="14"/>
  <c r="X24" i="14"/>
  <c r="X25" i="14"/>
  <c r="X26" i="14"/>
  <c r="X27" i="14"/>
  <c r="X28" i="14"/>
  <c r="X29" i="14"/>
  <c r="X30" i="14"/>
  <c r="X31" i="14"/>
  <c r="X32" i="14"/>
  <c r="X33" i="14"/>
  <c r="X34" i="14"/>
  <c r="X35" i="14"/>
  <c r="X36" i="14"/>
  <c r="X37" i="14"/>
  <c r="X38" i="14"/>
  <c r="X39" i="14"/>
  <c r="X40" i="14"/>
  <c r="X41" i="14"/>
  <c r="X42" i="14"/>
  <c r="X43" i="14"/>
  <c r="X44" i="14"/>
  <c r="X45" i="14"/>
  <c r="X46" i="14"/>
  <c r="X47" i="14"/>
  <c r="X48" i="14"/>
  <c r="X49" i="14"/>
  <c r="X50" i="14"/>
  <c r="X51" i="14"/>
  <c r="X52" i="14"/>
  <c r="X53" i="14"/>
  <c r="X54" i="14"/>
  <c r="X55" i="14"/>
  <c r="X56" i="14"/>
  <c r="X57" i="14"/>
  <c r="X58" i="14"/>
  <c r="X59" i="14"/>
  <c r="X60" i="14"/>
  <c r="X61" i="14"/>
  <c r="X62" i="14"/>
  <c r="X63" i="14"/>
  <c r="X64" i="14"/>
  <c r="X65" i="14"/>
  <c r="X66" i="14"/>
  <c r="X3" i="14"/>
  <c r="BH89" i="12"/>
  <c r="BH79" i="12"/>
  <c r="BH115" i="12"/>
  <c r="BH131" i="12"/>
  <c r="BH137" i="12"/>
  <c r="BO79" i="12"/>
  <c r="BO80" i="12" s="1"/>
  <c r="BO78" i="12"/>
  <c r="BQ89" i="12" s="1"/>
  <c r="BG85" i="12"/>
  <c r="BO75" i="12"/>
  <c r="V4" i="13"/>
  <c r="V5" i="13"/>
  <c r="V6" i="13"/>
  <c r="V3" i="13"/>
  <c r="U3" i="13"/>
  <c r="U4" i="13"/>
  <c r="M3" i="14"/>
  <c r="B2" i="14"/>
  <c r="AI5" i="12"/>
  <c r="F2" i="14"/>
  <c r="BK154" i="12"/>
  <c r="G1" i="14"/>
  <c r="C1" i="14"/>
  <c r="G2" i="14" a="1"/>
  <c r="G2" i="14" s="1"/>
  <c r="D2" i="14"/>
  <c r="E2" i="14"/>
  <c r="C2" i="14"/>
  <c r="BJ154" i="12"/>
  <c r="BL138" i="12"/>
  <c r="BL137" i="12"/>
  <c r="BL136" i="12"/>
  <c r="BL135" i="12"/>
  <c r="BL134" i="12"/>
  <c r="BL133" i="12"/>
  <c r="BL132" i="12"/>
  <c r="BL131" i="12"/>
  <c r="BL130" i="12"/>
  <c r="BL129" i="12"/>
  <c r="BL128" i="12"/>
  <c r="BL127" i="12"/>
  <c r="BL126" i="12"/>
  <c r="BL125" i="12"/>
  <c r="BL124" i="12"/>
  <c r="BL123" i="12"/>
  <c r="BL122" i="12"/>
  <c r="BL121" i="12"/>
  <c r="BL120" i="12"/>
  <c r="BL119" i="12"/>
  <c r="BL118" i="12"/>
  <c r="BL117" i="12"/>
  <c r="BL116" i="12"/>
  <c r="BL115" i="12"/>
  <c r="BL114" i="12"/>
  <c r="BL113" i="12"/>
  <c r="BL112" i="12"/>
  <c r="BL111" i="12"/>
  <c r="BL110" i="12"/>
  <c r="BL109" i="12"/>
  <c r="BL108" i="12"/>
  <c r="BL107" i="12"/>
  <c r="BL106" i="12"/>
  <c r="BL105" i="12"/>
  <c r="BL104" i="12"/>
  <c r="BL103" i="12"/>
  <c r="BL102" i="12"/>
  <c r="BL101" i="12"/>
  <c r="BL100" i="12"/>
  <c r="BL99" i="12"/>
  <c r="BL98" i="12"/>
  <c r="BL97" i="12"/>
  <c r="BL96" i="12"/>
  <c r="BL95" i="12"/>
  <c r="BL94" i="12"/>
  <c r="BL93" i="12"/>
  <c r="BL92" i="12"/>
  <c r="BL91" i="12"/>
  <c r="BL90" i="12"/>
  <c r="BL89" i="12"/>
  <c r="BL88" i="12"/>
  <c r="BL87" i="12"/>
  <c r="BL86" i="12"/>
  <c r="BL84" i="12"/>
  <c r="BL83" i="12"/>
  <c r="BL82" i="12"/>
  <c r="BL81" i="12"/>
  <c r="BL80" i="12"/>
  <c r="BL79" i="12"/>
  <c r="BL78" i="12"/>
  <c r="BL77" i="12"/>
  <c r="BL76" i="12"/>
  <c r="BL75" i="12"/>
  <c r="BL74" i="12"/>
  <c r="BL144" i="12"/>
  <c r="BL145" i="12"/>
  <c r="BL146" i="12"/>
  <c r="BL147" i="12"/>
  <c r="BL148" i="12"/>
  <c r="BL149" i="12"/>
  <c r="BL150" i="12"/>
  <c r="BL151" i="12"/>
  <c r="BL152" i="12"/>
  <c r="BL153" i="12"/>
  <c r="BL155" i="12"/>
  <c r="BL156" i="12"/>
  <c r="BL157" i="12"/>
  <c r="BL158" i="12"/>
  <c r="BL159" i="12"/>
  <c r="BL160" i="12"/>
  <c r="BL161" i="12"/>
  <c r="BL162" i="12"/>
  <c r="BL163" i="12"/>
  <c r="BL164" i="12"/>
  <c r="BL165" i="12"/>
  <c r="BL166" i="12"/>
  <c r="BL167" i="12"/>
  <c r="BL168" i="12"/>
  <c r="BL169" i="12"/>
  <c r="BL170" i="12"/>
  <c r="BL171" i="12"/>
  <c r="BL172" i="12"/>
  <c r="BL173" i="12"/>
  <c r="BL174" i="12"/>
  <c r="BL175" i="12"/>
  <c r="BL176" i="12"/>
  <c r="BL177" i="12"/>
  <c r="BL178" i="12"/>
  <c r="BL179" i="12"/>
  <c r="BL180" i="12"/>
  <c r="BL181" i="12"/>
  <c r="BL182" i="12"/>
  <c r="BL183" i="12"/>
  <c r="BL184" i="12"/>
  <c r="BL185" i="12"/>
  <c r="BL186" i="12"/>
  <c r="BL187" i="12"/>
  <c r="BL188" i="12"/>
  <c r="BL189" i="12"/>
  <c r="BL190" i="12"/>
  <c r="BL191" i="12"/>
  <c r="BL192" i="12"/>
  <c r="BL193" i="12"/>
  <c r="BL194" i="12"/>
  <c r="BL195" i="12"/>
  <c r="BL196" i="12"/>
  <c r="BL197" i="12"/>
  <c r="BL198" i="12"/>
  <c r="BL199" i="12"/>
  <c r="BL200" i="12"/>
  <c r="BL201" i="12"/>
  <c r="BL202" i="12"/>
  <c r="BL203" i="12"/>
  <c r="BL204" i="12"/>
  <c r="BL205" i="12"/>
  <c r="BL206" i="12"/>
  <c r="BL207" i="12"/>
  <c r="BL143" i="12"/>
  <c r="BQ88" i="12" l="1"/>
  <c r="BQ90" i="12"/>
  <c r="BQ82" i="12"/>
  <c r="BQ81" i="12"/>
  <c r="BQ80" i="12"/>
  <c r="BQ98" i="12"/>
  <c r="BQ134" i="12"/>
  <c r="BQ79" i="12"/>
  <c r="BQ78" i="12"/>
  <c r="BQ77" i="12"/>
  <c r="BQ76" i="12"/>
  <c r="BQ75" i="12"/>
  <c r="BQ119" i="12"/>
  <c r="BQ136" i="12"/>
  <c r="BQ135" i="12"/>
  <c r="BQ132" i="12"/>
  <c r="BQ121" i="12"/>
  <c r="BQ110" i="12"/>
  <c r="BQ91" i="12"/>
  <c r="BQ131" i="12"/>
  <c r="BQ120" i="12"/>
  <c r="BQ114" i="12"/>
  <c r="BQ113" i="12"/>
  <c r="BQ112" i="12"/>
  <c r="BQ111" i="12"/>
  <c r="BQ109" i="12"/>
  <c r="BQ138" i="12"/>
  <c r="BQ102" i="12"/>
  <c r="BQ137" i="12"/>
  <c r="BQ100" i="12"/>
  <c r="BQ99" i="12"/>
  <c r="BQ130" i="12"/>
  <c r="BQ97" i="12"/>
  <c r="BQ129" i="12"/>
  <c r="BQ96" i="12"/>
  <c r="BQ128" i="12"/>
  <c r="BQ95" i="12"/>
  <c r="BQ116" i="12"/>
  <c r="BQ93" i="12"/>
  <c r="BQ118" i="12"/>
  <c r="BQ94" i="12"/>
  <c r="BQ115" i="12"/>
  <c r="BQ92" i="12"/>
  <c r="BQ74" i="12"/>
  <c r="BQ126" i="12"/>
  <c r="BQ106" i="12"/>
  <c r="BQ124" i="12"/>
  <c r="BQ104" i="12"/>
  <c r="BQ84" i="12"/>
  <c r="BQ127" i="12"/>
  <c r="BQ108" i="12"/>
  <c r="BQ87" i="12"/>
  <c r="BQ86" i="12"/>
  <c r="BQ123" i="12"/>
  <c r="BQ103" i="12"/>
  <c r="BQ83" i="12"/>
  <c r="BQ125" i="12"/>
  <c r="BQ107" i="12"/>
  <c r="BQ85" i="12"/>
  <c r="BQ122" i="12"/>
  <c r="BQ105" i="12"/>
  <c r="BQ133" i="12"/>
  <c r="BQ117" i="12"/>
  <c r="BQ101" i="12"/>
  <c r="U6" i="13"/>
  <c r="U5" i="13"/>
  <c r="N67" i="13"/>
  <c r="AH208" i="12"/>
  <c r="AH139" i="12"/>
  <c r="AZ167" i="12"/>
  <c r="AI144" i="12"/>
  <c r="AJ144" i="12"/>
  <c r="AK144" i="12"/>
  <c r="AL144" i="12"/>
  <c r="AM144" i="12"/>
  <c r="AN144" i="12"/>
  <c r="AO144" i="12"/>
  <c r="AP144" i="12"/>
  <c r="BD144" i="12" s="1"/>
  <c r="AQ144" i="12"/>
  <c r="AR144" i="12"/>
  <c r="AS144" i="12"/>
  <c r="AT144" i="12"/>
  <c r="AI145" i="12"/>
  <c r="AJ145" i="12"/>
  <c r="AK145" i="12"/>
  <c r="AL145" i="12"/>
  <c r="AM145" i="12"/>
  <c r="AN145" i="12"/>
  <c r="AO145" i="12"/>
  <c r="AP145" i="12"/>
  <c r="AQ145" i="12"/>
  <c r="AR145" i="12"/>
  <c r="AS145" i="12"/>
  <c r="AT145" i="12"/>
  <c r="BH145" i="12" s="1"/>
  <c r="AI146" i="12"/>
  <c r="AJ146" i="12"/>
  <c r="AK146" i="12"/>
  <c r="AL146" i="12"/>
  <c r="AM146" i="12"/>
  <c r="AN146" i="12"/>
  <c r="AO146" i="12"/>
  <c r="AP146" i="12"/>
  <c r="AQ146" i="12"/>
  <c r="AR146" i="12"/>
  <c r="AS146" i="12"/>
  <c r="AT146" i="12"/>
  <c r="AI147" i="12"/>
  <c r="AJ147" i="12"/>
  <c r="AK147" i="12"/>
  <c r="AL147" i="12"/>
  <c r="AZ147" i="12" s="1"/>
  <c r="AM147" i="12"/>
  <c r="AN147" i="12"/>
  <c r="AO147" i="12"/>
  <c r="AP147" i="12"/>
  <c r="AQ147" i="12"/>
  <c r="AR147" i="12"/>
  <c r="AS147" i="12"/>
  <c r="AT147" i="12"/>
  <c r="AI148" i="12"/>
  <c r="AJ148" i="12"/>
  <c r="AK148" i="12"/>
  <c r="AL148" i="12"/>
  <c r="AM148" i="12"/>
  <c r="AN148" i="12"/>
  <c r="AO148" i="12"/>
  <c r="AP148" i="12"/>
  <c r="AQ148" i="12"/>
  <c r="AR148" i="12"/>
  <c r="AS148" i="12"/>
  <c r="AT148" i="12"/>
  <c r="AI149" i="12"/>
  <c r="AJ149" i="12"/>
  <c r="AK149" i="12"/>
  <c r="AL149" i="12"/>
  <c r="AM149" i="12"/>
  <c r="AN149" i="12"/>
  <c r="AO149" i="12"/>
  <c r="AP149" i="12"/>
  <c r="AQ149" i="12"/>
  <c r="AR149" i="12"/>
  <c r="AS149" i="12"/>
  <c r="AT149" i="12"/>
  <c r="AI150" i="12"/>
  <c r="AJ150" i="12"/>
  <c r="AK150" i="12"/>
  <c r="AL150" i="12"/>
  <c r="AM150" i="12"/>
  <c r="AN150" i="12"/>
  <c r="AO150" i="12"/>
  <c r="AP150" i="12"/>
  <c r="AQ150" i="12"/>
  <c r="AR150" i="12"/>
  <c r="AS150" i="12"/>
  <c r="AT150" i="12"/>
  <c r="AI151" i="12"/>
  <c r="AX151" i="12" s="1"/>
  <c r="AJ151" i="12"/>
  <c r="AK151" i="12"/>
  <c r="BA151" i="12" s="1"/>
  <c r="AL151" i="12"/>
  <c r="AZ151" i="12" s="1"/>
  <c r="AM151" i="12"/>
  <c r="AN151" i="12"/>
  <c r="AO151" i="12"/>
  <c r="AP151" i="12"/>
  <c r="AQ151" i="12"/>
  <c r="AR151" i="12"/>
  <c r="AS151" i="12"/>
  <c r="AT151" i="12"/>
  <c r="AI152" i="12"/>
  <c r="AJ152" i="12"/>
  <c r="AK152" i="12"/>
  <c r="AL152" i="12"/>
  <c r="BB152" i="12" s="1"/>
  <c r="AM152" i="12"/>
  <c r="AN152" i="12"/>
  <c r="AO152" i="12"/>
  <c r="BD152" i="12" s="1"/>
  <c r="AP152" i="12"/>
  <c r="BE152" i="12" s="1"/>
  <c r="AQ152" i="12"/>
  <c r="AR152" i="12"/>
  <c r="AS152" i="12"/>
  <c r="AT152" i="12"/>
  <c r="AI153" i="12"/>
  <c r="AJ153" i="12"/>
  <c r="AK153" i="12"/>
  <c r="AL153" i="12"/>
  <c r="AM153" i="12"/>
  <c r="AN153" i="12"/>
  <c r="AO153" i="12"/>
  <c r="AP153" i="12"/>
  <c r="AQ153" i="12"/>
  <c r="AR153" i="12"/>
  <c r="BH153" i="12" s="1"/>
  <c r="AS153" i="12"/>
  <c r="AT153" i="12"/>
  <c r="AI154" i="12"/>
  <c r="AI208" i="12" s="1"/>
  <c r="AJ154" i="12"/>
  <c r="AJ208" i="12" s="1"/>
  <c r="AK154" i="12"/>
  <c r="AL154" i="12"/>
  <c r="AM154" i="12"/>
  <c r="AN154" i="12"/>
  <c r="AO154" i="12"/>
  <c r="AP154" i="12"/>
  <c r="AQ154" i="12"/>
  <c r="AR154" i="12"/>
  <c r="AS154" i="12"/>
  <c r="AS208" i="12" s="1"/>
  <c r="AT154" i="12"/>
  <c r="AT208" i="12" s="1"/>
  <c r="AI155" i="12"/>
  <c r="AJ155" i="12"/>
  <c r="AK155" i="12"/>
  <c r="AL155" i="12"/>
  <c r="AM155" i="12"/>
  <c r="AN155" i="12"/>
  <c r="AO155" i="12"/>
  <c r="BE155" i="12" s="1"/>
  <c r="AP155" i="12"/>
  <c r="AQ155" i="12"/>
  <c r="AR155" i="12"/>
  <c r="AS155" i="12"/>
  <c r="AT155" i="12"/>
  <c r="AI156" i="12"/>
  <c r="AJ156" i="12"/>
  <c r="AK156" i="12"/>
  <c r="AL156" i="12"/>
  <c r="AM156" i="12"/>
  <c r="AN156" i="12"/>
  <c r="AO156" i="12"/>
  <c r="AP156" i="12"/>
  <c r="BD156" i="12" s="1"/>
  <c r="AQ156" i="12"/>
  <c r="AR156" i="12"/>
  <c r="AS156" i="12"/>
  <c r="AT156" i="12"/>
  <c r="AI157" i="12"/>
  <c r="AJ157" i="12"/>
  <c r="AK157" i="12"/>
  <c r="AL157" i="12"/>
  <c r="AM157" i="12"/>
  <c r="AN157" i="12"/>
  <c r="AO157" i="12"/>
  <c r="AP157" i="12"/>
  <c r="AQ157" i="12"/>
  <c r="AR157" i="12"/>
  <c r="AS157" i="12"/>
  <c r="AT157" i="12"/>
  <c r="BH157" i="12" s="1"/>
  <c r="AI158" i="12"/>
  <c r="AJ158" i="12"/>
  <c r="AK158" i="12"/>
  <c r="AL158" i="12"/>
  <c r="AM158" i="12"/>
  <c r="AN158" i="12"/>
  <c r="AO158" i="12"/>
  <c r="AP158" i="12"/>
  <c r="AQ158" i="12"/>
  <c r="AR158" i="12"/>
  <c r="AS158" i="12"/>
  <c r="AT158" i="12"/>
  <c r="AI159" i="12"/>
  <c r="AJ159" i="12"/>
  <c r="AK159" i="12"/>
  <c r="AL159" i="12"/>
  <c r="AZ159" i="12" s="1"/>
  <c r="AM159" i="12"/>
  <c r="AN159" i="12"/>
  <c r="AO159" i="12"/>
  <c r="AP159" i="12"/>
  <c r="AQ159" i="12"/>
  <c r="AR159" i="12"/>
  <c r="AS159" i="12"/>
  <c r="AT159" i="12"/>
  <c r="AI160" i="12"/>
  <c r="AJ160" i="12"/>
  <c r="AK160" i="12"/>
  <c r="AL160" i="12"/>
  <c r="AM160" i="12"/>
  <c r="AN160" i="12"/>
  <c r="AO160" i="12"/>
  <c r="AP160" i="12"/>
  <c r="BD160" i="12" s="1"/>
  <c r="AQ160" i="12"/>
  <c r="AR160" i="12"/>
  <c r="AS160" i="12"/>
  <c r="AT160" i="12"/>
  <c r="AI161" i="12"/>
  <c r="AJ161" i="12"/>
  <c r="AK161" i="12"/>
  <c r="AL161" i="12"/>
  <c r="AM161" i="12"/>
  <c r="AN161" i="12"/>
  <c r="AO161" i="12"/>
  <c r="AP161" i="12"/>
  <c r="AQ161" i="12"/>
  <c r="AR161" i="12"/>
  <c r="AS161" i="12"/>
  <c r="AT161" i="12"/>
  <c r="BH161" i="12" s="1"/>
  <c r="AI162" i="12"/>
  <c r="AJ162" i="12"/>
  <c r="AK162" i="12"/>
  <c r="AL162" i="12"/>
  <c r="AM162" i="12"/>
  <c r="AN162" i="12"/>
  <c r="AO162" i="12"/>
  <c r="AP162" i="12"/>
  <c r="AQ162" i="12"/>
  <c r="AR162" i="12"/>
  <c r="AS162" i="12"/>
  <c r="AT162" i="12"/>
  <c r="AI163" i="12"/>
  <c r="AJ163" i="12"/>
  <c r="AK163" i="12"/>
  <c r="AL163" i="12"/>
  <c r="AZ163" i="12" s="1"/>
  <c r="AM163" i="12"/>
  <c r="AN163" i="12"/>
  <c r="AO163" i="12"/>
  <c r="AP163" i="12"/>
  <c r="AQ163" i="12"/>
  <c r="AR163" i="12"/>
  <c r="AS163" i="12"/>
  <c r="AT163" i="12"/>
  <c r="AI164" i="12"/>
  <c r="AJ164" i="12"/>
  <c r="AK164" i="12"/>
  <c r="AL164" i="12"/>
  <c r="AM164" i="12"/>
  <c r="AN164" i="12"/>
  <c r="AO164" i="12"/>
  <c r="AP164" i="12"/>
  <c r="AQ164" i="12"/>
  <c r="AR164" i="12"/>
  <c r="AS164" i="12"/>
  <c r="AT164" i="12"/>
  <c r="AI165" i="12"/>
  <c r="AJ165" i="12"/>
  <c r="AK165" i="12"/>
  <c r="AL165" i="12"/>
  <c r="AM165" i="12"/>
  <c r="AN165" i="12"/>
  <c r="AO165" i="12"/>
  <c r="AP165" i="12"/>
  <c r="AQ165" i="12"/>
  <c r="AR165" i="12"/>
  <c r="AS165" i="12"/>
  <c r="AT165" i="12"/>
  <c r="AI166" i="12"/>
  <c r="AJ166" i="12"/>
  <c r="AK166" i="12"/>
  <c r="AL166" i="12"/>
  <c r="AM166" i="12"/>
  <c r="AN166" i="12"/>
  <c r="AO166" i="12"/>
  <c r="AP166" i="12"/>
  <c r="AQ166" i="12"/>
  <c r="AR166" i="12"/>
  <c r="AS166" i="12"/>
  <c r="AT166" i="12"/>
  <c r="AI167" i="12"/>
  <c r="AX167" i="12" s="1"/>
  <c r="AJ167" i="12"/>
  <c r="AK167" i="12"/>
  <c r="AL167" i="12"/>
  <c r="AM167" i="12"/>
  <c r="AN167" i="12"/>
  <c r="AO167" i="12"/>
  <c r="AP167" i="12"/>
  <c r="AQ167" i="12"/>
  <c r="AR167" i="12"/>
  <c r="AS167" i="12"/>
  <c r="AT167" i="12"/>
  <c r="AI168" i="12"/>
  <c r="AJ168" i="12"/>
  <c r="AK168" i="12"/>
  <c r="AL168" i="12"/>
  <c r="AM168" i="12"/>
  <c r="AN168" i="12"/>
  <c r="AO168" i="12"/>
  <c r="BD168" i="12" s="1"/>
  <c r="AP168" i="12"/>
  <c r="BE168" i="12" s="1"/>
  <c r="AQ168" i="12"/>
  <c r="AR168" i="12"/>
  <c r="AS168" i="12"/>
  <c r="AT168" i="12"/>
  <c r="AI169" i="12"/>
  <c r="AJ169" i="12"/>
  <c r="AK169" i="12"/>
  <c r="AL169" i="12"/>
  <c r="AM169" i="12"/>
  <c r="AN169" i="12"/>
  <c r="AO169" i="12"/>
  <c r="AP169" i="12"/>
  <c r="BF169" i="12" s="1"/>
  <c r="AQ169" i="12"/>
  <c r="AR169" i="12"/>
  <c r="AS169" i="12"/>
  <c r="AT169" i="12"/>
  <c r="AI170" i="12"/>
  <c r="AX170" i="12" s="1"/>
  <c r="AJ170" i="12"/>
  <c r="AK170" i="12"/>
  <c r="AL170" i="12"/>
  <c r="AM170" i="12"/>
  <c r="AN170" i="12"/>
  <c r="AO170" i="12"/>
  <c r="AP170" i="12"/>
  <c r="AQ170" i="12"/>
  <c r="AR170" i="12"/>
  <c r="AS170" i="12"/>
  <c r="AT170" i="12"/>
  <c r="AI171" i="12"/>
  <c r="AJ171" i="12"/>
  <c r="AK171" i="12"/>
  <c r="AL171" i="12"/>
  <c r="AZ171" i="12" s="1"/>
  <c r="AM171" i="12"/>
  <c r="AN171" i="12"/>
  <c r="AO171" i="12"/>
  <c r="AP171" i="12"/>
  <c r="AQ171" i="12"/>
  <c r="AR171" i="12"/>
  <c r="AS171" i="12"/>
  <c r="AT171" i="12"/>
  <c r="AI172" i="12"/>
  <c r="AJ172" i="12"/>
  <c r="AK172" i="12"/>
  <c r="AL172" i="12"/>
  <c r="AM172" i="12"/>
  <c r="AN172" i="12"/>
  <c r="AO172" i="12"/>
  <c r="AP172" i="12"/>
  <c r="BD172" i="12" s="1"/>
  <c r="AQ172" i="12"/>
  <c r="AR172" i="12"/>
  <c r="AS172" i="12"/>
  <c r="AT172" i="12"/>
  <c r="AI173" i="12"/>
  <c r="AJ173" i="12"/>
  <c r="AK173" i="12"/>
  <c r="AL173" i="12"/>
  <c r="AM173" i="12"/>
  <c r="AN173" i="12"/>
  <c r="AO173" i="12"/>
  <c r="AP173" i="12"/>
  <c r="AQ173" i="12"/>
  <c r="AR173" i="12"/>
  <c r="AS173" i="12"/>
  <c r="BH173" i="12" s="1"/>
  <c r="AT173" i="12"/>
  <c r="AI174" i="12"/>
  <c r="AJ174" i="12"/>
  <c r="AK174" i="12"/>
  <c r="AY174" i="12" s="1"/>
  <c r="AL174" i="12"/>
  <c r="AM174" i="12"/>
  <c r="AN174" i="12"/>
  <c r="AO174" i="12"/>
  <c r="AP174" i="12"/>
  <c r="AQ174" i="12"/>
  <c r="AR174" i="12"/>
  <c r="AS174" i="12"/>
  <c r="AT174" i="12"/>
  <c r="AI175" i="12"/>
  <c r="AJ175" i="12"/>
  <c r="AK175" i="12"/>
  <c r="AL175" i="12"/>
  <c r="AZ175" i="12" s="1"/>
  <c r="AM175" i="12"/>
  <c r="AN175" i="12"/>
  <c r="AO175" i="12"/>
  <c r="AP175" i="12"/>
  <c r="AQ175" i="12"/>
  <c r="AR175" i="12"/>
  <c r="AS175" i="12"/>
  <c r="AT175" i="12"/>
  <c r="AI176" i="12"/>
  <c r="AJ176" i="12"/>
  <c r="AK176" i="12"/>
  <c r="AL176" i="12"/>
  <c r="AM176" i="12"/>
  <c r="AN176" i="12"/>
  <c r="AO176" i="12"/>
  <c r="AP176" i="12"/>
  <c r="BD176" i="12" s="1"/>
  <c r="AQ176" i="12"/>
  <c r="BG176" i="12" s="1"/>
  <c r="AR176" i="12"/>
  <c r="AS176" i="12"/>
  <c r="AT176" i="12"/>
  <c r="AI177" i="12"/>
  <c r="AJ177" i="12"/>
  <c r="AK177" i="12"/>
  <c r="AL177" i="12"/>
  <c r="AZ177" i="12" s="1"/>
  <c r="AM177" i="12"/>
  <c r="AN177" i="12"/>
  <c r="AO177" i="12"/>
  <c r="AP177" i="12"/>
  <c r="AQ177" i="12"/>
  <c r="AR177" i="12"/>
  <c r="AS177" i="12"/>
  <c r="AT177" i="12"/>
  <c r="BH177" i="12" s="1"/>
  <c r="AI178" i="12"/>
  <c r="AJ178" i="12"/>
  <c r="AK178" i="12"/>
  <c r="AL178" i="12"/>
  <c r="AM178" i="12"/>
  <c r="AN178" i="12"/>
  <c r="AO178" i="12"/>
  <c r="AP178" i="12"/>
  <c r="AQ178" i="12"/>
  <c r="AR178" i="12"/>
  <c r="AS178" i="12"/>
  <c r="AT178" i="12"/>
  <c r="AI179" i="12"/>
  <c r="AJ179" i="12"/>
  <c r="AK179" i="12"/>
  <c r="AL179" i="12"/>
  <c r="AZ179" i="12" s="1"/>
  <c r="AM179" i="12"/>
  <c r="AN179" i="12"/>
  <c r="AO179" i="12"/>
  <c r="AP179" i="12"/>
  <c r="AQ179" i="12"/>
  <c r="BF179" i="12" s="1"/>
  <c r="AR179" i="12"/>
  <c r="AS179" i="12"/>
  <c r="AT179" i="12"/>
  <c r="AI180" i="12"/>
  <c r="AJ180" i="12"/>
  <c r="AK180" i="12"/>
  <c r="AL180" i="12"/>
  <c r="AM180" i="12"/>
  <c r="AN180" i="12"/>
  <c r="AO180" i="12"/>
  <c r="AP180" i="12"/>
  <c r="AQ180" i="12"/>
  <c r="AR180" i="12"/>
  <c r="AS180" i="12"/>
  <c r="AT180" i="12"/>
  <c r="AI181" i="12"/>
  <c r="AJ181" i="12"/>
  <c r="AK181" i="12"/>
  <c r="AL181" i="12"/>
  <c r="AM181" i="12"/>
  <c r="AN181" i="12"/>
  <c r="AO181" i="12"/>
  <c r="AP181" i="12"/>
  <c r="AQ181" i="12"/>
  <c r="AR181" i="12"/>
  <c r="AS181" i="12"/>
  <c r="AT181" i="12"/>
  <c r="AI182" i="12"/>
  <c r="AJ182" i="12"/>
  <c r="AK182" i="12"/>
  <c r="AL182" i="12"/>
  <c r="AM182" i="12"/>
  <c r="AN182" i="12"/>
  <c r="AO182" i="12"/>
  <c r="AP182" i="12"/>
  <c r="AQ182" i="12"/>
  <c r="AR182" i="12"/>
  <c r="AS182" i="12"/>
  <c r="AT182" i="12"/>
  <c r="AI183" i="12"/>
  <c r="AX183" i="12" s="1"/>
  <c r="AJ183" i="12"/>
  <c r="AK183" i="12"/>
  <c r="AL183" i="12"/>
  <c r="AM183" i="12"/>
  <c r="AN183" i="12"/>
  <c r="AO183" i="12"/>
  <c r="AP183" i="12"/>
  <c r="AQ183" i="12"/>
  <c r="AR183" i="12"/>
  <c r="AS183" i="12"/>
  <c r="AT183" i="12"/>
  <c r="AI184" i="12"/>
  <c r="AJ184" i="12"/>
  <c r="AK184" i="12"/>
  <c r="AL184" i="12"/>
  <c r="AM184" i="12"/>
  <c r="AN184" i="12"/>
  <c r="AO184" i="12"/>
  <c r="AP184" i="12"/>
  <c r="BD184" i="12" s="1"/>
  <c r="AQ184" i="12"/>
  <c r="AR184" i="12"/>
  <c r="AS184" i="12"/>
  <c r="AT184" i="12"/>
  <c r="AI185" i="12"/>
  <c r="AJ185" i="12"/>
  <c r="AK185" i="12"/>
  <c r="AL185" i="12"/>
  <c r="AM185" i="12"/>
  <c r="AN185" i="12"/>
  <c r="AO185" i="12"/>
  <c r="AP185" i="12"/>
  <c r="AQ185" i="12"/>
  <c r="AR185" i="12"/>
  <c r="AS185" i="12"/>
  <c r="AT185" i="12"/>
  <c r="BH185" i="12" s="1"/>
  <c r="AI186" i="12"/>
  <c r="AX186" i="12" s="1"/>
  <c r="AJ186" i="12"/>
  <c r="AK186" i="12"/>
  <c r="AL186" i="12"/>
  <c r="AM186" i="12"/>
  <c r="AN186" i="12"/>
  <c r="AO186" i="12"/>
  <c r="AP186" i="12"/>
  <c r="AQ186" i="12"/>
  <c r="AR186" i="12"/>
  <c r="AS186" i="12"/>
  <c r="AT186" i="12"/>
  <c r="AI187" i="12"/>
  <c r="AJ187" i="12"/>
  <c r="AK187" i="12"/>
  <c r="AL187" i="12"/>
  <c r="AZ187" i="12" s="1"/>
  <c r="AM187" i="12"/>
  <c r="AN187" i="12"/>
  <c r="AO187" i="12"/>
  <c r="AP187" i="12"/>
  <c r="AQ187" i="12"/>
  <c r="AR187" i="12"/>
  <c r="AS187" i="12"/>
  <c r="AT187" i="12"/>
  <c r="AI188" i="12"/>
  <c r="AJ188" i="12"/>
  <c r="AK188" i="12"/>
  <c r="AL188" i="12"/>
  <c r="BB188" i="12" s="1"/>
  <c r="AM188" i="12"/>
  <c r="BC188" i="12" s="1"/>
  <c r="AN188" i="12"/>
  <c r="AO188" i="12"/>
  <c r="AP188" i="12"/>
  <c r="BD188" i="12" s="1"/>
  <c r="AQ188" i="12"/>
  <c r="BG188" i="12" s="1"/>
  <c r="AR188" i="12"/>
  <c r="BH188" i="12" s="1"/>
  <c r="AS188" i="12"/>
  <c r="AT188" i="12"/>
  <c r="AI189" i="12"/>
  <c r="AX189" i="12" s="1"/>
  <c r="AJ189" i="12"/>
  <c r="AK189" i="12"/>
  <c r="AL189" i="12"/>
  <c r="AM189" i="12"/>
  <c r="AN189" i="12"/>
  <c r="AO189" i="12"/>
  <c r="AP189" i="12"/>
  <c r="AQ189" i="12"/>
  <c r="BG189" i="12" s="1"/>
  <c r="AR189" i="12"/>
  <c r="AS189" i="12"/>
  <c r="AT189" i="12"/>
  <c r="BH189" i="12" s="1"/>
  <c r="AI190" i="12"/>
  <c r="AJ190" i="12"/>
  <c r="AK190" i="12"/>
  <c r="BA190" i="12" s="1"/>
  <c r="AL190" i="12"/>
  <c r="AM190" i="12"/>
  <c r="AN190" i="12"/>
  <c r="AO190" i="12"/>
  <c r="AP190" i="12"/>
  <c r="AQ190" i="12"/>
  <c r="AR190" i="12"/>
  <c r="AS190" i="12"/>
  <c r="AT190" i="12"/>
  <c r="AI191" i="12"/>
  <c r="AJ191" i="12"/>
  <c r="AK191" i="12"/>
  <c r="BA191" i="12" s="1"/>
  <c r="AL191" i="12"/>
  <c r="AZ191" i="12" s="1"/>
  <c r="AM191" i="12"/>
  <c r="AN191" i="12"/>
  <c r="AO191" i="12"/>
  <c r="BE191" i="12" s="1"/>
  <c r="AP191" i="12"/>
  <c r="AQ191" i="12"/>
  <c r="AR191" i="12"/>
  <c r="AS191" i="12"/>
  <c r="AT191" i="12"/>
  <c r="AI192" i="12"/>
  <c r="AJ192" i="12"/>
  <c r="AK192" i="12"/>
  <c r="AL192" i="12"/>
  <c r="AM192" i="12"/>
  <c r="BC192" i="12" s="1"/>
  <c r="AN192" i="12"/>
  <c r="AO192" i="12"/>
  <c r="AP192" i="12"/>
  <c r="AQ192" i="12"/>
  <c r="AR192" i="12"/>
  <c r="AS192" i="12"/>
  <c r="AT192" i="12"/>
  <c r="AI193" i="12"/>
  <c r="AJ193" i="12"/>
  <c r="AK193" i="12"/>
  <c r="AL193" i="12"/>
  <c r="AM193" i="12"/>
  <c r="AN193" i="12"/>
  <c r="AO193" i="12"/>
  <c r="AP193" i="12"/>
  <c r="AQ193" i="12"/>
  <c r="BG193" i="12" s="1"/>
  <c r="AR193" i="12"/>
  <c r="AS193" i="12"/>
  <c r="AT193" i="12"/>
  <c r="BH193" i="12" s="1"/>
  <c r="AI194" i="12"/>
  <c r="AJ194" i="12"/>
  <c r="AK194" i="12"/>
  <c r="BA194" i="12" s="1"/>
  <c r="AL194" i="12"/>
  <c r="AM194" i="12"/>
  <c r="AN194" i="12"/>
  <c r="AO194" i="12"/>
  <c r="AP194" i="12"/>
  <c r="AQ194" i="12"/>
  <c r="AR194" i="12"/>
  <c r="AS194" i="12"/>
  <c r="AT194" i="12"/>
  <c r="AI195" i="12"/>
  <c r="AJ195" i="12"/>
  <c r="AK195" i="12"/>
  <c r="AL195" i="12"/>
  <c r="AM195" i="12"/>
  <c r="AN195" i="12"/>
  <c r="AO195" i="12"/>
  <c r="BE195" i="12" s="1"/>
  <c r="AP195" i="12"/>
  <c r="AQ195" i="12"/>
  <c r="AR195" i="12"/>
  <c r="AS195" i="12"/>
  <c r="AT195" i="12"/>
  <c r="AI196" i="12"/>
  <c r="AJ196" i="12"/>
  <c r="AK196" i="12"/>
  <c r="AL196" i="12"/>
  <c r="AM196" i="12"/>
  <c r="BC196" i="12" s="1"/>
  <c r="AN196" i="12"/>
  <c r="AO196" i="12"/>
  <c r="AP196" i="12"/>
  <c r="AQ196" i="12"/>
  <c r="AR196" i="12"/>
  <c r="AS196" i="12"/>
  <c r="AT196" i="12"/>
  <c r="AI197" i="12"/>
  <c r="AJ197" i="12"/>
  <c r="AK197" i="12"/>
  <c r="AL197" i="12"/>
  <c r="AM197" i="12"/>
  <c r="AN197" i="12"/>
  <c r="AO197" i="12"/>
  <c r="AP197" i="12"/>
  <c r="AQ197" i="12"/>
  <c r="BG197" i="12" s="1"/>
  <c r="AR197" i="12"/>
  <c r="AS197" i="12"/>
  <c r="AT197" i="12"/>
  <c r="AI198" i="12"/>
  <c r="AJ198" i="12"/>
  <c r="AK198" i="12"/>
  <c r="AL198" i="12"/>
  <c r="AM198" i="12"/>
  <c r="AN198" i="12"/>
  <c r="AO198" i="12"/>
  <c r="AP198" i="12"/>
  <c r="AQ198" i="12"/>
  <c r="AR198" i="12"/>
  <c r="AS198" i="12"/>
  <c r="AT198" i="12"/>
  <c r="AI199" i="12"/>
  <c r="AX199" i="12" s="1"/>
  <c r="AJ199" i="12"/>
  <c r="AK199" i="12"/>
  <c r="AL199" i="12"/>
  <c r="AZ199" i="12" s="1"/>
  <c r="AM199" i="12"/>
  <c r="AN199" i="12"/>
  <c r="AO199" i="12"/>
  <c r="AP199" i="12"/>
  <c r="AQ199" i="12"/>
  <c r="AR199" i="12"/>
  <c r="AS199" i="12"/>
  <c r="AT199" i="12"/>
  <c r="AI200" i="12"/>
  <c r="AJ200" i="12"/>
  <c r="AK200" i="12"/>
  <c r="AL200" i="12"/>
  <c r="BB200" i="12" s="1"/>
  <c r="AM200" i="12"/>
  <c r="BC200" i="12" s="1"/>
  <c r="AN200" i="12"/>
  <c r="BD200" i="12" s="1"/>
  <c r="AO200" i="12"/>
  <c r="AP200" i="12"/>
  <c r="BF200" i="12" s="1"/>
  <c r="AQ200" i="12"/>
  <c r="AR200" i="12"/>
  <c r="AS200" i="12"/>
  <c r="AT200" i="12"/>
  <c r="AI201" i="12"/>
  <c r="AJ201" i="12"/>
  <c r="AK201" i="12"/>
  <c r="AL201" i="12"/>
  <c r="AM201" i="12"/>
  <c r="AN201" i="12"/>
  <c r="AO201" i="12"/>
  <c r="AP201" i="12"/>
  <c r="AQ201" i="12"/>
  <c r="BG201" i="12" s="1"/>
  <c r="AR201" i="12"/>
  <c r="AS201" i="12"/>
  <c r="AT201" i="12"/>
  <c r="BH201" i="12" s="1"/>
  <c r="AI202" i="12"/>
  <c r="AJ202" i="12"/>
  <c r="AK202" i="12"/>
  <c r="AL202" i="12"/>
  <c r="AM202" i="12"/>
  <c r="AN202" i="12"/>
  <c r="AO202" i="12"/>
  <c r="AP202" i="12"/>
  <c r="AQ202" i="12"/>
  <c r="AR202" i="12"/>
  <c r="AS202" i="12"/>
  <c r="AT202" i="12"/>
  <c r="AI203" i="12"/>
  <c r="AY203" i="12" s="1"/>
  <c r="AJ203" i="12"/>
  <c r="AZ203" i="12" s="1"/>
  <c r="AK203" i="12"/>
  <c r="BA203" i="12" s="1"/>
  <c r="AL203" i="12"/>
  <c r="BB203" i="12" s="1"/>
  <c r="AM203" i="12"/>
  <c r="AN203" i="12"/>
  <c r="AO203" i="12"/>
  <c r="BE203" i="12" s="1"/>
  <c r="AP203" i="12"/>
  <c r="AQ203" i="12"/>
  <c r="AR203" i="12"/>
  <c r="AS203" i="12"/>
  <c r="AT203" i="12"/>
  <c r="AI204" i="12"/>
  <c r="AJ204" i="12"/>
  <c r="AK204" i="12"/>
  <c r="AL204" i="12"/>
  <c r="AM204" i="12"/>
  <c r="BC204" i="12" s="1"/>
  <c r="AN204" i="12"/>
  <c r="AO204" i="12"/>
  <c r="AP204" i="12"/>
  <c r="BD204" i="12" s="1"/>
  <c r="AQ204" i="12"/>
  <c r="AR204" i="12"/>
  <c r="AS204" i="12"/>
  <c r="AT204" i="12"/>
  <c r="AI205" i="12"/>
  <c r="AJ205" i="12"/>
  <c r="AK205" i="12"/>
  <c r="AL205" i="12"/>
  <c r="AM205" i="12"/>
  <c r="AN205" i="12"/>
  <c r="AO205" i="12"/>
  <c r="AP205" i="12"/>
  <c r="AQ205" i="12"/>
  <c r="BG205" i="12" s="1"/>
  <c r="AR205" i="12"/>
  <c r="AS205" i="12"/>
  <c r="AT205" i="12"/>
  <c r="BH205" i="12" s="1"/>
  <c r="AI206" i="12"/>
  <c r="AJ206" i="12"/>
  <c r="AK206" i="12"/>
  <c r="BA206" i="12" s="1"/>
  <c r="AL206" i="12"/>
  <c r="AM206" i="12"/>
  <c r="AN206" i="12"/>
  <c r="AO206" i="12"/>
  <c r="AP206" i="12"/>
  <c r="AQ206" i="12"/>
  <c r="AR206" i="12"/>
  <c r="AS206" i="12"/>
  <c r="AT206" i="12"/>
  <c r="AI207" i="12"/>
  <c r="AJ207" i="12"/>
  <c r="AK207" i="12"/>
  <c r="AL207" i="12"/>
  <c r="AZ207" i="12" s="1"/>
  <c r="AM207" i="12"/>
  <c r="AN207" i="12"/>
  <c r="AO207" i="12"/>
  <c r="BE207" i="12" s="1"/>
  <c r="AP207" i="12"/>
  <c r="AQ207" i="12"/>
  <c r="AR207" i="12"/>
  <c r="AS207" i="12"/>
  <c r="AT207" i="12"/>
  <c r="AJ143" i="12"/>
  <c r="AK143" i="12"/>
  <c r="AL143" i="12"/>
  <c r="AM143" i="12"/>
  <c r="AN143" i="12"/>
  <c r="BD143" i="12" s="1"/>
  <c r="AO143" i="12"/>
  <c r="AP143" i="12"/>
  <c r="AQ143" i="12"/>
  <c r="BG143" i="12" s="1"/>
  <c r="AR143" i="12"/>
  <c r="BH143" i="12" s="1"/>
  <c r="AS143" i="12"/>
  <c r="AT143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S208" i="12"/>
  <c r="T3" i="13"/>
  <c r="T4" i="13"/>
  <c r="T5" i="13"/>
  <c r="T6" i="13"/>
  <c r="BE78" i="12"/>
  <c r="AJ74" i="12"/>
  <c r="AK74" i="12"/>
  <c r="AL74" i="12"/>
  <c r="AM74" i="12"/>
  <c r="AN74" i="12"/>
  <c r="BD74" i="12" s="1"/>
  <c r="AO74" i="12"/>
  <c r="AP74" i="12"/>
  <c r="AQ74" i="12"/>
  <c r="BG74" i="12" s="1"/>
  <c r="AR74" i="12"/>
  <c r="AS74" i="12"/>
  <c r="AT74" i="12"/>
  <c r="AJ75" i="12"/>
  <c r="AK75" i="12"/>
  <c r="AL75" i="12"/>
  <c r="AM75" i="12"/>
  <c r="AN75" i="12"/>
  <c r="BD75" i="12" s="1"/>
  <c r="AO75" i="12"/>
  <c r="AP75" i="12"/>
  <c r="AQ75" i="12"/>
  <c r="AR75" i="12"/>
  <c r="AS75" i="12"/>
  <c r="AT75" i="12"/>
  <c r="AJ76" i="12"/>
  <c r="AK76" i="12"/>
  <c r="AL76" i="12"/>
  <c r="AM76" i="12"/>
  <c r="AN76" i="12"/>
  <c r="AO76" i="12"/>
  <c r="AP76" i="12"/>
  <c r="AQ76" i="12"/>
  <c r="AR76" i="12"/>
  <c r="AS76" i="12"/>
  <c r="AT76" i="12"/>
  <c r="AJ77" i="12"/>
  <c r="AK77" i="12"/>
  <c r="AL77" i="12"/>
  <c r="AM77" i="12"/>
  <c r="AN77" i="12"/>
  <c r="AO77" i="12"/>
  <c r="AP77" i="12"/>
  <c r="AQ77" i="12"/>
  <c r="AR77" i="12"/>
  <c r="AS77" i="12"/>
  <c r="AT77" i="12"/>
  <c r="AJ78" i="12"/>
  <c r="AK78" i="12"/>
  <c r="AL78" i="12"/>
  <c r="AM78" i="12"/>
  <c r="AN78" i="12"/>
  <c r="BD78" i="12" s="1"/>
  <c r="AO78" i="12"/>
  <c r="AP78" i="12"/>
  <c r="AQ78" i="12"/>
  <c r="AR78" i="12"/>
  <c r="BF78" i="12" s="1"/>
  <c r="AS78" i="12"/>
  <c r="AT78" i="12"/>
  <c r="AJ79" i="12"/>
  <c r="AK79" i="12"/>
  <c r="AL79" i="12"/>
  <c r="AM79" i="12"/>
  <c r="AN79" i="12"/>
  <c r="AO79" i="12"/>
  <c r="AP79" i="12"/>
  <c r="AQ79" i="12"/>
  <c r="AR79" i="12"/>
  <c r="AS79" i="12"/>
  <c r="AT79" i="12"/>
  <c r="AJ80" i="12"/>
  <c r="AK80" i="12"/>
  <c r="AL80" i="12"/>
  <c r="BB80" i="12" s="1"/>
  <c r="AM80" i="12"/>
  <c r="AN80" i="12"/>
  <c r="AO80" i="12"/>
  <c r="AP80" i="12"/>
  <c r="AQ80" i="12"/>
  <c r="AR80" i="12"/>
  <c r="AS80" i="12"/>
  <c r="AT80" i="12"/>
  <c r="AJ81" i="12"/>
  <c r="AK81" i="12"/>
  <c r="AL81" i="12"/>
  <c r="AM81" i="12"/>
  <c r="AN81" i="12"/>
  <c r="AO81" i="12"/>
  <c r="AP81" i="12"/>
  <c r="AQ81" i="12"/>
  <c r="BG81" i="12" s="1"/>
  <c r="AR81" i="12"/>
  <c r="AS81" i="12"/>
  <c r="AT81" i="12"/>
  <c r="AJ82" i="12"/>
  <c r="AK82" i="12"/>
  <c r="BA82" i="12" s="1"/>
  <c r="AL82" i="12"/>
  <c r="AM82" i="12"/>
  <c r="AN82" i="12"/>
  <c r="BB82" i="12" s="1"/>
  <c r="AO82" i="12"/>
  <c r="AP82" i="12"/>
  <c r="AQ82" i="12"/>
  <c r="BG82" i="12" s="1"/>
  <c r="AR82" i="12"/>
  <c r="AS82" i="12"/>
  <c r="AT82" i="12"/>
  <c r="AJ83" i="12"/>
  <c r="AK83" i="12"/>
  <c r="AL83" i="12"/>
  <c r="AM83" i="12"/>
  <c r="AN83" i="12"/>
  <c r="BD83" i="12" s="1"/>
  <c r="AO83" i="12"/>
  <c r="AP83" i="12"/>
  <c r="AQ83" i="12"/>
  <c r="AR83" i="12"/>
  <c r="AS83" i="12"/>
  <c r="AT83" i="12"/>
  <c r="AJ84" i="12"/>
  <c r="AK84" i="12"/>
  <c r="AL84" i="12"/>
  <c r="AM84" i="12"/>
  <c r="AN84" i="12"/>
  <c r="AO84" i="12"/>
  <c r="AP84" i="12"/>
  <c r="AQ84" i="12"/>
  <c r="AR84" i="12"/>
  <c r="AS84" i="12"/>
  <c r="AT84" i="12"/>
  <c r="AJ85" i="12"/>
  <c r="AK85" i="12"/>
  <c r="AL85" i="12"/>
  <c r="AL139" i="12" s="1"/>
  <c r="AM85" i="12"/>
  <c r="AM139" i="12" s="1"/>
  <c r="AN85" i="12"/>
  <c r="AN139" i="12" s="1"/>
  <c r="AO85" i="12"/>
  <c r="AO139" i="12" s="1"/>
  <c r="AP85" i="12"/>
  <c r="AP139" i="12" s="1"/>
  <c r="AQ85" i="12"/>
  <c r="AQ139" i="12" s="1"/>
  <c r="AR85" i="12"/>
  <c r="AR139" i="12" s="1"/>
  <c r="AS85" i="12"/>
  <c r="AS139" i="12" s="1"/>
  <c r="AT85" i="12"/>
  <c r="AT139" i="12" s="1"/>
  <c r="AJ86" i="12"/>
  <c r="AK86" i="12"/>
  <c r="AL86" i="12"/>
  <c r="AM86" i="12"/>
  <c r="AN86" i="12"/>
  <c r="AO86" i="12"/>
  <c r="AP86" i="12"/>
  <c r="AQ86" i="12"/>
  <c r="AR86" i="12"/>
  <c r="AS86" i="12"/>
  <c r="AT86" i="12"/>
  <c r="AJ87" i="12"/>
  <c r="AK87" i="12"/>
  <c r="BA87" i="12" s="1"/>
  <c r="AL87" i="12"/>
  <c r="AM87" i="12"/>
  <c r="AN87" i="12"/>
  <c r="AO87" i="12"/>
  <c r="BE87" i="12" s="1"/>
  <c r="AP87" i="12"/>
  <c r="AQ87" i="12"/>
  <c r="AR87" i="12"/>
  <c r="AS87" i="12"/>
  <c r="AT87" i="12"/>
  <c r="AJ88" i="12"/>
  <c r="AK88" i="12"/>
  <c r="AL88" i="12"/>
  <c r="AM88" i="12"/>
  <c r="AN88" i="12"/>
  <c r="AO88" i="12"/>
  <c r="AP88" i="12"/>
  <c r="AQ88" i="12"/>
  <c r="AR88" i="12"/>
  <c r="AS88" i="12"/>
  <c r="AT88" i="12"/>
  <c r="AJ89" i="12"/>
  <c r="AK89" i="12"/>
  <c r="AL89" i="12"/>
  <c r="AZ89" i="12" s="1"/>
  <c r="AM89" i="12"/>
  <c r="AN89" i="12"/>
  <c r="AO89" i="12"/>
  <c r="AP89" i="12"/>
  <c r="AQ89" i="12"/>
  <c r="AR89" i="12"/>
  <c r="AS89" i="12"/>
  <c r="AT89" i="12"/>
  <c r="AJ90" i="12"/>
  <c r="AK90" i="12"/>
  <c r="AL90" i="12"/>
  <c r="AM90" i="12"/>
  <c r="AN90" i="12"/>
  <c r="AO90" i="12"/>
  <c r="AP90" i="12"/>
  <c r="AQ90" i="12"/>
  <c r="BG90" i="12" s="1"/>
  <c r="AR90" i="12"/>
  <c r="AS90" i="12"/>
  <c r="AT90" i="12"/>
  <c r="AJ91" i="12"/>
  <c r="AK91" i="12"/>
  <c r="AL91" i="12"/>
  <c r="AM91" i="12"/>
  <c r="AN91" i="12"/>
  <c r="AO91" i="12"/>
  <c r="AP91" i="12"/>
  <c r="AQ91" i="12"/>
  <c r="AR91" i="12"/>
  <c r="AS91" i="12"/>
  <c r="AT91" i="12"/>
  <c r="AJ92" i="12"/>
  <c r="AK92" i="12"/>
  <c r="AL92" i="12"/>
  <c r="AM92" i="12"/>
  <c r="AN92" i="12"/>
  <c r="AO92" i="12"/>
  <c r="AP92" i="12"/>
  <c r="AQ92" i="12"/>
  <c r="AR92" i="12"/>
  <c r="AS92" i="12"/>
  <c r="AT92" i="12"/>
  <c r="AJ93" i="12"/>
  <c r="AK93" i="12"/>
  <c r="AL93" i="12"/>
  <c r="AM93" i="12"/>
  <c r="AN93" i="12"/>
  <c r="AO93" i="12"/>
  <c r="AP93" i="12"/>
  <c r="AQ93" i="12"/>
  <c r="AR93" i="12"/>
  <c r="AS93" i="12"/>
  <c r="AT93" i="12"/>
  <c r="AJ94" i="12"/>
  <c r="AK94" i="12"/>
  <c r="AL94" i="12"/>
  <c r="AZ94" i="12" s="1"/>
  <c r="AM94" i="12"/>
  <c r="BA94" i="12" s="1"/>
  <c r="AN94" i="12"/>
  <c r="BD94" i="12" s="1"/>
  <c r="AO94" i="12"/>
  <c r="AP94" i="12"/>
  <c r="AQ94" i="12"/>
  <c r="AR94" i="12"/>
  <c r="AS94" i="12"/>
  <c r="AT94" i="12"/>
  <c r="AJ95" i="12"/>
  <c r="AK95" i="12"/>
  <c r="AL95" i="12"/>
  <c r="AM95" i="12"/>
  <c r="AN95" i="12"/>
  <c r="AO95" i="12"/>
  <c r="AP95" i="12"/>
  <c r="AQ95" i="12"/>
  <c r="AR95" i="12"/>
  <c r="AS95" i="12"/>
  <c r="AT95" i="12"/>
  <c r="AJ96" i="12"/>
  <c r="AK96" i="12"/>
  <c r="AL96" i="12"/>
  <c r="BB96" i="12" s="1"/>
  <c r="AM96" i="12"/>
  <c r="AN96" i="12"/>
  <c r="AO96" i="12"/>
  <c r="BC96" i="12" s="1"/>
  <c r="AP96" i="12"/>
  <c r="AQ96" i="12"/>
  <c r="AR96" i="12"/>
  <c r="AS96" i="12"/>
  <c r="AT96" i="12"/>
  <c r="AJ97" i="12"/>
  <c r="AK97" i="12"/>
  <c r="AL97" i="12"/>
  <c r="AM97" i="12"/>
  <c r="BC97" i="12" s="1"/>
  <c r="AN97" i="12"/>
  <c r="AO97" i="12"/>
  <c r="AP97" i="12"/>
  <c r="AQ97" i="12"/>
  <c r="BG97" i="12" s="1"/>
  <c r="AR97" i="12"/>
  <c r="AS97" i="12"/>
  <c r="AT97" i="12"/>
  <c r="AJ98" i="12"/>
  <c r="AK98" i="12"/>
  <c r="AL98" i="12"/>
  <c r="AM98" i="12"/>
  <c r="AN98" i="12"/>
  <c r="AO98" i="12"/>
  <c r="AP98" i="12"/>
  <c r="AQ98" i="12"/>
  <c r="BG98" i="12" s="1"/>
  <c r="AR98" i="12"/>
  <c r="AS98" i="12"/>
  <c r="AT98" i="12"/>
  <c r="AJ99" i="12"/>
  <c r="AK99" i="12"/>
  <c r="BA99" i="12" s="1"/>
  <c r="AL99" i="12"/>
  <c r="AM99" i="12"/>
  <c r="AN99" i="12"/>
  <c r="BB99" i="12" s="1"/>
  <c r="AO99" i="12"/>
  <c r="AP99" i="12"/>
  <c r="AQ99" i="12"/>
  <c r="AR99" i="12"/>
  <c r="AS99" i="12"/>
  <c r="AT99" i="12"/>
  <c r="AJ100" i="12"/>
  <c r="AK100" i="12"/>
  <c r="BA100" i="12" s="1"/>
  <c r="AL100" i="12"/>
  <c r="AM100" i="12"/>
  <c r="AN100" i="12"/>
  <c r="AO100" i="12"/>
  <c r="AP100" i="12"/>
  <c r="AQ100" i="12"/>
  <c r="AR100" i="12"/>
  <c r="AS100" i="12"/>
  <c r="AT100" i="12"/>
  <c r="AJ101" i="12"/>
  <c r="AZ101" i="12" s="1"/>
  <c r="AK101" i="12"/>
  <c r="BA101" i="12" s="1"/>
  <c r="AL101" i="12"/>
  <c r="BB101" i="12" s="1"/>
  <c r="AM101" i="12"/>
  <c r="AN101" i="12"/>
  <c r="AO101" i="12"/>
  <c r="AP101" i="12"/>
  <c r="AQ101" i="12"/>
  <c r="AR101" i="12"/>
  <c r="AS101" i="12"/>
  <c r="AT101" i="12"/>
  <c r="AJ102" i="12"/>
  <c r="AK102" i="12"/>
  <c r="AL102" i="12"/>
  <c r="AM102" i="12"/>
  <c r="AN102" i="12"/>
  <c r="AO102" i="12"/>
  <c r="AP102" i="12"/>
  <c r="AQ102" i="12"/>
  <c r="AR102" i="12"/>
  <c r="AS102" i="12"/>
  <c r="AT102" i="12"/>
  <c r="AJ103" i="12"/>
  <c r="AK103" i="12"/>
  <c r="BA103" i="12" s="1"/>
  <c r="AL103" i="12"/>
  <c r="AM103" i="12"/>
  <c r="AN103" i="12"/>
  <c r="AO103" i="12"/>
  <c r="AP103" i="12"/>
  <c r="AQ103" i="12"/>
  <c r="AR103" i="12"/>
  <c r="AS103" i="12"/>
  <c r="AT103" i="12"/>
  <c r="AJ104" i="12"/>
  <c r="AK104" i="12"/>
  <c r="AL104" i="12"/>
  <c r="AM104" i="12"/>
  <c r="AN104" i="12"/>
  <c r="AO104" i="12"/>
  <c r="AP104" i="12"/>
  <c r="BF104" i="12" s="1"/>
  <c r="AQ104" i="12"/>
  <c r="AR104" i="12"/>
  <c r="AS104" i="12"/>
  <c r="AT104" i="12"/>
  <c r="AJ105" i="12"/>
  <c r="AK105" i="12"/>
  <c r="AL105" i="12"/>
  <c r="AM105" i="12"/>
  <c r="AN105" i="12"/>
  <c r="AO105" i="12"/>
  <c r="AP105" i="12"/>
  <c r="AQ105" i="12"/>
  <c r="AR105" i="12"/>
  <c r="AS105" i="12"/>
  <c r="AT105" i="12"/>
  <c r="AJ106" i="12"/>
  <c r="AZ106" i="12" s="1"/>
  <c r="AK106" i="12"/>
  <c r="AL106" i="12"/>
  <c r="AM106" i="12"/>
  <c r="AN106" i="12"/>
  <c r="BD106" i="12" s="1"/>
  <c r="AO106" i="12"/>
  <c r="AP106" i="12"/>
  <c r="AQ106" i="12"/>
  <c r="BE106" i="12" s="1"/>
  <c r="AR106" i="12"/>
  <c r="AS106" i="12"/>
  <c r="AT106" i="12"/>
  <c r="AJ107" i="12"/>
  <c r="AK107" i="12"/>
  <c r="AL107" i="12"/>
  <c r="AM107" i="12"/>
  <c r="AN107" i="12"/>
  <c r="BD107" i="12" s="1"/>
  <c r="AO107" i="12"/>
  <c r="AP107" i="12"/>
  <c r="AQ107" i="12"/>
  <c r="AR107" i="12"/>
  <c r="AS107" i="12"/>
  <c r="AT107" i="12"/>
  <c r="AJ108" i="12"/>
  <c r="AK108" i="12"/>
  <c r="BA108" i="12" s="1"/>
  <c r="AL108" i="12"/>
  <c r="AM108" i="12"/>
  <c r="AN108" i="12"/>
  <c r="AO108" i="12"/>
  <c r="AP108" i="12"/>
  <c r="AQ108" i="12"/>
  <c r="AR108" i="12"/>
  <c r="AS108" i="12"/>
  <c r="AT108" i="12"/>
  <c r="AJ109" i="12"/>
  <c r="AK109" i="12"/>
  <c r="AL109" i="12"/>
  <c r="AM109" i="12"/>
  <c r="AN109" i="12"/>
  <c r="AO109" i="12"/>
  <c r="AP109" i="12"/>
  <c r="AQ109" i="12"/>
  <c r="AR109" i="12"/>
  <c r="AS109" i="12"/>
  <c r="AT109" i="12"/>
  <c r="AJ110" i="12"/>
  <c r="AK110" i="12"/>
  <c r="AL110" i="12"/>
  <c r="AM110" i="12"/>
  <c r="AN110" i="12"/>
  <c r="AO110" i="12"/>
  <c r="AP110" i="12"/>
  <c r="AQ110" i="12"/>
  <c r="AR110" i="12"/>
  <c r="AS110" i="12"/>
  <c r="AT110" i="12"/>
  <c r="AJ111" i="12"/>
  <c r="AK111" i="12"/>
  <c r="AL111" i="12"/>
  <c r="AM111" i="12"/>
  <c r="AN111" i="12"/>
  <c r="AO111" i="12"/>
  <c r="AP111" i="12"/>
  <c r="AQ111" i="12"/>
  <c r="AR111" i="12"/>
  <c r="AS111" i="12"/>
  <c r="AT111" i="12"/>
  <c r="AJ112" i="12"/>
  <c r="AK112" i="12"/>
  <c r="AL112" i="12"/>
  <c r="AM112" i="12"/>
  <c r="AN112" i="12"/>
  <c r="AO112" i="12"/>
  <c r="AP112" i="12"/>
  <c r="AQ112" i="12"/>
  <c r="BG112" i="12" s="1"/>
  <c r="AR112" i="12"/>
  <c r="AS112" i="12"/>
  <c r="AT112" i="12"/>
  <c r="AJ113" i="12"/>
  <c r="AK113" i="12"/>
  <c r="AL113" i="12"/>
  <c r="AM113" i="12"/>
  <c r="BC113" i="12" s="1"/>
  <c r="AN113" i="12"/>
  <c r="AO113" i="12"/>
  <c r="AP113" i="12"/>
  <c r="AQ113" i="12"/>
  <c r="AR113" i="12"/>
  <c r="AS113" i="12"/>
  <c r="AT113" i="12"/>
  <c r="AJ114" i="12"/>
  <c r="AK114" i="12"/>
  <c r="AL114" i="12"/>
  <c r="AM114" i="12"/>
  <c r="AN114" i="12"/>
  <c r="AO114" i="12"/>
  <c r="AP114" i="12"/>
  <c r="AQ114" i="12"/>
  <c r="AR114" i="12"/>
  <c r="AS114" i="12"/>
  <c r="AT114" i="12"/>
  <c r="AJ115" i="12"/>
  <c r="AK115" i="12"/>
  <c r="BA115" i="12" s="1"/>
  <c r="AL115" i="12"/>
  <c r="AM115" i="12"/>
  <c r="AN115" i="12"/>
  <c r="AO115" i="12"/>
  <c r="AP115" i="12"/>
  <c r="AQ115" i="12"/>
  <c r="AR115" i="12"/>
  <c r="AS115" i="12"/>
  <c r="AT115" i="12"/>
  <c r="AJ116" i="12"/>
  <c r="AK116" i="12"/>
  <c r="BA116" i="12" s="1"/>
  <c r="AL116" i="12"/>
  <c r="AM116" i="12"/>
  <c r="AN116" i="12"/>
  <c r="AO116" i="12"/>
  <c r="AP116" i="12"/>
  <c r="AQ116" i="12"/>
  <c r="AR116" i="12"/>
  <c r="AS116" i="12"/>
  <c r="AT116" i="12"/>
  <c r="AJ117" i="12"/>
  <c r="AK117" i="12"/>
  <c r="AL117" i="12"/>
  <c r="AM117" i="12"/>
  <c r="AN117" i="12"/>
  <c r="AO117" i="12"/>
  <c r="AP117" i="12"/>
  <c r="BF117" i="12" s="1"/>
  <c r="AQ117" i="12"/>
  <c r="AR117" i="12"/>
  <c r="AS117" i="12"/>
  <c r="AT117" i="12"/>
  <c r="AJ118" i="12"/>
  <c r="AK118" i="12"/>
  <c r="AL118" i="12"/>
  <c r="AM118" i="12"/>
  <c r="AN118" i="12"/>
  <c r="AO118" i="12"/>
  <c r="AP118" i="12"/>
  <c r="AQ118" i="12"/>
  <c r="AR118" i="12"/>
  <c r="AS118" i="12"/>
  <c r="AT118" i="12"/>
  <c r="AJ119" i="12"/>
  <c r="AZ119" i="12" s="1"/>
  <c r="AK119" i="12"/>
  <c r="AL119" i="12"/>
  <c r="AM119" i="12"/>
  <c r="AN119" i="12"/>
  <c r="AO119" i="12"/>
  <c r="AP119" i="12"/>
  <c r="AQ119" i="12"/>
  <c r="AR119" i="12"/>
  <c r="BF119" i="12" s="1"/>
  <c r="AS119" i="12"/>
  <c r="AT119" i="12"/>
  <c r="AJ120" i="12"/>
  <c r="AK120" i="12"/>
  <c r="AL120" i="12"/>
  <c r="AM120" i="12"/>
  <c r="AN120" i="12"/>
  <c r="AO120" i="12"/>
  <c r="AP120" i="12"/>
  <c r="AQ120" i="12"/>
  <c r="AR120" i="12"/>
  <c r="AS120" i="12"/>
  <c r="AT120" i="12"/>
  <c r="AJ121" i="12"/>
  <c r="AK121" i="12"/>
  <c r="AL121" i="12"/>
  <c r="AM121" i="12"/>
  <c r="AN121" i="12"/>
  <c r="AO121" i="12"/>
  <c r="AP121" i="12"/>
  <c r="AQ121" i="12"/>
  <c r="AR121" i="12"/>
  <c r="AS121" i="12"/>
  <c r="AT121" i="12"/>
  <c r="AJ122" i="12"/>
  <c r="AK122" i="12"/>
  <c r="AL122" i="12"/>
  <c r="AM122" i="12"/>
  <c r="AN122" i="12"/>
  <c r="AO122" i="12"/>
  <c r="AP122" i="12"/>
  <c r="AQ122" i="12"/>
  <c r="AR122" i="12"/>
  <c r="AS122" i="12"/>
  <c r="AT122" i="12"/>
  <c r="AJ123" i="12"/>
  <c r="AK123" i="12"/>
  <c r="AL123" i="12"/>
  <c r="AM123" i="12"/>
  <c r="AN123" i="12"/>
  <c r="AO123" i="12"/>
  <c r="AP123" i="12"/>
  <c r="AQ123" i="12"/>
  <c r="AR123" i="12"/>
  <c r="AS123" i="12"/>
  <c r="AT123" i="12"/>
  <c r="AJ124" i="12"/>
  <c r="AK124" i="12"/>
  <c r="AL124" i="12"/>
  <c r="AM124" i="12"/>
  <c r="AN124" i="12"/>
  <c r="AO124" i="12"/>
  <c r="AP124" i="12"/>
  <c r="AQ124" i="12"/>
  <c r="AR124" i="12"/>
  <c r="AS124" i="12"/>
  <c r="AT124" i="12"/>
  <c r="AJ125" i="12"/>
  <c r="AK125" i="12"/>
  <c r="AL125" i="12"/>
  <c r="AM125" i="12"/>
  <c r="AN125" i="12"/>
  <c r="AO125" i="12"/>
  <c r="AP125" i="12"/>
  <c r="AQ125" i="12"/>
  <c r="AR125" i="12"/>
  <c r="AS125" i="12"/>
  <c r="AT125" i="12"/>
  <c r="AJ126" i="12"/>
  <c r="AK126" i="12"/>
  <c r="AL126" i="12"/>
  <c r="AM126" i="12"/>
  <c r="AN126" i="12"/>
  <c r="AO126" i="12"/>
  <c r="AP126" i="12"/>
  <c r="AQ126" i="12"/>
  <c r="AR126" i="12"/>
  <c r="BH126" i="12" s="1"/>
  <c r="AS126" i="12"/>
  <c r="AT126" i="12"/>
  <c r="AJ127" i="12"/>
  <c r="AZ127" i="12" s="1"/>
  <c r="AK127" i="12"/>
  <c r="AL127" i="12"/>
  <c r="AM127" i="12"/>
  <c r="AN127" i="12"/>
  <c r="AO127" i="12"/>
  <c r="AP127" i="12"/>
  <c r="AQ127" i="12"/>
  <c r="AR127" i="12"/>
  <c r="AS127" i="12"/>
  <c r="AT127" i="12"/>
  <c r="AJ128" i="12"/>
  <c r="AK128" i="12"/>
  <c r="AL128" i="12"/>
  <c r="AM128" i="12"/>
  <c r="AN128" i="12"/>
  <c r="AO128" i="12"/>
  <c r="AP128" i="12"/>
  <c r="AQ128" i="12"/>
  <c r="AR128" i="12"/>
  <c r="AS128" i="12"/>
  <c r="AT128" i="12"/>
  <c r="AJ129" i="12"/>
  <c r="AK129" i="12"/>
  <c r="AL129" i="12"/>
  <c r="BB129" i="12" s="1"/>
  <c r="AM129" i="12"/>
  <c r="AN129" i="12"/>
  <c r="AO129" i="12"/>
  <c r="AP129" i="12"/>
  <c r="AQ129" i="12"/>
  <c r="AR129" i="12"/>
  <c r="AS129" i="12"/>
  <c r="AT129" i="12"/>
  <c r="AJ130" i="12"/>
  <c r="AK130" i="12"/>
  <c r="AL130" i="12"/>
  <c r="AM130" i="12"/>
  <c r="BC130" i="12" s="1"/>
  <c r="AN130" i="12"/>
  <c r="AO130" i="12"/>
  <c r="AP130" i="12"/>
  <c r="AQ130" i="12"/>
  <c r="AR130" i="12"/>
  <c r="AS130" i="12"/>
  <c r="AT130" i="12"/>
  <c r="AJ131" i="12"/>
  <c r="AK131" i="12"/>
  <c r="AL131" i="12"/>
  <c r="AM131" i="12"/>
  <c r="AN131" i="12"/>
  <c r="AO131" i="12"/>
  <c r="AP131" i="12"/>
  <c r="AQ131" i="12"/>
  <c r="AR131" i="12"/>
  <c r="AS131" i="12"/>
  <c r="AT131" i="12"/>
  <c r="AJ132" i="12"/>
  <c r="AK132" i="12"/>
  <c r="AL132" i="12"/>
  <c r="AM132" i="12"/>
  <c r="AN132" i="12"/>
  <c r="AO132" i="12"/>
  <c r="AP132" i="12"/>
  <c r="AQ132" i="12"/>
  <c r="AR132" i="12"/>
  <c r="AS132" i="12"/>
  <c r="AT132" i="12"/>
  <c r="AJ133" i="12"/>
  <c r="AK133" i="12"/>
  <c r="AL133" i="12"/>
  <c r="AM133" i="12"/>
  <c r="AN133" i="12"/>
  <c r="AO133" i="12"/>
  <c r="BE133" i="12" s="1"/>
  <c r="AP133" i="12"/>
  <c r="AQ133" i="12"/>
  <c r="AR133" i="12"/>
  <c r="AS133" i="12"/>
  <c r="AT133" i="12"/>
  <c r="AJ134" i="12"/>
  <c r="AK134" i="12"/>
  <c r="AL134" i="12"/>
  <c r="AM134" i="12"/>
  <c r="AN134" i="12"/>
  <c r="AO134" i="12"/>
  <c r="AP134" i="12"/>
  <c r="AQ134" i="12"/>
  <c r="AR134" i="12"/>
  <c r="AS134" i="12"/>
  <c r="AT134" i="12"/>
  <c r="AJ135" i="12"/>
  <c r="AK135" i="12"/>
  <c r="AL135" i="12"/>
  <c r="AM135" i="12"/>
  <c r="AN135" i="12"/>
  <c r="AO135" i="12"/>
  <c r="AP135" i="12"/>
  <c r="AQ135" i="12"/>
  <c r="AR135" i="12"/>
  <c r="AS135" i="12"/>
  <c r="AT135" i="12"/>
  <c r="AJ136" i="12"/>
  <c r="AK136" i="12"/>
  <c r="AL136" i="12"/>
  <c r="AM136" i="12"/>
  <c r="AN136" i="12"/>
  <c r="AO136" i="12"/>
  <c r="BE136" i="12" s="1"/>
  <c r="AP136" i="12"/>
  <c r="AQ136" i="12"/>
  <c r="AR136" i="12"/>
  <c r="AS136" i="12"/>
  <c r="AT136" i="12"/>
  <c r="AJ137" i="12"/>
  <c r="AK137" i="12"/>
  <c r="AL137" i="12"/>
  <c r="AM137" i="12"/>
  <c r="AN137" i="12"/>
  <c r="AO137" i="12"/>
  <c r="AP137" i="12"/>
  <c r="AQ137" i="12"/>
  <c r="AR137" i="12"/>
  <c r="AS137" i="12"/>
  <c r="AT137" i="12"/>
  <c r="AJ138" i="12"/>
  <c r="AK138" i="12"/>
  <c r="AL138" i="12"/>
  <c r="AM138" i="12"/>
  <c r="AN138" i="12"/>
  <c r="BD138" i="12" s="1"/>
  <c r="AO138" i="12"/>
  <c r="AP138" i="12"/>
  <c r="AQ138" i="12"/>
  <c r="BG138" i="12" s="1"/>
  <c r="AR138" i="12"/>
  <c r="AS138" i="12"/>
  <c r="AT138" i="12"/>
  <c r="AI85" i="12"/>
  <c r="AI86" i="12"/>
  <c r="AI87" i="12"/>
  <c r="AI88" i="12"/>
  <c r="AY88" i="12" s="1"/>
  <c r="AI89" i="12"/>
  <c r="AY89" i="12" s="1"/>
  <c r="AI90" i="12"/>
  <c r="AX90" i="12" s="1"/>
  <c r="AI91" i="12"/>
  <c r="AX91" i="12" s="1"/>
  <c r="AI92" i="12"/>
  <c r="AI93" i="12"/>
  <c r="AX93" i="12" s="1"/>
  <c r="AI94" i="12"/>
  <c r="AY94" i="12" s="1"/>
  <c r="AI95" i="12"/>
  <c r="AI96" i="12"/>
  <c r="AX96" i="12" s="1"/>
  <c r="AI97" i="12"/>
  <c r="AI98" i="12"/>
  <c r="AX98" i="12" s="1"/>
  <c r="AI99" i="12"/>
  <c r="AI100" i="12"/>
  <c r="AI101" i="12"/>
  <c r="AX101" i="12" s="1"/>
  <c r="AI102" i="12"/>
  <c r="AI103" i="12"/>
  <c r="AI104" i="12"/>
  <c r="AI105" i="12"/>
  <c r="AI106" i="12"/>
  <c r="AX106" i="12" s="1"/>
  <c r="AI107" i="12"/>
  <c r="AX107" i="12" s="1"/>
  <c r="AI108" i="12"/>
  <c r="AI109" i="12"/>
  <c r="AI110" i="12"/>
  <c r="AI111" i="12"/>
  <c r="AI112" i="12"/>
  <c r="AI113" i="12"/>
  <c r="AX113" i="12" s="1"/>
  <c r="AI114" i="12"/>
  <c r="AI115" i="12"/>
  <c r="AI116" i="12"/>
  <c r="AI117" i="12"/>
  <c r="AY117" i="12" s="1"/>
  <c r="AI118" i="12"/>
  <c r="AI119" i="12"/>
  <c r="AI120" i="12"/>
  <c r="AX120" i="12" s="1"/>
  <c r="AI121" i="12"/>
  <c r="AX121" i="12" s="1"/>
  <c r="AI122" i="12"/>
  <c r="AX122" i="12" s="1"/>
  <c r="AI123" i="12"/>
  <c r="AX123" i="12" s="1"/>
  <c r="AI124" i="12"/>
  <c r="AI125" i="12"/>
  <c r="AX125" i="12" s="1"/>
  <c r="AI126" i="12"/>
  <c r="AI127" i="12"/>
  <c r="AI128" i="12"/>
  <c r="AI129" i="12"/>
  <c r="AI130" i="12"/>
  <c r="AX130" i="12" s="1"/>
  <c r="AI131" i="12"/>
  <c r="AI132" i="12"/>
  <c r="AI133" i="12"/>
  <c r="AI134" i="12"/>
  <c r="AX134" i="12" s="1"/>
  <c r="AI135" i="12"/>
  <c r="AI136" i="12"/>
  <c r="AI137" i="12"/>
  <c r="AX137" i="12" s="1"/>
  <c r="AI138" i="12"/>
  <c r="AX138" i="12" s="1"/>
  <c r="AI75" i="12"/>
  <c r="AY75" i="12" s="1"/>
  <c r="AI76" i="12"/>
  <c r="AI77" i="12"/>
  <c r="AI78" i="12"/>
  <c r="AI79" i="12"/>
  <c r="AI80" i="12"/>
  <c r="AI81" i="12"/>
  <c r="AI82" i="12"/>
  <c r="AX82" i="12" s="1"/>
  <c r="AI83" i="12"/>
  <c r="AI84" i="12"/>
  <c r="AY74" i="12"/>
  <c r="AV26" i="8"/>
  <c r="AV27" i="8"/>
  <c r="AV28" i="8"/>
  <c r="AV29" i="8"/>
  <c r="AV30" i="8"/>
  <c r="AV31" i="8"/>
  <c r="AV32" i="8"/>
  <c r="AV33" i="8"/>
  <c r="AV34" i="8"/>
  <c r="AV35" i="8"/>
  <c r="AV36" i="8"/>
  <c r="AV37" i="8"/>
  <c r="AV38" i="8"/>
  <c r="AV39" i="8"/>
  <c r="AI16" i="12"/>
  <c r="AJ5" i="12"/>
  <c r="AK5" i="12"/>
  <c r="AL5" i="12"/>
  <c r="AM5" i="12"/>
  <c r="AN5" i="12"/>
  <c r="AO5" i="12"/>
  <c r="BE5" i="12" s="1"/>
  <c r="AP5" i="12"/>
  <c r="AQ5" i="12"/>
  <c r="AR5" i="12"/>
  <c r="BH5" i="12" s="1"/>
  <c r="AS5" i="12"/>
  <c r="AT5" i="12"/>
  <c r="AJ6" i="12"/>
  <c r="AK6" i="12"/>
  <c r="AL6" i="12"/>
  <c r="AM6" i="12"/>
  <c r="AN6" i="12"/>
  <c r="AO6" i="12"/>
  <c r="AP6" i="12"/>
  <c r="AQ6" i="12"/>
  <c r="AR6" i="12"/>
  <c r="AS6" i="12"/>
  <c r="AT6" i="12"/>
  <c r="AJ7" i="12"/>
  <c r="AK7" i="12"/>
  <c r="AL7" i="12"/>
  <c r="AM7" i="12"/>
  <c r="AN7" i="12"/>
  <c r="AO7" i="12"/>
  <c r="AP7" i="12"/>
  <c r="AQ7" i="12"/>
  <c r="AR7" i="12"/>
  <c r="AS7" i="12"/>
  <c r="AT7" i="12"/>
  <c r="AJ8" i="12"/>
  <c r="AK8" i="12"/>
  <c r="AL8" i="12"/>
  <c r="AM8" i="12"/>
  <c r="AN8" i="12"/>
  <c r="AO8" i="12"/>
  <c r="AP8" i="12"/>
  <c r="AQ8" i="12"/>
  <c r="AR8" i="12"/>
  <c r="AS8" i="12"/>
  <c r="AT8" i="12"/>
  <c r="AJ9" i="12"/>
  <c r="AK9" i="12"/>
  <c r="AL9" i="12"/>
  <c r="AM9" i="12"/>
  <c r="AN9" i="12"/>
  <c r="AO9" i="12"/>
  <c r="AP9" i="12"/>
  <c r="AQ9" i="12"/>
  <c r="AR9" i="12"/>
  <c r="AS9" i="12"/>
  <c r="AT9" i="12"/>
  <c r="AJ10" i="12"/>
  <c r="AK10" i="12"/>
  <c r="AL10" i="12"/>
  <c r="AM10" i="12"/>
  <c r="AN10" i="12"/>
  <c r="AO10" i="12"/>
  <c r="AP10" i="12"/>
  <c r="AQ10" i="12"/>
  <c r="AR10" i="12"/>
  <c r="AS10" i="12"/>
  <c r="AT10" i="12"/>
  <c r="AJ11" i="12"/>
  <c r="AK11" i="12"/>
  <c r="AL11" i="12"/>
  <c r="AM11" i="12"/>
  <c r="AN11" i="12"/>
  <c r="AO11" i="12"/>
  <c r="AP11" i="12"/>
  <c r="AQ11" i="12"/>
  <c r="AR11" i="12"/>
  <c r="AS11" i="12"/>
  <c r="AT11" i="12"/>
  <c r="AJ12" i="12"/>
  <c r="AK12" i="12"/>
  <c r="AL12" i="12"/>
  <c r="AM12" i="12"/>
  <c r="AN12" i="12"/>
  <c r="AO12" i="12"/>
  <c r="AP12" i="12"/>
  <c r="AQ12" i="12"/>
  <c r="AR12" i="12"/>
  <c r="AS12" i="12"/>
  <c r="AT12" i="12"/>
  <c r="AJ13" i="12"/>
  <c r="AK13" i="12"/>
  <c r="AL13" i="12"/>
  <c r="AM13" i="12"/>
  <c r="AN13" i="12"/>
  <c r="AO13" i="12"/>
  <c r="AP13" i="12"/>
  <c r="AQ13" i="12"/>
  <c r="AR13" i="12"/>
  <c r="AS13" i="12"/>
  <c r="AT13" i="12"/>
  <c r="AJ14" i="12"/>
  <c r="AK14" i="12"/>
  <c r="AL14" i="12"/>
  <c r="AM14" i="12"/>
  <c r="AN14" i="12"/>
  <c r="AO14" i="12"/>
  <c r="AP14" i="12"/>
  <c r="AQ14" i="12"/>
  <c r="AR14" i="12"/>
  <c r="AS14" i="12"/>
  <c r="AT14" i="12"/>
  <c r="AJ15" i="12"/>
  <c r="AK15" i="12"/>
  <c r="AL15" i="12"/>
  <c r="AM15" i="12"/>
  <c r="AN15" i="12"/>
  <c r="AO15" i="12"/>
  <c r="AP15" i="12"/>
  <c r="AQ15" i="12"/>
  <c r="AR15" i="12"/>
  <c r="AS15" i="12"/>
  <c r="AT15" i="12"/>
  <c r="AJ16" i="12"/>
  <c r="AK16" i="12"/>
  <c r="AL16" i="12"/>
  <c r="AM16" i="12"/>
  <c r="AN16" i="12"/>
  <c r="AO16" i="12"/>
  <c r="AP16" i="12"/>
  <c r="AQ16" i="12"/>
  <c r="AR16" i="12"/>
  <c r="AS16" i="12"/>
  <c r="AT16" i="12"/>
  <c r="AJ17" i="12"/>
  <c r="AK17" i="12"/>
  <c r="AL17" i="12"/>
  <c r="AM17" i="12"/>
  <c r="AN17" i="12"/>
  <c r="AO17" i="12"/>
  <c r="AP17" i="12"/>
  <c r="AQ17" i="12"/>
  <c r="AR17" i="12"/>
  <c r="AS17" i="12"/>
  <c r="AT17" i="12"/>
  <c r="AJ18" i="12"/>
  <c r="AK18" i="12"/>
  <c r="AL18" i="12"/>
  <c r="AM18" i="12"/>
  <c r="AN18" i="12"/>
  <c r="AO18" i="12"/>
  <c r="AP18" i="12"/>
  <c r="AQ18" i="12"/>
  <c r="AR18" i="12"/>
  <c r="AS18" i="12"/>
  <c r="AT18" i="12"/>
  <c r="AJ19" i="12"/>
  <c r="AK19" i="12"/>
  <c r="AL19" i="12"/>
  <c r="AM19" i="12"/>
  <c r="AN19" i="12"/>
  <c r="AO19" i="12"/>
  <c r="AP19" i="12"/>
  <c r="AQ19" i="12"/>
  <c r="AR19" i="12"/>
  <c r="AS19" i="12"/>
  <c r="AT19" i="12"/>
  <c r="AJ20" i="12"/>
  <c r="AK20" i="12"/>
  <c r="AL20" i="12"/>
  <c r="AM20" i="12"/>
  <c r="AN20" i="12"/>
  <c r="AO20" i="12"/>
  <c r="AP20" i="12"/>
  <c r="AQ20" i="12"/>
  <c r="AR20" i="12"/>
  <c r="AS20" i="12"/>
  <c r="AT20" i="12"/>
  <c r="AJ21" i="12"/>
  <c r="AK21" i="12"/>
  <c r="AL21" i="12"/>
  <c r="AM21" i="12"/>
  <c r="AN21" i="12"/>
  <c r="AO21" i="12"/>
  <c r="AP21" i="12"/>
  <c r="AQ21" i="12"/>
  <c r="AR21" i="12"/>
  <c r="AS21" i="12"/>
  <c r="AT21" i="12"/>
  <c r="AJ22" i="12"/>
  <c r="AK22" i="12"/>
  <c r="AL22" i="12"/>
  <c r="AM22" i="12"/>
  <c r="AN22" i="12"/>
  <c r="AO22" i="12"/>
  <c r="AP22" i="12"/>
  <c r="AQ22" i="12"/>
  <c r="AR22" i="12"/>
  <c r="AS22" i="12"/>
  <c r="AT22" i="12"/>
  <c r="AJ23" i="12"/>
  <c r="AK23" i="12"/>
  <c r="AL23" i="12"/>
  <c r="AM23" i="12"/>
  <c r="AN23" i="12"/>
  <c r="AO23" i="12"/>
  <c r="AP23" i="12"/>
  <c r="AQ23" i="12"/>
  <c r="AR23" i="12"/>
  <c r="AS23" i="12"/>
  <c r="AT23" i="12"/>
  <c r="AJ24" i="12"/>
  <c r="AK24" i="12"/>
  <c r="AL24" i="12"/>
  <c r="AM24" i="12"/>
  <c r="BA24" i="12" s="1"/>
  <c r="AN24" i="12"/>
  <c r="AO24" i="12"/>
  <c r="AP24" i="12"/>
  <c r="AQ24" i="12"/>
  <c r="AR24" i="12"/>
  <c r="AS24" i="12"/>
  <c r="AT24" i="12"/>
  <c r="AJ25" i="12"/>
  <c r="AK25" i="12"/>
  <c r="AL25" i="12"/>
  <c r="AM25" i="12"/>
  <c r="AN25" i="12"/>
  <c r="AO25" i="12"/>
  <c r="AP25" i="12"/>
  <c r="AQ25" i="12"/>
  <c r="AR25" i="12"/>
  <c r="BF25" i="12" s="1"/>
  <c r="AS25" i="12"/>
  <c r="AT25" i="12"/>
  <c r="AJ26" i="12"/>
  <c r="AK26" i="12"/>
  <c r="AL26" i="12"/>
  <c r="AM26" i="12"/>
  <c r="AN26" i="12"/>
  <c r="AO26" i="12"/>
  <c r="AP26" i="12"/>
  <c r="AQ26" i="12"/>
  <c r="AR26" i="12"/>
  <c r="AS26" i="12"/>
  <c r="AT26" i="12"/>
  <c r="AJ27" i="12"/>
  <c r="AK27" i="12"/>
  <c r="AL27" i="12"/>
  <c r="AM27" i="12"/>
  <c r="AN27" i="12"/>
  <c r="AO27" i="12"/>
  <c r="AP27" i="12"/>
  <c r="AQ27" i="12"/>
  <c r="AR27" i="12"/>
  <c r="AS27" i="12"/>
  <c r="AT27" i="12"/>
  <c r="AJ28" i="12"/>
  <c r="AK28" i="12"/>
  <c r="AL28" i="12"/>
  <c r="AM28" i="12"/>
  <c r="AN28" i="12"/>
  <c r="AO28" i="12"/>
  <c r="AP28" i="12"/>
  <c r="AQ28" i="12"/>
  <c r="AR28" i="12"/>
  <c r="AS28" i="12"/>
  <c r="AT28" i="12"/>
  <c r="AJ29" i="12"/>
  <c r="AK29" i="12"/>
  <c r="AL29" i="12"/>
  <c r="AM29" i="12"/>
  <c r="AN29" i="12"/>
  <c r="AO29" i="12"/>
  <c r="AP29" i="12"/>
  <c r="AQ29" i="12"/>
  <c r="AR29" i="12"/>
  <c r="AS29" i="12"/>
  <c r="AT29" i="12"/>
  <c r="AJ30" i="12"/>
  <c r="AK30" i="12"/>
  <c r="AL30" i="12"/>
  <c r="AM30" i="12"/>
  <c r="AN30" i="12"/>
  <c r="AO30" i="12"/>
  <c r="AP30" i="12"/>
  <c r="AQ30" i="12"/>
  <c r="AR30" i="12"/>
  <c r="AS30" i="12"/>
  <c r="AT30" i="12"/>
  <c r="AJ31" i="12"/>
  <c r="AK31" i="12"/>
  <c r="AL31" i="12"/>
  <c r="AM31" i="12"/>
  <c r="AN31" i="12"/>
  <c r="AO31" i="12"/>
  <c r="AP31" i="12"/>
  <c r="AQ31" i="12"/>
  <c r="AR31" i="12"/>
  <c r="AS31" i="12"/>
  <c r="AT31" i="12"/>
  <c r="AJ32" i="12"/>
  <c r="AK32" i="12"/>
  <c r="AL32" i="12"/>
  <c r="AM32" i="12"/>
  <c r="AN32" i="12"/>
  <c r="AO32" i="12"/>
  <c r="AP32" i="12"/>
  <c r="AQ32" i="12"/>
  <c r="AR32" i="12"/>
  <c r="AS32" i="12"/>
  <c r="AT32" i="12"/>
  <c r="AJ33" i="12"/>
  <c r="AK33" i="12"/>
  <c r="AL33" i="12"/>
  <c r="AM33" i="12"/>
  <c r="AN33" i="12"/>
  <c r="AO33" i="12"/>
  <c r="AP33" i="12"/>
  <c r="AQ33" i="12"/>
  <c r="AR33" i="12"/>
  <c r="AS33" i="12"/>
  <c r="AT33" i="12"/>
  <c r="AJ34" i="12"/>
  <c r="AK34" i="12"/>
  <c r="AL34" i="12"/>
  <c r="AM34" i="12"/>
  <c r="AN34" i="12"/>
  <c r="AO34" i="12"/>
  <c r="AP34" i="12"/>
  <c r="AQ34" i="12"/>
  <c r="AR34" i="12"/>
  <c r="AS34" i="12"/>
  <c r="AT34" i="12"/>
  <c r="AJ35" i="12"/>
  <c r="AK35" i="12"/>
  <c r="AL35" i="12"/>
  <c r="AM35" i="12"/>
  <c r="AN35" i="12"/>
  <c r="AO35" i="12"/>
  <c r="AP35" i="12"/>
  <c r="AQ35" i="12"/>
  <c r="AR35" i="12"/>
  <c r="AS35" i="12"/>
  <c r="AT35" i="12"/>
  <c r="AJ36" i="12"/>
  <c r="AK36" i="12"/>
  <c r="AL36" i="12"/>
  <c r="AM36" i="12"/>
  <c r="AN36" i="12"/>
  <c r="AO36" i="12"/>
  <c r="AP36" i="12"/>
  <c r="AQ36" i="12"/>
  <c r="AR36" i="12"/>
  <c r="AS36" i="12"/>
  <c r="AT36" i="12"/>
  <c r="AJ37" i="12"/>
  <c r="AK37" i="12"/>
  <c r="AL37" i="12"/>
  <c r="AM37" i="12"/>
  <c r="AN37" i="12"/>
  <c r="BB37" i="12" s="1"/>
  <c r="AO37" i="12"/>
  <c r="AP37" i="12"/>
  <c r="AQ37" i="12"/>
  <c r="AR37" i="12"/>
  <c r="AS37" i="12"/>
  <c r="AT37" i="12"/>
  <c r="AJ38" i="12"/>
  <c r="AK38" i="12"/>
  <c r="AL38" i="12"/>
  <c r="AM38" i="12"/>
  <c r="AN38" i="12"/>
  <c r="AO38" i="12"/>
  <c r="AP38" i="12"/>
  <c r="AQ38" i="12"/>
  <c r="AR38" i="12"/>
  <c r="AS38" i="12"/>
  <c r="BG38" i="12" s="1"/>
  <c r="AT38" i="12"/>
  <c r="AJ39" i="12"/>
  <c r="AK39" i="12"/>
  <c r="AL39" i="12"/>
  <c r="AM39" i="12"/>
  <c r="AN39" i="12"/>
  <c r="AO39" i="12"/>
  <c r="AP39" i="12"/>
  <c r="AQ39" i="12"/>
  <c r="AR39" i="12"/>
  <c r="AS39" i="12"/>
  <c r="AT39" i="12"/>
  <c r="AJ40" i="12"/>
  <c r="AK40" i="12"/>
  <c r="AL40" i="12"/>
  <c r="AM40" i="12"/>
  <c r="AN40" i="12"/>
  <c r="AO40" i="12"/>
  <c r="AP40" i="12"/>
  <c r="AQ40" i="12"/>
  <c r="AR40" i="12"/>
  <c r="AS40" i="12"/>
  <c r="AT40" i="12"/>
  <c r="AJ41" i="12"/>
  <c r="AK41" i="12"/>
  <c r="AL41" i="12"/>
  <c r="AM41" i="12"/>
  <c r="AN41" i="12"/>
  <c r="AO41" i="12"/>
  <c r="AP41" i="12"/>
  <c r="AQ41" i="12"/>
  <c r="AR41" i="12"/>
  <c r="BF41" i="12" s="1"/>
  <c r="AS41" i="12"/>
  <c r="AT41" i="12"/>
  <c r="AJ42" i="12"/>
  <c r="AK42" i="12"/>
  <c r="AL42" i="12"/>
  <c r="AM42" i="12"/>
  <c r="AN42" i="12"/>
  <c r="AO42" i="12"/>
  <c r="AP42" i="12"/>
  <c r="AQ42" i="12"/>
  <c r="AR42" i="12"/>
  <c r="AS42" i="12"/>
  <c r="AT42" i="12"/>
  <c r="AJ43" i="12"/>
  <c r="AK43" i="12"/>
  <c r="AL43" i="12"/>
  <c r="AM43" i="12"/>
  <c r="AN43" i="12"/>
  <c r="AO43" i="12"/>
  <c r="AP43" i="12"/>
  <c r="AQ43" i="12"/>
  <c r="AR43" i="12"/>
  <c r="AS43" i="12"/>
  <c r="AT43" i="12"/>
  <c r="AJ44" i="12"/>
  <c r="AK44" i="12"/>
  <c r="AL44" i="12"/>
  <c r="AM44" i="12"/>
  <c r="AN44" i="12"/>
  <c r="AO44" i="12"/>
  <c r="AP44" i="12"/>
  <c r="AQ44" i="12"/>
  <c r="AR44" i="12"/>
  <c r="AS44" i="12"/>
  <c r="AT44" i="12"/>
  <c r="AJ45" i="12"/>
  <c r="AK45" i="12"/>
  <c r="AL45" i="12"/>
  <c r="AM45" i="12"/>
  <c r="AN45" i="12"/>
  <c r="AO45" i="12"/>
  <c r="AP45" i="12"/>
  <c r="AQ45" i="12"/>
  <c r="AR45" i="12"/>
  <c r="AS45" i="12"/>
  <c r="AT45" i="12"/>
  <c r="AJ46" i="12"/>
  <c r="AK46" i="12"/>
  <c r="AL46" i="12"/>
  <c r="AM46" i="12"/>
  <c r="AN46" i="12"/>
  <c r="AO46" i="12"/>
  <c r="AP46" i="12"/>
  <c r="AQ46" i="12"/>
  <c r="AR46" i="12"/>
  <c r="AS46" i="12"/>
  <c r="AT46" i="12"/>
  <c r="AJ47" i="12"/>
  <c r="AK47" i="12"/>
  <c r="AL47" i="12"/>
  <c r="AM47" i="12"/>
  <c r="AN47" i="12"/>
  <c r="AO47" i="12"/>
  <c r="AP47" i="12"/>
  <c r="AQ47" i="12"/>
  <c r="AR47" i="12"/>
  <c r="AS47" i="12"/>
  <c r="AT47" i="12"/>
  <c r="AJ48" i="12"/>
  <c r="AK48" i="12"/>
  <c r="AL48" i="12"/>
  <c r="AM48" i="12"/>
  <c r="AN48" i="12"/>
  <c r="AO48" i="12"/>
  <c r="AP48" i="12"/>
  <c r="AQ48" i="12"/>
  <c r="AR48" i="12"/>
  <c r="AS48" i="12"/>
  <c r="AT48" i="12"/>
  <c r="AJ49" i="12"/>
  <c r="AK49" i="12"/>
  <c r="AL49" i="12"/>
  <c r="AM49" i="12"/>
  <c r="AN49" i="12"/>
  <c r="AO49" i="12"/>
  <c r="AP49" i="12"/>
  <c r="AQ49" i="12"/>
  <c r="AR49" i="12"/>
  <c r="AS49" i="12"/>
  <c r="AT49" i="12"/>
  <c r="AJ50" i="12"/>
  <c r="AK50" i="12"/>
  <c r="AL50" i="12"/>
  <c r="AM50" i="12"/>
  <c r="AN50" i="12"/>
  <c r="AO50" i="12"/>
  <c r="BC50" i="12" s="1"/>
  <c r="AP50" i="12"/>
  <c r="AQ50" i="12"/>
  <c r="AR50" i="12"/>
  <c r="AS50" i="12"/>
  <c r="AT50" i="12"/>
  <c r="AJ51" i="12"/>
  <c r="AK51" i="12"/>
  <c r="AL51" i="12"/>
  <c r="AM51" i="12"/>
  <c r="AN51" i="12"/>
  <c r="AO51" i="12"/>
  <c r="AP51" i="12"/>
  <c r="AQ51" i="12"/>
  <c r="AR51" i="12"/>
  <c r="AS51" i="12"/>
  <c r="AT51" i="12"/>
  <c r="BH51" i="12" s="1"/>
  <c r="AJ52" i="12"/>
  <c r="AK52" i="12"/>
  <c r="AL52" i="12"/>
  <c r="AM52" i="12"/>
  <c r="AN52" i="12"/>
  <c r="AO52" i="12"/>
  <c r="AP52" i="12"/>
  <c r="AQ52" i="12"/>
  <c r="AR52" i="12"/>
  <c r="AS52" i="12"/>
  <c r="AT52" i="12"/>
  <c r="AJ53" i="12"/>
  <c r="AK53" i="12"/>
  <c r="AL53" i="12"/>
  <c r="AM53" i="12"/>
  <c r="AN53" i="12"/>
  <c r="AO53" i="12"/>
  <c r="AP53" i="12"/>
  <c r="AQ53" i="12"/>
  <c r="AR53" i="12"/>
  <c r="AS53" i="12"/>
  <c r="AT53" i="12"/>
  <c r="AJ54" i="12"/>
  <c r="AK54" i="12"/>
  <c r="AL54" i="12"/>
  <c r="AM54" i="12"/>
  <c r="AN54" i="12"/>
  <c r="AO54" i="12"/>
  <c r="AP54" i="12"/>
  <c r="AQ54" i="12"/>
  <c r="AR54" i="12"/>
  <c r="AS54" i="12"/>
  <c r="AT54" i="12"/>
  <c r="AJ55" i="12"/>
  <c r="AK55" i="12"/>
  <c r="AL55" i="12"/>
  <c r="AM55" i="12"/>
  <c r="AN55" i="12"/>
  <c r="AO55" i="12"/>
  <c r="AP55" i="12"/>
  <c r="AQ55" i="12"/>
  <c r="AR55" i="12"/>
  <c r="AS55" i="12"/>
  <c r="AT55" i="12"/>
  <c r="AJ56" i="12"/>
  <c r="AK56" i="12"/>
  <c r="AL56" i="12"/>
  <c r="AM56" i="12"/>
  <c r="BA56" i="12" s="1"/>
  <c r="AN56" i="12"/>
  <c r="AO56" i="12"/>
  <c r="AP56" i="12"/>
  <c r="AQ56" i="12"/>
  <c r="AR56" i="12"/>
  <c r="AS56" i="12"/>
  <c r="AT56" i="12"/>
  <c r="AJ57" i="12"/>
  <c r="AK57" i="12"/>
  <c r="AL57" i="12"/>
  <c r="AM57" i="12"/>
  <c r="AN57" i="12"/>
  <c r="AO57" i="12"/>
  <c r="AP57" i="12"/>
  <c r="AQ57" i="12"/>
  <c r="AR57" i="12"/>
  <c r="AS57" i="12"/>
  <c r="AT57" i="12"/>
  <c r="AJ58" i="12"/>
  <c r="AK58" i="12"/>
  <c r="AL58" i="12"/>
  <c r="AM58" i="12"/>
  <c r="AN58" i="12"/>
  <c r="AO58" i="12"/>
  <c r="AP58" i="12"/>
  <c r="AQ58" i="12"/>
  <c r="AR58" i="12"/>
  <c r="AS58" i="12"/>
  <c r="AT58" i="12"/>
  <c r="AJ59" i="12"/>
  <c r="AK59" i="12"/>
  <c r="AL59" i="12"/>
  <c r="AM59" i="12"/>
  <c r="AN59" i="12"/>
  <c r="AO59" i="12"/>
  <c r="AP59" i="12"/>
  <c r="AQ59" i="12"/>
  <c r="AR59" i="12"/>
  <c r="AS59" i="12"/>
  <c r="AT59" i="12"/>
  <c r="AJ60" i="12"/>
  <c r="AK60" i="12"/>
  <c r="AL60" i="12"/>
  <c r="AM60" i="12"/>
  <c r="AN60" i="12"/>
  <c r="AO60" i="12"/>
  <c r="AP60" i="12"/>
  <c r="AQ60" i="12"/>
  <c r="AR60" i="12"/>
  <c r="AS60" i="12"/>
  <c r="AT60" i="12"/>
  <c r="AJ61" i="12"/>
  <c r="AK61" i="12"/>
  <c r="AL61" i="12"/>
  <c r="AM61" i="12"/>
  <c r="AN61" i="12"/>
  <c r="AO61" i="12"/>
  <c r="AP61" i="12"/>
  <c r="AQ61" i="12"/>
  <c r="AR61" i="12"/>
  <c r="AS61" i="12"/>
  <c r="AT61" i="12"/>
  <c r="AJ62" i="12"/>
  <c r="AK62" i="12"/>
  <c r="AL62" i="12"/>
  <c r="AM62" i="12"/>
  <c r="AN62" i="12"/>
  <c r="AO62" i="12"/>
  <c r="AP62" i="12"/>
  <c r="AQ62" i="12"/>
  <c r="AR62" i="12"/>
  <c r="AS62" i="12"/>
  <c r="AT62" i="12"/>
  <c r="AJ63" i="12"/>
  <c r="AK63" i="12"/>
  <c r="AL63" i="12"/>
  <c r="AM63" i="12"/>
  <c r="AN63" i="12"/>
  <c r="AO63" i="12"/>
  <c r="AP63" i="12"/>
  <c r="BD63" i="12" s="1"/>
  <c r="AQ63" i="12"/>
  <c r="AR63" i="12"/>
  <c r="AS63" i="12"/>
  <c r="AT63" i="12"/>
  <c r="AJ64" i="12"/>
  <c r="AK64" i="12"/>
  <c r="AL64" i="12"/>
  <c r="AM64" i="12"/>
  <c r="AN64" i="12"/>
  <c r="AO64" i="12"/>
  <c r="AP64" i="12"/>
  <c r="AQ64" i="12"/>
  <c r="AR64" i="12"/>
  <c r="AS64" i="12"/>
  <c r="AT64" i="12"/>
  <c r="AJ65" i="12"/>
  <c r="AK65" i="12"/>
  <c r="AL65" i="12"/>
  <c r="AM65" i="12"/>
  <c r="AN65" i="12"/>
  <c r="AO65" i="12"/>
  <c r="AP65" i="12"/>
  <c r="AQ65" i="12"/>
  <c r="AR65" i="12"/>
  <c r="AS65" i="12"/>
  <c r="AT65" i="12"/>
  <c r="AJ66" i="12"/>
  <c r="AK66" i="12"/>
  <c r="AL66" i="12"/>
  <c r="AM66" i="12"/>
  <c r="AN66" i="12"/>
  <c r="AO66" i="12"/>
  <c r="AP66" i="12"/>
  <c r="AQ66" i="12"/>
  <c r="AR66" i="12"/>
  <c r="AS66" i="12"/>
  <c r="AT66" i="12"/>
  <c r="AJ67" i="12"/>
  <c r="AK67" i="12"/>
  <c r="AL67" i="12"/>
  <c r="AM67" i="12"/>
  <c r="AN67" i="12"/>
  <c r="AO67" i="12"/>
  <c r="AP67" i="12"/>
  <c r="AQ67" i="12"/>
  <c r="AR67" i="12"/>
  <c r="AS67" i="12"/>
  <c r="AT67" i="12"/>
  <c r="AJ68" i="12"/>
  <c r="AK68" i="12"/>
  <c r="AL68" i="12"/>
  <c r="AM68" i="12"/>
  <c r="AN68" i="12"/>
  <c r="AO68" i="12"/>
  <c r="AP68" i="12"/>
  <c r="AQ68" i="12"/>
  <c r="AR68" i="12"/>
  <c r="AS68" i="12"/>
  <c r="AT68" i="12"/>
  <c r="AJ69" i="12"/>
  <c r="AK69" i="12"/>
  <c r="AL69" i="12"/>
  <c r="AM69" i="12"/>
  <c r="AN69" i="12"/>
  <c r="AO69" i="12"/>
  <c r="AP69" i="12"/>
  <c r="AQ69" i="12"/>
  <c r="AR69" i="12"/>
  <c r="AS69" i="12"/>
  <c r="AT69" i="12"/>
  <c r="AI17" i="12"/>
  <c r="AI18" i="12"/>
  <c r="AI19" i="12"/>
  <c r="AI20" i="12"/>
  <c r="AI21" i="12"/>
  <c r="AI22" i="12"/>
  <c r="AI23" i="12"/>
  <c r="AI24" i="12"/>
  <c r="AI25" i="12"/>
  <c r="AI26" i="12"/>
  <c r="AI27" i="12"/>
  <c r="AI28" i="12"/>
  <c r="AI29" i="12"/>
  <c r="AI30" i="12"/>
  <c r="AI31" i="12"/>
  <c r="AI32" i="12"/>
  <c r="AI33" i="12"/>
  <c r="AI34" i="12"/>
  <c r="AI35" i="12"/>
  <c r="AI36" i="12"/>
  <c r="AI37" i="12"/>
  <c r="AI38" i="12"/>
  <c r="AI39" i="12"/>
  <c r="AI40" i="12"/>
  <c r="AI41" i="12"/>
  <c r="AI42" i="12"/>
  <c r="AI43" i="12"/>
  <c r="AI44" i="12"/>
  <c r="AI45" i="12"/>
  <c r="AI46" i="12"/>
  <c r="AI47" i="12"/>
  <c r="AI48" i="12"/>
  <c r="AI49" i="12"/>
  <c r="AI50" i="12"/>
  <c r="AI51" i="12"/>
  <c r="AI52" i="12"/>
  <c r="AI53" i="12"/>
  <c r="AI54" i="12"/>
  <c r="AI55" i="12"/>
  <c r="AI56" i="12"/>
  <c r="AI57" i="12"/>
  <c r="AI58" i="12"/>
  <c r="AI59" i="12"/>
  <c r="AI60" i="12"/>
  <c r="AI61" i="12"/>
  <c r="AI62" i="12"/>
  <c r="AI63" i="12"/>
  <c r="AI64" i="12"/>
  <c r="AI65" i="12"/>
  <c r="AI66" i="12"/>
  <c r="AI67" i="12"/>
  <c r="AI68" i="12"/>
  <c r="AI69" i="12"/>
  <c r="AI6" i="12"/>
  <c r="AI7" i="12"/>
  <c r="AI8" i="12"/>
  <c r="AY8" i="12" s="1"/>
  <c r="AI9" i="12"/>
  <c r="AI10" i="12"/>
  <c r="AI11" i="12"/>
  <c r="AI12" i="12"/>
  <c r="AI13" i="12"/>
  <c r="AI14" i="12"/>
  <c r="AI15" i="12"/>
  <c r="AH64" i="12"/>
  <c r="AH65" i="12"/>
  <c r="AH66" i="12"/>
  <c r="AH67" i="12"/>
  <c r="AH68" i="12"/>
  <c r="AH69" i="12"/>
  <c r="AH6" i="12"/>
  <c r="AH7" i="12"/>
  <c r="AH8" i="12"/>
  <c r="AH9" i="12"/>
  <c r="AH10" i="12"/>
  <c r="AH11" i="12"/>
  <c r="AH12" i="12"/>
  <c r="AH13" i="12"/>
  <c r="AH14" i="12"/>
  <c r="AH15" i="12"/>
  <c r="AH17" i="12"/>
  <c r="AH18" i="12"/>
  <c r="AH19" i="12"/>
  <c r="AH20" i="12"/>
  <c r="AH21" i="12"/>
  <c r="AH22" i="12"/>
  <c r="AH23" i="12"/>
  <c r="AH24" i="12"/>
  <c r="AH25" i="12"/>
  <c r="AH26" i="12"/>
  <c r="AH27" i="12"/>
  <c r="AH28" i="12"/>
  <c r="AH29" i="12"/>
  <c r="AH30" i="12"/>
  <c r="AH31" i="12"/>
  <c r="AH32" i="12"/>
  <c r="AH33" i="12"/>
  <c r="AH34" i="12"/>
  <c r="AH35" i="12"/>
  <c r="AH36" i="12"/>
  <c r="AH37" i="12"/>
  <c r="AH38" i="12"/>
  <c r="AH39" i="12"/>
  <c r="AH40" i="12"/>
  <c r="AH41" i="12"/>
  <c r="AH42" i="12"/>
  <c r="AH43" i="12"/>
  <c r="AH44" i="12"/>
  <c r="AH45" i="12"/>
  <c r="AH46" i="12"/>
  <c r="AH47" i="12"/>
  <c r="AH48" i="12"/>
  <c r="AH49" i="12"/>
  <c r="AH50" i="12"/>
  <c r="AH51" i="12"/>
  <c r="AH52" i="12"/>
  <c r="AH53" i="12"/>
  <c r="AH54" i="12"/>
  <c r="AH55" i="12"/>
  <c r="AH56" i="12"/>
  <c r="AH57" i="12"/>
  <c r="AH58" i="12"/>
  <c r="AH59" i="12"/>
  <c r="AH60" i="12"/>
  <c r="AH61" i="12"/>
  <c r="AH62" i="12"/>
  <c r="AH63" i="12"/>
  <c r="AH5" i="12"/>
  <c r="AI7" i="8"/>
  <c r="N2" i="6"/>
  <c r="C2" i="2"/>
  <c r="AI9" i="8"/>
  <c r="AI8" i="8"/>
  <c r="AI10" i="8"/>
  <c r="AI11" i="8"/>
  <c r="AI12" i="8"/>
  <c r="AI13" i="8"/>
  <c r="AI14" i="8"/>
  <c r="AI15" i="8"/>
  <c r="AI16" i="8"/>
  <c r="AI17" i="8"/>
  <c r="AI18" i="8"/>
  <c r="AI19" i="8"/>
  <c r="AI20" i="8"/>
  <c r="AU20" i="8"/>
  <c r="AT20" i="8"/>
  <c r="AS20" i="8"/>
  <c r="AR20" i="8"/>
  <c r="AQ20" i="8"/>
  <c r="AP20" i="8"/>
  <c r="AO20" i="8"/>
  <c r="AN20" i="8"/>
  <c r="AM20" i="8"/>
  <c r="AL20" i="8"/>
  <c r="AK20" i="8"/>
  <c r="AJ20" i="8"/>
  <c r="AU19" i="8"/>
  <c r="AT19" i="8"/>
  <c r="AS19" i="8"/>
  <c r="AR19" i="8"/>
  <c r="AQ19" i="8"/>
  <c r="AP19" i="8"/>
  <c r="AO19" i="8"/>
  <c r="AN19" i="8"/>
  <c r="AM19" i="8"/>
  <c r="AL19" i="8"/>
  <c r="AK19" i="8"/>
  <c r="AJ19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U16" i="8"/>
  <c r="AT16" i="8"/>
  <c r="AS16" i="8"/>
  <c r="AR16" i="8"/>
  <c r="AQ16" i="8"/>
  <c r="AP16" i="8"/>
  <c r="AO16" i="8"/>
  <c r="AN16" i="8"/>
  <c r="AM16" i="8"/>
  <c r="AL16" i="8"/>
  <c r="AK16" i="8"/>
  <c r="AJ16" i="8"/>
  <c r="AU15" i="8"/>
  <c r="AT15" i="8"/>
  <c r="AS15" i="8"/>
  <c r="AR15" i="8"/>
  <c r="AQ15" i="8"/>
  <c r="AP15" i="8"/>
  <c r="AO15" i="8"/>
  <c r="AN15" i="8"/>
  <c r="AM15" i="8"/>
  <c r="AL15" i="8"/>
  <c r="AK15" i="8"/>
  <c r="AJ15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U12" i="8"/>
  <c r="AT12" i="8"/>
  <c r="AS12" i="8"/>
  <c r="AR12" i="8"/>
  <c r="AQ12" i="8"/>
  <c r="AP12" i="8"/>
  <c r="AO12" i="8"/>
  <c r="AN12" i="8"/>
  <c r="AM12" i="8"/>
  <c r="AL12" i="8"/>
  <c r="AK12" i="8"/>
  <c r="AJ12" i="8"/>
  <c r="AU11" i="8"/>
  <c r="AT11" i="8"/>
  <c r="AS11" i="8"/>
  <c r="AR11" i="8"/>
  <c r="AQ11" i="8"/>
  <c r="AP11" i="8"/>
  <c r="AO11" i="8"/>
  <c r="AN11" i="8"/>
  <c r="AM11" i="8"/>
  <c r="AL11" i="8"/>
  <c r="AK11" i="8"/>
  <c r="AJ11" i="8"/>
  <c r="AU10" i="8"/>
  <c r="AT10" i="8"/>
  <c r="AS10" i="8"/>
  <c r="AR10" i="8"/>
  <c r="AQ10" i="8"/>
  <c r="AP10" i="8"/>
  <c r="AO10" i="8"/>
  <c r="AN10" i="8"/>
  <c r="AM10" i="8"/>
  <c r="AL10" i="8"/>
  <c r="AK10" i="8"/>
  <c r="AJ10" i="8"/>
  <c r="AU9" i="8"/>
  <c r="AT9" i="8"/>
  <c r="AS9" i="8"/>
  <c r="AR9" i="8"/>
  <c r="AQ9" i="8"/>
  <c r="AP9" i="8"/>
  <c r="AO9" i="8"/>
  <c r="AN9" i="8"/>
  <c r="AM9" i="8"/>
  <c r="AL9" i="8"/>
  <c r="AK9" i="8"/>
  <c r="AJ9" i="8"/>
  <c r="AU8" i="8"/>
  <c r="AT8" i="8"/>
  <c r="AS8" i="8"/>
  <c r="AR8" i="8"/>
  <c r="AQ8" i="8"/>
  <c r="AP8" i="8"/>
  <c r="AO8" i="8"/>
  <c r="AN8" i="8"/>
  <c r="AM8" i="8"/>
  <c r="AL8" i="8"/>
  <c r="AK8" i="8"/>
  <c r="AJ8" i="8"/>
  <c r="AU7" i="8"/>
  <c r="AT7" i="8"/>
  <c r="AS7" i="8"/>
  <c r="AR7" i="8"/>
  <c r="AQ7" i="8"/>
  <c r="AP7" i="8"/>
  <c r="AO7" i="8"/>
  <c r="AN7" i="8"/>
  <c r="AM7" i="8"/>
  <c r="AL7" i="8"/>
  <c r="AK7" i="8"/>
  <c r="AJ7" i="8"/>
  <c r="BI26" i="8"/>
  <c r="BJ26" i="8"/>
  <c r="BK26" i="8"/>
  <c r="BA27" i="8"/>
  <c r="BB27" i="8"/>
  <c r="BC27" i="8"/>
  <c r="BA28" i="8"/>
  <c r="BB28" i="8"/>
  <c r="BC28" i="8"/>
  <c r="BD28" i="8"/>
  <c r="BE28" i="8"/>
  <c r="BF28" i="8"/>
  <c r="BG28" i="8"/>
  <c r="BH28" i="8"/>
  <c r="BE29" i="8"/>
  <c r="BF29" i="8"/>
  <c r="BG29" i="8"/>
  <c r="BH29" i="8"/>
  <c r="BI29" i="8"/>
  <c r="BJ29" i="8"/>
  <c r="BK29" i="8"/>
  <c r="BA30" i="8"/>
  <c r="BB30" i="8"/>
  <c r="BI30" i="8"/>
  <c r="BJ30" i="8"/>
  <c r="BK30" i="8"/>
  <c r="BC31" i="8"/>
  <c r="BD31" i="8"/>
  <c r="BE31" i="8"/>
  <c r="BF31" i="8"/>
  <c r="BG31" i="8"/>
  <c r="BA32" i="8"/>
  <c r="BB32" i="8"/>
  <c r="BC32" i="8"/>
  <c r="BD32" i="8"/>
  <c r="BH32" i="8"/>
  <c r="BI32" i="8"/>
  <c r="BJ32" i="8"/>
  <c r="BK32" i="8"/>
  <c r="BA33" i="8"/>
  <c r="BE33" i="8"/>
  <c r="BF33" i="8"/>
  <c r="BG33" i="8"/>
  <c r="BB34" i="8"/>
  <c r="BC34" i="8"/>
  <c r="BD34" i="8"/>
  <c r="BE34" i="8"/>
  <c r="BF34" i="8"/>
  <c r="BJ34" i="8"/>
  <c r="BK34" i="8"/>
  <c r="BE37" i="8"/>
  <c r="BI38" i="8"/>
  <c r="BJ38" i="8"/>
  <c r="AZ27" i="8"/>
  <c r="AZ28" i="8"/>
  <c r="AZ29" i="8"/>
  <c r="AZ30" i="8"/>
  <c r="AY37" i="8"/>
  <c r="AY36" i="8"/>
  <c r="AY35" i="8"/>
  <c r="AY34" i="8"/>
  <c r="AY29" i="8"/>
  <c r="AY28" i="8"/>
  <c r="AY27" i="8"/>
  <c r="AJ26" i="8"/>
  <c r="AZ26" i="8" s="1"/>
  <c r="AK26" i="8"/>
  <c r="BA26" i="8" s="1"/>
  <c r="AL26" i="8"/>
  <c r="BB26" i="8" s="1"/>
  <c r="AM26" i="8"/>
  <c r="BC26" i="8" s="1"/>
  <c r="AN26" i="8"/>
  <c r="BD26" i="8" s="1"/>
  <c r="AO26" i="8"/>
  <c r="BE26" i="8" s="1"/>
  <c r="AP26" i="8"/>
  <c r="BF26" i="8" s="1"/>
  <c r="AQ26" i="8"/>
  <c r="BG26" i="8" s="1"/>
  <c r="AR26" i="8"/>
  <c r="AS26" i="8"/>
  <c r="AT26" i="8"/>
  <c r="AU26" i="8"/>
  <c r="AJ27" i="8"/>
  <c r="AK27" i="8"/>
  <c r="AL27" i="8"/>
  <c r="AM27" i="8"/>
  <c r="AN27" i="8"/>
  <c r="BD27" i="8" s="1"/>
  <c r="AO27" i="8"/>
  <c r="BE27" i="8" s="1"/>
  <c r="AP27" i="8"/>
  <c r="BF27" i="8" s="1"/>
  <c r="AQ27" i="8"/>
  <c r="BG27" i="8" s="1"/>
  <c r="AR27" i="8"/>
  <c r="BH27" i="8" s="1"/>
  <c r="AS27" i="8"/>
  <c r="BI27" i="8" s="1"/>
  <c r="AT27" i="8"/>
  <c r="BJ27" i="8" s="1"/>
  <c r="AU27" i="8"/>
  <c r="BK27" i="8" s="1"/>
  <c r="AJ28" i="8"/>
  <c r="AK28" i="8"/>
  <c r="AL28" i="8"/>
  <c r="AM28" i="8"/>
  <c r="AN28" i="8"/>
  <c r="AO28" i="8"/>
  <c r="AP28" i="8"/>
  <c r="AQ28" i="8"/>
  <c r="AR28" i="8"/>
  <c r="AS28" i="8"/>
  <c r="BI28" i="8" s="1"/>
  <c r="AT28" i="8"/>
  <c r="BJ28" i="8" s="1"/>
  <c r="AU28" i="8"/>
  <c r="BK28" i="8" s="1"/>
  <c r="AJ29" i="8"/>
  <c r="AK29" i="8"/>
  <c r="BA29" i="8" s="1"/>
  <c r="AL29" i="8"/>
  <c r="BB29" i="8" s="1"/>
  <c r="AM29" i="8"/>
  <c r="BC29" i="8" s="1"/>
  <c r="AN29" i="8"/>
  <c r="AO29" i="8"/>
  <c r="AP29" i="8"/>
  <c r="AQ29" i="8"/>
  <c r="AR29" i="8"/>
  <c r="AS29" i="8"/>
  <c r="AT29" i="8"/>
  <c r="AU29" i="8"/>
  <c r="AJ30" i="8"/>
  <c r="AK30" i="8"/>
  <c r="AL30" i="8"/>
  <c r="AM30" i="8"/>
  <c r="BC30" i="8" s="1"/>
  <c r="AN30" i="8"/>
  <c r="BD30" i="8" s="1"/>
  <c r="AO30" i="8"/>
  <c r="BE30" i="8" s="1"/>
  <c r="AP30" i="8"/>
  <c r="BF30" i="8" s="1"/>
  <c r="AQ30" i="8"/>
  <c r="BG30" i="8" s="1"/>
  <c r="AR30" i="8"/>
  <c r="AS30" i="8"/>
  <c r="AT30" i="8"/>
  <c r="AU30" i="8"/>
  <c r="AJ31" i="8"/>
  <c r="AZ31" i="8" s="1"/>
  <c r="AK31" i="8"/>
  <c r="BA31" i="8" s="1"/>
  <c r="AL31" i="8"/>
  <c r="BB31" i="8" s="1"/>
  <c r="AM31" i="8"/>
  <c r="AN31" i="8"/>
  <c r="AO31" i="8"/>
  <c r="AP31" i="8"/>
  <c r="AQ31" i="8"/>
  <c r="AR31" i="8"/>
  <c r="BH31" i="8" s="1"/>
  <c r="AS31" i="8"/>
  <c r="BI31" i="8" s="1"/>
  <c r="AT31" i="8"/>
  <c r="BJ31" i="8" s="1"/>
  <c r="AU31" i="8"/>
  <c r="BK31" i="8" s="1"/>
  <c r="AJ32" i="8"/>
  <c r="AZ32" i="8" s="1"/>
  <c r="AK32" i="8"/>
  <c r="AL32" i="8"/>
  <c r="AM32" i="8"/>
  <c r="AN32" i="8"/>
  <c r="AO32" i="8"/>
  <c r="BE32" i="8" s="1"/>
  <c r="AP32" i="8"/>
  <c r="BF32" i="8" s="1"/>
  <c r="AQ32" i="8"/>
  <c r="BG32" i="8" s="1"/>
  <c r="AR32" i="8"/>
  <c r="AS32" i="8"/>
  <c r="AT32" i="8"/>
  <c r="AU32" i="8"/>
  <c r="AJ33" i="8"/>
  <c r="AZ33" i="8" s="1"/>
  <c r="AK33" i="8"/>
  <c r="AL33" i="8"/>
  <c r="BB33" i="8" s="1"/>
  <c r="AM33" i="8"/>
  <c r="BC33" i="8" s="1"/>
  <c r="AN33" i="8"/>
  <c r="BD33" i="8" s="1"/>
  <c r="AO33" i="8"/>
  <c r="AP33" i="8"/>
  <c r="AQ33" i="8"/>
  <c r="AR33" i="8"/>
  <c r="BH33" i="8" s="1"/>
  <c r="AS33" i="8"/>
  <c r="BI33" i="8" s="1"/>
  <c r="AT33" i="8"/>
  <c r="BJ33" i="8" s="1"/>
  <c r="AU33" i="8"/>
  <c r="BK33" i="8" s="1"/>
  <c r="AJ34" i="8"/>
  <c r="AZ34" i="8" s="1"/>
  <c r="AK34" i="8"/>
  <c r="BA34" i="8" s="1"/>
  <c r="AL34" i="8"/>
  <c r="AM34" i="8"/>
  <c r="AN34" i="8"/>
  <c r="AO34" i="8"/>
  <c r="AP34" i="8"/>
  <c r="AQ34" i="8"/>
  <c r="BG34" i="8" s="1"/>
  <c r="AR34" i="8"/>
  <c r="BH34" i="8" s="1"/>
  <c r="AS34" i="8"/>
  <c r="BI34" i="8" s="1"/>
  <c r="AT34" i="8"/>
  <c r="AU34" i="8"/>
  <c r="AJ35" i="8"/>
  <c r="AZ35" i="8" s="1"/>
  <c r="AK35" i="8"/>
  <c r="BA35" i="8" s="1"/>
  <c r="AL35" i="8"/>
  <c r="BB35" i="8" s="1"/>
  <c r="AM35" i="8"/>
  <c r="BC35" i="8" s="1"/>
  <c r="AN35" i="8"/>
  <c r="BD35" i="8" s="1"/>
  <c r="AO35" i="8"/>
  <c r="BE35" i="8" s="1"/>
  <c r="AP35" i="8"/>
  <c r="BF35" i="8" s="1"/>
  <c r="AQ35" i="8"/>
  <c r="BG35" i="8" s="1"/>
  <c r="AR35" i="8"/>
  <c r="BH35" i="8" s="1"/>
  <c r="AS35" i="8"/>
  <c r="BI35" i="8" s="1"/>
  <c r="AT35" i="8"/>
  <c r="BJ35" i="8" s="1"/>
  <c r="AU35" i="8"/>
  <c r="BK35" i="8" s="1"/>
  <c r="AJ36" i="8"/>
  <c r="AK36" i="8"/>
  <c r="BA36" i="8" s="1"/>
  <c r="AL36" i="8"/>
  <c r="BB36" i="8" s="1"/>
  <c r="AM36" i="8"/>
  <c r="BC36" i="8" s="1"/>
  <c r="AN36" i="8"/>
  <c r="BD36" i="8" s="1"/>
  <c r="AO36" i="8"/>
  <c r="BE36" i="8" s="1"/>
  <c r="AP36" i="8"/>
  <c r="BF36" i="8" s="1"/>
  <c r="AQ36" i="8"/>
  <c r="BG36" i="8" s="1"/>
  <c r="AR36" i="8"/>
  <c r="BH36" i="8" s="1"/>
  <c r="AS36" i="8"/>
  <c r="BI36" i="8" s="1"/>
  <c r="AT36" i="8"/>
  <c r="BJ36" i="8" s="1"/>
  <c r="AU36" i="8"/>
  <c r="BK36" i="8" s="1"/>
  <c r="AJ37" i="8"/>
  <c r="AZ37" i="8" s="1"/>
  <c r="AK37" i="8"/>
  <c r="BA37" i="8" s="1"/>
  <c r="AL37" i="8"/>
  <c r="BB37" i="8" s="1"/>
  <c r="AM37" i="8"/>
  <c r="BD37" i="8" s="1"/>
  <c r="AN37" i="8"/>
  <c r="AO37" i="8"/>
  <c r="AP37" i="8"/>
  <c r="BF37" i="8" s="1"/>
  <c r="AQ37" i="8"/>
  <c r="BG37" i="8" s="1"/>
  <c r="AR37" i="8"/>
  <c r="BH37" i="8" s="1"/>
  <c r="AS37" i="8"/>
  <c r="BI37" i="8" s="1"/>
  <c r="AT37" i="8"/>
  <c r="BJ37" i="8" s="1"/>
  <c r="AU37" i="8"/>
  <c r="BK37" i="8" s="1"/>
  <c r="AJ38" i="8"/>
  <c r="AZ38" i="8" s="1"/>
  <c r="AK38" i="8"/>
  <c r="BA38" i="8" s="1"/>
  <c r="AL38" i="8"/>
  <c r="BB38" i="8" s="1"/>
  <c r="AM38" i="8"/>
  <c r="BC38" i="8" s="1"/>
  <c r="AN38" i="8"/>
  <c r="BD38" i="8" s="1"/>
  <c r="AO38" i="8"/>
  <c r="BE38" i="8" s="1"/>
  <c r="AP38" i="8"/>
  <c r="BF38" i="8" s="1"/>
  <c r="AQ38" i="8"/>
  <c r="BG38" i="8" s="1"/>
  <c r="AR38" i="8"/>
  <c r="AS38" i="8"/>
  <c r="AT38" i="8"/>
  <c r="AU38" i="8"/>
  <c r="BK38" i="8" s="1"/>
  <c r="AJ39" i="8"/>
  <c r="AK39" i="8"/>
  <c r="BA39" i="8" s="1"/>
  <c r="AL39" i="8"/>
  <c r="BB39" i="8" s="1"/>
  <c r="AM39" i="8"/>
  <c r="BC39" i="8" s="1"/>
  <c r="AN39" i="8"/>
  <c r="BD39" i="8" s="1"/>
  <c r="AO39" i="8"/>
  <c r="BE39" i="8" s="1"/>
  <c r="AP39" i="8"/>
  <c r="BF39" i="8" s="1"/>
  <c r="AQ39" i="8"/>
  <c r="BG39" i="8" s="1"/>
  <c r="AR39" i="8"/>
  <c r="BH39" i="8" s="1"/>
  <c r="AS39" i="8"/>
  <c r="BI39" i="8" s="1"/>
  <c r="AT39" i="8"/>
  <c r="BJ39" i="8" s="1"/>
  <c r="AU39" i="8"/>
  <c r="BK39" i="8" s="1"/>
  <c r="AI27" i="8"/>
  <c r="AI28" i="8"/>
  <c r="AI29" i="8"/>
  <c r="AI30" i="8"/>
  <c r="AY30" i="8" s="1"/>
  <c r="AI31" i="8"/>
  <c r="AY31" i="8" s="1"/>
  <c r="AI32" i="8"/>
  <c r="AY32" i="8" s="1"/>
  <c r="AI33" i="8"/>
  <c r="AY33" i="8" s="1"/>
  <c r="AI34" i="8"/>
  <c r="AI35" i="8"/>
  <c r="AI36" i="8"/>
  <c r="AZ36" i="8" s="1"/>
  <c r="AI37" i="8"/>
  <c r="AI38" i="8"/>
  <c r="AY38" i="8" s="1"/>
  <c r="AI39" i="8"/>
  <c r="AZ39" i="8" s="1"/>
  <c r="AI26" i="8"/>
  <c r="AY26" i="8" s="1"/>
  <c r="N7" i="6"/>
  <c r="B1" i="2"/>
  <c r="A1" i="2" a="1"/>
  <c r="N30" i="6" s="1"/>
  <c r="BC18" i="12" l="1"/>
  <c r="BE12" i="12"/>
  <c r="BG6" i="12"/>
  <c r="AY24" i="12"/>
  <c r="AY21" i="12"/>
  <c r="BR74" i="12"/>
  <c r="BO76" i="12" s="1"/>
  <c r="R4" i="14"/>
  <c r="R6" i="14"/>
  <c r="R5" i="14"/>
  <c r="R3" i="14"/>
  <c r="BF188" i="12"/>
  <c r="BF133" i="12"/>
  <c r="BA132" i="12"/>
  <c r="BD123" i="12"/>
  <c r="BG114" i="12"/>
  <c r="BB113" i="12"/>
  <c r="BE104" i="12"/>
  <c r="BB97" i="12"/>
  <c r="BC94" i="12"/>
  <c r="BE88" i="12"/>
  <c r="BB81" i="12"/>
  <c r="AX89" i="12"/>
  <c r="BA200" i="12"/>
  <c r="BA180" i="12"/>
  <c r="BE165" i="12"/>
  <c r="BA148" i="12"/>
  <c r="BE188" i="12"/>
  <c r="BD136" i="12"/>
  <c r="AZ132" i="12"/>
  <c r="BF130" i="12"/>
  <c r="BA129" i="12"/>
  <c r="BG127" i="12"/>
  <c r="BB126" i="12"/>
  <c r="BH124" i="12"/>
  <c r="BC123" i="12"/>
  <c r="BD120" i="12"/>
  <c r="BE117" i="12"/>
  <c r="AZ116" i="12"/>
  <c r="BF114" i="12"/>
  <c r="BA113" i="12"/>
  <c r="BG111" i="12"/>
  <c r="BB110" i="12"/>
  <c r="BH108" i="12"/>
  <c r="BC107" i="12"/>
  <c r="BD104" i="12"/>
  <c r="BE101" i="12"/>
  <c r="AZ100" i="12"/>
  <c r="BF98" i="12"/>
  <c r="BA97" i="12"/>
  <c r="BG95" i="12"/>
  <c r="BB94" i="12"/>
  <c r="BH92" i="12"/>
  <c r="BC91" i="12"/>
  <c r="BD88" i="12"/>
  <c r="AZ84" i="12"/>
  <c r="BF82" i="12"/>
  <c r="BA81" i="12"/>
  <c r="BG79" i="12"/>
  <c r="BB78" i="12"/>
  <c r="BH76" i="12"/>
  <c r="BC75" i="12"/>
  <c r="AY138" i="12"/>
  <c r="AX135" i="12"/>
  <c r="AY119" i="12"/>
  <c r="AY103" i="12"/>
  <c r="AY87" i="12"/>
  <c r="BG124" i="12"/>
  <c r="AZ113" i="12"/>
  <c r="BD101" i="12"/>
  <c r="BF95" i="12"/>
  <c r="BG92" i="12"/>
  <c r="BB91" i="12"/>
  <c r="BF79" i="12"/>
  <c r="BC133" i="12"/>
  <c r="BD130" i="12"/>
  <c r="BA123" i="12"/>
  <c r="BG121" i="12"/>
  <c r="BB120" i="12"/>
  <c r="BD114" i="12"/>
  <c r="BE111" i="12"/>
  <c r="BB104" i="12"/>
  <c r="BH102" i="12"/>
  <c r="BC101" i="12"/>
  <c r="BA91" i="12"/>
  <c r="AX74" i="12"/>
  <c r="AY37" i="12"/>
  <c r="AY133" i="12"/>
  <c r="BF137" i="12"/>
  <c r="BA136" i="12"/>
  <c r="BG134" i="12"/>
  <c r="BB133" i="12"/>
  <c r="BF131" i="12"/>
  <c r="BD127" i="12"/>
  <c r="BE124" i="12"/>
  <c r="AZ123" i="12"/>
  <c r="BF121" i="12"/>
  <c r="BA120" i="12"/>
  <c r="BG118" i="12"/>
  <c r="BB117" i="12"/>
  <c r="BD111" i="12"/>
  <c r="BE108" i="12"/>
  <c r="AZ107" i="12"/>
  <c r="BF105" i="12"/>
  <c r="BA104" i="12"/>
  <c r="BG102" i="12"/>
  <c r="BH99" i="12"/>
  <c r="BC98" i="12"/>
  <c r="BD95" i="12"/>
  <c r="BE92" i="12"/>
  <c r="AZ91" i="12"/>
  <c r="BF89" i="12"/>
  <c r="BA88" i="12"/>
  <c r="BG86" i="12"/>
  <c r="BH83" i="12"/>
  <c r="BC82" i="12"/>
  <c r="BD79" i="12"/>
  <c r="BE76" i="12"/>
  <c r="AZ75" i="12"/>
  <c r="AZ120" i="12"/>
  <c r="BH112" i="12"/>
  <c r="BB206" i="12"/>
  <c r="BF191" i="12"/>
  <c r="AX177" i="12"/>
  <c r="AX157" i="12"/>
  <c r="BF168" i="12"/>
  <c r="BE131" i="12"/>
  <c r="AZ130" i="12"/>
  <c r="BF128" i="12"/>
  <c r="BC121" i="12"/>
  <c r="BG119" i="12"/>
  <c r="BD118" i="12"/>
  <c r="BA111" i="12"/>
  <c r="BG109" i="12"/>
  <c r="BB108" i="12"/>
  <c r="BE99" i="12"/>
  <c r="AZ98" i="12"/>
  <c r="BB92" i="12"/>
  <c r="BH90" i="12"/>
  <c r="BC89" i="12"/>
  <c r="BE83" i="12"/>
  <c r="AZ82" i="12"/>
  <c r="AZ76" i="12"/>
  <c r="BH74" i="12"/>
  <c r="BE200" i="12"/>
  <c r="AY64" i="12"/>
  <c r="BF138" i="12"/>
  <c r="BC128" i="12"/>
  <c r="BC125" i="12"/>
  <c r="BE119" i="12"/>
  <c r="AZ118" i="12"/>
  <c r="BH116" i="12"/>
  <c r="BC109" i="12"/>
  <c r="AZ108" i="12"/>
  <c r="BF90" i="12"/>
  <c r="BF74" i="12"/>
  <c r="BD207" i="12"/>
  <c r="AZ206" i="12"/>
  <c r="BH204" i="12"/>
  <c r="BD203" i="12"/>
  <c r="AZ202" i="12"/>
  <c r="BH200" i="12"/>
  <c r="BD199" i="12"/>
  <c r="AZ198" i="12"/>
  <c r="BH196" i="12"/>
  <c r="BD195" i="12"/>
  <c r="AZ194" i="12"/>
  <c r="BH192" i="12"/>
  <c r="BD191" i="12"/>
  <c r="AZ190" i="12"/>
  <c r="BD187" i="12"/>
  <c r="AZ186" i="12"/>
  <c r="BH184" i="12"/>
  <c r="BD183" i="12"/>
  <c r="AZ182" i="12"/>
  <c r="BH180" i="12"/>
  <c r="BD179" i="12"/>
  <c r="BD175" i="12"/>
  <c r="AZ174" i="12"/>
  <c r="BH172" i="12"/>
  <c r="BD171" i="12"/>
  <c r="AZ170" i="12"/>
  <c r="AZ158" i="12"/>
  <c r="BH156" i="12"/>
  <c r="BD155" i="12"/>
  <c r="BD14" i="12"/>
  <c r="BE11" i="12"/>
  <c r="AZ10" i="12"/>
  <c r="AY127" i="12"/>
  <c r="BE138" i="12"/>
  <c r="BB128" i="12"/>
  <c r="BG116" i="12"/>
  <c r="BH97" i="12"/>
  <c r="BE90" i="12"/>
  <c r="BH81" i="12"/>
  <c r="BC80" i="12"/>
  <c r="BE74" i="12"/>
  <c r="AY206" i="12"/>
  <c r="BC203" i="12"/>
  <c r="BE172" i="12"/>
  <c r="BA171" i="12"/>
  <c r="BE156" i="12"/>
  <c r="BA155" i="12"/>
  <c r="BB191" i="12"/>
  <c r="BF152" i="12"/>
  <c r="BF107" i="12"/>
  <c r="BA106" i="12"/>
  <c r="BG104" i="12"/>
  <c r="BF81" i="12"/>
  <c r="BA80" i="12"/>
  <c r="BC74" i="12"/>
  <c r="AY101" i="12"/>
  <c r="AZ138" i="12"/>
  <c r="BF136" i="12"/>
  <c r="BA135" i="12"/>
  <c r="BG133" i="12"/>
  <c r="BH130" i="12"/>
  <c r="BD126" i="12"/>
  <c r="BG117" i="12"/>
  <c r="BB116" i="12"/>
  <c r="BH114" i="12"/>
  <c r="BD110" i="12"/>
  <c r="BE107" i="12"/>
  <c r="BH98" i="12"/>
  <c r="AZ90" i="12"/>
  <c r="BF88" i="12"/>
  <c r="BH82" i="12"/>
  <c r="BC81" i="12"/>
  <c r="AZ80" i="12"/>
  <c r="BE75" i="12"/>
  <c r="AZ74" i="12"/>
  <c r="AZ183" i="12"/>
  <c r="BH169" i="12"/>
  <c r="AZ155" i="12"/>
  <c r="AZ135" i="12"/>
  <c r="BC126" i="12"/>
  <c r="BC110" i="12"/>
  <c r="AZ103" i="12"/>
  <c r="AY90" i="12"/>
  <c r="AZ87" i="12"/>
  <c r="AY187" i="12"/>
  <c r="BG185" i="12"/>
  <c r="BC184" i="12"/>
  <c r="BG181" i="12"/>
  <c r="BC180" i="12"/>
  <c r="BG177" i="12"/>
  <c r="BC176" i="12"/>
  <c r="BG173" i="12"/>
  <c r="BC172" i="12"/>
  <c r="BG169" i="12"/>
  <c r="BC168" i="12"/>
  <c r="BG165" i="12"/>
  <c r="BC164" i="12"/>
  <c r="BG161" i="12"/>
  <c r="BC160" i="12"/>
  <c r="BG157" i="12"/>
  <c r="BC156" i="12"/>
  <c r="BG153" i="12"/>
  <c r="BC152" i="12"/>
  <c r="BG149" i="12"/>
  <c r="BC148" i="12"/>
  <c r="BG145" i="12"/>
  <c r="BC144" i="12"/>
  <c r="AY183" i="12"/>
  <c r="AZ111" i="12"/>
  <c r="BF181" i="12"/>
  <c r="BF153" i="12"/>
  <c r="AZ148" i="12"/>
  <c r="BE109" i="12"/>
  <c r="BF205" i="12"/>
  <c r="BB192" i="12"/>
  <c r="BB180" i="12"/>
  <c r="BF173" i="12"/>
  <c r="BF165" i="12"/>
  <c r="BH206" i="12"/>
  <c r="BH198" i="12"/>
  <c r="BH190" i="12"/>
  <c r="AZ180" i="12"/>
  <c r="BH170" i="12"/>
  <c r="BD161" i="12"/>
  <c r="BD153" i="12"/>
  <c r="AX203" i="12"/>
  <c r="AZ86" i="12"/>
  <c r="AX200" i="12"/>
  <c r="BC185" i="12"/>
  <c r="AX160" i="12"/>
  <c r="BB125" i="12"/>
  <c r="BA112" i="12"/>
  <c r="BC90" i="12"/>
  <c r="BB77" i="12"/>
  <c r="BE182" i="12"/>
  <c r="BG60" i="12"/>
  <c r="AZ14" i="12"/>
  <c r="BG101" i="12"/>
  <c r="BE91" i="12"/>
  <c r="AZ77" i="12"/>
  <c r="AY197" i="12"/>
  <c r="BC194" i="12"/>
  <c r="BD182" i="12"/>
  <c r="BH179" i="12"/>
  <c r="BG175" i="12"/>
  <c r="BD162" i="12"/>
  <c r="AY161" i="12"/>
  <c r="AY167" i="12"/>
  <c r="BB164" i="12"/>
  <c r="BE197" i="12"/>
  <c r="BD205" i="12"/>
  <c r="AZ196" i="12"/>
  <c r="AZ188" i="12"/>
  <c r="BD177" i="12"/>
  <c r="BD169" i="12"/>
  <c r="AZ160" i="12"/>
  <c r="BB112" i="12"/>
  <c r="AZ102" i="12"/>
  <c r="BG126" i="12"/>
  <c r="BB109" i="12"/>
  <c r="AZ96" i="12"/>
  <c r="AZ83" i="12"/>
  <c r="BF194" i="12"/>
  <c r="AZ125" i="12"/>
  <c r="BG67" i="12"/>
  <c r="BB66" i="12"/>
  <c r="AZ56" i="12"/>
  <c r="BB50" i="12"/>
  <c r="BE41" i="12"/>
  <c r="BF38" i="12"/>
  <c r="BA37" i="12"/>
  <c r="BG19" i="12"/>
  <c r="BC15" i="12"/>
  <c r="BD12" i="12"/>
  <c r="BB84" i="12"/>
  <c r="AY135" i="12"/>
  <c r="AY98" i="12"/>
  <c r="BE89" i="12"/>
  <c r="BF201" i="12"/>
  <c r="BB176" i="12"/>
  <c r="BB144" i="12"/>
  <c r="BD77" i="12"/>
  <c r="BD197" i="12"/>
  <c r="BD189" i="12"/>
  <c r="AZ184" i="12"/>
  <c r="AZ176" i="12"/>
  <c r="AZ168" i="12"/>
  <c r="BD157" i="12"/>
  <c r="BH150" i="12"/>
  <c r="AZ144" i="12"/>
  <c r="BH110" i="12"/>
  <c r="BC93" i="12"/>
  <c r="BC77" i="12"/>
  <c r="BG182" i="12"/>
  <c r="AZ131" i="12"/>
  <c r="BE116" i="12"/>
  <c r="BG94" i="12"/>
  <c r="BB161" i="12"/>
  <c r="BA77" i="12"/>
  <c r="BF47" i="12"/>
  <c r="AZ33" i="12"/>
  <c r="AY56" i="12"/>
  <c r="AY40" i="12"/>
  <c r="AY105" i="12"/>
  <c r="BG130" i="12"/>
  <c r="BE120" i="12"/>
  <c r="BF101" i="12"/>
  <c r="BD91" i="12"/>
  <c r="BA84" i="12"/>
  <c r="AY106" i="12"/>
  <c r="AX187" i="12"/>
  <c r="BG172" i="12"/>
  <c r="AY151" i="12"/>
  <c r="BC118" i="12"/>
  <c r="BF185" i="12"/>
  <c r="BB148" i="12"/>
  <c r="AZ200" i="12"/>
  <c r="BD193" i="12"/>
  <c r="BD185" i="12"/>
  <c r="BH174" i="12"/>
  <c r="BD165" i="12"/>
  <c r="AZ156" i="12"/>
  <c r="BH94" i="12"/>
  <c r="BA83" i="12"/>
  <c r="BC161" i="12"/>
  <c r="AY148" i="12"/>
  <c r="BF129" i="12"/>
  <c r="AZ115" i="12"/>
  <c r="BD103" i="12"/>
  <c r="BB93" i="12"/>
  <c r="BG78" i="12"/>
  <c r="BA46" i="12"/>
  <c r="AY136" i="12"/>
  <c r="AY104" i="12"/>
  <c r="BB74" i="12"/>
  <c r="BE187" i="12"/>
  <c r="BA178" i="12"/>
  <c r="BE175" i="12"/>
  <c r="BA174" i="12"/>
  <c r="BE171" i="12"/>
  <c r="BE159" i="12"/>
  <c r="BA158" i="12"/>
  <c r="AY199" i="12"/>
  <c r="AY186" i="12"/>
  <c r="BF172" i="12"/>
  <c r="BB121" i="12"/>
  <c r="BB196" i="12"/>
  <c r="BB184" i="12"/>
  <c r="BB172" i="12"/>
  <c r="BB160" i="12"/>
  <c r="BF145" i="12"/>
  <c r="BH129" i="12"/>
  <c r="BH146" i="12"/>
  <c r="BC197" i="12"/>
  <c r="AX180" i="12"/>
  <c r="BE132" i="12"/>
  <c r="BD119" i="12"/>
  <c r="BE97" i="12"/>
  <c r="BH88" i="12"/>
  <c r="BA161" i="12"/>
  <c r="AZ65" i="12"/>
  <c r="BG28" i="12"/>
  <c r="BF15" i="12"/>
  <c r="BD133" i="12"/>
  <c r="BB123" i="12"/>
  <c r="BH121" i="12"/>
  <c r="BE114" i="12"/>
  <c r="BC104" i="12"/>
  <c r="AX116" i="12"/>
  <c r="AY122" i="12"/>
  <c r="AZ150" i="12"/>
  <c r="BH148" i="12"/>
  <c r="BD147" i="12"/>
  <c r="AZ146" i="12"/>
  <c r="BH144" i="12"/>
  <c r="BE194" i="12"/>
  <c r="AY134" i="12"/>
  <c r="AX118" i="12"/>
  <c r="AY102" i="12"/>
  <c r="AY86" i="12"/>
  <c r="AY78" i="12"/>
  <c r="AX105" i="12"/>
  <c r="BG131" i="12"/>
  <c r="BG204" i="12"/>
  <c r="AX202" i="12"/>
  <c r="BG192" i="12"/>
  <c r="BC187" i="12"/>
  <c r="BF176" i="12"/>
  <c r="BB175" i="12"/>
  <c r="AX174" i="12"/>
  <c r="BG168" i="12"/>
  <c r="BC167" i="12"/>
  <c r="BG164" i="12"/>
  <c r="BC163" i="12"/>
  <c r="BG152" i="12"/>
  <c r="BC151" i="12"/>
  <c r="AX150" i="12"/>
  <c r="BG148" i="12"/>
  <c r="BC147" i="12"/>
  <c r="AX146" i="12"/>
  <c r="BF144" i="12"/>
  <c r="BG156" i="12"/>
  <c r="BB204" i="12"/>
  <c r="BF189" i="12"/>
  <c r="BF157" i="12"/>
  <c r="BH202" i="12"/>
  <c r="BD181" i="12"/>
  <c r="AZ164" i="12"/>
  <c r="BD145" i="12"/>
  <c r="BF84" i="12"/>
  <c r="BG146" i="12"/>
  <c r="BC122" i="12"/>
  <c r="BE84" i="12"/>
  <c r="AY26" i="12"/>
  <c r="AY52" i="12"/>
  <c r="AX104" i="12"/>
  <c r="AY113" i="12"/>
  <c r="BB151" i="12"/>
  <c r="BE148" i="12"/>
  <c r="AY170" i="12"/>
  <c r="BF156" i="12"/>
  <c r="BC143" i="12"/>
  <c r="BF197" i="12"/>
  <c r="BF177" i="12"/>
  <c r="BB168" i="12"/>
  <c r="BF161" i="12"/>
  <c r="BF149" i="12"/>
  <c r="BD128" i="12"/>
  <c r="BA86" i="12"/>
  <c r="BA143" i="12"/>
  <c r="AZ204" i="12"/>
  <c r="BH194" i="12"/>
  <c r="BH186" i="12"/>
  <c r="BH178" i="12"/>
  <c r="AZ172" i="12"/>
  <c r="BH166" i="12"/>
  <c r="BH158" i="12"/>
  <c r="BD149" i="12"/>
  <c r="BF116" i="12"/>
  <c r="BE103" i="12"/>
  <c r="BD90" i="12"/>
  <c r="BG194" i="12"/>
  <c r="BG166" i="12"/>
  <c r="BD135" i="12"/>
  <c r="BH123" i="12"/>
  <c r="BF113" i="12"/>
  <c r="AZ99" i="12"/>
  <c r="BD87" i="12"/>
  <c r="BH75" i="12"/>
  <c r="BB165" i="12"/>
  <c r="AY10" i="12"/>
  <c r="AX68" i="12"/>
  <c r="AY36" i="12"/>
  <c r="AX84" i="12"/>
  <c r="AY132" i="12"/>
  <c r="AX100" i="12"/>
  <c r="BE137" i="12"/>
  <c r="AZ136" i="12"/>
  <c r="BF134" i="12"/>
  <c r="BA133" i="12"/>
  <c r="BB130" i="12"/>
  <c r="BH128" i="12"/>
  <c r="BC127" i="12"/>
  <c r="BD124" i="12"/>
  <c r="BE121" i="12"/>
  <c r="BC111" i="12"/>
  <c r="BF102" i="12"/>
  <c r="BG99" i="12"/>
  <c r="BD92" i="12"/>
  <c r="BG83" i="12"/>
  <c r="BD76" i="12"/>
  <c r="AX103" i="12"/>
  <c r="BG139" i="12"/>
  <c r="BE128" i="12"/>
  <c r="BF109" i="12"/>
  <c r="BH100" i="12"/>
  <c r="BD109" i="12"/>
  <c r="BF193" i="12"/>
  <c r="BB156" i="12"/>
  <c r="BA137" i="12"/>
  <c r="AY137" i="12"/>
  <c r="BB83" i="12"/>
  <c r="BD201" i="12"/>
  <c r="AZ192" i="12"/>
  <c r="BH182" i="12"/>
  <c r="BD173" i="12"/>
  <c r="BH162" i="12"/>
  <c r="AZ152" i="12"/>
  <c r="BE135" i="12"/>
  <c r="BG113" i="12"/>
  <c r="BF100" i="12"/>
  <c r="BH78" i="12"/>
  <c r="BC165" i="12"/>
  <c r="BC138" i="12"/>
  <c r="BA128" i="12"/>
  <c r="BG110" i="12"/>
  <c r="BE100" i="12"/>
  <c r="BH91" i="12"/>
  <c r="BB197" i="12"/>
  <c r="AX108" i="12"/>
  <c r="BC8" i="12"/>
  <c r="AY68" i="12"/>
  <c r="AY20" i="12"/>
  <c r="AX51" i="12"/>
  <c r="AX35" i="12"/>
  <c r="AX19" i="12"/>
  <c r="AY83" i="12"/>
  <c r="AY115" i="12"/>
  <c r="AX99" i="12"/>
  <c r="BE134" i="12"/>
  <c r="AZ133" i="12"/>
  <c r="BA130" i="12"/>
  <c r="BG128" i="12"/>
  <c r="BB127" i="12"/>
  <c r="BH125" i="12"/>
  <c r="BC124" i="12"/>
  <c r="BE118" i="12"/>
  <c r="BB111" i="12"/>
  <c r="BH109" i="12"/>
  <c r="BE102" i="12"/>
  <c r="BF99" i="12"/>
  <c r="BC92" i="12"/>
  <c r="BF83" i="12"/>
  <c r="BH77" i="12"/>
  <c r="BC76" i="12"/>
  <c r="AX102" i="12"/>
  <c r="AY120" i="12"/>
  <c r="BF85" i="12"/>
  <c r="BF139" i="12" s="1"/>
  <c r="BD180" i="12"/>
  <c r="BH165" i="12"/>
  <c r="BD164" i="12"/>
  <c r="BH149" i="12"/>
  <c r="BD148" i="12"/>
  <c r="BC129" i="12"/>
  <c r="BE129" i="12"/>
  <c r="AZ109" i="12"/>
  <c r="BA109" i="12"/>
  <c r="BB100" i="12"/>
  <c r="BC100" i="12"/>
  <c r="BD100" i="12"/>
  <c r="BG202" i="12"/>
  <c r="BC189" i="12"/>
  <c r="AY176" i="12"/>
  <c r="BG162" i="12"/>
  <c r="BC149" i="12"/>
  <c r="AZ93" i="12"/>
  <c r="BF206" i="12"/>
  <c r="BB193" i="12"/>
  <c r="BF170" i="12"/>
  <c r="BB149" i="12"/>
  <c r="BA145" i="12"/>
  <c r="BB145" i="12"/>
  <c r="BE206" i="12"/>
  <c r="BA181" i="12"/>
  <c r="BE166" i="12"/>
  <c r="BE150" i="12"/>
  <c r="BD178" i="12"/>
  <c r="BD158" i="12"/>
  <c r="BB138" i="12"/>
  <c r="BF111" i="12"/>
  <c r="BA78" i="12"/>
  <c r="AX205" i="12"/>
  <c r="AY189" i="12"/>
  <c r="BC206" i="12"/>
  <c r="BC136" i="12"/>
  <c r="BE130" i="12"/>
  <c r="AZ129" i="12"/>
  <c r="BF127" i="12"/>
  <c r="BA126" i="12"/>
  <c r="BC120" i="12"/>
  <c r="BD117" i="12"/>
  <c r="BA110" i="12"/>
  <c r="BG108" i="12"/>
  <c r="BB107" i="12"/>
  <c r="BH105" i="12"/>
  <c r="BE98" i="12"/>
  <c r="AZ97" i="12"/>
  <c r="BC88" i="12"/>
  <c r="BE82" i="12"/>
  <c r="AZ81" i="12"/>
  <c r="BG76" i="12"/>
  <c r="BB75" i="12"/>
  <c r="BA138" i="12"/>
  <c r="BH133" i="12"/>
  <c r="AY108" i="12"/>
  <c r="AY93" i="12"/>
  <c r="AY82" i="12"/>
  <c r="AZ78" i="12"/>
  <c r="AY143" i="12"/>
  <c r="BF207" i="12"/>
  <c r="BF195" i="12"/>
  <c r="BB190" i="12"/>
  <c r="BF175" i="12"/>
  <c r="BB174" i="12"/>
  <c r="BF159" i="12"/>
  <c r="BB158" i="12"/>
  <c r="AX176" i="12"/>
  <c r="BE94" i="12"/>
  <c r="BE113" i="12"/>
  <c r="BA93" i="12"/>
  <c r="BC193" i="12"/>
  <c r="BG178" i="12"/>
  <c r="BC132" i="12"/>
  <c r="BH104" i="12"/>
  <c r="BB205" i="12"/>
  <c r="BB189" i="12"/>
  <c r="BB173" i="12"/>
  <c r="BB157" i="12"/>
  <c r="BE190" i="12"/>
  <c r="BE174" i="12"/>
  <c r="BH195" i="12"/>
  <c r="AZ185" i="12"/>
  <c r="AZ173" i="12"/>
  <c r="AZ153" i="12"/>
  <c r="BG207" i="12"/>
  <c r="AX193" i="12"/>
  <c r="AX20" i="12"/>
  <c r="BG137" i="12"/>
  <c r="BB136" i="12"/>
  <c r="BH134" i="12"/>
  <c r="BE127" i="12"/>
  <c r="AZ126" i="12"/>
  <c r="BF124" i="12"/>
  <c r="BH118" i="12"/>
  <c r="BC117" i="12"/>
  <c r="AZ110" i="12"/>
  <c r="BF108" i="12"/>
  <c r="BA107" i="12"/>
  <c r="BG105" i="12"/>
  <c r="BD98" i="12"/>
  <c r="BE95" i="12"/>
  <c r="BF92" i="12"/>
  <c r="BG89" i="12"/>
  <c r="BB88" i="12"/>
  <c r="BH86" i="12"/>
  <c r="BD82" i="12"/>
  <c r="BE79" i="12"/>
  <c r="BF76" i="12"/>
  <c r="BA75" i="12"/>
  <c r="BF126" i="12"/>
  <c r="BH107" i="12"/>
  <c r="BB89" i="12"/>
  <c r="BE85" i="12"/>
  <c r="BE139" i="12" s="1"/>
  <c r="BH175" i="12"/>
  <c r="BG123" i="12"/>
  <c r="AX115" i="12"/>
  <c r="BG198" i="12"/>
  <c r="AX188" i="12"/>
  <c r="AY188" i="12"/>
  <c r="BC177" i="12"/>
  <c r="BC153" i="12"/>
  <c r="BF186" i="12"/>
  <c r="BF174" i="12"/>
  <c r="BA205" i="12"/>
  <c r="BA177" i="12"/>
  <c r="BE162" i="12"/>
  <c r="BH207" i="12"/>
  <c r="BH183" i="12"/>
  <c r="BH171" i="12"/>
  <c r="BH159" i="12"/>
  <c r="BD150" i="12"/>
  <c r="AZ145" i="12"/>
  <c r="BC158" i="12"/>
  <c r="BC13" i="12"/>
  <c r="BD10" i="12"/>
  <c r="AI139" i="12"/>
  <c r="AY85" i="12"/>
  <c r="AY139" i="12" s="1"/>
  <c r="BC114" i="12"/>
  <c r="AX133" i="12"/>
  <c r="BE126" i="12"/>
  <c r="AY123" i="12"/>
  <c r="BG107" i="12"/>
  <c r="BA89" i="12"/>
  <c r="BD85" i="12"/>
  <c r="BD139" i="12" s="1"/>
  <c r="BD194" i="12"/>
  <c r="AZ161" i="12"/>
  <c r="AR208" i="12"/>
  <c r="BH208" i="12"/>
  <c r="AX92" i="12"/>
  <c r="AY92" i="12"/>
  <c r="BB122" i="12"/>
  <c r="AZ112" i="12"/>
  <c r="BF91" i="12"/>
  <c r="BC201" i="12"/>
  <c r="BG186" i="12"/>
  <c r="BG170" i="12"/>
  <c r="BG150" i="12"/>
  <c r="BC84" i="12"/>
  <c r="BF123" i="12"/>
  <c r="BF202" i="12"/>
  <c r="BB185" i="12"/>
  <c r="AZ122" i="12"/>
  <c r="BE198" i="12"/>
  <c r="AX148" i="12"/>
  <c r="AZ201" i="12"/>
  <c r="AZ181" i="12"/>
  <c r="BH163" i="12"/>
  <c r="BD154" i="12"/>
  <c r="BD208" i="12" s="1"/>
  <c r="AN208" i="12"/>
  <c r="AY116" i="12"/>
  <c r="AY100" i="12"/>
  <c r="BF118" i="12"/>
  <c r="BA117" i="12"/>
  <c r="BG115" i="12"/>
  <c r="BB114" i="12"/>
  <c r="BD108" i="12"/>
  <c r="BE105" i="12"/>
  <c r="AZ104" i="12"/>
  <c r="BB98" i="12"/>
  <c r="BH96" i="12"/>
  <c r="BC95" i="12"/>
  <c r="AZ88" i="12"/>
  <c r="BF86" i="12"/>
  <c r="AK139" i="12"/>
  <c r="BA85" i="12"/>
  <c r="BA139" i="12" s="1"/>
  <c r="BH80" i="12"/>
  <c r="BC79" i="12"/>
  <c r="AX132" i="12"/>
  <c r="AZ137" i="12"/>
  <c r="AY130" i="12"/>
  <c r="BC85" i="12"/>
  <c r="BC139" i="12" s="1"/>
  <c r="BG9" i="12"/>
  <c r="BG190" i="12"/>
  <c r="AX152" i="12"/>
  <c r="AY152" i="12"/>
  <c r="BB135" i="12"/>
  <c r="BB153" i="12"/>
  <c r="BA201" i="12"/>
  <c r="BE154" i="12"/>
  <c r="BE208" i="12" s="1"/>
  <c r="AZ193" i="12"/>
  <c r="AZ165" i="12"/>
  <c r="BH147" i="12"/>
  <c r="BC178" i="12"/>
  <c r="AY131" i="12"/>
  <c r="AY99" i="12"/>
  <c r="BD137" i="12"/>
  <c r="BD121" i="12"/>
  <c r="AZ117" i="12"/>
  <c r="BF115" i="12"/>
  <c r="BA114" i="12"/>
  <c r="BC108" i="12"/>
  <c r="BD105" i="12"/>
  <c r="BA98" i="12"/>
  <c r="BG96" i="12"/>
  <c r="BB95" i="12"/>
  <c r="BH93" i="12"/>
  <c r="BD89" i="12"/>
  <c r="BE86" i="12"/>
  <c r="AJ139" i="12"/>
  <c r="AZ85" i="12"/>
  <c r="AZ139" i="12" s="1"/>
  <c r="BG80" i="12"/>
  <c r="BB79" i="12"/>
  <c r="AX131" i="12"/>
  <c r="AX88" i="12"/>
  <c r="BA96" i="12"/>
  <c r="BB85" i="12"/>
  <c r="BB139" i="12" s="1"/>
  <c r="AY200" i="12"/>
  <c r="BB8" i="12"/>
  <c r="BD132" i="12"/>
  <c r="BA119" i="12"/>
  <c r="BB119" i="12"/>
  <c r="BC119" i="12"/>
  <c r="BH101" i="12"/>
  <c r="BC205" i="12"/>
  <c r="BC169" i="12"/>
  <c r="BC157" i="12"/>
  <c r="BF198" i="12"/>
  <c r="BB177" i="12"/>
  <c r="BE146" i="12"/>
  <c r="BF146" i="12"/>
  <c r="BD116" i="12"/>
  <c r="BA197" i="12"/>
  <c r="BA169" i="12"/>
  <c r="BA157" i="12"/>
  <c r="AZ205" i="12"/>
  <c r="BH187" i="12"/>
  <c r="BH167" i="12"/>
  <c r="BH151" i="12"/>
  <c r="BG159" i="12"/>
  <c r="BG56" i="12"/>
  <c r="BF8" i="12"/>
  <c r="BA7" i="12"/>
  <c r="AY114" i="12"/>
  <c r="AX114" i="12"/>
  <c r="BH138" i="12"/>
  <c r="BC137" i="12"/>
  <c r="BD134" i="12"/>
  <c r="BA127" i="12"/>
  <c r="BG125" i="12"/>
  <c r="BB124" i="12"/>
  <c r="BH122" i="12"/>
  <c r="BE115" i="12"/>
  <c r="AZ114" i="12"/>
  <c r="BF112" i="12"/>
  <c r="BH106" i="12"/>
  <c r="BC105" i="12"/>
  <c r="BD102" i="12"/>
  <c r="BF96" i="12"/>
  <c r="BA95" i="12"/>
  <c r="BG93" i="12"/>
  <c r="BD86" i="12"/>
  <c r="BF80" i="12"/>
  <c r="BA79" i="12"/>
  <c r="BG77" i="12"/>
  <c r="AX87" i="12"/>
  <c r="BH136" i="12"/>
  <c r="BA118" i="12"/>
  <c r="BD99" i="12"/>
  <c r="BD80" i="12"/>
  <c r="AY173" i="12"/>
  <c r="AX76" i="12"/>
  <c r="AY76" i="12"/>
  <c r="BF120" i="12"/>
  <c r="BG120" i="12"/>
  <c r="BH120" i="12"/>
  <c r="BC103" i="12"/>
  <c r="BD84" i="12"/>
  <c r="BC135" i="12"/>
  <c r="AZ143" i="12"/>
  <c r="BC173" i="12"/>
  <c r="AX164" i="12"/>
  <c r="AY164" i="12"/>
  <c r="AX156" i="12"/>
  <c r="AY156" i="12"/>
  <c r="BB181" i="12"/>
  <c r="BF158" i="12"/>
  <c r="BE178" i="12"/>
  <c r="BA153" i="12"/>
  <c r="AY177" i="12"/>
  <c r="BH203" i="12"/>
  <c r="BD186" i="12"/>
  <c r="BD166" i="12"/>
  <c r="BD146" i="12"/>
  <c r="BC190" i="12"/>
  <c r="AY81" i="12"/>
  <c r="AX81" i="12"/>
  <c r="AY129" i="12"/>
  <c r="AX129" i="12"/>
  <c r="AY97" i="12"/>
  <c r="AX97" i="12"/>
  <c r="BB137" i="12"/>
  <c r="BH135" i="12"/>
  <c r="BC134" i="12"/>
  <c r="BD131" i="12"/>
  <c r="BF125" i="12"/>
  <c r="BA124" i="12"/>
  <c r="BG122" i="12"/>
  <c r="BH119" i="12"/>
  <c r="BD115" i="12"/>
  <c r="BE112" i="12"/>
  <c r="BG106" i="12"/>
  <c r="BB105" i="12"/>
  <c r="BH103" i="12"/>
  <c r="BC102" i="12"/>
  <c r="BE96" i="12"/>
  <c r="AZ95" i="12"/>
  <c r="BF93" i="12"/>
  <c r="BA92" i="12"/>
  <c r="BH87" i="12"/>
  <c r="BE80" i="12"/>
  <c r="AZ79" i="12"/>
  <c r="BF77" i="12"/>
  <c r="AX86" i="12"/>
  <c r="BG136" i="12"/>
  <c r="AY110" i="12"/>
  <c r="BC99" i="12"/>
  <c r="AY96" i="12"/>
  <c r="AY84" i="12"/>
  <c r="BH191" i="12"/>
  <c r="AX173" i="12"/>
  <c r="AY157" i="12"/>
  <c r="AX109" i="12"/>
  <c r="AY109" i="12"/>
  <c r="AY124" i="12"/>
  <c r="AX124" i="12"/>
  <c r="BB87" i="12"/>
  <c r="BG206" i="12"/>
  <c r="AX196" i="12"/>
  <c r="AY196" i="12"/>
  <c r="AX184" i="12"/>
  <c r="AY184" i="12"/>
  <c r="AX172" i="12"/>
  <c r="AY172" i="12"/>
  <c r="BG158" i="12"/>
  <c r="BB103" i="12"/>
  <c r="BB201" i="12"/>
  <c r="BF190" i="12"/>
  <c r="BF178" i="12"/>
  <c r="BF162" i="12"/>
  <c r="AP208" i="12"/>
  <c r="BF154" i="12"/>
  <c r="BF208" i="12" s="1"/>
  <c r="BE123" i="12"/>
  <c r="BA185" i="12"/>
  <c r="BA173" i="12"/>
  <c r="BE158" i="12"/>
  <c r="BF97" i="12"/>
  <c r="BD206" i="12"/>
  <c r="BD198" i="12"/>
  <c r="BD170" i="12"/>
  <c r="AZ149" i="12"/>
  <c r="AX32" i="12"/>
  <c r="AY80" i="12"/>
  <c r="AX80" i="12"/>
  <c r="AX128" i="12"/>
  <c r="AY128" i="12"/>
  <c r="AY112" i="12"/>
  <c r="AX112" i="12"/>
  <c r="BG135" i="12"/>
  <c r="BB134" i="12"/>
  <c r="BH132" i="12"/>
  <c r="BC131" i="12"/>
  <c r="BE125" i="12"/>
  <c r="AZ124" i="12"/>
  <c r="BF122" i="12"/>
  <c r="BA121" i="12"/>
  <c r="BB118" i="12"/>
  <c r="BC115" i="12"/>
  <c r="BD112" i="12"/>
  <c r="BF106" i="12"/>
  <c r="BA105" i="12"/>
  <c r="BG103" i="12"/>
  <c r="BD96" i="12"/>
  <c r="BE93" i="12"/>
  <c r="AZ92" i="12"/>
  <c r="BG87" i="12"/>
  <c r="BH84" i="12"/>
  <c r="BC83" i="12"/>
  <c r="BE77" i="12"/>
  <c r="AX119" i="12"/>
  <c r="AX85" i="12"/>
  <c r="AX139" i="12" s="1"/>
  <c r="BA125" i="12"/>
  <c r="AY118" i="12"/>
  <c r="BC106" i="12"/>
  <c r="BF87" i="12"/>
  <c r="BB76" i="12"/>
  <c r="BG191" i="12"/>
  <c r="AY180" i="12"/>
  <c r="AY144" i="12"/>
  <c r="AX144" i="12"/>
  <c r="BF182" i="12"/>
  <c r="BB169" i="12"/>
  <c r="BB132" i="12"/>
  <c r="BE202" i="12"/>
  <c r="BA193" i="12"/>
  <c r="BE186" i="12"/>
  <c r="BE170" i="12"/>
  <c r="AZ197" i="12"/>
  <c r="BC116" i="12"/>
  <c r="BH139" i="12"/>
  <c r="BH199" i="12"/>
  <c r="AZ189" i="12"/>
  <c r="AZ169" i="12"/>
  <c r="BH155" i="12"/>
  <c r="AZ61" i="12"/>
  <c r="AY79" i="12"/>
  <c r="AX79" i="12"/>
  <c r="AX127" i="12"/>
  <c r="AX111" i="12"/>
  <c r="AY111" i="12"/>
  <c r="AY95" i="12"/>
  <c r="AX95" i="12"/>
  <c r="BF135" i="12"/>
  <c r="BA134" i="12"/>
  <c r="BG132" i="12"/>
  <c r="BB131" i="12"/>
  <c r="BD125" i="12"/>
  <c r="BE122" i="12"/>
  <c r="AY121" i="12"/>
  <c r="BB115" i="12"/>
  <c r="BH113" i="12"/>
  <c r="BC112" i="12"/>
  <c r="AZ105" i="12"/>
  <c r="BF103" i="12"/>
  <c r="BA102" i="12"/>
  <c r="BG100" i="12"/>
  <c r="BD93" i="12"/>
  <c r="BH117" i="12"/>
  <c r="BB106" i="12"/>
  <c r="BA76" i="12"/>
  <c r="AY77" i="12"/>
  <c r="AX77" i="12"/>
  <c r="BC87" i="12"/>
  <c r="AZ128" i="12"/>
  <c r="AX204" i="12"/>
  <c r="AY204" i="12"/>
  <c r="AY192" i="12"/>
  <c r="AX192" i="12"/>
  <c r="BC181" i="12"/>
  <c r="BG174" i="12"/>
  <c r="AX168" i="12"/>
  <c r="AY168" i="12"/>
  <c r="AY160" i="12"/>
  <c r="AQ208" i="12"/>
  <c r="BG154" i="12"/>
  <c r="BG208" i="12" s="1"/>
  <c r="BC145" i="12"/>
  <c r="BA122" i="12"/>
  <c r="BF166" i="12"/>
  <c r="BF150" i="12"/>
  <c r="BA189" i="12"/>
  <c r="BA165" i="12"/>
  <c r="BA149" i="12"/>
  <c r="BD202" i="12"/>
  <c r="BD190" i="12"/>
  <c r="BD174" i="12"/>
  <c r="AZ157" i="12"/>
  <c r="AX136" i="12"/>
  <c r="BC174" i="12"/>
  <c r="AX48" i="12"/>
  <c r="AX28" i="12"/>
  <c r="AX78" i="12"/>
  <c r="AX126" i="12"/>
  <c r="AY126" i="12"/>
  <c r="AX110" i="12"/>
  <c r="AX94" i="12"/>
  <c r="AZ134" i="12"/>
  <c r="BF132" i="12"/>
  <c r="BA131" i="12"/>
  <c r="BG129" i="12"/>
  <c r="BD122" i="12"/>
  <c r="AX117" i="12"/>
  <c r="AX83" i="12"/>
  <c r="AY125" i="12"/>
  <c r="BF94" i="12"/>
  <c r="AY91" i="12"/>
  <c r="BB143" i="12"/>
  <c r="BE205" i="12"/>
  <c r="BA204" i="12"/>
  <c r="BE201" i="12"/>
  <c r="BA196" i="12"/>
  <c r="BE193" i="12"/>
  <c r="BA192" i="12"/>
  <c r="BE189" i="12"/>
  <c r="BA188" i="12"/>
  <c r="BE185" i="12"/>
  <c r="BA184" i="12"/>
  <c r="BE181" i="12"/>
  <c r="BE177" i="12"/>
  <c r="BA176" i="12"/>
  <c r="BE173" i="12"/>
  <c r="BA172" i="12"/>
  <c r="BE169" i="12"/>
  <c r="BA168" i="12"/>
  <c r="BA164" i="12"/>
  <c r="BE161" i="12"/>
  <c r="BA160" i="12"/>
  <c r="BE157" i="12"/>
  <c r="BA156" i="12"/>
  <c r="BE153" i="12"/>
  <c r="BA152" i="12"/>
  <c r="BE149" i="12"/>
  <c r="BE145" i="12"/>
  <c r="BA144" i="12"/>
  <c r="BC86" i="12"/>
  <c r="BG88" i="12"/>
  <c r="BA74" i="12"/>
  <c r="BG203" i="12"/>
  <c r="BC202" i="12"/>
  <c r="AX201" i="12"/>
  <c r="AY201" i="12"/>
  <c r="BG199" i="12"/>
  <c r="BC198" i="12"/>
  <c r="AX197" i="12"/>
  <c r="BG195" i="12"/>
  <c r="BG187" i="12"/>
  <c r="BC186" i="12"/>
  <c r="AX185" i="12"/>
  <c r="AY185" i="12"/>
  <c r="BG183" i="12"/>
  <c r="BC182" i="12"/>
  <c r="AX181" i="12"/>
  <c r="BG179" i="12"/>
  <c r="BG171" i="12"/>
  <c r="BC170" i="12"/>
  <c r="AX169" i="12"/>
  <c r="AY169" i="12"/>
  <c r="BG167" i="12"/>
  <c r="BC166" i="12"/>
  <c r="AX165" i="12"/>
  <c r="AY165" i="12"/>
  <c r="BG163" i="12"/>
  <c r="BC162" i="12"/>
  <c r="AX161" i="12"/>
  <c r="BG155" i="12"/>
  <c r="BC154" i="12"/>
  <c r="BC208" i="12" s="1"/>
  <c r="AM208" i="12"/>
  <c r="AX153" i="12"/>
  <c r="AY153" i="12"/>
  <c r="BG151" i="12"/>
  <c r="BC150" i="12"/>
  <c r="AX149" i="12"/>
  <c r="AY149" i="12"/>
  <c r="BG147" i="12"/>
  <c r="BC146" i="12"/>
  <c r="AX145" i="12"/>
  <c r="AY205" i="12"/>
  <c r="BA199" i="12"/>
  <c r="BF184" i="12"/>
  <c r="BB102" i="12"/>
  <c r="BB86" i="12"/>
  <c r="AZ121" i="12"/>
  <c r="BF203" i="12"/>
  <c r="BB202" i="12"/>
  <c r="BF199" i="12"/>
  <c r="BB198" i="12"/>
  <c r="BB194" i="12"/>
  <c r="BF187" i="12"/>
  <c r="BB186" i="12"/>
  <c r="BF183" i="12"/>
  <c r="BB182" i="12"/>
  <c r="BB178" i="12"/>
  <c r="BF171" i="12"/>
  <c r="BB170" i="12"/>
  <c r="BF167" i="12"/>
  <c r="BB166" i="12"/>
  <c r="BF163" i="12"/>
  <c r="BB162" i="12"/>
  <c r="BF155" i="12"/>
  <c r="BB154" i="12"/>
  <c r="BB208" i="12" s="1"/>
  <c r="AL208" i="12"/>
  <c r="BF151" i="12"/>
  <c r="BB150" i="12"/>
  <c r="BF147" i="12"/>
  <c r="BB146" i="12"/>
  <c r="AY202" i="12"/>
  <c r="BE184" i="12"/>
  <c r="BC155" i="12"/>
  <c r="BG84" i="12"/>
  <c r="BB90" i="12"/>
  <c r="BG75" i="12"/>
  <c r="BA202" i="12"/>
  <c r="BE199" i="12"/>
  <c r="BA198" i="12"/>
  <c r="BA186" i="12"/>
  <c r="BE183" i="12"/>
  <c r="BA182" i="12"/>
  <c r="BE179" i="12"/>
  <c r="BA170" i="12"/>
  <c r="BE167" i="12"/>
  <c r="BA166" i="12"/>
  <c r="BE163" i="12"/>
  <c r="BA162" i="12"/>
  <c r="BA154" i="12"/>
  <c r="BA208" i="12" s="1"/>
  <c r="AK208" i="12"/>
  <c r="BE151" i="12"/>
  <c r="BA150" i="12"/>
  <c r="BE147" i="12"/>
  <c r="BA146" i="12"/>
  <c r="BB155" i="12"/>
  <c r="BF110" i="12"/>
  <c r="BA90" i="12"/>
  <c r="BF75" i="12"/>
  <c r="AZ178" i="12"/>
  <c r="BH176" i="12"/>
  <c r="BH168" i="12"/>
  <c r="BD167" i="12"/>
  <c r="AZ166" i="12"/>
  <c r="BH164" i="12"/>
  <c r="BD163" i="12"/>
  <c r="AZ162" i="12"/>
  <c r="BH160" i="12"/>
  <c r="BD159" i="12"/>
  <c r="BH152" i="12"/>
  <c r="BD151" i="12"/>
  <c r="BB187" i="12"/>
  <c r="BE110" i="12"/>
  <c r="BG91" i="12"/>
  <c r="BC207" i="12"/>
  <c r="AX206" i="12"/>
  <c r="BG200" i="12"/>
  <c r="BC199" i="12"/>
  <c r="AX198" i="12"/>
  <c r="AY198" i="12"/>
  <c r="BG196" i="12"/>
  <c r="BC195" i="12"/>
  <c r="AX194" i="12"/>
  <c r="AY194" i="12"/>
  <c r="BC191" i="12"/>
  <c r="AX190" i="12"/>
  <c r="BG184" i="12"/>
  <c r="BC183" i="12"/>
  <c r="AX182" i="12"/>
  <c r="AY182" i="12"/>
  <c r="BG180" i="12"/>
  <c r="BC179" i="12"/>
  <c r="AX178" i="12"/>
  <c r="AY178" i="12"/>
  <c r="BA175" i="12"/>
  <c r="BC175" i="12"/>
  <c r="AX166" i="12"/>
  <c r="AY166" i="12"/>
  <c r="AX162" i="12"/>
  <c r="AY162" i="12"/>
  <c r="BF160" i="12"/>
  <c r="BG160" i="12"/>
  <c r="BA159" i="12"/>
  <c r="BB159" i="12"/>
  <c r="BC159" i="12"/>
  <c r="AX158" i="12"/>
  <c r="AY158" i="12"/>
  <c r="BF204" i="12"/>
  <c r="AY193" i="12"/>
  <c r="BA187" i="12"/>
  <c r="BC171" i="12"/>
  <c r="BA167" i="12"/>
  <c r="BE81" i="12"/>
  <c r="AY107" i="12"/>
  <c r="BE143" i="12"/>
  <c r="BF143" i="12"/>
  <c r="BB199" i="12"/>
  <c r="BE196" i="12"/>
  <c r="BF196" i="12"/>
  <c r="AZ195" i="12"/>
  <c r="BA195" i="12"/>
  <c r="BB195" i="12"/>
  <c r="BD192" i="12"/>
  <c r="BE192" i="12"/>
  <c r="BB183" i="12"/>
  <c r="BE180" i="12"/>
  <c r="BB167" i="12"/>
  <c r="BE164" i="12"/>
  <c r="BE204" i="12"/>
  <c r="AY190" i="12"/>
  <c r="BB171" i="12"/>
  <c r="AZ154" i="12"/>
  <c r="AZ208" i="12" s="1"/>
  <c r="BH67" i="12"/>
  <c r="BG54" i="12"/>
  <c r="BD47" i="12"/>
  <c r="AZ43" i="12"/>
  <c r="BH35" i="12"/>
  <c r="BE28" i="12"/>
  <c r="AZ27" i="12"/>
  <c r="BB21" i="12"/>
  <c r="BH19" i="12"/>
  <c r="BB18" i="12"/>
  <c r="BD15" i="12"/>
  <c r="AZ11" i="12"/>
  <c r="BD129" i="12"/>
  <c r="BD113" i="12"/>
  <c r="BD97" i="12"/>
  <c r="BD81" i="12"/>
  <c r="BB207" i="12"/>
  <c r="AY154" i="12"/>
  <c r="AY208" i="12" s="1"/>
  <c r="AZ59" i="12"/>
  <c r="BE44" i="12"/>
  <c r="BH64" i="12"/>
  <c r="BC63" i="12"/>
  <c r="BE57" i="12"/>
  <c r="BF54" i="12"/>
  <c r="BG51" i="12"/>
  <c r="BC47" i="12"/>
  <c r="BD44" i="12"/>
  <c r="BG35" i="12"/>
  <c r="BB34" i="12"/>
  <c r="BC31" i="12"/>
  <c r="BD28" i="12"/>
  <c r="AZ24" i="12"/>
  <c r="BF22" i="12"/>
  <c r="BA21" i="12"/>
  <c r="BH16" i="12"/>
  <c r="AZ8" i="12"/>
  <c r="BF6" i="12"/>
  <c r="AX75" i="12"/>
  <c r="BH197" i="12"/>
  <c r="BD196" i="12"/>
  <c r="BH181" i="12"/>
  <c r="BA207" i="12"/>
  <c r="BF192" i="12"/>
  <c r="AY181" i="12"/>
  <c r="AX154" i="12"/>
  <c r="AX208" i="12" s="1"/>
  <c r="AY145" i="12"/>
  <c r="AX39" i="12"/>
  <c r="AX23" i="12"/>
  <c r="AY6" i="12"/>
  <c r="AY54" i="12"/>
  <c r="AY38" i="12"/>
  <c r="AY22" i="12"/>
  <c r="BH127" i="12"/>
  <c r="BH111" i="12"/>
  <c r="BH95" i="12"/>
  <c r="BC78" i="12"/>
  <c r="AX207" i="12"/>
  <c r="AY207" i="12"/>
  <c r="AX195" i="12"/>
  <c r="AY195" i="12"/>
  <c r="AX191" i="12"/>
  <c r="AY191" i="12"/>
  <c r="AX179" i="12"/>
  <c r="AY179" i="12"/>
  <c r="AX175" i="12"/>
  <c r="AY175" i="12"/>
  <c r="AX171" i="12"/>
  <c r="AY171" i="12"/>
  <c r="AX163" i="12"/>
  <c r="AY163" i="12"/>
  <c r="AX159" i="12"/>
  <c r="AY159" i="12"/>
  <c r="AX155" i="12"/>
  <c r="AY155" i="12"/>
  <c r="AX147" i="12"/>
  <c r="AY147" i="12"/>
  <c r="BA183" i="12"/>
  <c r="BG144" i="12"/>
  <c r="BE176" i="12"/>
  <c r="BE160" i="12"/>
  <c r="AY146" i="12"/>
  <c r="BE144" i="12"/>
  <c r="AO208" i="12"/>
  <c r="BB179" i="12"/>
  <c r="BB163" i="12"/>
  <c r="BB147" i="12"/>
  <c r="BF180" i="12"/>
  <c r="BA179" i="12"/>
  <c r="BF164" i="12"/>
  <c r="BA163" i="12"/>
  <c r="BF148" i="12"/>
  <c r="BA147" i="12"/>
  <c r="AY150" i="12"/>
  <c r="BC66" i="12"/>
  <c r="BE60" i="12"/>
  <c r="BA40" i="12"/>
  <c r="BD31" i="12"/>
  <c r="BG22" i="12"/>
  <c r="BC37" i="12"/>
  <c r="BA69" i="12"/>
  <c r="BD60" i="12"/>
  <c r="AZ40" i="12"/>
  <c r="BH32" i="12"/>
  <c r="AZ69" i="12"/>
  <c r="BF67" i="12"/>
  <c r="BA66" i="12"/>
  <c r="BG64" i="12"/>
  <c r="BB63" i="12"/>
  <c r="BH61" i="12"/>
  <c r="BC60" i="12"/>
  <c r="BD57" i="12"/>
  <c r="BE54" i="12"/>
  <c r="AZ53" i="12"/>
  <c r="BF51" i="12"/>
  <c r="BA50" i="12"/>
  <c r="BG48" i="12"/>
  <c r="BB47" i="12"/>
  <c r="BH45" i="12"/>
  <c r="BC44" i="12"/>
  <c r="BD41" i="12"/>
  <c r="BE38" i="12"/>
  <c r="AZ37" i="12"/>
  <c r="BF35" i="12"/>
  <c r="BA34" i="12"/>
  <c r="BG32" i="12"/>
  <c r="BB31" i="12"/>
  <c r="BH29" i="12"/>
  <c r="BC28" i="12"/>
  <c r="BD25" i="12"/>
  <c r="BE22" i="12"/>
  <c r="AZ21" i="12"/>
  <c r="BF19" i="12"/>
  <c r="BA18" i="12"/>
  <c r="BG16" i="12"/>
  <c r="BB15" i="12"/>
  <c r="BH13" i="12"/>
  <c r="BC12" i="12"/>
  <c r="BD9" i="12"/>
  <c r="BE6" i="12"/>
  <c r="AZ5" i="12"/>
  <c r="BB69" i="12"/>
  <c r="BA11" i="12"/>
  <c r="BF60" i="12"/>
  <c r="BF28" i="12"/>
  <c r="BE15" i="12"/>
  <c r="BB56" i="12"/>
  <c r="BA43" i="12"/>
  <c r="AY25" i="12"/>
  <c r="AX9" i="12"/>
  <c r="BE18" i="12"/>
  <c r="AX65" i="12"/>
  <c r="AY65" i="12"/>
  <c r="AY49" i="12"/>
  <c r="AY33" i="12"/>
  <c r="AY17" i="12"/>
  <c r="AX33" i="12"/>
  <c r="AX10" i="12"/>
  <c r="BE47" i="12"/>
  <c r="BC52" i="12"/>
  <c r="BE46" i="12"/>
  <c r="BA42" i="12"/>
  <c r="BC39" i="12"/>
  <c r="BH37" i="12"/>
  <c r="BD36" i="12"/>
  <c r="BE33" i="12"/>
  <c r="AZ32" i="12"/>
  <c r="BF30" i="12"/>
  <c r="BA29" i="12"/>
  <c r="BG27" i="12"/>
  <c r="BB26" i="12"/>
  <c r="BH24" i="12"/>
  <c r="BC23" i="12"/>
  <c r="BH21" i="12"/>
  <c r="BD20" i="12"/>
  <c r="BE17" i="12"/>
  <c r="AX16" i="12"/>
  <c r="BA13" i="12"/>
  <c r="AX14" i="12"/>
  <c r="AY14" i="12"/>
  <c r="BC68" i="12"/>
  <c r="BD33" i="12"/>
  <c r="BF27" i="12"/>
  <c r="BB23" i="12"/>
  <c r="BF11" i="12"/>
  <c r="BG8" i="12"/>
  <c r="AX62" i="12"/>
  <c r="AX46" i="12"/>
  <c r="AX30" i="12"/>
  <c r="BA8" i="12"/>
  <c r="AX11" i="12"/>
  <c r="AY11" i="12"/>
  <c r="AY59" i="12"/>
  <c r="AY43" i="12"/>
  <c r="AY27" i="12"/>
  <c r="BE66" i="12"/>
  <c r="BE63" i="12"/>
  <c r="BA59" i="12"/>
  <c r="BG57" i="12"/>
  <c r="BH54" i="12"/>
  <c r="BD50" i="12"/>
  <c r="AZ46" i="12"/>
  <c r="BG44" i="12"/>
  <c r="BB40" i="12"/>
  <c r="BH38" i="12"/>
  <c r="BE31" i="12"/>
  <c r="BA27" i="12"/>
  <c r="BG25" i="12"/>
  <c r="BH22" i="12"/>
  <c r="BD21" i="12"/>
  <c r="AX54" i="12"/>
  <c r="AX38" i="12"/>
  <c r="AX22" i="12"/>
  <c r="AY69" i="12"/>
  <c r="AY53" i="12"/>
  <c r="BE67" i="12"/>
  <c r="AZ66" i="12"/>
  <c r="BF64" i="12"/>
  <c r="BA63" i="12"/>
  <c r="BG61" i="12"/>
  <c r="BB60" i="12"/>
  <c r="BA47" i="12"/>
  <c r="BG45" i="12"/>
  <c r="BB44" i="12"/>
  <c r="BE19" i="12"/>
  <c r="BA10" i="12"/>
  <c r="AZ29" i="12"/>
  <c r="AX53" i="12"/>
  <c r="BH23" i="12"/>
  <c r="BD19" i="12"/>
  <c r="BE16" i="12"/>
  <c r="BG5" i="12"/>
  <c r="AX52" i="12"/>
  <c r="AX36" i="12"/>
  <c r="AX67" i="12"/>
  <c r="AY67" i="12"/>
  <c r="AY51" i="12"/>
  <c r="AY35" i="12"/>
  <c r="AY19" i="12"/>
  <c r="BH14" i="12"/>
  <c r="BC56" i="12"/>
  <c r="BD37" i="12"/>
  <c r="BG33" i="12"/>
  <c r="BB32" i="12"/>
  <c r="BH30" i="12"/>
  <c r="BC29" i="12"/>
  <c r="BD26" i="12"/>
  <c r="BE23" i="12"/>
  <c r="AZ22" i="12"/>
  <c r="BF20" i="12"/>
  <c r="BA19" i="12"/>
  <c r="BG17" i="12"/>
  <c r="BB16" i="12"/>
  <c r="BE7" i="12"/>
  <c r="AZ6" i="12"/>
  <c r="AX49" i="12"/>
  <c r="AX17" i="12"/>
  <c r="AX64" i="12"/>
  <c r="AY48" i="12"/>
  <c r="AY32" i="12"/>
  <c r="BE36" i="12"/>
  <c r="AZ35" i="12"/>
  <c r="BF33" i="12"/>
  <c r="BA32" i="12"/>
  <c r="BG30" i="12"/>
  <c r="BB29" i="12"/>
  <c r="BH27" i="12"/>
  <c r="BC26" i="12"/>
  <c r="BD23" i="12"/>
  <c r="BE20" i="12"/>
  <c r="AZ19" i="12"/>
  <c r="BF17" i="12"/>
  <c r="BA16" i="12"/>
  <c r="BG14" i="12"/>
  <c r="BB13" i="12"/>
  <c r="BH11" i="12"/>
  <c r="BC10" i="12"/>
  <c r="BD7" i="12"/>
  <c r="BE14" i="12"/>
  <c r="AY62" i="12"/>
  <c r="AY46" i="12"/>
  <c r="AY30" i="12"/>
  <c r="BH69" i="12"/>
  <c r="BD65" i="12"/>
  <c r="BE62" i="12"/>
  <c r="BF59" i="12"/>
  <c r="BA58" i="12"/>
  <c r="BB55" i="12"/>
  <c r="BH53" i="12"/>
  <c r="BD49" i="12"/>
  <c r="AZ45" i="12"/>
  <c r="BF43" i="12"/>
  <c r="BD18" i="12"/>
  <c r="AY13" i="12"/>
  <c r="AY61" i="12"/>
  <c r="AY45" i="12"/>
  <c r="AY29" i="12"/>
  <c r="BG69" i="12"/>
  <c r="BB68" i="12"/>
  <c r="BH66" i="12"/>
  <c r="BC65" i="12"/>
  <c r="BD62" i="12"/>
  <c r="BE59" i="12"/>
  <c r="AZ58" i="12"/>
  <c r="BF56" i="12"/>
  <c r="BA55" i="12"/>
  <c r="BG53" i="12"/>
  <c r="BB52" i="12"/>
  <c r="BH50" i="12"/>
  <c r="BD46" i="12"/>
  <c r="BE43" i="12"/>
  <c r="AZ42" i="12"/>
  <c r="BF40" i="12"/>
  <c r="BA39" i="12"/>
  <c r="BH18" i="12"/>
  <c r="BC17" i="12"/>
  <c r="AZ13" i="12"/>
  <c r="BB7" i="12"/>
  <c r="BC24" i="12"/>
  <c r="AX61" i="12"/>
  <c r="AX45" i="12"/>
  <c r="AX29" i="12"/>
  <c r="BF69" i="12"/>
  <c r="BA68" i="12"/>
  <c r="BG66" i="12"/>
  <c r="BB65" i="12"/>
  <c r="BH63" i="12"/>
  <c r="BC62" i="12"/>
  <c r="BD59" i="12"/>
  <c r="BE56" i="12"/>
  <c r="AZ55" i="12"/>
  <c r="BF53" i="12"/>
  <c r="BA52" i="12"/>
  <c r="BG50" i="12"/>
  <c r="BB49" i="12"/>
  <c r="BH47" i="12"/>
  <c r="BC46" i="12"/>
  <c r="BD43" i="12"/>
  <c r="BE40" i="12"/>
  <c r="AZ39" i="12"/>
  <c r="BF37" i="12"/>
  <c r="BA36" i="12"/>
  <c r="BG34" i="12"/>
  <c r="BB33" i="12"/>
  <c r="BH31" i="12"/>
  <c r="BC30" i="12"/>
  <c r="BD27" i="12"/>
  <c r="BE24" i="12"/>
  <c r="AZ23" i="12"/>
  <c r="BF21" i="12"/>
  <c r="BA20" i="12"/>
  <c r="BG18" i="12"/>
  <c r="BB17" i="12"/>
  <c r="BH15" i="12"/>
  <c r="BC14" i="12"/>
  <c r="BD11" i="12"/>
  <c r="BH9" i="12"/>
  <c r="BE8" i="12"/>
  <c r="AZ7" i="12"/>
  <c r="BF5" i="12"/>
  <c r="BG12" i="12"/>
  <c r="BH6" i="12"/>
  <c r="BH41" i="12"/>
  <c r="BB24" i="12"/>
  <c r="BC5" i="12"/>
  <c r="BF12" i="12"/>
  <c r="BG41" i="12"/>
  <c r="BD17" i="12"/>
  <c r="AX43" i="12"/>
  <c r="AX26" i="12"/>
  <c r="AX25" i="12"/>
  <c r="AX8" i="12"/>
  <c r="BF57" i="12"/>
  <c r="BB53" i="12"/>
  <c r="BH48" i="12"/>
  <c r="BC34" i="12"/>
  <c r="BE25" i="12"/>
  <c r="BF9" i="12"/>
  <c r="BB5" i="12"/>
  <c r="AX59" i="12"/>
  <c r="AX27" i="12"/>
  <c r="AY16" i="12"/>
  <c r="AX56" i="12"/>
  <c r="AX40" i="12"/>
  <c r="AX24" i="12"/>
  <c r="BA53" i="12"/>
  <c r="BE9" i="12"/>
  <c r="AY39" i="8"/>
  <c r="BC37" i="8"/>
  <c r="BH26" i="8"/>
  <c r="BD29" i="8"/>
  <c r="BH30" i="8"/>
  <c r="BH38" i="8"/>
  <c r="AX69" i="12"/>
  <c r="AX37" i="12"/>
  <c r="AX21" i="12"/>
  <c r="BH58" i="12"/>
  <c r="BC57" i="12"/>
  <c r="BD54" i="12"/>
  <c r="BE51" i="12"/>
  <c r="AZ50" i="12"/>
  <c r="BF48" i="12"/>
  <c r="BH42" i="12"/>
  <c r="BC41" i="12"/>
  <c r="BD38" i="12"/>
  <c r="BE35" i="12"/>
  <c r="AZ34" i="12"/>
  <c r="BF32" i="12"/>
  <c r="BA31" i="12"/>
  <c r="BG29" i="12"/>
  <c r="BB28" i="12"/>
  <c r="BH26" i="12"/>
  <c r="BC25" i="12"/>
  <c r="BD22" i="12"/>
  <c r="AZ18" i="12"/>
  <c r="BF16" i="12"/>
  <c r="BA15" i="12"/>
  <c r="BG13" i="12"/>
  <c r="BB12" i="12"/>
  <c r="BH10" i="12"/>
  <c r="BC9" i="12"/>
  <c r="BD6" i="12"/>
  <c r="BG58" i="12"/>
  <c r="BC54" i="12"/>
  <c r="AZ47" i="12"/>
  <c r="BG42" i="12"/>
  <c r="BH39" i="12"/>
  <c r="BC38" i="12"/>
  <c r="BD35" i="12"/>
  <c r="BE32" i="12"/>
  <c r="AZ31" i="12"/>
  <c r="BF29" i="12"/>
  <c r="BA28" i="12"/>
  <c r="BG26" i="12"/>
  <c r="BB25" i="12"/>
  <c r="BC22" i="12"/>
  <c r="AZ15" i="12"/>
  <c r="BF13" i="12"/>
  <c r="BA12" i="12"/>
  <c r="BG10" i="12"/>
  <c r="BB9" i="12"/>
  <c r="BH7" i="12"/>
  <c r="BC6" i="12"/>
  <c r="BD67" i="12"/>
  <c r="AZ63" i="12"/>
  <c r="BB57" i="12"/>
  <c r="BD51" i="12"/>
  <c r="BA44" i="12"/>
  <c r="AX66" i="12"/>
  <c r="BH68" i="12"/>
  <c r="BC67" i="12"/>
  <c r="BD64" i="12"/>
  <c r="AZ60" i="12"/>
  <c r="BF58" i="12"/>
  <c r="BA57" i="12"/>
  <c r="BG55" i="12"/>
  <c r="BB54" i="12"/>
  <c r="BH52" i="12"/>
  <c r="BC51" i="12"/>
  <c r="BD48" i="12"/>
  <c r="BE45" i="12"/>
  <c r="AZ44" i="12"/>
  <c r="BF42" i="12"/>
  <c r="BA41" i="12"/>
  <c r="BG39" i="12"/>
  <c r="BB38" i="12"/>
  <c r="BH36" i="12"/>
  <c r="BC35" i="12"/>
  <c r="BD32" i="12"/>
  <c r="BE29" i="12"/>
  <c r="AZ28" i="12"/>
  <c r="BF26" i="12"/>
  <c r="BA25" i="12"/>
  <c r="BG23" i="12"/>
  <c r="BB22" i="12"/>
  <c r="BH20" i="12"/>
  <c r="BC19" i="12"/>
  <c r="BD16" i="12"/>
  <c r="BE13" i="12"/>
  <c r="AZ12" i="12"/>
  <c r="BF10" i="12"/>
  <c r="BA9" i="12"/>
  <c r="BG7" i="12"/>
  <c r="BB6" i="12"/>
  <c r="BE64" i="12"/>
  <c r="BA60" i="12"/>
  <c r="BH55" i="12"/>
  <c r="BE48" i="12"/>
  <c r="BF45" i="12"/>
  <c r="BB41" i="12"/>
  <c r="BE61" i="12"/>
  <c r="AX50" i="12"/>
  <c r="AX18" i="12"/>
  <c r="AY50" i="12"/>
  <c r="AY34" i="12"/>
  <c r="AY18" i="12"/>
  <c r="BG68" i="12"/>
  <c r="BB67" i="12"/>
  <c r="BC64" i="12"/>
  <c r="BD61" i="12"/>
  <c r="BE58" i="12"/>
  <c r="AX57" i="12"/>
  <c r="AY57" i="12"/>
  <c r="AZ57" i="12"/>
  <c r="BF55" i="12"/>
  <c r="BA54" i="12"/>
  <c r="BF61" i="12"/>
  <c r="AX34" i="12"/>
  <c r="AY66" i="12"/>
  <c r="BH65" i="12"/>
  <c r="BF39" i="12"/>
  <c r="BE26" i="12"/>
  <c r="BG65" i="12"/>
  <c r="BC45" i="12"/>
  <c r="AZ38" i="12"/>
  <c r="AX15" i="12"/>
  <c r="AY5" i="12"/>
  <c r="BE68" i="12"/>
  <c r="AZ67" i="12"/>
  <c r="BF65" i="12"/>
  <c r="BA64" i="12"/>
  <c r="BG62" i="12"/>
  <c r="BB61" i="12"/>
  <c r="BH59" i="12"/>
  <c r="BC58" i="12"/>
  <c r="BD55" i="12"/>
  <c r="BE52" i="12"/>
  <c r="AZ51" i="12"/>
  <c r="BF49" i="12"/>
  <c r="BA48" i="12"/>
  <c r="BG46" i="12"/>
  <c r="BB45" i="12"/>
  <c r="BH43" i="12"/>
  <c r="BC42" i="12"/>
  <c r="BD39" i="12"/>
  <c r="BB11" i="12"/>
  <c r="BF63" i="12"/>
  <c r="BE50" i="12"/>
  <c r="BB27" i="12"/>
  <c r="BD45" i="12"/>
  <c r="BH33" i="12"/>
  <c r="BF23" i="12"/>
  <c r="BH17" i="12"/>
  <c r="BF68" i="12"/>
  <c r="BD58" i="12"/>
  <c r="BA51" i="12"/>
  <c r="BA35" i="12"/>
  <c r="AX63" i="12"/>
  <c r="AX47" i="12"/>
  <c r="AX31" i="12"/>
  <c r="AY15" i="12"/>
  <c r="AY63" i="12"/>
  <c r="AY47" i="12"/>
  <c r="AY31" i="12"/>
  <c r="BD68" i="12"/>
  <c r="BE65" i="12"/>
  <c r="AZ64" i="12"/>
  <c r="BF62" i="12"/>
  <c r="BA61" i="12"/>
  <c r="BG59" i="12"/>
  <c r="BB58" i="12"/>
  <c r="BH56" i="12"/>
  <c r="BC55" i="12"/>
  <c r="BD52" i="12"/>
  <c r="BE49" i="12"/>
  <c r="AZ48" i="12"/>
  <c r="BF46" i="12"/>
  <c r="BA45" i="12"/>
  <c r="BG43" i="12"/>
  <c r="BB42" i="12"/>
  <c r="BH40" i="12"/>
  <c r="AX55" i="12"/>
  <c r="BC36" i="12"/>
  <c r="BF31" i="12"/>
  <c r="BH49" i="12"/>
  <c r="BG36" i="12"/>
  <c r="BF7" i="12"/>
  <c r="BB64" i="12"/>
  <c r="AZ54" i="12"/>
  <c r="BD42" i="12"/>
  <c r="BF36" i="12"/>
  <c r="AX13" i="12"/>
  <c r="AX7" i="12"/>
  <c r="BB59" i="12"/>
  <c r="BG40" i="12"/>
  <c r="BE42" i="12"/>
  <c r="BG20" i="12"/>
  <c r="BA67" i="12"/>
  <c r="BE55" i="12"/>
  <c r="BE39" i="12"/>
  <c r="AX12" i="12"/>
  <c r="BC49" i="12"/>
  <c r="BG37" i="12"/>
  <c r="BB36" i="12"/>
  <c r="BH34" i="12"/>
  <c r="BC33" i="12"/>
  <c r="BD30" i="12"/>
  <c r="BE27" i="12"/>
  <c r="AZ26" i="12"/>
  <c r="BF24" i="12"/>
  <c r="BA23" i="12"/>
  <c r="BG21" i="12"/>
  <c r="BB20" i="12"/>
  <c r="BC40" i="12"/>
  <c r="AZ17" i="12"/>
  <c r="BA6" i="12"/>
  <c r="BC61" i="12"/>
  <c r="BH46" i="12"/>
  <c r="AX60" i="12"/>
  <c r="AX44" i="12"/>
  <c r="AY12" i="12"/>
  <c r="AY60" i="12"/>
  <c r="AY44" i="12"/>
  <c r="AY28" i="12"/>
  <c r="BA14" i="12"/>
  <c r="BA26" i="12"/>
  <c r="BG52" i="12"/>
  <c r="BC32" i="12"/>
  <c r="BG49" i="12"/>
  <c r="BE69" i="12"/>
  <c r="AZ68" i="12"/>
  <c r="BF66" i="12"/>
  <c r="BA65" i="12"/>
  <c r="BG63" i="12"/>
  <c r="BB62" i="12"/>
  <c r="BH60" i="12"/>
  <c r="BC59" i="12"/>
  <c r="BD56" i="12"/>
  <c r="BE53" i="12"/>
  <c r="AZ52" i="12"/>
  <c r="BF50" i="12"/>
  <c r="BA49" i="12"/>
  <c r="BG47" i="12"/>
  <c r="BB46" i="12"/>
  <c r="BH44" i="12"/>
  <c r="BC43" i="12"/>
  <c r="BD40" i="12"/>
  <c r="BE37" i="12"/>
  <c r="AZ36" i="12"/>
  <c r="BF34" i="12"/>
  <c r="BA33" i="12"/>
  <c r="BG31" i="12"/>
  <c r="BB30" i="12"/>
  <c r="BH28" i="12"/>
  <c r="BC27" i="12"/>
  <c r="BD24" i="12"/>
  <c r="BE21" i="12"/>
  <c r="AZ20" i="12"/>
  <c r="BF18" i="12"/>
  <c r="BA17" i="12"/>
  <c r="BG15" i="12"/>
  <c r="BB14" i="12"/>
  <c r="BH12" i="12"/>
  <c r="BC11" i="12"/>
  <c r="BD8" i="12"/>
  <c r="BD66" i="12"/>
  <c r="AZ49" i="12"/>
  <c r="BF44" i="12"/>
  <c r="BE30" i="12"/>
  <c r="BH25" i="12"/>
  <c r="BC21" i="12"/>
  <c r="AX41" i="12"/>
  <c r="AY41" i="12"/>
  <c r="AZ41" i="12"/>
  <c r="BB48" i="12"/>
  <c r="AX58" i="12"/>
  <c r="AX42" i="12"/>
  <c r="AY58" i="12"/>
  <c r="AY42" i="12"/>
  <c r="BA62" i="12"/>
  <c r="BD53" i="12"/>
  <c r="BA30" i="12"/>
  <c r="BC48" i="12"/>
  <c r="BB35" i="12"/>
  <c r="BA22" i="12"/>
  <c r="BF52" i="12"/>
  <c r="AZ62" i="12"/>
  <c r="BH57" i="12"/>
  <c r="BC53" i="12"/>
  <c r="BB39" i="12"/>
  <c r="BE34" i="12"/>
  <c r="AZ30" i="12"/>
  <c r="BB51" i="12"/>
  <c r="BA38" i="12"/>
  <c r="BD29" i="12"/>
  <c r="BB19" i="12"/>
  <c r="BH62" i="12"/>
  <c r="BD69" i="12"/>
  <c r="BD34" i="12"/>
  <c r="BC20" i="12"/>
  <c r="BC16" i="12"/>
  <c r="AX6" i="12"/>
  <c r="AY7" i="12"/>
  <c r="AY55" i="12"/>
  <c r="AY39" i="12"/>
  <c r="AY23" i="12"/>
  <c r="BA5" i="12"/>
  <c r="BC69" i="12"/>
  <c r="BB43" i="12"/>
  <c r="BG24" i="12"/>
  <c r="BD5" i="12"/>
  <c r="BD13" i="12"/>
  <c r="BE10" i="12"/>
  <c r="AZ9" i="12"/>
  <c r="AZ25" i="12"/>
  <c r="AY9" i="12"/>
  <c r="BF14" i="12"/>
  <c r="BG11" i="12"/>
  <c r="BB10" i="12"/>
  <c r="BH8" i="12"/>
  <c r="BC7" i="12"/>
  <c r="AZ16" i="12"/>
  <c r="N543" i="6"/>
  <c r="N287" i="6"/>
  <c r="N644" i="6"/>
  <c r="N129" i="6"/>
  <c r="N720" i="6"/>
  <c r="N530" i="6"/>
  <c r="N833" i="6"/>
  <c r="N611" i="6"/>
  <c r="N174" i="6"/>
  <c r="N832" i="6"/>
  <c r="N687" i="6"/>
  <c r="N388" i="6"/>
  <c r="N243" i="6"/>
  <c r="N788" i="6"/>
  <c r="N643" i="6"/>
  <c r="N319" i="6"/>
  <c r="N236" i="6"/>
  <c r="N642" i="6"/>
  <c r="N463" i="6"/>
  <c r="N240" i="6"/>
  <c r="N756" i="6"/>
  <c r="N432" i="6"/>
  <c r="N355" i="6"/>
  <c r="N798" i="6"/>
  <c r="N431" i="6"/>
  <c r="N93" i="6"/>
  <c r="N686" i="6"/>
  <c r="N387" i="6"/>
  <c r="N82" i="6"/>
  <c r="N753" i="6"/>
  <c r="N531" i="6"/>
  <c r="N318" i="6"/>
  <c r="N162" i="6"/>
  <c r="N564" i="6"/>
  <c r="N639" i="6"/>
  <c r="N528" i="6"/>
  <c r="N340" i="6"/>
  <c r="N272" i="6"/>
  <c r="N638" i="6"/>
  <c r="N382" i="6"/>
  <c r="N271" i="6"/>
  <c r="N226" i="6"/>
  <c r="N192" i="6"/>
  <c r="N158" i="6"/>
  <c r="N113" i="6"/>
  <c r="N77" i="6"/>
  <c r="N32" i="6"/>
  <c r="N466" i="6"/>
  <c r="N94" i="6"/>
  <c r="N542" i="6"/>
  <c r="N286" i="6"/>
  <c r="N430" i="6"/>
  <c r="N641" i="6"/>
  <c r="N308" i="6"/>
  <c r="N126" i="6"/>
  <c r="N751" i="6"/>
  <c r="N529" i="6"/>
  <c r="N307" i="6"/>
  <c r="N160" i="6"/>
  <c r="N673" i="6"/>
  <c r="N417" i="6"/>
  <c r="N78" i="6"/>
  <c r="N450" i="6"/>
  <c r="N671" i="6"/>
  <c r="N415" i="6"/>
  <c r="N270" i="6"/>
  <c r="N225" i="6"/>
  <c r="N191" i="6"/>
  <c r="N157" i="6"/>
  <c r="N112" i="6"/>
  <c r="N66" i="6"/>
  <c r="N31" i="6"/>
  <c r="N799" i="6"/>
  <c r="N398" i="6"/>
  <c r="N130" i="6"/>
  <c r="N576" i="6"/>
  <c r="N47" i="6"/>
  <c r="N609" i="6"/>
  <c r="N276" i="6"/>
  <c r="N719" i="6"/>
  <c r="N352" i="6"/>
  <c r="N45" i="6"/>
  <c r="N607" i="6"/>
  <c r="N351" i="6"/>
  <c r="N80" i="6"/>
  <c r="N708" i="6"/>
  <c r="N563" i="6"/>
  <c r="N350" i="6"/>
  <c r="N125" i="6"/>
  <c r="N596" i="6"/>
  <c r="N383" i="6"/>
  <c r="N238" i="6"/>
  <c r="N706" i="6"/>
  <c r="N561" i="6"/>
  <c r="N816" i="6"/>
  <c r="N526" i="6"/>
  <c r="N772" i="6"/>
  <c r="N482" i="6"/>
  <c r="N303" i="6"/>
  <c r="N111" i="6"/>
  <c r="N65" i="6"/>
  <c r="A1" i="2"/>
  <c r="N3" i="6"/>
  <c r="N19" i="6"/>
  <c r="N35" i="6"/>
  <c r="N51" i="6"/>
  <c r="N67" i="6"/>
  <c r="N83" i="6"/>
  <c r="N99" i="6"/>
  <c r="N115" i="6"/>
  <c r="N131" i="6"/>
  <c r="N147" i="6"/>
  <c r="N163" i="6"/>
  <c r="N179" i="6"/>
  <c r="N195" i="6"/>
  <c r="N211" i="6"/>
  <c r="N227" i="6"/>
  <c r="N245" i="6"/>
  <c r="N261" i="6"/>
  <c r="N277" i="6"/>
  <c r="N293" i="6"/>
  <c r="N309" i="6"/>
  <c r="N325" i="6"/>
  <c r="N341" i="6"/>
  <c r="N357" i="6"/>
  <c r="N373" i="6"/>
  <c r="N389" i="6"/>
  <c r="N405" i="6"/>
  <c r="N421" i="6"/>
  <c r="N437" i="6"/>
  <c r="N453" i="6"/>
  <c r="N469" i="6"/>
  <c r="N485" i="6"/>
  <c r="N501" i="6"/>
  <c r="N517" i="6"/>
  <c r="N533" i="6"/>
  <c r="N549" i="6"/>
  <c r="N565" i="6"/>
  <c r="N581" i="6"/>
  <c r="N597" i="6"/>
  <c r="N613" i="6"/>
  <c r="N629" i="6"/>
  <c r="N645" i="6"/>
  <c r="N661" i="6"/>
  <c r="N677" i="6"/>
  <c r="N693" i="6"/>
  <c r="N709" i="6"/>
  <c r="N725" i="6"/>
  <c r="N741" i="6"/>
  <c r="N757" i="6"/>
  <c r="N773" i="6"/>
  <c r="N789" i="6"/>
  <c r="N805" i="6"/>
  <c r="N821" i="6"/>
  <c r="N837" i="6"/>
  <c r="N487" i="6"/>
  <c r="N535" i="6"/>
  <c r="N583" i="6"/>
  <c r="N631" i="6"/>
  <c r="N679" i="6"/>
  <c r="N727" i="6"/>
  <c r="N775" i="6"/>
  <c r="N823" i="6"/>
  <c r="N520" i="6"/>
  <c r="N616" i="6"/>
  <c r="N712" i="6"/>
  <c r="N776" i="6"/>
  <c r="N840" i="6"/>
  <c r="N569" i="6"/>
  <c r="N745" i="6"/>
  <c r="N794" i="6"/>
  <c r="N620" i="6"/>
  <c r="N764" i="6"/>
  <c r="N91" i="6"/>
  <c r="N171" i="6"/>
  <c r="N285" i="6"/>
  <c r="N413" i="6"/>
  <c r="N509" i="6"/>
  <c r="N621" i="6"/>
  <c r="N749" i="6"/>
  <c r="N845" i="6"/>
  <c r="N60" i="6"/>
  <c r="N4" i="6"/>
  <c r="N20" i="6"/>
  <c r="N36" i="6"/>
  <c r="N52" i="6"/>
  <c r="N68" i="6"/>
  <c r="N84" i="6"/>
  <c r="N100" i="6"/>
  <c r="N116" i="6"/>
  <c r="N132" i="6"/>
  <c r="N148" i="6"/>
  <c r="N164" i="6"/>
  <c r="N180" i="6"/>
  <c r="N196" i="6"/>
  <c r="N212" i="6"/>
  <c r="N228" i="6"/>
  <c r="N246" i="6"/>
  <c r="N262" i="6"/>
  <c r="N278" i="6"/>
  <c r="N294" i="6"/>
  <c r="N310" i="6"/>
  <c r="N326" i="6"/>
  <c r="N342" i="6"/>
  <c r="N358" i="6"/>
  <c r="N374" i="6"/>
  <c r="N390" i="6"/>
  <c r="N406" i="6"/>
  <c r="N422" i="6"/>
  <c r="N438" i="6"/>
  <c r="N454" i="6"/>
  <c r="N470" i="6"/>
  <c r="N486" i="6"/>
  <c r="N502" i="6"/>
  <c r="N518" i="6"/>
  <c r="N534" i="6"/>
  <c r="N550" i="6"/>
  <c r="N566" i="6"/>
  <c r="N582" i="6"/>
  <c r="N598" i="6"/>
  <c r="N614" i="6"/>
  <c r="N630" i="6"/>
  <c r="N646" i="6"/>
  <c r="N662" i="6"/>
  <c r="N678" i="6"/>
  <c r="N694" i="6"/>
  <c r="N710" i="6"/>
  <c r="N726" i="6"/>
  <c r="N742" i="6"/>
  <c r="N758" i="6"/>
  <c r="N774" i="6"/>
  <c r="N790" i="6"/>
  <c r="N806" i="6"/>
  <c r="N822" i="6"/>
  <c r="N838" i="6"/>
  <c r="N471" i="6"/>
  <c r="N567" i="6"/>
  <c r="N615" i="6"/>
  <c r="N663" i="6"/>
  <c r="N711" i="6"/>
  <c r="N743" i="6"/>
  <c r="N791" i="6"/>
  <c r="N839" i="6"/>
  <c r="N504" i="6"/>
  <c r="N632" i="6"/>
  <c r="N696" i="6"/>
  <c r="N760" i="6"/>
  <c r="N824" i="6"/>
  <c r="N521" i="6"/>
  <c r="N617" i="6"/>
  <c r="N681" i="6"/>
  <c r="N761" i="6"/>
  <c r="N825" i="6"/>
  <c r="N810" i="6"/>
  <c r="N827" i="6"/>
  <c r="N716" i="6"/>
  <c r="N812" i="6"/>
  <c r="N11" i="6"/>
  <c r="N123" i="6"/>
  <c r="N253" i="6"/>
  <c r="N349" i="6"/>
  <c r="N461" i="6"/>
  <c r="N557" i="6"/>
  <c r="N669" i="6"/>
  <c r="N781" i="6"/>
  <c r="N28" i="6"/>
  <c r="N124" i="6"/>
  <c r="N5" i="6"/>
  <c r="N21" i="6"/>
  <c r="N37" i="6"/>
  <c r="N53" i="6"/>
  <c r="N69" i="6"/>
  <c r="N85" i="6"/>
  <c r="N101" i="6"/>
  <c r="N117" i="6"/>
  <c r="N133" i="6"/>
  <c r="N149" i="6"/>
  <c r="N165" i="6"/>
  <c r="N181" i="6"/>
  <c r="N197" i="6"/>
  <c r="N213" i="6"/>
  <c r="N229" i="6"/>
  <c r="N247" i="6"/>
  <c r="N263" i="6"/>
  <c r="N279" i="6"/>
  <c r="N295" i="6"/>
  <c r="N311" i="6"/>
  <c r="N327" i="6"/>
  <c r="N343" i="6"/>
  <c r="N359" i="6"/>
  <c r="N375" i="6"/>
  <c r="N391" i="6"/>
  <c r="N407" i="6"/>
  <c r="N423" i="6"/>
  <c r="N439" i="6"/>
  <c r="N455" i="6"/>
  <c r="N503" i="6"/>
  <c r="N519" i="6"/>
  <c r="N551" i="6"/>
  <c r="N599" i="6"/>
  <c r="N647" i="6"/>
  <c r="N695" i="6"/>
  <c r="N759" i="6"/>
  <c r="N807" i="6"/>
  <c r="N488" i="6"/>
  <c r="N568" i="6"/>
  <c r="N600" i="6"/>
  <c r="N664" i="6"/>
  <c r="N728" i="6"/>
  <c r="N792" i="6"/>
  <c r="N505" i="6"/>
  <c r="N649" i="6"/>
  <c r="N713" i="6"/>
  <c r="N777" i="6"/>
  <c r="N841" i="6"/>
  <c r="N795" i="6"/>
  <c r="N668" i="6"/>
  <c r="N796" i="6"/>
  <c r="N59" i="6"/>
  <c r="N155" i="6"/>
  <c r="N269" i="6"/>
  <c r="N381" i="6"/>
  <c r="N493" i="6"/>
  <c r="N589" i="6"/>
  <c r="N685" i="6"/>
  <c r="N797" i="6"/>
  <c r="N6" i="6"/>
  <c r="N22" i="6"/>
  <c r="N38" i="6"/>
  <c r="N54" i="6"/>
  <c r="N70" i="6"/>
  <c r="N86" i="6"/>
  <c r="N102" i="6"/>
  <c r="N118" i="6"/>
  <c r="N134" i="6"/>
  <c r="N150" i="6"/>
  <c r="N166" i="6"/>
  <c r="N182" i="6"/>
  <c r="N198" i="6"/>
  <c r="N214" i="6"/>
  <c r="N230" i="6"/>
  <c r="N248" i="6"/>
  <c r="N264" i="6"/>
  <c r="N280" i="6"/>
  <c r="N296" i="6"/>
  <c r="N312" i="6"/>
  <c r="N328" i="6"/>
  <c r="N344" i="6"/>
  <c r="N360" i="6"/>
  <c r="N376" i="6"/>
  <c r="N392" i="6"/>
  <c r="N408" i="6"/>
  <c r="N424" i="6"/>
  <c r="N440" i="6"/>
  <c r="N456" i="6"/>
  <c r="N472" i="6"/>
  <c r="N536" i="6"/>
  <c r="N552" i="6"/>
  <c r="N584" i="6"/>
  <c r="N648" i="6"/>
  <c r="N680" i="6"/>
  <c r="N744" i="6"/>
  <c r="N808" i="6"/>
  <c r="N553" i="6"/>
  <c r="N665" i="6"/>
  <c r="N729" i="6"/>
  <c r="N809" i="6"/>
  <c r="N826" i="6"/>
  <c r="N636" i="6"/>
  <c r="N780" i="6"/>
  <c r="N75" i="6"/>
  <c r="N139" i="6"/>
  <c r="N237" i="6"/>
  <c r="N333" i="6"/>
  <c r="N429" i="6"/>
  <c r="N541" i="6"/>
  <c r="N637" i="6"/>
  <c r="N765" i="6"/>
  <c r="N76" i="6"/>
  <c r="N23" i="6"/>
  <c r="N39" i="6"/>
  <c r="N55" i="6"/>
  <c r="N71" i="6"/>
  <c r="N87" i="6"/>
  <c r="N103" i="6"/>
  <c r="N119" i="6"/>
  <c r="N135" i="6"/>
  <c r="N151" i="6"/>
  <c r="N167" i="6"/>
  <c r="N183" i="6"/>
  <c r="N199" i="6"/>
  <c r="N215" i="6"/>
  <c r="N231" i="6"/>
  <c r="N249" i="6"/>
  <c r="N265" i="6"/>
  <c r="N281" i="6"/>
  <c r="N297" i="6"/>
  <c r="N313" i="6"/>
  <c r="N329" i="6"/>
  <c r="N345" i="6"/>
  <c r="N361" i="6"/>
  <c r="N377" i="6"/>
  <c r="N393" i="6"/>
  <c r="N409" i="6"/>
  <c r="N425" i="6"/>
  <c r="N441" i="6"/>
  <c r="N457" i="6"/>
  <c r="N473" i="6"/>
  <c r="N489" i="6"/>
  <c r="N537" i="6"/>
  <c r="N585" i="6"/>
  <c r="N601" i="6"/>
  <c r="N633" i="6"/>
  <c r="N697" i="6"/>
  <c r="N793" i="6"/>
  <c r="N842" i="6"/>
  <c r="N652" i="6"/>
  <c r="N844" i="6"/>
  <c r="N43" i="6"/>
  <c r="N219" i="6"/>
  <c r="N397" i="6"/>
  <c r="N525" i="6"/>
  <c r="N653" i="6"/>
  <c r="N813" i="6"/>
  <c r="N92" i="6"/>
  <c r="N8" i="6"/>
  <c r="N24" i="6"/>
  <c r="N40" i="6"/>
  <c r="N56" i="6"/>
  <c r="N72" i="6"/>
  <c r="N88" i="6"/>
  <c r="N104" i="6"/>
  <c r="N120" i="6"/>
  <c r="N136" i="6"/>
  <c r="N152" i="6"/>
  <c r="N168" i="6"/>
  <c r="N184" i="6"/>
  <c r="N200" i="6"/>
  <c r="N216" i="6"/>
  <c r="N232" i="6"/>
  <c r="N250" i="6"/>
  <c r="N266" i="6"/>
  <c r="N282" i="6"/>
  <c r="N298" i="6"/>
  <c r="N314" i="6"/>
  <c r="N330" i="6"/>
  <c r="N346" i="6"/>
  <c r="N362" i="6"/>
  <c r="N378" i="6"/>
  <c r="N394" i="6"/>
  <c r="N410" i="6"/>
  <c r="N426" i="6"/>
  <c r="N442" i="6"/>
  <c r="N458" i="6"/>
  <c r="N474" i="6"/>
  <c r="N490" i="6"/>
  <c r="N506" i="6"/>
  <c r="N522" i="6"/>
  <c r="N538" i="6"/>
  <c r="N554" i="6"/>
  <c r="N570" i="6"/>
  <c r="N586" i="6"/>
  <c r="N602" i="6"/>
  <c r="N618" i="6"/>
  <c r="N634" i="6"/>
  <c r="N650" i="6"/>
  <c r="N666" i="6"/>
  <c r="N682" i="6"/>
  <c r="N698" i="6"/>
  <c r="N714" i="6"/>
  <c r="N730" i="6"/>
  <c r="N746" i="6"/>
  <c r="N762" i="6"/>
  <c r="N778" i="6"/>
  <c r="N811" i="6"/>
  <c r="N700" i="6"/>
  <c r="N828" i="6"/>
  <c r="N107" i="6"/>
  <c r="N203" i="6"/>
  <c r="N317" i="6"/>
  <c r="N445" i="6"/>
  <c r="N573" i="6"/>
  <c r="N701" i="6"/>
  <c r="N829" i="6"/>
  <c r="N12" i="6"/>
  <c r="N9" i="6"/>
  <c r="N25" i="6"/>
  <c r="N41" i="6"/>
  <c r="N57" i="6"/>
  <c r="N73" i="6"/>
  <c r="N89" i="6"/>
  <c r="N105" i="6"/>
  <c r="N121" i="6"/>
  <c r="N137" i="6"/>
  <c r="N153" i="6"/>
  <c r="N169" i="6"/>
  <c r="N185" i="6"/>
  <c r="N201" i="6"/>
  <c r="N217" i="6"/>
  <c r="N233" i="6"/>
  <c r="N251" i="6"/>
  <c r="N267" i="6"/>
  <c r="N283" i="6"/>
  <c r="N299" i="6"/>
  <c r="N315" i="6"/>
  <c r="N331" i="6"/>
  <c r="N347" i="6"/>
  <c r="N363" i="6"/>
  <c r="N379" i="6"/>
  <c r="N395" i="6"/>
  <c r="N411" i="6"/>
  <c r="N427" i="6"/>
  <c r="N443" i="6"/>
  <c r="N459" i="6"/>
  <c r="N475" i="6"/>
  <c r="N491" i="6"/>
  <c r="N507" i="6"/>
  <c r="N523" i="6"/>
  <c r="N539" i="6"/>
  <c r="N555" i="6"/>
  <c r="N571" i="6"/>
  <c r="N587" i="6"/>
  <c r="N603" i="6"/>
  <c r="N619" i="6"/>
  <c r="N635" i="6"/>
  <c r="N651" i="6"/>
  <c r="N667" i="6"/>
  <c r="N683" i="6"/>
  <c r="N699" i="6"/>
  <c r="N715" i="6"/>
  <c r="N731" i="6"/>
  <c r="N747" i="6"/>
  <c r="N763" i="6"/>
  <c r="N779" i="6"/>
  <c r="N843" i="6"/>
  <c r="N732" i="6"/>
  <c r="N27" i="6"/>
  <c r="N187" i="6"/>
  <c r="N301" i="6"/>
  <c r="N477" i="6"/>
  <c r="N605" i="6"/>
  <c r="N733" i="6"/>
  <c r="N10" i="6"/>
  <c r="N26" i="6"/>
  <c r="N42" i="6"/>
  <c r="N58" i="6"/>
  <c r="N74" i="6"/>
  <c r="N90" i="6"/>
  <c r="N106" i="6"/>
  <c r="N122" i="6"/>
  <c r="N138" i="6"/>
  <c r="N154" i="6"/>
  <c r="N170" i="6"/>
  <c r="N186" i="6"/>
  <c r="N202" i="6"/>
  <c r="N218" i="6"/>
  <c r="N234" i="6"/>
  <c r="N252" i="6"/>
  <c r="N268" i="6"/>
  <c r="N284" i="6"/>
  <c r="N300" i="6"/>
  <c r="N316" i="6"/>
  <c r="N332" i="6"/>
  <c r="N348" i="6"/>
  <c r="N364" i="6"/>
  <c r="N380" i="6"/>
  <c r="N396" i="6"/>
  <c r="N412" i="6"/>
  <c r="N428" i="6"/>
  <c r="N444" i="6"/>
  <c r="N460" i="6"/>
  <c r="N476" i="6"/>
  <c r="N492" i="6"/>
  <c r="N508" i="6"/>
  <c r="N524" i="6"/>
  <c r="N540" i="6"/>
  <c r="N556" i="6"/>
  <c r="N572" i="6"/>
  <c r="N588" i="6"/>
  <c r="N604" i="6"/>
  <c r="N684" i="6"/>
  <c r="N748" i="6"/>
  <c r="N365" i="6"/>
  <c r="N717" i="6"/>
  <c r="N108" i="6"/>
  <c r="N140" i="6"/>
  <c r="N670" i="6"/>
  <c r="N448" i="6"/>
  <c r="N337" i="6"/>
  <c r="N515" i="6"/>
  <c r="N223" i="6"/>
  <c r="N29" i="6"/>
  <c r="N500" i="6"/>
  <c r="N321" i="6"/>
  <c r="N755" i="6"/>
  <c r="N354" i="6"/>
  <c r="N831" i="6"/>
  <c r="N464" i="6"/>
  <c r="N128" i="6"/>
  <c r="N608" i="6"/>
  <c r="N241" i="6"/>
  <c r="N786" i="6"/>
  <c r="N496" i="6"/>
  <c r="N274" i="6"/>
  <c r="N44" i="6"/>
  <c r="N674" i="6"/>
  <c r="N452" i="6"/>
  <c r="N273" i="6"/>
  <c r="N34" i="6"/>
  <c r="N818" i="6"/>
  <c r="N562" i="6"/>
  <c r="N306" i="6"/>
  <c r="N114" i="6"/>
  <c r="N817" i="6"/>
  <c r="N595" i="6"/>
  <c r="N305" i="6"/>
  <c r="N628" i="6"/>
  <c r="N372" i="6"/>
  <c r="N738" i="6"/>
  <c r="N516" i="6"/>
  <c r="N260" i="6"/>
  <c r="N814" i="6"/>
  <c r="N660" i="6"/>
  <c r="N404" i="6"/>
  <c r="N145" i="6"/>
  <c r="N688" i="6"/>
  <c r="N208" i="6"/>
  <c r="N465" i="6"/>
  <c r="N235" i="6"/>
  <c r="N575" i="6"/>
  <c r="N242" i="6"/>
  <c r="N830" i="6"/>
  <c r="N497" i="6"/>
  <c r="N205" i="6"/>
  <c r="N752" i="6"/>
  <c r="N462" i="6"/>
  <c r="N161" i="6"/>
  <c r="N819" i="6"/>
  <c r="N640" i="6"/>
  <c r="N384" i="6"/>
  <c r="N194" i="6"/>
  <c r="N784" i="6"/>
  <c r="N451" i="6"/>
  <c r="N193" i="6"/>
  <c r="N783" i="6"/>
  <c r="N484" i="6"/>
  <c r="N483" i="6"/>
  <c r="N558" i="6"/>
  <c r="N259" i="6"/>
  <c r="N64" i="6"/>
  <c r="N702" i="6"/>
  <c r="N514" i="6"/>
  <c r="N335" i="6"/>
  <c r="N109" i="6"/>
  <c r="N803" i="6"/>
  <c r="N624" i="6"/>
  <c r="N513" i="6"/>
  <c r="N368" i="6"/>
  <c r="N334" i="6"/>
  <c r="N291" i="6"/>
  <c r="N257" i="6"/>
  <c r="N221" i="6"/>
  <c r="N178" i="6"/>
  <c r="N144" i="6"/>
  <c r="N98" i="6"/>
  <c r="N62" i="6"/>
  <c r="N17" i="6"/>
  <c r="N577" i="6"/>
  <c r="N244" i="6"/>
  <c r="N721" i="6"/>
  <c r="N320" i="6"/>
  <c r="N754" i="6"/>
  <c r="N353" i="6"/>
  <c r="N46" i="6"/>
  <c r="N574" i="6"/>
  <c r="N275" i="6"/>
  <c r="N820" i="6"/>
  <c r="N385" i="6"/>
  <c r="N606" i="6"/>
  <c r="N418" i="6"/>
  <c r="N239" i="6"/>
  <c r="N750" i="6"/>
  <c r="N494" i="6"/>
  <c r="N159" i="6"/>
  <c r="N740" i="6"/>
  <c r="N527" i="6"/>
  <c r="N739" i="6"/>
  <c r="N449" i="6"/>
  <c r="N627" i="6"/>
  <c r="N156" i="6"/>
  <c r="N592" i="6"/>
  <c r="N302" i="6"/>
  <c r="N110" i="6"/>
  <c r="N659" i="6"/>
  <c r="N480" i="6"/>
  <c r="N258" i="6"/>
  <c r="N18" i="6"/>
  <c r="N658" i="6"/>
  <c r="N479" i="6"/>
  <c r="N768" i="6"/>
  <c r="N580" i="6"/>
  <c r="N401" i="6"/>
  <c r="N220" i="6"/>
  <c r="N143" i="6"/>
  <c r="N16" i="6"/>
  <c r="N722" i="6"/>
  <c r="N13" i="6"/>
  <c r="N610" i="6"/>
  <c r="N173" i="6"/>
  <c r="N498" i="6"/>
  <c r="N172" i="6"/>
  <c r="N787" i="6"/>
  <c r="N386" i="6"/>
  <c r="N81" i="6"/>
  <c r="N675" i="6"/>
  <c r="N33" i="6"/>
  <c r="N672" i="6"/>
  <c r="N339" i="6"/>
  <c r="N705" i="6"/>
  <c r="N594" i="6"/>
  <c r="N338" i="6"/>
  <c r="N815" i="6"/>
  <c r="N593" i="6"/>
  <c r="N414" i="6"/>
  <c r="N224" i="6"/>
  <c r="N771" i="6"/>
  <c r="N703" i="6"/>
  <c r="N481" i="6"/>
  <c r="N370" i="6"/>
  <c r="N189" i="6"/>
  <c r="N770" i="6"/>
  <c r="N625" i="6"/>
  <c r="N548" i="6"/>
  <c r="N403" i="6"/>
  <c r="N292" i="6"/>
  <c r="N188" i="6"/>
  <c r="N769" i="6"/>
  <c r="N692" i="6"/>
  <c r="N547" i="6"/>
  <c r="N402" i="6"/>
  <c r="N802" i="6"/>
  <c r="N691" i="6"/>
  <c r="N623" i="6"/>
  <c r="N512" i="6"/>
  <c r="N435" i="6"/>
  <c r="N324" i="6"/>
  <c r="N290" i="6"/>
  <c r="N177" i="6"/>
  <c r="N97" i="6"/>
  <c r="N835" i="6"/>
  <c r="N724" i="6"/>
  <c r="N656" i="6"/>
  <c r="N579" i="6"/>
  <c r="N511" i="6"/>
  <c r="N434" i="6"/>
  <c r="N323" i="6"/>
  <c r="N255" i="6"/>
  <c r="N176" i="6"/>
  <c r="N142" i="6"/>
  <c r="N50" i="6"/>
  <c r="N15" i="6"/>
  <c r="N654" i="6"/>
  <c r="N48" i="6"/>
  <c r="N499" i="6"/>
  <c r="N207" i="6"/>
  <c r="N532" i="6"/>
  <c r="N206" i="6"/>
  <c r="N676" i="6"/>
  <c r="N420" i="6"/>
  <c r="N127" i="6"/>
  <c r="N718" i="6"/>
  <c r="N419" i="6"/>
  <c r="N204" i="6"/>
  <c r="N785" i="6"/>
  <c r="N495" i="6"/>
  <c r="N79" i="6"/>
  <c r="N707" i="6"/>
  <c r="N416" i="6"/>
  <c r="N782" i="6"/>
  <c r="N560" i="6"/>
  <c r="N304" i="6"/>
  <c r="N704" i="6"/>
  <c r="N559" i="6"/>
  <c r="N371" i="6"/>
  <c r="N190" i="6"/>
  <c r="N737" i="6"/>
  <c r="N626" i="6"/>
  <c r="N447" i="6"/>
  <c r="N336" i="6"/>
  <c r="N146" i="6"/>
  <c r="N804" i="6"/>
  <c r="N736" i="6"/>
  <c r="N591" i="6"/>
  <c r="N446" i="6"/>
  <c r="N369" i="6"/>
  <c r="N222" i="6"/>
  <c r="N63" i="6"/>
  <c r="N846" i="6"/>
  <c r="N735" i="6"/>
  <c r="N590" i="6"/>
  <c r="N436" i="6"/>
  <c r="N836" i="6"/>
  <c r="N734" i="6"/>
  <c r="N657" i="6"/>
  <c r="N546" i="6"/>
  <c r="N478" i="6"/>
  <c r="N367" i="6"/>
  <c r="N256" i="6"/>
  <c r="N61" i="6"/>
  <c r="N801" i="6"/>
  <c r="N767" i="6"/>
  <c r="N690" i="6"/>
  <c r="N622" i="6"/>
  <c r="N545" i="6"/>
  <c r="N468" i="6"/>
  <c r="N400" i="6"/>
  <c r="N366" i="6"/>
  <c r="N289" i="6"/>
  <c r="N210" i="6"/>
  <c r="N96" i="6"/>
  <c r="N834" i="6"/>
  <c r="N800" i="6"/>
  <c r="N766" i="6"/>
  <c r="N723" i="6"/>
  <c r="N689" i="6"/>
  <c r="N655" i="6"/>
  <c r="N612" i="6"/>
  <c r="N578" i="6"/>
  <c r="N544" i="6"/>
  <c r="N510" i="6"/>
  <c r="N467" i="6"/>
  <c r="N433" i="6"/>
  <c r="N399" i="6"/>
  <c r="N356" i="6"/>
  <c r="N322" i="6"/>
  <c r="N288" i="6"/>
  <c r="N254" i="6"/>
  <c r="N209" i="6"/>
  <c r="N175" i="6"/>
  <c r="N141" i="6"/>
  <c r="N95" i="6"/>
  <c r="N49" i="6"/>
  <c r="N14" i="6"/>
  <c r="B53" i="2"/>
  <c r="B37" i="2"/>
  <c r="B21" i="2"/>
  <c r="B5" i="2"/>
  <c r="B50" i="2"/>
  <c r="B18" i="2"/>
  <c r="B49" i="2"/>
  <c r="B33" i="2"/>
  <c r="B48" i="2"/>
  <c r="B16" i="2"/>
  <c r="B47" i="2"/>
  <c r="B15" i="2"/>
  <c r="B62" i="2"/>
  <c r="B30" i="2"/>
  <c r="B61" i="2"/>
  <c r="B13" i="2"/>
  <c r="B44" i="2"/>
  <c r="B12" i="2"/>
  <c r="B43" i="2"/>
  <c r="B11" i="2"/>
  <c r="B42" i="2"/>
  <c r="B10" i="2"/>
  <c r="B52" i="2"/>
  <c r="B36" i="2"/>
  <c r="B20" i="2"/>
  <c r="B4" i="2"/>
  <c r="B66" i="2"/>
  <c r="B34" i="2"/>
  <c r="B65" i="2"/>
  <c r="B17" i="2"/>
  <c r="B64" i="2"/>
  <c r="B32" i="2"/>
  <c r="B63" i="2"/>
  <c r="B31" i="2"/>
  <c r="B46" i="2"/>
  <c r="B14" i="2"/>
  <c r="B45" i="2"/>
  <c r="B29" i="2"/>
  <c r="B60" i="2"/>
  <c r="B28" i="2"/>
  <c r="B59" i="2"/>
  <c r="B27" i="2"/>
  <c r="B58" i="2"/>
  <c r="B26" i="2"/>
  <c r="B57" i="2"/>
  <c r="B41" i="2"/>
  <c r="B25" i="2"/>
  <c r="B9" i="2"/>
  <c r="B56" i="2"/>
  <c r="B40" i="2"/>
  <c r="B24" i="2"/>
  <c r="B8" i="2"/>
  <c r="B55" i="2"/>
  <c r="B39" i="2"/>
  <c r="B23" i="2"/>
  <c r="B7" i="2"/>
  <c r="B54" i="2"/>
  <c r="B38" i="2"/>
  <c r="B22" i="2"/>
  <c r="B6" i="2"/>
  <c r="B2" i="2"/>
  <c r="B51" i="2"/>
  <c r="B35" i="2"/>
  <c r="B19" i="2"/>
  <c r="B3" i="2"/>
  <c r="BS74" i="12" l="1"/>
  <c r="BO77" i="12" s="1"/>
  <c r="BI76" i="12"/>
  <c r="BI119" i="12"/>
  <c r="BK119" i="12" s="1"/>
  <c r="F24" i="14" s="1"/>
  <c r="BI129" i="12"/>
  <c r="BK129" i="12" s="1"/>
  <c r="F26" i="14" s="1"/>
  <c r="BI112" i="12"/>
  <c r="BK112" i="12" s="1"/>
  <c r="F50" i="14" s="1"/>
  <c r="BI108" i="12"/>
  <c r="BK108" i="12" s="1"/>
  <c r="F19" i="14" s="1"/>
  <c r="BI80" i="12"/>
  <c r="BK80" i="12" s="1"/>
  <c r="F11" i="14" s="1"/>
  <c r="BI134" i="12"/>
  <c r="BK134" i="12" s="1"/>
  <c r="F27" i="14" s="1"/>
  <c r="BI128" i="12"/>
  <c r="BK128" i="12" s="1"/>
  <c r="F60" i="14" s="1"/>
  <c r="BI87" i="12"/>
  <c r="BK87" i="12" s="1"/>
  <c r="F36" i="14" s="1"/>
  <c r="BI101" i="12"/>
  <c r="BK101" i="12" s="1"/>
  <c r="F42" i="14" s="1"/>
  <c r="BI123" i="12"/>
  <c r="BK123" i="12" s="1"/>
  <c r="F56" i="14" s="1"/>
  <c r="BI130" i="12"/>
  <c r="BK130" i="12" s="1"/>
  <c r="F61" i="14" s="1"/>
  <c r="BI135" i="12"/>
  <c r="BK135" i="12" s="1"/>
  <c r="F28" i="14" s="1"/>
  <c r="BI93" i="12"/>
  <c r="BK93" i="12" s="1"/>
  <c r="F7" i="14" s="1"/>
  <c r="BI100" i="12"/>
  <c r="BK100" i="12" s="1"/>
  <c r="F41" i="14" s="1"/>
  <c r="BI110" i="12"/>
  <c r="BK110" i="12" s="1"/>
  <c r="F9" i="14" s="1"/>
  <c r="BI155" i="12"/>
  <c r="BK155" i="12" s="1"/>
  <c r="BI133" i="12"/>
  <c r="BK133" i="12" s="1"/>
  <c r="F64" i="14" s="1"/>
  <c r="BI115" i="12"/>
  <c r="BK115" i="12" s="1"/>
  <c r="F51" i="14" s="1"/>
  <c r="BI81" i="12"/>
  <c r="BK81" i="12" s="1"/>
  <c r="F12" i="14" s="1"/>
  <c r="BI83" i="12"/>
  <c r="BK83" i="12" s="1"/>
  <c r="F33" i="14" s="1"/>
  <c r="BI103" i="12"/>
  <c r="BK103" i="12" s="1"/>
  <c r="F44" i="14" s="1"/>
  <c r="BI97" i="12"/>
  <c r="BK97" i="12" s="1"/>
  <c r="F17" i="14" s="1"/>
  <c r="BO147" i="12"/>
  <c r="BI186" i="12" s="1"/>
  <c r="BK186" i="12" s="1"/>
  <c r="BI175" i="12"/>
  <c r="BK175" i="12" s="1"/>
  <c r="BI202" i="12"/>
  <c r="BK202" i="12" s="1"/>
  <c r="BI180" i="12"/>
  <c r="BK180" i="12" s="1"/>
  <c r="BI116" i="12"/>
  <c r="BK116" i="12" s="1"/>
  <c r="F52" i="14" s="1"/>
  <c r="BI88" i="12"/>
  <c r="BK88" i="12" s="1"/>
  <c r="F37" i="14" s="1"/>
  <c r="BI124" i="12"/>
  <c r="BK124" i="12" s="1"/>
  <c r="F57" i="14" s="1"/>
  <c r="BI164" i="12"/>
  <c r="BK164" i="12" s="1"/>
  <c r="BI96" i="12"/>
  <c r="BK96" i="12" s="1"/>
  <c r="F16" i="14" s="1"/>
  <c r="BI137" i="12"/>
  <c r="BK137" i="12" s="1"/>
  <c r="F10" i="14" s="1"/>
  <c r="BI204" i="12"/>
  <c r="BK204" i="12" s="1"/>
  <c r="BI98" i="12"/>
  <c r="BK98" i="12" s="1"/>
  <c r="F18" i="14" s="1"/>
  <c r="BI136" i="12"/>
  <c r="BK136" i="12" s="1"/>
  <c r="F65" i="14" s="1"/>
  <c r="BI102" i="12"/>
  <c r="BK102" i="12" s="1"/>
  <c r="F43" i="14" s="1"/>
  <c r="BI79" i="12"/>
  <c r="BK79" i="12" s="1"/>
  <c r="F32" i="14" s="1"/>
  <c r="BI117" i="12"/>
  <c r="BK117" i="12" s="1"/>
  <c r="F22" i="14" s="1"/>
  <c r="BI138" i="12"/>
  <c r="BK138" i="12" s="1"/>
  <c r="F66" i="14" s="1"/>
  <c r="BI107" i="12"/>
  <c r="BK107" i="12" s="1"/>
  <c r="F47" i="14" s="1"/>
  <c r="BI125" i="12"/>
  <c r="BK125" i="12" s="1"/>
  <c r="F58" i="14" s="1"/>
  <c r="AX70" i="12"/>
  <c r="AH70" i="12"/>
  <c r="BK76" i="12" l="1"/>
  <c r="F3" i="14" s="1"/>
  <c r="D3" i="14"/>
  <c r="BJ88" i="12"/>
  <c r="E37" i="14" s="1"/>
  <c r="BJ116" i="12"/>
  <c r="E52" i="14" s="1"/>
  <c r="BJ186" i="12"/>
  <c r="BJ107" i="12"/>
  <c r="E47" i="14" s="1"/>
  <c r="BJ128" i="12"/>
  <c r="E60" i="14" s="1"/>
  <c r="BJ129" i="12"/>
  <c r="E26" i="14" s="1"/>
  <c r="BI114" i="12"/>
  <c r="BK114" i="12" s="1"/>
  <c r="F21" i="14" s="1"/>
  <c r="BJ103" i="12"/>
  <c r="E44" i="14" s="1"/>
  <c r="BJ133" i="12"/>
  <c r="E64" i="14" s="1"/>
  <c r="BJ110" i="12"/>
  <c r="E9" i="14" s="1"/>
  <c r="BJ135" i="12"/>
  <c r="E28" i="14" s="1"/>
  <c r="BJ101" i="12"/>
  <c r="E42" i="14" s="1"/>
  <c r="BI203" i="12"/>
  <c r="BK203" i="12" s="1"/>
  <c r="BJ98" i="12"/>
  <c r="E18" i="14" s="1"/>
  <c r="BJ96" i="12"/>
  <c r="E16" i="14" s="1"/>
  <c r="BJ204" i="12"/>
  <c r="BI91" i="12"/>
  <c r="BK91" i="12" s="1"/>
  <c r="F4" i="14" s="1"/>
  <c r="BI113" i="12"/>
  <c r="BK113" i="12" s="1"/>
  <c r="F20" i="14" s="1"/>
  <c r="BI132" i="12"/>
  <c r="BK132" i="12" s="1"/>
  <c r="F63" i="14" s="1"/>
  <c r="BI131" i="12"/>
  <c r="BK131" i="12" s="1"/>
  <c r="F62" i="14" s="1"/>
  <c r="BI187" i="12"/>
  <c r="BK187" i="12" s="1"/>
  <c r="BI106" i="12"/>
  <c r="BK106" i="12" s="1"/>
  <c r="F46" i="14" s="1"/>
  <c r="BI104" i="12"/>
  <c r="BK104" i="12" s="1"/>
  <c r="F45" i="14" s="1"/>
  <c r="BI178" i="12"/>
  <c r="BK178" i="12" s="1"/>
  <c r="BJ164" i="12"/>
  <c r="BI159" i="12"/>
  <c r="BK159" i="12" s="1"/>
  <c r="BJ83" i="12"/>
  <c r="E33" i="14" s="1"/>
  <c r="BI84" i="12"/>
  <c r="BK84" i="12" s="1"/>
  <c r="F34" i="14" s="1"/>
  <c r="BI196" i="12"/>
  <c r="BK196" i="12" s="1"/>
  <c r="BI190" i="12"/>
  <c r="BK190" i="12" s="1"/>
  <c r="BI165" i="12"/>
  <c r="BK165" i="12" s="1"/>
  <c r="BJ87" i="12"/>
  <c r="E36" i="14" s="1"/>
  <c r="BJ134" i="12"/>
  <c r="E27" i="14" s="1"/>
  <c r="BJ119" i="12"/>
  <c r="E24" i="14" s="1"/>
  <c r="BJ125" i="12"/>
  <c r="E58" i="14" s="1"/>
  <c r="BI188" i="12"/>
  <c r="BK188" i="12" s="1"/>
  <c r="BI205" i="12"/>
  <c r="BK205" i="12" s="1"/>
  <c r="BI193" i="12"/>
  <c r="BK193" i="12" s="1"/>
  <c r="BI201" i="12"/>
  <c r="BK201" i="12" s="1"/>
  <c r="BK143" i="12"/>
  <c r="BI189" i="12"/>
  <c r="BK189" i="12" s="1"/>
  <c r="BI173" i="12"/>
  <c r="BK173" i="12" s="1"/>
  <c r="BI185" i="12"/>
  <c r="BK185" i="12" s="1"/>
  <c r="BI177" i="12"/>
  <c r="BK177" i="12" s="1"/>
  <c r="BI153" i="12"/>
  <c r="BK153" i="12" s="1"/>
  <c r="BI161" i="12"/>
  <c r="BK161" i="12" s="1"/>
  <c r="BI157" i="12"/>
  <c r="BK157" i="12" s="1"/>
  <c r="BI145" i="12"/>
  <c r="BK145" i="12" s="1"/>
  <c r="BJ97" i="12"/>
  <c r="E17" i="14" s="1"/>
  <c r="BJ81" i="12"/>
  <c r="E12" i="14" s="1"/>
  <c r="BJ100" i="12"/>
  <c r="E41" i="14" s="1"/>
  <c r="BJ130" i="12"/>
  <c r="E61" i="14" s="1"/>
  <c r="BJ76" i="12"/>
  <c r="E3" i="14" s="1"/>
  <c r="BI75" i="12"/>
  <c r="BK75" i="12" s="1"/>
  <c r="F29" i="14" s="1"/>
  <c r="BJ80" i="12"/>
  <c r="E11" i="14" s="1"/>
  <c r="BJ117" i="12"/>
  <c r="E22" i="14" s="1"/>
  <c r="BI149" i="12"/>
  <c r="BK149" i="12" s="1"/>
  <c r="BJ137" i="12"/>
  <c r="E10" i="14" s="1"/>
  <c r="BI198" i="12"/>
  <c r="BK198" i="12" s="1"/>
  <c r="BI152" i="12"/>
  <c r="BK152" i="12" s="1"/>
  <c r="BI127" i="12"/>
  <c r="BK127" i="12" s="1"/>
  <c r="F59" i="14" s="1"/>
  <c r="BJ175" i="12"/>
  <c r="BJ124" i="12"/>
  <c r="E57" i="14" s="1"/>
  <c r="BI82" i="12"/>
  <c r="BK82" i="12" s="1"/>
  <c r="F13" i="14" s="1"/>
  <c r="BI207" i="12"/>
  <c r="BK207" i="12" s="1"/>
  <c r="BI148" i="12"/>
  <c r="BK148" i="12" s="1"/>
  <c r="BI158" i="12"/>
  <c r="BK158" i="12" s="1"/>
  <c r="BI191" i="12"/>
  <c r="BK191" i="12" s="1"/>
  <c r="BJ138" i="12"/>
  <c r="E66" i="14" s="1"/>
  <c r="BI166" i="12"/>
  <c r="BK166" i="12" s="1"/>
  <c r="BI182" i="12"/>
  <c r="BK182" i="12" s="1"/>
  <c r="BJ79" i="12"/>
  <c r="E32" i="14" s="1"/>
  <c r="BI74" i="12"/>
  <c r="BK74" i="12" s="1"/>
  <c r="F6" i="14" s="1"/>
  <c r="BI184" i="12"/>
  <c r="BK184" i="12" s="1"/>
  <c r="BI183" i="12"/>
  <c r="BK183" i="12" s="1"/>
  <c r="BI195" i="12"/>
  <c r="BK195" i="12" s="1"/>
  <c r="BI85" i="12"/>
  <c r="BI126" i="12"/>
  <c r="BK126" i="12" s="1"/>
  <c r="F25" i="14" s="1"/>
  <c r="BI122" i="12"/>
  <c r="BK122" i="12" s="1"/>
  <c r="F55" i="14" s="1"/>
  <c r="BI163" i="12"/>
  <c r="BK163" i="12" s="1"/>
  <c r="BI78" i="12"/>
  <c r="BK78" i="12" s="1"/>
  <c r="F31" i="14" s="1"/>
  <c r="BI169" i="12"/>
  <c r="BK169" i="12" s="1"/>
  <c r="BI147" i="12"/>
  <c r="BK147" i="12" s="1"/>
  <c r="BI150" i="12"/>
  <c r="BK150" i="12" s="1"/>
  <c r="BI118" i="12"/>
  <c r="BK118" i="12" s="1"/>
  <c r="F23" i="14" s="1"/>
  <c r="BI120" i="12"/>
  <c r="BK120" i="12" s="1"/>
  <c r="F53" i="14" s="1"/>
  <c r="BJ115" i="12"/>
  <c r="E51" i="14" s="1"/>
  <c r="BJ108" i="12"/>
  <c r="E19" i="14" s="1"/>
  <c r="BJ202" i="12"/>
  <c r="BI179" i="12"/>
  <c r="BK179" i="12" s="1"/>
  <c r="BJ102" i="12"/>
  <c r="E43" i="14" s="1"/>
  <c r="BI176" i="12"/>
  <c r="BK176" i="12" s="1"/>
  <c r="BI171" i="12"/>
  <c r="BK171" i="12" s="1"/>
  <c r="BI144" i="12"/>
  <c r="BK144" i="12" s="1"/>
  <c r="BI167" i="12"/>
  <c r="BK167" i="12" s="1"/>
  <c r="BI77" i="12"/>
  <c r="BK77" i="12" s="1"/>
  <c r="F30" i="14" s="1"/>
  <c r="BI121" i="12"/>
  <c r="BK121" i="12" s="1"/>
  <c r="F54" i="14" s="1"/>
  <c r="BI192" i="12"/>
  <c r="BK192" i="12" s="1"/>
  <c r="BI146" i="12"/>
  <c r="BK146" i="12" s="1"/>
  <c r="BI197" i="12"/>
  <c r="BK197" i="12" s="1"/>
  <c r="BI111" i="12"/>
  <c r="BK111" i="12" s="1"/>
  <c r="F49" i="14" s="1"/>
  <c r="BJ180" i="12"/>
  <c r="BJ93" i="12"/>
  <c r="E7" i="14" s="1"/>
  <c r="BJ123" i="12"/>
  <c r="E56" i="14" s="1"/>
  <c r="BJ112" i="12"/>
  <c r="E50" i="14" s="1"/>
  <c r="BI99" i="12"/>
  <c r="BK99" i="12" s="1"/>
  <c r="F40" i="14" s="1"/>
  <c r="BJ136" i="12"/>
  <c r="E65" i="14" s="1"/>
  <c r="BI168" i="12"/>
  <c r="BK168" i="12" s="1"/>
  <c r="BI172" i="12"/>
  <c r="BK172" i="12" s="1"/>
  <c r="BI156" i="12"/>
  <c r="BK156" i="12" s="1"/>
  <c r="BI194" i="12"/>
  <c r="BK194" i="12" s="1"/>
  <c r="BI94" i="12"/>
  <c r="BK94" i="12" s="1"/>
  <c r="F15" i="14" s="1"/>
  <c r="BI181" i="12"/>
  <c r="BK181" i="12" s="1"/>
  <c r="BI162" i="12"/>
  <c r="BK162" i="12" s="1"/>
  <c r="BI92" i="12"/>
  <c r="BK92" i="12" s="1"/>
  <c r="F39" i="14" s="1"/>
  <c r="BI109" i="12"/>
  <c r="BK109" i="12" s="1"/>
  <c r="F48" i="14" s="1"/>
  <c r="BJ155" i="12"/>
  <c r="BI89" i="12"/>
  <c r="BK89" i="12" s="1"/>
  <c r="F38" i="14" s="1"/>
  <c r="BI199" i="12"/>
  <c r="BK199" i="12" s="1"/>
  <c r="BI200" i="12"/>
  <c r="BK200" i="12" s="1"/>
  <c r="BI206" i="12"/>
  <c r="BK206" i="12" s="1"/>
  <c r="BI160" i="12"/>
  <c r="BK160" i="12" s="1"/>
  <c r="BI151" i="12"/>
  <c r="BK151" i="12" s="1"/>
  <c r="BI86" i="12"/>
  <c r="BK86" i="12" s="1"/>
  <c r="F35" i="14" s="1"/>
  <c r="BI170" i="12"/>
  <c r="BK170" i="12" s="1"/>
  <c r="BI174" i="12"/>
  <c r="BK174" i="12" s="1"/>
  <c r="BI105" i="12"/>
  <c r="BK105" i="12" s="1"/>
  <c r="F8" i="14" s="1"/>
  <c r="BI90" i="12"/>
  <c r="BK90" i="12" s="1"/>
  <c r="F14" i="14" s="1"/>
  <c r="BI95" i="12"/>
  <c r="BK95" i="12" s="1"/>
  <c r="F5" i="14" s="1"/>
  <c r="P4" i="14" l="1"/>
  <c r="P6" i="14"/>
  <c r="P5" i="14"/>
  <c r="P3" i="14"/>
  <c r="BJ85" i="12"/>
  <c r="BK85" i="12"/>
  <c r="BJ163" i="12"/>
  <c r="BJ148" i="12"/>
  <c r="BJ177" i="12"/>
  <c r="BJ122" i="12"/>
  <c r="E55" i="14" s="1"/>
  <c r="BJ207" i="12"/>
  <c r="BJ75" i="12"/>
  <c r="E29" i="14" s="1"/>
  <c r="BJ185" i="12"/>
  <c r="BJ165" i="12"/>
  <c r="BJ91" i="12"/>
  <c r="E4" i="14" s="1"/>
  <c r="BJ89" i="12"/>
  <c r="E38" i="14" s="1"/>
  <c r="BJ176" i="12"/>
  <c r="BJ82" i="12"/>
  <c r="E13" i="14" s="1"/>
  <c r="BJ173" i="12"/>
  <c r="BJ190" i="12"/>
  <c r="BJ109" i="12"/>
  <c r="E48" i="14" s="1"/>
  <c r="BJ179" i="12"/>
  <c r="BJ189" i="12"/>
  <c r="BJ196" i="12"/>
  <c r="BJ114" i="12"/>
  <c r="E21" i="14" s="1"/>
  <c r="BJ92" i="12"/>
  <c r="E39" i="14" s="1"/>
  <c r="BJ84" i="12"/>
  <c r="E34" i="14" s="1"/>
  <c r="BJ126" i="12"/>
  <c r="E25" i="14" s="1"/>
  <c r="BJ183" i="12"/>
  <c r="BJ201" i="12"/>
  <c r="BJ184" i="12"/>
  <c r="BJ193" i="12"/>
  <c r="BJ105" i="12"/>
  <c r="E8" i="14" s="1"/>
  <c r="BJ94" i="12"/>
  <c r="E15" i="14" s="1"/>
  <c r="BJ111" i="12"/>
  <c r="E49" i="14" s="1"/>
  <c r="BJ74" i="12"/>
  <c r="BJ127" i="12"/>
  <c r="E59" i="14" s="1"/>
  <c r="BJ205" i="12"/>
  <c r="BJ159" i="12"/>
  <c r="BJ203" i="12"/>
  <c r="BJ198" i="12"/>
  <c r="BJ178" i="12"/>
  <c r="BJ90" i="12"/>
  <c r="E14" i="14" s="1"/>
  <c r="BJ181" i="12"/>
  <c r="BJ197" i="12"/>
  <c r="BJ152" i="12"/>
  <c r="BJ188" i="12"/>
  <c r="BJ170" i="12"/>
  <c r="BJ146" i="12"/>
  <c r="BJ166" i="12"/>
  <c r="BJ104" i="12"/>
  <c r="E45" i="14" s="1"/>
  <c r="BJ150" i="12"/>
  <c r="BJ149" i="12"/>
  <c r="BJ145" i="12"/>
  <c r="BJ106" i="12"/>
  <c r="E46" i="14" s="1"/>
  <c r="BJ157" i="12"/>
  <c r="BJ187" i="12"/>
  <c r="BJ174" i="12"/>
  <c r="BJ194" i="12"/>
  <c r="BJ156" i="12"/>
  <c r="BJ86" i="12"/>
  <c r="E35" i="14" s="1"/>
  <c r="BJ172" i="12"/>
  <c r="BJ192" i="12"/>
  <c r="BJ120" i="12"/>
  <c r="E53" i="14" s="1"/>
  <c r="BJ182" i="12"/>
  <c r="BJ118" i="12"/>
  <c r="E23" i="14" s="1"/>
  <c r="BJ206" i="12"/>
  <c r="BJ167" i="12"/>
  <c r="BJ147" i="12"/>
  <c r="BJ200" i="12"/>
  <c r="BJ99" i="12"/>
  <c r="E40" i="14" s="1"/>
  <c r="BJ144" i="12"/>
  <c r="BJ169" i="12"/>
  <c r="BJ191" i="12"/>
  <c r="BJ161" i="12"/>
  <c r="BJ131" i="12"/>
  <c r="E62" i="14" s="1"/>
  <c r="BJ113" i="12"/>
  <c r="E20" i="14" s="1"/>
  <c r="BJ195" i="12"/>
  <c r="BJ95" i="12"/>
  <c r="E5" i="14" s="1"/>
  <c r="BJ162" i="12"/>
  <c r="BJ151" i="12"/>
  <c r="BJ168" i="12"/>
  <c r="BJ121" i="12"/>
  <c r="E54" i="14" s="1"/>
  <c r="BJ160" i="12"/>
  <c r="BJ77" i="12"/>
  <c r="E30" i="14" s="1"/>
  <c r="BJ199" i="12"/>
  <c r="BJ171" i="12"/>
  <c r="BJ78" i="12"/>
  <c r="E31" i="14" s="1"/>
  <c r="BJ158" i="12"/>
  <c r="BJ153" i="12"/>
  <c r="BJ132" i="12"/>
  <c r="E63" i="14" s="1"/>
  <c r="O3" i="14" l="1"/>
  <c r="E6" i="14"/>
  <c r="O4" i="14" s="1"/>
  <c r="Q6" i="14"/>
  <c r="O5" i="14"/>
  <c r="Q5" i="14"/>
  <c r="O6" i="14"/>
  <c r="Q4" i="14"/>
  <c r="Q3" i="14"/>
  <c r="M4" i="1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<sst xmlns="http://schemas.openxmlformats.org/spreadsheetml/2006/main" count="6444" uniqueCount="407">
  <si>
    <t>Household Population</t>
  </si>
  <si>
    <t>000</t>
  </si>
  <si>
    <t>COLORADO STATE</t>
  </si>
  <si>
    <t>001</t>
  </si>
  <si>
    <t>ADAMS COUNTY</t>
  </si>
  <si>
    <t>003</t>
  </si>
  <si>
    <t>ALAMOSA COUNTY</t>
  </si>
  <si>
    <t>005</t>
  </si>
  <si>
    <t>ARAPAHOE COUNTY</t>
  </si>
  <si>
    <t>007</t>
  </si>
  <si>
    <t>ARCHULETA COUNTY</t>
  </si>
  <si>
    <t>009</t>
  </si>
  <si>
    <t>BACA COUNTY</t>
  </si>
  <si>
    <t>011</t>
  </si>
  <si>
    <t>BENT COUNTY</t>
  </si>
  <si>
    <t>013</t>
  </si>
  <si>
    <t>BOULDER COUNTY</t>
  </si>
  <si>
    <t>014</t>
  </si>
  <si>
    <t>BROOMFIELD COUNTY</t>
  </si>
  <si>
    <t>015</t>
  </si>
  <si>
    <t>CHAFFEE COUNTY</t>
  </si>
  <si>
    <t>017</t>
  </si>
  <si>
    <t>CHEYENNE COUNTY</t>
  </si>
  <si>
    <t>019</t>
  </si>
  <si>
    <t>CLEAR CREEK COUNTY</t>
  </si>
  <si>
    <t>021</t>
  </si>
  <si>
    <t>CONEJOS COUNTY</t>
  </si>
  <si>
    <t>023</t>
  </si>
  <si>
    <t>COSTILLA COUNTY</t>
  </si>
  <si>
    <t>025</t>
  </si>
  <si>
    <t>CROWLEY COUNTY</t>
  </si>
  <si>
    <t>027</t>
  </si>
  <si>
    <t>CUSTER COUNTY</t>
  </si>
  <si>
    <t>029</t>
  </si>
  <si>
    <t>DELTA COUNTY</t>
  </si>
  <si>
    <t>031</t>
  </si>
  <si>
    <t>DENVER COUNTY</t>
  </si>
  <si>
    <t>033</t>
  </si>
  <si>
    <t>DOLORES COUNTY</t>
  </si>
  <si>
    <t>035</t>
  </si>
  <si>
    <t>DOUGLAS COUNTY</t>
  </si>
  <si>
    <t>037</t>
  </si>
  <si>
    <t>EAGLE COUNTY</t>
  </si>
  <si>
    <t>039</t>
  </si>
  <si>
    <t>ELBERT COUNTY</t>
  </si>
  <si>
    <t>041</t>
  </si>
  <si>
    <t>EL PASO COUNTY</t>
  </si>
  <si>
    <t>043</t>
  </si>
  <si>
    <t>FREMONT COUNTY</t>
  </si>
  <si>
    <t>045</t>
  </si>
  <si>
    <t>GARFIELD COUNTY</t>
  </si>
  <si>
    <t>047</t>
  </si>
  <si>
    <t>GILPIN COUNTY</t>
  </si>
  <si>
    <t>049</t>
  </si>
  <si>
    <t>GRAND COUNTY</t>
  </si>
  <si>
    <t>051</t>
  </si>
  <si>
    <t>GUNNISON COUNTY</t>
  </si>
  <si>
    <t>053</t>
  </si>
  <si>
    <t>HINSDALE COUNTY</t>
  </si>
  <si>
    <t>055</t>
  </si>
  <si>
    <t>HUERFANO COUNTY</t>
  </si>
  <si>
    <t>057</t>
  </si>
  <si>
    <t>JACKSON COUNTY</t>
  </si>
  <si>
    <t>059</t>
  </si>
  <si>
    <t>JEFFERSON COUNTY</t>
  </si>
  <si>
    <t>061</t>
  </si>
  <si>
    <t>KIOWA COUNTY</t>
  </si>
  <si>
    <t>063</t>
  </si>
  <si>
    <t>KIT CARSON COUNTY</t>
  </si>
  <si>
    <t>065</t>
  </si>
  <si>
    <t>LAKE COUNTY</t>
  </si>
  <si>
    <t>067</t>
  </si>
  <si>
    <t>LA PLATA COUNTY</t>
  </si>
  <si>
    <t>069</t>
  </si>
  <si>
    <t>LARIMER COUNTY</t>
  </si>
  <si>
    <t>071</t>
  </si>
  <si>
    <t>LAS ANIMAS COUNTY</t>
  </si>
  <si>
    <t>073</t>
  </si>
  <si>
    <t>LINCOLN COUNTY</t>
  </si>
  <si>
    <t>075</t>
  </si>
  <si>
    <t>LOGAN COUNTY</t>
  </si>
  <si>
    <t>077</t>
  </si>
  <si>
    <t>MESA COUNTY</t>
  </si>
  <si>
    <t>079</t>
  </si>
  <si>
    <t>MINERAL COUNTY</t>
  </si>
  <si>
    <t>081</t>
  </si>
  <si>
    <t>MOFFAT COUNTY</t>
  </si>
  <si>
    <t>083</t>
  </si>
  <si>
    <t>MONTEZUMA COUNTY</t>
  </si>
  <si>
    <t>085</t>
  </si>
  <si>
    <t>MONTROSE COUNTY</t>
  </si>
  <si>
    <t>087</t>
  </si>
  <si>
    <t>MORGAN COUNTY</t>
  </si>
  <si>
    <t>089</t>
  </si>
  <si>
    <t>OTERO COUNTY</t>
  </si>
  <si>
    <t>091</t>
  </si>
  <si>
    <t>OURAY COUNTY</t>
  </si>
  <si>
    <t>093</t>
  </si>
  <si>
    <t>PARK COUNTY</t>
  </si>
  <si>
    <t>095</t>
  </si>
  <si>
    <t>PHILLIPS COUNTY</t>
  </si>
  <si>
    <t>097</t>
  </si>
  <si>
    <t>PITKIN COUNTY</t>
  </si>
  <si>
    <t>099</t>
  </si>
  <si>
    <t>PROWERS COUNTY</t>
  </si>
  <si>
    <t>101</t>
  </si>
  <si>
    <t>PUEBLO COUNTY</t>
  </si>
  <si>
    <t>103</t>
  </si>
  <si>
    <t>RIO BLANCO COUNTY</t>
  </si>
  <si>
    <t>105</t>
  </si>
  <si>
    <t>RIO GRANDE COUNTY</t>
  </si>
  <si>
    <t>107</t>
  </si>
  <si>
    <t>ROUTT COUNTY</t>
  </si>
  <si>
    <t>109</t>
  </si>
  <si>
    <t>SAGUACHE COUNTY</t>
  </si>
  <si>
    <t>111</t>
  </si>
  <si>
    <t>SAN JUAN COUNTY</t>
  </si>
  <si>
    <t>113</t>
  </si>
  <si>
    <t>SAN MIGUEL COUNTY</t>
  </si>
  <si>
    <t>115</t>
  </si>
  <si>
    <t>SEDGWICK COUNTY</t>
  </si>
  <si>
    <t>117</t>
  </si>
  <si>
    <t>SUMMIT COUNTY</t>
  </si>
  <si>
    <t>119</t>
  </si>
  <si>
    <t>TELLER COUNTY</t>
  </si>
  <si>
    <t>121</t>
  </si>
  <si>
    <t>WASHINGTON COUNTY</t>
  </si>
  <si>
    <t>123</t>
  </si>
  <si>
    <t>WELD COUNTY</t>
  </si>
  <si>
    <t>125</t>
  </si>
  <si>
    <t>YUMA COUNTY</t>
  </si>
  <si>
    <t>Vintage 2022 prepared October 2023.</t>
  </si>
  <si>
    <t>County FIPS</t>
  </si>
  <si>
    <t>County</t>
  </si>
  <si>
    <t>Year</t>
  </si>
  <si>
    <t>Total Population</t>
  </si>
  <si>
    <t>Group Quarters Population</t>
  </si>
  <si>
    <t>Household Size</t>
  </si>
  <si>
    <t>Total Housing Units</t>
  </si>
  <si>
    <t>Occupied Housing Units</t>
  </si>
  <si>
    <t>Vacant Housing Units</t>
  </si>
  <si>
    <t>Vacancy Percent</t>
  </si>
  <si>
    <t>Household Population to Total Housing Units Ratio</t>
  </si>
  <si>
    <t>Colorado State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</si>
  <si>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</si>
  <si>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</si>
  <si>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</si>
  <si>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</si>
  <si>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</si>
  <si>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</si>
  <si>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</si>
  <si>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</si>
  <si>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</si>
  <si>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</si>
  <si>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</si>
  <si>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</si>
  <si>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</si>
  <si>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</si>
  <si>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</si>
  <si>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</si>
  <si>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</si>
  <si>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</si>
  <si>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</si>
  <si>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</si>
  <si>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</si>
  <si>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</si>
  <si>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</si>
  <si>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</si>
  <si>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</si>
  <si>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</si>
  <si>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</si>
  <si>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</si>
  <si>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</si>
  <si>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Jackson County</t>
  </si>
  <si>
    <t>Jefferson County</t>
  </si>
  <si>
    <t>Kiowa County</t>
  </si>
  <si>
    <t>Kit Carson County</t>
  </si>
  <si>
    <t>Lake County</t>
  </si>
  <si>
    <t>La Plata County</t>
  </si>
  <si>
    <t>Larimer County</t>
  </si>
  <si>
    <t>Las Animas County</t>
  </si>
  <si>
    <t>Lincoln County</t>
  </si>
  <si>
    <t>Logan County</t>
  </si>
  <si>
    <t>Mesa County</t>
  </si>
  <si>
    <t>Mineral County</t>
  </si>
  <si>
    <t>Moffat County</t>
  </si>
  <si>
    <t>Montezuma County</t>
  </si>
  <si>
    <t>Montrose County</t>
  </si>
  <si>
    <t>Morgan County</t>
  </si>
  <si>
    <t>Otero County</t>
  </si>
  <si>
    <t>Ouray County</t>
  </si>
  <si>
    <t>Park County</t>
  </si>
  <si>
    <t>Phillips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</si>
  <si>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</si>
  <si>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</si>
  <si>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</si>
  <si>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</si>
  <si>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</si>
  <si>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</si>
  <si>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</si>
  <si>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</si>
  <si>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</si>
  <si>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</si>
  <si>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</si>
  <si>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</si>
  <si>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Washington County</t>
  </si>
  <si>
    <t>Weld County</t>
  </si>
  <si>
    <t>Yuma County</t>
  </si>
  <si>
    <t>countyfips</t>
  </si>
  <si>
    <t>name</t>
  </si>
  <si>
    <t>year</t>
  </si>
  <si>
    <t>totalpopulation</t>
  </si>
  <si>
    <t>births</t>
  </si>
  <si>
    <t>naturalincrease</t>
  </si>
  <si>
    <t>netmigration</t>
  </si>
  <si>
    <t>deaths</t>
  </si>
  <si>
    <t>totalhousingunits</t>
  </si>
  <si>
    <t>households</t>
  </si>
  <si>
    <t>householdsize</t>
  </si>
  <si>
    <t>householdpopulation</t>
  </si>
  <si>
    <t>censusbuildingpermits</t>
  </si>
  <si>
    <t>vacancyrate</t>
  </si>
  <si>
    <t>vacanthousingunits</t>
  </si>
  <si>
    <t>hhldpoptothuratio</t>
  </si>
  <si>
    <t>Row Labels</t>
  </si>
  <si>
    <t>Grand Total</t>
  </si>
  <si>
    <t>Column Labels</t>
  </si>
  <si>
    <t>Dataset</t>
  </si>
  <si>
    <t xml:space="preserve">County Population and Housing Timeseries, 2010 to Current Year </t>
  </si>
  <si>
    <t>Source</t>
  </si>
  <si>
    <t>link</t>
  </si>
  <si>
    <t>Page Name</t>
  </si>
  <si>
    <t>CountyPopHousing</t>
  </si>
  <si>
    <t>County Population Profiles, 1985 to Current Year</t>
  </si>
  <si>
    <t>CountingHousingProf</t>
  </si>
  <si>
    <t>region</t>
  </si>
  <si>
    <t>Region</t>
  </si>
  <si>
    <t>area (sq. mi)</t>
  </si>
  <si>
    <t>Asbolute Population</t>
  </si>
  <si>
    <t>Relative Population</t>
  </si>
  <si>
    <t>Change in Relative Population</t>
  </si>
  <si>
    <t>Absolute Population</t>
  </si>
  <si>
    <t>Relative Population (% of total)</t>
  </si>
  <si>
    <t>Density (pers/sq mi)</t>
  </si>
  <si>
    <t>Sum of Density (pers/sq mi)</t>
  </si>
  <si>
    <t>Population Density (people/sq mi)</t>
  </si>
  <si>
    <t>Change in Population (3-year rolling avg, 2010 baseline)</t>
  </si>
  <si>
    <t>CY 10-12</t>
  </si>
  <si>
    <t>CY 11-13</t>
  </si>
  <si>
    <t>CY 12-14</t>
  </si>
  <si>
    <t>CY 13-15</t>
  </si>
  <si>
    <t>CY 14-16</t>
  </si>
  <si>
    <t>CY 15-17</t>
  </si>
  <si>
    <t>CY 16-18</t>
  </si>
  <si>
    <t>CY 18-20</t>
  </si>
  <si>
    <t>CY 19-21</t>
  </si>
  <si>
    <t>CY 20-22</t>
  </si>
  <si>
    <t>CY 17-19</t>
  </si>
  <si>
    <t>Statistically Significant</t>
  </si>
  <si>
    <t>Change in Population Density (% change year-on-year, 2010 baseline)</t>
  </si>
  <si>
    <t>Change in Absolute Population (2010 baseline)</t>
  </si>
  <si>
    <t>Strata</t>
  </si>
  <si>
    <t>Large</t>
  </si>
  <si>
    <t>Medium</t>
  </si>
  <si>
    <t>Small</t>
  </si>
  <si>
    <t>Tiny</t>
  </si>
  <si>
    <t>Total</t>
  </si>
  <si>
    <t>Stratum</t>
  </si>
  <si>
    <t>n</t>
  </si>
  <si>
    <t>Sum</t>
  </si>
  <si>
    <t>Normalized Weight</t>
  </si>
  <si>
    <t>2022 Data</t>
  </si>
  <si>
    <t>Change in Absolute Housing Units (2010 baseline)</t>
  </si>
  <si>
    <t>Change in Housing (3-year rolling avg, 2010 baseline)</t>
  </si>
  <si>
    <t>Mean</t>
  </si>
  <si>
    <t>Std Dev</t>
  </si>
  <si>
    <t>CY 20-22 - Std Devs</t>
  </si>
  <si>
    <t>Population</t>
  </si>
  <si>
    <t>&gt;1% Dev</t>
  </si>
  <si>
    <t>&lt;- 1% Dev</t>
  </si>
  <si>
    <t>Significant Neg Deviance (Rolling Housing)</t>
  </si>
  <si>
    <t>Significant Pos Deviance (Rolling Housing)</t>
  </si>
  <si>
    <t>Significant Neg Deviance (Rolling Population)</t>
  </si>
  <si>
    <t>Significant Pos Deviance (Rolling Population)</t>
  </si>
  <si>
    <t>Change in Population Density (3-year rolling avg, 2010 baseline)</t>
  </si>
  <si>
    <t>Population Density (individual/sq. mi.)</t>
  </si>
  <si>
    <t>Notes</t>
  </si>
  <si>
    <t>--</t>
  </si>
  <si>
    <t>high_pop-high_house</t>
  </si>
  <si>
    <t>high_house</t>
  </si>
  <si>
    <t>low_pop</t>
  </si>
  <si>
    <t>low_house</t>
  </si>
  <si>
    <t>high_pop</t>
  </si>
  <si>
    <t>low_pop-low_house</t>
  </si>
  <si>
    <t>Stratum Definition</t>
  </si>
  <si>
    <t>Any county that comprises &gt;10% of state's population</t>
  </si>
  <si>
    <t>Any county that comprises &lt;3.5% of state's population</t>
  </si>
  <si>
    <t>Any county that comprises 3.5-6% of state's population</t>
  </si>
  <si>
    <t>Any county that comprises 6-10% of state's population</t>
  </si>
  <si>
    <t>Rel. Population</t>
  </si>
  <si>
    <t>Abs. Population</t>
  </si>
  <si>
    <t>Excel Std Dev</t>
  </si>
  <si>
    <t>Mean sq</t>
  </si>
  <si>
    <t>Var</t>
  </si>
  <si>
    <t>Variance</t>
  </si>
  <si>
    <t>Manual Std. Dev</t>
  </si>
  <si>
    <t>Large County</t>
  </si>
  <si>
    <t>Medium County</t>
  </si>
  <si>
    <t>Small County</t>
  </si>
  <si>
    <t>Tiny County</t>
  </si>
  <si>
    <t>CV</t>
  </si>
  <si>
    <t>county_fips</t>
  </si>
  <si>
    <t>county_name</t>
  </si>
  <si>
    <t>naics_code</t>
  </si>
  <si>
    <t>sector_name</t>
  </si>
  <si>
    <t>Adams</t>
  </si>
  <si>
    <t>Federal Government</t>
  </si>
  <si>
    <t>Total All Sectors</t>
  </si>
  <si>
    <t>Agriculture, Forestry, Fishing and Hunting</t>
  </si>
  <si>
    <t>State Government</t>
  </si>
  <si>
    <t>Mining, Quarrying, and Oil and Gas Extraction</t>
  </si>
  <si>
    <t>Utilities</t>
  </si>
  <si>
    <t>Construction</t>
  </si>
  <si>
    <t>Local Government</t>
  </si>
  <si>
    <t>31-33</t>
  </si>
  <si>
    <t>Manufacturing</t>
  </si>
  <si>
    <t>Wholesale Trade</t>
  </si>
  <si>
    <t>44-45</t>
  </si>
  <si>
    <t>Retail Trade</t>
  </si>
  <si>
    <t>48-49</t>
  </si>
  <si>
    <t>Transportation and Warehousing</t>
  </si>
  <si>
    <t>Information</t>
  </si>
  <si>
    <t>Finance and Insurance</t>
  </si>
  <si>
    <t>Real Estate and Rental and Leasing</t>
  </si>
  <si>
    <t>Professional, Scientific, and Technical Services</t>
  </si>
  <si>
    <t>Management of Companies and Enterprises</t>
  </si>
  <si>
    <t>Administrative and Support and Waste Management and Remediation Services</t>
  </si>
  <si>
    <t>Educational Services</t>
  </si>
  <si>
    <t>Health Care and Social Assistance</t>
  </si>
  <si>
    <t>Arts, Entertainment, and Recreation</t>
  </si>
  <si>
    <t>Accommodation and Food Services</t>
  </si>
  <si>
    <t>Other Services (except Public Administration)</t>
  </si>
  <si>
    <t>Unclassified</t>
  </si>
  <si>
    <t>Alamosa</t>
  </si>
  <si>
    <t>Arapahoe</t>
  </si>
  <si>
    <t>Public Administration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</si>
  <si>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</si>
  <si>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</si>
  <si>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</si>
  <si>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</si>
  <si>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</si>
  <si>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</si>
  <si>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</si>
  <si>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</si>
  <si>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</si>
  <si>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</si>
  <si>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</si>
  <si>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</si>
  <si>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</si>
  <si>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</si>
  <si>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</si>
  <si>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</si>
  <si>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</si>
  <si>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Elbert</t>
  </si>
  <si>
    <t>El Paso</t>
  </si>
  <si>
    <t>Fremont</t>
  </si>
  <si>
    <t>Garfield</t>
  </si>
  <si>
    <t>Gilpin</t>
  </si>
  <si>
    <t>Grand</t>
  </si>
  <si>
    <t>Gunnison</t>
  </si>
  <si>
    <t>Hinsdale</t>
  </si>
  <si>
    <t>Huerfano</t>
  </si>
  <si>
    <t>Jackson</t>
  </si>
  <si>
    <t>Jefferson</t>
  </si>
  <si>
    <t>Kiowa</t>
  </si>
  <si>
    <t>Kit Carson</t>
  </si>
  <si>
    <t>Lake</t>
  </si>
  <si>
    <t>La Plata</t>
  </si>
  <si>
    <t>Larimer</t>
  </si>
  <si>
    <t>Las Animas</t>
  </si>
  <si>
    <t>Lincoln</t>
  </si>
  <si>
    <t>Logan</t>
  </si>
  <si>
    <t>Mesa</t>
  </si>
  <si>
    <t>Mineral</t>
  </si>
  <si>
    <t>Moffat</t>
  </si>
  <si>
    <t>Montezuma</t>
  </si>
  <si>
    <t>Montrose</t>
  </si>
  <si>
    <t>Morgan</t>
  </si>
  <si>
    <t>Otero</t>
  </si>
  <si>
    <t>Ouray</t>
  </si>
  <si>
    <t>Park</t>
  </si>
  <si>
    <t>Phillips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</si>
  <si>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</si>
  <si>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</si>
  <si>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</si>
  <si>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</si>
  <si>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</si>
  <si>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</si>
  <si>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</si>
  <si>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</si>
  <si>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</si>
  <si>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</si>
  <si>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</si>
  <si>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</si>
  <si>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Washington</t>
  </si>
  <si>
    <t>Weld</t>
  </si>
  <si>
    <t>Yuma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</si>
</sst>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"/>
    <numFmt numFmtId="165" formatCode="0.0000000"/>
    <numFmt numFmtId="166" formatCode="_(* #,##0.0_);_(* \(#,##0.0\);_(* &quot;-&quot;??_);_(@_)"/>
    <numFmt numFmtId="167" formatCode="_(* #,##0_);_(* \(#,##0\);_(* &quot;-&quot;??_);_(@_)"/>
    <numFmt numFmtId="168" formatCode="0.0%"/>
    <numFmt numFmtId="169" formatCode="0.000000"/>
  </numFmts>
  <fonts count="7" x14ac:knownFonts="1">
    <font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66">
    <xf numFmtId="0" fontId="0" fillId="0" borderId="0" xfId="0"/>
    <xf numFmtId="0" fontId="1" fillId="0" borderId="0" xfId="1" applyAlignment="1">
      <alignment horizontal="left"/>
    </xf>
    <xf numFmtId="0" fontId="1" fillId="0" borderId="0" xfId="1" applyAlignment="1">
      <alignment wrapText="1"/>
    </xf>
    <xf numFmtId="3" fontId="1" fillId="0" borderId="0" xfId="1" applyNumberFormat="1" applyAlignment="1">
      <alignment wrapText="1"/>
    </xf>
    <xf numFmtId="2" fontId="1" fillId="0" borderId="0" xfId="1" applyNumberFormat="1" applyAlignment="1">
      <alignment wrapText="1"/>
    </xf>
    <xf numFmtId="0" fontId="1" fillId="0" borderId="1" xfId="1" applyBorder="1" applyAlignment="1">
      <alignment horizontal="left" wrapText="1"/>
    </xf>
    <xf numFmtId="0" fontId="1" fillId="0" borderId="1" xfId="1" applyBorder="1" applyAlignment="1">
      <alignment wrapText="1"/>
    </xf>
    <xf numFmtId="0" fontId="1" fillId="0" borderId="1" xfId="1" applyBorder="1" applyAlignment="1">
      <alignment horizontal="center" wrapText="1"/>
    </xf>
    <xf numFmtId="3" fontId="1" fillId="0" borderId="1" xfId="1" applyNumberFormat="1" applyBorder="1" applyAlignment="1">
      <alignment horizontal="center" wrapText="1"/>
    </xf>
    <xf numFmtId="2" fontId="1" fillId="0" borderId="1" xfId="1" applyNumberFormat="1" applyBorder="1" applyAlignment="1">
      <alignment horizontal="center" wrapText="1"/>
    </xf>
    <xf numFmtId="0" fontId="1" fillId="0" borderId="0" xfId="1"/>
    <xf numFmtId="0" fontId="1" fillId="0" borderId="0" xfId="1" applyAlignment="1">
      <alignment horizontal="center"/>
    </xf>
    <xf numFmtId="3" fontId="1" fillId="0" borderId="0" xfId="1" applyNumberFormat="1"/>
    <xf numFmtId="2" fontId="1" fillId="0" borderId="0" xfId="1" applyNumberFormat="1"/>
    <xf numFmtId="0" fontId="1" fillId="0" borderId="0" xfId="1" applyAlignment="1">
      <alignment horizontal="left" wrapText="1"/>
    </xf>
    <xf numFmtId="0" fontId="0" fillId="0" borderId="0" xfId="0" pivotButton="1"/>
    <xf numFmtId="0" fontId="0" fillId="0" borderId="0" xfId="0" applyAlignment="1">
      <alignment horizontal="left"/>
    </xf>
    <xf numFmtId="0" fontId="3" fillId="2" borderId="2" xfId="0" applyFont="1" applyFill="1" applyBorder="1"/>
    <xf numFmtId="0" fontId="4" fillId="0" borderId="0" xfId="4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3" xfId="0" applyFont="1" applyFill="1" applyBorder="1"/>
    <xf numFmtId="165" fontId="0" fillId="0" borderId="0" xfId="0" applyNumberFormat="1"/>
    <xf numFmtId="2" fontId="0" fillId="0" borderId="0" xfId="0" applyNumberFormat="1"/>
    <xf numFmtId="164" fontId="0" fillId="0" borderId="0" xfId="0" applyNumberFormat="1"/>
    <xf numFmtId="2" fontId="3" fillId="2" borderId="3" xfId="0" applyNumberFormat="1" applyFont="1" applyFill="1" applyBorder="1"/>
    <xf numFmtId="166" fontId="0" fillId="0" borderId="0" xfId="2" applyNumberFormat="1" applyFont="1"/>
    <xf numFmtId="167" fontId="0" fillId="0" borderId="0" xfId="2" applyNumberFormat="1" applyFont="1"/>
    <xf numFmtId="167" fontId="3" fillId="2" borderId="3" xfId="2" applyNumberFormat="1" applyFont="1" applyFill="1" applyBorder="1"/>
    <xf numFmtId="9" fontId="0" fillId="0" borderId="0" xfId="3" applyFont="1"/>
    <xf numFmtId="168" fontId="0" fillId="0" borderId="0" xfId="3" applyNumberFormat="1" applyFont="1"/>
    <xf numFmtId="9" fontId="3" fillId="2" borderId="3" xfId="3" applyFont="1" applyFill="1" applyBorder="1"/>
    <xf numFmtId="168" fontId="3" fillId="2" borderId="3" xfId="3" applyNumberFormat="1" applyFont="1" applyFill="1" applyBorder="1"/>
    <xf numFmtId="10" fontId="0" fillId="0" borderId="0" xfId="3" applyNumberFormat="1" applyFont="1"/>
    <xf numFmtId="0" fontId="3" fillId="2" borderId="0" xfId="0" applyFont="1" applyFill="1"/>
    <xf numFmtId="168" fontId="3" fillId="2" borderId="0" xfId="3" applyNumberFormat="1" applyFont="1" applyFill="1" applyBorder="1"/>
    <xf numFmtId="167" fontId="3" fillId="2" borderId="0" xfId="2" applyNumberFormat="1" applyFont="1" applyFill="1" applyBorder="1"/>
    <xf numFmtId="0" fontId="3" fillId="0" borderId="0" xfId="0" applyFont="1"/>
    <xf numFmtId="10" fontId="0" fillId="0" borderId="0" xfId="0" applyNumberFormat="1"/>
    <xf numFmtId="0" fontId="3" fillId="2" borderId="0" xfId="0" quotePrefix="1" applyFont="1" applyFill="1"/>
    <xf numFmtId="10" fontId="0" fillId="0" borderId="4" xfId="3" applyNumberFormat="1" applyFont="1" applyBorder="1"/>
    <xf numFmtId="0" fontId="0" fillId="0" borderId="4" xfId="0" applyBorder="1"/>
    <xf numFmtId="10" fontId="0" fillId="0" borderId="5" xfId="3" applyNumberFormat="1" applyFont="1" applyBorder="1"/>
    <xf numFmtId="0" fontId="0" fillId="0" borderId="5" xfId="0" applyBorder="1"/>
    <xf numFmtId="10" fontId="0" fillId="0" borderId="6" xfId="3" applyNumberFormat="1" applyFont="1" applyBorder="1"/>
    <xf numFmtId="0" fontId="0" fillId="0" borderId="6" xfId="0" applyBorder="1"/>
    <xf numFmtId="2" fontId="0" fillId="0" borderId="4" xfId="3" applyNumberFormat="1" applyFont="1" applyBorder="1"/>
    <xf numFmtId="2" fontId="0" fillId="0" borderId="5" xfId="3" applyNumberFormat="1" applyFont="1" applyBorder="1"/>
    <xf numFmtId="2" fontId="0" fillId="0" borderId="6" xfId="3" applyNumberFormat="1" applyFont="1" applyBorder="1"/>
    <xf numFmtId="0" fontId="0" fillId="0" borderId="0" xfId="0" applyAlignment="1">
      <alignment horizontal="center" vertical="center" wrapText="1"/>
    </xf>
    <xf numFmtId="10" fontId="0" fillId="0" borderId="0" xfId="3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wrapText="1"/>
    </xf>
    <xf numFmtId="0" fontId="0" fillId="3" borderId="0" xfId="0" applyFill="1"/>
    <xf numFmtId="164" fontId="0" fillId="3" borderId="0" xfId="0" applyNumberFormat="1" applyFill="1"/>
    <xf numFmtId="10" fontId="0" fillId="3" borderId="0" xfId="3" applyNumberFormat="1" applyFont="1" applyFill="1" applyAlignment="1">
      <alignment horizontal="center" vertical="center" wrapText="1"/>
    </xf>
    <xf numFmtId="2" fontId="0" fillId="3" borderId="0" xfId="0" applyNumberFormat="1" applyFill="1"/>
    <xf numFmtId="0" fontId="0" fillId="3" borderId="0" xfId="0" applyFill="1" applyAlignment="1">
      <alignment horizontal="center" vertical="center" wrapText="1"/>
    </xf>
    <xf numFmtId="0" fontId="0" fillId="0" borderId="0" xfId="0" quotePrefix="1"/>
    <xf numFmtId="167" fontId="3" fillId="2" borderId="3" xfId="3" applyNumberFormat="1" applyFont="1" applyFill="1" applyBorder="1"/>
    <xf numFmtId="169" fontId="5" fillId="0" borderId="0" xfId="0" applyNumberFormat="1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0" xfId="0" applyFont="1"/>
    <xf numFmtId="0" fontId="0" fillId="0" borderId="0" xfId="0"/>
  </cellXfs>
  <cellStyles count="5">
    <cellStyle name="Comma" xfId="2" builtinId="3"/>
    <cellStyle name="Hyperlink" xfId="4" builtinId="8"/>
    <cellStyle name="Normal" xfId="0" builtinId="0"/>
    <cellStyle name="Normal 2" xfId="1" xr:uid="{B638D91C-5CEA-3E45-BDD5-5C5D031B2DA4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Population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COUNTY_PIVOT!$AH$139:$AT$139</c:f>
              <c:numCache>
                <c:formatCode>0.0%</c:formatCode>
                <c:ptCount val="13"/>
                <c:pt idx="0">
                  <c:v>0</c:v>
                </c:pt>
                <c:pt idx="1">
                  <c:v>1.4498254768201378E-2</c:v>
                </c:pt>
                <c:pt idx="2">
                  <c:v>1.3878845402789821E-2</c:v>
                </c:pt>
                <c:pt idx="3">
                  <c:v>1.4672946959782947E-2</c:v>
                </c:pt>
                <c:pt idx="4">
                  <c:v>1.4565301487435787E-2</c:v>
                </c:pt>
                <c:pt idx="5">
                  <c:v>1.8501380511644825E-2</c:v>
                </c:pt>
                <c:pt idx="6">
                  <c:v>1.5245674636295637E-2</c:v>
                </c:pt>
                <c:pt idx="7">
                  <c:v>1.2651296261902466E-2</c:v>
                </c:pt>
                <c:pt idx="8">
                  <c:v>1.3808873081376702E-2</c:v>
                </c:pt>
                <c:pt idx="9">
                  <c:v>1.0216293646968634E-2</c:v>
                </c:pt>
                <c:pt idx="10">
                  <c:v>8.6618636843234995E-3</c:v>
                </c:pt>
                <c:pt idx="11">
                  <c:v>4.5711152262634617E-3</c:v>
                </c:pt>
                <c:pt idx="12">
                  <c:v>4.7685210838843261E-3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FD-8C4A-9E8D-3A939A7407D8}"/>
            </c:ext>
          </c:extLst>
        </c:ser>
        <c:ser>
          <c:idx val="1"/>
          <c:order val="1"/>
          <c:tx>
            <c:v>Housing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COUNTY_PIVOT!$AH$208:$AT$208</c:f>
              <c:numCache>
                <c:formatCode>0.0%</c:formatCode>
                <c:ptCount val="13"/>
                <c:pt idx="0">
                  <c:v>0</c:v>
                </c:pt>
                <c:pt idx="1">
                  <c:v>5.4501731487501459E-3</c:v>
                </c:pt>
                <c:pt idx="2">
                  <c:v>5.9716662630842979E-3</c:v>
                </c:pt>
                <c:pt idx="3">
                  <c:v>1.0404853327069741E-2</c:v>
                </c:pt>
                <c:pt idx="4">
                  <c:v>1.2038983289960401E-2</c:v>
                </c:pt>
                <c:pt idx="5">
                  <c:v>1.2887340212367796E-2</c:v>
                </c:pt>
                <c:pt idx="6">
                  <c:v>1.2652826285471928E-2</c:v>
                </c:pt>
                <c:pt idx="7">
                  <c:v>1.5935100557040446E-2</c:v>
                </c:pt>
                <c:pt idx="8">
                  <c:v>1.7435569959346309E-2</c:v>
                </c:pt>
                <c:pt idx="9">
                  <c:v>1.7464656191456294E-2</c:v>
                </c:pt>
                <c:pt idx="10">
                  <c:v>1.6392376746304817E-2</c:v>
                </c:pt>
                <c:pt idx="11">
                  <c:v>1.6523014355635624E-2</c:v>
                </c:pt>
                <c:pt idx="12">
                  <c:v>2.2096711707548265E-2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FD-8C4A-9E8D-3A939A740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7442879"/>
        <c:axId val="766962767"/>
      </c:lineChart>
      <c:catAx>
        <c:axId val="7674428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962767"/>
        <c:crosses val="autoZero"/>
        <c:auto val="1"/>
        <c:lblAlgn val="ctr"/>
        <c:lblOffset val="100"/>
        <c:noMultiLvlLbl val="0"/>
      </c:catAx>
      <c:valAx>
        <c:axId val="76696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44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REGION_PIVOT!$S$7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REGION_PIVOT!$T$7:$AF$7</c:f>
              <c:numCache>
                <c:formatCode>_(* #,##0_);_(* \(#,##0\);_(* "-"??_);_(@_)</c:formatCode>
                <c:ptCount val="13"/>
                <c:pt idx="0">
                  <c:v>50.815492947970995</c:v>
                </c:pt>
                <c:pt idx="1">
                  <c:v>50.921573890591269</c:v>
                </c:pt>
                <c:pt idx="2">
                  <c:v>50.724733984733703</c:v>
                </c:pt>
                <c:pt idx="3">
                  <c:v>50.747570470290086</c:v>
                </c:pt>
                <c:pt idx="4">
                  <c:v>50.671384832313244</c:v>
                </c:pt>
                <c:pt idx="5">
                  <c:v>50.733219125346722</c:v>
                </c:pt>
                <c:pt idx="6">
                  <c:v>50.694947712616646</c:v>
                </c:pt>
                <c:pt idx="7">
                  <c:v>50.777276416572583</c:v>
                </c:pt>
                <c:pt idx="8">
                  <c:v>51.116442765134828</c:v>
                </c:pt>
                <c:pt idx="9">
                  <c:v>51.256026059095831</c:v>
                </c:pt>
                <c:pt idx="10">
                  <c:v>51.009702187761619</c:v>
                </c:pt>
                <c:pt idx="11">
                  <c:v>50.753068132621053</c:v>
                </c:pt>
                <c:pt idx="12">
                  <c:v>50.651013530954565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E6-EA46-952B-B749B5917D3E}"/>
            </c:ext>
          </c:extLst>
        </c:ser>
        <c:ser>
          <c:idx val="1"/>
          <c:order val="1"/>
          <c:tx>
            <c:strRef>
              <c:f>REGION_PIVOT!$S$8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REGION_PIVOT!$T$8:$AF$8</c:f>
              <c:numCache>
                <c:formatCode>_(* #,##0_);_(* \(#,##0\);_(* "-"??_);_(@_)</c:formatCode>
                <c:ptCount val="13"/>
                <c:pt idx="0">
                  <c:v>177.53308665345537</c:v>
                </c:pt>
                <c:pt idx="1">
                  <c:v>180.4749129122763</c:v>
                </c:pt>
                <c:pt idx="2">
                  <c:v>183.88913668860582</c:v>
                </c:pt>
                <c:pt idx="3">
                  <c:v>187.41020054462609</c:v>
                </c:pt>
                <c:pt idx="4">
                  <c:v>191.91932304650533</c:v>
                </c:pt>
                <c:pt idx="5">
                  <c:v>197.66906447171459</c:v>
                </c:pt>
                <c:pt idx="6">
                  <c:v>202.23463874649832</c:v>
                </c:pt>
                <c:pt idx="7">
                  <c:v>206.66874293769433</c:v>
                </c:pt>
                <c:pt idx="8">
                  <c:v>211.27726900205994</c:v>
                </c:pt>
                <c:pt idx="9">
                  <c:v>215.88107922781722</c:v>
                </c:pt>
                <c:pt idx="10">
                  <c:v>219.33076815451557</c:v>
                </c:pt>
                <c:pt idx="11">
                  <c:v>222.51844051424001</c:v>
                </c:pt>
                <c:pt idx="12">
                  <c:v>226.64089589433499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E6-EA46-952B-B749B5917D3E}"/>
            </c:ext>
          </c:extLst>
        </c:ser>
        <c:ser>
          <c:idx val="2"/>
          <c:order val="2"/>
          <c:tx>
            <c:strRef>
              <c:f>REGION_PIVOT!$S$9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REGION_PIVOT!$T$9:$AF$9</c:f>
              <c:numCache>
                <c:formatCode>_(* #,##0_);_(* \(#,##0\);_(* "-"??_);_(@_)</c:formatCode>
                <c:ptCount val="13"/>
                <c:pt idx="0">
                  <c:v>7446.6843514214688</c:v>
                </c:pt>
                <c:pt idx="1">
                  <c:v>7623.0752058020907</c:v>
                </c:pt>
                <c:pt idx="2">
                  <c:v>7789.4472295687719</c:v>
                </c:pt>
                <c:pt idx="3">
                  <c:v>7948.7739316163415</c:v>
                </c:pt>
                <c:pt idx="4">
                  <c:v>8125.1819071177015</c:v>
                </c:pt>
                <c:pt idx="5">
                  <c:v>8373.7837951015372</c:v>
                </c:pt>
                <c:pt idx="6">
                  <c:v>8528.449098638026</c:v>
                </c:pt>
                <c:pt idx="7">
                  <c:v>8652.7408619620837</c:v>
                </c:pt>
                <c:pt idx="8">
                  <c:v>8791.8309440805333</c:v>
                </c:pt>
                <c:pt idx="9">
                  <c:v>8899.5491214479862</c:v>
                </c:pt>
                <c:pt idx="10">
                  <c:v>9020.5811730685327</c:v>
                </c:pt>
                <c:pt idx="11">
                  <c:v>9019.4760958103525</c:v>
                </c:pt>
                <c:pt idx="12">
                  <c:v>9059.8856706664756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E6-EA46-952B-B749B5917D3E}"/>
            </c:ext>
          </c:extLst>
        </c:ser>
        <c:ser>
          <c:idx val="3"/>
          <c:order val="3"/>
          <c:tx>
            <c:strRef>
              <c:f>REGION_PIVOT!$S$10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REGION_PIVOT!$T$10:$AF$10</c:f>
              <c:numCache>
                <c:formatCode>_(* #,##0_);_(* \(#,##0\);_(* "-"??_);_(@_)</c:formatCode>
                <c:ptCount val="13"/>
                <c:pt idx="0">
                  <c:v>1037.0799731721438</c:v>
                </c:pt>
                <c:pt idx="1">
                  <c:v>1048.6343369551334</c:v>
                </c:pt>
                <c:pt idx="2">
                  <c:v>1060.7099801187512</c:v>
                </c:pt>
                <c:pt idx="3">
                  <c:v>1072.3030564910189</c:v>
                </c:pt>
                <c:pt idx="4">
                  <c:v>1084.6176221772241</c:v>
                </c:pt>
                <c:pt idx="5">
                  <c:v>1098.1905127748828</c:v>
                </c:pt>
                <c:pt idx="6">
                  <c:v>1114.7344974198313</c:v>
                </c:pt>
                <c:pt idx="7">
                  <c:v>1127.1758898594737</c:v>
                </c:pt>
                <c:pt idx="8">
                  <c:v>1139.2226106617893</c:v>
                </c:pt>
                <c:pt idx="9">
                  <c:v>1146.7322510105575</c:v>
                </c:pt>
                <c:pt idx="10">
                  <c:v>1150.6748990630283</c:v>
                </c:pt>
                <c:pt idx="11">
                  <c:v>1150.4289591809668</c:v>
                </c:pt>
                <c:pt idx="12">
                  <c:v>1145.7095325371276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E6-EA46-952B-B749B5917D3E}"/>
            </c:ext>
          </c:extLst>
        </c:ser>
        <c:ser>
          <c:idx val="4"/>
          <c:order val="4"/>
          <c:tx>
            <c:strRef>
              <c:f>REGION_PIVOT!$S$11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REGION_PIVOT!$T$11:$AF$11</c:f>
              <c:numCache>
                <c:formatCode>_(* #,##0_);_(* \(#,##0\);_(* "-"??_);_(@_)</c:formatCode>
                <c:ptCount val="13"/>
                <c:pt idx="0">
                  <c:v>19.466166647679717</c:v>
                </c:pt>
                <c:pt idx="1">
                  <c:v>19.382729802843002</c:v>
                </c:pt>
                <c:pt idx="2">
                  <c:v>19.352618241186363</c:v>
                </c:pt>
                <c:pt idx="3">
                  <c:v>19.396158597337472</c:v>
                </c:pt>
                <c:pt idx="4">
                  <c:v>19.452383503141427</c:v>
                </c:pt>
                <c:pt idx="5">
                  <c:v>19.670459220097957</c:v>
                </c:pt>
                <c:pt idx="6">
                  <c:v>19.844378180103856</c:v>
                </c:pt>
                <c:pt idx="7">
                  <c:v>20.077056520419376</c:v>
                </c:pt>
                <c:pt idx="8">
                  <c:v>20.261977308801409</c:v>
                </c:pt>
                <c:pt idx="9">
                  <c:v>20.381885302613483</c:v>
                </c:pt>
                <c:pt idx="10">
                  <c:v>20.616988792498837</c:v>
                </c:pt>
                <c:pt idx="11">
                  <c:v>20.9628974684667</c:v>
                </c:pt>
                <c:pt idx="12">
                  <c:v>21.369835681545222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E6-EA46-952B-B749B5917D3E}"/>
            </c:ext>
          </c:extLst>
        </c:ser>
        <c:ser>
          <c:idx val="5"/>
          <c:order val="5"/>
          <c:tx>
            <c:strRef>
              <c:f>REGION_PIVOT!$S$12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REGION_PIVOT!$T$12:$AF$12</c:f>
              <c:numCache>
                <c:formatCode>_(* #,##0_);_(* \(#,##0\);_(* "-"??_);_(@_)</c:formatCode>
                <c:ptCount val="13"/>
                <c:pt idx="0">
                  <c:v>36.259808795243387</c:v>
                </c:pt>
                <c:pt idx="1">
                  <c:v>36.102938697156191</c:v>
                </c:pt>
                <c:pt idx="2">
                  <c:v>35.706000573355666</c:v>
                </c:pt>
                <c:pt idx="3">
                  <c:v>35.565997874177107</c:v>
                </c:pt>
                <c:pt idx="4">
                  <c:v>35.392092096018658</c:v>
                </c:pt>
                <c:pt idx="5">
                  <c:v>35.40545873695774</c:v>
                </c:pt>
                <c:pt idx="6">
                  <c:v>35.244603517753873</c:v>
                </c:pt>
                <c:pt idx="7">
                  <c:v>35.39494480168684</c:v>
                </c:pt>
                <c:pt idx="8">
                  <c:v>35.443115946005015</c:v>
                </c:pt>
                <c:pt idx="9">
                  <c:v>35.465944720934978</c:v>
                </c:pt>
                <c:pt idx="10">
                  <c:v>34.872009971130112</c:v>
                </c:pt>
                <c:pt idx="11">
                  <c:v>34.712924592080761</c:v>
                </c:pt>
                <c:pt idx="12">
                  <c:v>34.300658082249335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AE6-EA46-952B-B749B5917D3E}"/>
            </c:ext>
          </c:extLst>
        </c:ser>
        <c:ser>
          <c:idx val="6"/>
          <c:order val="6"/>
          <c:tx>
            <c:strRef>
              <c:f>REGION_PIVOT!$S$13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REGION_PIVOT!$T$13:$AF$13</c:f>
              <c:numCache>
                <c:formatCode>_(* #,##0_);_(* \(#,##0\);_(* "-"??_);_(@_)</c:formatCode>
                <c:ptCount val="13"/>
                <c:pt idx="0">
                  <c:v>66.546226796897486</c:v>
                </c:pt>
                <c:pt idx="1">
                  <c:v>66.688918836600919</c:v>
                </c:pt>
                <c:pt idx="2">
                  <c:v>66.892943419685665</c:v>
                </c:pt>
                <c:pt idx="3">
                  <c:v>66.992243728017286</c:v>
                </c:pt>
                <c:pt idx="4">
                  <c:v>67.11824664027003</c:v>
                </c:pt>
                <c:pt idx="5">
                  <c:v>67.778301630944981</c:v>
                </c:pt>
                <c:pt idx="6">
                  <c:v>68.477158842942799</c:v>
                </c:pt>
                <c:pt idx="7">
                  <c:v>69.071709008373773</c:v>
                </c:pt>
                <c:pt idx="8">
                  <c:v>69.546097456159742</c:v>
                </c:pt>
                <c:pt idx="9">
                  <c:v>69.879462776987367</c:v>
                </c:pt>
                <c:pt idx="10">
                  <c:v>70.224093258844192</c:v>
                </c:pt>
                <c:pt idx="11">
                  <c:v>70.625049545847119</c:v>
                </c:pt>
                <c:pt idx="12">
                  <c:v>70.671361874522802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AE6-EA46-952B-B749B5917D3E}"/>
            </c:ext>
          </c:extLst>
        </c:ser>
        <c:ser>
          <c:idx val="7"/>
          <c:order val="7"/>
          <c:tx>
            <c:strRef>
              <c:f>REGION_PIVOT!$S$14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REGION_PIVOT!$T$14:$AF$14</c:f>
              <c:numCache>
                <c:formatCode>_(* #,##0_);_(* \(#,##0\);_(* "-"??_);_(@_)</c:formatCode>
                <c:ptCount val="13"/>
                <c:pt idx="0">
                  <c:v>46.573479942557441</c:v>
                </c:pt>
                <c:pt idx="1">
                  <c:v>46.537550422238951</c:v>
                </c:pt>
                <c:pt idx="2">
                  <c:v>46.553769695260115</c:v>
                </c:pt>
                <c:pt idx="3">
                  <c:v>46.613076889742331</c:v>
                </c:pt>
                <c:pt idx="4">
                  <c:v>46.636419430873367</c:v>
                </c:pt>
                <c:pt idx="5">
                  <c:v>46.680966845312213</c:v>
                </c:pt>
                <c:pt idx="6">
                  <c:v>46.653752159374832</c:v>
                </c:pt>
                <c:pt idx="7">
                  <c:v>46.72797647006535</c:v>
                </c:pt>
                <c:pt idx="8">
                  <c:v>46.830691315082596</c:v>
                </c:pt>
                <c:pt idx="9">
                  <c:v>46.826133854623727</c:v>
                </c:pt>
                <c:pt idx="10">
                  <c:v>46.90586453825037</c:v>
                </c:pt>
                <c:pt idx="11">
                  <c:v>47.336591925992046</c:v>
                </c:pt>
                <c:pt idx="12">
                  <c:v>47.282337554124936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AE6-EA46-952B-B749B5917D3E}"/>
            </c:ext>
          </c:extLst>
        </c:ser>
        <c:ser>
          <c:idx val="8"/>
          <c:order val="8"/>
          <c:tx>
            <c:strRef>
              <c:f>REGION_PIVOT!$S$15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REGION_PIVOT!$T$15:$AF$15</c:f>
              <c:numCache>
                <c:formatCode>_(* #,##0_);_(* \(#,##0\);_(* "-"??_);_(@_)</c:formatCode>
                <c:ptCount val="13"/>
                <c:pt idx="0">
                  <c:v>55.43206006474017</c:v>
                </c:pt>
                <c:pt idx="1">
                  <c:v>55.557973329065753</c:v>
                </c:pt>
                <c:pt idx="2">
                  <c:v>55.879840343636275</c:v>
                </c:pt>
                <c:pt idx="3">
                  <c:v>56.371242490928914</c:v>
                </c:pt>
                <c:pt idx="4">
                  <c:v>56.546954512460083</c:v>
                </c:pt>
                <c:pt idx="5">
                  <c:v>57.062477477948008</c:v>
                </c:pt>
                <c:pt idx="6">
                  <c:v>57.680339680214892</c:v>
                </c:pt>
                <c:pt idx="7">
                  <c:v>58.0750024482859</c:v>
                </c:pt>
                <c:pt idx="8">
                  <c:v>58.726662662759431</c:v>
                </c:pt>
                <c:pt idx="9">
                  <c:v>58.77225417783459</c:v>
                </c:pt>
                <c:pt idx="10">
                  <c:v>59.124557199824174</c:v>
                </c:pt>
                <c:pt idx="11">
                  <c:v>59.997741938191439</c:v>
                </c:pt>
                <c:pt idx="12">
                  <c:v>60.689688624065887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AE6-EA46-952B-B749B5917D3E}"/>
            </c:ext>
          </c:extLst>
        </c:ser>
        <c:ser>
          <c:idx val="9"/>
          <c:order val="9"/>
          <c:tx>
            <c:strRef>
              <c:f>REGION_PIVOT!$S$16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REGION_PIVOT!$T$16:$AF$16</c:f>
              <c:numCache>
                <c:formatCode>_(* #,##0_);_(* \(#,##0\);_(* "-"??_);_(@_)</c:formatCode>
                <c:ptCount val="13"/>
                <c:pt idx="0">
                  <c:v>64.5529074340715</c:v>
                </c:pt>
                <c:pt idx="1">
                  <c:v>64.216355813473541</c:v>
                </c:pt>
                <c:pt idx="2">
                  <c:v>64.51945526282887</c:v>
                </c:pt>
                <c:pt idx="3">
                  <c:v>64.562959786266362</c:v>
                </c:pt>
                <c:pt idx="4">
                  <c:v>64.418539914997041</c:v>
                </c:pt>
                <c:pt idx="5">
                  <c:v>64.620211120490552</c:v>
                </c:pt>
                <c:pt idx="6">
                  <c:v>65.599354782470144</c:v>
                </c:pt>
                <c:pt idx="7">
                  <c:v>66.003301374989945</c:v>
                </c:pt>
                <c:pt idx="8">
                  <c:v>66.613612124355299</c:v>
                </c:pt>
                <c:pt idx="9">
                  <c:v>67.308247627759272</c:v>
                </c:pt>
                <c:pt idx="10">
                  <c:v>67.208078095665712</c:v>
                </c:pt>
                <c:pt idx="11">
                  <c:v>68.128057772534618</c:v>
                </c:pt>
                <c:pt idx="12">
                  <c:v>68.538981049038341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AE6-EA46-952B-B749B5917D3E}"/>
            </c:ext>
          </c:extLst>
        </c:ser>
        <c:ser>
          <c:idx val="10"/>
          <c:order val="10"/>
          <c:tx>
            <c:strRef>
              <c:f>REGION_PIVOT!$S$17</c:f>
              <c:strCache>
                <c:ptCount val="1"/>
                <c:pt idx="0">
                  <c:v>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REGION_PIVOT!$T$17:$AF$17</c:f>
              <c:numCache>
                <c:formatCode>_(* #,##0_);_(* \(#,##0\);_(* "-"??_);_(@_)</c:formatCode>
                <c:ptCount val="13"/>
                <c:pt idx="0">
                  <c:v>77.841245278340821</c:v>
                </c:pt>
                <c:pt idx="1">
                  <c:v>78.102432015239259</c:v>
                </c:pt>
                <c:pt idx="2">
                  <c:v>78.132060522078319</c:v>
                </c:pt>
                <c:pt idx="3">
                  <c:v>78.264995271058723</c:v>
                </c:pt>
                <c:pt idx="4">
                  <c:v>78.323758714902823</c:v>
                </c:pt>
                <c:pt idx="5">
                  <c:v>78.78255992029186</c:v>
                </c:pt>
                <c:pt idx="6">
                  <c:v>79.578132684287382</c:v>
                </c:pt>
                <c:pt idx="7">
                  <c:v>80.421728552270352</c:v>
                </c:pt>
                <c:pt idx="8">
                  <c:v>81.377730937156599</c:v>
                </c:pt>
                <c:pt idx="9">
                  <c:v>82.04625328872703</c:v>
                </c:pt>
                <c:pt idx="10">
                  <c:v>82.836799628532731</c:v>
                </c:pt>
                <c:pt idx="11">
                  <c:v>83.443050149073187</c:v>
                </c:pt>
                <c:pt idx="12">
                  <c:v>83.825155372363056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AE6-EA46-952B-B749B5917D3E}"/>
            </c:ext>
          </c:extLst>
        </c:ser>
        <c:ser>
          <c:idx val="11"/>
          <c:order val="11"/>
          <c:tx>
            <c:strRef>
              <c:f>REGION_PIVOT!$S$18</c:f>
              <c:strCache>
                <c:ptCount val="1"/>
                <c:pt idx="0">
                  <c:v>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REGION_PIVOT!$T$18:$AF$18</c:f>
              <c:numCache>
                <c:formatCode>_(* #,##0_);_(* \(#,##0\);_(* "-"??_);_(@_)</c:formatCode>
                <c:ptCount val="13"/>
                <c:pt idx="0">
                  <c:v>102.41759630459023</c:v>
                </c:pt>
                <c:pt idx="1">
                  <c:v>102.47302192585002</c:v>
                </c:pt>
                <c:pt idx="2">
                  <c:v>103.09965000177654</c:v>
                </c:pt>
                <c:pt idx="3">
                  <c:v>104.06182765088766</c:v>
                </c:pt>
                <c:pt idx="4">
                  <c:v>105.36676803009713</c:v>
                </c:pt>
                <c:pt idx="5">
                  <c:v>107.03865368204686</c:v>
                </c:pt>
                <c:pt idx="6">
                  <c:v>108.1109529851669</c:v>
                </c:pt>
                <c:pt idx="7">
                  <c:v>109.04529121249578</c:v>
                </c:pt>
                <c:pt idx="8">
                  <c:v>109.31600744772612</c:v>
                </c:pt>
                <c:pt idx="9">
                  <c:v>109.66841792236696</c:v>
                </c:pt>
                <c:pt idx="10">
                  <c:v>109.97514214026759</c:v>
                </c:pt>
                <c:pt idx="11">
                  <c:v>110.06930387451482</c:v>
                </c:pt>
                <c:pt idx="12">
                  <c:v>108.5330239856354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AE6-EA46-952B-B749B5917D3E}"/>
            </c:ext>
          </c:extLst>
        </c:ser>
        <c:ser>
          <c:idx val="12"/>
          <c:order val="12"/>
          <c:tx>
            <c:strRef>
              <c:f>REGION_PIVOT!$S$19</c:f>
              <c:strCache>
                <c:ptCount val="1"/>
                <c:pt idx="0">
                  <c:v>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REGION_PIVOT!$T$19:$AF$19</c:f>
              <c:numCache>
                <c:formatCode>_(* #,##0_);_(* \(#,##0\);_(* "-"??_);_(@_)</c:formatCode>
                <c:ptCount val="13"/>
                <c:pt idx="0">
                  <c:v>72.875710477640737</c:v>
                </c:pt>
                <c:pt idx="1">
                  <c:v>73.111573596961492</c:v>
                </c:pt>
                <c:pt idx="2">
                  <c:v>72.885189692231819</c:v>
                </c:pt>
                <c:pt idx="3">
                  <c:v>72.955772721774011</c:v>
                </c:pt>
                <c:pt idx="4">
                  <c:v>73.023398073373613</c:v>
                </c:pt>
                <c:pt idx="5">
                  <c:v>73.35964401655481</c:v>
                </c:pt>
                <c:pt idx="6">
                  <c:v>74.077290989155969</c:v>
                </c:pt>
                <c:pt idx="7">
                  <c:v>75.03622436529578</c:v>
                </c:pt>
                <c:pt idx="8">
                  <c:v>75.611352300232227</c:v>
                </c:pt>
                <c:pt idx="9">
                  <c:v>76.659936262567527</c:v>
                </c:pt>
                <c:pt idx="10">
                  <c:v>76.800438256382975</c:v>
                </c:pt>
                <c:pt idx="11">
                  <c:v>77.727319086795063</c:v>
                </c:pt>
                <c:pt idx="12">
                  <c:v>78.675443562841991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AE6-EA46-952B-B749B5917D3E}"/>
            </c:ext>
          </c:extLst>
        </c:ser>
        <c:ser>
          <c:idx val="13"/>
          <c:order val="13"/>
          <c:tx>
            <c:strRef>
              <c:f>REGION_PIVOT!$S$20</c:f>
              <c:strCache>
                <c:ptCount val="1"/>
                <c:pt idx="0">
                  <c:v>14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REGION_PIVOT!$T$20:$AF$20</c:f>
              <c:numCache>
                <c:formatCode>_(* #,##0_);_(* \(#,##0\);_(* "-"??_);_(@_)</c:formatCode>
                <c:ptCount val="13"/>
                <c:pt idx="0">
                  <c:v>7.4070713512048805</c:v>
                </c:pt>
                <c:pt idx="1">
                  <c:v>7.3999402683209379</c:v>
                </c:pt>
                <c:pt idx="2">
                  <c:v>7.3926001906597962</c:v>
                </c:pt>
                <c:pt idx="3">
                  <c:v>7.3842146339034764</c:v>
                </c:pt>
                <c:pt idx="4">
                  <c:v>7.3680816193244727</c:v>
                </c:pt>
                <c:pt idx="5">
                  <c:v>7.3532040890362138</c:v>
                </c:pt>
                <c:pt idx="6">
                  <c:v>7.3435595115248642</c:v>
                </c:pt>
                <c:pt idx="7">
                  <c:v>7.3349619287362442</c:v>
                </c:pt>
                <c:pt idx="8">
                  <c:v>7.3297138196838265</c:v>
                </c:pt>
                <c:pt idx="9">
                  <c:v>7.324256715854208</c:v>
                </c:pt>
                <c:pt idx="10">
                  <c:v>7.3244384293354923</c:v>
                </c:pt>
                <c:pt idx="11">
                  <c:v>7.3654423276103476</c:v>
                </c:pt>
                <c:pt idx="12">
                  <c:v>7.4564960090540922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AE6-EA46-952B-B749B5917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402672"/>
        <c:axId val="562366448"/>
      </c:lineChart>
      <c:catAx>
        <c:axId val="562402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366448"/>
        <c:crosses val="autoZero"/>
        <c:auto val="1"/>
        <c:lblAlgn val="ctr"/>
        <c:lblOffset val="100"/>
        <c:noMultiLvlLbl val="0"/>
      </c:catAx>
      <c:valAx>
        <c:axId val="56236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40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REGION_PIVOT!$S$26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REGION_PIVOT!$T$26:$AF$26</c:f>
              <c:numCache>
                <c:formatCode>_(* #,##0_);_(* \(#,##0\);_(* "-"??_);_(@_)</c:formatCode>
                <c:ptCount val="13"/>
                <c:pt idx="0">
                  <c:v>29122</c:v>
                </c:pt>
                <c:pt idx="1">
                  <c:v>29172</c:v>
                </c:pt>
                <c:pt idx="2">
                  <c:v>29229</c:v>
                </c:pt>
                <c:pt idx="3">
                  <c:v>29303</c:v>
                </c:pt>
                <c:pt idx="4">
                  <c:v>29383</c:v>
                </c:pt>
                <c:pt idx="5">
                  <c:v>29493</c:v>
                </c:pt>
                <c:pt idx="6">
                  <c:v>29568</c:v>
                </c:pt>
                <c:pt idx="7">
                  <c:v>29638</c:v>
                </c:pt>
                <c:pt idx="8">
                  <c:v>29781</c:v>
                </c:pt>
                <c:pt idx="9">
                  <c:v>29990</c:v>
                </c:pt>
                <c:pt idx="10">
                  <c:v>30150</c:v>
                </c:pt>
                <c:pt idx="11">
                  <c:v>30305</c:v>
                </c:pt>
                <c:pt idx="12">
                  <c:v>30560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D8-1E4A-A7A6-D23982D69D87}"/>
            </c:ext>
          </c:extLst>
        </c:ser>
        <c:ser>
          <c:idx val="1"/>
          <c:order val="1"/>
          <c:tx>
            <c:strRef>
              <c:f>REGION_PIVOT!$S$27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REGION_PIVOT!$T$27:$AF$27</c:f>
              <c:numCache>
                <c:formatCode>_(* #,##0_);_(* \(#,##0\);_(* "-"??_);_(@_)</c:formatCode>
                <c:ptCount val="13"/>
                <c:pt idx="0">
                  <c:v>229711</c:v>
                </c:pt>
                <c:pt idx="1">
                  <c:v>231927</c:v>
                </c:pt>
                <c:pt idx="2">
                  <c:v>234380</c:v>
                </c:pt>
                <c:pt idx="3">
                  <c:v>237824</c:v>
                </c:pt>
                <c:pt idx="4">
                  <c:v>242034</c:v>
                </c:pt>
                <c:pt idx="5">
                  <c:v>247119</c:v>
                </c:pt>
                <c:pt idx="6">
                  <c:v>252440</c:v>
                </c:pt>
                <c:pt idx="7">
                  <c:v>259283</c:v>
                </c:pt>
                <c:pt idx="8">
                  <c:v>266003</c:v>
                </c:pt>
                <c:pt idx="9">
                  <c:v>273682</c:v>
                </c:pt>
                <c:pt idx="10">
                  <c:v>280355</c:v>
                </c:pt>
                <c:pt idx="11">
                  <c:v>287033</c:v>
                </c:pt>
                <c:pt idx="12">
                  <c:v>295314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D8-1E4A-A7A6-D23982D69D87}"/>
            </c:ext>
          </c:extLst>
        </c:ser>
        <c:ser>
          <c:idx val="2"/>
          <c:order val="2"/>
          <c:tx>
            <c:strRef>
              <c:f>REGION_PIVOT!$S$28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REGION_PIVOT!$T$28:$AF$28</c:f>
              <c:numCache>
                <c:formatCode>_(* #,##0_);_(* \(#,##0\);_(* "-"??_);_(@_)</c:formatCode>
                <c:ptCount val="13"/>
                <c:pt idx="0">
                  <c:v>955926</c:v>
                </c:pt>
                <c:pt idx="1">
                  <c:v>961340</c:v>
                </c:pt>
                <c:pt idx="2">
                  <c:v>967223</c:v>
                </c:pt>
                <c:pt idx="3">
                  <c:v>980761</c:v>
                </c:pt>
                <c:pt idx="4">
                  <c:v>996405</c:v>
                </c:pt>
                <c:pt idx="5">
                  <c:v>1011790</c:v>
                </c:pt>
                <c:pt idx="6">
                  <c:v>1027740</c:v>
                </c:pt>
                <c:pt idx="7">
                  <c:v>1048165</c:v>
                </c:pt>
                <c:pt idx="8">
                  <c:v>1072231</c:v>
                </c:pt>
                <c:pt idx="9">
                  <c:v>1094623</c:v>
                </c:pt>
                <c:pt idx="10">
                  <c:v>1116013</c:v>
                </c:pt>
                <c:pt idx="11">
                  <c:v>1135106</c:v>
                </c:pt>
                <c:pt idx="12">
                  <c:v>1161763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D8-1E4A-A7A6-D23982D69D87}"/>
            </c:ext>
          </c:extLst>
        </c:ser>
        <c:ser>
          <c:idx val="3"/>
          <c:order val="3"/>
          <c:tx>
            <c:strRef>
              <c:f>REGION_PIVOT!$S$29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REGION_PIVOT!$T$29:$AF$29</c:f>
              <c:numCache>
                <c:formatCode>_(* #,##0_);_(* \(#,##0\);_(* "-"??_);_(@_)</c:formatCode>
                <c:ptCount val="13"/>
                <c:pt idx="0">
                  <c:v>510346</c:v>
                </c:pt>
                <c:pt idx="1">
                  <c:v>512995</c:v>
                </c:pt>
                <c:pt idx="2">
                  <c:v>516486</c:v>
                </c:pt>
                <c:pt idx="3">
                  <c:v>520899</c:v>
                </c:pt>
                <c:pt idx="4">
                  <c:v>526226</c:v>
                </c:pt>
                <c:pt idx="5">
                  <c:v>532837</c:v>
                </c:pt>
                <c:pt idx="6">
                  <c:v>538380</c:v>
                </c:pt>
                <c:pt idx="7">
                  <c:v>545153</c:v>
                </c:pt>
                <c:pt idx="8">
                  <c:v>551434</c:v>
                </c:pt>
                <c:pt idx="9">
                  <c:v>558459</c:v>
                </c:pt>
                <c:pt idx="10">
                  <c:v>564807</c:v>
                </c:pt>
                <c:pt idx="11">
                  <c:v>574426</c:v>
                </c:pt>
                <c:pt idx="12">
                  <c:v>586730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D8-1E4A-A7A6-D23982D69D87}"/>
            </c:ext>
          </c:extLst>
        </c:ser>
        <c:ser>
          <c:idx val="4"/>
          <c:order val="4"/>
          <c:tx>
            <c:strRef>
              <c:f>REGION_PIVOT!$S$30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REGION_PIVOT!$T$30:$AF$30</c:f>
              <c:numCache>
                <c:formatCode>_(* #,##0_);_(* \(#,##0\);_(* "-"??_);_(@_)</c:formatCode>
                <c:ptCount val="13"/>
                <c:pt idx="0">
                  <c:v>15436</c:v>
                </c:pt>
                <c:pt idx="1">
                  <c:v>15447</c:v>
                </c:pt>
                <c:pt idx="2">
                  <c:v>15454</c:v>
                </c:pt>
                <c:pt idx="3">
                  <c:v>15492</c:v>
                </c:pt>
                <c:pt idx="4">
                  <c:v>15574</c:v>
                </c:pt>
                <c:pt idx="5">
                  <c:v>15672</c:v>
                </c:pt>
                <c:pt idx="6">
                  <c:v>15815</c:v>
                </c:pt>
                <c:pt idx="7">
                  <c:v>15920</c:v>
                </c:pt>
                <c:pt idx="8">
                  <c:v>16102</c:v>
                </c:pt>
                <c:pt idx="9">
                  <c:v>16335</c:v>
                </c:pt>
                <c:pt idx="10">
                  <c:v>16558</c:v>
                </c:pt>
                <c:pt idx="11">
                  <c:v>16874</c:v>
                </c:pt>
                <c:pt idx="12">
                  <c:v>17314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D8-1E4A-A7A6-D23982D69D87}"/>
            </c:ext>
          </c:extLst>
        </c:ser>
        <c:ser>
          <c:idx val="5"/>
          <c:order val="5"/>
          <c:tx>
            <c:strRef>
              <c:f>REGION_PIVOT!$S$31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REGION_PIVOT!$T$31:$AF$31</c:f>
              <c:numCache>
                <c:formatCode>_(* #,##0_);_(* \(#,##0\);_(* "-"??_);_(@_)</c:formatCode>
                <c:ptCount val="13"/>
                <c:pt idx="0">
                  <c:v>20382</c:v>
                </c:pt>
                <c:pt idx="1">
                  <c:v>20404</c:v>
                </c:pt>
                <c:pt idx="2">
                  <c:v>20420</c:v>
                </c:pt>
                <c:pt idx="3">
                  <c:v>20433</c:v>
                </c:pt>
                <c:pt idx="4">
                  <c:v>20451</c:v>
                </c:pt>
                <c:pt idx="5">
                  <c:v>20453</c:v>
                </c:pt>
                <c:pt idx="6">
                  <c:v>20471</c:v>
                </c:pt>
                <c:pt idx="7">
                  <c:v>20485</c:v>
                </c:pt>
                <c:pt idx="8">
                  <c:v>20483</c:v>
                </c:pt>
                <c:pt idx="9">
                  <c:v>20487</c:v>
                </c:pt>
                <c:pt idx="10">
                  <c:v>20512</c:v>
                </c:pt>
                <c:pt idx="11">
                  <c:v>20572</c:v>
                </c:pt>
                <c:pt idx="12">
                  <c:v>20647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FD8-1E4A-A7A6-D23982D69D87}"/>
            </c:ext>
          </c:extLst>
        </c:ser>
        <c:ser>
          <c:idx val="6"/>
          <c:order val="6"/>
          <c:tx>
            <c:strRef>
              <c:f>REGION_PIVOT!$S$32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REGION_PIVOT!$T$32:$AF$32</c:f>
              <c:numCache>
                <c:formatCode>_(* #,##0_);_(* \(#,##0\);_(* "-"??_);_(@_)</c:formatCode>
                <c:ptCount val="13"/>
                <c:pt idx="0">
                  <c:v>69614</c:v>
                </c:pt>
                <c:pt idx="1">
                  <c:v>69825</c:v>
                </c:pt>
                <c:pt idx="2">
                  <c:v>69927</c:v>
                </c:pt>
                <c:pt idx="3">
                  <c:v>70176</c:v>
                </c:pt>
                <c:pt idx="4">
                  <c:v>70410</c:v>
                </c:pt>
                <c:pt idx="5">
                  <c:v>70455</c:v>
                </c:pt>
                <c:pt idx="6">
                  <c:v>70696</c:v>
                </c:pt>
                <c:pt idx="7">
                  <c:v>70831</c:v>
                </c:pt>
                <c:pt idx="8">
                  <c:v>71066</c:v>
                </c:pt>
                <c:pt idx="9">
                  <c:v>71576</c:v>
                </c:pt>
                <c:pt idx="10">
                  <c:v>72144</c:v>
                </c:pt>
                <c:pt idx="11">
                  <c:v>73047</c:v>
                </c:pt>
                <c:pt idx="12">
                  <c:v>73971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FD8-1E4A-A7A6-D23982D69D87}"/>
            </c:ext>
          </c:extLst>
        </c:ser>
        <c:ser>
          <c:idx val="7"/>
          <c:order val="7"/>
          <c:tx>
            <c:strRef>
              <c:f>REGION_PIVOT!$S$33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REGION_PIVOT!$T$33:$AF$33</c:f>
              <c:numCache>
                <c:formatCode>_(* #,##0_);_(* \(#,##0\);_(* "-"??_);_(@_)</c:formatCode>
                <c:ptCount val="13"/>
                <c:pt idx="0">
                  <c:v>23206</c:v>
                </c:pt>
                <c:pt idx="1">
                  <c:v>23389</c:v>
                </c:pt>
                <c:pt idx="2">
                  <c:v>23511</c:v>
                </c:pt>
                <c:pt idx="3">
                  <c:v>23671</c:v>
                </c:pt>
                <c:pt idx="4">
                  <c:v>23795</c:v>
                </c:pt>
                <c:pt idx="5">
                  <c:v>23929</c:v>
                </c:pt>
                <c:pt idx="6">
                  <c:v>24042</c:v>
                </c:pt>
                <c:pt idx="7">
                  <c:v>24211</c:v>
                </c:pt>
                <c:pt idx="8">
                  <c:v>24476</c:v>
                </c:pt>
                <c:pt idx="9">
                  <c:v>24763</c:v>
                </c:pt>
                <c:pt idx="10">
                  <c:v>25019</c:v>
                </c:pt>
                <c:pt idx="11">
                  <c:v>25290</c:v>
                </c:pt>
                <c:pt idx="12">
                  <c:v>25611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FD8-1E4A-A7A6-D23982D69D87}"/>
            </c:ext>
          </c:extLst>
        </c:ser>
        <c:ser>
          <c:idx val="8"/>
          <c:order val="8"/>
          <c:tx>
            <c:strRef>
              <c:f>REGION_PIVOT!$S$34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REGION_PIVOT!$T$34:$AF$34</c:f>
              <c:numCache>
                <c:formatCode>_(* #,##0_);_(* \(#,##0\);_(* "-"??_);_(@_)</c:formatCode>
                <c:ptCount val="13"/>
                <c:pt idx="0">
                  <c:v>48403</c:v>
                </c:pt>
                <c:pt idx="1">
                  <c:v>48623</c:v>
                </c:pt>
                <c:pt idx="2">
                  <c:v>48809</c:v>
                </c:pt>
                <c:pt idx="3">
                  <c:v>48995</c:v>
                </c:pt>
                <c:pt idx="4">
                  <c:v>49288</c:v>
                </c:pt>
                <c:pt idx="5">
                  <c:v>49634</c:v>
                </c:pt>
                <c:pt idx="6">
                  <c:v>50042</c:v>
                </c:pt>
                <c:pt idx="7">
                  <c:v>50409</c:v>
                </c:pt>
                <c:pt idx="8">
                  <c:v>51164</c:v>
                </c:pt>
                <c:pt idx="9">
                  <c:v>51711</c:v>
                </c:pt>
                <c:pt idx="10">
                  <c:v>52226</c:v>
                </c:pt>
                <c:pt idx="11">
                  <c:v>52673</c:v>
                </c:pt>
                <c:pt idx="12">
                  <c:v>53335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FD8-1E4A-A7A6-D23982D69D87}"/>
            </c:ext>
          </c:extLst>
        </c:ser>
        <c:ser>
          <c:idx val="9"/>
          <c:order val="9"/>
          <c:tx>
            <c:strRef>
              <c:f>REGION_PIVOT!$S$35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REGION_PIVOT!$T$35:$AF$35</c:f>
              <c:numCache>
                <c:formatCode>_(* #,##0_);_(* \(#,##0\);_(* "-"??_);_(@_)</c:formatCode>
                <c:ptCount val="13"/>
                <c:pt idx="0">
                  <c:v>53731</c:v>
                </c:pt>
                <c:pt idx="1">
                  <c:v>53902</c:v>
                </c:pt>
                <c:pt idx="2">
                  <c:v>54069</c:v>
                </c:pt>
                <c:pt idx="3">
                  <c:v>54196</c:v>
                </c:pt>
                <c:pt idx="4">
                  <c:v>54380</c:v>
                </c:pt>
                <c:pt idx="5">
                  <c:v>54668</c:v>
                </c:pt>
                <c:pt idx="6">
                  <c:v>54904</c:v>
                </c:pt>
                <c:pt idx="7">
                  <c:v>55269</c:v>
                </c:pt>
                <c:pt idx="8">
                  <c:v>55854</c:v>
                </c:pt>
                <c:pt idx="9">
                  <c:v>56467</c:v>
                </c:pt>
                <c:pt idx="10">
                  <c:v>57265</c:v>
                </c:pt>
                <c:pt idx="11">
                  <c:v>57944</c:v>
                </c:pt>
                <c:pt idx="12">
                  <c:v>59014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FD8-1E4A-A7A6-D23982D69D87}"/>
            </c:ext>
          </c:extLst>
        </c:ser>
        <c:ser>
          <c:idx val="10"/>
          <c:order val="10"/>
          <c:tx>
            <c:strRef>
              <c:f>REGION_PIVOT!$S$36</c:f>
              <c:strCache>
                <c:ptCount val="1"/>
                <c:pt idx="0">
                  <c:v>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REGION_PIVOT!$T$36:$AF$36</c:f>
              <c:numCache>
                <c:formatCode>_(* #,##0_);_(* \(#,##0\);_(* "-"??_);_(@_)</c:formatCode>
                <c:ptCount val="13"/>
                <c:pt idx="0">
                  <c:v>110611</c:v>
                </c:pt>
                <c:pt idx="1">
                  <c:v>110970</c:v>
                </c:pt>
                <c:pt idx="2">
                  <c:v>111257</c:v>
                </c:pt>
                <c:pt idx="3">
                  <c:v>111727</c:v>
                </c:pt>
                <c:pt idx="4">
                  <c:v>112173</c:v>
                </c:pt>
                <c:pt idx="5">
                  <c:v>112812</c:v>
                </c:pt>
                <c:pt idx="6">
                  <c:v>113346</c:v>
                </c:pt>
                <c:pt idx="7">
                  <c:v>114117</c:v>
                </c:pt>
                <c:pt idx="8">
                  <c:v>115047</c:v>
                </c:pt>
                <c:pt idx="9">
                  <c:v>116188</c:v>
                </c:pt>
                <c:pt idx="10">
                  <c:v>117805</c:v>
                </c:pt>
                <c:pt idx="11">
                  <c:v>119447</c:v>
                </c:pt>
                <c:pt idx="12">
                  <c:v>121622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FD8-1E4A-A7A6-D23982D69D87}"/>
            </c:ext>
          </c:extLst>
        </c:ser>
        <c:ser>
          <c:idx val="11"/>
          <c:order val="11"/>
          <c:tx>
            <c:strRef>
              <c:f>REGION_PIVOT!$S$37</c:f>
              <c:strCache>
                <c:ptCount val="1"/>
                <c:pt idx="0">
                  <c:v>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REGION_PIVOT!$T$37:$AF$37</c:f>
              <c:numCache>
                <c:formatCode>_(* #,##0_);_(* \(#,##0\);_(* "-"??_);_(@_)</c:formatCode>
                <c:ptCount val="13"/>
                <c:pt idx="0">
                  <c:v>89695</c:v>
                </c:pt>
                <c:pt idx="1">
                  <c:v>89937</c:v>
                </c:pt>
                <c:pt idx="2">
                  <c:v>90193</c:v>
                </c:pt>
                <c:pt idx="3">
                  <c:v>90422</c:v>
                </c:pt>
                <c:pt idx="4">
                  <c:v>90786</c:v>
                </c:pt>
                <c:pt idx="5">
                  <c:v>91260</c:v>
                </c:pt>
                <c:pt idx="6">
                  <c:v>91674</c:v>
                </c:pt>
                <c:pt idx="7">
                  <c:v>92526</c:v>
                </c:pt>
                <c:pt idx="8">
                  <c:v>93345</c:v>
                </c:pt>
                <c:pt idx="9">
                  <c:v>94527</c:v>
                </c:pt>
                <c:pt idx="10">
                  <c:v>95774</c:v>
                </c:pt>
                <c:pt idx="11">
                  <c:v>96568</c:v>
                </c:pt>
                <c:pt idx="12">
                  <c:v>98468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FD8-1E4A-A7A6-D23982D69D87}"/>
            </c:ext>
          </c:extLst>
        </c:ser>
        <c:ser>
          <c:idx val="12"/>
          <c:order val="12"/>
          <c:tx>
            <c:strRef>
              <c:f>REGION_PIVOT!$S$38</c:f>
              <c:strCache>
                <c:ptCount val="1"/>
                <c:pt idx="0">
                  <c:v>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REGION_PIVOT!$T$38:$AF$38</c:f>
              <c:numCache>
                <c:formatCode>_(* #,##0_);_(* \(#,##0\);_(* "-"??_);_(@_)</c:formatCode>
                <c:ptCount val="13"/>
                <c:pt idx="0">
                  <c:v>37342</c:v>
                </c:pt>
                <c:pt idx="1">
                  <c:v>37522</c:v>
                </c:pt>
                <c:pt idx="2">
                  <c:v>37633</c:v>
                </c:pt>
                <c:pt idx="3">
                  <c:v>37757</c:v>
                </c:pt>
                <c:pt idx="4">
                  <c:v>37842</c:v>
                </c:pt>
                <c:pt idx="5">
                  <c:v>38006</c:v>
                </c:pt>
                <c:pt idx="6">
                  <c:v>38215</c:v>
                </c:pt>
                <c:pt idx="7">
                  <c:v>38576</c:v>
                </c:pt>
                <c:pt idx="8">
                  <c:v>38987</c:v>
                </c:pt>
                <c:pt idx="9">
                  <c:v>39330</c:v>
                </c:pt>
                <c:pt idx="10">
                  <c:v>39775</c:v>
                </c:pt>
                <c:pt idx="11">
                  <c:v>40404</c:v>
                </c:pt>
                <c:pt idx="12">
                  <c:v>41435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FD8-1E4A-A7A6-D23982D69D87}"/>
            </c:ext>
          </c:extLst>
        </c:ser>
        <c:ser>
          <c:idx val="13"/>
          <c:order val="13"/>
          <c:tx>
            <c:strRef>
              <c:f>REGION_PIVOT!$S$39</c:f>
              <c:strCache>
                <c:ptCount val="1"/>
                <c:pt idx="0">
                  <c:v>14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REGION_PIVOT!$T$39:$AF$39</c:f>
              <c:numCache>
                <c:formatCode>_(* #,##0_);_(* \(#,##0\);_(* "-"??_);_(@_)</c:formatCode>
                <c:ptCount val="13"/>
                <c:pt idx="0">
                  <c:v>12093</c:v>
                </c:pt>
                <c:pt idx="1">
                  <c:v>12186</c:v>
                </c:pt>
                <c:pt idx="2">
                  <c:v>12291</c:v>
                </c:pt>
                <c:pt idx="3">
                  <c:v>12438</c:v>
                </c:pt>
                <c:pt idx="4">
                  <c:v>12484</c:v>
                </c:pt>
                <c:pt idx="5">
                  <c:v>12502</c:v>
                </c:pt>
                <c:pt idx="6">
                  <c:v>12533</c:v>
                </c:pt>
                <c:pt idx="7">
                  <c:v>12569</c:v>
                </c:pt>
                <c:pt idx="8">
                  <c:v>12626</c:v>
                </c:pt>
                <c:pt idx="9">
                  <c:v>12701</c:v>
                </c:pt>
                <c:pt idx="10">
                  <c:v>12775</c:v>
                </c:pt>
                <c:pt idx="11">
                  <c:v>12816</c:v>
                </c:pt>
                <c:pt idx="12">
                  <c:v>12902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FD8-1E4A-A7A6-D23982D69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402672"/>
        <c:axId val="562366448"/>
      </c:lineChart>
      <c:catAx>
        <c:axId val="562402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366448"/>
        <c:crosses val="autoZero"/>
        <c:auto val="1"/>
        <c:lblAlgn val="ctr"/>
        <c:lblOffset val="100"/>
        <c:noMultiLvlLbl val="0"/>
      </c:catAx>
      <c:valAx>
        <c:axId val="56236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40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Large County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PLOTS!$D$3:$D$5</c:f>
              <c:numCache>
                <c:formatCode>0.00</c:formatCode>
                <c:ptCount val="3"/>
                <c:pt idx="0">
                  <c:v>-0.18873227394953571</c:v>
                </c:pt>
                <c:pt idx="1">
                  <c:v>-0.18357867541143846</c:v>
                </c:pt>
                <c:pt idx="2">
                  <c:v>0.220694133989326</c:v>
                </c:pt>
              </c:numCache>
            </c:numRef>
          </c:xVal>
          <c:yVal>
            <c:numRef>
              <c:f>PLOTS!$H$3:$H$5</c:f>
              <c:numCache>
                <c:formatCode>0.00</c:formatCode>
                <c:ptCount val="3"/>
                <c:pt idx="0">
                  <c:v>0.17380413143503393</c:v>
                </c:pt>
                <c:pt idx="1">
                  <c:v>1.0400644114162461</c:v>
                </c:pt>
                <c:pt idx="2">
                  <c:v>1.1713415025153684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B5-8541-B4F6-52B355FC873F}"/>
            </c:ext>
          </c:extLst>
        </c:ser>
        <c:ser>
          <c:idx val="1"/>
          <c:order val="1"/>
          <c:tx>
            <c:v>Medium County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PLOTS!$D$6:$D$10</c:f>
              <c:numCache>
                <c:formatCode>0.00</c:formatCode>
                <c:ptCount val="5"/>
                <c:pt idx="0">
                  <c:v>0.2342507626087364</c:v>
                </c:pt>
                <c:pt idx="1">
                  <c:v>1.3720255533543821</c:v>
                </c:pt>
                <c:pt idx="2">
                  <c:v>-0.54006012896784239</c:v>
                </c:pt>
                <c:pt idx="3">
                  <c:v>0.39352279341554691</c:v>
                </c:pt>
                <c:pt idx="4">
                  <c:v>1.7287361846770255</c:v>
                </c:pt>
              </c:numCache>
            </c:numRef>
          </c:xVal>
          <c:yVal>
            <c:numRef>
              <c:f>PLOTS!$H$6:$H$10</c:f>
              <c:numCache>
                <c:formatCode>0.00</c:formatCode>
                <c:ptCount val="5"/>
                <c:pt idx="0">
                  <c:v>1.2116055992001791</c:v>
                </c:pt>
                <c:pt idx="1">
                  <c:v>2.2858346961322678</c:v>
                </c:pt>
                <c:pt idx="2">
                  <c:v>-0.25792231776273122</c:v>
                </c:pt>
                <c:pt idx="3">
                  <c:v>0.70762765049419418</c:v>
                </c:pt>
                <c:pt idx="4">
                  <c:v>2.5742216368251265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B5-8541-B4F6-52B355FC873F}"/>
            </c:ext>
          </c:extLst>
        </c:ser>
        <c:ser>
          <c:idx val="2"/>
          <c:order val="2"/>
          <c:tx>
            <c:v>Small County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PLOTS!$D$11:$D$28</c:f>
              <c:numCache>
                <c:formatCode>0.00</c:formatCode>
                <c:ptCount val="18"/>
                <c:pt idx="0">
                  <c:v>-0.36854154027278119</c:v>
                </c:pt>
                <c:pt idx="1">
                  <c:v>0.85439525316924225</c:v>
                </c:pt>
                <c:pt idx="2">
                  <c:v>0.78414878587188586</c:v>
                </c:pt>
                <c:pt idx="3">
                  <c:v>-6.6328351652898687E-3</c:v>
                </c:pt>
                <c:pt idx="4">
                  <c:v>-6.1588632045765222E-2</c:v>
                </c:pt>
                <c:pt idx="5">
                  <c:v>1.6725142785313971</c:v>
                </c:pt>
                <c:pt idx="6">
                  <c:v>0.31114523825570367</c:v>
                </c:pt>
                <c:pt idx="7">
                  <c:v>0.39244476807753093</c:v>
                </c:pt>
                <c:pt idx="8">
                  <c:v>0.17689862830313974</c:v>
                </c:pt>
                <c:pt idx="9">
                  <c:v>-1.0458520614483018</c:v>
                </c:pt>
                <c:pt idx="10">
                  <c:v>0.25177745644570182</c:v>
                </c:pt>
                <c:pt idx="11">
                  <c:v>0.40175606447157791</c:v>
                </c:pt>
                <c:pt idx="12">
                  <c:v>0.44941796667034467</c:v>
                </c:pt>
                <c:pt idx="13">
                  <c:v>-0.13283133784926418</c:v>
                </c:pt>
                <c:pt idx="14">
                  <c:v>-6.8039729869746044E-4</c:v>
                </c:pt>
                <c:pt idx="15">
                  <c:v>0.21910517938839175</c:v>
                </c:pt>
                <c:pt idx="16">
                  <c:v>-0.73340345003252738</c:v>
                </c:pt>
                <c:pt idx="17">
                  <c:v>-0.1020678290769009</c:v>
                </c:pt>
              </c:numCache>
            </c:numRef>
          </c:xVal>
          <c:yVal>
            <c:numRef>
              <c:f>PLOTS!$H$11:$H$28</c:f>
              <c:numCache>
                <c:formatCode>0.00</c:formatCode>
                <c:ptCount val="18"/>
                <c:pt idx="0">
                  <c:v>-0.19760146590037689</c:v>
                </c:pt>
                <c:pt idx="1">
                  <c:v>1.7684280933879071</c:v>
                </c:pt>
                <c:pt idx="2">
                  <c:v>2.3273321176734951</c:v>
                </c:pt>
                <c:pt idx="3">
                  <c:v>-0.50569368824193017</c:v>
                </c:pt>
                <c:pt idx="4">
                  <c:v>0.5414645936243464</c:v>
                </c:pt>
                <c:pt idx="5">
                  <c:v>1.9521759029548957</c:v>
                </c:pt>
                <c:pt idx="6">
                  <c:v>-0.47732452945193926</c:v>
                </c:pt>
                <c:pt idx="7">
                  <c:v>0.4306441009244204</c:v>
                </c:pt>
                <c:pt idx="8">
                  <c:v>-0.1182775647805665</c:v>
                </c:pt>
                <c:pt idx="9">
                  <c:v>-1.1548250790036734</c:v>
                </c:pt>
                <c:pt idx="10">
                  <c:v>0.51175355347970797</c:v>
                </c:pt>
                <c:pt idx="11">
                  <c:v>-1.0249535333986781</c:v>
                </c:pt>
                <c:pt idx="12">
                  <c:v>0.57831715069016387</c:v>
                </c:pt>
                <c:pt idx="13">
                  <c:v>0.11570452188847165</c:v>
                </c:pt>
                <c:pt idx="14">
                  <c:v>-0.15364508919989164</c:v>
                </c:pt>
                <c:pt idx="15">
                  <c:v>0.26448644932104592</c:v>
                </c:pt>
                <c:pt idx="16">
                  <c:v>-0.17453174344480055</c:v>
                </c:pt>
                <c:pt idx="17">
                  <c:v>-0.26703812999407561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B5-8541-B4F6-52B355FC873F}"/>
            </c:ext>
          </c:extLst>
        </c:ser>
        <c:ser>
          <c:idx val="3"/>
          <c:order val="3"/>
          <c:tx>
            <c:v>Tiny County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PLOTS!$D$29:$D$66</c:f>
              <c:numCache>
                <c:formatCode>0.00</c:formatCode>
                <c:ptCount val="38"/>
                <c:pt idx="0">
                  <c:v>0.2082699451068544</c:v>
                </c:pt>
                <c:pt idx="1">
                  <c:v>1.1309367368789456</c:v>
                </c:pt>
                <c:pt idx="2">
                  <c:v>-1.1683505087618162</c:v>
                </c:pt>
                <c:pt idx="3">
                  <c:v>-2.5936861729905063</c:v>
                </c:pt>
                <c:pt idx="4">
                  <c:v>-1.0086071280933033</c:v>
                </c:pt>
                <c:pt idx="5">
                  <c:v>-0.38888320800008069</c:v>
                </c:pt>
                <c:pt idx="6">
                  <c:v>-0.19739082477490844</c:v>
                </c:pt>
                <c:pt idx="7">
                  <c:v>0.49793751306339096</c:v>
                </c:pt>
                <c:pt idx="8">
                  <c:v>-1.1675216843184157</c:v>
                </c:pt>
                <c:pt idx="9">
                  <c:v>3.1262090659035104</c:v>
                </c:pt>
                <c:pt idx="10">
                  <c:v>1.0612484715904984</c:v>
                </c:pt>
                <c:pt idx="11">
                  <c:v>0.32206076566627945</c:v>
                </c:pt>
                <c:pt idx="12">
                  <c:v>0.25635886969757166</c:v>
                </c:pt>
                <c:pt idx="13">
                  <c:v>0.19207327062568494</c:v>
                </c:pt>
                <c:pt idx="14">
                  <c:v>-0.83710595751932004</c:v>
                </c:pt>
                <c:pt idx="15">
                  <c:v>0.85694737637044294</c:v>
                </c:pt>
                <c:pt idx="16">
                  <c:v>-1.400845416266348</c:v>
                </c:pt>
                <c:pt idx="17">
                  <c:v>-0.71049512432254669</c:v>
                </c:pt>
                <c:pt idx="18">
                  <c:v>-0.95909791560150381</c:v>
                </c:pt>
                <c:pt idx="19">
                  <c:v>-0.94342604993802504</c:v>
                </c:pt>
                <c:pt idx="20">
                  <c:v>-0.83433351023374724</c:v>
                </c:pt>
                <c:pt idx="21">
                  <c:v>-0.80370727433504963</c:v>
                </c:pt>
                <c:pt idx="22">
                  <c:v>2.2337512472202707</c:v>
                </c:pt>
                <c:pt idx="23">
                  <c:v>-0.62229477286947688</c:v>
                </c:pt>
                <c:pt idx="24">
                  <c:v>-0.8335297912599674</c:v>
                </c:pt>
                <c:pt idx="25">
                  <c:v>0.70412768336652298</c:v>
                </c:pt>
                <c:pt idx="26">
                  <c:v>0.25821865944516398</c:v>
                </c:pt>
                <c:pt idx="27">
                  <c:v>-0.72261897118556473</c:v>
                </c:pt>
                <c:pt idx="28">
                  <c:v>-1.0319962388384816</c:v>
                </c:pt>
                <c:pt idx="29">
                  <c:v>-0.58809272531991363</c:v>
                </c:pt>
                <c:pt idx="30">
                  <c:v>-0.15467460928441315</c:v>
                </c:pt>
                <c:pt idx="31">
                  <c:v>-0.81364072851098967</c:v>
                </c:pt>
                <c:pt idx="32">
                  <c:v>0.67969457547052525</c:v>
                </c:pt>
                <c:pt idx="33">
                  <c:v>2.8591778148265763</c:v>
                </c:pt>
                <c:pt idx="34">
                  <c:v>-0.65009284675620305</c:v>
                </c:pt>
                <c:pt idx="35">
                  <c:v>-1.3499362120066765</c:v>
                </c:pt>
                <c:pt idx="36">
                  <c:v>-0.22230219278134394</c:v>
                </c:pt>
                <c:pt idx="37">
                  <c:v>-0.48324601697522424</c:v>
                </c:pt>
              </c:numCache>
            </c:numRef>
          </c:xVal>
          <c:yVal>
            <c:numRef>
              <c:f>PLOTS!$H$29:$H$66</c:f>
              <c:numCache>
                <c:formatCode>0.00</c:formatCode>
                <c:ptCount val="38"/>
                <c:pt idx="0">
                  <c:v>-0.21165816751011737</c:v>
                </c:pt>
                <c:pt idx="1">
                  <c:v>0.44664490377943439</c:v>
                </c:pt>
                <c:pt idx="2">
                  <c:v>-1.1778852521245691</c:v>
                </c:pt>
                <c:pt idx="3">
                  <c:v>-0.77117453270468117</c:v>
                </c:pt>
                <c:pt idx="4">
                  <c:v>0.24761378524256447</c:v>
                </c:pt>
                <c:pt idx="5">
                  <c:v>0.14519413222722549</c:v>
                </c:pt>
                <c:pt idx="6">
                  <c:v>-7.9953623584404637E-2</c:v>
                </c:pt>
                <c:pt idx="7">
                  <c:v>-0.61006018530782691</c:v>
                </c:pt>
                <c:pt idx="8">
                  <c:v>-0.73294250438286346</c:v>
                </c:pt>
                <c:pt idx="9">
                  <c:v>1.8208707733188367</c:v>
                </c:pt>
                <c:pt idx="10">
                  <c:v>-0.29597244122830607</c:v>
                </c:pt>
                <c:pt idx="11">
                  <c:v>-0.62108798980519453</c:v>
                </c:pt>
                <c:pt idx="12">
                  <c:v>0.60502421147020835</c:v>
                </c:pt>
                <c:pt idx="13">
                  <c:v>0.89768669766349929</c:v>
                </c:pt>
                <c:pt idx="14">
                  <c:v>-0.35634033625290124</c:v>
                </c:pt>
                <c:pt idx="15">
                  <c:v>-0.81890459645472458</c:v>
                </c:pt>
                <c:pt idx="16">
                  <c:v>-0.9944391590548769</c:v>
                </c:pt>
                <c:pt idx="17">
                  <c:v>-0.74159626852217608</c:v>
                </c:pt>
                <c:pt idx="18">
                  <c:v>-1.1975016505495324</c:v>
                </c:pt>
                <c:pt idx="19">
                  <c:v>-9.6492712934525465E-2</c:v>
                </c:pt>
                <c:pt idx="20">
                  <c:v>-0.80702905421794413</c:v>
                </c:pt>
                <c:pt idx="21">
                  <c:v>-0.79822693916219967</c:v>
                </c:pt>
                <c:pt idx="22">
                  <c:v>1.6322266592219914</c:v>
                </c:pt>
                <c:pt idx="23">
                  <c:v>-0.99160219271674865</c:v>
                </c:pt>
                <c:pt idx="24">
                  <c:v>-1.2736289349535219</c:v>
                </c:pt>
                <c:pt idx="25">
                  <c:v>1.1002971405472886</c:v>
                </c:pt>
                <c:pt idx="26">
                  <c:v>-8.5532151665237825E-4</c:v>
                </c:pt>
                <c:pt idx="27">
                  <c:v>-1.1090742482535154</c:v>
                </c:pt>
                <c:pt idx="28">
                  <c:v>-0.49172399698896901</c:v>
                </c:pt>
                <c:pt idx="29">
                  <c:v>-1.1229013056701829</c:v>
                </c:pt>
                <c:pt idx="30">
                  <c:v>-1.0961714651878809</c:v>
                </c:pt>
                <c:pt idx="31">
                  <c:v>-0.82869446657480661</c:v>
                </c:pt>
                <c:pt idx="32">
                  <c:v>0.96448651962366316</c:v>
                </c:pt>
                <c:pt idx="33">
                  <c:v>4.2594485906325134E-2</c:v>
                </c:pt>
                <c:pt idx="34">
                  <c:v>-0.25996023807866719</c:v>
                </c:pt>
                <c:pt idx="35">
                  <c:v>-1.3519181877933655</c:v>
                </c:pt>
                <c:pt idx="36">
                  <c:v>-1.058394918195422</c:v>
                </c:pt>
                <c:pt idx="37">
                  <c:v>-1.3294415900587431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B5-8541-B4F6-52B355FC8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1293151"/>
        <c:axId val="526262432"/>
      </c:scatterChart>
      <c:valAx>
        <c:axId val="821293151"/>
        <c:scaling>
          <c:orientation val="minMax"/>
          <c:min val="-3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Deviations</a:t>
                </a:r>
                <a:r>
                  <a:rPr lang="en-US" baseline="0"/>
                  <a:t> from Mean Population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8073171319455296"/>
              <c:y val="0.942884425467263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62432"/>
        <c:crosses val="autoZero"/>
        <c:crossBetween val="midCat"/>
      </c:valAx>
      <c:valAx>
        <c:axId val="526262432"/>
        <c:scaling>
          <c:orientation val="minMax"/>
          <c:min val="-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Standard Deviations from Mean Housing Units</a:t>
                </a:r>
              </a:p>
            </c:rich>
          </c:tx>
          <c:layout>
            <c:manualLayout>
              <c:xMode val="edge"/>
              <c:yMode val="edge"/>
              <c:x val="6.5956976523886606E-3"/>
              <c:y val="0.345871650532733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293151"/>
        <c:crosses val="autoZero"/>
        <c:crossBetween val="midCat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2409</xdr:colOff>
      <xdr:row>147</xdr:row>
      <xdr:rowOff>197341</xdr:rowOff>
    </xdr:from>
    <xdr:to>
      <xdr:col>69</xdr:col>
      <xdr:colOff>759671</xdr:colOff>
      <xdr:row>161</xdr:row>
      <xdr:rowOff>49158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FB9C8C-4C20-9EE8-2CC4-2FF77F053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563028</xdr:colOff>
      <xdr:row>5</xdr:row>
      <xdr:rowOff>121782</xdr:rowOff>
    </xdr:from>
    <xdr:to>
      <xdr:col>27</xdr:col>
      <xdr:colOff>358959</xdr:colOff>
      <xdr:row>18</xdr:row>
      <xdr:rowOff>178973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0CEA079-47DC-EAAF-AC6B-475161EB7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0</xdr:colOff>
      <xdr:row>22</xdr:row>
      <xdr:rowOff>0</xdr:rowOff>
    </xdr:from>
    <xdr:to>
      <xdr:col>26</xdr:col>
      <xdr:colOff>748431</xdr:colOff>
      <xdr:row>35</xdr:row>
      <xdr:rowOff>57191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87250E9-8F28-7948-BFB7-958ACDCF48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23020</xdr:colOff>
      <xdr:row>11</xdr:row>
      <xdr:rowOff>50800</xdr:rowOff>
    </xdr:from>
    <xdr:to>
      <xdr:col>19</xdr:col>
      <xdr:colOff>371041</xdr:colOff>
      <xdr:row>54</xdr:row>
      <xdr:rowOff>163120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12D95C-0AD4-1568-E800-E58A8470B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0.36993</cdr:x>
      <cdr:y>0.33858</cdr:y>
    </cdr:from>
    <cdr:to>
      <cdr:x>0.64197</cdr:x>
      <cdr:y>0.60764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EF89DF21-CA94-DF46-D2CB-865F8B52F257}"/>
            </a:ext>
          </a:extLst>
        </cdr:cNvPr>
        <cdr:cNvSpPr/>
      </cdr:nvSpPr>
      <cdr:spPr>
        <a:xfrm xmlns:a="http://schemas.openxmlformats.org/drawingml/2006/main">
          <a:off x="3556489" y="3144322"/>
          <a:ext cx="2615377" cy="249870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8575">
          <a:solidFill>
            <a:schemeClr val="tx1"/>
          </a:solidFill>
          <a:prstDash val="dashDot"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0.23542</cdr:x>
      <cdr:y>0.20785</cdr:y>
    </cdr:from>
    <cdr:to>
      <cdr:x>0.77609</cdr:x>
      <cdr:y>0.74261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9751DE8-2D08-5993-A448-333CC879FACB}"/>
            </a:ext>
          </a:extLst>
        </cdr:cNvPr>
        <cdr:cNvSpPr>
          <a:spLocks xmlns:a="http://schemas.openxmlformats.org/drawingml/2006/main" noChangeAspect="1"/>
        </cdr:cNvSpPr>
      </cdr:nvSpPr>
      <cdr:spPr>
        <a:xfrm xmlns:a="http://schemas.openxmlformats.org/drawingml/2006/main">
          <a:off x="2259335" y="1997379"/>
          <a:ext cx="5188795" cy="51389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8575">
          <a:solidFill>
            <a:schemeClr val="tx1"/>
          </a:solidFill>
          <a:prstDash val="dashDot"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0.03616</cdr:x>
      <cdr:y>0.01752</cdr:y>
    </cdr:from>
    <cdr:to>
      <cdr:x>0.1711</cdr:x>
      <cdr:y>0.14925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5936D06E-9369-19C8-937E-578981EB7E3B}"/>
            </a:ext>
          </a:extLst>
        </cdr:cNvPr>
        <cdr:cNvSpPr txBox="1"/>
      </cdr:nvSpPr>
      <cdr:spPr>
        <a:xfrm xmlns:a="http://schemas.openxmlformats.org/drawingml/2006/main">
          <a:off x="347991" y="163245"/>
          <a:ext cx="1298539" cy="12271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600" b="1">
              <a:latin typeface="Helvetica" pitchFamily="2" charset="0"/>
            </a:rPr>
            <a:t>1</a:t>
          </a:r>
        </a:p>
      </cdr:txBody>
    </cdr:sp>
  </cdr:relSizeAnchor>
</c:userShape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Microsoft Office User" refreshedDate="45830.507623726851" createdVersion="8" refreshedVersion="8" minRefreshableVersion="3" recordCount="845" xr:uid="{506FF3D3-4F4A-FD40-8B65-89455C5EA4A4}">
  <cacheSource type="worksheet">
    <worksheetSource ref="A1:AA846" sheet="COMB_RAW_DATA"/>
  </cacheSource>
  <cacheFields count="27">
    <cacheField name="County FIPS" numFmtId="0">
      <sharedItems containsSemiMixedTypes="0" containsString="0" containsNumber="1" containsInteger="1" minValue="0" maxValue="125"/>
    </cacheField>
    <cacheField name="Region" numFmtId="0">
      <sharedItems containsSemiMixedTypes="0" containsString="0" containsNumber="1" containsInteger="1" minValue="0" maxValue="14" count="15">
        <n v="3"/>
        <n v="8"/>
        <n v="9"/>
        <n v="6"/>
        <n v="13"/>
        <n v="5"/>
        <n v="0"/>
        <n v="10"/>
        <n v="12"/>
        <n v="4"/>
        <n v="11"/>
        <n v="14"/>
        <n v="2"/>
        <n v="1"/>
        <n v="7"/>
      </sharedItems>
    </cacheField>
    <cacheField name="County" numFmtId="0">
      <sharedItems count="65">
        <s v="Adams County"/>
        <s v="Alamosa County"/>
        <s v="Arapahoe County"/>
        <s v="Archuleta County"/>
        <s v="Baca County"/>
        <s v="Bent County"/>
        <s v="Boulder County"/>
        <s v="Broomfield County"/>
        <s v="Chaffee County"/>
        <s v="Cheyenne County"/>
        <s v="Clear Creek County"/>
        <s v="Colorado State"/>
        <s v="Conejos County"/>
        <s v="Costilla County"/>
        <s v="Crowley County"/>
        <s v="Custer County"/>
        <s v="Delta County"/>
        <s v="Denver County"/>
        <s v="Dolores County"/>
        <s v="Douglas County"/>
        <s v="Eagle County"/>
        <s v="El Paso County"/>
        <s v="Elbert County"/>
        <s v="Fremont County"/>
        <s v="Garfield County"/>
        <s v="Gilpin County"/>
        <s v="Grand County"/>
        <s v="Gunnison County"/>
        <s v="Hinsdale County"/>
        <s v="Huerfano County"/>
        <s v="Jackson County"/>
        <s v="Jefferson County"/>
        <s v="Kiowa County"/>
        <s v="Kit Carson County"/>
        <s v="La Plata County"/>
        <s v="Lake County"/>
        <s v="Larimer County"/>
        <s v="Las Animas County"/>
        <s v="Lincoln County"/>
        <s v="Logan County"/>
        <s v="Mesa County"/>
        <s v="Mineral County"/>
        <s v="Moffat County"/>
        <s v="Montezuma County"/>
        <s v="Montrose County"/>
        <s v="Morgan County"/>
        <s v="Otero County"/>
        <s v="Ouray County"/>
        <s v="Park County"/>
        <s v="Phillips County"/>
        <s v="Pitkin County"/>
        <s v="Prowers County"/>
        <s v="Pueblo County"/>
        <s v="Rio Blanco County"/>
        <s v="Rio Grande County"/>
        <s v="Routt County"/>
        <s v="Saguache County"/>
        <s v="San Juan County"/>
        <s v="San Miguel County"/>
        <s v="Sedgwick County"/>
        <s v="Summit County"/>
        <s v="Teller County"/>
        <s v="Washington County"/>
        <s v="Weld County"/>
        <s v="Yuma County"/>
      </sharedItems>
    </cacheField>
    <cacheField name="Year" numFmtId="0">
      <sharedItems containsSemiMixedTypes="0" containsString="0" containsNumber="1" containsInteger="1" minValue="2010" maxValue="2022" count="13"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</sharedItems>
    </cacheField>
    <cacheField name="Total Population" numFmtId="0">
      <sharedItems containsSemiMixedTypes="0" containsString="0" containsNumber="1" containsInteger="1" minValue="696" maxValue="5838736"/>
    </cacheField>
    <cacheField name="Household Population" numFmtId="0">
      <sharedItems containsSemiMixedTypes="0" containsString="0" containsNumber="1" containsInteger="1" minValue="696" maxValue="5715606"/>
    </cacheField>
    <cacheField name="Group Quarters Population" numFmtId="0">
      <sharedItems containsSemiMixedTypes="0" containsString="0" containsNumber="1" containsInteger="1" minValue="0" maxValue="128333"/>
    </cacheField>
    <cacheField name="Household Size" numFmtId="0">
      <sharedItems containsString="0" containsBlank="1" containsNumber="1" minValue="1.92" maxValue="3.04"/>
    </cacheField>
    <cacheField name="Total Housing Units" numFmtId="0">
      <sharedItems containsSemiMixedTypes="0" containsString="0" containsNumber="1" containsInteger="1" minValue="720" maxValue="2598686"/>
    </cacheField>
    <cacheField name="Occupied Housing Units" numFmtId="0">
      <sharedItems containsString="0" containsBlank="1" containsNumber="1" containsInteger="1" minValue="312" maxValue="2242111"/>
    </cacheField>
    <cacheField name="Vacant Housing Units" numFmtId="0">
      <sharedItems containsString="0" containsBlank="1" containsNumber="1" containsInteger="1" minValue="85" maxValue="233763"/>
    </cacheField>
    <cacheField name="Vacancy Percent" numFmtId="0">
      <sharedItems containsString="0" containsBlank="1" containsNumber="1" minValue="0.74" maxValue="73.55"/>
    </cacheField>
    <cacheField name="Household Population to Total Housing Units Ratio" numFmtId="0">
      <sharedItems containsSemiMixedTypes="0" containsString="0" containsNumber="1" minValue="0.57363770300000005" maxValue="2.8486986440000002"/>
    </cacheField>
    <cacheField name="Density (pers/sq mi)" numFmtId="0">
      <sharedItems containsSemiMixedTypes="0" containsString="0" containsNumber="1" minValue="0.69257132683491351" maxValue="4609.6942053192861"/>
    </cacheField>
    <cacheField name="totalpopulation" numFmtId="0">
      <sharedItems containsString="0" containsBlank="1" containsNumber="1" containsInteger="1" minValue="711" maxValue="5838736"/>
    </cacheField>
    <cacheField name="births" numFmtId="0">
      <sharedItems containsString="0" containsBlank="1" containsNumber="1" containsInteger="1" minValue="2" maxValue="62809"/>
    </cacheField>
    <cacheField name="naturalincrease" numFmtId="0">
      <sharedItems containsString="0" containsBlank="1" containsNumber="1" containsInteger="1" minValue="-896" maxValue="20660"/>
    </cacheField>
    <cacheField name="netmigration" numFmtId="0">
      <sharedItems containsString="0" containsBlank="1" containsNumber="1" containsInteger="1" minValue="-9562" maxValue="29011"/>
    </cacheField>
    <cacheField name="deaths" numFmtId="0">
      <sharedItems containsString="0" containsBlank="1" containsNumber="1" containsInteger="1" minValue="5" maxValue="49681"/>
    </cacheField>
    <cacheField name="totalhousingunits" numFmtId="0">
      <sharedItems containsString="0" containsBlank="1" containsNumber="1" containsInteger="1" minValue="737" maxValue="2598686"/>
    </cacheField>
    <cacheField name="households" numFmtId="0">
      <sharedItems containsNonDate="0" containsString="0" containsBlank="1" count="1">
        <m/>
      </sharedItems>
    </cacheField>
    <cacheField name="householdsize" numFmtId="0">
      <sharedItems containsNonDate="0" containsString="0" containsBlank="1"/>
    </cacheField>
    <cacheField name="householdpopulation" numFmtId="0">
      <sharedItems containsString="0" containsBlank="1" containsNumber="1" containsInteger="1" minValue="711" maxValue="5715606"/>
    </cacheField>
    <cacheField name="censusbuildingpermits" numFmtId="0">
      <sharedItems containsString="0" containsBlank="1" containsNumber="1" containsInteger="1" minValue="0" maxValue="56524"/>
    </cacheField>
    <cacheField name="vacancyrate" numFmtId="0">
      <sharedItems containsNonDate="0" containsString="0" containsBlank="1" count="1">
        <m/>
      </sharedItems>
    </cacheField>
    <cacheField name="vacanthousingunits" numFmtId="0">
      <sharedItems containsNonDate="0" containsString="0" containsBlank="1" count="1">
        <m/>
      </sharedItems>
    </cacheField>
    <cacheField name="hhldpoptothuratio" numFmtId="0">
      <sharedItems containsString="0" containsBlank="1" containsNumber="1" minValue="0.57363770300000005" maxValue="2.754885524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0DC14-48A4-8C4B-9C14-E972AFB77F9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70" firstHeaderRow="1" firstDataRow="2" firstDataCol="1"/>
  <pivotFields count="27">
    <pivotField showAll="0"/>
    <pivotField showAll="0"/>
    <pivotField axis="axisRow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axis="axisCol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</pivotFields>
  <rowFields count="1">
    <field x="2"/>
  </rowFields>
  <rowItems count="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 t="grand">
      <x/>
    </i>
  </rowItems>
  <colFields count="1">
    <field x="3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364C7C-E7D6-BD4A-BEC7-D4C504A10DC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O22" firstHeaderRow="1" firstDataRow="2" firstDataCol="1"/>
  <pivotFields count="27">
    <pivotField showAll="0"/>
    <pivotField axis="axisRow" showAll="0">
      <items count="16">
        <item x="6"/>
        <item x="13"/>
        <item x="12"/>
        <item x="0"/>
        <item x="9"/>
        <item x="5"/>
        <item x="3"/>
        <item x="14"/>
        <item x="1"/>
        <item x="2"/>
        <item x="7"/>
        <item x="10"/>
        <item x="8"/>
        <item x="4"/>
        <item x="11"/>
        <item t="default"/>
      </items>
    </pivotField>
    <pivotField showAll="0"/>
    <pivotField axis="axisCol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3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Density (pers/sq mi)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emography.dola.colorado.gov/assets/html/county.html" TargetMode="External"/><Relationship Id="rId1" Type="http://schemas.openxmlformats.org/officeDocument/2006/relationships/hyperlink" Target="https://demography.dola.colorado.gov/assets/html/county.html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832BA-27F3-564F-89A9-8AD95816E0D6}">
  <sheetPr>
    <tabColor theme="9"/>
  </sheetPr>
  <dimension ref="B2:D4"/>
  <sheetViews>
    <sheetView workbookViewId="0">
      <selection activeCell="D3" sqref="D3"/>
    </sheetView>
  </sheetViews>
  <sheetFormatPr baseColWidth="10" defaultRowHeight="16" x14ac:dyDescent="0.2"/>
  <cols>
    <col min="2" max="2" width="53.5703125" bestFit="1" customWidth="1"/>
    <col min="3" max="3" width="18" bestFit="1" customWidth="1"/>
  </cols>
  <sheetData>
    <row r="2" spans="2:4" x14ac:dyDescent="0.2">
      <c r="B2" t="s">
        <v>227</v>
      </c>
      <c r="C2" t="s">
        <v>231</v>
      </c>
      <c r="D2" t="s">
        <v>229</v>
      </c>
    </row>
    <row r="3" spans="2:4" x14ac:dyDescent="0.2">
      <c r="B3" t="s">
        <v>228</v>
      </c>
      <c r="C3" t="s">
        <v>232</v>
      </c>
      <c r="D3" s="18" t="s">
        <v>230</v>
      </c>
    </row>
    <row r="4" spans="2:4" x14ac:dyDescent="0.2">
      <c r="B4" t="s">
        <v>233</v>
      </c>
      <c r="C4" t="s">
        <v>234</v>
      </c>
      <c r="D4" s="18" t="s">
        <v>230</v>
      </c>
    </row>
  </sheetData>
  <hyperlinks>
    <hyperlink ref="D3" r:id="rId1" xr:uid="{DDC87776-B576-A246-A642-AE0BD9DA5667}"/>
    <hyperlink ref="D4" r:id="rId2" xr:uid="{51428243-DC6F-FA4B-8817-29776ED662D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7F337-0459-7F45-8220-43FEC9FE6C1C}">
  <sheetPr>
    <tabColor theme="9"/>
  </sheetPr>
  <dimension ref="A1:P197"/>
  <sheetViews>
    <sheetView workbookViewId="0"/>
  </sheetViews>
  <sheetFormatPr baseColWidth="10" defaultColWidth="7.5703125" defaultRowHeight="13" x14ac:dyDescent="0.15"/>
  <cols>
    <col min="1" max="1" width="8.42578125" style="1" customWidth="1"/>
    <col min="2" max="2" width="21.85546875" style="10" customWidth="1"/>
    <col min="3" max="3" width="7.7109375" style="10" customWidth="1"/>
    <col min="4" max="4" width="12.42578125" style="10" customWidth="1"/>
    <col min="5" max="5" width="6.140625" style="10" customWidth="1"/>
    <col min="6" max="6" width="14.85546875" style="10" customWidth="1"/>
    <col min="7" max="7" width="13.28515625" style="10" customWidth="1"/>
    <col min="8" max="8" width="5.42578125" style="10" customWidth="1"/>
    <col min="9" max="9" width="13.7109375" style="10" customWidth="1"/>
    <col min="10" max="10" width="10.42578125" style="10" customWidth="1"/>
    <col min="11" max="11" width="11" style="10" customWidth="1"/>
    <col min="12" max="12" width="17" style="10" customWidth="1"/>
    <col min="13" max="13" width="16.42578125" style="10" customWidth="1"/>
    <col min="14" max="14" width="12" style="10" customWidth="1"/>
    <col min="15" max="15" width="15.42578125" style="10" customWidth="1"/>
    <col min="16" max="16" width="13.85546875" style="10" customWidth="1"/>
    <col min="17" max="16384" width="7.5703125" style="10"/>
  </cols>
  <sheetData>
    <row r="1" spans="1:16" x14ac:dyDescent="0.15">
      <c r="A1" s="1" t="s">
        <v>131</v>
      </c>
    </row>
    <row r="2" spans="1:16" s="2" customFormat="1" ht="28" x14ac:dyDescent="0.15">
      <c r="A2" s="14" t="s">
        <v>208</v>
      </c>
      <c r="B2" s="2" t="s">
        <v>209</v>
      </c>
      <c r="C2" s="2" t="s">
        <v>210</v>
      </c>
      <c r="D2" s="2" t="s">
        <v>211</v>
      </c>
      <c r="E2" s="2" t="s">
        <v>212</v>
      </c>
      <c r="F2" s="2" t="s">
        <v>213</v>
      </c>
      <c r="G2" s="2" t="s">
        <v>214</v>
      </c>
      <c r="H2" s="2" t="s">
        <v>215</v>
      </c>
      <c r="I2" s="2" t="s">
        <v>216</v>
      </c>
      <c r="J2" s="2" t="s">
        <v>217</v>
      </c>
      <c r="K2" s="2" t="s">
        <v>218</v>
      </c>
      <c r="L2" s="2" t="s">
        <v>219</v>
      </c>
      <c r="M2" s="2" t="s">
        <v>220</v>
      </c>
      <c r="N2" s="2" t="s">
        <v>221</v>
      </c>
      <c r="O2" s="2" t="s">
        <v>222</v>
      </c>
      <c r="P2" s="2" t="s">
        <v>223</v>
      </c>
    </row>
    <row r="3" spans="1:16" x14ac:dyDescent="0.15">
      <c r="A3" s="10" t="s">
        <v>1</v>
      </c>
      <c r="B3" s="10" t="s">
        <v>2</v>
      </c>
      <c r="C3" s="10">
        <v>2020</v>
      </c>
      <c r="D3" s="10">
        <v>5784584</v>
      </c>
      <c r="E3" s="10">
        <v>62809</v>
      </c>
      <c r="F3" s="10">
        <v>20660</v>
      </c>
      <c r="G3" s="10">
        <v>29011</v>
      </c>
      <c r="H3" s="10">
        <v>42149</v>
      </c>
      <c r="I3" s="10">
        <v>2501178</v>
      </c>
      <c r="L3" s="10">
        <v>5659934</v>
      </c>
      <c r="M3" s="10">
        <v>40469</v>
      </c>
      <c r="P3" s="10">
        <v>2.2629073179999999</v>
      </c>
    </row>
    <row r="4" spans="1:16" x14ac:dyDescent="0.15">
      <c r="A4" s="10" t="s">
        <v>3</v>
      </c>
      <c r="B4" s="10" t="s">
        <v>4</v>
      </c>
      <c r="C4" s="10">
        <v>2020</v>
      </c>
      <c r="D4" s="10">
        <v>520433</v>
      </c>
      <c r="E4" s="10">
        <v>6805</v>
      </c>
      <c r="F4" s="10">
        <v>3403</v>
      </c>
      <c r="G4" s="10">
        <v>548</v>
      </c>
      <c r="H4" s="10">
        <v>3402</v>
      </c>
      <c r="I4" s="10">
        <v>187288</v>
      </c>
      <c r="L4" s="10">
        <v>515957</v>
      </c>
      <c r="M4" s="10">
        <v>4027</v>
      </c>
      <c r="P4" s="10">
        <v>2.7548855240000001</v>
      </c>
    </row>
    <row r="5" spans="1:16" x14ac:dyDescent="0.15">
      <c r="A5" s="10" t="s">
        <v>5</v>
      </c>
      <c r="B5" s="10" t="s">
        <v>6</v>
      </c>
      <c r="C5" s="10">
        <v>2020</v>
      </c>
      <c r="D5" s="10">
        <v>16371</v>
      </c>
      <c r="E5" s="10">
        <v>187</v>
      </c>
      <c r="F5" s="10">
        <v>28</v>
      </c>
      <c r="G5" s="10">
        <v>96</v>
      </c>
      <c r="H5" s="10">
        <v>159</v>
      </c>
      <c r="I5" s="10">
        <v>7072</v>
      </c>
      <c r="L5" s="10">
        <v>15411</v>
      </c>
      <c r="M5" s="10">
        <v>62</v>
      </c>
      <c r="P5" s="10">
        <v>2.1791572399999999</v>
      </c>
    </row>
    <row r="6" spans="1:16" x14ac:dyDescent="0.15">
      <c r="A6" s="10" t="s">
        <v>7</v>
      </c>
      <c r="B6" s="10" t="s">
        <v>8</v>
      </c>
      <c r="C6" s="10">
        <v>2020</v>
      </c>
      <c r="D6" s="10">
        <v>655212</v>
      </c>
      <c r="E6" s="10">
        <v>7580</v>
      </c>
      <c r="F6" s="10">
        <v>2964</v>
      </c>
      <c r="G6" s="10">
        <v>-1556</v>
      </c>
      <c r="H6" s="10">
        <v>4616</v>
      </c>
      <c r="I6" s="10">
        <v>263241</v>
      </c>
      <c r="L6" s="10">
        <v>649825</v>
      </c>
      <c r="M6" s="10">
        <v>4116</v>
      </c>
      <c r="P6" s="10">
        <v>2.4685554299999999</v>
      </c>
    </row>
    <row r="7" spans="1:16" x14ac:dyDescent="0.15">
      <c r="A7" s="10" t="s">
        <v>9</v>
      </c>
      <c r="B7" s="10" t="s">
        <v>10</v>
      </c>
      <c r="C7" s="10">
        <v>2020</v>
      </c>
      <c r="D7" s="10">
        <v>13428</v>
      </c>
      <c r="E7" s="10">
        <v>102</v>
      </c>
      <c r="F7" s="10">
        <v>-8</v>
      </c>
      <c r="G7" s="10">
        <v>242</v>
      </c>
      <c r="H7" s="10">
        <v>110</v>
      </c>
      <c r="I7" s="10">
        <v>9537</v>
      </c>
      <c r="L7" s="10">
        <v>13330</v>
      </c>
      <c r="M7" s="10">
        <v>153</v>
      </c>
      <c r="P7" s="10">
        <v>1.3977141660000001</v>
      </c>
    </row>
    <row r="8" spans="1:16" x14ac:dyDescent="0.15">
      <c r="A8" s="10" t="s">
        <v>11</v>
      </c>
      <c r="B8" s="10" t="s">
        <v>12</v>
      </c>
      <c r="C8" s="10">
        <v>2020</v>
      </c>
      <c r="D8" s="10">
        <v>3478</v>
      </c>
      <c r="E8" s="10">
        <v>40</v>
      </c>
      <c r="F8" s="10">
        <v>-28</v>
      </c>
      <c r="G8" s="10">
        <v>-59</v>
      </c>
      <c r="H8" s="10">
        <v>68</v>
      </c>
      <c r="I8" s="10">
        <v>1972</v>
      </c>
      <c r="L8" s="10">
        <v>3424</v>
      </c>
      <c r="M8" s="10">
        <v>2</v>
      </c>
      <c r="P8" s="10">
        <v>1.7363083159999999</v>
      </c>
    </row>
    <row r="9" spans="1:16" x14ac:dyDescent="0.15">
      <c r="A9" s="10" t="s">
        <v>13</v>
      </c>
      <c r="B9" s="10" t="s">
        <v>14</v>
      </c>
      <c r="C9" s="10">
        <v>2020</v>
      </c>
      <c r="D9" s="10">
        <v>5477</v>
      </c>
      <c r="E9" s="10">
        <v>43</v>
      </c>
      <c r="F9" s="10">
        <v>-28</v>
      </c>
      <c r="G9" s="10">
        <v>-475</v>
      </c>
      <c r="H9" s="10">
        <v>71</v>
      </c>
      <c r="I9" s="10">
        <v>2136</v>
      </c>
      <c r="L9" s="10">
        <v>4071</v>
      </c>
      <c r="M9" s="10">
        <v>5</v>
      </c>
      <c r="P9" s="10">
        <v>1.905898876</v>
      </c>
    </row>
    <row r="10" spans="1:16" x14ac:dyDescent="0.15">
      <c r="A10" s="10" t="s">
        <v>15</v>
      </c>
      <c r="B10" s="10" t="s">
        <v>16</v>
      </c>
      <c r="C10" s="10">
        <v>2020</v>
      </c>
      <c r="D10" s="10">
        <v>330923</v>
      </c>
      <c r="E10" s="10">
        <v>2507</v>
      </c>
      <c r="F10" s="10">
        <v>467</v>
      </c>
      <c r="G10" s="10">
        <v>1629</v>
      </c>
      <c r="H10" s="10">
        <v>2040</v>
      </c>
      <c r="I10" s="10">
        <v>141291</v>
      </c>
      <c r="L10" s="10">
        <v>315633</v>
      </c>
      <c r="M10" s="10">
        <v>1634</v>
      </c>
      <c r="P10" s="10">
        <v>2.2339214809999999</v>
      </c>
    </row>
    <row r="11" spans="1:16" x14ac:dyDescent="0.15">
      <c r="A11" s="10" t="s">
        <v>17</v>
      </c>
      <c r="B11" s="10" t="s">
        <v>18</v>
      </c>
      <c r="C11" s="10">
        <v>2020</v>
      </c>
      <c r="D11" s="10">
        <v>74494</v>
      </c>
      <c r="E11" s="10">
        <v>642</v>
      </c>
      <c r="F11" s="10">
        <v>210</v>
      </c>
      <c r="G11" s="10">
        <v>1615</v>
      </c>
      <c r="H11" s="10">
        <v>432</v>
      </c>
      <c r="I11" s="10">
        <v>31463</v>
      </c>
      <c r="L11" s="10">
        <v>74013</v>
      </c>
      <c r="M11" s="10">
        <v>427</v>
      </c>
      <c r="P11" s="10">
        <v>2.3523821630000001</v>
      </c>
    </row>
    <row r="12" spans="1:16" x14ac:dyDescent="0.15">
      <c r="A12" s="10" t="s">
        <v>19</v>
      </c>
      <c r="B12" s="10" t="s">
        <v>20</v>
      </c>
      <c r="C12" s="10">
        <v>2020</v>
      </c>
      <c r="D12" s="10">
        <v>19478</v>
      </c>
      <c r="E12" s="10">
        <v>135</v>
      </c>
      <c r="F12" s="10">
        <v>-74</v>
      </c>
      <c r="G12" s="10">
        <v>161</v>
      </c>
      <c r="H12" s="10">
        <v>209</v>
      </c>
      <c r="I12" s="10">
        <v>10993</v>
      </c>
      <c r="L12" s="10">
        <v>18247</v>
      </c>
      <c r="M12" s="10">
        <v>186</v>
      </c>
      <c r="P12" s="10">
        <v>1.659874466</v>
      </c>
    </row>
    <row r="13" spans="1:16" x14ac:dyDescent="0.15">
      <c r="A13" s="10" t="s">
        <v>21</v>
      </c>
      <c r="B13" s="10" t="s">
        <v>22</v>
      </c>
      <c r="C13" s="10">
        <v>2020</v>
      </c>
      <c r="D13" s="10">
        <v>1744</v>
      </c>
      <c r="E13" s="10">
        <v>17</v>
      </c>
      <c r="F13" s="10">
        <v>0</v>
      </c>
      <c r="G13" s="10">
        <v>-33</v>
      </c>
      <c r="H13" s="10">
        <v>17</v>
      </c>
      <c r="I13" s="10">
        <v>929</v>
      </c>
      <c r="L13" s="10">
        <v>1722</v>
      </c>
      <c r="M13" s="10">
        <v>6</v>
      </c>
      <c r="P13" s="10">
        <v>1.853606028</v>
      </c>
    </row>
    <row r="14" spans="1:16" x14ac:dyDescent="0.15">
      <c r="A14" s="10" t="s">
        <v>23</v>
      </c>
      <c r="B14" s="10" t="s">
        <v>24</v>
      </c>
      <c r="C14" s="10">
        <v>2020</v>
      </c>
      <c r="D14" s="10">
        <v>9397</v>
      </c>
      <c r="E14" s="10">
        <v>67</v>
      </c>
      <c r="F14" s="10">
        <v>-6</v>
      </c>
      <c r="G14" s="10">
        <v>-11</v>
      </c>
      <c r="H14" s="10">
        <v>73</v>
      </c>
      <c r="I14" s="10">
        <v>5688</v>
      </c>
      <c r="L14" s="10">
        <v>9315</v>
      </c>
      <c r="M14" s="10">
        <v>94</v>
      </c>
      <c r="P14" s="10">
        <v>1.637658228</v>
      </c>
    </row>
    <row r="15" spans="1:16" x14ac:dyDescent="0.15">
      <c r="A15" s="10" t="s">
        <v>25</v>
      </c>
      <c r="B15" s="10" t="s">
        <v>26</v>
      </c>
      <c r="C15" s="10">
        <v>2020</v>
      </c>
      <c r="D15" s="10">
        <v>7454</v>
      </c>
      <c r="E15" s="10">
        <v>88</v>
      </c>
      <c r="F15" s="10">
        <v>-12</v>
      </c>
      <c r="G15" s="10">
        <v>-85</v>
      </c>
      <c r="H15" s="10">
        <v>100</v>
      </c>
      <c r="I15" s="10">
        <v>4009</v>
      </c>
      <c r="L15" s="10">
        <v>7395</v>
      </c>
      <c r="M15" s="10">
        <v>36</v>
      </c>
      <c r="P15" s="10">
        <v>1.844599651</v>
      </c>
    </row>
    <row r="16" spans="1:16" x14ac:dyDescent="0.15">
      <c r="A16" s="10" t="s">
        <v>27</v>
      </c>
      <c r="B16" s="10" t="s">
        <v>28</v>
      </c>
      <c r="C16" s="10">
        <v>2020</v>
      </c>
      <c r="D16" s="10">
        <v>3503</v>
      </c>
      <c r="E16" s="10">
        <v>28</v>
      </c>
      <c r="F16" s="10">
        <v>-10</v>
      </c>
      <c r="G16" s="10">
        <v>12</v>
      </c>
      <c r="H16" s="10">
        <v>38</v>
      </c>
      <c r="I16" s="10">
        <v>2424</v>
      </c>
      <c r="L16" s="10">
        <v>3491</v>
      </c>
      <c r="M16" s="10">
        <v>0</v>
      </c>
      <c r="P16" s="10">
        <v>1.4401815179999999</v>
      </c>
    </row>
    <row r="17" spans="1:16" x14ac:dyDescent="0.15">
      <c r="A17" s="10" t="s">
        <v>29</v>
      </c>
      <c r="B17" s="10" t="s">
        <v>30</v>
      </c>
      <c r="C17" s="10">
        <v>2020</v>
      </c>
      <c r="D17" s="10">
        <v>5696</v>
      </c>
      <c r="E17" s="10">
        <v>23</v>
      </c>
      <c r="F17" s="10">
        <v>-34</v>
      </c>
      <c r="G17" s="10">
        <v>-110</v>
      </c>
      <c r="H17" s="10">
        <v>57</v>
      </c>
      <c r="I17" s="10">
        <v>1509</v>
      </c>
      <c r="L17" s="10">
        <v>3022</v>
      </c>
      <c r="M17" s="10">
        <v>12</v>
      </c>
      <c r="P17" s="10">
        <v>2.002650762</v>
      </c>
    </row>
    <row r="18" spans="1:16" x14ac:dyDescent="0.15">
      <c r="A18" s="10" t="s">
        <v>31</v>
      </c>
      <c r="B18" s="10" t="s">
        <v>32</v>
      </c>
      <c r="C18" s="10">
        <v>2020</v>
      </c>
      <c r="D18" s="10">
        <v>4720</v>
      </c>
      <c r="E18" s="10">
        <v>39</v>
      </c>
      <c r="F18" s="10">
        <v>-9</v>
      </c>
      <c r="G18" s="10">
        <v>83</v>
      </c>
      <c r="H18" s="10">
        <v>48</v>
      </c>
      <c r="I18" s="10">
        <v>4198</v>
      </c>
      <c r="L18" s="10">
        <v>4717</v>
      </c>
      <c r="M18" s="10">
        <v>118</v>
      </c>
      <c r="P18" s="10">
        <v>1.1236303000000001</v>
      </c>
    </row>
    <row r="19" spans="1:16" x14ac:dyDescent="0.15">
      <c r="A19" s="10" t="s">
        <v>33</v>
      </c>
      <c r="B19" s="10" t="s">
        <v>34</v>
      </c>
      <c r="C19" s="10">
        <v>2020</v>
      </c>
      <c r="D19" s="10">
        <v>31052</v>
      </c>
      <c r="E19" s="10">
        <v>277</v>
      </c>
      <c r="F19" s="10">
        <v>-139</v>
      </c>
      <c r="G19" s="10">
        <v>-46</v>
      </c>
      <c r="H19" s="10">
        <v>416</v>
      </c>
      <c r="I19" s="10">
        <v>14794</v>
      </c>
      <c r="L19" s="10">
        <v>30486</v>
      </c>
      <c r="M19" s="10">
        <v>73</v>
      </c>
      <c r="P19" s="10">
        <v>2.0607002840000002</v>
      </c>
    </row>
    <row r="20" spans="1:16" x14ac:dyDescent="0.15">
      <c r="A20" s="10" t="s">
        <v>35</v>
      </c>
      <c r="B20" s="10" t="s">
        <v>36</v>
      </c>
      <c r="C20" s="10">
        <v>2020</v>
      </c>
      <c r="D20" s="10">
        <v>717545</v>
      </c>
      <c r="E20" s="10">
        <v>8696</v>
      </c>
      <c r="F20" s="10">
        <v>3572</v>
      </c>
      <c r="G20" s="10">
        <v>3830</v>
      </c>
      <c r="H20" s="10">
        <v>5124</v>
      </c>
      <c r="I20" s="10">
        <v>347042</v>
      </c>
      <c r="L20" s="10">
        <v>701933</v>
      </c>
      <c r="M20" s="10">
        <v>5059</v>
      </c>
      <c r="P20" s="10">
        <v>2.0226168590000002</v>
      </c>
    </row>
    <row r="21" spans="1:16" x14ac:dyDescent="0.15">
      <c r="A21" s="10" t="s">
        <v>37</v>
      </c>
      <c r="B21" s="10" t="s">
        <v>38</v>
      </c>
      <c r="C21" s="10">
        <v>2020</v>
      </c>
      <c r="D21" s="10">
        <v>2078</v>
      </c>
      <c r="E21" s="10">
        <v>13</v>
      </c>
      <c r="F21" s="10">
        <v>-12</v>
      </c>
      <c r="G21" s="10">
        <v>5</v>
      </c>
      <c r="H21" s="10">
        <v>25</v>
      </c>
      <c r="I21" s="10">
        <v>1321</v>
      </c>
      <c r="L21" s="10">
        <v>2078</v>
      </c>
      <c r="M21" s="10">
        <v>6</v>
      </c>
      <c r="P21" s="10">
        <v>1.573050719</v>
      </c>
    </row>
    <row r="22" spans="1:16" x14ac:dyDescent="0.15">
      <c r="A22" s="10" t="s">
        <v>39</v>
      </c>
      <c r="B22" s="10" t="s">
        <v>40</v>
      </c>
      <c r="C22" s="10">
        <v>2020</v>
      </c>
      <c r="D22" s="10">
        <v>360272</v>
      </c>
      <c r="E22" s="10">
        <v>3583</v>
      </c>
      <c r="F22" s="10">
        <v>1828</v>
      </c>
      <c r="G22" s="10">
        <v>7232</v>
      </c>
      <c r="H22" s="10">
        <v>1755</v>
      </c>
      <c r="I22" s="10">
        <v>136477</v>
      </c>
      <c r="L22" s="10">
        <v>358629</v>
      </c>
      <c r="M22" s="10">
        <v>3370</v>
      </c>
      <c r="P22" s="10">
        <v>2.6277614539999998</v>
      </c>
    </row>
    <row r="23" spans="1:16" x14ac:dyDescent="0.15">
      <c r="A23" s="10" t="s">
        <v>41</v>
      </c>
      <c r="B23" s="10" t="s">
        <v>42</v>
      </c>
      <c r="C23" s="10">
        <v>2020</v>
      </c>
      <c r="D23" s="10">
        <v>55667</v>
      </c>
      <c r="E23" s="10">
        <v>529</v>
      </c>
      <c r="F23" s="10">
        <v>358</v>
      </c>
      <c r="G23" s="10">
        <v>490</v>
      </c>
      <c r="H23" s="10">
        <v>171</v>
      </c>
      <c r="I23" s="10">
        <v>33102</v>
      </c>
      <c r="L23" s="10">
        <v>55568</v>
      </c>
      <c r="M23" s="10">
        <v>403</v>
      </c>
      <c r="P23" s="10">
        <v>1.6786901089999999</v>
      </c>
    </row>
    <row r="24" spans="1:16" x14ac:dyDescent="0.15">
      <c r="A24" s="10" t="s">
        <v>43</v>
      </c>
      <c r="B24" s="10" t="s">
        <v>44</v>
      </c>
      <c r="C24" s="10">
        <v>2020</v>
      </c>
      <c r="D24" s="10">
        <v>26220</v>
      </c>
      <c r="E24" s="10">
        <v>233</v>
      </c>
      <c r="F24" s="10">
        <v>71</v>
      </c>
      <c r="G24" s="10">
        <v>482</v>
      </c>
      <c r="H24" s="10">
        <v>162</v>
      </c>
      <c r="I24" s="10">
        <v>9858</v>
      </c>
      <c r="L24" s="10">
        <v>26159</v>
      </c>
      <c r="M24" s="10">
        <v>296</v>
      </c>
      <c r="P24" s="10">
        <v>2.6535808479999998</v>
      </c>
    </row>
    <row r="25" spans="1:16" x14ac:dyDescent="0.15">
      <c r="A25" s="10" t="s">
        <v>45</v>
      </c>
      <c r="B25" s="10" t="s">
        <v>46</v>
      </c>
      <c r="C25" s="10">
        <v>2020</v>
      </c>
      <c r="D25" s="10">
        <v>732366</v>
      </c>
      <c r="E25" s="10">
        <v>9003</v>
      </c>
      <c r="F25" s="10">
        <v>4014</v>
      </c>
      <c r="G25" s="10">
        <v>2855</v>
      </c>
      <c r="H25" s="10">
        <v>4989</v>
      </c>
      <c r="I25" s="10">
        <v>288421</v>
      </c>
      <c r="L25" s="10">
        <v>711877</v>
      </c>
      <c r="M25" s="10">
        <v>6819</v>
      </c>
      <c r="P25" s="10">
        <v>2.4681871289999999</v>
      </c>
    </row>
    <row r="26" spans="1:16" x14ac:dyDescent="0.15">
      <c r="A26" s="10" t="s">
        <v>47</v>
      </c>
      <c r="B26" s="10" t="s">
        <v>48</v>
      </c>
      <c r="C26" s="10">
        <v>2020</v>
      </c>
      <c r="D26" s="10">
        <v>48881</v>
      </c>
      <c r="E26" s="10">
        <v>412</v>
      </c>
      <c r="F26" s="10">
        <v>-168</v>
      </c>
      <c r="G26" s="10">
        <v>670</v>
      </c>
      <c r="H26" s="10">
        <v>580</v>
      </c>
      <c r="I26" s="10">
        <v>20281</v>
      </c>
      <c r="L26" s="10">
        <v>41006</v>
      </c>
      <c r="M26" s="10">
        <v>155</v>
      </c>
      <c r="P26" s="10">
        <v>2.0218924120000001</v>
      </c>
    </row>
    <row r="27" spans="1:16" x14ac:dyDescent="0.15">
      <c r="A27" s="10" t="s">
        <v>49</v>
      </c>
      <c r="B27" s="10" t="s">
        <v>50</v>
      </c>
      <c r="C27" s="10">
        <v>2020</v>
      </c>
      <c r="D27" s="10">
        <v>61791</v>
      </c>
      <c r="E27" s="10">
        <v>748</v>
      </c>
      <c r="F27" s="10">
        <v>390</v>
      </c>
      <c r="G27" s="10">
        <v>843</v>
      </c>
      <c r="H27" s="10">
        <v>358</v>
      </c>
      <c r="I27" s="10">
        <v>24169</v>
      </c>
      <c r="L27" s="10">
        <v>60735</v>
      </c>
      <c r="M27" s="10">
        <v>334</v>
      </c>
      <c r="P27" s="10">
        <v>2.5129297859999999</v>
      </c>
    </row>
    <row r="28" spans="1:16" x14ac:dyDescent="0.15">
      <c r="A28" s="10" t="s">
        <v>51</v>
      </c>
      <c r="B28" s="10" t="s">
        <v>52</v>
      </c>
      <c r="C28" s="10">
        <v>2020</v>
      </c>
      <c r="D28" s="10">
        <v>5823</v>
      </c>
      <c r="E28" s="10">
        <v>46</v>
      </c>
      <c r="F28" s="10">
        <v>-2</v>
      </c>
      <c r="G28" s="10">
        <v>74</v>
      </c>
      <c r="H28" s="10">
        <v>48</v>
      </c>
      <c r="I28" s="10">
        <v>3523</v>
      </c>
      <c r="L28" s="10">
        <v>5775</v>
      </c>
      <c r="M28" s="10">
        <v>20</v>
      </c>
      <c r="P28" s="10">
        <v>1.639227931</v>
      </c>
    </row>
    <row r="29" spans="1:16" x14ac:dyDescent="0.15">
      <c r="A29" s="10" t="s">
        <v>53</v>
      </c>
      <c r="B29" s="10" t="s">
        <v>54</v>
      </c>
      <c r="C29" s="10">
        <v>2020</v>
      </c>
      <c r="D29" s="10">
        <v>15748</v>
      </c>
      <c r="E29" s="10">
        <v>132</v>
      </c>
      <c r="F29" s="10">
        <v>65</v>
      </c>
      <c r="G29" s="10">
        <v>275</v>
      </c>
      <c r="H29" s="10">
        <v>67</v>
      </c>
      <c r="I29" s="10">
        <v>16805</v>
      </c>
      <c r="L29" s="10">
        <v>15536</v>
      </c>
      <c r="M29" s="10">
        <v>234</v>
      </c>
      <c r="P29" s="10">
        <v>0.92448675999999996</v>
      </c>
    </row>
    <row r="30" spans="1:16" x14ac:dyDescent="0.15">
      <c r="A30" s="10" t="s">
        <v>55</v>
      </c>
      <c r="B30" s="10" t="s">
        <v>56</v>
      </c>
      <c r="C30" s="10">
        <v>2020</v>
      </c>
      <c r="D30" s="10">
        <v>16946</v>
      </c>
      <c r="E30" s="10">
        <v>134</v>
      </c>
      <c r="F30" s="10">
        <v>41</v>
      </c>
      <c r="G30" s="10">
        <v>-36</v>
      </c>
      <c r="H30" s="10">
        <v>93</v>
      </c>
      <c r="I30" s="10">
        <v>12220</v>
      </c>
      <c r="L30" s="10">
        <v>15926</v>
      </c>
      <c r="M30" s="10">
        <v>228</v>
      </c>
      <c r="P30" s="10">
        <v>1.3032733219999999</v>
      </c>
    </row>
    <row r="31" spans="1:16" x14ac:dyDescent="0.15">
      <c r="A31" s="10" t="s">
        <v>57</v>
      </c>
      <c r="B31" s="10" t="s">
        <v>58</v>
      </c>
      <c r="C31" s="10">
        <v>2020</v>
      </c>
      <c r="D31" s="10">
        <v>792</v>
      </c>
      <c r="E31" s="10">
        <v>5</v>
      </c>
      <c r="F31" s="10">
        <v>-6</v>
      </c>
      <c r="G31" s="10">
        <v>0</v>
      </c>
      <c r="H31" s="10">
        <v>11</v>
      </c>
      <c r="I31" s="10">
        <v>1332</v>
      </c>
      <c r="L31" s="10">
        <v>792</v>
      </c>
      <c r="M31" s="10">
        <v>11</v>
      </c>
      <c r="P31" s="10">
        <v>0.594594595</v>
      </c>
    </row>
    <row r="32" spans="1:16" x14ac:dyDescent="0.15">
      <c r="A32" s="10" t="s">
        <v>59</v>
      </c>
      <c r="B32" s="10" t="s">
        <v>60</v>
      </c>
      <c r="C32" s="10">
        <v>2020</v>
      </c>
      <c r="D32" s="10">
        <v>6833</v>
      </c>
      <c r="E32" s="10">
        <v>45</v>
      </c>
      <c r="F32" s="10">
        <v>-81</v>
      </c>
      <c r="G32" s="10">
        <v>136</v>
      </c>
      <c r="H32" s="10">
        <v>126</v>
      </c>
      <c r="I32" s="10">
        <v>4690</v>
      </c>
      <c r="L32" s="10">
        <v>6713</v>
      </c>
      <c r="M32" s="10">
        <v>43</v>
      </c>
      <c r="P32" s="10">
        <v>1.431343284</v>
      </c>
    </row>
    <row r="33" spans="1:16" x14ac:dyDescent="0.15">
      <c r="A33" s="10" t="s">
        <v>61</v>
      </c>
      <c r="B33" s="10" t="s">
        <v>62</v>
      </c>
      <c r="C33" s="10">
        <v>2020</v>
      </c>
      <c r="D33" s="10">
        <v>1378</v>
      </c>
      <c r="E33" s="10">
        <v>7</v>
      </c>
      <c r="F33" s="10">
        <v>-4</v>
      </c>
      <c r="G33" s="10">
        <v>3</v>
      </c>
      <c r="H33" s="10">
        <v>11</v>
      </c>
      <c r="I33" s="10">
        <v>1191</v>
      </c>
      <c r="L33" s="10">
        <v>1376</v>
      </c>
      <c r="M33" s="10">
        <v>5</v>
      </c>
      <c r="P33" s="10">
        <v>1.155331654</v>
      </c>
    </row>
    <row r="34" spans="1:16" x14ac:dyDescent="0.15">
      <c r="A34" s="10" t="s">
        <v>63</v>
      </c>
      <c r="B34" s="10" t="s">
        <v>64</v>
      </c>
      <c r="C34" s="10">
        <v>2020</v>
      </c>
      <c r="D34" s="10">
        <v>583063</v>
      </c>
      <c r="E34" s="10">
        <v>5723</v>
      </c>
      <c r="F34" s="10">
        <v>822</v>
      </c>
      <c r="G34" s="10">
        <v>-327</v>
      </c>
      <c r="H34" s="10">
        <v>4901</v>
      </c>
      <c r="I34" s="10">
        <v>248886</v>
      </c>
      <c r="L34" s="10">
        <v>574379</v>
      </c>
      <c r="M34" s="10">
        <v>2161</v>
      </c>
      <c r="P34" s="10">
        <v>2.3077995549999999</v>
      </c>
    </row>
    <row r="35" spans="1:16" x14ac:dyDescent="0.15">
      <c r="A35" s="10" t="s">
        <v>65</v>
      </c>
      <c r="B35" s="10" t="s">
        <v>66</v>
      </c>
      <c r="C35" s="10">
        <v>2020</v>
      </c>
      <c r="D35" s="10">
        <v>1454</v>
      </c>
      <c r="E35" s="10">
        <v>13</v>
      </c>
      <c r="F35" s="10">
        <v>-2</v>
      </c>
      <c r="G35" s="10">
        <v>1</v>
      </c>
      <c r="H35" s="10">
        <v>15</v>
      </c>
      <c r="I35" s="10">
        <v>737</v>
      </c>
      <c r="L35" s="10">
        <v>1425</v>
      </c>
      <c r="M35" s="10">
        <v>5</v>
      </c>
      <c r="P35" s="10">
        <v>1.933514247</v>
      </c>
    </row>
    <row r="36" spans="1:16" x14ac:dyDescent="0.15">
      <c r="A36" s="10" t="s">
        <v>67</v>
      </c>
      <c r="B36" s="10" t="s">
        <v>68</v>
      </c>
      <c r="C36" s="10">
        <v>2020</v>
      </c>
      <c r="D36" s="10">
        <v>7067</v>
      </c>
      <c r="E36" s="10">
        <v>91</v>
      </c>
      <c r="F36" s="10">
        <v>11</v>
      </c>
      <c r="G36" s="10">
        <v>-126</v>
      </c>
      <c r="H36" s="10">
        <v>80</v>
      </c>
      <c r="I36" s="10">
        <v>3411</v>
      </c>
      <c r="L36" s="10">
        <v>6973</v>
      </c>
      <c r="M36" s="10">
        <v>11</v>
      </c>
      <c r="P36" s="10">
        <v>2.0442685429999998</v>
      </c>
    </row>
    <row r="37" spans="1:16" x14ac:dyDescent="0.15">
      <c r="A37" s="10" t="s">
        <v>69</v>
      </c>
      <c r="B37" s="10" t="s">
        <v>70</v>
      </c>
      <c r="C37" s="10">
        <v>2020</v>
      </c>
      <c r="D37" s="10">
        <v>7412</v>
      </c>
      <c r="E37" s="10">
        <v>75</v>
      </c>
      <c r="F37" s="10">
        <v>48</v>
      </c>
      <c r="G37" s="10">
        <v>-191</v>
      </c>
      <c r="H37" s="10">
        <v>27</v>
      </c>
      <c r="I37" s="10">
        <v>4303</v>
      </c>
      <c r="L37" s="10">
        <v>7309</v>
      </c>
      <c r="M37" s="10">
        <v>53</v>
      </c>
      <c r="P37" s="10">
        <v>1.6985823840000001</v>
      </c>
    </row>
    <row r="38" spans="1:16" x14ac:dyDescent="0.15">
      <c r="A38" s="10" t="s">
        <v>71</v>
      </c>
      <c r="B38" s="10" t="s">
        <v>72</v>
      </c>
      <c r="C38" s="10">
        <v>2020</v>
      </c>
      <c r="D38" s="10">
        <v>55668</v>
      </c>
      <c r="E38" s="10">
        <v>481</v>
      </c>
      <c r="F38" s="10">
        <v>110</v>
      </c>
      <c r="G38" s="10">
        <v>49</v>
      </c>
      <c r="H38" s="10">
        <v>371</v>
      </c>
      <c r="I38" s="10">
        <v>28285</v>
      </c>
      <c r="L38" s="10">
        <v>53928</v>
      </c>
      <c r="M38" s="10">
        <v>253</v>
      </c>
      <c r="P38" s="10">
        <v>1.906593601</v>
      </c>
    </row>
    <row r="39" spans="1:16" x14ac:dyDescent="0.15">
      <c r="A39" s="10" t="s">
        <v>73</v>
      </c>
      <c r="B39" s="10" t="s">
        <v>74</v>
      </c>
      <c r="C39" s="10">
        <v>2020</v>
      </c>
      <c r="D39" s="10">
        <v>359920</v>
      </c>
      <c r="E39" s="10">
        <v>3092</v>
      </c>
      <c r="F39" s="10">
        <v>626</v>
      </c>
      <c r="G39" s="10">
        <v>2494</v>
      </c>
      <c r="H39" s="10">
        <v>2466</v>
      </c>
      <c r="I39" s="10">
        <v>159406</v>
      </c>
      <c r="L39" s="10">
        <v>348236</v>
      </c>
      <c r="M39" s="10">
        <v>2565</v>
      </c>
      <c r="P39" s="10">
        <v>2.1845852730000002</v>
      </c>
    </row>
    <row r="40" spans="1:16" x14ac:dyDescent="0.15">
      <c r="A40" s="10" t="s">
        <v>75</v>
      </c>
      <c r="B40" s="10" t="s">
        <v>76</v>
      </c>
      <c r="C40" s="10">
        <v>2020</v>
      </c>
      <c r="D40" s="10">
        <v>14479</v>
      </c>
      <c r="E40" s="10">
        <v>104</v>
      </c>
      <c r="F40" s="10">
        <v>-88</v>
      </c>
      <c r="G40" s="10">
        <v>-76</v>
      </c>
      <c r="H40" s="10">
        <v>192</v>
      </c>
      <c r="I40" s="10">
        <v>8085</v>
      </c>
      <c r="L40" s="10">
        <v>13850</v>
      </c>
      <c r="M40" s="10">
        <v>34</v>
      </c>
      <c r="P40" s="10">
        <v>1.7130488559999999</v>
      </c>
    </row>
    <row r="41" spans="1:16" x14ac:dyDescent="0.15">
      <c r="A41" s="10" t="s">
        <v>77</v>
      </c>
      <c r="B41" s="10" t="s">
        <v>78</v>
      </c>
      <c r="C41" s="10">
        <v>2020</v>
      </c>
      <c r="D41" s="10">
        <v>5662</v>
      </c>
      <c r="E41" s="10">
        <v>50</v>
      </c>
      <c r="F41" s="10">
        <v>-19</v>
      </c>
      <c r="G41" s="10">
        <v>39</v>
      </c>
      <c r="H41" s="10">
        <v>69</v>
      </c>
      <c r="I41" s="10">
        <v>2360</v>
      </c>
      <c r="L41" s="10">
        <v>4678</v>
      </c>
      <c r="M41" s="10">
        <v>9</v>
      </c>
      <c r="P41" s="10">
        <v>1.98220339</v>
      </c>
    </row>
    <row r="42" spans="1:16" x14ac:dyDescent="0.15">
      <c r="A42" s="10" t="s">
        <v>79</v>
      </c>
      <c r="B42" s="10" t="s">
        <v>80</v>
      </c>
      <c r="C42" s="10">
        <v>2020</v>
      </c>
      <c r="D42" s="10">
        <v>21203</v>
      </c>
      <c r="E42" s="10">
        <v>238</v>
      </c>
      <c r="F42" s="10">
        <v>1</v>
      </c>
      <c r="G42" s="10">
        <v>-303</v>
      </c>
      <c r="H42" s="10">
        <v>237</v>
      </c>
      <c r="I42" s="10">
        <v>8674</v>
      </c>
      <c r="L42" s="10">
        <v>18354</v>
      </c>
      <c r="M42" s="10">
        <v>12</v>
      </c>
      <c r="P42" s="10">
        <v>2.115978787</v>
      </c>
    </row>
    <row r="43" spans="1:16" x14ac:dyDescent="0.15">
      <c r="A43" s="10" t="s">
        <v>81</v>
      </c>
      <c r="B43" s="10" t="s">
        <v>82</v>
      </c>
      <c r="C43" s="10">
        <v>2020</v>
      </c>
      <c r="D43" s="10">
        <v>155993</v>
      </c>
      <c r="E43" s="10">
        <v>1568</v>
      </c>
      <c r="F43" s="10">
        <v>-117</v>
      </c>
      <c r="G43" s="10">
        <v>1001</v>
      </c>
      <c r="H43" s="10">
        <v>1685</v>
      </c>
      <c r="I43" s="10">
        <v>67680</v>
      </c>
      <c r="L43" s="10">
        <v>152045</v>
      </c>
      <c r="M43" s="10">
        <v>1004</v>
      </c>
      <c r="P43" s="10">
        <v>2.2465277779999999</v>
      </c>
    </row>
    <row r="44" spans="1:16" x14ac:dyDescent="0.15">
      <c r="A44" s="10" t="s">
        <v>83</v>
      </c>
      <c r="B44" s="10" t="s">
        <v>84</v>
      </c>
      <c r="C44" s="10">
        <v>2020</v>
      </c>
      <c r="D44" s="10">
        <v>871</v>
      </c>
      <c r="E44" s="10">
        <v>7</v>
      </c>
      <c r="F44" s="10">
        <v>-4</v>
      </c>
      <c r="G44" s="10">
        <v>41</v>
      </c>
      <c r="H44" s="10">
        <v>11</v>
      </c>
      <c r="I44" s="10">
        <v>1221</v>
      </c>
      <c r="L44" s="10">
        <v>871</v>
      </c>
      <c r="M44" s="10">
        <v>18</v>
      </c>
      <c r="P44" s="10">
        <v>0.71334971300000005</v>
      </c>
    </row>
    <row r="45" spans="1:16" x14ac:dyDescent="0.15">
      <c r="A45" s="10" t="s">
        <v>85</v>
      </c>
      <c r="B45" s="10" t="s">
        <v>86</v>
      </c>
      <c r="C45" s="10">
        <v>2020</v>
      </c>
      <c r="D45" s="10">
        <v>13265</v>
      </c>
      <c r="E45" s="10">
        <v>140</v>
      </c>
      <c r="F45" s="10">
        <v>22</v>
      </c>
      <c r="G45" s="10">
        <v>-121</v>
      </c>
      <c r="H45" s="10">
        <v>118</v>
      </c>
      <c r="I45" s="10">
        <v>6105</v>
      </c>
      <c r="L45" s="10">
        <v>13145</v>
      </c>
      <c r="M45" s="10">
        <v>17</v>
      </c>
      <c r="P45" s="10">
        <v>2.1531531529999999</v>
      </c>
    </row>
    <row r="46" spans="1:16" x14ac:dyDescent="0.15">
      <c r="A46" s="10" t="s">
        <v>87</v>
      </c>
      <c r="B46" s="10" t="s">
        <v>88</v>
      </c>
      <c r="C46" s="10">
        <v>2020</v>
      </c>
      <c r="D46" s="10">
        <v>25888</v>
      </c>
      <c r="E46" s="10">
        <v>248</v>
      </c>
      <c r="F46" s="10">
        <v>-45</v>
      </c>
      <c r="G46" s="10">
        <v>202</v>
      </c>
      <c r="H46" s="10">
        <v>293</v>
      </c>
      <c r="I46" s="10">
        <v>12302</v>
      </c>
      <c r="L46" s="10">
        <v>25628</v>
      </c>
      <c r="M46" s="10">
        <v>27</v>
      </c>
      <c r="P46" s="10">
        <v>2.083238498</v>
      </c>
    </row>
    <row r="47" spans="1:16" x14ac:dyDescent="0.15">
      <c r="A47" s="10" t="s">
        <v>89</v>
      </c>
      <c r="B47" s="10" t="s">
        <v>90</v>
      </c>
      <c r="C47" s="10">
        <v>2020</v>
      </c>
      <c r="D47" s="10">
        <v>42810</v>
      </c>
      <c r="E47" s="10">
        <v>406</v>
      </c>
      <c r="F47" s="10">
        <v>-64</v>
      </c>
      <c r="G47" s="10">
        <v>373</v>
      </c>
      <c r="H47" s="10">
        <v>470</v>
      </c>
      <c r="I47" s="10">
        <v>19029</v>
      </c>
      <c r="L47" s="10">
        <v>42126</v>
      </c>
      <c r="M47" s="10">
        <v>263</v>
      </c>
      <c r="P47" s="10">
        <v>2.2137789689999998</v>
      </c>
    </row>
    <row r="48" spans="1:16" x14ac:dyDescent="0.15">
      <c r="A48" s="10" t="s">
        <v>91</v>
      </c>
      <c r="B48" s="10" t="s">
        <v>92</v>
      </c>
      <c r="C48" s="10">
        <v>2020</v>
      </c>
      <c r="D48" s="10">
        <v>29078</v>
      </c>
      <c r="E48" s="10">
        <v>430</v>
      </c>
      <c r="F48" s="10">
        <v>107</v>
      </c>
      <c r="G48" s="10">
        <v>-159</v>
      </c>
      <c r="H48" s="10">
        <v>323</v>
      </c>
      <c r="I48" s="10">
        <v>11514</v>
      </c>
      <c r="L48" s="10">
        <v>28610</v>
      </c>
      <c r="M48" s="10">
        <v>147</v>
      </c>
      <c r="P48" s="10">
        <v>2.484801112</v>
      </c>
    </row>
    <row r="49" spans="1:16" x14ac:dyDescent="0.15">
      <c r="A49" s="10" t="s">
        <v>93</v>
      </c>
      <c r="B49" s="10" t="s">
        <v>94</v>
      </c>
      <c r="C49" s="10">
        <v>2020</v>
      </c>
      <c r="D49" s="10">
        <v>18668</v>
      </c>
      <c r="E49" s="10">
        <v>208</v>
      </c>
      <c r="F49" s="10">
        <v>-40</v>
      </c>
      <c r="G49" s="10">
        <v>-28</v>
      </c>
      <c r="H49" s="10">
        <v>248</v>
      </c>
      <c r="I49" s="10">
        <v>8720</v>
      </c>
      <c r="L49" s="10">
        <v>18262</v>
      </c>
      <c r="M49" s="10">
        <v>6</v>
      </c>
      <c r="P49" s="10">
        <v>2.0942660549999998</v>
      </c>
    </row>
    <row r="50" spans="1:16" x14ac:dyDescent="0.15">
      <c r="A50" s="10" t="s">
        <v>95</v>
      </c>
      <c r="B50" s="10" t="s">
        <v>96</v>
      </c>
      <c r="C50" s="10">
        <v>2020</v>
      </c>
      <c r="D50" s="10">
        <v>4876</v>
      </c>
      <c r="E50" s="10">
        <v>25</v>
      </c>
      <c r="F50" s="10">
        <v>6</v>
      </c>
      <c r="G50" s="10">
        <v>-17</v>
      </c>
      <c r="H50" s="10">
        <v>19</v>
      </c>
      <c r="I50" s="10">
        <v>3326</v>
      </c>
      <c r="L50" s="10">
        <v>4876</v>
      </c>
      <c r="M50" s="10">
        <v>71</v>
      </c>
      <c r="P50" s="10">
        <v>1.466025256</v>
      </c>
    </row>
    <row r="51" spans="1:16" x14ac:dyDescent="0.15">
      <c r="A51" s="10" t="s">
        <v>97</v>
      </c>
      <c r="B51" s="10" t="s">
        <v>98</v>
      </c>
      <c r="C51" s="10">
        <v>2020</v>
      </c>
      <c r="D51" s="10">
        <v>17416</v>
      </c>
      <c r="E51" s="10">
        <v>140</v>
      </c>
      <c r="F51" s="10">
        <v>29</v>
      </c>
      <c r="G51" s="10">
        <v>-124</v>
      </c>
      <c r="H51" s="10">
        <v>111</v>
      </c>
      <c r="I51" s="10">
        <v>14154</v>
      </c>
      <c r="L51" s="10">
        <v>17390</v>
      </c>
      <c r="M51" s="10">
        <v>162</v>
      </c>
      <c r="P51" s="10">
        <v>1.2286279499999999</v>
      </c>
    </row>
    <row r="52" spans="1:16" x14ac:dyDescent="0.15">
      <c r="A52" s="10" t="s">
        <v>99</v>
      </c>
      <c r="B52" s="10" t="s">
        <v>100</v>
      </c>
      <c r="C52" s="10">
        <v>2020</v>
      </c>
      <c r="D52" s="10">
        <v>4523</v>
      </c>
      <c r="E52" s="10">
        <v>48</v>
      </c>
      <c r="F52" s="10">
        <v>-9</v>
      </c>
      <c r="G52" s="10">
        <v>11</v>
      </c>
      <c r="H52" s="10">
        <v>57</v>
      </c>
      <c r="I52" s="10">
        <v>2026</v>
      </c>
      <c r="L52" s="10">
        <v>4453</v>
      </c>
      <c r="M52" s="10">
        <v>3</v>
      </c>
      <c r="P52" s="10">
        <v>2.1979269499999998</v>
      </c>
    </row>
    <row r="53" spans="1:16" x14ac:dyDescent="0.15">
      <c r="A53" s="10" t="s">
        <v>101</v>
      </c>
      <c r="B53" s="10" t="s">
        <v>102</v>
      </c>
      <c r="C53" s="10">
        <v>2020</v>
      </c>
      <c r="D53" s="10">
        <v>17355</v>
      </c>
      <c r="E53" s="10">
        <v>146</v>
      </c>
      <c r="F53" s="10">
        <v>87</v>
      </c>
      <c r="G53" s="10">
        <v>-145</v>
      </c>
      <c r="H53" s="10">
        <v>59</v>
      </c>
      <c r="I53" s="10">
        <v>13260</v>
      </c>
      <c r="L53" s="10">
        <v>17308</v>
      </c>
      <c r="M53" s="10">
        <v>72</v>
      </c>
      <c r="P53" s="10">
        <v>1.3052790350000001</v>
      </c>
    </row>
    <row r="54" spans="1:16" x14ac:dyDescent="0.15">
      <c r="A54" s="10" t="s">
        <v>103</v>
      </c>
      <c r="B54" s="10" t="s">
        <v>104</v>
      </c>
      <c r="C54" s="10">
        <v>2020</v>
      </c>
      <c r="D54" s="10">
        <v>12012</v>
      </c>
      <c r="E54" s="10">
        <v>159</v>
      </c>
      <c r="F54" s="10">
        <v>33</v>
      </c>
      <c r="G54" s="10">
        <v>-32</v>
      </c>
      <c r="H54" s="10">
        <v>126</v>
      </c>
      <c r="I54" s="10">
        <v>5438</v>
      </c>
      <c r="L54" s="10">
        <v>11651</v>
      </c>
      <c r="M54" s="10">
        <v>15</v>
      </c>
      <c r="P54" s="10">
        <v>2.1425156310000002</v>
      </c>
    </row>
    <row r="55" spans="1:16" x14ac:dyDescent="0.15">
      <c r="A55" s="10" t="s">
        <v>105</v>
      </c>
      <c r="B55" s="10" t="s">
        <v>106</v>
      </c>
      <c r="C55" s="10">
        <v>2020</v>
      </c>
      <c r="D55" s="10">
        <v>168311</v>
      </c>
      <c r="E55" s="10">
        <v>1729</v>
      </c>
      <c r="F55" s="10">
        <v>-270</v>
      </c>
      <c r="G55" s="10">
        <v>1096</v>
      </c>
      <c r="H55" s="10">
        <v>1999</v>
      </c>
      <c r="I55" s="10">
        <v>72144</v>
      </c>
      <c r="L55" s="10">
        <v>164967</v>
      </c>
      <c r="M55" s="10">
        <v>579</v>
      </c>
      <c r="P55" s="10">
        <v>2.2866350629999999</v>
      </c>
    </row>
    <row r="56" spans="1:16" x14ac:dyDescent="0.15">
      <c r="A56" s="10" t="s">
        <v>107</v>
      </c>
      <c r="B56" s="10" t="s">
        <v>108</v>
      </c>
      <c r="C56" s="10">
        <v>2020</v>
      </c>
      <c r="D56" s="10">
        <v>6521</v>
      </c>
      <c r="E56" s="10">
        <v>54</v>
      </c>
      <c r="F56" s="10">
        <v>8</v>
      </c>
      <c r="G56" s="10">
        <v>-15</v>
      </c>
      <c r="H56" s="10">
        <v>46</v>
      </c>
      <c r="I56" s="10">
        <v>3279</v>
      </c>
      <c r="L56" s="10">
        <v>6301</v>
      </c>
      <c r="M56" s="10">
        <v>8</v>
      </c>
      <c r="P56" s="10">
        <v>1.921622446</v>
      </c>
    </row>
    <row r="57" spans="1:16" x14ac:dyDescent="0.15">
      <c r="A57" s="10" t="s">
        <v>109</v>
      </c>
      <c r="B57" s="10" t="s">
        <v>110</v>
      </c>
      <c r="C57" s="10">
        <v>2020</v>
      </c>
      <c r="D57" s="10">
        <v>11536</v>
      </c>
      <c r="E57" s="10">
        <v>111</v>
      </c>
      <c r="F57" s="10">
        <v>-35</v>
      </c>
      <c r="G57" s="10">
        <v>-29</v>
      </c>
      <c r="H57" s="10">
        <v>146</v>
      </c>
      <c r="I57" s="10">
        <v>6533</v>
      </c>
      <c r="L57" s="10">
        <v>11402</v>
      </c>
      <c r="M57" s="10">
        <v>31</v>
      </c>
      <c r="P57" s="10">
        <v>1.7452931270000001</v>
      </c>
    </row>
    <row r="58" spans="1:16" x14ac:dyDescent="0.15">
      <c r="A58" s="10" t="s">
        <v>111</v>
      </c>
      <c r="B58" s="10" t="s">
        <v>112</v>
      </c>
      <c r="C58" s="10">
        <v>2020</v>
      </c>
      <c r="D58" s="10">
        <v>24834</v>
      </c>
      <c r="E58" s="10">
        <v>194</v>
      </c>
      <c r="F58" s="10">
        <v>64</v>
      </c>
      <c r="G58" s="10">
        <v>249</v>
      </c>
      <c r="H58" s="10">
        <v>130</v>
      </c>
      <c r="I58" s="10">
        <v>16572</v>
      </c>
      <c r="L58" s="10">
        <v>24483</v>
      </c>
      <c r="M58" s="10">
        <v>285</v>
      </c>
      <c r="P58" s="10">
        <v>1.47737147</v>
      </c>
    </row>
    <row r="59" spans="1:16" x14ac:dyDescent="0.15">
      <c r="A59" s="10" t="s">
        <v>113</v>
      </c>
      <c r="B59" s="10" t="s">
        <v>114</v>
      </c>
      <c r="C59" s="10">
        <v>2020</v>
      </c>
      <c r="D59" s="10">
        <v>6390</v>
      </c>
      <c r="E59" s="10">
        <v>41</v>
      </c>
      <c r="F59" s="10">
        <v>-7</v>
      </c>
      <c r="G59" s="10">
        <v>38</v>
      </c>
      <c r="H59" s="10">
        <v>48</v>
      </c>
      <c r="I59" s="10">
        <v>3760</v>
      </c>
      <c r="L59" s="10">
        <v>6374</v>
      </c>
      <c r="M59" s="10">
        <v>54</v>
      </c>
      <c r="P59" s="10">
        <v>1.695212766</v>
      </c>
    </row>
    <row r="60" spans="1:16" x14ac:dyDescent="0.15">
      <c r="A60" s="10" t="s">
        <v>115</v>
      </c>
      <c r="B60" s="10" t="s">
        <v>116</v>
      </c>
      <c r="C60" s="10">
        <v>2020</v>
      </c>
      <c r="D60" s="10">
        <v>711</v>
      </c>
      <c r="E60" s="10">
        <v>2</v>
      </c>
      <c r="F60" s="10">
        <v>-4</v>
      </c>
      <c r="G60" s="10">
        <v>10</v>
      </c>
      <c r="H60" s="10">
        <v>6</v>
      </c>
      <c r="I60" s="10">
        <v>781</v>
      </c>
      <c r="L60" s="10">
        <v>711</v>
      </c>
      <c r="M60" s="10">
        <v>7</v>
      </c>
      <c r="P60" s="10">
        <v>0.91037131900000001</v>
      </c>
    </row>
    <row r="61" spans="1:16" x14ac:dyDescent="0.15">
      <c r="A61" s="10" t="s">
        <v>117</v>
      </c>
      <c r="B61" s="10" t="s">
        <v>118</v>
      </c>
      <c r="C61" s="10">
        <v>2020</v>
      </c>
      <c r="D61" s="10">
        <v>8055</v>
      </c>
      <c r="E61" s="10">
        <v>54</v>
      </c>
      <c r="F61" s="10">
        <v>32</v>
      </c>
      <c r="G61" s="10">
        <v>-100</v>
      </c>
      <c r="H61" s="10">
        <v>22</v>
      </c>
      <c r="I61" s="10">
        <v>6564</v>
      </c>
      <c r="L61" s="10">
        <v>8050</v>
      </c>
      <c r="M61" s="10">
        <v>34</v>
      </c>
      <c r="P61" s="10">
        <v>1.2263863500000001</v>
      </c>
    </row>
    <row r="62" spans="1:16" x14ac:dyDescent="0.15">
      <c r="A62" s="10" t="s">
        <v>119</v>
      </c>
      <c r="B62" s="10" t="s">
        <v>120</v>
      </c>
      <c r="C62" s="10">
        <v>2020</v>
      </c>
      <c r="D62" s="10">
        <v>2391</v>
      </c>
      <c r="E62" s="10">
        <v>18</v>
      </c>
      <c r="F62" s="10">
        <v>-21</v>
      </c>
      <c r="G62" s="10">
        <v>7</v>
      </c>
      <c r="H62" s="10">
        <v>39</v>
      </c>
      <c r="I62" s="10">
        <v>1343</v>
      </c>
      <c r="L62" s="10">
        <v>2352</v>
      </c>
      <c r="M62" s="10">
        <v>0</v>
      </c>
      <c r="P62" s="10">
        <v>1.751303053</v>
      </c>
    </row>
    <row r="63" spans="1:16" x14ac:dyDescent="0.15">
      <c r="A63" s="10" t="s">
        <v>121</v>
      </c>
      <c r="B63" s="10" t="s">
        <v>122</v>
      </c>
      <c r="C63" s="10">
        <v>2020</v>
      </c>
      <c r="D63" s="10">
        <v>30996</v>
      </c>
      <c r="E63" s="10">
        <v>263</v>
      </c>
      <c r="F63" s="10">
        <v>179</v>
      </c>
      <c r="G63" s="10">
        <v>-373</v>
      </c>
      <c r="H63" s="10">
        <v>84</v>
      </c>
      <c r="I63" s="10">
        <v>31416</v>
      </c>
      <c r="L63" s="10">
        <v>30417</v>
      </c>
      <c r="M63" s="10">
        <v>318</v>
      </c>
      <c r="P63" s="10">
        <v>0.96820091699999999</v>
      </c>
    </row>
    <row r="64" spans="1:16" x14ac:dyDescent="0.15">
      <c r="A64" s="10" t="s">
        <v>123</v>
      </c>
      <c r="B64" s="10" t="s">
        <v>124</v>
      </c>
      <c r="C64" s="10">
        <v>2020</v>
      </c>
      <c r="D64" s="10">
        <v>24745</v>
      </c>
      <c r="E64" s="10">
        <v>195</v>
      </c>
      <c r="F64" s="10">
        <v>10</v>
      </c>
      <c r="G64" s="10">
        <v>56</v>
      </c>
      <c r="H64" s="10">
        <v>185</v>
      </c>
      <c r="I64" s="10">
        <v>13346</v>
      </c>
      <c r="L64" s="10">
        <v>24581</v>
      </c>
      <c r="M64" s="10">
        <v>113</v>
      </c>
      <c r="P64" s="10">
        <v>1.8418252660000001</v>
      </c>
    </row>
    <row r="65" spans="1:16" x14ac:dyDescent="0.15">
      <c r="A65" s="10" t="s">
        <v>125</v>
      </c>
      <c r="B65" s="10" t="s">
        <v>126</v>
      </c>
      <c r="C65" s="10">
        <v>2020</v>
      </c>
      <c r="D65" s="10">
        <v>4811</v>
      </c>
      <c r="E65" s="10">
        <v>43</v>
      </c>
      <c r="F65" s="10">
        <v>-22</v>
      </c>
      <c r="G65" s="10">
        <v>7</v>
      </c>
      <c r="H65" s="10">
        <v>65</v>
      </c>
      <c r="I65" s="10">
        <v>2278</v>
      </c>
      <c r="L65" s="10">
        <v>4645</v>
      </c>
      <c r="M65" s="10">
        <v>7</v>
      </c>
      <c r="P65" s="10">
        <v>2.039069359</v>
      </c>
    </row>
    <row r="66" spans="1:16" x14ac:dyDescent="0.15">
      <c r="A66" s="10" t="s">
        <v>127</v>
      </c>
      <c r="B66" s="10" t="s">
        <v>128</v>
      </c>
      <c r="C66" s="10">
        <v>2020</v>
      </c>
      <c r="D66" s="10">
        <v>331423</v>
      </c>
      <c r="E66" s="10">
        <v>4431</v>
      </c>
      <c r="F66" s="10">
        <v>2403</v>
      </c>
      <c r="G66" s="10">
        <v>6685</v>
      </c>
      <c r="H66" s="10">
        <v>2028</v>
      </c>
      <c r="I66" s="10">
        <v>120949</v>
      </c>
      <c r="L66" s="10">
        <v>326233</v>
      </c>
      <c r="M66" s="10">
        <v>4185</v>
      </c>
      <c r="P66" s="10">
        <v>2.6972773650000001</v>
      </c>
    </row>
    <row r="67" spans="1:16" x14ac:dyDescent="0.15">
      <c r="A67" s="10" t="s">
        <v>129</v>
      </c>
      <c r="B67" s="10" t="s">
        <v>130</v>
      </c>
      <c r="C67" s="10">
        <v>2020</v>
      </c>
      <c r="D67" s="10">
        <v>9977</v>
      </c>
      <c r="E67" s="10">
        <v>116</v>
      </c>
      <c r="F67" s="10">
        <v>19</v>
      </c>
      <c r="G67" s="10">
        <v>-52</v>
      </c>
      <c r="H67" s="10">
        <v>97</v>
      </c>
      <c r="I67" s="10">
        <v>4315</v>
      </c>
      <c r="L67" s="10">
        <v>9759</v>
      </c>
      <c r="M67" s="10">
        <v>6</v>
      </c>
      <c r="P67" s="10">
        <v>2.261645423</v>
      </c>
    </row>
    <row r="68" spans="1:16" x14ac:dyDescent="0.15">
      <c r="A68" s="10" t="s">
        <v>1</v>
      </c>
      <c r="B68" s="10" t="s">
        <v>2</v>
      </c>
      <c r="C68" s="10">
        <v>2021</v>
      </c>
      <c r="D68" s="10">
        <v>5811026</v>
      </c>
      <c r="E68" s="10">
        <v>61980</v>
      </c>
      <c r="F68" s="10">
        <v>15430</v>
      </c>
      <c r="G68" s="10">
        <v>11012</v>
      </c>
      <c r="H68" s="10">
        <v>46550</v>
      </c>
      <c r="I68" s="10">
        <v>2542505</v>
      </c>
      <c r="L68" s="10">
        <v>5696338</v>
      </c>
      <c r="M68" s="10">
        <v>56524</v>
      </c>
      <c r="P68" s="10">
        <v>2.2404431850000002</v>
      </c>
    </row>
    <row r="69" spans="1:16" x14ac:dyDescent="0.15">
      <c r="A69" s="10" t="s">
        <v>3</v>
      </c>
      <c r="B69" s="10" t="s">
        <v>4</v>
      </c>
      <c r="C69" s="10">
        <v>2021</v>
      </c>
      <c r="D69" s="10">
        <v>523417</v>
      </c>
      <c r="E69" s="10">
        <v>6644</v>
      </c>
      <c r="F69" s="10">
        <v>2686</v>
      </c>
      <c r="G69" s="10">
        <v>298</v>
      </c>
      <c r="H69" s="10">
        <v>3958</v>
      </c>
      <c r="I69" s="10">
        <v>191198</v>
      </c>
      <c r="L69" s="10">
        <v>518896</v>
      </c>
      <c r="M69" s="10">
        <v>4687</v>
      </c>
      <c r="P69" s="10">
        <v>2.7139196019999998</v>
      </c>
    </row>
    <row r="70" spans="1:16" x14ac:dyDescent="0.15">
      <c r="A70" s="10" t="s">
        <v>5</v>
      </c>
      <c r="B70" s="10" t="s">
        <v>6</v>
      </c>
      <c r="C70" s="10">
        <v>2021</v>
      </c>
      <c r="D70" s="10">
        <v>16574</v>
      </c>
      <c r="E70" s="10">
        <v>188</v>
      </c>
      <c r="F70" s="10">
        <v>26</v>
      </c>
      <c r="G70" s="10">
        <v>177</v>
      </c>
      <c r="H70" s="10">
        <v>162</v>
      </c>
      <c r="I70" s="10">
        <v>7137</v>
      </c>
      <c r="L70" s="10">
        <v>15590</v>
      </c>
      <c r="M70" s="10">
        <v>109</v>
      </c>
      <c r="P70" s="10">
        <v>2.1843912009999999</v>
      </c>
    </row>
    <row r="71" spans="1:16" x14ac:dyDescent="0.15">
      <c r="A71" s="10" t="s">
        <v>7</v>
      </c>
      <c r="B71" s="10" t="s">
        <v>8</v>
      </c>
      <c r="C71" s="10">
        <v>2021</v>
      </c>
      <c r="D71" s="10">
        <v>656722</v>
      </c>
      <c r="E71" s="10">
        <v>7551</v>
      </c>
      <c r="F71" s="10">
        <v>2814</v>
      </c>
      <c r="G71" s="10">
        <v>-1304</v>
      </c>
      <c r="H71" s="10">
        <v>4737</v>
      </c>
      <c r="I71" s="10">
        <v>266515</v>
      </c>
      <c r="L71" s="10">
        <v>651475</v>
      </c>
      <c r="M71" s="10">
        <v>5519</v>
      </c>
      <c r="P71" s="10">
        <v>2.4444215150000002</v>
      </c>
    </row>
    <row r="72" spans="1:16" x14ac:dyDescent="0.15">
      <c r="A72" s="10" t="s">
        <v>9</v>
      </c>
      <c r="B72" s="10" t="s">
        <v>10</v>
      </c>
      <c r="C72" s="10">
        <v>2021</v>
      </c>
      <c r="D72" s="10">
        <v>13812</v>
      </c>
      <c r="E72" s="10">
        <v>118</v>
      </c>
      <c r="F72" s="10">
        <v>-4</v>
      </c>
      <c r="G72" s="10">
        <v>388</v>
      </c>
      <c r="H72" s="10">
        <v>122</v>
      </c>
      <c r="I72" s="10">
        <v>9687</v>
      </c>
      <c r="L72" s="10">
        <v>13720</v>
      </c>
      <c r="M72" s="10">
        <v>193</v>
      </c>
      <c r="P72" s="10">
        <v>1.4163311649999999</v>
      </c>
    </row>
    <row r="73" spans="1:16" x14ac:dyDescent="0.15">
      <c r="A73" s="10" t="s">
        <v>11</v>
      </c>
      <c r="B73" s="10" t="s">
        <v>12</v>
      </c>
      <c r="C73" s="10">
        <v>2021</v>
      </c>
      <c r="D73" s="10">
        <v>3491</v>
      </c>
      <c r="E73" s="10">
        <v>35</v>
      </c>
      <c r="F73" s="10">
        <v>-34</v>
      </c>
      <c r="G73" s="10">
        <v>47</v>
      </c>
      <c r="H73" s="10">
        <v>69</v>
      </c>
      <c r="I73" s="10">
        <v>1977</v>
      </c>
      <c r="L73" s="10">
        <v>3443</v>
      </c>
      <c r="M73" s="10">
        <v>3</v>
      </c>
      <c r="P73" s="10">
        <v>1.7415275670000001</v>
      </c>
    </row>
    <row r="74" spans="1:16" x14ac:dyDescent="0.15">
      <c r="A74" s="10" t="s">
        <v>13</v>
      </c>
      <c r="B74" s="10" t="s">
        <v>14</v>
      </c>
      <c r="C74" s="10">
        <v>2021</v>
      </c>
      <c r="D74" s="10">
        <v>5334</v>
      </c>
      <c r="E74" s="10">
        <v>36</v>
      </c>
      <c r="F74" s="10">
        <v>-43</v>
      </c>
      <c r="G74" s="10">
        <v>-100</v>
      </c>
      <c r="H74" s="10">
        <v>79</v>
      </c>
      <c r="I74" s="10">
        <v>2143</v>
      </c>
      <c r="L74" s="10">
        <v>4166</v>
      </c>
      <c r="M74" s="10">
        <v>8</v>
      </c>
      <c r="P74" s="10">
        <v>1.944003733</v>
      </c>
    </row>
    <row r="75" spans="1:16" x14ac:dyDescent="0.15">
      <c r="A75" s="10" t="s">
        <v>15</v>
      </c>
      <c r="B75" s="10" t="s">
        <v>16</v>
      </c>
      <c r="C75" s="10">
        <v>2021</v>
      </c>
      <c r="D75" s="10">
        <v>327080</v>
      </c>
      <c r="E75" s="10">
        <v>2472</v>
      </c>
      <c r="F75" s="10">
        <v>343</v>
      </c>
      <c r="G75" s="10">
        <v>-4186</v>
      </c>
      <c r="H75" s="10">
        <v>2129</v>
      </c>
      <c r="I75" s="10">
        <v>143362</v>
      </c>
      <c r="L75" s="10">
        <v>315126</v>
      </c>
      <c r="M75" s="10">
        <v>1237</v>
      </c>
      <c r="P75" s="10">
        <v>2.1981138659999999</v>
      </c>
    </row>
    <row r="76" spans="1:16" x14ac:dyDescent="0.15">
      <c r="A76" s="10" t="s">
        <v>17</v>
      </c>
      <c r="B76" s="10" t="s">
        <v>18</v>
      </c>
      <c r="C76" s="10">
        <v>2021</v>
      </c>
      <c r="D76" s="10">
        <v>75415</v>
      </c>
      <c r="E76" s="10">
        <v>645</v>
      </c>
      <c r="F76" s="10">
        <v>201</v>
      </c>
      <c r="G76" s="10">
        <v>720</v>
      </c>
      <c r="H76" s="10">
        <v>444</v>
      </c>
      <c r="I76" s="10">
        <v>32231</v>
      </c>
      <c r="L76" s="10">
        <v>74984</v>
      </c>
      <c r="M76" s="10">
        <v>501</v>
      </c>
      <c r="P76" s="10">
        <v>2.3264558960000001</v>
      </c>
    </row>
    <row r="77" spans="1:16" x14ac:dyDescent="0.15">
      <c r="A77" s="10" t="s">
        <v>19</v>
      </c>
      <c r="B77" s="10" t="s">
        <v>20</v>
      </c>
      <c r="C77" s="10">
        <v>2021</v>
      </c>
      <c r="D77" s="10">
        <v>19737</v>
      </c>
      <c r="E77" s="10">
        <v>148</v>
      </c>
      <c r="F77" s="10">
        <v>-25</v>
      </c>
      <c r="G77" s="10">
        <v>284</v>
      </c>
      <c r="H77" s="10">
        <v>173</v>
      </c>
      <c r="I77" s="10">
        <v>11322</v>
      </c>
      <c r="L77" s="10">
        <v>18809</v>
      </c>
      <c r="M77" s="10">
        <v>349</v>
      </c>
      <c r="P77" s="10">
        <v>1.661278926</v>
      </c>
    </row>
    <row r="78" spans="1:16" x14ac:dyDescent="0.15">
      <c r="A78" s="10" t="s">
        <v>21</v>
      </c>
      <c r="B78" s="10" t="s">
        <v>22</v>
      </c>
      <c r="C78" s="10">
        <v>2021</v>
      </c>
      <c r="D78" s="10">
        <v>1716</v>
      </c>
      <c r="E78" s="10">
        <v>21</v>
      </c>
      <c r="F78" s="10">
        <v>-4</v>
      </c>
      <c r="G78" s="10">
        <v>-24</v>
      </c>
      <c r="H78" s="10">
        <v>25</v>
      </c>
      <c r="I78" s="10">
        <v>933</v>
      </c>
      <c r="L78" s="10">
        <v>1690</v>
      </c>
      <c r="M78" s="10">
        <v>12</v>
      </c>
      <c r="P78" s="10">
        <v>1.8113611999999999</v>
      </c>
    </row>
    <row r="79" spans="1:16" x14ac:dyDescent="0.15">
      <c r="A79" s="10" t="s">
        <v>23</v>
      </c>
      <c r="B79" s="10" t="s">
        <v>24</v>
      </c>
      <c r="C79" s="10">
        <v>2021</v>
      </c>
      <c r="D79" s="10">
        <v>9457</v>
      </c>
      <c r="E79" s="10">
        <v>70</v>
      </c>
      <c r="F79" s="10">
        <v>5</v>
      </c>
      <c r="G79" s="10">
        <v>55</v>
      </c>
      <c r="H79" s="10">
        <v>65</v>
      </c>
      <c r="I79" s="10">
        <v>5771</v>
      </c>
      <c r="L79" s="10">
        <v>9375</v>
      </c>
      <c r="M79" s="10">
        <v>97</v>
      </c>
      <c r="P79" s="10">
        <v>1.624501819</v>
      </c>
    </row>
    <row r="80" spans="1:16" x14ac:dyDescent="0.15">
      <c r="A80" s="10" t="s">
        <v>25</v>
      </c>
      <c r="B80" s="10" t="s">
        <v>26</v>
      </c>
      <c r="C80" s="10">
        <v>2021</v>
      </c>
      <c r="D80" s="10">
        <v>7586</v>
      </c>
      <c r="E80" s="10">
        <v>97</v>
      </c>
      <c r="F80" s="10">
        <v>-5</v>
      </c>
      <c r="G80" s="10">
        <v>137</v>
      </c>
      <c r="H80" s="10">
        <v>102</v>
      </c>
      <c r="I80" s="10">
        <v>4062</v>
      </c>
      <c r="L80" s="10">
        <v>7535</v>
      </c>
      <c r="M80" s="10">
        <v>45</v>
      </c>
      <c r="P80" s="10">
        <v>1.8549975379999999</v>
      </c>
    </row>
    <row r="81" spans="1:16" x14ac:dyDescent="0.15">
      <c r="A81" s="10" t="s">
        <v>27</v>
      </c>
      <c r="B81" s="10" t="s">
        <v>28</v>
      </c>
      <c r="C81" s="10">
        <v>2021</v>
      </c>
      <c r="D81" s="10">
        <v>3617</v>
      </c>
      <c r="E81" s="10">
        <v>41</v>
      </c>
      <c r="F81" s="10">
        <v>1</v>
      </c>
      <c r="G81" s="10">
        <v>113</v>
      </c>
      <c r="H81" s="10">
        <v>40</v>
      </c>
      <c r="I81" s="10">
        <v>2424</v>
      </c>
      <c r="L81" s="10">
        <v>3605</v>
      </c>
      <c r="M81" s="10">
        <v>0</v>
      </c>
      <c r="P81" s="10">
        <v>1.4872112209999999</v>
      </c>
    </row>
    <row r="82" spans="1:16" x14ac:dyDescent="0.15">
      <c r="A82" s="10" t="s">
        <v>29</v>
      </c>
      <c r="B82" s="10" t="s">
        <v>30</v>
      </c>
      <c r="C82" s="10">
        <v>2021</v>
      </c>
      <c r="D82" s="10">
        <v>5744</v>
      </c>
      <c r="E82" s="10">
        <v>30</v>
      </c>
      <c r="F82" s="10">
        <v>-36</v>
      </c>
      <c r="G82" s="10">
        <v>84</v>
      </c>
      <c r="H82" s="10">
        <v>66</v>
      </c>
      <c r="I82" s="10">
        <v>1521</v>
      </c>
      <c r="L82" s="10">
        <v>3143</v>
      </c>
      <c r="M82" s="10">
        <v>14</v>
      </c>
      <c r="P82" s="10">
        <v>2.0664036819999998</v>
      </c>
    </row>
    <row r="83" spans="1:16" x14ac:dyDescent="0.15">
      <c r="A83" s="10" t="s">
        <v>31</v>
      </c>
      <c r="B83" s="10" t="s">
        <v>32</v>
      </c>
      <c r="C83" s="10">
        <v>2021</v>
      </c>
      <c r="D83" s="10">
        <v>5064</v>
      </c>
      <c r="E83" s="10">
        <v>41</v>
      </c>
      <c r="F83" s="10">
        <v>-18</v>
      </c>
      <c r="G83" s="10">
        <v>362</v>
      </c>
      <c r="H83" s="10">
        <v>59</v>
      </c>
      <c r="I83" s="10">
        <v>4326</v>
      </c>
      <c r="L83" s="10">
        <v>5061</v>
      </c>
      <c r="M83" s="10">
        <v>146</v>
      </c>
      <c r="P83" s="10">
        <v>1.169902913</v>
      </c>
    </row>
    <row r="84" spans="1:16" x14ac:dyDescent="0.15">
      <c r="A84" s="10" t="s">
        <v>33</v>
      </c>
      <c r="B84" s="10" t="s">
        <v>34</v>
      </c>
      <c r="C84" s="10">
        <v>2021</v>
      </c>
      <c r="D84" s="10">
        <v>31386</v>
      </c>
      <c r="E84" s="10">
        <v>300</v>
      </c>
      <c r="F84" s="10">
        <v>-191</v>
      </c>
      <c r="G84" s="10">
        <v>525</v>
      </c>
      <c r="H84" s="10">
        <v>491</v>
      </c>
      <c r="I84" s="10">
        <v>14860</v>
      </c>
      <c r="L84" s="10">
        <v>30916</v>
      </c>
      <c r="M84" s="10">
        <v>223</v>
      </c>
      <c r="P84" s="10">
        <v>2.0804845219999999</v>
      </c>
    </row>
    <row r="85" spans="1:16" x14ac:dyDescent="0.15">
      <c r="A85" s="10" t="s">
        <v>35</v>
      </c>
      <c r="B85" s="10" t="s">
        <v>36</v>
      </c>
      <c r="C85" s="10">
        <v>2021</v>
      </c>
      <c r="D85" s="10">
        <v>711375</v>
      </c>
      <c r="E85" s="10">
        <v>8557</v>
      </c>
      <c r="F85" s="10">
        <v>3392</v>
      </c>
      <c r="G85" s="10">
        <v>-9562</v>
      </c>
      <c r="H85" s="10">
        <v>5165</v>
      </c>
      <c r="I85" s="10">
        <v>352130</v>
      </c>
      <c r="L85" s="10">
        <v>697456</v>
      </c>
      <c r="M85" s="10">
        <v>10000</v>
      </c>
      <c r="P85" s="10">
        <v>1.9806775910000001</v>
      </c>
    </row>
    <row r="86" spans="1:16" x14ac:dyDescent="0.15">
      <c r="A86" s="10" t="s">
        <v>37</v>
      </c>
      <c r="B86" s="10" t="s">
        <v>38</v>
      </c>
      <c r="C86" s="10">
        <v>2021</v>
      </c>
      <c r="D86" s="10">
        <v>2121</v>
      </c>
      <c r="E86" s="10">
        <v>16</v>
      </c>
      <c r="F86" s="10">
        <v>-14</v>
      </c>
      <c r="G86" s="10">
        <v>57</v>
      </c>
      <c r="H86" s="10">
        <v>30</v>
      </c>
      <c r="I86" s="10">
        <v>1337</v>
      </c>
      <c r="L86" s="10">
        <v>2121</v>
      </c>
      <c r="M86" s="10">
        <v>6</v>
      </c>
      <c r="P86" s="10">
        <v>1.586387435</v>
      </c>
    </row>
    <row r="87" spans="1:16" x14ac:dyDescent="0.15">
      <c r="A87" s="10" t="s">
        <v>39</v>
      </c>
      <c r="B87" s="10" t="s">
        <v>40</v>
      </c>
      <c r="C87" s="10">
        <v>2021</v>
      </c>
      <c r="D87" s="10">
        <v>369758</v>
      </c>
      <c r="E87" s="10">
        <v>3529</v>
      </c>
      <c r="F87" s="10">
        <v>1657</v>
      </c>
      <c r="G87" s="10">
        <v>7829</v>
      </c>
      <c r="H87" s="10">
        <v>1872</v>
      </c>
      <c r="I87" s="10">
        <v>140356</v>
      </c>
      <c r="L87" s="10">
        <v>368151</v>
      </c>
      <c r="M87" s="10">
        <v>6059</v>
      </c>
      <c r="P87" s="10">
        <v>2.6229801359999998</v>
      </c>
    </row>
    <row r="88" spans="1:16" x14ac:dyDescent="0.15">
      <c r="A88" s="10" t="s">
        <v>41</v>
      </c>
      <c r="B88" s="10" t="s">
        <v>42</v>
      </c>
      <c r="C88" s="10">
        <v>2021</v>
      </c>
      <c r="D88" s="10">
        <v>55785</v>
      </c>
      <c r="E88" s="10">
        <v>518</v>
      </c>
      <c r="F88" s="10">
        <v>351</v>
      </c>
      <c r="G88" s="10">
        <v>-233</v>
      </c>
      <c r="H88" s="10">
        <v>167</v>
      </c>
      <c r="I88" s="10">
        <v>33694</v>
      </c>
      <c r="L88" s="10">
        <v>55688</v>
      </c>
      <c r="M88" s="10">
        <v>439</v>
      </c>
      <c r="P88" s="10">
        <v>1.6527571670000001</v>
      </c>
    </row>
    <row r="89" spans="1:16" x14ac:dyDescent="0.15">
      <c r="A89" s="10" t="s">
        <v>43</v>
      </c>
      <c r="B89" s="10" t="s">
        <v>44</v>
      </c>
      <c r="C89" s="10">
        <v>2021</v>
      </c>
      <c r="D89" s="10">
        <v>27144</v>
      </c>
      <c r="E89" s="10">
        <v>219</v>
      </c>
      <c r="F89" s="10">
        <v>20</v>
      </c>
      <c r="G89" s="10">
        <v>904</v>
      </c>
      <c r="H89" s="10">
        <v>199</v>
      </c>
      <c r="I89" s="10">
        <v>10145</v>
      </c>
      <c r="L89" s="10">
        <v>27082</v>
      </c>
      <c r="M89" s="10">
        <v>413</v>
      </c>
      <c r="P89" s="10">
        <v>2.6694923610000001</v>
      </c>
    </row>
    <row r="90" spans="1:16" x14ac:dyDescent="0.15">
      <c r="A90" s="10" t="s">
        <v>45</v>
      </c>
      <c r="B90" s="10" t="s">
        <v>46</v>
      </c>
      <c r="C90" s="10">
        <v>2021</v>
      </c>
      <c r="D90" s="10">
        <v>737202</v>
      </c>
      <c r="E90" s="10">
        <v>9280</v>
      </c>
      <c r="F90" s="10">
        <v>3355</v>
      </c>
      <c r="G90" s="10">
        <v>1481</v>
      </c>
      <c r="H90" s="10">
        <v>5925</v>
      </c>
      <c r="I90" s="10">
        <v>295128</v>
      </c>
      <c r="L90" s="10">
        <v>718092</v>
      </c>
      <c r="M90" s="10">
        <v>9186</v>
      </c>
      <c r="P90" s="10">
        <v>2.4331544279999999</v>
      </c>
    </row>
    <row r="91" spans="1:16" x14ac:dyDescent="0.15">
      <c r="A91" s="10" t="s">
        <v>47</v>
      </c>
      <c r="B91" s="10" t="s">
        <v>48</v>
      </c>
      <c r="C91" s="10">
        <v>2021</v>
      </c>
      <c r="D91" s="10">
        <v>49249</v>
      </c>
      <c r="E91" s="10">
        <v>380</v>
      </c>
      <c r="F91" s="10">
        <v>-298</v>
      </c>
      <c r="G91" s="10">
        <v>666</v>
      </c>
      <c r="H91" s="10">
        <v>678</v>
      </c>
      <c r="I91" s="10">
        <v>20408</v>
      </c>
      <c r="L91" s="10">
        <v>41707</v>
      </c>
      <c r="M91" s="10">
        <v>174</v>
      </c>
      <c r="P91" s="10">
        <v>2.0436593489999999</v>
      </c>
    </row>
    <row r="92" spans="1:16" x14ac:dyDescent="0.15">
      <c r="A92" s="10" t="s">
        <v>49</v>
      </c>
      <c r="B92" s="10" t="s">
        <v>50</v>
      </c>
      <c r="C92" s="10">
        <v>2021</v>
      </c>
      <c r="D92" s="10">
        <v>62164</v>
      </c>
      <c r="E92" s="10">
        <v>729</v>
      </c>
      <c r="F92" s="10">
        <v>292</v>
      </c>
      <c r="G92" s="10">
        <v>81</v>
      </c>
      <c r="H92" s="10">
        <v>437</v>
      </c>
      <c r="I92" s="10">
        <v>24500</v>
      </c>
      <c r="L92" s="10">
        <v>61254</v>
      </c>
      <c r="M92" s="10">
        <v>631</v>
      </c>
      <c r="P92" s="10">
        <v>2.5001632649999999</v>
      </c>
    </row>
    <row r="93" spans="1:16" x14ac:dyDescent="0.15">
      <c r="A93" s="10" t="s">
        <v>51</v>
      </c>
      <c r="B93" s="10" t="s">
        <v>52</v>
      </c>
      <c r="C93" s="10">
        <v>2021</v>
      </c>
      <c r="D93" s="10">
        <v>5894</v>
      </c>
      <c r="E93" s="10">
        <v>33</v>
      </c>
      <c r="F93" s="10">
        <v>-1</v>
      </c>
      <c r="G93" s="10">
        <v>72</v>
      </c>
      <c r="H93" s="10">
        <v>34</v>
      </c>
      <c r="I93" s="10">
        <v>3543</v>
      </c>
      <c r="L93" s="10">
        <v>5846</v>
      </c>
      <c r="M93" s="10">
        <v>22</v>
      </c>
      <c r="P93" s="10">
        <v>1.650014112</v>
      </c>
    </row>
    <row r="94" spans="1:16" x14ac:dyDescent="0.15">
      <c r="A94" s="10" t="s">
        <v>53</v>
      </c>
      <c r="B94" s="10" t="s">
        <v>54</v>
      </c>
      <c r="C94" s="10">
        <v>2021</v>
      </c>
      <c r="D94" s="10">
        <v>15860</v>
      </c>
      <c r="E94" s="10">
        <v>113</v>
      </c>
      <c r="F94" s="10">
        <v>21</v>
      </c>
      <c r="G94" s="10">
        <v>91</v>
      </c>
      <c r="H94" s="10">
        <v>92</v>
      </c>
      <c r="I94" s="10">
        <v>16627</v>
      </c>
      <c r="L94" s="10">
        <v>15648</v>
      </c>
      <c r="M94" s="10">
        <v>467</v>
      </c>
      <c r="P94" s="10">
        <v>0.941119865</v>
      </c>
    </row>
    <row r="95" spans="1:16" x14ac:dyDescent="0.15">
      <c r="A95" s="10" t="s">
        <v>55</v>
      </c>
      <c r="B95" s="10" t="s">
        <v>56</v>
      </c>
      <c r="C95" s="10">
        <v>2021</v>
      </c>
      <c r="D95" s="10">
        <v>17313</v>
      </c>
      <c r="E95" s="10">
        <v>133</v>
      </c>
      <c r="F95" s="10">
        <v>52</v>
      </c>
      <c r="G95" s="10">
        <v>315</v>
      </c>
      <c r="H95" s="10">
        <v>81</v>
      </c>
      <c r="I95" s="10">
        <v>12421</v>
      </c>
      <c r="L95" s="10">
        <v>16316</v>
      </c>
      <c r="M95" s="10">
        <v>197</v>
      </c>
      <c r="P95" s="10">
        <v>1.3135818370000001</v>
      </c>
    </row>
    <row r="96" spans="1:16" x14ac:dyDescent="0.15">
      <c r="A96" s="10" t="s">
        <v>57</v>
      </c>
      <c r="B96" s="10" t="s">
        <v>58</v>
      </c>
      <c r="C96" s="10">
        <v>2021</v>
      </c>
      <c r="D96" s="10">
        <v>778</v>
      </c>
      <c r="E96" s="10">
        <v>3</v>
      </c>
      <c r="F96" s="10">
        <v>-2</v>
      </c>
      <c r="G96" s="10">
        <v>-12</v>
      </c>
      <c r="H96" s="10">
        <v>5</v>
      </c>
      <c r="I96" s="10">
        <v>1347</v>
      </c>
      <c r="L96" s="10">
        <v>778</v>
      </c>
      <c r="M96" s="10">
        <v>14</v>
      </c>
      <c r="P96" s="10">
        <v>0.577579807</v>
      </c>
    </row>
    <row r="97" spans="1:16" x14ac:dyDescent="0.15">
      <c r="A97" s="10" t="s">
        <v>59</v>
      </c>
      <c r="B97" s="10" t="s">
        <v>60</v>
      </c>
      <c r="C97" s="10">
        <v>2021</v>
      </c>
      <c r="D97" s="10">
        <v>6948</v>
      </c>
      <c r="E97" s="10">
        <v>43</v>
      </c>
      <c r="F97" s="10">
        <v>-83</v>
      </c>
      <c r="G97" s="10">
        <v>198</v>
      </c>
      <c r="H97" s="10">
        <v>126</v>
      </c>
      <c r="I97" s="10">
        <v>4702</v>
      </c>
      <c r="L97" s="10">
        <v>6842</v>
      </c>
      <c r="M97" s="10">
        <v>57</v>
      </c>
      <c r="P97" s="10">
        <v>1.4551254790000001</v>
      </c>
    </row>
    <row r="98" spans="1:16" x14ac:dyDescent="0.15">
      <c r="A98" s="10" t="s">
        <v>61</v>
      </c>
      <c r="B98" s="10" t="s">
        <v>62</v>
      </c>
      <c r="C98" s="10">
        <v>2021</v>
      </c>
      <c r="D98" s="10">
        <v>1358</v>
      </c>
      <c r="E98" s="10">
        <v>6</v>
      </c>
      <c r="F98" s="10">
        <v>-9</v>
      </c>
      <c r="G98" s="10">
        <v>-11</v>
      </c>
      <c r="H98" s="10">
        <v>15</v>
      </c>
      <c r="I98" s="10">
        <v>1195</v>
      </c>
      <c r="L98" s="10">
        <v>1356</v>
      </c>
      <c r="M98" s="10">
        <v>2</v>
      </c>
      <c r="P98" s="10">
        <v>1.134728033</v>
      </c>
    </row>
    <row r="99" spans="1:16" x14ac:dyDescent="0.15">
      <c r="A99" s="10" t="s">
        <v>63</v>
      </c>
      <c r="B99" s="10" t="s">
        <v>64</v>
      </c>
      <c r="C99" s="10">
        <v>2021</v>
      </c>
      <c r="D99" s="10">
        <v>580726</v>
      </c>
      <c r="E99" s="10">
        <v>5379</v>
      </c>
      <c r="F99" s="10">
        <v>12</v>
      </c>
      <c r="G99" s="10">
        <v>-2349</v>
      </c>
      <c r="H99" s="10">
        <v>5367</v>
      </c>
      <c r="I99" s="10">
        <v>251462</v>
      </c>
      <c r="L99" s="10">
        <v>571625</v>
      </c>
      <c r="M99" s="10">
        <v>2515</v>
      </c>
      <c r="P99" s="10">
        <v>2.2732062900000001</v>
      </c>
    </row>
    <row r="100" spans="1:16" x14ac:dyDescent="0.15">
      <c r="A100" s="10" t="s">
        <v>65</v>
      </c>
      <c r="B100" s="10" t="s">
        <v>66</v>
      </c>
      <c r="C100" s="10">
        <v>2021</v>
      </c>
      <c r="D100" s="10">
        <v>1453</v>
      </c>
      <c r="E100" s="10">
        <v>20</v>
      </c>
      <c r="F100" s="10">
        <v>-1</v>
      </c>
      <c r="G100" s="10">
        <v>0</v>
      </c>
      <c r="H100" s="10">
        <v>21</v>
      </c>
      <c r="I100" s="10">
        <v>742</v>
      </c>
      <c r="L100" s="10">
        <v>1424</v>
      </c>
      <c r="M100" s="10">
        <v>6</v>
      </c>
      <c r="P100" s="10">
        <v>1.919137466</v>
      </c>
    </row>
    <row r="101" spans="1:16" x14ac:dyDescent="0.15">
      <c r="A101" s="10" t="s">
        <v>67</v>
      </c>
      <c r="B101" s="10" t="s">
        <v>68</v>
      </c>
      <c r="C101" s="10">
        <v>2021</v>
      </c>
      <c r="D101" s="10">
        <v>6929</v>
      </c>
      <c r="E101" s="10">
        <v>81</v>
      </c>
      <c r="F101" s="10">
        <v>-16</v>
      </c>
      <c r="G101" s="10">
        <v>-122</v>
      </c>
      <c r="H101" s="10">
        <v>97</v>
      </c>
      <c r="I101" s="10">
        <v>3422</v>
      </c>
      <c r="L101" s="10">
        <v>6838</v>
      </c>
      <c r="M101" s="10">
        <v>6</v>
      </c>
      <c r="P101" s="10">
        <v>1.998246639</v>
      </c>
    </row>
    <row r="102" spans="1:16" x14ac:dyDescent="0.15">
      <c r="A102" s="10" t="s">
        <v>69</v>
      </c>
      <c r="B102" s="10" t="s">
        <v>70</v>
      </c>
      <c r="C102" s="10">
        <v>2021</v>
      </c>
      <c r="D102" s="10">
        <v>7399</v>
      </c>
      <c r="E102" s="10">
        <v>72</v>
      </c>
      <c r="F102" s="10">
        <v>20</v>
      </c>
      <c r="G102" s="10">
        <v>-33</v>
      </c>
      <c r="H102" s="10">
        <v>52</v>
      </c>
      <c r="I102" s="10">
        <v>4348</v>
      </c>
      <c r="L102" s="10">
        <v>7309</v>
      </c>
      <c r="M102" s="10">
        <v>64</v>
      </c>
      <c r="P102" s="10">
        <v>1.6810027599999999</v>
      </c>
    </row>
    <row r="103" spans="1:16" x14ac:dyDescent="0.15">
      <c r="A103" s="10" t="s">
        <v>71</v>
      </c>
      <c r="B103" s="10" t="s">
        <v>72</v>
      </c>
      <c r="C103" s="10">
        <v>2021</v>
      </c>
      <c r="D103" s="10">
        <v>56171</v>
      </c>
      <c r="E103" s="10">
        <v>437</v>
      </c>
      <c r="F103" s="10">
        <v>-2</v>
      </c>
      <c r="G103" s="10">
        <v>505</v>
      </c>
      <c r="H103" s="10">
        <v>439</v>
      </c>
      <c r="I103" s="10">
        <v>28533</v>
      </c>
      <c r="L103" s="10">
        <v>54621</v>
      </c>
      <c r="M103" s="10">
        <v>415</v>
      </c>
      <c r="P103" s="10">
        <v>1.9143097469999999</v>
      </c>
    </row>
    <row r="104" spans="1:16" x14ac:dyDescent="0.15">
      <c r="A104" s="10" t="s">
        <v>73</v>
      </c>
      <c r="B104" s="10" t="s">
        <v>74</v>
      </c>
      <c r="C104" s="10">
        <v>2021</v>
      </c>
      <c r="D104" s="10">
        <v>362774</v>
      </c>
      <c r="E104" s="10">
        <v>3026</v>
      </c>
      <c r="F104" s="10">
        <v>310</v>
      </c>
      <c r="G104" s="10">
        <v>2544</v>
      </c>
      <c r="H104" s="10">
        <v>2716</v>
      </c>
      <c r="I104" s="10">
        <v>162284</v>
      </c>
      <c r="L104" s="10">
        <v>351596</v>
      </c>
      <c r="M104" s="10">
        <v>3221</v>
      </c>
      <c r="P104" s="10">
        <v>2.1665475340000002</v>
      </c>
    </row>
    <row r="105" spans="1:16" x14ac:dyDescent="0.15">
      <c r="A105" s="10" t="s">
        <v>75</v>
      </c>
      <c r="B105" s="10" t="s">
        <v>76</v>
      </c>
      <c r="C105" s="10">
        <v>2021</v>
      </c>
      <c r="D105" s="10">
        <v>14330</v>
      </c>
      <c r="E105" s="10">
        <v>128</v>
      </c>
      <c r="F105" s="10">
        <v>-75</v>
      </c>
      <c r="G105" s="10">
        <v>-74</v>
      </c>
      <c r="H105" s="10">
        <v>203</v>
      </c>
      <c r="I105" s="10">
        <v>8114</v>
      </c>
      <c r="L105" s="10">
        <v>13931</v>
      </c>
      <c r="M105" s="10">
        <v>41</v>
      </c>
      <c r="P105" s="10">
        <v>1.716909046</v>
      </c>
    </row>
    <row r="106" spans="1:16" x14ac:dyDescent="0.15">
      <c r="A106" s="10" t="s">
        <v>77</v>
      </c>
      <c r="B106" s="10" t="s">
        <v>78</v>
      </c>
      <c r="C106" s="10">
        <v>2021</v>
      </c>
      <c r="D106" s="10">
        <v>5470</v>
      </c>
      <c r="E106" s="10">
        <v>42</v>
      </c>
      <c r="F106" s="10">
        <v>-20</v>
      </c>
      <c r="G106" s="10">
        <v>-172</v>
      </c>
      <c r="H106" s="10">
        <v>62</v>
      </c>
      <c r="I106" s="10">
        <v>2374</v>
      </c>
      <c r="L106" s="10">
        <v>4696</v>
      </c>
      <c r="M106" s="10">
        <v>10</v>
      </c>
      <c r="P106" s="10">
        <v>1.9780960400000001</v>
      </c>
    </row>
    <row r="107" spans="1:16" x14ac:dyDescent="0.15">
      <c r="A107" s="10" t="s">
        <v>79</v>
      </c>
      <c r="B107" s="10" t="s">
        <v>80</v>
      </c>
      <c r="C107" s="10">
        <v>2021</v>
      </c>
      <c r="D107" s="10">
        <v>21089</v>
      </c>
      <c r="E107" s="10">
        <v>189</v>
      </c>
      <c r="F107" s="10">
        <v>-124</v>
      </c>
      <c r="G107" s="10">
        <v>10</v>
      </c>
      <c r="H107" s="10">
        <v>313</v>
      </c>
      <c r="I107" s="10">
        <v>8687</v>
      </c>
      <c r="L107" s="10">
        <v>18415</v>
      </c>
      <c r="M107" s="10">
        <v>14</v>
      </c>
      <c r="P107" s="10">
        <v>2.1198342349999999</v>
      </c>
    </row>
    <row r="108" spans="1:16" x14ac:dyDescent="0.15">
      <c r="A108" s="10" t="s">
        <v>81</v>
      </c>
      <c r="B108" s="10" t="s">
        <v>82</v>
      </c>
      <c r="C108" s="10">
        <v>2021</v>
      </c>
      <c r="D108" s="10">
        <v>157432</v>
      </c>
      <c r="E108" s="10">
        <v>1527</v>
      </c>
      <c r="F108" s="10">
        <v>-373</v>
      </c>
      <c r="G108" s="10">
        <v>1812</v>
      </c>
      <c r="H108" s="10">
        <v>1900</v>
      </c>
      <c r="I108" s="10">
        <v>68720</v>
      </c>
      <c r="L108" s="10">
        <v>153559</v>
      </c>
      <c r="M108" s="10">
        <v>1231</v>
      </c>
      <c r="P108" s="10">
        <v>2.234560536</v>
      </c>
    </row>
    <row r="109" spans="1:16" x14ac:dyDescent="0.15">
      <c r="A109" s="10" t="s">
        <v>83</v>
      </c>
      <c r="B109" s="10" t="s">
        <v>84</v>
      </c>
      <c r="C109" s="10">
        <v>2021</v>
      </c>
      <c r="D109" s="10">
        <v>926</v>
      </c>
      <c r="E109" s="10">
        <v>4</v>
      </c>
      <c r="F109" s="10">
        <v>-2</v>
      </c>
      <c r="G109" s="10">
        <v>57</v>
      </c>
      <c r="H109" s="10">
        <v>6</v>
      </c>
      <c r="I109" s="10">
        <v>1290</v>
      </c>
      <c r="L109" s="10">
        <v>926</v>
      </c>
      <c r="M109" s="10">
        <v>8</v>
      </c>
      <c r="P109" s="10">
        <v>0.717829457</v>
      </c>
    </row>
    <row r="110" spans="1:16" x14ac:dyDescent="0.15">
      <c r="A110" s="10" t="s">
        <v>85</v>
      </c>
      <c r="B110" s="10" t="s">
        <v>86</v>
      </c>
      <c r="C110" s="10">
        <v>2021</v>
      </c>
      <c r="D110" s="10">
        <v>13161</v>
      </c>
      <c r="E110" s="10">
        <v>147</v>
      </c>
      <c r="F110" s="10">
        <v>-12</v>
      </c>
      <c r="G110" s="10">
        <v>-92</v>
      </c>
      <c r="H110" s="10">
        <v>159</v>
      </c>
      <c r="I110" s="10">
        <v>6119</v>
      </c>
      <c r="L110" s="10">
        <v>13051</v>
      </c>
      <c r="M110" s="10">
        <v>15</v>
      </c>
      <c r="P110" s="10">
        <v>2.132864847</v>
      </c>
    </row>
    <row r="111" spans="1:16" x14ac:dyDescent="0.15">
      <c r="A111" s="10" t="s">
        <v>87</v>
      </c>
      <c r="B111" s="10" t="s">
        <v>88</v>
      </c>
      <c r="C111" s="10">
        <v>2021</v>
      </c>
      <c r="D111" s="10">
        <v>26248</v>
      </c>
      <c r="E111" s="10">
        <v>259</v>
      </c>
      <c r="F111" s="10">
        <v>-77</v>
      </c>
      <c r="G111" s="10">
        <v>437</v>
      </c>
      <c r="H111" s="10">
        <v>336</v>
      </c>
      <c r="I111" s="10">
        <v>12328</v>
      </c>
      <c r="L111" s="10">
        <v>25994</v>
      </c>
      <c r="M111" s="10">
        <v>22</v>
      </c>
      <c r="P111" s="10">
        <v>2.1085334200000001</v>
      </c>
    </row>
    <row r="112" spans="1:16" x14ac:dyDescent="0.15">
      <c r="A112" s="10" t="s">
        <v>89</v>
      </c>
      <c r="B112" s="10" t="s">
        <v>90</v>
      </c>
      <c r="C112" s="10">
        <v>2021</v>
      </c>
      <c r="D112" s="10">
        <v>43234</v>
      </c>
      <c r="E112" s="10">
        <v>381</v>
      </c>
      <c r="F112" s="10">
        <v>-146</v>
      </c>
      <c r="G112" s="10">
        <v>570</v>
      </c>
      <c r="H112" s="10">
        <v>527</v>
      </c>
      <c r="I112" s="10">
        <v>19330</v>
      </c>
      <c r="L112" s="10">
        <v>42540</v>
      </c>
      <c r="M112" s="10">
        <v>451</v>
      </c>
      <c r="P112" s="10">
        <v>2.2007242630000001</v>
      </c>
    </row>
    <row r="113" spans="1:16" x14ac:dyDescent="0.15">
      <c r="A113" s="10" t="s">
        <v>91</v>
      </c>
      <c r="B113" s="10" t="s">
        <v>92</v>
      </c>
      <c r="C113" s="10">
        <v>2021</v>
      </c>
      <c r="D113" s="10">
        <v>29011</v>
      </c>
      <c r="E113" s="10">
        <v>377</v>
      </c>
      <c r="F113" s="10">
        <v>72</v>
      </c>
      <c r="G113" s="10">
        <v>-139</v>
      </c>
      <c r="H113" s="10">
        <v>305</v>
      </c>
      <c r="I113" s="10">
        <v>11639</v>
      </c>
      <c r="L113" s="10">
        <v>28594</v>
      </c>
      <c r="M113" s="10">
        <v>195</v>
      </c>
      <c r="P113" s="10">
        <v>2.4567402700000001</v>
      </c>
    </row>
    <row r="114" spans="1:16" x14ac:dyDescent="0.15">
      <c r="A114" s="10" t="s">
        <v>93</v>
      </c>
      <c r="B114" s="10" t="s">
        <v>94</v>
      </c>
      <c r="C114" s="10">
        <v>2021</v>
      </c>
      <c r="D114" s="10">
        <v>18523</v>
      </c>
      <c r="E114" s="10">
        <v>202</v>
      </c>
      <c r="F114" s="10">
        <v>-124</v>
      </c>
      <c r="G114" s="10">
        <v>-21</v>
      </c>
      <c r="H114" s="10">
        <v>326</v>
      </c>
      <c r="I114" s="10">
        <v>8723</v>
      </c>
      <c r="L114" s="10">
        <v>18180</v>
      </c>
      <c r="M114" s="10">
        <v>16</v>
      </c>
      <c r="P114" s="10">
        <v>2.0841453630000002</v>
      </c>
    </row>
    <row r="115" spans="1:16" x14ac:dyDescent="0.15">
      <c r="A115" s="10" t="s">
        <v>95</v>
      </c>
      <c r="B115" s="10" t="s">
        <v>96</v>
      </c>
      <c r="C115" s="10">
        <v>2021</v>
      </c>
      <c r="D115" s="10">
        <v>5051</v>
      </c>
      <c r="E115" s="10">
        <v>38</v>
      </c>
      <c r="F115" s="10">
        <v>1</v>
      </c>
      <c r="G115" s="10">
        <v>174</v>
      </c>
      <c r="H115" s="10">
        <v>37</v>
      </c>
      <c r="I115" s="10">
        <v>3391</v>
      </c>
      <c r="L115" s="10">
        <v>5051</v>
      </c>
      <c r="M115" s="10">
        <v>146</v>
      </c>
      <c r="P115" s="10">
        <v>1.4895311120000001</v>
      </c>
    </row>
    <row r="116" spans="1:16" x14ac:dyDescent="0.15">
      <c r="A116" s="10" t="s">
        <v>97</v>
      </c>
      <c r="B116" s="10" t="s">
        <v>98</v>
      </c>
      <c r="C116" s="10">
        <v>2021</v>
      </c>
      <c r="D116" s="10">
        <v>17735</v>
      </c>
      <c r="E116" s="10">
        <v>125</v>
      </c>
      <c r="F116" s="10">
        <v>-7</v>
      </c>
      <c r="G116" s="10">
        <v>326</v>
      </c>
      <c r="H116" s="10">
        <v>132</v>
      </c>
      <c r="I116" s="10">
        <v>14327</v>
      </c>
      <c r="L116" s="10">
        <v>17709</v>
      </c>
      <c r="M116" s="10">
        <v>193</v>
      </c>
      <c r="P116" s="10">
        <v>1.2360577930000001</v>
      </c>
    </row>
    <row r="117" spans="1:16" x14ac:dyDescent="0.15">
      <c r="A117" s="10" t="s">
        <v>99</v>
      </c>
      <c r="B117" s="10" t="s">
        <v>100</v>
      </c>
      <c r="C117" s="10">
        <v>2021</v>
      </c>
      <c r="D117" s="10">
        <v>4498</v>
      </c>
      <c r="E117" s="10">
        <v>57</v>
      </c>
      <c r="F117" s="10">
        <v>-22</v>
      </c>
      <c r="G117" s="10">
        <v>-3</v>
      </c>
      <c r="H117" s="10">
        <v>79</v>
      </c>
      <c r="I117" s="10">
        <v>2029</v>
      </c>
      <c r="L117" s="10">
        <v>4439</v>
      </c>
      <c r="M117" s="10">
        <v>8</v>
      </c>
      <c r="P117" s="10">
        <v>2.18777723</v>
      </c>
    </row>
    <row r="118" spans="1:16" x14ac:dyDescent="0.15">
      <c r="A118" s="10" t="s">
        <v>101</v>
      </c>
      <c r="B118" s="10" t="s">
        <v>102</v>
      </c>
      <c r="C118" s="10">
        <v>2021</v>
      </c>
      <c r="D118" s="10">
        <v>17336</v>
      </c>
      <c r="E118" s="10">
        <v>128</v>
      </c>
      <c r="F118" s="10">
        <v>45</v>
      </c>
      <c r="G118" s="10">
        <v>-64</v>
      </c>
      <c r="H118" s="10">
        <v>83</v>
      </c>
      <c r="I118" s="10">
        <v>13315</v>
      </c>
      <c r="L118" s="10">
        <v>17289</v>
      </c>
      <c r="M118" s="10">
        <v>97</v>
      </c>
      <c r="P118" s="10">
        <v>1.2984603830000001</v>
      </c>
    </row>
    <row r="119" spans="1:16" x14ac:dyDescent="0.15">
      <c r="A119" s="10" t="s">
        <v>103</v>
      </c>
      <c r="B119" s="10" t="s">
        <v>104</v>
      </c>
      <c r="C119" s="10">
        <v>2021</v>
      </c>
      <c r="D119" s="10">
        <v>11985</v>
      </c>
      <c r="E119" s="10">
        <v>144</v>
      </c>
      <c r="F119" s="10">
        <v>-33</v>
      </c>
      <c r="G119" s="10">
        <v>6</v>
      </c>
      <c r="H119" s="10">
        <v>177</v>
      </c>
      <c r="I119" s="10">
        <v>5466</v>
      </c>
      <c r="L119" s="10">
        <v>11644</v>
      </c>
      <c r="M119" s="10">
        <v>8</v>
      </c>
      <c r="P119" s="10">
        <v>2.130259788</v>
      </c>
    </row>
    <row r="120" spans="1:16" x14ac:dyDescent="0.15">
      <c r="A120" s="10" t="s">
        <v>105</v>
      </c>
      <c r="B120" s="10" t="s">
        <v>106</v>
      </c>
      <c r="C120" s="10">
        <v>2021</v>
      </c>
      <c r="D120" s="10">
        <v>169272</v>
      </c>
      <c r="E120" s="10">
        <v>1690</v>
      </c>
      <c r="F120" s="10">
        <v>-709</v>
      </c>
      <c r="G120" s="10">
        <v>1670</v>
      </c>
      <c r="H120" s="10">
        <v>2399</v>
      </c>
      <c r="I120" s="10">
        <v>73047</v>
      </c>
      <c r="L120" s="10">
        <v>166035</v>
      </c>
      <c r="M120" s="10">
        <v>742</v>
      </c>
      <c r="P120" s="10">
        <v>2.2729886239999999</v>
      </c>
    </row>
    <row r="121" spans="1:16" x14ac:dyDescent="0.15">
      <c r="A121" s="10" t="s">
        <v>107</v>
      </c>
      <c r="B121" s="10" t="s">
        <v>108</v>
      </c>
      <c r="C121" s="10">
        <v>2021</v>
      </c>
      <c r="D121" s="10">
        <v>6443</v>
      </c>
      <c r="E121" s="10">
        <v>57</v>
      </c>
      <c r="F121" s="10">
        <v>-11</v>
      </c>
      <c r="G121" s="10">
        <v>-67</v>
      </c>
      <c r="H121" s="10">
        <v>68</v>
      </c>
      <c r="I121" s="10">
        <v>3284</v>
      </c>
      <c r="L121" s="10">
        <v>6258</v>
      </c>
      <c r="M121" s="10">
        <v>12</v>
      </c>
      <c r="P121" s="10">
        <v>1.905602923</v>
      </c>
    </row>
    <row r="122" spans="1:16" x14ac:dyDescent="0.15">
      <c r="A122" s="10" t="s">
        <v>109</v>
      </c>
      <c r="B122" s="10" t="s">
        <v>110</v>
      </c>
      <c r="C122" s="10">
        <v>2021</v>
      </c>
      <c r="D122" s="10">
        <v>11404</v>
      </c>
      <c r="E122" s="10">
        <v>122</v>
      </c>
      <c r="F122" s="10">
        <v>-39</v>
      </c>
      <c r="G122" s="10">
        <v>-93</v>
      </c>
      <c r="H122" s="10">
        <v>161</v>
      </c>
      <c r="I122" s="10">
        <v>6563</v>
      </c>
      <c r="L122" s="10">
        <v>11280</v>
      </c>
      <c r="M122" s="10">
        <v>35</v>
      </c>
      <c r="P122" s="10">
        <v>1.7187261920000001</v>
      </c>
    </row>
    <row r="123" spans="1:16" x14ac:dyDescent="0.15">
      <c r="A123" s="10" t="s">
        <v>111</v>
      </c>
      <c r="B123" s="10" t="s">
        <v>112</v>
      </c>
      <c r="C123" s="10">
        <v>2021</v>
      </c>
      <c r="D123" s="10">
        <v>25061</v>
      </c>
      <c r="E123" s="10">
        <v>182</v>
      </c>
      <c r="F123" s="10">
        <v>65</v>
      </c>
      <c r="G123" s="10">
        <v>162</v>
      </c>
      <c r="H123" s="10">
        <v>117</v>
      </c>
      <c r="I123" s="10">
        <v>16824</v>
      </c>
      <c r="L123" s="10">
        <v>24779</v>
      </c>
      <c r="M123" s="10">
        <v>215</v>
      </c>
      <c r="P123" s="10">
        <v>1.472836424</v>
      </c>
    </row>
    <row r="124" spans="1:16" x14ac:dyDescent="0.15">
      <c r="A124" s="10" t="s">
        <v>113</v>
      </c>
      <c r="B124" s="10" t="s">
        <v>114</v>
      </c>
      <c r="C124" s="10">
        <v>2021</v>
      </c>
      <c r="D124" s="10">
        <v>6507</v>
      </c>
      <c r="E124" s="10">
        <v>62</v>
      </c>
      <c r="F124" s="10">
        <v>-7</v>
      </c>
      <c r="G124" s="10">
        <v>124</v>
      </c>
      <c r="H124" s="10">
        <v>69</v>
      </c>
      <c r="I124" s="10">
        <v>3814</v>
      </c>
      <c r="L124" s="10">
        <v>6491</v>
      </c>
      <c r="M124" s="10">
        <v>101</v>
      </c>
      <c r="P124" s="10">
        <v>1.701887782</v>
      </c>
    </row>
    <row r="125" spans="1:16" x14ac:dyDescent="0.15">
      <c r="A125" s="10" t="s">
        <v>115</v>
      </c>
      <c r="B125" s="10" t="s">
        <v>116</v>
      </c>
      <c r="C125" s="10">
        <v>2021</v>
      </c>
      <c r="D125" s="10">
        <v>741</v>
      </c>
      <c r="E125" s="10">
        <v>5</v>
      </c>
      <c r="F125" s="10">
        <v>-2</v>
      </c>
      <c r="G125" s="10">
        <v>32</v>
      </c>
      <c r="H125" s="10">
        <v>7</v>
      </c>
      <c r="I125" s="10">
        <v>788</v>
      </c>
      <c r="L125" s="10">
        <v>741</v>
      </c>
      <c r="M125" s="10">
        <v>17</v>
      </c>
      <c r="P125" s="10">
        <v>0.94035533000000004</v>
      </c>
    </row>
    <row r="126" spans="1:16" x14ac:dyDescent="0.15">
      <c r="A126" s="10" t="s">
        <v>117</v>
      </c>
      <c r="B126" s="10" t="s">
        <v>118</v>
      </c>
      <c r="C126" s="10">
        <v>2021</v>
      </c>
      <c r="D126" s="10">
        <v>8078</v>
      </c>
      <c r="E126" s="10">
        <v>53</v>
      </c>
      <c r="F126" s="10">
        <v>26</v>
      </c>
      <c r="G126" s="10">
        <v>-3</v>
      </c>
      <c r="H126" s="10">
        <v>27</v>
      </c>
      <c r="I126" s="10">
        <v>6595</v>
      </c>
      <c r="L126" s="10">
        <v>8073</v>
      </c>
      <c r="M126" s="10">
        <v>80</v>
      </c>
      <c r="P126" s="10">
        <v>1.2241091740000001</v>
      </c>
    </row>
    <row r="127" spans="1:16" x14ac:dyDescent="0.15">
      <c r="A127" s="10" t="s">
        <v>119</v>
      </c>
      <c r="B127" s="10" t="s">
        <v>120</v>
      </c>
      <c r="C127" s="10">
        <v>2021</v>
      </c>
      <c r="D127" s="10">
        <v>2330</v>
      </c>
      <c r="E127" s="10">
        <v>15</v>
      </c>
      <c r="F127" s="10">
        <v>-29</v>
      </c>
      <c r="G127" s="10">
        <v>-32</v>
      </c>
      <c r="H127" s="10">
        <v>44</v>
      </c>
      <c r="I127" s="10">
        <v>1343</v>
      </c>
      <c r="L127" s="10">
        <v>2293</v>
      </c>
      <c r="M127" s="10">
        <v>1</v>
      </c>
      <c r="P127" s="10">
        <v>1.707371556</v>
      </c>
    </row>
    <row r="128" spans="1:16" x14ac:dyDescent="0.15">
      <c r="A128" s="10" t="s">
        <v>121</v>
      </c>
      <c r="B128" s="10" t="s">
        <v>122</v>
      </c>
      <c r="C128" s="10">
        <v>2021</v>
      </c>
      <c r="D128" s="10">
        <v>30994</v>
      </c>
      <c r="E128" s="10">
        <v>251</v>
      </c>
      <c r="F128" s="10">
        <v>180</v>
      </c>
      <c r="G128" s="10">
        <v>-182</v>
      </c>
      <c r="H128" s="10">
        <v>71</v>
      </c>
      <c r="I128" s="10">
        <v>31737</v>
      </c>
      <c r="L128" s="10">
        <v>30415</v>
      </c>
      <c r="M128" s="10">
        <v>407</v>
      </c>
      <c r="P128" s="10">
        <v>0.95834514900000001</v>
      </c>
    </row>
    <row r="129" spans="1:16" x14ac:dyDescent="0.15">
      <c r="A129" s="10" t="s">
        <v>123</v>
      </c>
      <c r="B129" s="10" t="s">
        <v>124</v>
      </c>
      <c r="C129" s="10">
        <v>2021</v>
      </c>
      <c r="D129" s="10">
        <v>24947</v>
      </c>
      <c r="E129" s="10">
        <v>167</v>
      </c>
      <c r="F129" s="10">
        <v>-72</v>
      </c>
      <c r="G129" s="10">
        <v>274</v>
      </c>
      <c r="H129" s="10">
        <v>239</v>
      </c>
      <c r="I129" s="10">
        <v>13509</v>
      </c>
      <c r="L129" s="10">
        <v>24784</v>
      </c>
      <c r="M129" s="10">
        <v>149</v>
      </c>
      <c r="P129" s="10">
        <v>1.834628766</v>
      </c>
    </row>
    <row r="130" spans="1:16" x14ac:dyDescent="0.15">
      <c r="A130" s="10" t="s">
        <v>125</v>
      </c>
      <c r="B130" s="10" t="s">
        <v>126</v>
      </c>
      <c r="C130" s="10">
        <v>2021</v>
      </c>
      <c r="D130" s="10">
        <v>4870</v>
      </c>
      <c r="E130" s="10">
        <v>50</v>
      </c>
      <c r="F130" s="10">
        <v>-18</v>
      </c>
      <c r="G130" s="10">
        <v>77</v>
      </c>
      <c r="H130" s="10">
        <v>68</v>
      </c>
      <c r="I130" s="10">
        <v>2287</v>
      </c>
      <c r="L130" s="10">
        <v>4705</v>
      </c>
      <c r="M130" s="10">
        <v>1</v>
      </c>
      <c r="P130" s="10">
        <v>2.0572802800000001</v>
      </c>
    </row>
    <row r="131" spans="1:16" x14ac:dyDescent="0.15">
      <c r="A131" s="10" t="s">
        <v>127</v>
      </c>
      <c r="B131" s="10" t="s">
        <v>128</v>
      </c>
      <c r="C131" s="10">
        <v>2021</v>
      </c>
      <c r="D131" s="10">
        <v>339865</v>
      </c>
      <c r="E131" s="10">
        <v>4433</v>
      </c>
      <c r="F131" s="10">
        <v>2163</v>
      </c>
      <c r="G131" s="10">
        <v>6279</v>
      </c>
      <c r="H131" s="10">
        <v>2270</v>
      </c>
      <c r="I131" s="10">
        <v>124749</v>
      </c>
      <c r="L131" s="10">
        <v>335432</v>
      </c>
      <c r="M131" s="10">
        <v>5268</v>
      </c>
      <c r="P131" s="10">
        <v>2.6888552209999999</v>
      </c>
    </row>
    <row r="132" spans="1:16" x14ac:dyDescent="0.15">
      <c r="A132" s="10" t="s">
        <v>129</v>
      </c>
      <c r="B132" s="10" t="s">
        <v>130</v>
      </c>
      <c r="C132" s="10">
        <v>2021</v>
      </c>
      <c r="D132" s="10">
        <v>9932</v>
      </c>
      <c r="E132" s="10">
        <v>134</v>
      </c>
      <c r="F132" s="10">
        <v>8</v>
      </c>
      <c r="G132" s="10">
        <v>-53</v>
      </c>
      <c r="H132" s="10">
        <v>126</v>
      </c>
      <c r="I132" s="10">
        <v>4320</v>
      </c>
      <c r="L132" s="10">
        <v>9750</v>
      </c>
      <c r="M132" s="10">
        <v>4</v>
      </c>
      <c r="P132" s="10">
        <v>2.2569444440000002</v>
      </c>
    </row>
    <row r="133" spans="1:16" x14ac:dyDescent="0.15">
      <c r="A133" s="10" t="s">
        <v>1</v>
      </c>
      <c r="B133" s="10" t="s">
        <v>2</v>
      </c>
      <c r="C133" s="10">
        <v>2022</v>
      </c>
      <c r="D133" s="10">
        <v>5838736</v>
      </c>
      <c r="E133" s="10">
        <v>62467</v>
      </c>
      <c r="F133" s="10">
        <v>12786</v>
      </c>
      <c r="G133" s="10">
        <v>14924</v>
      </c>
      <c r="H133" s="10">
        <v>49681</v>
      </c>
      <c r="I133" s="10">
        <v>2598686</v>
      </c>
      <c r="L133" s="10">
        <v>5715606</v>
      </c>
      <c r="M133" s="10">
        <v>48839</v>
      </c>
      <c r="P133" s="10">
        <v>2.1994215540000002</v>
      </c>
    </row>
    <row r="134" spans="1:16" x14ac:dyDescent="0.15">
      <c r="A134" s="10" t="s">
        <v>3</v>
      </c>
      <c r="B134" s="10" t="s">
        <v>4</v>
      </c>
      <c r="C134" s="10">
        <v>2022</v>
      </c>
      <c r="D134" s="10">
        <v>527501</v>
      </c>
      <c r="E134" s="10">
        <v>6838</v>
      </c>
      <c r="F134" s="10">
        <v>2544</v>
      </c>
      <c r="G134" s="10">
        <v>1540</v>
      </c>
      <c r="H134" s="10">
        <v>4294</v>
      </c>
      <c r="I134" s="10">
        <v>196741</v>
      </c>
      <c r="L134" s="10">
        <v>522937</v>
      </c>
      <c r="M134" s="10">
        <v>2811</v>
      </c>
      <c r="P134" s="10">
        <v>2.6579970620000002</v>
      </c>
    </row>
    <row r="135" spans="1:16" x14ac:dyDescent="0.15">
      <c r="A135" s="10" t="s">
        <v>5</v>
      </c>
      <c r="B135" s="10" t="s">
        <v>6</v>
      </c>
      <c r="C135" s="10">
        <v>2022</v>
      </c>
      <c r="D135" s="10">
        <v>16575</v>
      </c>
      <c r="E135" s="10">
        <v>196</v>
      </c>
      <c r="F135" s="10">
        <v>-11</v>
      </c>
      <c r="G135" s="10">
        <v>12</v>
      </c>
      <c r="H135" s="10">
        <v>207</v>
      </c>
      <c r="I135" s="10">
        <v>7250</v>
      </c>
      <c r="L135" s="10">
        <v>15609</v>
      </c>
      <c r="M135" s="10">
        <v>102</v>
      </c>
      <c r="P135" s="10">
        <v>2.1529655170000002</v>
      </c>
    </row>
    <row r="136" spans="1:16" x14ac:dyDescent="0.15">
      <c r="A136" s="10" t="s">
        <v>7</v>
      </c>
      <c r="B136" s="10" t="s">
        <v>8</v>
      </c>
      <c r="C136" s="10">
        <v>2022</v>
      </c>
      <c r="D136" s="10">
        <v>656015</v>
      </c>
      <c r="E136" s="10">
        <v>7612</v>
      </c>
      <c r="F136" s="10">
        <v>2532</v>
      </c>
      <c r="G136" s="10">
        <v>-3239</v>
      </c>
      <c r="H136" s="10">
        <v>5080</v>
      </c>
      <c r="I136" s="10">
        <v>270939</v>
      </c>
      <c r="L136" s="10">
        <v>650714</v>
      </c>
      <c r="M136" s="10">
        <v>4325</v>
      </c>
      <c r="P136" s="10">
        <v>2.4016992749999999</v>
      </c>
    </row>
    <row r="137" spans="1:16" x14ac:dyDescent="0.15">
      <c r="A137" s="10" t="s">
        <v>9</v>
      </c>
      <c r="B137" s="10" t="s">
        <v>10</v>
      </c>
      <c r="C137" s="10">
        <v>2022</v>
      </c>
      <c r="D137" s="10">
        <v>13986</v>
      </c>
      <c r="E137" s="10">
        <v>104</v>
      </c>
      <c r="F137" s="10">
        <v>-48</v>
      </c>
      <c r="G137" s="10">
        <v>222</v>
      </c>
      <c r="H137" s="10">
        <v>152</v>
      </c>
      <c r="I137" s="10">
        <v>9879</v>
      </c>
      <c r="L137" s="10">
        <v>13898</v>
      </c>
      <c r="M137" s="10">
        <v>164</v>
      </c>
      <c r="P137" s="10">
        <v>1.406822553</v>
      </c>
    </row>
    <row r="138" spans="1:16" x14ac:dyDescent="0.15">
      <c r="A138" s="10" t="s">
        <v>11</v>
      </c>
      <c r="B138" s="10" t="s">
        <v>12</v>
      </c>
      <c r="C138" s="10">
        <v>2022</v>
      </c>
      <c r="D138" s="10">
        <v>3431</v>
      </c>
      <c r="E138" s="10">
        <v>34</v>
      </c>
      <c r="F138" s="10">
        <v>-45</v>
      </c>
      <c r="G138" s="10">
        <v>-15</v>
      </c>
      <c r="H138" s="10">
        <v>79</v>
      </c>
      <c r="I138" s="10">
        <v>1981</v>
      </c>
      <c r="L138" s="10">
        <v>3383</v>
      </c>
      <c r="M138" s="10">
        <v>26</v>
      </c>
      <c r="P138" s="10">
        <v>1.707723372</v>
      </c>
    </row>
    <row r="139" spans="1:16" x14ac:dyDescent="0.15">
      <c r="A139" s="10" t="s">
        <v>13</v>
      </c>
      <c r="B139" s="10" t="s">
        <v>14</v>
      </c>
      <c r="C139" s="10">
        <v>2022</v>
      </c>
      <c r="D139" s="10">
        <v>5400</v>
      </c>
      <c r="E139" s="10">
        <v>41</v>
      </c>
      <c r="F139" s="10">
        <v>-45</v>
      </c>
      <c r="G139" s="10">
        <v>111</v>
      </c>
      <c r="H139" s="10">
        <v>86</v>
      </c>
      <c r="I139" s="10">
        <v>2171</v>
      </c>
      <c r="L139" s="10">
        <v>4105</v>
      </c>
      <c r="M139" s="10">
        <v>29</v>
      </c>
      <c r="P139" s="10">
        <v>1.890833717</v>
      </c>
    </row>
    <row r="140" spans="1:16" x14ac:dyDescent="0.15">
      <c r="A140" s="10" t="s">
        <v>15</v>
      </c>
      <c r="B140" s="10" t="s">
        <v>16</v>
      </c>
      <c r="C140" s="10">
        <v>2022</v>
      </c>
      <c r="D140" s="10">
        <v>327424</v>
      </c>
      <c r="E140" s="10">
        <v>2420</v>
      </c>
      <c r="F140" s="10">
        <v>220</v>
      </c>
      <c r="G140" s="10">
        <v>124</v>
      </c>
      <c r="H140" s="10">
        <v>2200</v>
      </c>
      <c r="I140" s="10">
        <v>144094</v>
      </c>
      <c r="L140" s="10">
        <v>313031</v>
      </c>
      <c r="M140" s="10">
        <v>1642</v>
      </c>
      <c r="P140" s="10">
        <v>2.1724082889999998</v>
      </c>
    </row>
    <row r="141" spans="1:16" x14ac:dyDescent="0.15">
      <c r="A141" s="10" t="s">
        <v>17</v>
      </c>
      <c r="B141" s="10" t="s">
        <v>18</v>
      </c>
      <c r="C141" s="10">
        <v>2022</v>
      </c>
      <c r="D141" s="10">
        <v>76155</v>
      </c>
      <c r="E141" s="10">
        <v>635</v>
      </c>
      <c r="F141" s="10">
        <v>145</v>
      </c>
      <c r="G141" s="10">
        <v>595</v>
      </c>
      <c r="H141" s="10">
        <v>490</v>
      </c>
      <c r="I141" s="10">
        <v>33645</v>
      </c>
      <c r="L141" s="10">
        <v>75704</v>
      </c>
      <c r="M141" s="10">
        <v>538</v>
      </c>
      <c r="P141" s="10">
        <v>2.2500817359999998</v>
      </c>
    </row>
    <row r="142" spans="1:16" x14ac:dyDescent="0.15">
      <c r="A142" s="10" t="s">
        <v>19</v>
      </c>
      <c r="B142" s="10" t="s">
        <v>20</v>
      </c>
      <c r="C142" s="10">
        <v>2022</v>
      </c>
      <c r="D142" s="10">
        <v>20261</v>
      </c>
      <c r="E142" s="10">
        <v>145</v>
      </c>
      <c r="F142" s="10">
        <v>-41</v>
      </c>
      <c r="G142" s="10">
        <v>565</v>
      </c>
      <c r="H142" s="10">
        <v>186</v>
      </c>
      <c r="I142" s="10">
        <v>11903</v>
      </c>
      <c r="L142" s="10">
        <v>19071</v>
      </c>
      <c r="M142" s="10">
        <v>277</v>
      </c>
      <c r="P142" s="10">
        <v>1.602201126</v>
      </c>
    </row>
    <row r="143" spans="1:16" x14ac:dyDescent="0.15">
      <c r="A143" s="10" t="s">
        <v>21</v>
      </c>
      <c r="B143" s="10" t="s">
        <v>22</v>
      </c>
      <c r="C143" s="10">
        <v>2022</v>
      </c>
      <c r="D143" s="10">
        <v>1722</v>
      </c>
      <c r="E143" s="10">
        <v>15</v>
      </c>
      <c r="F143" s="10">
        <v>-14</v>
      </c>
      <c r="G143" s="10">
        <v>20</v>
      </c>
      <c r="H143" s="10">
        <v>29</v>
      </c>
      <c r="I143" s="10">
        <v>945</v>
      </c>
      <c r="L143" s="10">
        <v>1698</v>
      </c>
      <c r="M143" s="10">
        <v>11</v>
      </c>
      <c r="P143" s="10">
        <v>1.7968253970000001</v>
      </c>
    </row>
    <row r="144" spans="1:16" x14ac:dyDescent="0.15">
      <c r="A144" s="10" t="s">
        <v>23</v>
      </c>
      <c r="B144" s="10" t="s">
        <v>24</v>
      </c>
      <c r="C144" s="10">
        <v>2022</v>
      </c>
      <c r="D144" s="10">
        <v>9366</v>
      </c>
      <c r="E144" s="10">
        <v>60</v>
      </c>
      <c r="F144" s="10">
        <v>-18</v>
      </c>
      <c r="G144" s="10">
        <v>-73</v>
      </c>
      <c r="H144" s="10">
        <v>78</v>
      </c>
      <c r="I144" s="10">
        <v>5868</v>
      </c>
      <c r="L144" s="10">
        <v>9284</v>
      </c>
      <c r="M144" s="10">
        <v>20</v>
      </c>
      <c r="P144" s="10">
        <v>1.582140423</v>
      </c>
    </row>
    <row r="145" spans="1:16" x14ac:dyDescent="0.15">
      <c r="A145" s="10" t="s">
        <v>25</v>
      </c>
      <c r="B145" s="10" t="s">
        <v>26</v>
      </c>
      <c r="C145" s="10">
        <v>2022</v>
      </c>
      <c r="D145" s="10">
        <v>7572</v>
      </c>
      <c r="E145" s="10">
        <v>105</v>
      </c>
      <c r="F145" s="10">
        <v>-34</v>
      </c>
      <c r="G145" s="10">
        <v>20</v>
      </c>
      <c r="H145" s="10">
        <v>139</v>
      </c>
      <c r="I145" s="10">
        <v>4119</v>
      </c>
      <c r="L145" s="10">
        <v>7524</v>
      </c>
      <c r="M145" s="10">
        <v>40</v>
      </c>
      <c r="P145" s="10">
        <v>1.8266569560000001</v>
      </c>
    </row>
    <row r="146" spans="1:16" x14ac:dyDescent="0.15">
      <c r="A146" s="10" t="s">
        <v>27</v>
      </c>
      <c r="B146" s="10" t="s">
        <v>28</v>
      </c>
      <c r="C146" s="10">
        <v>2022</v>
      </c>
      <c r="D146" s="10">
        <v>3614</v>
      </c>
      <c r="E146" s="10">
        <v>28</v>
      </c>
      <c r="F146" s="10">
        <v>-30</v>
      </c>
      <c r="G146" s="10">
        <v>27</v>
      </c>
      <c r="H146" s="10">
        <v>58</v>
      </c>
      <c r="I146" s="10">
        <v>2424</v>
      </c>
      <c r="L146" s="10">
        <v>3602</v>
      </c>
      <c r="M146" s="10">
        <v>0</v>
      </c>
      <c r="P146" s="10">
        <v>1.4859735970000001</v>
      </c>
    </row>
    <row r="147" spans="1:16" x14ac:dyDescent="0.15">
      <c r="A147" s="10" t="s">
        <v>29</v>
      </c>
      <c r="B147" s="10" t="s">
        <v>30</v>
      </c>
      <c r="C147" s="10">
        <v>2022</v>
      </c>
      <c r="D147" s="10">
        <v>5620</v>
      </c>
      <c r="E147" s="10">
        <v>24</v>
      </c>
      <c r="F147" s="10">
        <v>-56</v>
      </c>
      <c r="G147" s="10">
        <v>-68</v>
      </c>
      <c r="H147" s="10">
        <v>80</v>
      </c>
      <c r="I147" s="10">
        <v>1535</v>
      </c>
      <c r="L147" s="10">
        <v>3116</v>
      </c>
      <c r="M147" s="10">
        <v>45</v>
      </c>
      <c r="P147" s="10">
        <v>2.0299674269999999</v>
      </c>
    </row>
    <row r="148" spans="1:16" x14ac:dyDescent="0.15">
      <c r="A148" s="10" t="s">
        <v>31</v>
      </c>
      <c r="B148" s="10" t="s">
        <v>32</v>
      </c>
      <c r="C148" s="10">
        <v>2022</v>
      </c>
      <c r="D148" s="10">
        <v>5338</v>
      </c>
      <c r="E148" s="10">
        <v>44</v>
      </c>
      <c r="F148" s="10">
        <v>-22</v>
      </c>
      <c r="G148" s="10">
        <v>296</v>
      </c>
      <c r="H148" s="10">
        <v>66</v>
      </c>
      <c r="I148" s="10">
        <v>4470</v>
      </c>
      <c r="L148" s="10">
        <v>5335</v>
      </c>
      <c r="M148" s="10">
        <v>132</v>
      </c>
      <c r="P148" s="10">
        <v>1.193512304</v>
      </c>
    </row>
    <row r="149" spans="1:16" x14ac:dyDescent="0.15">
      <c r="A149" s="10" t="s">
        <v>33</v>
      </c>
      <c r="B149" s="10" t="s">
        <v>34</v>
      </c>
      <c r="C149" s="10">
        <v>2022</v>
      </c>
      <c r="D149" s="10">
        <v>31581</v>
      </c>
      <c r="E149" s="10">
        <v>261</v>
      </c>
      <c r="F149" s="10">
        <v>-242</v>
      </c>
      <c r="G149" s="10">
        <v>437</v>
      </c>
      <c r="H149" s="10">
        <v>503</v>
      </c>
      <c r="I149" s="10">
        <v>15081</v>
      </c>
      <c r="L149" s="10">
        <v>31086</v>
      </c>
      <c r="M149" s="10">
        <v>60</v>
      </c>
      <c r="P149" s="10">
        <v>2.061269147</v>
      </c>
    </row>
    <row r="150" spans="1:16" x14ac:dyDescent="0.15">
      <c r="A150" s="10" t="s">
        <v>35</v>
      </c>
      <c r="B150" s="10" t="s">
        <v>36</v>
      </c>
      <c r="C150" s="10">
        <v>2022</v>
      </c>
      <c r="D150" s="10">
        <v>712637</v>
      </c>
      <c r="E150" s="10">
        <v>8165</v>
      </c>
      <c r="F150" s="10">
        <v>2761</v>
      </c>
      <c r="G150" s="10">
        <v>-1499</v>
      </c>
      <c r="H150" s="10">
        <v>5404</v>
      </c>
      <c r="I150" s="10">
        <v>360938</v>
      </c>
      <c r="L150" s="10">
        <v>697243</v>
      </c>
      <c r="M150" s="10">
        <v>8296</v>
      </c>
      <c r="P150" s="10">
        <v>1.931752822</v>
      </c>
    </row>
    <row r="151" spans="1:16" x14ac:dyDescent="0.15">
      <c r="A151" s="10" t="s">
        <v>37</v>
      </c>
      <c r="B151" s="10" t="s">
        <v>38</v>
      </c>
      <c r="C151" s="10">
        <v>2022</v>
      </c>
      <c r="D151" s="10">
        <v>2203</v>
      </c>
      <c r="E151" s="10">
        <v>20</v>
      </c>
      <c r="F151" s="10">
        <v>-22</v>
      </c>
      <c r="G151" s="10">
        <v>104</v>
      </c>
      <c r="H151" s="10">
        <v>42</v>
      </c>
      <c r="I151" s="10">
        <v>1357</v>
      </c>
      <c r="L151" s="10">
        <v>2203</v>
      </c>
      <c r="M151" s="10">
        <v>2</v>
      </c>
      <c r="P151" s="10">
        <v>1.6234340460000001</v>
      </c>
    </row>
    <row r="152" spans="1:16" x14ac:dyDescent="0.15">
      <c r="A152" s="10" t="s">
        <v>39</v>
      </c>
      <c r="B152" s="10" t="s">
        <v>40</v>
      </c>
      <c r="C152" s="10">
        <v>2022</v>
      </c>
      <c r="D152" s="10">
        <v>376026</v>
      </c>
      <c r="E152" s="10">
        <v>3850</v>
      </c>
      <c r="F152" s="10">
        <v>1724</v>
      </c>
      <c r="G152" s="10">
        <v>4544</v>
      </c>
      <c r="H152" s="10">
        <v>2126</v>
      </c>
      <c r="I152" s="10">
        <v>145974</v>
      </c>
      <c r="L152" s="10">
        <v>374404</v>
      </c>
      <c r="M152" s="10">
        <v>4767</v>
      </c>
      <c r="P152" s="10">
        <v>2.5648677160000002</v>
      </c>
    </row>
    <row r="153" spans="1:16" x14ac:dyDescent="0.15">
      <c r="A153" s="10" t="s">
        <v>41</v>
      </c>
      <c r="B153" s="10" t="s">
        <v>42</v>
      </c>
      <c r="C153" s="10">
        <v>2022</v>
      </c>
      <c r="D153" s="10">
        <v>55291</v>
      </c>
      <c r="E153" s="10">
        <v>523</v>
      </c>
      <c r="F153" s="10">
        <v>344</v>
      </c>
      <c r="G153" s="10">
        <v>-838</v>
      </c>
      <c r="H153" s="10">
        <v>179</v>
      </c>
      <c r="I153" s="10">
        <v>34333</v>
      </c>
      <c r="L153" s="10">
        <v>55190</v>
      </c>
      <c r="M153" s="10">
        <v>268</v>
      </c>
      <c r="P153" s="10">
        <v>1.607491335</v>
      </c>
    </row>
    <row r="154" spans="1:16" x14ac:dyDescent="0.15">
      <c r="A154" s="10" t="s">
        <v>43</v>
      </c>
      <c r="B154" s="10" t="s">
        <v>44</v>
      </c>
      <c r="C154" s="10">
        <v>2022</v>
      </c>
      <c r="D154" s="10">
        <v>27821</v>
      </c>
      <c r="E154" s="10">
        <v>261</v>
      </c>
      <c r="F154" s="10">
        <v>31</v>
      </c>
      <c r="G154" s="10">
        <v>646</v>
      </c>
      <c r="H154" s="10">
        <v>230</v>
      </c>
      <c r="I154" s="10">
        <v>10555</v>
      </c>
      <c r="L154" s="10">
        <v>27762</v>
      </c>
      <c r="M154" s="10">
        <v>284</v>
      </c>
      <c r="P154" s="10">
        <v>2.6302226430000002</v>
      </c>
    </row>
    <row r="155" spans="1:16" x14ac:dyDescent="0.15">
      <c r="A155" s="10" t="s">
        <v>45</v>
      </c>
      <c r="B155" s="10" t="s">
        <v>46</v>
      </c>
      <c r="C155" s="10">
        <v>2022</v>
      </c>
      <c r="D155" s="10">
        <v>740552</v>
      </c>
      <c r="E155" s="10">
        <v>9267</v>
      </c>
      <c r="F155" s="10">
        <v>3029</v>
      </c>
      <c r="G155" s="10">
        <v>321</v>
      </c>
      <c r="H155" s="10">
        <v>6238</v>
      </c>
      <c r="I155" s="10">
        <v>304114</v>
      </c>
      <c r="L155" s="10">
        <v>720084</v>
      </c>
      <c r="M155" s="10">
        <v>8685</v>
      </c>
      <c r="P155" s="10">
        <v>2.3678094399999998</v>
      </c>
    </row>
    <row r="156" spans="1:16" x14ac:dyDescent="0.15">
      <c r="A156" s="10" t="s">
        <v>47</v>
      </c>
      <c r="B156" s="10" t="s">
        <v>48</v>
      </c>
      <c r="C156" s="10">
        <v>2022</v>
      </c>
      <c r="D156" s="10">
        <v>49570</v>
      </c>
      <c r="E156" s="10">
        <v>332</v>
      </c>
      <c r="F156" s="10">
        <v>-422</v>
      </c>
      <c r="G156" s="10">
        <v>743</v>
      </c>
      <c r="H156" s="10">
        <v>754</v>
      </c>
      <c r="I156" s="10">
        <v>20610</v>
      </c>
      <c r="L156" s="10">
        <v>41601</v>
      </c>
      <c r="M156" s="10">
        <v>190</v>
      </c>
      <c r="P156" s="10">
        <v>2.0184861719999998</v>
      </c>
    </row>
    <row r="157" spans="1:16" x14ac:dyDescent="0.15">
      <c r="A157" s="10" t="s">
        <v>49</v>
      </c>
      <c r="B157" s="10" t="s">
        <v>50</v>
      </c>
      <c r="C157" s="10">
        <v>2022</v>
      </c>
      <c r="D157" s="10">
        <v>62254</v>
      </c>
      <c r="E157" s="10">
        <v>728</v>
      </c>
      <c r="F157" s="10">
        <v>314</v>
      </c>
      <c r="G157" s="10">
        <v>-224</v>
      </c>
      <c r="H157" s="10">
        <v>414</v>
      </c>
      <c r="I157" s="10">
        <v>25068</v>
      </c>
      <c r="L157" s="10">
        <v>61221</v>
      </c>
      <c r="M157" s="10">
        <v>240</v>
      </c>
      <c r="P157" s="10">
        <v>2.4421972240000001</v>
      </c>
    </row>
    <row r="158" spans="1:16" x14ac:dyDescent="0.15">
      <c r="A158" s="10" t="s">
        <v>51</v>
      </c>
      <c r="B158" s="10" t="s">
        <v>52</v>
      </c>
      <c r="C158" s="10">
        <v>2022</v>
      </c>
      <c r="D158" s="10">
        <v>5895</v>
      </c>
      <c r="E158" s="10">
        <v>49</v>
      </c>
      <c r="F158" s="10">
        <v>14</v>
      </c>
      <c r="G158" s="10">
        <v>-13</v>
      </c>
      <c r="H158" s="10">
        <v>35</v>
      </c>
      <c r="I158" s="10">
        <v>3564</v>
      </c>
      <c r="L158" s="10">
        <v>5847</v>
      </c>
      <c r="M158" s="10">
        <v>36</v>
      </c>
      <c r="P158" s="10">
        <v>1.6405723910000001</v>
      </c>
    </row>
    <row r="159" spans="1:16" x14ac:dyDescent="0.15">
      <c r="A159" s="10" t="s">
        <v>53</v>
      </c>
      <c r="B159" s="10" t="s">
        <v>54</v>
      </c>
      <c r="C159" s="10">
        <v>2022</v>
      </c>
      <c r="D159" s="10">
        <v>15748</v>
      </c>
      <c r="E159" s="10">
        <v>127</v>
      </c>
      <c r="F159" s="10">
        <v>13</v>
      </c>
      <c r="G159" s="10">
        <v>-125</v>
      </c>
      <c r="H159" s="10">
        <v>114</v>
      </c>
      <c r="I159" s="10">
        <v>17285</v>
      </c>
      <c r="L159" s="10">
        <v>15536</v>
      </c>
      <c r="M159" s="10">
        <v>375</v>
      </c>
      <c r="P159" s="10">
        <v>0.89881400099999997</v>
      </c>
    </row>
    <row r="160" spans="1:16" x14ac:dyDescent="0.15">
      <c r="A160" s="10" t="s">
        <v>55</v>
      </c>
      <c r="B160" s="10" t="s">
        <v>56</v>
      </c>
      <c r="C160" s="10">
        <v>2022</v>
      </c>
      <c r="D160" s="10">
        <v>17269</v>
      </c>
      <c r="E160" s="10">
        <v>133</v>
      </c>
      <c r="F160" s="10">
        <v>44</v>
      </c>
      <c r="G160" s="10">
        <v>-88</v>
      </c>
      <c r="H160" s="10">
        <v>89</v>
      </c>
      <c r="I160" s="10">
        <v>12619</v>
      </c>
      <c r="L160" s="10">
        <v>16212</v>
      </c>
      <c r="M160" s="10">
        <v>149</v>
      </c>
      <c r="P160" s="10">
        <v>1.284729376</v>
      </c>
    </row>
    <row r="161" spans="1:16" x14ac:dyDescent="0.15">
      <c r="A161" s="10" t="s">
        <v>57</v>
      </c>
      <c r="B161" s="10" t="s">
        <v>58</v>
      </c>
      <c r="C161" s="10">
        <v>2022</v>
      </c>
      <c r="D161" s="10">
        <v>779</v>
      </c>
      <c r="E161" s="10">
        <v>4</v>
      </c>
      <c r="F161" s="10">
        <v>-3</v>
      </c>
      <c r="G161" s="10">
        <v>4</v>
      </c>
      <c r="H161" s="10">
        <v>7</v>
      </c>
      <c r="I161" s="10">
        <v>1358</v>
      </c>
      <c r="L161" s="10">
        <v>779</v>
      </c>
      <c r="M161" s="10">
        <v>15</v>
      </c>
      <c r="P161" s="10">
        <v>0.57363770300000005</v>
      </c>
    </row>
    <row r="162" spans="1:16" x14ac:dyDescent="0.15">
      <c r="A162" s="10" t="s">
        <v>59</v>
      </c>
      <c r="B162" s="10" t="s">
        <v>60</v>
      </c>
      <c r="C162" s="10">
        <v>2022</v>
      </c>
      <c r="D162" s="10">
        <v>7104</v>
      </c>
      <c r="E162" s="10">
        <v>44</v>
      </c>
      <c r="F162" s="10">
        <v>-108</v>
      </c>
      <c r="G162" s="10">
        <v>264</v>
      </c>
      <c r="H162" s="10">
        <v>152</v>
      </c>
      <c r="I162" s="10">
        <v>4747</v>
      </c>
      <c r="L162" s="10">
        <v>7001</v>
      </c>
      <c r="M162" s="10">
        <v>57</v>
      </c>
      <c r="P162" s="10">
        <v>1.4748262059999999</v>
      </c>
    </row>
    <row r="163" spans="1:16" x14ac:dyDescent="0.15">
      <c r="A163" s="10" t="s">
        <v>61</v>
      </c>
      <c r="B163" s="10" t="s">
        <v>62</v>
      </c>
      <c r="C163" s="10">
        <v>2022</v>
      </c>
      <c r="D163" s="10">
        <v>1314</v>
      </c>
      <c r="E163" s="10">
        <v>8</v>
      </c>
      <c r="F163" s="10">
        <v>-1</v>
      </c>
      <c r="G163" s="10">
        <v>-43</v>
      </c>
      <c r="H163" s="10">
        <v>9</v>
      </c>
      <c r="I163" s="10">
        <v>1199</v>
      </c>
      <c r="L163" s="10">
        <v>1312</v>
      </c>
      <c r="M163" s="10">
        <v>4</v>
      </c>
      <c r="P163" s="10">
        <v>1.0942452039999999</v>
      </c>
    </row>
    <row r="164" spans="1:16" x14ac:dyDescent="0.15">
      <c r="A164" s="10" t="s">
        <v>63</v>
      </c>
      <c r="B164" s="10" t="s">
        <v>64</v>
      </c>
      <c r="C164" s="10">
        <v>2022</v>
      </c>
      <c r="D164" s="10">
        <v>575936</v>
      </c>
      <c r="E164" s="10">
        <v>5523</v>
      </c>
      <c r="F164" s="10">
        <v>82</v>
      </c>
      <c r="G164" s="10">
        <v>-4872</v>
      </c>
      <c r="H164" s="10">
        <v>5441</v>
      </c>
      <c r="I164" s="10">
        <v>254441</v>
      </c>
      <c r="L164" s="10">
        <v>566554</v>
      </c>
      <c r="M164" s="10">
        <v>2206</v>
      </c>
      <c r="P164" s="10">
        <v>2.2266615839999999</v>
      </c>
    </row>
    <row r="165" spans="1:16" x14ac:dyDescent="0.15">
      <c r="A165" s="10" t="s">
        <v>65</v>
      </c>
      <c r="B165" s="10" t="s">
        <v>66</v>
      </c>
      <c r="C165" s="10">
        <v>2022</v>
      </c>
      <c r="D165" s="10">
        <v>1428</v>
      </c>
      <c r="E165" s="10">
        <v>11</v>
      </c>
      <c r="F165" s="10">
        <v>-8</v>
      </c>
      <c r="G165" s="10">
        <v>-17</v>
      </c>
      <c r="H165" s="10">
        <v>19</v>
      </c>
      <c r="I165" s="10">
        <v>748</v>
      </c>
      <c r="L165" s="10">
        <v>1399</v>
      </c>
      <c r="M165" s="10">
        <v>6</v>
      </c>
      <c r="P165" s="10">
        <v>1.870320856</v>
      </c>
    </row>
    <row r="166" spans="1:16" x14ac:dyDescent="0.15">
      <c r="A166" s="10" t="s">
        <v>67</v>
      </c>
      <c r="B166" s="10" t="s">
        <v>68</v>
      </c>
      <c r="C166" s="10">
        <v>2022</v>
      </c>
      <c r="D166" s="10">
        <v>6974</v>
      </c>
      <c r="E166" s="10">
        <v>104</v>
      </c>
      <c r="F166" s="10">
        <v>11</v>
      </c>
      <c r="G166" s="10">
        <v>34</v>
      </c>
      <c r="H166" s="10">
        <v>93</v>
      </c>
      <c r="I166" s="10">
        <v>3428</v>
      </c>
      <c r="L166" s="10">
        <v>6881</v>
      </c>
      <c r="M166" s="10">
        <v>1</v>
      </c>
      <c r="P166" s="10">
        <v>2.0072928819999998</v>
      </c>
    </row>
    <row r="167" spans="1:16" x14ac:dyDescent="0.15">
      <c r="A167" s="10" t="s">
        <v>69</v>
      </c>
      <c r="B167" s="10" t="s">
        <v>70</v>
      </c>
      <c r="C167" s="10">
        <v>2022</v>
      </c>
      <c r="D167" s="10">
        <v>7342</v>
      </c>
      <c r="E167" s="10">
        <v>83</v>
      </c>
      <c r="F167" s="10">
        <v>35</v>
      </c>
      <c r="G167" s="10">
        <v>-92</v>
      </c>
      <c r="H167" s="10">
        <v>48</v>
      </c>
      <c r="I167" s="10">
        <v>4452</v>
      </c>
      <c r="L167" s="10">
        <v>7229</v>
      </c>
      <c r="M167" s="10">
        <v>64</v>
      </c>
      <c r="P167" s="10">
        <v>1.6237645999999999</v>
      </c>
    </row>
    <row r="168" spans="1:16" x14ac:dyDescent="0.15">
      <c r="A168" s="10" t="s">
        <v>71</v>
      </c>
      <c r="B168" s="10" t="s">
        <v>72</v>
      </c>
      <c r="C168" s="10">
        <v>2022</v>
      </c>
      <c r="D168" s="10">
        <v>56557</v>
      </c>
      <c r="E168" s="10">
        <v>423</v>
      </c>
      <c r="F168" s="10">
        <v>-39</v>
      </c>
      <c r="G168" s="10">
        <v>425</v>
      </c>
      <c r="H168" s="10">
        <v>462</v>
      </c>
      <c r="I168" s="10">
        <v>28946</v>
      </c>
      <c r="L168" s="10">
        <v>54645</v>
      </c>
      <c r="M168" s="10">
        <v>389</v>
      </c>
      <c r="P168" s="10">
        <v>1.887825606</v>
      </c>
    </row>
    <row r="169" spans="1:16" x14ac:dyDescent="0.15">
      <c r="A169" s="10" t="s">
        <v>73</v>
      </c>
      <c r="B169" s="10" t="s">
        <v>74</v>
      </c>
      <c r="C169" s="10">
        <v>2022</v>
      </c>
      <c r="D169" s="10">
        <v>366843</v>
      </c>
      <c r="E169" s="10">
        <v>3119</v>
      </c>
      <c r="F169" s="10">
        <v>222</v>
      </c>
      <c r="G169" s="10">
        <v>3847</v>
      </c>
      <c r="H169" s="10">
        <v>2897</v>
      </c>
      <c r="I169" s="10">
        <v>165658</v>
      </c>
      <c r="L169" s="10">
        <v>354725</v>
      </c>
      <c r="M169" s="10">
        <v>2572</v>
      </c>
      <c r="P169" s="10">
        <v>2.141309203</v>
      </c>
    </row>
    <row r="170" spans="1:16" x14ac:dyDescent="0.15">
      <c r="A170" s="10" t="s">
        <v>75</v>
      </c>
      <c r="B170" s="10" t="s">
        <v>76</v>
      </c>
      <c r="C170" s="10">
        <v>2022</v>
      </c>
      <c r="D170" s="10">
        <v>14297</v>
      </c>
      <c r="E170" s="10">
        <v>108</v>
      </c>
      <c r="F170" s="10">
        <v>-145</v>
      </c>
      <c r="G170" s="10">
        <v>112</v>
      </c>
      <c r="H170" s="10">
        <v>253</v>
      </c>
      <c r="I170" s="10">
        <v>8155</v>
      </c>
      <c r="L170" s="10">
        <v>13904</v>
      </c>
      <c r="M170" s="10">
        <v>44</v>
      </c>
      <c r="P170" s="10">
        <v>1.7049662779999999</v>
      </c>
    </row>
    <row r="171" spans="1:16" x14ac:dyDescent="0.15">
      <c r="A171" s="10" t="s">
        <v>77</v>
      </c>
      <c r="B171" s="10" t="s">
        <v>78</v>
      </c>
      <c r="C171" s="10">
        <v>2022</v>
      </c>
      <c r="D171" s="10">
        <v>5513</v>
      </c>
      <c r="E171" s="10">
        <v>52</v>
      </c>
      <c r="F171" s="10">
        <v>-11</v>
      </c>
      <c r="G171" s="10">
        <v>54</v>
      </c>
      <c r="H171" s="10">
        <v>63</v>
      </c>
      <c r="I171" s="10">
        <v>2386</v>
      </c>
      <c r="L171" s="10">
        <v>4671</v>
      </c>
      <c r="M171" s="10">
        <v>10</v>
      </c>
      <c r="P171" s="10">
        <v>1.95766974</v>
      </c>
    </row>
    <row r="172" spans="1:16" x14ac:dyDescent="0.15">
      <c r="A172" s="10" t="s">
        <v>79</v>
      </c>
      <c r="B172" s="10" t="s">
        <v>80</v>
      </c>
      <c r="C172" s="10">
        <v>2022</v>
      </c>
      <c r="D172" s="10">
        <v>20809</v>
      </c>
      <c r="E172" s="10">
        <v>213</v>
      </c>
      <c r="F172" s="10">
        <v>-67</v>
      </c>
      <c r="G172" s="10">
        <v>-213</v>
      </c>
      <c r="H172" s="10">
        <v>280</v>
      </c>
      <c r="I172" s="10">
        <v>8708</v>
      </c>
      <c r="L172" s="10">
        <v>18116</v>
      </c>
      <c r="M172" s="10">
        <v>22</v>
      </c>
      <c r="P172" s="10">
        <v>2.080385852</v>
      </c>
    </row>
    <row r="173" spans="1:16" x14ac:dyDescent="0.15">
      <c r="A173" s="10" t="s">
        <v>81</v>
      </c>
      <c r="B173" s="10" t="s">
        <v>82</v>
      </c>
      <c r="C173" s="10">
        <v>2022</v>
      </c>
      <c r="D173" s="10">
        <v>158534</v>
      </c>
      <c r="E173" s="10">
        <v>1447</v>
      </c>
      <c r="F173" s="10">
        <v>-568</v>
      </c>
      <c r="G173" s="10">
        <v>1670</v>
      </c>
      <c r="H173" s="10">
        <v>2015</v>
      </c>
      <c r="I173" s="10">
        <v>70017</v>
      </c>
      <c r="L173" s="10">
        <v>154405</v>
      </c>
      <c r="M173" s="10">
        <v>969</v>
      </c>
      <c r="P173" s="10">
        <v>2.2052501539999998</v>
      </c>
    </row>
    <row r="174" spans="1:16" x14ac:dyDescent="0.15">
      <c r="A174" s="10" t="s">
        <v>83</v>
      </c>
      <c r="B174" s="10" t="s">
        <v>84</v>
      </c>
      <c r="C174" s="10">
        <v>2022</v>
      </c>
      <c r="D174" s="10">
        <v>924</v>
      </c>
      <c r="E174" s="10">
        <v>8</v>
      </c>
      <c r="F174" s="10">
        <v>-5</v>
      </c>
      <c r="G174" s="10">
        <v>3</v>
      </c>
      <c r="H174" s="10">
        <v>13</v>
      </c>
      <c r="I174" s="10">
        <v>1298</v>
      </c>
      <c r="L174" s="10">
        <v>924</v>
      </c>
      <c r="M174" s="10">
        <v>9</v>
      </c>
      <c r="P174" s="10">
        <v>0.71186440699999998</v>
      </c>
    </row>
    <row r="175" spans="1:16" x14ac:dyDescent="0.15">
      <c r="A175" s="10" t="s">
        <v>85</v>
      </c>
      <c r="B175" s="10" t="s">
        <v>86</v>
      </c>
      <c r="C175" s="10">
        <v>2022</v>
      </c>
      <c r="D175" s="10">
        <v>13166</v>
      </c>
      <c r="E175" s="10">
        <v>120</v>
      </c>
      <c r="F175" s="10">
        <v>-41</v>
      </c>
      <c r="G175" s="10">
        <v>46</v>
      </c>
      <c r="H175" s="10">
        <v>161</v>
      </c>
      <c r="I175" s="10">
        <v>6139</v>
      </c>
      <c r="L175" s="10">
        <v>13056</v>
      </c>
      <c r="M175" s="10">
        <v>20</v>
      </c>
      <c r="P175" s="10">
        <v>2.126730738</v>
      </c>
    </row>
    <row r="176" spans="1:16" x14ac:dyDescent="0.15">
      <c r="A176" s="10" t="s">
        <v>87</v>
      </c>
      <c r="B176" s="10" t="s">
        <v>88</v>
      </c>
      <c r="C176" s="10">
        <v>2022</v>
      </c>
      <c r="D176" s="10">
        <v>26464</v>
      </c>
      <c r="E176" s="10">
        <v>240</v>
      </c>
      <c r="F176" s="10">
        <v>-147</v>
      </c>
      <c r="G176" s="10">
        <v>363</v>
      </c>
      <c r="H176" s="10">
        <v>387</v>
      </c>
      <c r="I176" s="10">
        <v>12348</v>
      </c>
      <c r="L176" s="10">
        <v>26213</v>
      </c>
      <c r="M176" s="10">
        <v>24</v>
      </c>
      <c r="P176" s="10">
        <v>2.1228539030000002</v>
      </c>
    </row>
    <row r="177" spans="1:16" x14ac:dyDescent="0.15">
      <c r="A177" s="10" t="s">
        <v>89</v>
      </c>
      <c r="B177" s="10" t="s">
        <v>90</v>
      </c>
      <c r="C177" s="10">
        <v>2022</v>
      </c>
      <c r="D177" s="10">
        <v>43799</v>
      </c>
      <c r="E177" s="10">
        <v>402</v>
      </c>
      <c r="F177" s="10">
        <v>-207</v>
      </c>
      <c r="G177" s="10">
        <v>772</v>
      </c>
      <c r="H177" s="10">
        <v>609</v>
      </c>
      <c r="I177" s="10">
        <v>19734</v>
      </c>
      <c r="L177" s="10">
        <v>43111</v>
      </c>
      <c r="M177" s="10">
        <v>405</v>
      </c>
      <c r="P177" s="10">
        <v>2.1846052500000002</v>
      </c>
    </row>
    <row r="178" spans="1:16" x14ac:dyDescent="0.15">
      <c r="A178" s="10" t="s">
        <v>91</v>
      </c>
      <c r="B178" s="10" t="s">
        <v>92</v>
      </c>
      <c r="C178" s="10">
        <v>2022</v>
      </c>
      <c r="D178" s="10">
        <v>29296</v>
      </c>
      <c r="E178" s="10">
        <v>419</v>
      </c>
      <c r="F178" s="10">
        <v>98</v>
      </c>
      <c r="G178" s="10">
        <v>187</v>
      </c>
      <c r="H178" s="10">
        <v>321</v>
      </c>
      <c r="I178" s="10">
        <v>11857</v>
      </c>
      <c r="L178" s="10">
        <v>28880</v>
      </c>
      <c r="M178" s="10">
        <v>181</v>
      </c>
      <c r="P178" s="10">
        <v>2.4356919960000001</v>
      </c>
    </row>
    <row r="179" spans="1:16" x14ac:dyDescent="0.15">
      <c r="A179" s="10" t="s">
        <v>93</v>
      </c>
      <c r="B179" s="10" t="s">
        <v>94</v>
      </c>
      <c r="C179" s="10">
        <v>2022</v>
      </c>
      <c r="D179" s="10">
        <v>18294</v>
      </c>
      <c r="E179" s="10">
        <v>188</v>
      </c>
      <c r="F179" s="10">
        <v>-119</v>
      </c>
      <c r="G179" s="10">
        <v>-110</v>
      </c>
      <c r="H179" s="10">
        <v>307</v>
      </c>
      <c r="I179" s="10">
        <v>8738</v>
      </c>
      <c r="L179" s="10">
        <v>17975</v>
      </c>
      <c r="M179" s="10">
        <v>33</v>
      </c>
      <c r="P179" s="10">
        <v>2.0571068889999999</v>
      </c>
    </row>
    <row r="180" spans="1:16" x14ac:dyDescent="0.15">
      <c r="A180" s="10" t="s">
        <v>95</v>
      </c>
      <c r="B180" s="10" t="s">
        <v>96</v>
      </c>
      <c r="C180" s="10">
        <v>2022</v>
      </c>
      <c r="D180" s="10">
        <v>5088</v>
      </c>
      <c r="E180" s="10">
        <v>30</v>
      </c>
      <c r="F180" s="10">
        <v>-7</v>
      </c>
      <c r="G180" s="10">
        <v>44</v>
      </c>
      <c r="H180" s="10">
        <v>37</v>
      </c>
      <c r="I180" s="10">
        <v>3511</v>
      </c>
      <c r="L180" s="10">
        <v>5088</v>
      </c>
      <c r="M180" s="10">
        <v>74</v>
      </c>
      <c r="P180" s="10">
        <v>1.4491597839999999</v>
      </c>
    </row>
    <row r="181" spans="1:16" x14ac:dyDescent="0.15">
      <c r="A181" s="10" t="s">
        <v>97</v>
      </c>
      <c r="B181" s="10" t="s">
        <v>98</v>
      </c>
      <c r="C181" s="10">
        <v>2022</v>
      </c>
      <c r="D181" s="10">
        <v>17900</v>
      </c>
      <c r="E181" s="10">
        <v>137</v>
      </c>
      <c r="F181" s="10">
        <v>-5</v>
      </c>
      <c r="G181" s="10">
        <v>170</v>
      </c>
      <c r="H181" s="10">
        <v>142</v>
      </c>
      <c r="I181" s="10">
        <v>14518</v>
      </c>
      <c r="L181" s="10">
        <v>17874</v>
      </c>
      <c r="M181" s="10">
        <v>193</v>
      </c>
      <c r="P181" s="10">
        <v>1.231161317</v>
      </c>
    </row>
    <row r="182" spans="1:16" x14ac:dyDescent="0.15">
      <c r="A182" s="10" t="s">
        <v>99</v>
      </c>
      <c r="B182" s="10" t="s">
        <v>100</v>
      </c>
      <c r="C182" s="10">
        <v>2022</v>
      </c>
      <c r="D182" s="10">
        <v>4435</v>
      </c>
      <c r="E182" s="10">
        <v>45</v>
      </c>
      <c r="F182" s="10">
        <v>-32</v>
      </c>
      <c r="G182" s="10">
        <v>-31</v>
      </c>
      <c r="H182" s="10">
        <v>77</v>
      </c>
      <c r="I182" s="10">
        <v>2037</v>
      </c>
      <c r="L182" s="10">
        <v>4377</v>
      </c>
      <c r="M182" s="10">
        <v>10</v>
      </c>
      <c r="P182" s="10">
        <v>2.1487481590000002</v>
      </c>
    </row>
    <row r="183" spans="1:16" x14ac:dyDescent="0.15">
      <c r="A183" s="10" t="s">
        <v>101</v>
      </c>
      <c r="B183" s="10" t="s">
        <v>102</v>
      </c>
      <c r="C183" s="10">
        <v>2022</v>
      </c>
      <c r="D183" s="10">
        <v>16856</v>
      </c>
      <c r="E183" s="10">
        <v>119</v>
      </c>
      <c r="F183" s="10">
        <v>52</v>
      </c>
      <c r="G183" s="10">
        <v>-532</v>
      </c>
      <c r="H183" s="10">
        <v>67</v>
      </c>
      <c r="I183" s="10">
        <v>13504</v>
      </c>
      <c r="L183" s="10">
        <v>16809</v>
      </c>
      <c r="M183" s="10">
        <v>99</v>
      </c>
      <c r="P183" s="10">
        <v>1.2447422990000001</v>
      </c>
    </row>
    <row r="184" spans="1:16" x14ac:dyDescent="0.15">
      <c r="A184" s="10" t="s">
        <v>103</v>
      </c>
      <c r="B184" s="10" t="s">
        <v>104</v>
      </c>
      <c r="C184" s="10">
        <v>2022</v>
      </c>
      <c r="D184" s="10">
        <v>11850</v>
      </c>
      <c r="E184" s="10">
        <v>140</v>
      </c>
      <c r="F184" s="10">
        <v>-25</v>
      </c>
      <c r="G184" s="10">
        <v>-110</v>
      </c>
      <c r="H184" s="10">
        <v>165</v>
      </c>
      <c r="I184" s="10">
        <v>5474</v>
      </c>
      <c r="L184" s="10">
        <v>11523</v>
      </c>
      <c r="M184" s="10">
        <v>15</v>
      </c>
      <c r="P184" s="10">
        <v>2.1050420170000002</v>
      </c>
    </row>
    <row r="185" spans="1:16" x14ac:dyDescent="0.15">
      <c r="A185" s="10" t="s">
        <v>105</v>
      </c>
      <c r="B185" s="10" t="s">
        <v>106</v>
      </c>
      <c r="C185" s="10">
        <v>2022</v>
      </c>
      <c r="D185" s="10">
        <v>169383</v>
      </c>
      <c r="E185" s="10">
        <v>1709</v>
      </c>
      <c r="F185" s="10">
        <v>-896</v>
      </c>
      <c r="G185" s="10">
        <v>1007</v>
      </c>
      <c r="H185" s="10">
        <v>2605</v>
      </c>
      <c r="I185" s="10">
        <v>73971</v>
      </c>
      <c r="L185" s="10">
        <v>165925</v>
      </c>
      <c r="M185" s="10">
        <v>497</v>
      </c>
      <c r="P185" s="10">
        <v>2.2431087860000001</v>
      </c>
    </row>
    <row r="186" spans="1:16" x14ac:dyDescent="0.15">
      <c r="A186" s="10" t="s">
        <v>107</v>
      </c>
      <c r="B186" s="10" t="s">
        <v>108</v>
      </c>
      <c r="C186" s="10">
        <v>2022</v>
      </c>
      <c r="D186" s="10">
        <v>6558</v>
      </c>
      <c r="E186" s="10">
        <v>63</v>
      </c>
      <c r="F186" s="10">
        <v>-9</v>
      </c>
      <c r="G186" s="10">
        <v>124</v>
      </c>
      <c r="H186" s="10">
        <v>72</v>
      </c>
      <c r="I186" s="10">
        <v>3296</v>
      </c>
      <c r="L186" s="10">
        <v>6352</v>
      </c>
      <c r="M186" s="10">
        <v>32</v>
      </c>
      <c r="P186" s="10">
        <v>1.9271844659999999</v>
      </c>
    </row>
    <row r="187" spans="1:16" x14ac:dyDescent="0.15">
      <c r="A187" s="10" t="s">
        <v>109</v>
      </c>
      <c r="B187" s="10" t="s">
        <v>110</v>
      </c>
      <c r="C187" s="10">
        <v>2022</v>
      </c>
      <c r="D187" s="10">
        <v>11336</v>
      </c>
      <c r="E187" s="10">
        <v>109</v>
      </c>
      <c r="F187" s="10">
        <v>-62</v>
      </c>
      <c r="G187" s="10">
        <v>-6</v>
      </c>
      <c r="H187" s="10">
        <v>171</v>
      </c>
      <c r="I187" s="10">
        <v>6606</v>
      </c>
      <c r="L187" s="10">
        <v>11229</v>
      </c>
      <c r="M187" s="10">
        <v>48</v>
      </c>
      <c r="P187" s="10">
        <v>1.6998183469999999</v>
      </c>
    </row>
    <row r="188" spans="1:16" x14ac:dyDescent="0.15">
      <c r="A188" s="10" t="s">
        <v>111</v>
      </c>
      <c r="B188" s="10" t="s">
        <v>112</v>
      </c>
      <c r="C188" s="10">
        <v>2022</v>
      </c>
      <c r="D188" s="10">
        <v>25027</v>
      </c>
      <c r="E188" s="10">
        <v>219</v>
      </c>
      <c r="F188" s="10">
        <v>74</v>
      </c>
      <c r="G188" s="10">
        <v>-108</v>
      </c>
      <c r="H188" s="10">
        <v>145</v>
      </c>
      <c r="I188" s="10">
        <v>17102</v>
      </c>
      <c r="L188" s="10">
        <v>24687</v>
      </c>
      <c r="M188" s="10">
        <v>438</v>
      </c>
      <c r="P188" s="10">
        <v>1.4435153780000001</v>
      </c>
    </row>
    <row r="189" spans="1:16" x14ac:dyDescent="0.15">
      <c r="A189" s="10" t="s">
        <v>113</v>
      </c>
      <c r="B189" s="10" t="s">
        <v>114</v>
      </c>
      <c r="C189" s="10">
        <v>2022</v>
      </c>
      <c r="D189" s="10">
        <v>6616</v>
      </c>
      <c r="E189" s="10">
        <v>65</v>
      </c>
      <c r="F189" s="10">
        <v>-21</v>
      </c>
      <c r="G189" s="10">
        <v>130</v>
      </c>
      <c r="H189" s="10">
        <v>86</v>
      </c>
      <c r="I189" s="10">
        <v>3914</v>
      </c>
      <c r="L189" s="10">
        <v>6600</v>
      </c>
      <c r="M189" s="10">
        <v>84</v>
      </c>
      <c r="P189" s="10">
        <v>1.686254471</v>
      </c>
    </row>
    <row r="190" spans="1:16" x14ac:dyDescent="0.15">
      <c r="A190" s="10" t="s">
        <v>115</v>
      </c>
      <c r="B190" s="10" t="s">
        <v>116</v>
      </c>
      <c r="C190" s="10">
        <v>2022</v>
      </c>
      <c r="D190" s="10">
        <v>801</v>
      </c>
      <c r="E190" s="10">
        <v>4</v>
      </c>
      <c r="F190" s="10">
        <v>-4</v>
      </c>
      <c r="G190" s="10">
        <v>64</v>
      </c>
      <c r="H190" s="10">
        <v>8</v>
      </c>
      <c r="I190" s="10">
        <v>805</v>
      </c>
      <c r="L190" s="10">
        <v>801</v>
      </c>
      <c r="M190" s="10">
        <v>5</v>
      </c>
      <c r="P190" s="10">
        <v>0.99503105599999997</v>
      </c>
    </row>
    <row r="191" spans="1:16" x14ac:dyDescent="0.15">
      <c r="A191" s="10" t="s">
        <v>117</v>
      </c>
      <c r="B191" s="10" t="s">
        <v>118</v>
      </c>
      <c r="C191" s="10">
        <v>2022</v>
      </c>
      <c r="D191" s="10">
        <v>7993</v>
      </c>
      <c r="E191" s="10">
        <v>50</v>
      </c>
      <c r="F191" s="10">
        <v>8</v>
      </c>
      <c r="G191" s="10">
        <v>-93</v>
      </c>
      <c r="H191" s="10">
        <v>42</v>
      </c>
      <c r="I191" s="10">
        <v>6711</v>
      </c>
      <c r="L191" s="10">
        <v>7988</v>
      </c>
      <c r="M191" s="10">
        <v>70</v>
      </c>
      <c r="P191" s="10">
        <v>1.1902846069999999</v>
      </c>
    </row>
    <row r="192" spans="1:16" x14ac:dyDescent="0.15">
      <c r="A192" s="10" t="s">
        <v>119</v>
      </c>
      <c r="B192" s="10" t="s">
        <v>120</v>
      </c>
      <c r="C192" s="10">
        <v>2022</v>
      </c>
      <c r="D192" s="10">
        <v>2297</v>
      </c>
      <c r="E192" s="10">
        <v>12</v>
      </c>
      <c r="F192" s="10">
        <v>-28</v>
      </c>
      <c r="G192" s="10">
        <v>-5</v>
      </c>
      <c r="H192" s="10">
        <v>40</v>
      </c>
      <c r="I192" s="10">
        <v>1343</v>
      </c>
      <c r="L192" s="10">
        <v>2265</v>
      </c>
      <c r="M192" s="10">
        <v>3</v>
      </c>
      <c r="P192" s="10">
        <v>1.68652271</v>
      </c>
    </row>
    <row r="193" spans="1:16" x14ac:dyDescent="0.15">
      <c r="A193" s="10" t="s">
        <v>121</v>
      </c>
      <c r="B193" s="10" t="s">
        <v>122</v>
      </c>
      <c r="C193" s="10">
        <v>2022</v>
      </c>
      <c r="D193" s="10">
        <v>30583</v>
      </c>
      <c r="E193" s="10">
        <v>252</v>
      </c>
      <c r="F193" s="10">
        <v>161</v>
      </c>
      <c r="G193" s="10">
        <v>-572</v>
      </c>
      <c r="H193" s="10">
        <v>91</v>
      </c>
      <c r="I193" s="10">
        <v>32147</v>
      </c>
      <c r="L193" s="10">
        <v>30004</v>
      </c>
      <c r="M193" s="10">
        <v>400</v>
      </c>
      <c r="P193" s="10">
        <v>0.93333748100000002</v>
      </c>
    </row>
    <row r="194" spans="1:16" x14ac:dyDescent="0.15">
      <c r="A194" s="10" t="s">
        <v>123</v>
      </c>
      <c r="B194" s="10" t="s">
        <v>124</v>
      </c>
      <c r="C194" s="10">
        <v>2022</v>
      </c>
      <c r="D194" s="10">
        <v>24852</v>
      </c>
      <c r="E194" s="10">
        <v>178</v>
      </c>
      <c r="F194" s="10">
        <v>-97</v>
      </c>
      <c r="G194" s="10">
        <v>2</v>
      </c>
      <c r="H194" s="10">
        <v>275</v>
      </c>
      <c r="I194" s="10">
        <v>13657</v>
      </c>
      <c r="L194" s="10">
        <v>24688</v>
      </c>
      <c r="M194" s="10">
        <v>159</v>
      </c>
      <c r="P194" s="10">
        <v>1.807717654</v>
      </c>
    </row>
    <row r="195" spans="1:16" x14ac:dyDescent="0.15">
      <c r="A195" s="10" t="s">
        <v>125</v>
      </c>
      <c r="B195" s="10" t="s">
        <v>126</v>
      </c>
      <c r="C195" s="10">
        <v>2022</v>
      </c>
      <c r="D195" s="10">
        <v>4835</v>
      </c>
      <c r="E195" s="10">
        <v>49</v>
      </c>
      <c r="F195" s="10">
        <v>-28</v>
      </c>
      <c r="G195" s="10">
        <v>-7</v>
      </c>
      <c r="H195" s="10">
        <v>77</v>
      </c>
      <c r="I195" s="10">
        <v>2289</v>
      </c>
      <c r="L195" s="10">
        <v>4671</v>
      </c>
      <c r="M195" s="10">
        <v>4</v>
      </c>
      <c r="P195" s="10">
        <v>2.040629096</v>
      </c>
    </row>
    <row r="196" spans="1:16" x14ac:dyDescent="0.15">
      <c r="A196" s="10" t="s">
        <v>127</v>
      </c>
      <c r="B196" s="10" t="s">
        <v>128</v>
      </c>
      <c r="C196" s="10">
        <v>2022</v>
      </c>
      <c r="D196" s="10">
        <v>350206</v>
      </c>
      <c r="E196" s="10">
        <v>4613</v>
      </c>
      <c r="F196" s="10">
        <v>2016</v>
      </c>
      <c r="G196" s="10">
        <v>8325</v>
      </c>
      <c r="H196" s="10">
        <v>2597</v>
      </c>
      <c r="I196" s="10">
        <v>129656</v>
      </c>
      <c r="L196" s="10">
        <v>345788</v>
      </c>
      <c r="M196" s="10">
        <v>6143</v>
      </c>
      <c r="P196" s="10">
        <v>2.6669648920000002</v>
      </c>
    </row>
    <row r="197" spans="1:16" x14ac:dyDescent="0.15">
      <c r="A197" s="10" t="s">
        <v>129</v>
      </c>
      <c r="B197" s="10" t="s">
        <v>130</v>
      </c>
      <c r="C197" s="10">
        <v>2022</v>
      </c>
      <c r="D197" s="10">
        <v>9920</v>
      </c>
      <c r="E197" s="10">
        <v>140</v>
      </c>
      <c r="F197" s="10">
        <v>45</v>
      </c>
      <c r="G197" s="10">
        <v>-57</v>
      </c>
      <c r="H197" s="10">
        <v>95</v>
      </c>
      <c r="I197" s="10">
        <v>4326</v>
      </c>
      <c r="L197" s="10">
        <v>9757</v>
      </c>
      <c r="M197" s="10">
        <v>20</v>
      </c>
      <c r="P197" s="10">
        <v>2.25543227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E0F29-F47C-244D-8639-58C6AB1DDDC9}">
  <sheetPr>
    <tabColor theme="9"/>
  </sheetPr>
  <dimension ref="A1:L847"/>
  <sheetViews>
    <sheetView workbookViewId="0">
      <selection activeCell="O793" sqref="O793"/>
    </sheetView>
  </sheetViews>
  <sheetFormatPr baseColWidth="10" defaultColWidth="7.5703125" defaultRowHeight="13" x14ac:dyDescent="0.15"/>
  <cols>
    <col min="1" max="1" width="6.140625" style="1" customWidth="1"/>
    <col min="2" max="2" width="15.28515625" style="10" customWidth="1"/>
    <col min="3" max="3" width="7.5703125" style="11"/>
    <col min="4" max="6" width="8.7109375" style="12" customWidth="1"/>
    <col min="7" max="7" width="8.7109375" style="13" customWidth="1"/>
    <col min="8" max="10" width="8.7109375" style="12" customWidth="1"/>
    <col min="11" max="11" width="8.7109375" style="10" customWidth="1"/>
    <col min="12" max="12" width="8.7109375" style="13" customWidth="1"/>
    <col min="13" max="16384" width="7.5703125" style="10"/>
  </cols>
  <sheetData>
    <row r="1" spans="1:12" s="2" customFormat="1" x14ac:dyDescent="0.15">
      <c r="A1" s="1" t="s">
        <v>131</v>
      </c>
      <c r="D1" s="3"/>
      <c r="E1" s="3"/>
      <c r="F1" s="3"/>
      <c r="G1" s="4"/>
      <c r="H1" s="3"/>
      <c r="I1" s="3"/>
      <c r="J1" s="3"/>
      <c r="L1" s="4"/>
    </row>
    <row r="2" spans="1:12" s="2" customFormat="1" ht="70" x14ac:dyDescent="0.15">
      <c r="A2" s="5" t="s">
        <v>132</v>
      </c>
      <c r="B2" s="6" t="s">
        <v>133</v>
      </c>
      <c r="C2" s="7" t="s">
        <v>134</v>
      </c>
      <c r="D2" s="8" t="s">
        <v>135</v>
      </c>
      <c r="E2" s="8" t="s">
        <v>0</v>
      </c>
      <c r="F2" s="8" t="s">
        <v>136</v>
      </c>
      <c r="G2" s="9" t="s">
        <v>137</v>
      </c>
      <c r="H2" s="8" t="s">
        <v>138</v>
      </c>
      <c r="I2" s="8" t="s">
        <v>139</v>
      </c>
      <c r="J2" s="8" t="s">
        <v>140</v>
      </c>
      <c r="K2" s="7" t="s">
        <v>141</v>
      </c>
      <c r="L2" s="9" t="s">
        <v>142</v>
      </c>
    </row>
    <row r="3" spans="1:12" x14ac:dyDescent="0.15">
      <c r="A3" s="1">
        <v>0</v>
      </c>
      <c r="B3" s="10" t="s">
        <v>143</v>
      </c>
      <c r="C3" s="11">
        <v>2010</v>
      </c>
      <c r="D3" s="12">
        <v>5050332</v>
      </c>
      <c r="E3" s="12">
        <v>4933380</v>
      </c>
      <c r="F3" s="12">
        <v>116952</v>
      </c>
      <c r="G3" s="13">
        <v>2.5</v>
      </c>
      <c r="H3" s="12">
        <v>2205618</v>
      </c>
      <c r="I3" s="12">
        <v>1971855</v>
      </c>
      <c r="J3" s="12">
        <v>233763</v>
      </c>
      <c r="K3" s="10">
        <v>10.6</v>
      </c>
      <c r="L3" s="13">
        <v>2.2367336500000001</v>
      </c>
    </row>
    <row r="4" spans="1:12" x14ac:dyDescent="0.15">
      <c r="A4" s="1">
        <v>1</v>
      </c>
      <c r="B4" s="10" t="s">
        <v>144</v>
      </c>
      <c r="C4" s="11">
        <v>2010</v>
      </c>
      <c r="D4" s="12">
        <v>443711</v>
      </c>
      <c r="E4" s="12">
        <v>439684</v>
      </c>
      <c r="F4" s="12">
        <v>4027</v>
      </c>
      <c r="G4" s="13">
        <v>2.85</v>
      </c>
      <c r="H4" s="12">
        <v>163435</v>
      </c>
      <c r="I4" s="12">
        <v>154505</v>
      </c>
      <c r="J4" s="12">
        <v>8930</v>
      </c>
      <c r="K4" s="10">
        <v>5.46</v>
      </c>
      <c r="L4" s="13">
        <v>2.6902683019999998</v>
      </c>
    </row>
    <row r="5" spans="1:12" x14ac:dyDescent="0.15">
      <c r="A5" s="1">
        <v>3</v>
      </c>
      <c r="B5" s="10" t="s">
        <v>145</v>
      </c>
      <c r="C5" s="11">
        <v>2010</v>
      </c>
      <c r="D5" s="12">
        <v>15474</v>
      </c>
      <c r="E5" s="12">
        <v>14734</v>
      </c>
      <c r="F5" s="12">
        <v>740</v>
      </c>
      <c r="G5" s="13">
        <v>2.4500000000000002</v>
      </c>
      <c r="H5" s="12">
        <v>6561</v>
      </c>
      <c r="I5" s="12">
        <v>6007</v>
      </c>
      <c r="J5" s="12">
        <v>554</v>
      </c>
      <c r="K5" s="10">
        <v>8.44</v>
      </c>
      <c r="L5" s="13">
        <v>2.245694254</v>
      </c>
    </row>
    <row r="6" spans="1:12" x14ac:dyDescent="0.15">
      <c r="A6" s="1">
        <v>5</v>
      </c>
      <c r="B6" s="10" t="s">
        <v>146</v>
      </c>
      <c r="C6" s="11">
        <v>2010</v>
      </c>
      <c r="D6" s="12">
        <v>574819</v>
      </c>
      <c r="E6" s="12">
        <v>569899</v>
      </c>
      <c r="F6" s="12">
        <v>4920</v>
      </c>
      <c r="G6" s="13">
        <v>2.5299999999999998</v>
      </c>
      <c r="H6" s="12">
        <v>239171</v>
      </c>
      <c r="I6" s="12">
        <v>225108</v>
      </c>
      <c r="J6" s="12">
        <v>14063</v>
      </c>
      <c r="K6" s="10">
        <v>5.88</v>
      </c>
      <c r="L6" s="13">
        <v>2.382809789</v>
      </c>
    </row>
    <row r="7" spans="1:12" x14ac:dyDescent="0.15">
      <c r="A7" s="1">
        <v>7</v>
      </c>
      <c r="B7" s="10" t="s">
        <v>147</v>
      </c>
      <c r="C7" s="11">
        <v>2010</v>
      </c>
      <c r="D7" s="12">
        <v>12060</v>
      </c>
      <c r="E7" s="12">
        <v>11931</v>
      </c>
      <c r="F7" s="12">
        <v>129</v>
      </c>
      <c r="G7" s="13">
        <v>2.27</v>
      </c>
      <c r="H7" s="12">
        <v>8762</v>
      </c>
      <c r="I7" s="12">
        <v>5257</v>
      </c>
      <c r="J7" s="12">
        <v>3505</v>
      </c>
      <c r="K7" s="10">
        <v>40</v>
      </c>
      <c r="L7" s="13">
        <v>1.3616754170000001</v>
      </c>
    </row>
    <row r="8" spans="1:12" x14ac:dyDescent="0.15">
      <c r="A8" s="1">
        <v>9</v>
      </c>
      <c r="B8" s="10" t="s">
        <v>148</v>
      </c>
      <c r="C8" s="11">
        <v>2010</v>
      </c>
      <c r="D8" s="12">
        <v>3795</v>
      </c>
      <c r="E8" s="12">
        <v>3713</v>
      </c>
      <c r="F8" s="12">
        <v>82</v>
      </c>
      <c r="G8" s="13">
        <v>2.52</v>
      </c>
      <c r="H8" s="12">
        <v>1964</v>
      </c>
      <c r="I8" s="12">
        <v>1475</v>
      </c>
      <c r="J8" s="12">
        <v>489</v>
      </c>
      <c r="K8" s="10">
        <v>24.9</v>
      </c>
      <c r="L8" s="13">
        <v>1.890529532</v>
      </c>
    </row>
    <row r="9" spans="1:12" x14ac:dyDescent="0.15">
      <c r="A9" s="1">
        <v>11</v>
      </c>
      <c r="B9" s="10" t="s">
        <v>149</v>
      </c>
      <c r="C9" s="11">
        <v>2010</v>
      </c>
      <c r="D9" s="12">
        <v>6506</v>
      </c>
      <c r="E9" s="12">
        <v>4298</v>
      </c>
      <c r="F9" s="12">
        <v>2208</v>
      </c>
      <c r="G9" s="13">
        <v>2.4900000000000002</v>
      </c>
      <c r="H9" s="12">
        <v>2111</v>
      </c>
      <c r="I9" s="12">
        <v>1728</v>
      </c>
      <c r="J9" s="12">
        <v>383</v>
      </c>
      <c r="K9" s="10">
        <v>18.14</v>
      </c>
      <c r="L9" s="13">
        <v>2.0360018950000001</v>
      </c>
    </row>
    <row r="10" spans="1:12" x14ac:dyDescent="0.15">
      <c r="A10" s="1">
        <v>13</v>
      </c>
      <c r="B10" s="10" t="s">
        <v>150</v>
      </c>
      <c r="C10" s="11">
        <v>2010</v>
      </c>
      <c r="D10" s="12">
        <v>295605</v>
      </c>
      <c r="E10" s="12">
        <v>286209</v>
      </c>
      <c r="F10" s="12">
        <v>9396</v>
      </c>
      <c r="G10" s="13">
        <v>2.39</v>
      </c>
      <c r="H10" s="12">
        <v>127213</v>
      </c>
      <c r="I10" s="12">
        <v>119568</v>
      </c>
      <c r="J10" s="12">
        <v>7645</v>
      </c>
      <c r="K10" s="10">
        <v>6.01</v>
      </c>
      <c r="L10" s="13">
        <v>2.249840818</v>
      </c>
    </row>
    <row r="11" spans="1:12" x14ac:dyDescent="0.15">
      <c r="A11" s="1">
        <v>14</v>
      </c>
      <c r="B11" s="10" t="s">
        <v>151</v>
      </c>
      <c r="C11" s="11">
        <v>2010</v>
      </c>
      <c r="D11" s="12">
        <v>56107</v>
      </c>
      <c r="E11" s="12">
        <v>55825</v>
      </c>
      <c r="F11" s="12">
        <v>282</v>
      </c>
      <c r="G11" s="13">
        <v>2.6</v>
      </c>
      <c r="H11" s="12">
        <v>22685</v>
      </c>
      <c r="I11" s="12">
        <v>21498</v>
      </c>
      <c r="J11" s="12">
        <v>1187</v>
      </c>
      <c r="K11" s="10">
        <v>5.23</v>
      </c>
      <c r="L11" s="13">
        <v>2.4608772320000001</v>
      </c>
    </row>
    <row r="12" spans="1:12" x14ac:dyDescent="0.15">
      <c r="A12" s="1">
        <v>15</v>
      </c>
      <c r="B12" s="10" t="s">
        <v>152</v>
      </c>
      <c r="C12" s="11">
        <v>2010</v>
      </c>
      <c r="D12" s="12">
        <v>17797</v>
      </c>
      <c r="E12" s="12">
        <v>16361</v>
      </c>
      <c r="F12" s="12">
        <v>1436</v>
      </c>
      <c r="G12" s="13">
        <v>2.15</v>
      </c>
      <c r="H12" s="12">
        <v>10030</v>
      </c>
      <c r="I12" s="12">
        <v>7595</v>
      </c>
      <c r="J12" s="12">
        <v>2435</v>
      </c>
      <c r="K12" s="10">
        <v>24.28</v>
      </c>
      <c r="L12" s="13">
        <v>1.6312063809999999</v>
      </c>
    </row>
    <row r="13" spans="1:12" x14ac:dyDescent="0.15">
      <c r="A13" s="1">
        <v>17</v>
      </c>
      <c r="B13" s="10" t="s">
        <v>153</v>
      </c>
      <c r="C13" s="11">
        <v>2010</v>
      </c>
      <c r="D13" s="12">
        <v>1834</v>
      </c>
      <c r="E13" s="12">
        <v>1792</v>
      </c>
      <c r="F13" s="12">
        <v>42</v>
      </c>
      <c r="G13" s="13">
        <v>2.5499999999999998</v>
      </c>
      <c r="H13" s="12">
        <v>868</v>
      </c>
      <c r="I13" s="12">
        <v>702</v>
      </c>
      <c r="J13" s="12">
        <v>166</v>
      </c>
      <c r="K13" s="10">
        <v>19.12</v>
      </c>
      <c r="L13" s="13">
        <v>2.0645161289999998</v>
      </c>
    </row>
    <row r="14" spans="1:12" x14ac:dyDescent="0.15">
      <c r="A14" s="1">
        <v>19</v>
      </c>
      <c r="B14" s="10" t="s">
        <v>154</v>
      </c>
      <c r="C14" s="11">
        <v>2010</v>
      </c>
      <c r="D14" s="12">
        <v>9155</v>
      </c>
      <c r="E14" s="12">
        <v>9024</v>
      </c>
      <c r="F14" s="12">
        <v>131</v>
      </c>
      <c r="G14" s="13">
        <v>2.2200000000000002</v>
      </c>
      <c r="H14" s="12">
        <v>5472</v>
      </c>
      <c r="I14" s="12">
        <v>4060</v>
      </c>
      <c r="J14" s="12">
        <v>1412</v>
      </c>
      <c r="K14" s="10">
        <v>25.8</v>
      </c>
      <c r="L14" s="13">
        <v>1.6491228069999999</v>
      </c>
    </row>
    <row r="15" spans="1:12" x14ac:dyDescent="0.15">
      <c r="A15" s="1">
        <v>21</v>
      </c>
      <c r="B15" s="10" t="s">
        <v>155</v>
      </c>
      <c r="C15" s="11">
        <v>2010</v>
      </c>
      <c r="D15" s="12">
        <v>8282</v>
      </c>
      <c r="E15" s="12">
        <v>8246</v>
      </c>
      <c r="F15" s="12">
        <v>36</v>
      </c>
      <c r="G15" s="13">
        <v>2.96</v>
      </c>
      <c r="H15" s="12">
        <v>3810</v>
      </c>
      <c r="I15" s="12">
        <v>2785</v>
      </c>
      <c r="J15" s="12">
        <v>1025</v>
      </c>
      <c r="K15" s="10">
        <v>26.9</v>
      </c>
      <c r="L15" s="13">
        <v>2.164304462</v>
      </c>
    </row>
    <row r="16" spans="1:12" x14ac:dyDescent="0.15">
      <c r="A16" s="1">
        <v>23</v>
      </c>
      <c r="B16" s="10" t="s">
        <v>156</v>
      </c>
      <c r="C16" s="11">
        <v>2010</v>
      </c>
      <c r="D16" s="12">
        <v>3532</v>
      </c>
      <c r="E16" s="12">
        <v>3532</v>
      </c>
      <c r="F16" s="12">
        <v>0</v>
      </c>
      <c r="G16" s="13">
        <v>2.68</v>
      </c>
      <c r="H16" s="12">
        <v>2241</v>
      </c>
      <c r="I16" s="12">
        <v>1317</v>
      </c>
      <c r="J16" s="12">
        <v>924</v>
      </c>
      <c r="K16" s="10">
        <v>41.23</v>
      </c>
      <c r="L16" s="13">
        <v>1.5760821060000001</v>
      </c>
    </row>
    <row r="17" spans="1:12" x14ac:dyDescent="0.15">
      <c r="A17" s="1">
        <v>25</v>
      </c>
      <c r="B17" s="10" t="s">
        <v>157</v>
      </c>
      <c r="C17" s="11">
        <v>2010</v>
      </c>
      <c r="D17" s="12">
        <v>5838</v>
      </c>
      <c r="E17" s="12">
        <v>3156</v>
      </c>
      <c r="F17" s="12">
        <v>2682</v>
      </c>
      <c r="G17" s="13">
        <v>2.54</v>
      </c>
      <c r="H17" s="12">
        <v>1479</v>
      </c>
      <c r="I17" s="12">
        <v>1244</v>
      </c>
      <c r="J17" s="12">
        <v>235</v>
      </c>
      <c r="K17" s="10">
        <v>15.89</v>
      </c>
      <c r="L17" s="13">
        <v>2.1338742389999998</v>
      </c>
    </row>
    <row r="18" spans="1:12" x14ac:dyDescent="0.15">
      <c r="A18" s="1">
        <v>27</v>
      </c>
      <c r="B18" s="10" t="s">
        <v>158</v>
      </c>
      <c r="C18" s="11">
        <v>2010</v>
      </c>
      <c r="D18" s="12">
        <v>4272</v>
      </c>
      <c r="E18" s="12">
        <v>4257</v>
      </c>
      <c r="F18" s="12">
        <v>15</v>
      </c>
      <c r="G18" s="13">
        <v>2.34</v>
      </c>
      <c r="H18" s="12">
        <v>3593</v>
      </c>
      <c r="I18" s="12">
        <v>1816</v>
      </c>
      <c r="J18" s="12">
        <v>1777</v>
      </c>
      <c r="K18" s="10">
        <v>49.46</v>
      </c>
      <c r="L18" s="13">
        <v>1.1848037849999999</v>
      </c>
    </row>
    <row r="19" spans="1:12" x14ac:dyDescent="0.15">
      <c r="A19" s="1">
        <v>29</v>
      </c>
      <c r="B19" s="10" t="s">
        <v>159</v>
      </c>
      <c r="C19" s="11">
        <v>2010</v>
      </c>
      <c r="D19" s="12">
        <v>30889</v>
      </c>
      <c r="E19" s="12">
        <v>30176</v>
      </c>
      <c r="F19" s="12">
        <v>713</v>
      </c>
      <c r="G19" s="13">
        <v>2.38</v>
      </c>
      <c r="H19" s="12">
        <v>14575</v>
      </c>
      <c r="I19" s="12">
        <v>12679</v>
      </c>
      <c r="J19" s="12">
        <v>1896</v>
      </c>
      <c r="K19" s="10">
        <v>13.01</v>
      </c>
      <c r="L19" s="13">
        <v>2.0703945109999999</v>
      </c>
    </row>
    <row r="20" spans="1:12" x14ac:dyDescent="0.15">
      <c r="A20" s="1">
        <v>31</v>
      </c>
      <c r="B20" s="10" t="s">
        <v>160</v>
      </c>
      <c r="C20" s="11">
        <v>2010</v>
      </c>
      <c r="D20" s="12">
        <v>604879</v>
      </c>
      <c r="E20" s="12">
        <v>588898</v>
      </c>
      <c r="F20" s="12">
        <v>15981</v>
      </c>
      <c r="G20" s="13">
        <v>2.2200000000000002</v>
      </c>
      <c r="H20" s="12">
        <v>287392</v>
      </c>
      <c r="I20" s="12">
        <v>265233</v>
      </c>
      <c r="J20" s="12">
        <v>22159</v>
      </c>
      <c r="K20" s="10">
        <v>7.71</v>
      </c>
      <c r="L20" s="13">
        <v>2.0491106220000002</v>
      </c>
    </row>
    <row r="21" spans="1:12" x14ac:dyDescent="0.15">
      <c r="A21" s="1">
        <v>33</v>
      </c>
      <c r="B21" s="10" t="s">
        <v>161</v>
      </c>
      <c r="C21" s="11">
        <v>2010</v>
      </c>
      <c r="D21" s="12">
        <v>2060</v>
      </c>
      <c r="E21" s="12">
        <v>2060</v>
      </c>
      <c r="F21" s="12">
        <v>0</v>
      </c>
      <c r="G21" s="13">
        <v>3.04</v>
      </c>
      <c r="H21" s="12">
        <v>1060</v>
      </c>
      <c r="I21" s="12">
        <v>678</v>
      </c>
      <c r="J21" s="12">
        <v>382</v>
      </c>
      <c r="K21" s="10">
        <v>36.04</v>
      </c>
      <c r="L21" s="13">
        <v>1.9433962259999999</v>
      </c>
    </row>
    <row r="22" spans="1:12" x14ac:dyDescent="0.15">
      <c r="A22" s="1">
        <v>35</v>
      </c>
      <c r="B22" s="10" t="s">
        <v>162</v>
      </c>
      <c r="C22" s="11">
        <v>2010</v>
      </c>
      <c r="D22" s="12">
        <v>287124</v>
      </c>
      <c r="E22" s="12">
        <v>286324</v>
      </c>
      <c r="F22" s="12">
        <v>800</v>
      </c>
      <c r="G22" s="13">
        <v>2.79</v>
      </c>
      <c r="H22" s="12">
        <v>107260</v>
      </c>
      <c r="I22" s="12">
        <v>102559</v>
      </c>
      <c r="J22" s="12">
        <v>4701</v>
      </c>
      <c r="K22" s="10">
        <v>4.38</v>
      </c>
      <c r="L22" s="13">
        <v>2.6694387470000001</v>
      </c>
    </row>
    <row r="23" spans="1:12" x14ac:dyDescent="0.15">
      <c r="A23" s="1">
        <v>37</v>
      </c>
      <c r="B23" s="10" t="s">
        <v>163</v>
      </c>
      <c r="C23" s="11">
        <v>2010</v>
      </c>
      <c r="D23" s="12">
        <v>52057</v>
      </c>
      <c r="E23" s="12">
        <v>52002</v>
      </c>
      <c r="F23" s="12">
        <v>55</v>
      </c>
      <c r="G23" s="13">
        <v>2.75</v>
      </c>
      <c r="H23" s="12">
        <v>30810</v>
      </c>
      <c r="I23" s="12">
        <v>18902</v>
      </c>
      <c r="J23" s="12">
        <v>11908</v>
      </c>
      <c r="K23" s="10">
        <v>38.65</v>
      </c>
      <c r="L23" s="13">
        <v>1.687828627</v>
      </c>
    </row>
    <row r="24" spans="1:12" x14ac:dyDescent="0.15">
      <c r="A24" s="1">
        <v>39</v>
      </c>
      <c r="B24" s="10" t="s">
        <v>164</v>
      </c>
      <c r="C24" s="11">
        <v>2010</v>
      </c>
      <c r="D24" s="12">
        <v>23107</v>
      </c>
      <c r="E24" s="12">
        <v>23034</v>
      </c>
      <c r="F24" s="12">
        <v>73</v>
      </c>
      <c r="G24" s="13">
        <v>2.75</v>
      </c>
      <c r="H24" s="12">
        <v>8949</v>
      </c>
      <c r="I24" s="12">
        <v>8388</v>
      </c>
      <c r="J24" s="12">
        <v>561</v>
      </c>
      <c r="K24" s="10">
        <v>6.27</v>
      </c>
      <c r="L24" s="13">
        <v>2.5739188739999999</v>
      </c>
    </row>
    <row r="25" spans="1:12" x14ac:dyDescent="0.15">
      <c r="A25" s="1">
        <v>41</v>
      </c>
      <c r="B25" s="10" t="s">
        <v>165</v>
      </c>
      <c r="C25" s="11">
        <v>2010</v>
      </c>
      <c r="D25" s="12">
        <v>627232</v>
      </c>
      <c r="E25" s="12">
        <v>608091</v>
      </c>
      <c r="F25" s="12">
        <v>19141</v>
      </c>
      <c r="G25" s="13">
        <v>2.56</v>
      </c>
      <c r="H25" s="12">
        <v>253716</v>
      </c>
      <c r="I25" s="12">
        <v>237924</v>
      </c>
      <c r="J25" s="12">
        <v>15792</v>
      </c>
      <c r="K25" s="10">
        <v>6.22</v>
      </c>
      <c r="L25" s="13">
        <v>2.3967388729999999</v>
      </c>
    </row>
    <row r="26" spans="1:12" x14ac:dyDescent="0.15">
      <c r="A26" s="1">
        <v>43</v>
      </c>
      <c r="B26" s="10" t="s">
        <v>166</v>
      </c>
      <c r="C26" s="11">
        <v>2010</v>
      </c>
      <c r="D26" s="12">
        <v>46854</v>
      </c>
      <c r="E26" s="12">
        <v>38150</v>
      </c>
      <c r="F26" s="12">
        <v>8704</v>
      </c>
      <c r="G26" s="13">
        <v>2.2799999999999998</v>
      </c>
      <c r="H26" s="12">
        <v>19448</v>
      </c>
      <c r="I26" s="12">
        <v>16744</v>
      </c>
      <c r="J26" s="12">
        <v>2704</v>
      </c>
      <c r="K26" s="10">
        <v>13.9</v>
      </c>
      <c r="L26" s="13">
        <v>1.9616412999999999</v>
      </c>
    </row>
    <row r="27" spans="1:12" x14ac:dyDescent="0.15">
      <c r="A27" s="1">
        <v>45</v>
      </c>
      <c r="B27" s="10" t="s">
        <v>167</v>
      </c>
      <c r="C27" s="11">
        <v>2010</v>
      </c>
      <c r="D27" s="12">
        <v>56150</v>
      </c>
      <c r="E27" s="12">
        <v>55266</v>
      </c>
      <c r="F27" s="12">
        <v>884</v>
      </c>
      <c r="G27" s="13">
        <v>2.77</v>
      </c>
      <c r="H27" s="12">
        <v>22892</v>
      </c>
      <c r="I27" s="12">
        <v>19921</v>
      </c>
      <c r="J27" s="12">
        <v>2971</v>
      </c>
      <c r="K27" s="10">
        <v>12.98</v>
      </c>
      <c r="L27" s="13">
        <v>2.4142058359999998</v>
      </c>
    </row>
    <row r="28" spans="1:12" x14ac:dyDescent="0.15">
      <c r="A28" s="1">
        <v>47</v>
      </c>
      <c r="B28" s="10" t="s">
        <v>168</v>
      </c>
      <c r="C28" s="11">
        <v>2010</v>
      </c>
      <c r="D28" s="12">
        <v>5463</v>
      </c>
      <c r="E28" s="12">
        <v>5414</v>
      </c>
      <c r="F28" s="12">
        <v>49</v>
      </c>
      <c r="G28" s="13">
        <v>2.37</v>
      </c>
      <c r="H28" s="12">
        <v>3298</v>
      </c>
      <c r="I28" s="12">
        <v>2289</v>
      </c>
      <c r="J28" s="12">
        <v>1009</v>
      </c>
      <c r="K28" s="10">
        <v>30.59</v>
      </c>
      <c r="L28" s="13">
        <v>1.64160097</v>
      </c>
    </row>
    <row r="29" spans="1:12" x14ac:dyDescent="0.15">
      <c r="A29" s="1">
        <v>49</v>
      </c>
      <c r="B29" s="10" t="s">
        <v>169</v>
      </c>
      <c r="C29" s="11">
        <v>2010</v>
      </c>
      <c r="D29" s="12">
        <v>14790</v>
      </c>
      <c r="E29" s="12">
        <v>14568</v>
      </c>
      <c r="F29" s="12">
        <v>222</v>
      </c>
      <c r="G29" s="13">
        <v>2.36</v>
      </c>
      <c r="H29" s="12">
        <v>15396</v>
      </c>
      <c r="I29" s="12">
        <v>6168</v>
      </c>
      <c r="J29" s="12">
        <v>9228</v>
      </c>
      <c r="K29" s="10">
        <v>59.94</v>
      </c>
      <c r="L29" s="13">
        <v>0.94621979700000003</v>
      </c>
    </row>
    <row r="30" spans="1:12" x14ac:dyDescent="0.15">
      <c r="A30" s="1">
        <v>51</v>
      </c>
      <c r="B30" s="10" t="s">
        <v>170</v>
      </c>
      <c r="C30" s="11">
        <v>2010</v>
      </c>
      <c r="D30" s="12">
        <v>15309</v>
      </c>
      <c r="E30" s="12">
        <v>14459</v>
      </c>
      <c r="F30" s="12">
        <v>850</v>
      </c>
      <c r="G30" s="13">
        <v>2.2200000000000002</v>
      </c>
      <c r="H30" s="12">
        <v>11431</v>
      </c>
      <c r="I30" s="12">
        <v>6511</v>
      </c>
      <c r="J30" s="12">
        <v>4920</v>
      </c>
      <c r="K30" s="10">
        <v>43.04</v>
      </c>
      <c r="L30" s="13">
        <v>1.2648937099999999</v>
      </c>
    </row>
    <row r="31" spans="1:12" x14ac:dyDescent="0.15">
      <c r="A31" s="1">
        <v>53</v>
      </c>
      <c r="B31" s="10" t="s">
        <v>171</v>
      </c>
      <c r="C31" s="11">
        <v>2010</v>
      </c>
      <c r="D31" s="12">
        <v>843</v>
      </c>
      <c r="E31" s="12">
        <v>787</v>
      </c>
      <c r="F31" s="12">
        <v>56</v>
      </c>
      <c r="G31" s="13">
        <v>2.34</v>
      </c>
      <c r="H31" s="12">
        <v>1274</v>
      </c>
      <c r="I31" s="12">
        <v>337</v>
      </c>
      <c r="J31" s="12">
        <v>937</v>
      </c>
      <c r="K31" s="10">
        <v>73.55</v>
      </c>
      <c r="L31" s="13">
        <v>0.61773940299999996</v>
      </c>
    </row>
    <row r="32" spans="1:12" x14ac:dyDescent="0.15">
      <c r="A32" s="1">
        <v>55</v>
      </c>
      <c r="B32" s="10" t="s">
        <v>172</v>
      </c>
      <c r="C32" s="11">
        <v>2010</v>
      </c>
      <c r="D32" s="12">
        <v>6655</v>
      </c>
      <c r="E32" s="12">
        <v>6490</v>
      </c>
      <c r="F32" s="12">
        <v>165</v>
      </c>
      <c r="G32" s="13">
        <v>2.35</v>
      </c>
      <c r="H32" s="12">
        <v>4445</v>
      </c>
      <c r="I32" s="12">
        <v>2764</v>
      </c>
      <c r="J32" s="12">
        <v>1681</v>
      </c>
      <c r="K32" s="10">
        <v>37.82</v>
      </c>
      <c r="L32" s="13">
        <v>1.4600674920000001</v>
      </c>
    </row>
    <row r="33" spans="1:12" x14ac:dyDescent="0.15">
      <c r="A33" s="1">
        <v>57</v>
      </c>
      <c r="B33" s="10" t="s">
        <v>173</v>
      </c>
      <c r="C33" s="11">
        <v>2010</v>
      </c>
      <c r="D33" s="12">
        <v>1387</v>
      </c>
      <c r="E33" s="12">
        <v>1385</v>
      </c>
      <c r="F33" s="12">
        <v>2</v>
      </c>
      <c r="G33" s="13">
        <v>2.4</v>
      </c>
      <c r="H33" s="12">
        <v>1140</v>
      </c>
      <c r="I33" s="12">
        <v>578</v>
      </c>
      <c r="J33" s="12">
        <v>562</v>
      </c>
      <c r="K33" s="10">
        <v>49.3</v>
      </c>
      <c r="L33" s="13">
        <v>1.2149122809999999</v>
      </c>
    </row>
    <row r="34" spans="1:12" x14ac:dyDescent="0.15">
      <c r="A34" s="1">
        <v>59</v>
      </c>
      <c r="B34" s="10" t="s">
        <v>174</v>
      </c>
      <c r="C34" s="11">
        <v>2010</v>
      </c>
      <c r="D34" s="12">
        <v>535651</v>
      </c>
      <c r="E34" s="12">
        <v>528224</v>
      </c>
      <c r="F34" s="12">
        <v>7427</v>
      </c>
      <c r="G34" s="13">
        <v>2.42</v>
      </c>
      <c r="H34" s="12">
        <v>230181</v>
      </c>
      <c r="I34" s="12">
        <v>218630</v>
      </c>
      <c r="J34" s="12">
        <v>11551</v>
      </c>
      <c r="K34" s="10">
        <v>5.0199999999999996</v>
      </c>
      <c r="L34" s="13">
        <v>2.2948201629999998</v>
      </c>
    </row>
    <row r="35" spans="1:12" x14ac:dyDescent="0.15">
      <c r="A35" s="1">
        <v>61</v>
      </c>
      <c r="B35" s="10" t="s">
        <v>175</v>
      </c>
      <c r="C35" s="11">
        <v>2010</v>
      </c>
      <c r="D35" s="12">
        <v>1399</v>
      </c>
      <c r="E35" s="12">
        <v>1385</v>
      </c>
      <c r="F35" s="12">
        <v>14</v>
      </c>
      <c r="G35" s="13">
        <v>2.4900000000000002</v>
      </c>
      <c r="H35" s="12">
        <v>720</v>
      </c>
      <c r="I35" s="12">
        <v>557</v>
      </c>
      <c r="J35" s="12">
        <v>163</v>
      </c>
      <c r="K35" s="10">
        <v>22.64</v>
      </c>
      <c r="L35" s="13">
        <v>1.923611111</v>
      </c>
    </row>
    <row r="36" spans="1:12" x14ac:dyDescent="0.15">
      <c r="A36" s="1">
        <v>63</v>
      </c>
      <c r="B36" s="10" t="s">
        <v>176</v>
      </c>
      <c r="C36" s="11">
        <v>2010</v>
      </c>
      <c r="D36" s="12">
        <v>8267</v>
      </c>
      <c r="E36" s="12">
        <v>7192</v>
      </c>
      <c r="F36" s="12">
        <v>1075</v>
      </c>
      <c r="G36" s="13">
        <v>2.4700000000000002</v>
      </c>
      <c r="H36" s="12">
        <v>3377</v>
      </c>
      <c r="I36" s="12">
        <v>2916</v>
      </c>
      <c r="J36" s="12">
        <v>461</v>
      </c>
      <c r="K36" s="10">
        <v>13.65</v>
      </c>
      <c r="L36" s="13">
        <v>2.1297009180000002</v>
      </c>
    </row>
    <row r="37" spans="1:12" x14ac:dyDescent="0.15">
      <c r="A37" s="1">
        <v>65</v>
      </c>
      <c r="B37" s="10" t="s">
        <v>177</v>
      </c>
      <c r="C37" s="11">
        <v>2010</v>
      </c>
      <c r="D37" s="12">
        <v>7282</v>
      </c>
      <c r="E37" s="12">
        <v>7149</v>
      </c>
      <c r="F37" s="12">
        <v>133</v>
      </c>
      <c r="G37" s="13">
        <v>2.4300000000000002</v>
      </c>
      <c r="H37" s="12">
        <v>4271</v>
      </c>
      <c r="I37" s="12">
        <v>2941</v>
      </c>
      <c r="J37" s="12">
        <v>1330</v>
      </c>
      <c r="K37" s="10">
        <v>31.14</v>
      </c>
      <c r="L37" s="13">
        <v>1.6738468740000001</v>
      </c>
    </row>
    <row r="38" spans="1:12" x14ac:dyDescent="0.15">
      <c r="A38" s="1">
        <v>67</v>
      </c>
      <c r="B38" s="10" t="s">
        <v>178</v>
      </c>
      <c r="C38" s="11">
        <v>2010</v>
      </c>
      <c r="D38" s="12">
        <v>51441</v>
      </c>
      <c r="E38" s="12">
        <v>49726</v>
      </c>
      <c r="F38" s="12">
        <v>1715</v>
      </c>
      <c r="G38" s="13">
        <v>2.35</v>
      </c>
      <c r="H38" s="12">
        <v>25910</v>
      </c>
      <c r="I38" s="12">
        <v>21143</v>
      </c>
      <c r="J38" s="12">
        <v>4767</v>
      </c>
      <c r="K38" s="10">
        <v>18.399999999999999</v>
      </c>
      <c r="L38" s="13">
        <v>1.919181783</v>
      </c>
    </row>
    <row r="39" spans="1:12" x14ac:dyDescent="0.15">
      <c r="A39" s="1">
        <v>69</v>
      </c>
      <c r="B39" s="10" t="s">
        <v>179</v>
      </c>
      <c r="C39" s="11">
        <v>2010</v>
      </c>
      <c r="D39" s="12">
        <v>300532</v>
      </c>
      <c r="E39" s="12">
        <v>292002</v>
      </c>
      <c r="F39" s="12">
        <v>8530</v>
      </c>
      <c r="G39" s="13">
        <v>2.42</v>
      </c>
      <c r="H39" s="12">
        <v>133171</v>
      </c>
      <c r="I39" s="12">
        <v>120666</v>
      </c>
      <c r="J39" s="12">
        <v>12505</v>
      </c>
      <c r="K39" s="10">
        <v>9.39</v>
      </c>
      <c r="L39" s="13">
        <v>2.1926845930000001</v>
      </c>
    </row>
    <row r="40" spans="1:12" x14ac:dyDescent="0.15">
      <c r="A40" s="1">
        <v>71</v>
      </c>
      <c r="B40" s="10" t="s">
        <v>180</v>
      </c>
      <c r="C40" s="11">
        <v>2010</v>
      </c>
      <c r="D40" s="12">
        <v>15407</v>
      </c>
      <c r="E40" s="12">
        <v>14549</v>
      </c>
      <c r="F40" s="12">
        <v>858</v>
      </c>
      <c r="G40" s="13">
        <v>2.4500000000000002</v>
      </c>
      <c r="H40" s="12">
        <v>7648</v>
      </c>
      <c r="I40" s="12">
        <v>5934</v>
      </c>
      <c r="J40" s="12">
        <v>1714</v>
      </c>
      <c r="K40" s="10">
        <v>22.41</v>
      </c>
      <c r="L40" s="13">
        <v>1.9023274059999999</v>
      </c>
    </row>
    <row r="41" spans="1:12" x14ac:dyDescent="0.15">
      <c r="A41" s="1">
        <v>73</v>
      </c>
      <c r="B41" s="10" t="s">
        <v>181</v>
      </c>
      <c r="C41" s="11">
        <v>2010</v>
      </c>
      <c r="D41" s="12">
        <v>5474</v>
      </c>
      <c r="E41" s="12">
        <v>4444</v>
      </c>
      <c r="F41" s="12">
        <v>1030</v>
      </c>
      <c r="G41" s="13">
        <v>2.46</v>
      </c>
      <c r="H41" s="12">
        <v>2242</v>
      </c>
      <c r="I41" s="12">
        <v>1810</v>
      </c>
      <c r="J41" s="12">
        <v>432</v>
      </c>
      <c r="K41" s="10">
        <v>19.27</v>
      </c>
      <c r="L41" s="13">
        <v>1.9821587869999999</v>
      </c>
    </row>
    <row r="42" spans="1:12" x14ac:dyDescent="0.15">
      <c r="A42" s="1">
        <v>75</v>
      </c>
      <c r="B42" s="10" t="s">
        <v>182</v>
      </c>
      <c r="C42" s="11">
        <v>2010</v>
      </c>
      <c r="D42" s="12">
        <v>22293</v>
      </c>
      <c r="E42" s="12">
        <v>18819</v>
      </c>
      <c r="F42" s="12">
        <v>3474</v>
      </c>
      <c r="G42" s="13">
        <v>2.4700000000000002</v>
      </c>
      <c r="H42" s="12">
        <v>8488</v>
      </c>
      <c r="I42" s="12">
        <v>7608</v>
      </c>
      <c r="J42" s="12">
        <v>880</v>
      </c>
      <c r="K42" s="10">
        <v>10.37</v>
      </c>
      <c r="L42" s="13">
        <v>2.2171300660000002</v>
      </c>
    </row>
    <row r="43" spans="1:12" x14ac:dyDescent="0.15">
      <c r="A43" s="1">
        <v>77</v>
      </c>
      <c r="B43" s="10" t="s">
        <v>183</v>
      </c>
      <c r="C43" s="11">
        <v>2010</v>
      </c>
      <c r="D43" s="12">
        <v>147155</v>
      </c>
      <c r="E43" s="12">
        <v>142688</v>
      </c>
      <c r="F43" s="12">
        <v>4467</v>
      </c>
      <c r="G43" s="13">
        <v>2.46</v>
      </c>
      <c r="H43" s="12">
        <v>62994</v>
      </c>
      <c r="I43" s="12">
        <v>57942</v>
      </c>
      <c r="J43" s="12">
        <v>5052</v>
      </c>
      <c r="K43" s="10">
        <v>8.02</v>
      </c>
      <c r="L43" s="13">
        <v>2.2651046130000001</v>
      </c>
    </row>
    <row r="44" spans="1:12" x14ac:dyDescent="0.15">
      <c r="A44" s="1">
        <v>79</v>
      </c>
      <c r="B44" s="10" t="s">
        <v>184</v>
      </c>
      <c r="C44" s="11">
        <v>2010</v>
      </c>
      <c r="D44" s="12">
        <v>705</v>
      </c>
      <c r="E44" s="12">
        <v>705</v>
      </c>
      <c r="F44" s="12">
        <v>0</v>
      </c>
      <c r="G44" s="13">
        <v>2.2599999999999998</v>
      </c>
      <c r="H44" s="12">
        <v>1097</v>
      </c>
      <c r="I44" s="12">
        <v>312</v>
      </c>
      <c r="J44" s="12">
        <v>785</v>
      </c>
      <c r="K44" s="10">
        <v>71.56</v>
      </c>
      <c r="L44" s="13">
        <v>0.64266180500000003</v>
      </c>
    </row>
    <row r="45" spans="1:12" x14ac:dyDescent="0.15">
      <c r="A45" s="1">
        <v>81</v>
      </c>
      <c r="B45" s="10" t="s">
        <v>185</v>
      </c>
      <c r="C45" s="11">
        <v>2010</v>
      </c>
      <c r="D45" s="12">
        <v>13806</v>
      </c>
      <c r="E45" s="12">
        <v>13704</v>
      </c>
      <c r="F45" s="12">
        <v>102</v>
      </c>
      <c r="G45" s="13">
        <v>2.6</v>
      </c>
      <c r="H45" s="12">
        <v>5962</v>
      </c>
      <c r="I45" s="12">
        <v>5269</v>
      </c>
      <c r="J45" s="12">
        <v>693</v>
      </c>
      <c r="K45" s="10">
        <v>11.62</v>
      </c>
      <c r="L45" s="13">
        <v>2.2985575310000002</v>
      </c>
    </row>
    <row r="46" spans="1:12" x14ac:dyDescent="0.15">
      <c r="A46" s="1">
        <v>83</v>
      </c>
      <c r="B46" s="10" t="s">
        <v>186</v>
      </c>
      <c r="C46" s="11">
        <v>2010</v>
      </c>
      <c r="D46" s="12">
        <v>25532</v>
      </c>
      <c r="E46" s="12">
        <v>25295</v>
      </c>
      <c r="F46" s="12">
        <v>237</v>
      </c>
      <c r="G46" s="13">
        <v>2.4300000000000002</v>
      </c>
      <c r="H46" s="12">
        <v>11932</v>
      </c>
      <c r="I46" s="12">
        <v>10397</v>
      </c>
      <c r="J46" s="12">
        <v>1535</v>
      </c>
      <c r="K46" s="10">
        <v>12.86</v>
      </c>
      <c r="L46" s="13">
        <v>2.1199296009999999</v>
      </c>
    </row>
    <row r="47" spans="1:12" x14ac:dyDescent="0.15">
      <c r="A47" s="1">
        <v>85</v>
      </c>
      <c r="B47" s="10" t="s">
        <v>187</v>
      </c>
      <c r="C47" s="11">
        <v>2010</v>
      </c>
      <c r="D47" s="12">
        <v>41188</v>
      </c>
      <c r="E47" s="12">
        <v>40646</v>
      </c>
      <c r="F47" s="12">
        <v>542</v>
      </c>
      <c r="G47" s="13">
        <v>2.63</v>
      </c>
      <c r="H47" s="12">
        <v>17198</v>
      </c>
      <c r="I47" s="12">
        <v>15455</v>
      </c>
      <c r="J47" s="12">
        <v>1743</v>
      </c>
      <c r="K47" s="10">
        <v>10.130000000000001</v>
      </c>
      <c r="L47" s="13">
        <v>2.3634143509999999</v>
      </c>
    </row>
    <row r="48" spans="1:12" x14ac:dyDescent="0.15">
      <c r="A48" s="1">
        <v>87</v>
      </c>
      <c r="B48" s="10" t="s">
        <v>188</v>
      </c>
      <c r="C48" s="11">
        <v>2010</v>
      </c>
      <c r="D48" s="12">
        <v>28196</v>
      </c>
      <c r="E48" s="12">
        <v>27632</v>
      </c>
      <c r="F48" s="12">
        <v>564</v>
      </c>
      <c r="G48" s="13">
        <v>2.81</v>
      </c>
      <c r="H48" s="12">
        <v>10960</v>
      </c>
      <c r="I48" s="12">
        <v>9841</v>
      </c>
      <c r="J48" s="12">
        <v>1119</v>
      </c>
      <c r="K48" s="10">
        <v>10.210000000000001</v>
      </c>
      <c r="L48" s="13">
        <v>2.5211678829999999</v>
      </c>
    </row>
    <row r="49" spans="1:12" x14ac:dyDescent="0.15">
      <c r="A49" s="1">
        <v>89</v>
      </c>
      <c r="B49" s="10" t="s">
        <v>189</v>
      </c>
      <c r="C49" s="11">
        <v>2010</v>
      </c>
      <c r="D49" s="12">
        <v>18838</v>
      </c>
      <c r="E49" s="12">
        <v>18405</v>
      </c>
      <c r="F49" s="12">
        <v>433</v>
      </c>
      <c r="G49" s="13">
        <v>2.46</v>
      </c>
      <c r="H49" s="12">
        <v>8689</v>
      </c>
      <c r="I49" s="12">
        <v>7490</v>
      </c>
      <c r="J49" s="12">
        <v>1199</v>
      </c>
      <c r="K49" s="10">
        <v>13.8</v>
      </c>
      <c r="L49" s="13">
        <v>2.1181954190000001</v>
      </c>
    </row>
    <row r="50" spans="1:12" x14ac:dyDescent="0.15">
      <c r="A50" s="1">
        <v>91</v>
      </c>
      <c r="B50" s="10" t="s">
        <v>190</v>
      </c>
      <c r="C50" s="11">
        <v>2010</v>
      </c>
      <c r="D50" s="12">
        <v>4446</v>
      </c>
      <c r="E50" s="12">
        <v>4446</v>
      </c>
      <c r="F50" s="12">
        <v>0</v>
      </c>
      <c r="G50" s="13">
        <v>2.19</v>
      </c>
      <c r="H50" s="12">
        <v>3088</v>
      </c>
      <c r="I50" s="12">
        <v>2026</v>
      </c>
      <c r="J50" s="12">
        <v>1062</v>
      </c>
      <c r="K50" s="10">
        <v>34.39</v>
      </c>
      <c r="L50" s="13">
        <v>1.439766839</v>
      </c>
    </row>
    <row r="51" spans="1:12" x14ac:dyDescent="0.15">
      <c r="A51" s="1">
        <v>93</v>
      </c>
      <c r="B51" s="10" t="s">
        <v>191</v>
      </c>
      <c r="C51" s="11">
        <v>2010</v>
      </c>
      <c r="D51" s="12">
        <v>16262</v>
      </c>
      <c r="E51" s="12">
        <v>16170</v>
      </c>
      <c r="F51" s="12">
        <v>92</v>
      </c>
      <c r="G51" s="13">
        <v>2.27</v>
      </c>
      <c r="H51" s="12">
        <v>13798</v>
      </c>
      <c r="I51" s="12">
        <v>7120</v>
      </c>
      <c r="J51" s="12">
        <v>6678</v>
      </c>
      <c r="K51" s="10">
        <v>48.4</v>
      </c>
      <c r="L51" s="13">
        <v>1.171908972</v>
      </c>
    </row>
    <row r="52" spans="1:12" x14ac:dyDescent="0.15">
      <c r="A52" s="1">
        <v>95</v>
      </c>
      <c r="B52" s="10" t="s">
        <v>192</v>
      </c>
      <c r="C52" s="11">
        <v>2010</v>
      </c>
      <c r="D52" s="12">
        <v>4465</v>
      </c>
      <c r="E52" s="12">
        <v>4405</v>
      </c>
      <c r="F52" s="12">
        <v>60</v>
      </c>
      <c r="G52" s="13">
        <v>2.59</v>
      </c>
      <c r="H52" s="12">
        <v>1945</v>
      </c>
      <c r="I52" s="12">
        <v>1704</v>
      </c>
      <c r="J52" s="12">
        <v>241</v>
      </c>
      <c r="K52" s="10">
        <v>12.39</v>
      </c>
      <c r="L52" s="13">
        <v>2.2647814909999999</v>
      </c>
    </row>
    <row r="53" spans="1:12" x14ac:dyDescent="0.15">
      <c r="A53" s="1">
        <v>97</v>
      </c>
      <c r="B53" s="10" t="s">
        <v>193</v>
      </c>
      <c r="C53" s="11">
        <v>2010</v>
      </c>
      <c r="D53" s="12">
        <v>17156</v>
      </c>
      <c r="E53" s="12">
        <v>17084</v>
      </c>
      <c r="F53" s="12">
        <v>72</v>
      </c>
      <c r="G53" s="13">
        <v>2.1800000000000002</v>
      </c>
      <c r="H53" s="12">
        <v>12488</v>
      </c>
      <c r="I53" s="12">
        <v>7825</v>
      </c>
      <c r="J53" s="12">
        <v>4663</v>
      </c>
      <c r="K53" s="10">
        <v>37.340000000000003</v>
      </c>
      <c r="L53" s="13">
        <v>1.3680333119999999</v>
      </c>
    </row>
    <row r="54" spans="1:12" x14ac:dyDescent="0.15">
      <c r="A54" s="1">
        <v>99</v>
      </c>
      <c r="B54" s="10" t="s">
        <v>194</v>
      </c>
      <c r="C54" s="11">
        <v>2010</v>
      </c>
      <c r="D54" s="12">
        <v>12531</v>
      </c>
      <c r="E54" s="12">
        <v>12216</v>
      </c>
      <c r="F54" s="12">
        <v>315</v>
      </c>
      <c r="G54" s="13">
        <v>2.72</v>
      </c>
      <c r="H54" s="12">
        <v>5419</v>
      </c>
      <c r="I54" s="12">
        <v>4499</v>
      </c>
      <c r="J54" s="12">
        <v>920</v>
      </c>
      <c r="K54" s="10">
        <v>16.98</v>
      </c>
      <c r="L54" s="13">
        <v>2.2542904589999999</v>
      </c>
    </row>
    <row r="55" spans="1:12" x14ac:dyDescent="0.15">
      <c r="A55" s="1">
        <v>101</v>
      </c>
      <c r="B55" s="10" t="s">
        <v>195</v>
      </c>
      <c r="C55" s="11">
        <v>2010</v>
      </c>
      <c r="D55" s="12">
        <v>159496</v>
      </c>
      <c r="E55" s="12">
        <v>155175</v>
      </c>
      <c r="F55" s="12">
        <v>4321</v>
      </c>
      <c r="G55" s="13">
        <v>2.46</v>
      </c>
      <c r="H55" s="12">
        <v>69614</v>
      </c>
      <c r="I55" s="12">
        <v>63148</v>
      </c>
      <c r="J55" s="12">
        <v>6466</v>
      </c>
      <c r="K55" s="10">
        <v>9.2899999999999991</v>
      </c>
      <c r="L55" s="13">
        <v>2.2290774839999998</v>
      </c>
    </row>
    <row r="56" spans="1:12" x14ac:dyDescent="0.15">
      <c r="A56" s="1">
        <v>103</v>
      </c>
      <c r="B56" s="10" t="s">
        <v>196</v>
      </c>
      <c r="C56" s="11">
        <v>2010</v>
      </c>
      <c r="D56" s="12">
        <v>6617</v>
      </c>
      <c r="E56" s="12">
        <v>6382</v>
      </c>
      <c r="F56" s="12">
        <v>235</v>
      </c>
      <c r="G56" s="13">
        <v>2.52</v>
      </c>
      <c r="H56" s="12">
        <v>3172</v>
      </c>
      <c r="I56" s="12">
        <v>2531</v>
      </c>
      <c r="J56" s="12">
        <v>641</v>
      </c>
      <c r="K56" s="10">
        <v>20.21</v>
      </c>
      <c r="L56" s="13">
        <v>2.0119798229999999</v>
      </c>
    </row>
    <row r="57" spans="1:12" x14ac:dyDescent="0.15">
      <c r="A57" s="1">
        <v>105</v>
      </c>
      <c r="B57" s="10" t="s">
        <v>197</v>
      </c>
      <c r="C57" s="11">
        <v>2010</v>
      </c>
      <c r="D57" s="12">
        <v>12001</v>
      </c>
      <c r="E57" s="12">
        <v>11803</v>
      </c>
      <c r="F57" s="12">
        <v>198</v>
      </c>
      <c r="G57" s="13">
        <v>2.6</v>
      </c>
      <c r="H57" s="12">
        <v>6266</v>
      </c>
      <c r="I57" s="12">
        <v>4534</v>
      </c>
      <c r="J57" s="12">
        <v>1732</v>
      </c>
      <c r="K57" s="10">
        <v>27.64</v>
      </c>
      <c r="L57" s="13">
        <v>1.883657836</v>
      </c>
    </row>
    <row r="58" spans="1:12" x14ac:dyDescent="0.15">
      <c r="A58" s="1">
        <v>107</v>
      </c>
      <c r="B58" s="10" t="s">
        <v>198</v>
      </c>
      <c r="C58" s="11">
        <v>2010</v>
      </c>
      <c r="D58" s="12">
        <v>23439</v>
      </c>
      <c r="E58" s="12">
        <v>23104</v>
      </c>
      <c r="F58" s="12">
        <v>335</v>
      </c>
      <c r="G58" s="13">
        <v>2.4500000000000002</v>
      </c>
      <c r="H58" s="12">
        <v>15591</v>
      </c>
      <c r="I58" s="12">
        <v>9440</v>
      </c>
      <c r="J58" s="12">
        <v>6151</v>
      </c>
      <c r="K58" s="10">
        <v>39.450000000000003</v>
      </c>
      <c r="L58" s="13">
        <v>1.4818805719999999</v>
      </c>
    </row>
    <row r="59" spans="1:12" x14ac:dyDescent="0.15">
      <c r="A59" s="1">
        <v>109</v>
      </c>
      <c r="B59" s="10" t="s">
        <v>199</v>
      </c>
      <c r="C59" s="11">
        <v>2010</v>
      </c>
      <c r="D59" s="12">
        <v>6144</v>
      </c>
      <c r="E59" s="12">
        <v>6126</v>
      </c>
      <c r="F59" s="12">
        <v>18</v>
      </c>
      <c r="G59" s="13">
        <v>2.72</v>
      </c>
      <c r="H59" s="12">
        <v>3231</v>
      </c>
      <c r="I59" s="12">
        <v>2249</v>
      </c>
      <c r="J59" s="12">
        <v>982</v>
      </c>
      <c r="K59" s="10">
        <v>30.39</v>
      </c>
      <c r="L59" s="13">
        <v>1.8960074280000001</v>
      </c>
    </row>
    <row r="60" spans="1:12" x14ac:dyDescent="0.15">
      <c r="A60" s="1">
        <v>111</v>
      </c>
      <c r="B60" s="10" t="s">
        <v>200</v>
      </c>
      <c r="C60" s="11">
        <v>2010</v>
      </c>
      <c r="D60" s="12">
        <v>709</v>
      </c>
      <c r="E60" s="12">
        <v>709</v>
      </c>
      <c r="F60" s="12">
        <v>0</v>
      </c>
      <c r="G60" s="13">
        <v>2.0499999999999998</v>
      </c>
      <c r="H60" s="12">
        <v>739</v>
      </c>
      <c r="I60" s="12">
        <v>346</v>
      </c>
      <c r="J60" s="12">
        <v>393</v>
      </c>
      <c r="K60" s="10">
        <v>53.18</v>
      </c>
      <c r="L60" s="13">
        <v>0.95940460100000002</v>
      </c>
    </row>
    <row r="61" spans="1:12" x14ac:dyDescent="0.15">
      <c r="A61" s="1">
        <v>113</v>
      </c>
      <c r="B61" s="10" t="s">
        <v>201</v>
      </c>
      <c r="C61" s="11">
        <v>2010</v>
      </c>
      <c r="D61" s="12">
        <v>7356</v>
      </c>
      <c r="E61" s="12">
        <v>7347</v>
      </c>
      <c r="F61" s="12">
        <v>9</v>
      </c>
      <c r="G61" s="13">
        <v>2.2599999999999998</v>
      </c>
      <c r="H61" s="12">
        <v>6165</v>
      </c>
      <c r="I61" s="12">
        <v>3253</v>
      </c>
      <c r="J61" s="12">
        <v>2912</v>
      </c>
      <c r="K61" s="10">
        <v>47.23</v>
      </c>
      <c r="L61" s="13">
        <v>1.191727494</v>
      </c>
    </row>
    <row r="62" spans="1:12" x14ac:dyDescent="0.15">
      <c r="A62" s="1">
        <v>115</v>
      </c>
      <c r="B62" s="10" t="s">
        <v>202</v>
      </c>
      <c r="C62" s="11">
        <v>2010</v>
      </c>
      <c r="D62" s="12">
        <v>2367</v>
      </c>
      <c r="E62" s="12">
        <v>2332</v>
      </c>
      <c r="F62" s="12">
        <v>35</v>
      </c>
      <c r="G62" s="13">
        <v>2.2999999999999998</v>
      </c>
      <c r="H62" s="12">
        <v>1325</v>
      </c>
      <c r="I62" s="12">
        <v>1016</v>
      </c>
      <c r="J62" s="12">
        <v>309</v>
      </c>
      <c r="K62" s="10">
        <v>23.32</v>
      </c>
      <c r="L62" s="13">
        <v>1.76</v>
      </c>
    </row>
    <row r="63" spans="1:12" x14ac:dyDescent="0.15">
      <c r="A63" s="1">
        <v>117</v>
      </c>
      <c r="B63" s="10" t="s">
        <v>203</v>
      </c>
      <c r="C63" s="11">
        <v>2010</v>
      </c>
      <c r="D63" s="12">
        <v>28073</v>
      </c>
      <c r="E63" s="12">
        <v>27800</v>
      </c>
      <c r="F63" s="12">
        <v>273</v>
      </c>
      <c r="G63" s="13">
        <v>2.36</v>
      </c>
      <c r="H63" s="12">
        <v>29861</v>
      </c>
      <c r="I63" s="12">
        <v>11787</v>
      </c>
      <c r="J63" s="12">
        <v>18074</v>
      </c>
      <c r="K63" s="10">
        <v>60.53</v>
      </c>
      <c r="L63" s="13">
        <v>0.93098020800000003</v>
      </c>
    </row>
    <row r="64" spans="1:12" x14ac:dyDescent="0.15">
      <c r="A64" s="1">
        <v>119</v>
      </c>
      <c r="B64" s="10" t="s">
        <v>204</v>
      </c>
      <c r="C64" s="11">
        <v>2010</v>
      </c>
      <c r="D64" s="12">
        <v>23441</v>
      </c>
      <c r="E64" s="12">
        <v>23309</v>
      </c>
      <c r="F64" s="12">
        <v>132</v>
      </c>
      <c r="G64" s="13">
        <v>2.37</v>
      </c>
      <c r="H64" s="12">
        <v>12651</v>
      </c>
      <c r="I64" s="12">
        <v>9844</v>
      </c>
      <c r="J64" s="12">
        <v>2807</v>
      </c>
      <c r="K64" s="10">
        <v>22.19</v>
      </c>
      <c r="L64" s="13">
        <v>1.842463046</v>
      </c>
    </row>
    <row r="65" spans="1:12" x14ac:dyDescent="0.15">
      <c r="A65" s="1">
        <v>121</v>
      </c>
      <c r="B65" s="10" t="s">
        <v>205</v>
      </c>
      <c r="C65" s="11">
        <v>2010</v>
      </c>
      <c r="D65" s="12">
        <v>4815</v>
      </c>
      <c r="E65" s="12">
        <v>4471</v>
      </c>
      <c r="F65" s="12">
        <v>344</v>
      </c>
      <c r="G65" s="13">
        <v>2.61</v>
      </c>
      <c r="H65" s="12">
        <v>2177</v>
      </c>
      <c r="I65" s="12">
        <v>1711</v>
      </c>
      <c r="J65" s="12">
        <v>466</v>
      </c>
      <c r="K65" s="10">
        <v>21.41</v>
      </c>
      <c r="L65" s="13">
        <v>2.0537436840000001</v>
      </c>
    </row>
    <row r="66" spans="1:12" x14ac:dyDescent="0.15">
      <c r="A66" s="1">
        <v>123</v>
      </c>
      <c r="B66" s="10" t="s">
        <v>206</v>
      </c>
      <c r="C66" s="11">
        <v>2010</v>
      </c>
      <c r="D66" s="12">
        <v>254230</v>
      </c>
      <c r="E66" s="12">
        <v>248335</v>
      </c>
      <c r="F66" s="12">
        <v>5895</v>
      </c>
      <c r="G66" s="13">
        <v>2.76</v>
      </c>
      <c r="H66" s="12">
        <v>96540</v>
      </c>
      <c r="I66" s="12">
        <v>89831</v>
      </c>
      <c r="J66" s="12">
        <v>6709</v>
      </c>
      <c r="K66" s="10">
        <v>6.95</v>
      </c>
      <c r="L66" s="13">
        <v>2.5723534290000001</v>
      </c>
    </row>
    <row r="67" spans="1:12" x14ac:dyDescent="0.15">
      <c r="A67" s="1">
        <v>125</v>
      </c>
      <c r="B67" s="10" t="s">
        <v>207</v>
      </c>
      <c r="C67" s="11">
        <v>2010</v>
      </c>
      <c r="D67" s="12">
        <v>10032</v>
      </c>
      <c r="E67" s="12">
        <v>9836</v>
      </c>
      <c r="F67" s="12">
        <v>196</v>
      </c>
      <c r="G67" s="13">
        <v>2.63</v>
      </c>
      <c r="H67" s="12">
        <v>4227</v>
      </c>
      <c r="I67" s="12">
        <v>3740</v>
      </c>
      <c r="J67" s="12">
        <v>487</v>
      </c>
      <c r="K67" s="10">
        <v>11.52</v>
      </c>
      <c r="L67" s="13">
        <v>2.3269458240000001</v>
      </c>
    </row>
    <row r="68" spans="1:12" x14ac:dyDescent="0.15">
      <c r="A68" s="1">
        <v>0</v>
      </c>
      <c r="B68" s="10" t="s">
        <v>143</v>
      </c>
      <c r="C68" s="11">
        <v>2011</v>
      </c>
      <c r="D68" s="12">
        <v>5123553</v>
      </c>
      <c r="E68" s="12">
        <v>5004680</v>
      </c>
      <c r="F68" s="12">
        <v>118873</v>
      </c>
      <c r="G68" s="13">
        <v>2.4900000000000002</v>
      </c>
      <c r="H68" s="12">
        <v>2217639</v>
      </c>
      <c r="I68" s="12">
        <v>2008680</v>
      </c>
      <c r="J68" s="12">
        <v>208959</v>
      </c>
      <c r="K68" s="10">
        <v>9.42</v>
      </c>
      <c r="L68" s="13">
        <v>2.2567604559999999</v>
      </c>
    </row>
    <row r="69" spans="1:12" x14ac:dyDescent="0.15">
      <c r="A69" s="1">
        <v>1</v>
      </c>
      <c r="B69" s="10" t="s">
        <v>144</v>
      </c>
      <c r="C69" s="11">
        <v>2011</v>
      </c>
      <c r="D69" s="12">
        <v>452181</v>
      </c>
      <c r="E69" s="12">
        <v>448120</v>
      </c>
      <c r="F69" s="12">
        <v>4061</v>
      </c>
      <c r="G69" s="13">
        <v>2.85</v>
      </c>
      <c r="H69" s="12">
        <v>164593</v>
      </c>
      <c r="I69" s="12">
        <v>157248</v>
      </c>
      <c r="J69" s="12">
        <v>7345</v>
      </c>
      <c r="K69" s="10">
        <v>4.46</v>
      </c>
      <c r="L69" s="13">
        <v>2.722594521</v>
      </c>
    </row>
    <row r="70" spans="1:12" x14ac:dyDescent="0.15">
      <c r="A70" s="1">
        <v>3</v>
      </c>
      <c r="B70" s="10" t="s">
        <v>145</v>
      </c>
      <c r="C70" s="11">
        <v>2011</v>
      </c>
      <c r="D70" s="12">
        <v>15528</v>
      </c>
      <c r="E70" s="12">
        <v>14788</v>
      </c>
      <c r="F70" s="12">
        <v>740</v>
      </c>
      <c r="G70" s="13">
        <v>2.4500000000000002</v>
      </c>
      <c r="H70" s="12">
        <v>6591</v>
      </c>
      <c r="I70" s="12">
        <v>6037</v>
      </c>
      <c r="J70" s="12">
        <v>554</v>
      </c>
      <c r="K70" s="10">
        <v>8.41</v>
      </c>
      <c r="L70" s="13">
        <v>2.2436656049999999</v>
      </c>
    </row>
    <row r="71" spans="1:12" x14ac:dyDescent="0.15">
      <c r="A71" s="1">
        <v>5</v>
      </c>
      <c r="B71" s="10" t="s">
        <v>146</v>
      </c>
      <c r="C71" s="11">
        <v>2011</v>
      </c>
      <c r="D71" s="12">
        <v>585817</v>
      </c>
      <c r="E71" s="12">
        <v>580907</v>
      </c>
      <c r="F71" s="12">
        <v>4910</v>
      </c>
      <c r="G71" s="13">
        <v>2.54</v>
      </c>
      <c r="H71" s="12">
        <v>240616</v>
      </c>
      <c r="I71" s="12">
        <v>228868</v>
      </c>
      <c r="J71" s="12">
        <v>11748</v>
      </c>
      <c r="K71" s="10">
        <v>4.88</v>
      </c>
      <c r="L71" s="13">
        <v>2.4142492600000001</v>
      </c>
    </row>
    <row r="72" spans="1:12" x14ac:dyDescent="0.15">
      <c r="A72" s="1">
        <v>7</v>
      </c>
      <c r="B72" s="10" t="s">
        <v>147</v>
      </c>
      <c r="C72" s="11">
        <v>2011</v>
      </c>
      <c r="D72" s="12">
        <v>11955</v>
      </c>
      <c r="E72" s="12">
        <v>11830</v>
      </c>
      <c r="F72" s="12">
        <v>125</v>
      </c>
      <c r="G72" s="13">
        <v>2.27</v>
      </c>
      <c r="H72" s="12">
        <v>8781</v>
      </c>
      <c r="I72" s="12">
        <v>5208</v>
      </c>
      <c r="J72" s="12">
        <v>3573</v>
      </c>
      <c r="K72" s="10">
        <v>40.69</v>
      </c>
      <c r="L72" s="13">
        <v>1.3472269670000001</v>
      </c>
    </row>
    <row r="73" spans="1:12" x14ac:dyDescent="0.15">
      <c r="A73" s="1">
        <v>9</v>
      </c>
      <c r="B73" s="10" t="s">
        <v>148</v>
      </c>
      <c r="C73" s="11">
        <v>2011</v>
      </c>
      <c r="D73" s="12">
        <v>3767</v>
      </c>
      <c r="E73" s="12">
        <v>3689</v>
      </c>
      <c r="F73" s="12">
        <v>78</v>
      </c>
      <c r="G73" s="13">
        <v>2.2200000000000002</v>
      </c>
      <c r="H73" s="12">
        <v>1966</v>
      </c>
      <c r="I73" s="12">
        <v>1661</v>
      </c>
      <c r="J73" s="12">
        <v>305</v>
      </c>
      <c r="K73" s="10">
        <v>15.54</v>
      </c>
      <c r="L73" s="13">
        <v>1.8763987790000001</v>
      </c>
    </row>
    <row r="74" spans="1:12" x14ac:dyDescent="0.15">
      <c r="A74" s="1">
        <v>11</v>
      </c>
      <c r="B74" s="10" t="s">
        <v>149</v>
      </c>
      <c r="C74" s="11">
        <v>2011</v>
      </c>
      <c r="D74" s="12">
        <v>6355</v>
      </c>
      <c r="E74" s="12">
        <v>4241</v>
      </c>
      <c r="F74" s="12">
        <v>2114</v>
      </c>
      <c r="G74" s="13">
        <v>2.34</v>
      </c>
      <c r="H74" s="12">
        <v>2116</v>
      </c>
      <c r="I74" s="12">
        <v>1816</v>
      </c>
      <c r="J74" s="12">
        <v>300</v>
      </c>
      <c r="K74" s="10">
        <v>14.19</v>
      </c>
      <c r="L74" s="13">
        <v>2.004253308</v>
      </c>
    </row>
    <row r="75" spans="1:12" x14ac:dyDescent="0.15">
      <c r="A75" s="1">
        <v>13</v>
      </c>
      <c r="B75" s="10" t="s">
        <v>150</v>
      </c>
      <c r="C75" s="11">
        <v>2011</v>
      </c>
      <c r="D75" s="12">
        <v>300526</v>
      </c>
      <c r="E75" s="12">
        <v>290383</v>
      </c>
      <c r="F75" s="12">
        <v>10143</v>
      </c>
      <c r="G75" s="13">
        <v>2.39</v>
      </c>
      <c r="H75" s="12">
        <v>127865</v>
      </c>
      <c r="I75" s="12">
        <v>121382</v>
      </c>
      <c r="J75" s="12">
        <v>6483</v>
      </c>
      <c r="K75" s="10">
        <v>5.07</v>
      </c>
      <c r="L75" s="13">
        <v>2.2710123960000002</v>
      </c>
    </row>
    <row r="76" spans="1:12" x14ac:dyDescent="0.15">
      <c r="A76" s="1">
        <v>14</v>
      </c>
      <c r="B76" s="10" t="s">
        <v>151</v>
      </c>
      <c r="C76" s="11">
        <v>2011</v>
      </c>
      <c r="D76" s="12">
        <v>57584</v>
      </c>
      <c r="E76" s="12">
        <v>57307</v>
      </c>
      <c r="F76" s="12">
        <v>277</v>
      </c>
      <c r="G76" s="13">
        <v>2.59</v>
      </c>
      <c r="H76" s="12">
        <v>23056</v>
      </c>
      <c r="I76" s="12">
        <v>22168</v>
      </c>
      <c r="J76" s="12">
        <v>888</v>
      </c>
      <c r="K76" s="10">
        <v>3.85</v>
      </c>
      <c r="L76" s="13">
        <v>2.4855569050000001</v>
      </c>
    </row>
    <row r="77" spans="1:12" x14ac:dyDescent="0.15">
      <c r="A77" s="1">
        <v>15</v>
      </c>
      <c r="B77" s="10" t="s">
        <v>152</v>
      </c>
      <c r="C77" s="11">
        <v>2011</v>
      </c>
      <c r="D77" s="12">
        <v>17932</v>
      </c>
      <c r="E77" s="12">
        <v>16449</v>
      </c>
      <c r="F77" s="12">
        <v>1483</v>
      </c>
      <c r="G77" s="13">
        <v>2.15</v>
      </c>
      <c r="H77" s="12">
        <v>10058</v>
      </c>
      <c r="I77" s="12">
        <v>7634</v>
      </c>
      <c r="J77" s="12">
        <v>2424</v>
      </c>
      <c r="K77" s="10">
        <v>24.1</v>
      </c>
      <c r="L77" s="13">
        <v>1.6354145950000001</v>
      </c>
    </row>
    <row r="78" spans="1:12" x14ac:dyDescent="0.15">
      <c r="A78" s="1">
        <v>17</v>
      </c>
      <c r="B78" s="10" t="s">
        <v>153</v>
      </c>
      <c r="C78" s="11">
        <v>2011</v>
      </c>
      <c r="D78" s="12">
        <v>1832</v>
      </c>
      <c r="E78" s="12">
        <v>1790</v>
      </c>
      <c r="F78" s="12">
        <v>42</v>
      </c>
      <c r="G78" s="13">
        <v>2.2799999999999998</v>
      </c>
      <c r="H78" s="12">
        <v>869</v>
      </c>
      <c r="I78" s="12">
        <v>784</v>
      </c>
      <c r="J78" s="12">
        <v>85</v>
      </c>
      <c r="K78" s="10">
        <v>9.76</v>
      </c>
      <c r="L78" s="13">
        <v>2.0598388949999999</v>
      </c>
    </row>
    <row r="79" spans="1:12" x14ac:dyDescent="0.15">
      <c r="A79" s="1">
        <v>19</v>
      </c>
      <c r="B79" s="10" t="s">
        <v>154</v>
      </c>
      <c r="C79" s="11">
        <v>2011</v>
      </c>
      <c r="D79" s="12">
        <v>9027</v>
      </c>
      <c r="E79" s="12">
        <v>8923</v>
      </c>
      <c r="F79" s="12">
        <v>104</v>
      </c>
      <c r="G79" s="13">
        <v>2.14</v>
      </c>
      <c r="H79" s="12">
        <v>5485</v>
      </c>
      <c r="I79" s="12">
        <v>4173</v>
      </c>
      <c r="J79" s="12">
        <v>1312</v>
      </c>
      <c r="K79" s="10">
        <v>23.92</v>
      </c>
      <c r="L79" s="13">
        <v>1.626800365</v>
      </c>
    </row>
    <row r="80" spans="1:12" x14ac:dyDescent="0.15">
      <c r="A80" s="1">
        <v>21</v>
      </c>
      <c r="B80" s="10" t="s">
        <v>155</v>
      </c>
      <c r="C80" s="11">
        <v>2011</v>
      </c>
      <c r="D80" s="12">
        <v>8201</v>
      </c>
      <c r="E80" s="12">
        <v>8163</v>
      </c>
      <c r="F80" s="12">
        <v>39</v>
      </c>
      <c r="G80" s="13">
        <v>2.63</v>
      </c>
      <c r="H80" s="12">
        <v>3828</v>
      </c>
      <c r="I80" s="12">
        <v>3106</v>
      </c>
      <c r="J80" s="12">
        <v>722</v>
      </c>
      <c r="K80" s="10">
        <v>18.86</v>
      </c>
      <c r="L80" s="13">
        <v>2.1324451409999998</v>
      </c>
    </row>
    <row r="81" spans="1:12" x14ac:dyDescent="0.15">
      <c r="A81" s="1">
        <v>23</v>
      </c>
      <c r="B81" s="10" t="s">
        <v>156</v>
      </c>
      <c r="C81" s="11">
        <v>2011</v>
      </c>
      <c r="D81" s="12">
        <v>3518</v>
      </c>
      <c r="E81" s="12">
        <v>3518</v>
      </c>
      <c r="F81" s="12">
        <v>0</v>
      </c>
      <c r="G81" s="13">
        <v>2.27</v>
      </c>
      <c r="H81" s="12">
        <v>2301</v>
      </c>
      <c r="I81" s="12">
        <v>1553</v>
      </c>
      <c r="J81" s="12">
        <v>748</v>
      </c>
      <c r="K81" s="10">
        <v>32.5</v>
      </c>
      <c r="L81" s="13">
        <v>1.528900478</v>
      </c>
    </row>
    <row r="82" spans="1:12" x14ac:dyDescent="0.15">
      <c r="A82" s="1">
        <v>25</v>
      </c>
      <c r="B82" s="10" t="s">
        <v>157</v>
      </c>
      <c r="C82" s="11">
        <v>2011</v>
      </c>
      <c r="D82" s="12">
        <v>5837</v>
      </c>
      <c r="E82" s="12">
        <v>3139</v>
      </c>
      <c r="F82" s="12">
        <v>2698</v>
      </c>
      <c r="G82" s="13">
        <v>2.4</v>
      </c>
      <c r="H82" s="12">
        <v>1483</v>
      </c>
      <c r="I82" s="12">
        <v>1309</v>
      </c>
      <c r="J82" s="12">
        <v>174</v>
      </c>
      <c r="K82" s="10">
        <v>11.72</v>
      </c>
      <c r="L82" s="13">
        <v>2.1166554280000001</v>
      </c>
    </row>
    <row r="83" spans="1:12" x14ac:dyDescent="0.15">
      <c r="A83" s="1">
        <v>27</v>
      </c>
      <c r="B83" s="10" t="s">
        <v>158</v>
      </c>
      <c r="C83" s="11">
        <v>2011</v>
      </c>
      <c r="D83" s="12">
        <v>4318</v>
      </c>
      <c r="E83" s="12">
        <v>4304</v>
      </c>
      <c r="F83" s="12">
        <v>15</v>
      </c>
      <c r="G83" s="13">
        <v>2.13</v>
      </c>
      <c r="H83" s="12">
        <v>3656</v>
      </c>
      <c r="I83" s="12">
        <v>2020</v>
      </c>
      <c r="J83" s="12">
        <v>1636</v>
      </c>
      <c r="K83" s="10">
        <v>44.74</v>
      </c>
      <c r="L83" s="13">
        <v>1.1772428880000001</v>
      </c>
    </row>
    <row r="84" spans="1:12" x14ac:dyDescent="0.15">
      <c r="A84" s="1">
        <v>29</v>
      </c>
      <c r="B84" s="10" t="s">
        <v>159</v>
      </c>
      <c r="C84" s="11">
        <v>2011</v>
      </c>
      <c r="D84" s="12">
        <v>30433</v>
      </c>
      <c r="E84" s="12">
        <v>29737</v>
      </c>
      <c r="F84" s="12">
        <v>696</v>
      </c>
      <c r="G84" s="13">
        <v>2.37</v>
      </c>
      <c r="H84" s="12">
        <v>14577</v>
      </c>
      <c r="I84" s="12">
        <v>12523</v>
      </c>
      <c r="J84" s="12">
        <v>2054</v>
      </c>
      <c r="K84" s="10">
        <v>14.09</v>
      </c>
      <c r="L84" s="13">
        <v>2.0399945119999998</v>
      </c>
    </row>
    <row r="85" spans="1:12" x14ac:dyDescent="0.15">
      <c r="A85" s="1">
        <v>31</v>
      </c>
      <c r="B85" s="10" t="s">
        <v>160</v>
      </c>
      <c r="C85" s="11">
        <v>2011</v>
      </c>
      <c r="D85" s="12">
        <v>620229</v>
      </c>
      <c r="E85" s="12">
        <v>604024</v>
      </c>
      <c r="F85" s="12">
        <v>16205</v>
      </c>
      <c r="G85" s="13">
        <v>2.2200000000000002</v>
      </c>
      <c r="H85" s="12">
        <v>288388</v>
      </c>
      <c r="I85" s="12">
        <v>272237</v>
      </c>
      <c r="J85" s="12">
        <v>16151</v>
      </c>
      <c r="K85" s="10">
        <v>5.6</v>
      </c>
      <c r="L85" s="13">
        <v>2.0944838200000002</v>
      </c>
    </row>
    <row r="86" spans="1:12" x14ac:dyDescent="0.15">
      <c r="A86" s="1">
        <v>33</v>
      </c>
      <c r="B86" s="10" t="s">
        <v>161</v>
      </c>
      <c r="C86" s="11">
        <v>2011</v>
      </c>
      <c r="D86" s="12">
        <v>2065</v>
      </c>
      <c r="E86" s="12">
        <v>2065</v>
      </c>
      <c r="F86" s="12">
        <v>0</v>
      </c>
      <c r="G86" s="13">
        <v>2.29</v>
      </c>
      <c r="H86" s="12">
        <v>1096</v>
      </c>
      <c r="I86" s="12">
        <v>903</v>
      </c>
      <c r="J86" s="12">
        <v>193</v>
      </c>
      <c r="K86" s="10">
        <v>17.600000000000001</v>
      </c>
      <c r="L86" s="13">
        <v>1.8841240880000001</v>
      </c>
    </row>
    <row r="87" spans="1:12" x14ac:dyDescent="0.15">
      <c r="A87" s="1">
        <v>35</v>
      </c>
      <c r="B87" s="10" t="s">
        <v>162</v>
      </c>
      <c r="C87" s="11">
        <v>2011</v>
      </c>
      <c r="D87" s="12">
        <v>292623</v>
      </c>
      <c r="E87" s="12">
        <v>291772</v>
      </c>
      <c r="F87" s="12">
        <v>851</v>
      </c>
      <c r="G87" s="13">
        <v>2.79</v>
      </c>
      <c r="H87" s="12">
        <v>108031</v>
      </c>
      <c r="I87" s="12">
        <v>104563</v>
      </c>
      <c r="J87" s="12">
        <v>3468</v>
      </c>
      <c r="K87" s="10">
        <v>3.21</v>
      </c>
      <c r="L87" s="13">
        <v>2.7008173580000001</v>
      </c>
    </row>
    <row r="88" spans="1:12" x14ac:dyDescent="0.15">
      <c r="A88" s="1">
        <v>37</v>
      </c>
      <c r="B88" s="10" t="s">
        <v>163</v>
      </c>
      <c r="C88" s="11">
        <v>2011</v>
      </c>
      <c r="D88" s="12">
        <v>52120</v>
      </c>
      <c r="E88" s="12">
        <v>52060</v>
      </c>
      <c r="F88" s="12">
        <v>60</v>
      </c>
      <c r="G88" s="13">
        <v>2.71</v>
      </c>
      <c r="H88" s="12">
        <v>30875</v>
      </c>
      <c r="I88" s="12">
        <v>19227</v>
      </c>
      <c r="J88" s="12">
        <v>11648</v>
      </c>
      <c r="K88" s="10">
        <v>37.729999999999997</v>
      </c>
      <c r="L88" s="13">
        <v>1.6861538460000001</v>
      </c>
    </row>
    <row r="89" spans="1:12" x14ac:dyDescent="0.15">
      <c r="A89" s="1">
        <v>39</v>
      </c>
      <c r="B89" s="10" t="s">
        <v>164</v>
      </c>
      <c r="C89" s="11">
        <v>2011</v>
      </c>
      <c r="D89" s="12">
        <v>23032</v>
      </c>
      <c r="E89" s="12">
        <v>22959</v>
      </c>
      <c r="F89" s="12">
        <v>73</v>
      </c>
      <c r="G89" s="13">
        <v>2.75</v>
      </c>
      <c r="H89" s="12">
        <v>8956</v>
      </c>
      <c r="I89" s="12">
        <v>8353</v>
      </c>
      <c r="J89" s="12">
        <v>603</v>
      </c>
      <c r="K89" s="10">
        <v>6.73</v>
      </c>
      <c r="L89" s="13">
        <v>2.563532827</v>
      </c>
    </row>
    <row r="90" spans="1:12" x14ac:dyDescent="0.15">
      <c r="A90" s="1">
        <v>41</v>
      </c>
      <c r="B90" s="10" t="s">
        <v>165</v>
      </c>
      <c r="C90" s="11">
        <v>2011</v>
      </c>
      <c r="D90" s="12">
        <v>639139</v>
      </c>
      <c r="E90" s="12">
        <v>618897</v>
      </c>
      <c r="F90" s="12">
        <v>20242</v>
      </c>
      <c r="G90" s="13">
        <v>2.56</v>
      </c>
      <c r="H90" s="12">
        <v>255593</v>
      </c>
      <c r="I90" s="12">
        <v>241699</v>
      </c>
      <c r="J90" s="12">
        <v>13894</v>
      </c>
      <c r="K90" s="10">
        <v>5.44</v>
      </c>
      <c r="L90" s="13">
        <v>2.4214160790000001</v>
      </c>
    </row>
    <row r="91" spans="1:12" x14ac:dyDescent="0.15">
      <c r="A91" s="1">
        <v>43</v>
      </c>
      <c r="B91" s="10" t="s">
        <v>166</v>
      </c>
      <c r="C91" s="11">
        <v>2011</v>
      </c>
      <c r="D91" s="12">
        <v>47076</v>
      </c>
      <c r="E91" s="12">
        <v>38459</v>
      </c>
      <c r="F91" s="12">
        <v>8618</v>
      </c>
      <c r="G91" s="13">
        <v>2.2999999999999998</v>
      </c>
      <c r="H91" s="12">
        <v>19536</v>
      </c>
      <c r="I91" s="12">
        <v>16735</v>
      </c>
      <c r="J91" s="12">
        <v>2801</v>
      </c>
      <c r="K91" s="10">
        <v>14.34</v>
      </c>
      <c r="L91" s="13">
        <v>1.968622031</v>
      </c>
    </row>
    <row r="92" spans="1:12" x14ac:dyDescent="0.15">
      <c r="A92" s="1">
        <v>45</v>
      </c>
      <c r="B92" s="10" t="s">
        <v>167</v>
      </c>
      <c r="C92" s="11">
        <v>2011</v>
      </c>
      <c r="D92" s="12">
        <v>56267</v>
      </c>
      <c r="E92" s="12">
        <v>55358</v>
      </c>
      <c r="F92" s="12">
        <v>909</v>
      </c>
      <c r="G92" s="13">
        <v>2.72</v>
      </c>
      <c r="H92" s="12">
        <v>22920</v>
      </c>
      <c r="I92" s="12">
        <v>20319</v>
      </c>
      <c r="J92" s="12">
        <v>2601</v>
      </c>
      <c r="K92" s="10">
        <v>11.35</v>
      </c>
      <c r="L92" s="13">
        <v>2.4152705060000002</v>
      </c>
    </row>
    <row r="93" spans="1:12" x14ac:dyDescent="0.15">
      <c r="A93" s="1">
        <v>47</v>
      </c>
      <c r="B93" s="10" t="s">
        <v>168</v>
      </c>
      <c r="C93" s="11">
        <v>2011</v>
      </c>
      <c r="D93" s="12">
        <v>5477</v>
      </c>
      <c r="E93" s="12">
        <v>5429</v>
      </c>
      <c r="F93" s="12">
        <v>48</v>
      </c>
      <c r="G93" s="13">
        <v>2.19</v>
      </c>
      <c r="H93" s="12">
        <v>3306</v>
      </c>
      <c r="I93" s="12">
        <v>2475</v>
      </c>
      <c r="J93" s="12">
        <v>831</v>
      </c>
      <c r="K93" s="10">
        <v>25.14</v>
      </c>
      <c r="L93" s="13">
        <v>1.6421657590000001</v>
      </c>
    </row>
    <row r="94" spans="1:12" x14ac:dyDescent="0.15">
      <c r="A94" s="1">
        <v>49</v>
      </c>
      <c r="B94" s="10" t="s">
        <v>169</v>
      </c>
      <c r="C94" s="11">
        <v>2011</v>
      </c>
      <c r="D94" s="12">
        <v>14836</v>
      </c>
      <c r="E94" s="12">
        <v>14617</v>
      </c>
      <c r="F94" s="12">
        <v>220</v>
      </c>
      <c r="G94" s="13">
        <v>2.2599999999999998</v>
      </c>
      <c r="H94" s="12">
        <v>15482</v>
      </c>
      <c r="I94" s="12">
        <v>6478</v>
      </c>
      <c r="J94" s="12">
        <v>9004</v>
      </c>
      <c r="K94" s="10">
        <v>58.15</v>
      </c>
      <c r="L94" s="13">
        <v>0.94412866600000001</v>
      </c>
    </row>
    <row r="95" spans="1:12" x14ac:dyDescent="0.15">
      <c r="A95" s="1">
        <v>51</v>
      </c>
      <c r="B95" s="10" t="s">
        <v>170</v>
      </c>
      <c r="C95" s="11">
        <v>2011</v>
      </c>
      <c r="D95" s="12">
        <v>15348</v>
      </c>
      <c r="E95" s="12">
        <v>14477</v>
      </c>
      <c r="F95" s="12">
        <v>871</v>
      </c>
      <c r="G95" s="13">
        <v>2.2200000000000002</v>
      </c>
      <c r="H95" s="12">
        <v>11448</v>
      </c>
      <c r="I95" s="12">
        <v>6517</v>
      </c>
      <c r="J95" s="12">
        <v>4931</v>
      </c>
      <c r="K95" s="10">
        <v>43.07</v>
      </c>
      <c r="L95" s="13">
        <v>1.264587701</v>
      </c>
    </row>
    <row r="96" spans="1:12" x14ac:dyDescent="0.15">
      <c r="A96" s="1">
        <v>53</v>
      </c>
      <c r="B96" s="10" t="s">
        <v>171</v>
      </c>
      <c r="C96" s="11">
        <v>2011</v>
      </c>
      <c r="D96" s="12">
        <v>835</v>
      </c>
      <c r="E96" s="12">
        <v>785</v>
      </c>
      <c r="F96" s="12">
        <v>50</v>
      </c>
      <c r="G96" s="13">
        <v>2.17</v>
      </c>
      <c r="H96" s="12">
        <v>1275</v>
      </c>
      <c r="I96" s="12">
        <v>362</v>
      </c>
      <c r="J96" s="12">
        <v>913</v>
      </c>
      <c r="K96" s="10">
        <v>71.59</v>
      </c>
      <c r="L96" s="13">
        <v>0.61568627499999995</v>
      </c>
    </row>
    <row r="97" spans="1:12" x14ac:dyDescent="0.15">
      <c r="A97" s="1">
        <v>55</v>
      </c>
      <c r="B97" s="10" t="s">
        <v>172</v>
      </c>
      <c r="C97" s="11">
        <v>2011</v>
      </c>
      <c r="D97" s="12">
        <v>6671</v>
      </c>
      <c r="E97" s="12">
        <v>6512</v>
      </c>
      <c r="F97" s="12">
        <v>159</v>
      </c>
      <c r="G97" s="13">
        <v>2.09</v>
      </c>
      <c r="H97" s="12">
        <v>4474</v>
      </c>
      <c r="I97" s="12">
        <v>3118</v>
      </c>
      <c r="J97" s="12">
        <v>1356</v>
      </c>
      <c r="K97" s="10">
        <v>30.3</v>
      </c>
      <c r="L97" s="13">
        <v>1.455520787</v>
      </c>
    </row>
    <row r="98" spans="1:12" x14ac:dyDescent="0.15">
      <c r="A98" s="1">
        <v>57</v>
      </c>
      <c r="B98" s="10" t="s">
        <v>173</v>
      </c>
      <c r="C98" s="11">
        <v>2011</v>
      </c>
      <c r="D98" s="12">
        <v>1387</v>
      </c>
      <c r="E98" s="12">
        <v>1385</v>
      </c>
      <c r="F98" s="12">
        <v>2</v>
      </c>
      <c r="G98" s="13">
        <v>2.14</v>
      </c>
      <c r="H98" s="12">
        <v>1147</v>
      </c>
      <c r="I98" s="12">
        <v>647</v>
      </c>
      <c r="J98" s="12">
        <v>500</v>
      </c>
      <c r="K98" s="10">
        <v>43.56</v>
      </c>
      <c r="L98" s="13">
        <v>1.2074978199999999</v>
      </c>
    </row>
    <row r="99" spans="1:12" x14ac:dyDescent="0.15">
      <c r="A99" s="1">
        <v>59</v>
      </c>
      <c r="B99" s="10" t="s">
        <v>174</v>
      </c>
      <c r="C99" s="11">
        <v>2011</v>
      </c>
      <c r="D99" s="12">
        <v>540625</v>
      </c>
      <c r="E99" s="12">
        <v>532839</v>
      </c>
      <c r="F99" s="12">
        <v>7786</v>
      </c>
      <c r="G99" s="13">
        <v>2.42</v>
      </c>
      <c r="H99" s="12">
        <v>230936</v>
      </c>
      <c r="I99" s="12">
        <v>220545</v>
      </c>
      <c r="J99" s="12">
        <v>10391</v>
      </c>
      <c r="K99" s="10">
        <v>4.5</v>
      </c>
      <c r="L99" s="13">
        <v>2.3073015899999998</v>
      </c>
    </row>
    <row r="100" spans="1:12" x14ac:dyDescent="0.15">
      <c r="A100" s="1">
        <v>61</v>
      </c>
      <c r="B100" s="10" t="s">
        <v>175</v>
      </c>
      <c r="C100" s="11">
        <v>2011</v>
      </c>
      <c r="D100" s="12">
        <v>1383</v>
      </c>
      <c r="E100" s="12">
        <v>1367</v>
      </c>
      <c r="F100" s="12">
        <v>16</v>
      </c>
      <c r="G100" s="13">
        <v>2.25</v>
      </c>
      <c r="H100" s="12">
        <v>727</v>
      </c>
      <c r="I100" s="12">
        <v>607</v>
      </c>
      <c r="J100" s="12">
        <v>120</v>
      </c>
      <c r="K100" s="10">
        <v>16.53</v>
      </c>
      <c r="L100" s="13">
        <v>1.8803301240000001</v>
      </c>
    </row>
    <row r="101" spans="1:12" x14ac:dyDescent="0.15">
      <c r="A101" s="1">
        <v>63</v>
      </c>
      <c r="B101" s="10" t="s">
        <v>176</v>
      </c>
      <c r="C101" s="11">
        <v>2011</v>
      </c>
      <c r="D101" s="12">
        <v>8165</v>
      </c>
      <c r="E101" s="12">
        <v>7188</v>
      </c>
      <c r="F101" s="12">
        <v>977</v>
      </c>
      <c r="G101" s="13">
        <v>2.37</v>
      </c>
      <c r="H101" s="12">
        <v>3379</v>
      </c>
      <c r="I101" s="12">
        <v>3028</v>
      </c>
      <c r="J101" s="12">
        <v>351</v>
      </c>
      <c r="K101" s="10">
        <v>10.37</v>
      </c>
      <c r="L101" s="13">
        <v>2.127256585</v>
      </c>
    </row>
    <row r="102" spans="1:12" x14ac:dyDescent="0.15">
      <c r="A102" s="1">
        <v>65</v>
      </c>
      <c r="B102" s="10" t="s">
        <v>177</v>
      </c>
      <c r="C102" s="11">
        <v>2011</v>
      </c>
      <c r="D102" s="12">
        <v>7242</v>
      </c>
      <c r="E102" s="12">
        <v>7170</v>
      </c>
      <c r="F102" s="12">
        <v>72</v>
      </c>
      <c r="G102" s="13">
        <v>2.4300000000000002</v>
      </c>
      <c r="H102" s="12">
        <v>4272</v>
      </c>
      <c r="I102" s="12">
        <v>2956</v>
      </c>
      <c r="J102" s="12">
        <v>1316</v>
      </c>
      <c r="K102" s="10">
        <v>30.81</v>
      </c>
      <c r="L102" s="13">
        <v>1.678370787</v>
      </c>
    </row>
    <row r="103" spans="1:12" x14ac:dyDescent="0.15">
      <c r="A103" s="1">
        <v>67</v>
      </c>
      <c r="B103" s="10" t="s">
        <v>178</v>
      </c>
      <c r="C103" s="11">
        <v>2011</v>
      </c>
      <c r="D103" s="12">
        <v>51803</v>
      </c>
      <c r="E103" s="12">
        <v>50096</v>
      </c>
      <c r="F103" s="12">
        <v>1707</v>
      </c>
      <c r="G103" s="13">
        <v>2.35</v>
      </c>
      <c r="H103" s="12">
        <v>26063</v>
      </c>
      <c r="I103" s="12">
        <v>21354</v>
      </c>
      <c r="J103" s="12">
        <v>4709</v>
      </c>
      <c r="K103" s="10">
        <v>18.07</v>
      </c>
      <c r="L103" s="13">
        <v>1.922111806</v>
      </c>
    </row>
    <row r="104" spans="1:12" x14ac:dyDescent="0.15">
      <c r="A104" s="1">
        <v>69</v>
      </c>
      <c r="B104" s="10" t="s">
        <v>179</v>
      </c>
      <c r="C104" s="11">
        <v>2011</v>
      </c>
      <c r="D104" s="12">
        <v>305342</v>
      </c>
      <c r="E104" s="12">
        <v>296781</v>
      </c>
      <c r="F104" s="12">
        <v>8561</v>
      </c>
      <c r="G104" s="13">
        <v>2.42</v>
      </c>
      <c r="H104" s="12">
        <v>134606</v>
      </c>
      <c r="I104" s="12">
        <v>122705</v>
      </c>
      <c r="J104" s="12">
        <v>11901</v>
      </c>
      <c r="K104" s="10">
        <v>8.84</v>
      </c>
      <c r="L104" s="13">
        <v>2.204812564</v>
      </c>
    </row>
    <row r="105" spans="1:12" x14ac:dyDescent="0.15">
      <c r="A105" s="1">
        <v>71</v>
      </c>
      <c r="B105" s="10" t="s">
        <v>180</v>
      </c>
      <c r="C105" s="11">
        <v>2011</v>
      </c>
      <c r="D105" s="12">
        <v>15325</v>
      </c>
      <c r="E105" s="12">
        <v>14483</v>
      </c>
      <c r="F105" s="12">
        <v>842</v>
      </c>
      <c r="G105" s="13">
        <v>2.2799999999999998</v>
      </c>
      <c r="H105" s="12">
        <v>7712</v>
      </c>
      <c r="I105" s="12">
        <v>6344</v>
      </c>
      <c r="J105" s="12">
        <v>1368</v>
      </c>
      <c r="K105" s="10">
        <v>17.739999999999998</v>
      </c>
      <c r="L105" s="13">
        <v>1.877982365</v>
      </c>
    </row>
    <row r="106" spans="1:12" x14ac:dyDescent="0.15">
      <c r="A106" s="1">
        <v>73</v>
      </c>
      <c r="B106" s="10" t="s">
        <v>181</v>
      </c>
      <c r="C106" s="11">
        <v>2011</v>
      </c>
      <c r="D106" s="12">
        <v>5488</v>
      </c>
      <c r="E106" s="12">
        <v>4462</v>
      </c>
      <c r="F106" s="12">
        <v>1026</v>
      </c>
      <c r="G106" s="13">
        <v>2.29</v>
      </c>
      <c r="H106" s="12">
        <v>2243</v>
      </c>
      <c r="I106" s="12">
        <v>1950</v>
      </c>
      <c r="J106" s="12">
        <v>293</v>
      </c>
      <c r="K106" s="10">
        <v>13.06</v>
      </c>
      <c r="L106" s="13">
        <v>1.989300045</v>
      </c>
    </row>
    <row r="107" spans="1:12" x14ac:dyDescent="0.15">
      <c r="A107" s="1">
        <v>75</v>
      </c>
      <c r="B107" s="10" t="s">
        <v>182</v>
      </c>
      <c r="C107" s="11">
        <v>2011</v>
      </c>
      <c r="D107" s="12">
        <v>22210</v>
      </c>
      <c r="E107" s="12">
        <v>18777</v>
      </c>
      <c r="F107" s="12">
        <v>3433</v>
      </c>
      <c r="G107" s="13">
        <v>2.34</v>
      </c>
      <c r="H107" s="12">
        <v>8503</v>
      </c>
      <c r="I107" s="12">
        <v>8041</v>
      </c>
      <c r="J107" s="12">
        <v>462</v>
      </c>
      <c r="K107" s="10">
        <v>5.43</v>
      </c>
      <c r="L107" s="13">
        <v>2.2082794309999998</v>
      </c>
    </row>
    <row r="108" spans="1:12" x14ac:dyDescent="0.15">
      <c r="A108" s="1">
        <v>77</v>
      </c>
      <c r="B108" s="10" t="s">
        <v>183</v>
      </c>
      <c r="C108" s="11">
        <v>2011</v>
      </c>
      <c r="D108" s="12">
        <v>147957</v>
      </c>
      <c r="E108" s="12">
        <v>143425</v>
      </c>
      <c r="F108" s="12">
        <v>4532</v>
      </c>
      <c r="G108" s="13">
        <v>2.46</v>
      </c>
      <c r="H108" s="12">
        <v>63269</v>
      </c>
      <c r="I108" s="12">
        <v>58381</v>
      </c>
      <c r="J108" s="12">
        <v>4888</v>
      </c>
      <c r="K108" s="10">
        <v>7.73</v>
      </c>
      <c r="L108" s="13">
        <v>2.2669079640000001</v>
      </c>
    </row>
    <row r="109" spans="1:12" x14ac:dyDescent="0.15">
      <c r="A109" s="1">
        <v>79</v>
      </c>
      <c r="B109" s="10" t="s">
        <v>184</v>
      </c>
      <c r="C109" s="11">
        <v>2011</v>
      </c>
      <c r="D109" s="12">
        <v>712</v>
      </c>
      <c r="E109" s="12">
        <v>712</v>
      </c>
      <c r="F109" s="12">
        <v>0</v>
      </c>
      <c r="G109" s="13">
        <v>2.0099999999999998</v>
      </c>
      <c r="H109" s="12">
        <v>1102</v>
      </c>
      <c r="I109" s="12">
        <v>354</v>
      </c>
      <c r="J109" s="12">
        <v>748</v>
      </c>
      <c r="K109" s="10">
        <v>67.89</v>
      </c>
      <c r="L109" s="13">
        <v>0.64609800399999995</v>
      </c>
    </row>
    <row r="110" spans="1:12" x14ac:dyDescent="0.15">
      <c r="A110" s="1">
        <v>81</v>
      </c>
      <c r="B110" s="10" t="s">
        <v>185</v>
      </c>
      <c r="C110" s="11">
        <v>2011</v>
      </c>
      <c r="D110" s="12">
        <v>13452</v>
      </c>
      <c r="E110" s="12">
        <v>13348</v>
      </c>
      <c r="F110" s="12">
        <v>104</v>
      </c>
      <c r="G110" s="13">
        <v>2.5</v>
      </c>
      <c r="H110" s="12">
        <v>5969</v>
      </c>
      <c r="I110" s="12">
        <v>5337</v>
      </c>
      <c r="J110" s="12">
        <v>632</v>
      </c>
      <c r="K110" s="10">
        <v>10.58</v>
      </c>
      <c r="L110" s="13">
        <v>2.2362204719999998</v>
      </c>
    </row>
    <row r="111" spans="1:12" x14ac:dyDescent="0.15">
      <c r="A111" s="1">
        <v>83</v>
      </c>
      <c r="B111" s="10" t="s">
        <v>186</v>
      </c>
      <c r="C111" s="11">
        <v>2011</v>
      </c>
      <c r="D111" s="12">
        <v>25519</v>
      </c>
      <c r="E111" s="12">
        <v>25277</v>
      </c>
      <c r="F111" s="12">
        <v>242</v>
      </c>
      <c r="G111" s="13">
        <v>2.4</v>
      </c>
      <c r="H111" s="12">
        <v>11943</v>
      </c>
      <c r="I111" s="12">
        <v>10548</v>
      </c>
      <c r="J111" s="12">
        <v>1395</v>
      </c>
      <c r="K111" s="10">
        <v>11.68</v>
      </c>
      <c r="L111" s="13">
        <v>2.1164698990000002</v>
      </c>
    </row>
    <row r="112" spans="1:12" x14ac:dyDescent="0.15">
      <c r="A112" s="1">
        <v>85</v>
      </c>
      <c r="B112" s="10" t="s">
        <v>187</v>
      </c>
      <c r="C112" s="11">
        <v>2011</v>
      </c>
      <c r="D112" s="12">
        <v>41260</v>
      </c>
      <c r="E112" s="12">
        <v>40707</v>
      </c>
      <c r="F112" s="12">
        <v>554</v>
      </c>
      <c r="G112" s="13">
        <v>2.46</v>
      </c>
      <c r="H112" s="12">
        <v>17315</v>
      </c>
      <c r="I112" s="12">
        <v>16521</v>
      </c>
      <c r="J112" s="12">
        <v>794</v>
      </c>
      <c r="K112" s="10">
        <v>4.59</v>
      </c>
      <c r="L112" s="13">
        <v>2.3509673690000001</v>
      </c>
    </row>
    <row r="113" spans="1:12" x14ac:dyDescent="0.15">
      <c r="A113" s="1">
        <v>87</v>
      </c>
      <c r="B113" s="10" t="s">
        <v>188</v>
      </c>
      <c r="C113" s="11">
        <v>2011</v>
      </c>
      <c r="D113" s="12">
        <v>28430</v>
      </c>
      <c r="E113" s="12">
        <v>27876</v>
      </c>
      <c r="F113" s="12">
        <v>554</v>
      </c>
      <c r="G113" s="13">
        <v>2.7</v>
      </c>
      <c r="H113" s="12">
        <v>10972</v>
      </c>
      <c r="I113" s="12">
        <v>10311</v>
      </c>
      <c r="J113" s="12">
        <v>661</v>
      </c>
      <c r="K113" s="10">
        <v>6.02</v>
      </c>
      <c r="L113" s="13">
        <v>2.5406489250000002</v>
      </c>
    </row>
    <row r="114" spans="1:12" x14ac:dyDescent="0.15">
      <c r="A114" s="1">
        <v>89</v>
      </c>
      <c r="B114" s="10" t="s">
        <v>189</v>
      </c>
      <c r="C114" s="11">
        <v>2011</v>
      </c>
      <c r="D114" s="12">
        <v>18831</v>
      </c>
      <c r="E114" s="12">
        <v>18400</v>
      </c>
      <c r="F114" s="12">
        <v>432</v>
      </c>
      <c r="G114" s="13">
        <v>2.38</v>
      </c>
      <c r="H114" s="12">
        <v>8690</v>
      </c>
      <c r="I114" s="12">
        <v>7729</v>
      </c>
      <c r="J114" s="12">
        <v>961</v>
      </c>
      <c r="K114" s="10">
        <v>11.06</v>
      </c>
      <c r="L114" s="13">
        <v>2.1173762950000001</v>
      </c>
    </row>
    <row r="115" spans="1:12" x14ac:dyDescent="0.15">
      <c r="A115" s="1">
        <v>91</v>
      </c>
      <c r="B115" s="10" t="s">
        <v>190</v>
      </c>
      <c r="C115" s="11">
        <v>2011</v>
      </c>
      <c r="D115" s="12">
        <v>4404</v>
      </c>
      <c r="E115" s="12">
        <v>4404</v>
      </c>
      <c r="F115" s="12">
        <v>0</v>
      </c>
      <c r="G115" s="13">
        <v>2.19</v>
      </c>
      <c r="H115" s="12">
        <v>3097</v>
      </c>
      <c r="I115" s="12">
        <v>2013</v>
      </c>
      <c r="J115" s="12">
        <v>1084</v>
      </c>
      <c r="K115" s="10">
        <v>35</v>
      </c>
      <c r="L115" s="13">
        <v>1.422021311</v>
      </c>
    </row>
    <row r="116" spans="1:12" x14ac:dyDescent="0.15">
      <c r="A116" s="1">
        <v>93</v>
      </c>
      <c r="B116" s="10" t="s">
        <v>191</v>
      </c>
      <c r="C116" s="11">
        <v>2011</v>
      </c>
      <c r="D116" s="12">
        <v>15896</v>
      </c>
      <c r="E116" s="12">
        <v>15811</v>
      </c>
      <c r="F116" s="12">
        <v>85</v>
      </c>
      <c r="G116" s="13">
        <v>2.2400000000000002</v>
      </c>
      <c r="H116" s="12">
        <v>13803</v>
      </c>
      <c r="I116" s="12">
        <v>7047</v>
      </c>
      <c r="J116" s="12">
        <v>6756</v>
      </c>
      <c r="K116" s="10">
        <v>48.95</v>
      </c>
      <c r="L116" s="13">
        <v>1.1454756210000001</v>
      </c>
    </row>
    <row r="117" spans="1:12" x14ac:dyDescent="0.15">
      <c r="A117" s="1">
        <v>95</v>
      </c>
      <c r="B117" s="10" t="s">
        <v>192</v>
      </c>
      <c r="C117" s="11">
        <v>2011</v>
      </c>
      <c r="D117" s="12">
        <v>4473</v>
      </c>
      <c r="E117" s="12">
        <v>4412</v>
      </c>
      <c r="F117" s="12">
        <v>61</v>
      </c>
      <c r="G117" s="13">
        <v>2.41</v>
      </c>
      <c r="H117" s="12">
        <v>1948</v>
      </c>
      <c r="I117" s="12">
        <v>1829</v>
      </c>
      <c r="J117" s="12">
        <v>119</v>
      </c>
      <c r="K117" s="10">
        <v>6.13</v>
      </c>
      <c r="L117" s="13">
        <v>2.2648870639999998</v>
      </c>
    </row>
    <row r="118" spans="1:12" x14ac:dyDescent="0.15">
      <c r="A118" s="1">
        <v>97</v>
      </c>
      <c r="B118" s="10" t="s">
        <v>193</v>
      </c>
      <c r="C118" s="11">
        <v>2011</v>
      </c>
      <c r="D118" s="12">
        <v>17128</v>
      </c>
      <c r="E118" s="12">
        <v>17056</v>
      </c>
      <c r="F118" s="12">
        <v>72</v>
      </c>
      <c r="G118" s="13">
        <v>2.1</v>
      </c>
      <c r="H118" s="12">
        <v>12567</v>
      </c>
      <c r="I118" s="12">
        <v>8120</v>
      </c>
      <c r="J118" s="12">
        <v>4447</v>
      </c>
      <c r="K118" s="10">
        <v>35.39</v>
      </c>
      <c r="L118" s="13">
        <v>1.357205379</v>
      </c>
    </row>
    <row r="119" spans="1:12" x14ac:dyDescent="0.15">
      <c r="A119" s="1">
        <v>99</v>
      </c>
      <c r="B119" s="10" t="s">
        <v>194</v>
      </c>
      <c r="C119" s="11">
        <v>2011</v>
      </c>
      <c r="D119" s="12">
        <v>12478</v>
      </c>
      <c r="E119" s="12">
        <v>12158</v>
      </c>
      <c r="F119" s="12">
        <v>320</v>
      </c>
      <c r="G119" s="13">
        <v>2.48</v>
      </c>
      <c r="H119" s="12">
        <v>5422</v>
      </c>
      <c r="I119" s="12">
        <v>4899</v>
      </c>
      <c r="J119" s="12">
        <v>523</v>
      </c>
      <c r="K119" s="10">
        <v>9.64</v>
      </c>
      <c r="L119" s="13">
        <v>2.2423459979999998</v>
      </c>
    </row>
    <row r="120" spans="1:12" x14ac:dyDescent="0.15">
      <c r="A120" s="1">
        <v>101</v>
      </c>
      <c r="B120" s="10" t="s">
        <v>195</v>
      </c>
      <c r="C120" s="11">
        <v>2011</v>
      </c>
      <c r="D120" s="12">
        <v>159838</v>
      </c>
      <c r="E120" s="12">
        <v>155934</v>
      </c>
      <c r="F120" s="12">
        <v>3904</v>
      </c>
      <c r="G120" s="13">
        <v>2.46</v>
      </c>
      <c r="H120" s="12">
        <v>69825</v>
      </c>
      <c r="I120" s="12">
        <v>63467</v>
      </c>
      <c r="J120" s="12">
        <v>6358</v>
      </c>
      <c r="K120" s="10">
        <v>9.11</v>
      </c>
      <c r="L120" s="13">
        <v>2.2332116000000002</v>
      </c>
    </row>
    <row r="121" spans="1:12" x14ac:dyDescent="0.15">
      <c r="A121" s="1">
        <v>103</v>
      </c>
      <c r="B121" s="10" t="s">
        <v>196</v>
      </c>
      <c r="C121" s="11">
        <v>2011</v>
      </c>
      <c r="D121" s="12">
        <v>6736</v>
      </c>
      <c r="E121" s="12">
        <v>6369</v>
      </c>
      <c r="F121" s="12">
        <v>367</v>
      </c>
      <c r="G121" s="13">
        <v>2.4300000000000002</v>
      </c>
      <c r="H121" s="12">
        <v>3195</v>
      </c>
      <c r="I121" s="12">
        <v>2620</v>
      </c>
      <c r="J121" s="12">
        <v>575</v>
      </c>
      <c r="K121" s="10">
        <v>17.98</v>
      </c>
      <c r="L121" s="13">
        <v>1.99342723</v>
      </c>
    </row>
    <row r="122" spans="1:12" x14ac:dyDescent="0.15">
      <c r="A122" s="1">
        <v>105</v>
      </c>
      <c r="B122" s="10" t="s">
        <v>197</v>
      </c>
      <c r="C122" s="11">
        <v>2011</v>
      </c>
      <c r="D122" s="12">
        <v>11957</v>
      </c>
      <c r="E122" s="12">
        <v>11765</v>
      </c>
      <c r="F122" s="12">
        <v>192</v>
      </c>
      <c r="G122" s="13">
        <v>2.46</v>
      </c>
      <c r="H122" s="12">
        <v>6301</v>
      </c>
      <c r="I122" s="12">
        <v>4788</v>
      </c>
      <c r="J122" s="12">
        <v>1513</v>
      </c>
      <c r="K122" s="10">
        <v>24.02</v>
      </c>
      <c r="L122" s="13">
        <v>1.8671639419999999</v>
      </c>
    </row>
    <row r="123" spans="1:12" x14ac:dyDescent="0.15">
      <c r="A123" s="1">
        <v>107</v>
      </c>
      <c r="B123" s="10" t="s">
        <v>198</v>
      </c>
      <c r="C123" s="11">
        <v>2011</v>
      </c>
      <c r="D123" s="12">
        <v>23485</v>
      </c>
      <c r="E123" s="12">
        <v>23148</v>
      </c>
      <c r="F123" s="12">
        <v>337</v>
      </c>
      <c r="G123" s="13">
        <v>2.34</v>
      </c>
      <c r="H123" s="12">
        <v>15617</v>
      </c>
      <c r="I123" s="12">
        <v>9876</v>
      </c>
      <c r="J123" s="12">
        <v>5741</v>
      </c>
      <c r="K123" s="10">
        <v>36.76</v>
      </c>
      <c r="L123" s="13">
        <v>1.482230902</v>
      </c>
    </row>
    <row r="124" spans="1:12" x14ac:dyDescent="0.15">
      <c r="A124" s="1">
        <v>109</v>
      </c>
      <c r="B124" s="10" t="s">
        <v>199</v>
      </c>
      <c r="C124" s="11">
        <v>2011</v>
      </c>
      <c r="D124" s="12">
        <v>6156</v>
      </c>
      <c r="E124" s="12">
        <v>6136</v>
      </c>
      <c r="F124" s="12">
        <v>20</v>
      </c>
      <c r="G124" s="13">
        <v>2.2999999999999998</v>
      </c>
      <c r="H124" s="12">
        <v>3266</v>
      </c>
      <c r="I124" s="12">
        <v>2665</v>
      </c>
      <c r="J124" s="12">
        <v>601</v>
      </c>
      <c r="K124" s="10">
        <v>18.39</v>
      </c>
      <c r="L124" s="13">
        <v>1.8787507649999999</v>
      </c>
    </row>
    <row r="125" spans="1:12" x14ac:dyDescent="0.15">
      <c r="A125" s="1">
        <v>111</v>
      </c>
      <c r="B125" s="10" t="s">
        <v>200</v>
      </c>
      <c r="C125" s="11">
        <v>2011</v>
      </c>
      <c r="D125" s="12">
        <v>706</v>
      </c>
      <c r="E125" s="12">
        <v>706</v>
      </c>
      <c r="F125" s="12">
        <v>0</v>
      </c>
      <c r="G125" s="13">
        <v>2.02</v>
      </c>
      <c r="H125" s="12">
        <v>740</v>
      </c>
      <c r="I125" s="12">
        <v>349</v>
      </c>
      <c r="J125" s="12">
        <v>391</v>
      </c>
      <c r="K125" s="10">
        <v>52.77</v>
      </c>
      <c r="L125" s="13">
        <v>0.95405405399999998</v>
      </c>
    </row>
    <row r="126" spans="1:12" x14ac:dyDescent="0.15">
      <c r="A126" s="1">
        <v>113</v>
      </c>
      <c r="B126" s="10" t="s">
        <v>201</v>
      </c>
      <c r="C126" s="11">
        <v>2011</v>
      </c>
      <c r="D126" s="12">
        <v>7486</v>
      </c>
      <c r="E126" s="12">
        <v>7405</v>
      </c>
      <c r="F126" s="12">
        <v>81</v>
      </c>
      <c r="G126" s="13">
        <v>2.14</v>
      </c>
      <c r="H126" s="12">
        <v>6190</v>
      </c>
      <c r="I126" s="12">
        <v>3460</v>
      </c>
      <c r="J126" s="12">
        <v>2730</v>
      </c>
      <c r="K126" s="10">
        <v>44.1</v>
      </c>
      <c r="L126" s="13">
        <v>1.1962843299999999</v>
      </c>
    </row>
    <row r="127" spans="1:12" x14ac:dyDescent="0.15">
      <c r="A127" s="1">
        <v>115</v>
      </c>
      <c r="B127" s="10" t="s">
        <v>202</v>
      </c>
      <c r="C127" s="11">
        <v>2011</v>
      </c>
      <c r="D127" s="12">
        <v>2371</v>
      </c>
      <c r="E127" s="12">
        <v>2335</v>
      </c>
      <c r="F127" s="12">
        <v>36</v>
      </c>
      <c r="G127" s="13">
        <v>2.15</v>
      </c>
      <c r="H127" s="12">
        <v>1325</v>
      </c>
      <c r="I127" s="12">
        <v>1086</v>
      </c>
      <c r="J127" s="12">
        <v>239</v>
      </c>
      <c r="K127" s="10">
        <v>18.04</v>
      </c>
      <c r="L127" s="13">
        <v>1.7622641509999999</v>
      </c>
    </row>
    <row r="128" spans="1:12" x14ac:dyDescent="0.15">
      <c r="A128" s="1">
        <v>117</v>
      </c>
      <c r="B128" s="10" t="s">
        <v>203</v>
      </c>
      <c r="C128" s="11">
        <v>2011</v>
      </c>
      <c r="D128" s="12">
        <v>28087</v>
      </c>
      <c r="E128" s="12">
        <v>27786</v>
      </c>
      <c r="F128" s="12">
        <v>301</v>
      </c>
      <c r="G128" s="13">
        <v>2.36</v>
      </c>
      <c r="H128" s="12">
        <v>29866</v>
      </c>
      <c r="I128" s="12">
        <v>11781</v>
      </c>
      <c r="J128" s="12">
        <v>18085</v>
      </c>
      <c r="K128" s="10">
        <v>60.55</v>
      </c>
      <c r="L128" s="13">
        <v>0.93035558799999996</v>
      </c>
    </row>
    <row r="129" spans="1:12" x14ac:dyDescent="0.15">
      <c r="A129" s="1">
        <v>119</v>
      </c>
      <c r="B129" s="10" t="s">
        <v>204</v>
      </c>
      <c r="C129" s="11">
        <v>2011</v>
      </c>
      <c r="D129" s="12">
        <v>23268</v>
      </c>
      <c r="E129" s="12">
        <v>23131</v>
      </c>
      <c r="F129" s="12">
        <v>137</v>
      </c>
      <c r="G129" s="13">
        <v>2.36</v>
      </c>
      <c r="H129" s="12">
        <v>12663</v>
      </c>
      <c r="I129" s="12">
        <v>9793</v>
      </c>
      <c r="J129" s="12">
        <v>2870</v>
      </c>
      <c r="K129" s="10">
        <v>22.66</v>
      </c>
      <c r="L129" s="13">
        <v>1.826660349</v>
      </c>
    </row>
    <row r="130" spans="1:12" x14ac:dyDescent="0.15">
      <c r="A130" s="1">
        <v>121</v>
      </c>
      <c r="B130" s="10" t="s">
        <v>205</v>
      </c>
      <c r="C130" s="11">
        <v>2011</v>
      </c>
      <c r="D130" s="12">
        <v>4608</v>
      </c>
      <c r="E130" s="12">
        <v>4489</v>
      </c>
      <c r="F130" s="12">
        <v>119</v>
      </c>
      <c r="G130" s="13">
        <v>2.35</v>
      </c>
      <c r="H130" s="12">
        <v>2187</v>
      </c>
      <c r="I130" s="12">
        <v>1914</v>
      </c>
      <c r="J130" s="12">
        <v>273</v>
      </c>
      <c r="K130" s="10">
        <v>12.47</v>
      </c>
      <c r="L130" s="13">
        <v>2.052583448</v>
      </c>
    </row>
    <row r="131" spans="1:12" x14ac:dyDescent="0.15">
      <c r="A131" s="1">
        <v>123</v>
      </c>
      <c r="B131" s="10" t="s">
        <v>206</v>
      </c>
      <c r="C131" s="11">
        <v>2011</v>
      </c>
      <c r="D131" s="12">
        <v>258702</v>
      </c>
      <c r="E131" s="12">
        <v>252808</v>
      </c>
      <c r="F131" s="12">
        <v>5894</v>
      </c>
      <c r="G131" s="13">
        <v>2.77</v>
      </c>
      <c r="H131" s="12">
        <v>97321</v>
      </c>
      <c r="I131" s="12">
        <v>91197</v>
      </c>
      <c r="J131" s="12">
        <v>6124</v>
      </c>
      <c r="K131" s="10">
        <v>6.29</v>
      </c>
      <c r="L131" s="13">
        <v>2.5976716230000001</v>
      </c>
    </row>
    <row r="132" spans="1:12" x14ac:dyDescent="0.15">
      <c r="A132" s="1">
        <v>125</v>
      </c>
      <c r="B132" s="10" t="s">
        <v>207</v>
      </c>
      <c r="C132" s="11">
        <v>2011</v>
      </c>
      <c r="D132" s="12">
        <v>10111</v>
      </c>
      <c r="E132" s="12">
        <v>9832</v>
      </c>
      <c r="F132" s="12">
        <v>279</v>
      </c>
      <c r="G132" s="13">
        <v>2.5</v>
      </c>
      <c r="H132" s="12">
        <v>4237</v>
      </c>
      <c r="I132" s="12">
        <v>3938</v>
      </c>
      <c r="J132" s="12">
        <v>299</v>
      </c>
      <c r="K132" s="10">
        <v>7.07</v>
      </c>
      <c r="L132" s="13">
        <v>2.320509795</v>
      </c>
    </row>
    <row r="133" spans="1:12" x14ac:dyDescent="0.15">
      <c r="A133" s="1">
        <v>0</v>
      </c>
      <c r="B133" s="10" t="s">
        <v>143</v>
      </c>
      <c r="C133" s="11">
        <v>2012</v>
      </c>
      <c r="D133" s="12">
        <v>5194662</v>
      </c>
      <c r="E133" s="12">
        <v>5075290</v>
      </c>
      <c r="F133" s="12">
        <v>119372</v>
      </c>
      <c r="G133" s="13">
        <v>2.4900000000000002</v>
      </c>
      <c r="H133" s="12">
        <v>2230882</v>
      </c>
      <c r="I133" s="12">
        <v>2036224</v>
      </c>
      <c r="J133" s="12">
        <v>194658</v>
      </c>
      <c r="K133" s="10">
        <v>8.73</v>
      </c>
      <c r="L133" s="13">
        <v>2.2750149940000002</v>
      </c>
    </row>
    <row r="134" spans="1:12" x14ac:dyDescent="0.15">
      <c r="A134" s="1">
        <v>1</v>
      </c>
      <c r="B134" s="10" t="s">
        <v>144</v>
      </c>
      <c r="C134" s="11">
        <v>2012</v>
      </c>
      <c r="D134" s="12">
        <v>460468</v>
      </c>
      <c r="E134" s="12">
        <v>456411</v>
      </c>
      <c r="F134" s="12">
        <v>4057</v>
      </c>
      <c r="G134" s="13">
        <v>2.85</v>
      </c>
      <c r="H134" s="12">
        <v>165858</v>
      </c>
      <c r="I134" s="12">
        <v>159932</v>
      </c>
      <c r="J134" s="12">
        <v>5926</v>
      </c>
      <c r="K134" s="10">
        <v>3.57</v>
      </c>
      <c r="L134" s="13">
        <v>2.7518178199999999</v>
      </c>
    </row>
    <row r="135" spans="1:12" x14ac:dyDescent="0.15">
      <c r="A135" s="1">
        <v>3</v>
      </c>
      <c r="B135" s="10" t="s">
        <v>145</v>
      </c>
      <c r="C135" s="11">
        <v>2012</v>
      </c>
      <c r="D135" s="12">
        <v>15604</v>
      </c>
      <c r="E135" s="12">
        <v>14864</v>
      </c>
      <c r="F135" s="12">
        <v>740</v>
      </c>
      <c r="G135" s="13">
        <v>2.4500000000000002</v>
      </c>
      <c r="H135" s="12">
        <v>6636</v>
      </c>
      <c r="I135" s="12">
        <v>6075</v>
      </c>
      <c r="J135" s="12">
        <v>561</v>
      </c>
      <c r="K135" s="10">
        <v>8.4499999999999993</v>
      </c>
      <c r="L135" s="13">
        <v>2.2399035559999998</v>
      </c>
    </row>
    <row r="136" spans="1:12" x14ac:dyDescent="0.15">
      <c r="A136" s="1">
        <v>5</v>
      </c>
      <c r="B136" s="10" t="s">
        <v>146</v>
      </c>
      <c r="C136" s="11">
        <v>2012</v>
      </c>
      <c r="D136" s="12">
        <v>596228</v>
      </c>
      <c r="E136" s="12">
        <v>591240</v>
      </c>
      <c r="F136" s="12">
        <v>4988</v>
      </c>
      <c r="G136" s="13">
        <v>2.54</v>
      </c>
      <c r="H136" s="12">
        <v>241137</v>
      </c>
      <c r="I136" s="12">
        <v>232344</v>
      </c>
      <c r="J136" s="12">
        <v>8793</v>
      </c>
      <c r="K136" s="10">
        <v>3.65</v>
      </c>
      <c r="L136" s="13">
        <v>2.4518841990000002</v>
      </c>
    </row>
    <row r="137" spans="1:12" x14ac:dyDescent="0.15">
      <c r="A137" s="1">
        <v>7</v>
      </c>
      <c r="B137" s="10" t="s">
        <v>147</v>
      </c>
      <c r="C137" s="11">
        <v>2012</v>
      </c>
      <c r="D137" s="12">
        <v>11990</v>
      </c>
      <c r="E137" s="12">
        <v>11869</v>
      </c>
      <c r="F137" s="12">
        <v>121</v>
      </c>
      <c r="G137" s="13">
        <v>2.27</v>
      </c>
      <c r="H137" s="12">
        <v>8807</v>
      </c>
      <c r="I137" s="12">
        <v>5220</v>
      </c>
      <c r="J137" s="12">
        <v>3587</v>
      </c>
      <c r="K137" s="10">
        <v>40.729999999999997</v>
      </c>
      <c r="L137" s="13">
        <v>1.3476779830000001</v>
      </c>
    </row>
    <row r="138" spans="1:12" x14ac:dyDescent="0.15">
      <c r="A138" s="1">
        <v>9</v>
      </c>
      <c r="B138" s="10" t="s">
        <v>148</v>
      </c>
      <c r="C138" s="11">
        <v>2012</v>
      </c>
      <c r="D138" s="12">
        <v>3704</v>
      </c>
      <c r="E138" s="12">
        <v>3631</v>
      </c>
      <c r="F138" s="12">
        <v>73</v>
      </c>
      <c r="G138" s="13">
        <v>2.2200000000000002</v>
      </c>
      <c r="H138" s="12">
        <v>1968</v>
      </c>
      <c r="I138" s="12">
        <v>1634</v>
      </c>
      <c r="J138" s="12">
        <v>334</v>
      </c>
      <c r="K138" s="10">
        <v>16.97</v>
      </c>
      <c r="L138" s="13">
        <v>1.8450203249999999</v>
      </c>
    </row>
    <row r="139" spans="1:12" x14ac:dyDescent="0.15">
      <c r="A139" s="1">
        <v>11</v>
      </c>
      <c r="B139" s="10" t="s">
        <v>149</v>
      </c>
      <c r="C139" s="11">
        <v>2012</v>
      </c>
      <c r="D139" s="12">
        <v>5864</v>
      </c>
      <c r="E139" s="12">
        <v>4178</v>
      </c>
      <c r="F139" s="12">
        <v>1686</v>
      </c>
      <c r="G139" s="13">
        <v>2.33</v>
      </c>
      <c r="H139" s="12">
        <v>2118</v>
      </c>
      <c r="I139" s="12">
        <v>1794</v>
      </c>
      <c r="J139" s="12">
        <v>324</v>
      </c>
      <c r="K139" s="10">
        <v>15.31</v>
      </c>
      <c r="L139" s="13">
        <v>1.9726156749999999</v>
      </c>
    </row>
    <row r="140" spans="1:12" x14ac:dyDescent="0.15">
      <c r="A140" s="1">
        <v>13</v>
      </c>
      <c r="B140" s="10" t="s">
        <v>150</v>
      </c>
      <c r="C140" s="11">
        <v>2012</v>
      </c>
      <c r="D140" s="12">
        <v>305881</v>
      </c>
      <c r="E140" s="12">
        <v>294996</v>
      </c>
      <c r="F140" s="12">
        <v>10885</v>
      </c>
      <c r="G140" s="13">
        <v>2.39</v>
      </c>
      <c r="H140" s="12">
        <v>128405</v>
      </c>
      <c r="I140" s="12">
        <v>123381</v>
      </c>
      <c r="J140" s="12">
        <v>5024</v>
      </c>
      <c r="K140" s="10">
        <v>3.91</v>
      </c>
      <c r="L140" s="13">
        <v>2.2973871730000002</v>
      </c>
    </row>
    <row r="141" spans="1:12" x14ac:dyDescent="0.15">
      <c r="A141" s="1">
        <v>14</v>
      </c>
      <c r="B141" s="10" t="s">
        <v>151</v>
      </c>
      <c r="C141" s="11">
        <v>2012</v>
      </c>
      <c r="D141" s="12">
        <v>59271</v>
      </c>
      <c r="E141" s="12">
        <v>59001</v>
      </c>
      <c r="F141" s="12">
        <v>270</v>
      </c>
      <c r="G141" s="13">
        <v>2.57</v>
      </c>
      <c r="H141" s="12">
        <v>23426</v>
      </c>
      <c r="I141" s="12">
        <v>22927</v>
      </c>
      <c r="J141" s="12">
        <v>499</v>
      </c>
      <c r="K141" s="10">
        <v>2.13</v>
      </c>
      <c r="L141" s="13">
        <v>2.5186117989999999</v>
      </c>
    </row>
    <row r="142" spans="1:12" x14ac:dyDescent="0.15">
      <c r="A142" s="1">
        <v>15</v>
      </c>
      <c r="B142" s="10" t="s">
        <v>152</v>
      </c>
      <c r="C142" s="11">
        <v>2012</v>
      </c>
      <c r="D142" s="12">
        <v>17967</v>
      </c>
      <c r="E142" s="12">
        <v>16497</v>
      </c>
      <c r="F142" s="12">
        <v>1470</v>
      </c>
      <c r="G142" s="13">
        <v>2.16</v>
      </c>
      <c r="H142" s="12">
        <v>10056</v>
      </c>
      <c r="I142" s="12">
        <v>7654</v>
      </c>
      <c r="J142" s="12">
        <v>2402</v>
      </c>
      <c r="K142" s="10">
        <v>23.89</v>
      </c>
      <c r="L142" s="13">
        <v>1.6405131260000001</v>
      </c>
    </row>
    <row r="143" spans="1:12" x14ac:dyDescent="0.15">
      <c r="A143" s="1">
        <v>17</v>
      </c>
      <c r="B143" s="10" t="s">
        <v>153</v>
      </c>
      <c r="C143" s="11">
        <v>2012</v>
      </c>
      <c r="D143" s="12">
        <v>1832</v>
      </c>
      <c r="E143" s="12">
        <v>1790</v>
      </c>
      <c r="F143" s="12">
        <v>42</v>
      </c>
      <c r="G143" s="13">
        <v>2.29</v>
      </c>
      <c r="H143" s="12">
        <v>869</v>
      </c>
      <c r="I143" s="12">
        <v>783</v>
      </c>
      <c r="J143" s="12">
        <v>86</v>
      </c>
      <c r="K143" s="10">
        <v>9.89</v>
      </c>
      <c r="L143" s="13">
        <v>2.0598388949999999</v>
      </c>
    </row>
    <row r="144" spans="1:12" x14ac:dyDescent="0.15">
      <c r="A144" s="1">
        <v>19</v>
      </c>
      <c r="B144" s="10" t="s">
        <v>154</v>
      </c>
      <c r="C144" s="11">
        <v>2012</v>
      </c>
      <c r="D144" s="12">
        <v>9016</v>
      </c>
      <c r="E144" s="12">
        <v>8895</v>
      </c>
      <c r="F144" s="12">
        <v>121</v>
      </c>
      <c r="G144" s="13">
        <v>2.14</v>
      </c>
      <c r="H144" s="12">
        <v>5501</v>
      </c>
      <c r="I144" s="12">
        <v>4163</v>
      </c>
      <c r="J144" s="12">
        <v>1338</v>
      </c>
      <c r="K144" s="10">
        <v>24.33</v>
      </c>
      <c r="L144" s="13">
        <v>1.6169787309999999</v>
      </c>
    </row>
    <row r="145" spans="1:12" x14ac:dyDescent="0.15">
      <c r="A145" s="1">
        <v>21</v>
      </c>
      <c r="B145" s="10" t="s">
        <v>155</v>
      </c>
      <c r="C145" s="11">
        <v>2012</v>
      </c>
      <c r="D145" s="12">
        <v>8134</v>
      </c>
      <c r="E145" s="12">
        <v>8093</v>
      </c>
      <c r="F145" s="12">
        <v>41</v>
      </c>
      <c r="G145" s="13">
        <v>2.62</v>
      </c>
      <c r="H145" s="12">
        <v>3842</v>
      </c>
      <c r="I145" s="12">
        <v>3089</v>
      </c>
      <c r="J145" s="12">
        <v>753</v>
      </c>
      <c r="K145" s="10">
        <v>19.600000000000001</v>
      </c>
      <c r="L145" s="13">
        <v>2.1064549709999998</v>
      </c>
    </row>
    <row r="146" spans="1:12" x14ac:dyDescent="0.15">
      <c r="A146" s="1">
        <v>23</v>
      </c>
      <c r="B146" s="10" t="s">
        <v>156</v>
      </c>
      <c r="C146" s="11">
        <v>2012</v>
      </c>
      <c r="D146" s="12">
        <v>3517</v>
      </c>
      <c r="E146" s="12">
        <v>3517</v>
      </c>
      <c r="F146" s="12">
        <v>0</v>
      </c>
      <c r="G146" s="13">
        <v>2.2599999999999998</v>
      </c>
      <c r="H146" s="12">
        <v>2305</v>
      </c>
      <c r="I146" s="12">
        <v>1558</v>
      </c>
      <c r="J146" s="12">
        <v>747</v>
      </c>
      <c r="K146" s="10">
        <v>32.39</v>
      </c>
      <c r="L146" s="13">
        <v>1.5258134489999999</v>
      </c>
    </row>
    <row r="147" spans="1:12" x14ac:dyDescent="0.15">
      <c r="A147" s="1">
        <v>25</v>
      </c>
      <c r="B147" s="10" t="s">
        <v>157</v>
      </c>
      <c r="C147" s="11">
        <v>2012</v>
      </c>
      <c r="D147" s="12">
        <v>5839</v>
      </c>
      <c r="E147" s="12">
        <v>3125</v>
      </c>
      <c r="F147" s="12">
        <v>2714</v>
      </c>
      <c r="G147" s="13">
        <v>2.39</v>
      </c>
      <c r="H147" s="12">
        <v>1485</v>
      </c>
      <c r="I147" s="12">
        <v>1308</v>
      </c>
      <c r="J147" s="12">
        <v>177</v>
      </c>
      <c r="K147" s="10">
        <v>11.91</v>
      </c>
      <c r="L147" s="13">
        <v>2.1043771040000001</v>
      </c>
    </row>
    <row r="148" spans="1:12" x14ac:dyDescent="0.15">
      <c r="A148" s="1">
        <v>27</v>
      </c>
      <c r="B148" s="10" t="s">
        <v>158</v>
      </c>
      <c r="C148" s="11">
        <v>2012</v>
      </c>
      <c r="D148" s="12">
        <v>4367</v>
      </c>
      <c r="E148" s="12">
        <v>4353</v>
      </c>
      <c r="F148" s="12">
        <v>14</v>
      </c>
      <c r="G148" s="13">
        <v>2.13</v>
      </c>
      <c r="H148" s="12">
        <v>3722</v>
      </c>
      <c r="I148" s="12">
        <v>2045</v>
      </c>
      <c r="J148" s="12">
        <v>1677</v>
      </c>
      <c r="K148" s="10">
        <v>45.06</v>
      </c>
      <c r="L148" s="13">
        <v>1.1695325089999999</v>
      </c>
    </row>
    <row r="149" spans="1:12" x14ac:dyDescent="0.15">
      <c r="A149" s="1">
        <v>29</v>
      </c>
      <c r="B149" s="10" t="s">
        <v>159</v>
      </c>
      <c r="C149" s="11">
        <v>2012</v>
      </c>
      <c r="D149" s="12">
        <v>30554</v>
      </c>
      <c r="E149" s="12">
        <v>29799</v>
      </c>
      <c r="F149" s="12">
        <v>755</v>
      </c>
      <c r="G149" s="13">
        <v>2.37</v>
      </c>
      <c r="H149" s="12">
        <v>14616</v>
      </c>
      <c r="I149" s="12">
        <v>12577</v>
      </c>
      <c r="J149" s="12">
        <v>2039</v>
      </c>
      <c r="K149" s="10">
        <v>13.95</v>
      </c>
      <c r="L149" s="13">
        <v>2.0387931030000002</v>
      </c>
    </row>
    <row r="150" spans="1:12" x14ac:dyDescent="0.15">
      <c r="A150" s="1">
        <v>31</v>
      </c>
      <c r="B150" s="10" t="s">
        <v>160</v>
      </c>
      <c r="C150" s="11">
        <v>2012</v>
      </c>
      <c r="D150" s="12">
        <v>632924</v>
      </c>
      <c r="E150" s="12">
        <v>616740</v>
      </c>
      <c r="F150" s="12">
        <v>16184</v>
      </c>
      <c r="G150" s="13">
        <v>2.2200000000000002</v>
      </c>
      <c r="H150" s="12">
        <v>290342</v>
      </c>
      <c r="I150" s="12">
        <v>278164</v>
      </c>
      <c r="J150" s="12">
        <v>12178</v>
      </c>
      <c r="K150" s="10">
        <v>4.1900000000000004</v>
      </c>
      <c r="L150" s="13">
        <v>2.1241845819999998</v>
      </c>
    </row>
    <row r="151" spans="1:12" x14ac:dyDescent="0.15">
      <c r="A151" s="1">
        <v>33</v>
      </c>
      <c r="B151" s="10" t="s">
        <v>161</v>
      </c>
      <c r="C151" s="11">
        <v>2012</v>
      </c>
      <c r="D151" s="12">
        <v>2078</v>
      </c>
      <c r="E151" s="12">
        <v>2078</v>
      </c>
      <c r="F151" s="12">
        <v>0</v>
      </c>
      <c r="G151" s="13">
        <v>2.2799999999999998</v>
      </c>
      <c r="H151" s="12">
        <v>1156</v>
      </c>
      <c r="I151" s="12">
        <v>912</v>
      </c>
      <c r="J151" s="12">
        <v>244</v>
      </c>
      <c r="K151" s="10">
        <v>21.15</v>
      </c>
      <c r="L151" s="13">
        <v>1.7975778549999999</v>
      </c>
    </row>
    <row r="152" spans="1:12" x14ac:dyDescent="0.15">
      <c r="A152" s="1">
        <v>35</v>
      </c>
      <c r="B152" s="10" t="s">
        <v>162</v>
      </c>
      <c r="C152" s="11">
        <v>2012</v>
      </c>
      <c r="D152" s="12">
        <v>298733</v>
      </c>
      <c r="E152" s="12">
        <v>297801</v>
      </c>
      <c r="F152" s="12">
        <v>932</v>
      </c>
      <c r="G152" s="13">
        <v>2.79</v>
      </c>
      <c r="H152" s="12">
        <v>109233</v>
      </c>
      <c r="I152" s="12">
        <v>106782</v>
      </c>
      <c r="J152" s="12">
        <v>2451</v>
      </c>
      <c r="K152" s="10">
        <v>2.2400000000000002</v>
      </c>
      <c r="L152" s="13">
        <v>2.7262915049999998</v>
      </c>
    </row>
    <row r="153" spans="1:12" x14ac:dyDescent="0.15">
      <c r="A153" s="1">
        <v>37</v>
      </c>
      <c r="B153" s="10" t="s">
        <v>163</v>
      </c>
      <c r="C153" s="11">
        <v>2012</v>
      </c>
      <c r="D153" s="12">
        <v>52160</v>
      </c>
      <c r="E153" s="12">
        <v>52094</v>
      </c>
      <c r="F153" s="12">
        <v>65</v>
      </c>
      <c r="G153" s="13">
        <v>2.7</v>
      </c>
      <c r="H153" s="12">
        <v>30927</v>
      </c>
      <c r="I153" s="12">
        <v>19262</v>
      </c>
      <c r="J153" s="12">
        <v>11665</v>
      </c>
      <c r="K153" s="10">
        <v>37.72</v>
      </c>
      <c r="L153" s="13">
        <v>1.6844181460000001</v>
      </c>
    </row>
    <row r="154" spans="1:12" x14ac:dyDescent="0.15">
      <c r="A154" s="1">
        <v>39</v>
      </c>
      <c r="B154" s="10" t="s">
        <v>164</v>
      </c>
      <c r="C154" s="11">
        <v>2012</v>
      </c>
      <c r="D154" s="12">
        <v>23034</v>
      </c>
      <c r="E154" s="12">
        <v>22961</v>
      </c>
      <c r="F154" s="12">
        <v>73</v>
      </c>
      <c r="G154" s="13">
        <v>2.75</v>
      </c>
      <c r="H154" s="12">
        <v>8960</v>
      </c>
      <c r="I154" s="12">
        <v>8345</v>
      </c>
      <c r="J154" s="12">
        <v>615</v>
      </c>
      <c r="K154" s="10">
        <v>6.86</v>
      </c>
      <c r="L154" s="13">
        <v>2.562611607</v>
      </c>
    </row>
    <row r="155" spans="1:12" x14ac:dyDescent="0.15">
      <c r="A155" s="1">
        <v>41</v>
      </c>
      <c r="B155" s="10" t="s">
        <v>165</v>
      </c>
      <c r="C155" s="11">
        <v>2012</v>
      </c>
      <c r="D155" s="12">
        <v>648445</v>
      </c>
      <c r="E155" s="12">
        <v>628404</v>
      </c>
      <c r="F155" s="12">
        <v>20041</v>
      </c>
      <c r="G155" s="13">
        <v>2.57</v>
      </c>
      <c r="H155" s="12">
        <v>257927</v>
      </c>
      <c r="I155" s="12">
        <v>244953</v>
      </c>
      <c r="J155" s="12">
        <v>12974</v>
      </c>
      <c r="K155" s="10">
        <v>5.03</v>
      </c>
      <c r="L155" s="13">
        <v>2.436363777</v>
      </c>
    </row>
    <row r="156" spans="1:12" x14ac:dyDescent="0.15">
      <c r="A156" s="1">
        <v>43</v>
      </c>
      <c r="B156" s="10" t="s">
        <v>166</v>
      </c>
      <c r="C156" s="11">
        <v>2012</v>
      </c>
      <c r="D156" s="12">
        <v>47130</v>
      </c>
      <c r="E156" s="12">
        <v>38599</v>
      </c>
      <c r="F156" s="12">
        <v>8531</v>
      </c>
      <c r="G156" s="13">
        <v>2.2999999999999998</v>
      </c>
      <c r="H156" s="12">
        <v>19578</v>
      </c>
      <c r="I156" s="12">
        <v>16803</v>
      </c>
      <c r="J156" s="12">
        <v>2775</v>
      </c>
      <c r="K156" s="10">
        <v>14.18</v>
      </c>
      <c r="L156" s="13">
        <v>1.9715496990000001</v>
      </c>
    </row>
    <row r="157" spans="1:12" x14ac:dyDescent="0.15">
      <c r="A157" s="1">
        <v>45</v>
      </c>
      <c r="B157" s="10" t="s">
        <v>167</v>
      </c>
      <c r="C157" s="11">
        <v>2012</v>
      </c>
      <c r="D157" s="12">
        <v>56415</v>
      </c>
      <c r="E157" s="12">
        <v>55481</v>
      </c>
      <c r="F157" s="12">
        <v>934</v>
      </c>
      <c r="G157" s="13">
        <v>2.72</v>
      </c>
      <c r="H157" s="12">
        <v>22955</v>
      </c>
      <c r="I157" s="12">
        <v>20378</v>
      </c>
      <c r="J157" s="12">
        <v>2577</v>
      </c>
      <c r="K157" s="10">
        <v>11.23</v>
      </c>
      <c r="L157" s="13">
        <v>2.4169461989999999</v>
      </c>
    </row>
    <row r="158" spans="1:12" x14ac:dyDescent="0.15">
      <c r="A158" s="1">
        <v>47</v>
      </c>
      <c r="B158" s="10" t="s">
        <v>168</v>
      </c>
      <c r="C158" s="11">
        <v>2012</v>
      </c>
      <c r="D158" s="12">
        <v>5500</v>
      </c>
      <c r="E158" s="12">
        <v>5453</v>
      </c>
      <c r="F158" s="12">
        <v>47</v>
      </c>
      <c r="G158" s="13">
        <v>2.2000000000000002</v>
      </c>
      <c r="H158" s="12">
        <v>3321</v>
      </c>
      <c r="I158" s="12">
        <v>2484</v>
      </c>
      <c r="J158" s="12">
        <v>837</v>
      </c>
      <c r="K158" s="10">
        <v>25.2</v>
      </c>
      <c r="L158" s="13">
        <v>1.641975309</v>
      </c>
    </row>
    <row r="159" spans="1:12" x14ac:dyDescent="0.15">
      <c r="A159" s="1">
        <v>49</v>
      </c>
      <c r="B159" s="10" t="s">
        <v>169</v>
      </c>
      <c r="C159" s="11">
        <v>2012</v>
      </c>
      <c r="D159" s="12">
        <v>14925</v>
      </c>
      <c r="E159" s="12">
        <v>14707</v>
      </c>
      <c r="F159" s="12">
        <v>217</v>
      </c>
      <c r="G159" s="13">
        <v>2.25</v>
      </c>
      <c r="H159" s="12">
        <v>15615</v>
      </c>
      <c r="I159" s="12">
        <v>6532</v>
      </c>
      <c r="J159" s="12">
        <v>9083</v>
      </c>
      <c r="K159" s="10">
        <v>58.17</v>
      </c>
      <c r="L159" s="13">
        <v>0.94185078499999997</v>
      </c>
    </row>
    <row r="160" spans="1:12" x14ac:dyDescent="0.15">
      <c r="A160" s="1">
        <v>51</v>
      </c>
      <c r="B160" s="10" t="s">
        <v>170</v>
      </c>
      <c r="C160" s="11">
        <v>2012</v>
      </c>
      <c r="D160" s="12">
        <v>15270</v>
      </c>
      <c r="E160" s="12">
        <v>14440</v>
      </c>
      <c r="F160" s="12">
        <v>830</v>
      </c>
      <c r="G160" s="13">
        <v>2.2200000000000002</v>
      </c>
      <c r="H160" s="12">
        <v>11459</v>
      </c>
      <c r="I160" s="12">
        <v>6499</v>
      </c>
      <c r="J160" s="12">
        <v>4960</v>
      </c>
      <c r="K160" s="10">
        <v>43.28</v>
      </c>
      <c r="L160" s="13">
        <v>1.2601448639999999</v>
      </c>
    </row>
    <row r="161" spans="1:12" x14ac:dyDescent="0.15">
      <c r="A161" s="1">
        <v>53</v>
      </c>
      <c r="B161" s="10" t="s">
        <v>171</v>
      </c>
      <c r="C161" s="11">
        <v>2012</v>
      </c>
      <c r="D161" s="12">
        <v>831</v>
      </c>
      <c r="E161" s="12">
        <v>786</v>
      </c>
      <c r="F161" s="12">
        <v>45</v>
      </c>
      <c r="G161" s="13">
        <v>2.16</v>
      </c>
      <c r="H161" s="12">
        <v>1281</v>
      </c>
      <c r="I161" s="12">
        <v>364</v>
      </c>
      <c r="J161" s="12">
        <v>917</v>
      </c>
      <c r="K161" s="10">
        <v>71.58</v>
      </c>
      <c r="L161" s="13">
        <v>0.61358313799999997</v>
      </c>
    </row>
    <row r="162" spans="1:12" x14ac:dyDescent="0.15">
      <c r="A162" s="1">
        <v>55</v>
      </c>
      <c r="B162" s="10" t="s">
        <v>172</v>
      </c>
      <c r="C162" s="11">
        <v>2012</v>
      </c>
      <c r="D162" s="12">
        <v>6686</v>
      </c>
      <c r="E162" s="12">
        <v>6533</v>
      </c>
      <c r="F162" s="12">
        <v>153</v>
      </c>
      <c r="G162" s="13">
        <v>2.09</v>
      </c>
      <c r="H162" s="12">
        <v>4502</v>
      </c>
      <c r="I162" s="12">
        <v>3126</v>
      </c>
      <c r="J162" s="12">
        <v>1376</v>
      </c>
      <c r="K162" s="10">
        <v>30.55</v>
      </c>
      <c r="L162" s="13">
        <v>1.4511328299999999</v>
      </c>
    </row>
    <row r="163" spans="1:12" x14ac:dyDescent="0.15">
      <c r="A163" s="1">
        <v>57</v>
      </c>
      <c r="B163" s="10" t="s">
        <v>173</v>
      </c>
      <c r="C163" s="11">
        <v>2012</v>
      </c>
      <c r="D163" s="12">
        <v>1385</v>
      </c>
      <c r="E163" s="12">
        <v>1383</v>
      </c>
      <c r="F163" s="12">
        <v>2</v>
      </c>
      <c r="G163" s="13">
        <v>2.13</v>
      </c>
      <c r="H163" s="12">
        <v>1149</v>
      </c>
      <c r="I163" s="12">
        <v>648</v>
      </c>
      <c r="J163" s="12">
        <v>501</v>
      </c>
      <c r="K163" s="10">
        <v>43.62</v>
      </c>
      <c r="L163" s="13">
        <v>1.203655352</v>
      </c>
    </row>
    <row r="164" spans="1:12" x14ac:dyDescent="0.15">
      <c r="A164" s="1">
        <v>59</v>
      </c>
      <c r="B164" s="10" t="s">
        <v>174</v>
      </c>
      <c r="C164" s="11">
        <v>2012</v>
      </c>
      <c r="D164" s="12">
        <v>546631</v>
      </c>
      <c r="E164" s="12">
        <v>538930</v>
      </c>
      <c r="F164" s="12">
        <v>7701</v>
      </c>
      <c r="G164" s="13">
        <v>2.42</v>
      </c>
      <c r="H164" s="12">
        <v>232054</v>
      </c>
      <c r="I164" s="12">
        <v>223071</v>
      </c>
      <c r="J164" s="12">
        <v>8983</v>
      </c>
      <c r="K164" s="10">
        <v>3.87</v>
      </c>
      <c r="L164" s="13">
        <v>2.3224335709999999</v>
      </c>
    </row>
    <row r="165" spans="1:12" x14ac:dyDescent="0.15">
      <c r="A165" s="1">
        <v>61</v>
      </c>
      <c r="B165" s="10" t="s">
        <v>175</v>
      </c>
      <c r="C165" s="11">
        <v>2012</v>
      </c>
      <c r="D165" s="12">
        <v>1392</v>
      </c>
      <c r="E165" s="12">
        <v>1375</v>
      </c>
      <c r="F165" s="12">
        <v>18</v>
      </c>
      <c r="G165" s="13">
        <v>2.27</v>
      </c>
      <c r="H165" s="12">
        <v>728</v>
      </c>
      <c r="I165" s="12">
        <v>605</v>
      </c>
      <c r="J165" s="12">
        <v>123</v>
      </c>
      <c r="K165" s="10">
        <v>16.899999999999999</v>
      </c>
      <c r="L165" s="13">
        <v>1.8887362640000001</v>
      </c>
    </row>
    <row r="166" spans="1:12" x14ac:dyDescent="0.15">
      <c r="A166" s="1">
        <v>63</v>
      </c>
      <c r="B166" s="10" t="s">
        <v>176</v>
      </c>
      <c r="C166" s="11">
        <v>2012</v>
      </c>
      <c r="D166" s="12">
        <v>8085</v>
      </c>
      <c r="E166" s="12">
        <v>7207</v>
      </c>
      <c r="F166" s="12">
        <v>879</v>
      </c>
      <c r="G166" s="13">
        <v>2.38</v>
      </c>
      <c r="H166" s="12">
        <v>3379</v>
      </c>
      <c r="I166" s="12">
        <v>3028</v>
      </c>
      <c r="J166" s="12">
        <v>351</v>
      </c>
      <c r="K166" s="10">
        <v>10.37</v>
      </c>
      <c r="L166" s="13">
        <v>2.1328795500000002</v>
      </c>
    </row>
    <row r="167" spans="1:12" x14ac:dyDescent="0.15">
      <c r="A167" s="1">
        <v>65</v>
      </c>
      <c r="B167" s="10" t="s">
        <v>177</v>
      </c>
      <c r="C167" s="11">
        <v>2012</v>
      </c>
      <c r="D167" s="12">
        <v>7103</v>
      </c>
      <c r="E167" s="12">
        <v>7031</v>
      </c>
      <c r="F167" s="12">
        <v>72</v>
      </c>
      <c r="G167" s="13">
        <v>2.42</v>
      </c>
      <c r="H167" s="12">
        <v>4277</v>
      </c>
      <c r="I167" s="12">
        <v>2904</v>
      </c>
      <c r="J167" s="12">
        <v>1373</v>
      </c>
      <c r="K167" s="10">
        <v>32.1</v>
      </c>
      <c r="L167" s="13">
        <v>1.6439092820000001</v>
      </c>
    </row>
    <row r="168" spans="1:12" x14ac:dyDescent="0.15">
      <c r="A168" s="1">
        <v>67</v>
      </c>
      <c r="B168" s="10" t="s">
        <v>178</v>
      </c>
      <c r="C168" s="11">
        <v>2012</v>
      </c>
      <c r="D168" s="12">
        <v>52314</v>
      </c>
      <c r="E168" s="12">
        <v>50450</v>
      </c>
      <c r="F168" s="12">
        <v>1864</v>
      </c>
      <c r="G168" s="13">
        <v>2.34</v>
      </c>
      <c r="H168" s="12">
        <v>26154</v>
      </c>
      <c r="I168" s="12">
        <v>21559</v>
      </c>
      <c r="J168" s="12">
        <v>4595</v>
      </c>
      <c r="K168" s="10">
        <v>17.57</v>
      </c>
      <c r="L168" s="13">
        <v>1.928959241</v>
      </c>
    </row>
    <row r="169" spans="1:12" x14ac:dyDescent="0.15">
      <c r="A169" s="1">
        <v>69</v>
      </c>
      <c r="B169" s="10" t="s">
        <v>179</v>
      </c>
      <c r="C169" s="11">
        <v>2012</v>
      </c>
      <c r="D169" s="12">
        <v>310952</v>
      </c>
      <c r="E169" s="12">
        <v>302135</v>
      </c>
      <c r="F169" s="12">
        <v>8817</v>
      </c>
      <c r="G169" s="13">
        <v>2.42</v>
      </c>
      <c r="H169" s="12">
        <v>136123</v>
      </c>
      <c r="I169" s="12">
        <v>124983</v>
      </c>
      <c r="J169" s="12">
        <v>11140</v>
      </c>
      <c r="K169" s="10">
        <v>8.18</v>
      </c>
      <c r="L169" s="13">
        <v>2.2195734740000002</v>
      </c>
    </row>
    <row r="170" spans="1:12" x14ac:dyDescent="0.15">
      <c r="A170" s="1">
        <v>71</v>
      </c>
      <c r="B170" s="10" t="s">
        <v>180</v>
      </c>
      <c r="C170" s="11">
        <v>2012</v>
      </c>
      <c r="D170" s="12">
        <v>15245</v>
      </c>
      <c r="E170" s="12">
        <v>14419</v>
      </c>
      <c r="F170" s="12">
        <v>826</v>
      </c>
      <c r="G170" s="13">
        <v>2.27</v>
      </c>
      <c r="H170" s="12">
        <v>7789</v>
      </c>
      <c r="I170" s="12">
        <v>6348</v>
      </c>
      <c r="J170" s="12">
        <v>1441</v>
      </c>
      <c r="K170" s="10">
        <v>18.5</v>
      </c>
      <c r="L170" s="13">
        <v>1.851200411</v>
      </c>
    </row>
    <row r="171" spans="1:12" x14ac:dyDescent="0.15">
      <c r="A171" s="1">
        <v>73</v>
      </c>
      <c r="B171" s="10" t="s">
        <v>181</v>
      </c>
      <c r="C171" s="11">
        <v>2012</v>
      </c>
      <c r="D171" s="12">
        <v>5503</v>
      </c>
      <c r="E171" s="12">
        <v>4481</v>
      </c>
      <c r="F171" s="12">
        <v>1022</v>
      </c>
      <c r="G171" s="13">
        <v>2.2999999999999998</v>
      </c>
      <c r="H171" s="12">
        <v>2246</v>
      </c>
      <c r="I171" s="12">
        <v>1951</v>
      </c>
      <c r="J171" s="12">
        <v>295</v>
      </c>
      <c r="K171" s="10">
        <v>13.15</v>
      </c>
      <c r="L171" s="13">
        <v>1.9951024040000001</v>
      </c>
    </row>
    <row r="172" spans="1:12" x14ac:dyDescent="0.15">
      <c r="A172" s="1">
        <v>75</v>
      </c>
      <c r="B172" s="10" t="s">
        <v>182</v>
      </c>
      <c r="C172" s="11">
        <v>2012</v>
      </c>
      <c r="D172" s="12">
        <v>22131</v>
      </c>
      <c r="E172" s="12">
        <v>18738</v>
      </c>
      <c r="F172" s="12">
        <v>3393</v>
      </c>
      <c r="G172" s="13">
        <v>2.33</v>
      </c>
      <c r="H172" s="12">
        <v>8516</v>
      </c>
      <c r="I172" s="12">
        <v>8032</v>
      </c>
      <c r="J172" s="12">
        <v>484</v>
      </c>
      <c r="K172" s="10">
        <v>5.68</v>
      </c>
      <c r="L172" s="13">
        <v>2.2003287930000002</v>
      </c>
    </row>
    <row r="173" spans="1:12" x14ac:dyDescent="0.15">
      <c r="A173" s="1">
        <v>77</v>
      </c>
      <c r="B173" s="10" t="s">
        <v>183</v>
      </c>
      <c r="C173" s="11">
        <v>2012</v>
      </c>
      <c r="D173" s="12">
        <v>147939</v>
      </c>
      <c r="E173" s="12">
        <v>143494</v>
      </c>
      <c r="F173" s="12">
        <v>4445</v>
      </c>
      <c r="G173" s="13">
        <v>2.4500000000000002</v>
      </c>
      <c r="H173" s="12">
        <v>63472</v>
      </c>
      <c r="I173" s="12">
        <v>58549</v>
      </c>
      <c r="J173" s="12">
        <v>4923</v>
      </c>
      <c r="K173" s="10">
        <v>7.76</v>
      </c>
      <c r="L173" s="13">
        <v>2.2607448950000002</v>
      </c>
    </row>
    <row r="174" spans="1:12" x14ac:dyDescent="0.15">
      <c r="A174" s="1">
        <v>79</v>
      </c>
      <c r="B174" s="10" t="s">
        <v>184</v>
      </c>
      <c r="C174" s="11">
        <v>2012</v>
      </c>
      <c r="D174" s="12">
        <v>723</v>
      </c>
      <c r="E174" s="12">
        <v>723</v>
      </c>
      <c r="F174" s="12">
        <v>0</v>
      </c>
      <c r="G174" s="13">
        <v>2.0099999999999998</v>
      </c>
      <c r="H174" s="12">
        <v>1111</v>
      </c>
      <c r="I174" s="12">
        <v>359</v>
      </c>
      <c r="J174" s="12">
        <v>752</v>
      </c>
      <c r="K174" s="10">
        <v>67.69</v>
      </c>
      <c r="L174" s="13">
        <v>0.65076507699999997</v>
      </c>
    </row>
    <row r="175" spans="1:12" x14ac:dyDescent="0.15">
      <c r="A175" s="1">
        <v>81</v>
      </c>
      <c r="B175" s="10" t="s">
        <v>185</v>
      </c>
      <c r="C175" s="11">
        <v>2012</v>
      </c>
      <c r="D175" s="12">
        <v>13216</v>
      </c>
      <c r="E175" s="12">
        <v>13111</v>
      </c>
      <c r="F175" s="12">
        <v>105</v>
      </c>
      <c r="G175" s="13">
        <v>2.5</v>
      </c>
      <c r="H175" s="12">
        <v>5979</v>
      </c>
      <c r="I175" s="12">
        <v>5252</v>
      </c>
      <c r="J175" s="12">
        <v>727</v>
      </c>
      <c r="K175" s="10">
        <v>12.16</v>
      </c>
      <c r="L175" s="13">
        <v>2.1928416120000001</v>
      </c>
    </row>
    <row r="176" spans="1:12" x14ac:dyDescent="0.15">
      <c r="A176" s="1">
        <v>83</v>
      </c>
      <c r="B176" s="10" t="s">
        <v>186</v>
      </c>
      <c r="C176" s="11">
        <v>2012</v>
      </c>
      <c r="D176" s="12">
        <v>25501</v>
      </c>
      <c r="E176" s="12">
        <v>25254</v>
      </c>
      <c r="F176" s="12">
        <v>247</v>
      </c>
      <c r="G176" s="13">
        <v>2.39</v>
      </c>
      <c r="H176" s="12">
        <v>11951</v>
      </c>
      <c r="I176" s="12">
        <v>10553</v>
      </c>
      <c r="J176" s="12">
        <v>1398</v>
      </c>
      <c r="K176" s="10">
        <v>11.7</v>
      </c>
      <c r="L176" s="13">
        <v>2.1131286079999998</v>
      </c>
    </row>
    <row r="177" spans="1:12" x14ac:dyDescent="0.15">
      <c r="A177" s="1">
        <v>85</v>
      </c>
      <c r="B177" s="10" t="s">
        <v>187</v>
      </c>
      <c r="C177" s="11">
        <v>2012</v>
      </c>
      <c r="D177" s="12">
        <v>41303</v>
      </c>
      <c r="E177" s="12">
        <v>40737</v>
      </c>
      <c r="F177" s="12">
        <v>566</v>
      </c>
      <c r="G177" s="13">
        <v>2.46</v>
      </c>
      <c r="H177" s="12">
        <v>17412</v>
      </c>
      <c r="I177" s="12">
        <v>16578</v>
      </c>
      <c r="J177" s="12">
        <v>834</v>
      </c>
      <c r="K177" s="10">
        <v>4.79</v>
      </c>
      <c r="L177" s="13">
        <v>2.3395933840000001</v>
      </c>
    </row>
    <row r="178" spans="1:12" x14ac:dyDescent="0.15">
      <c r="A178" s="1">
        <v>87</v>
      </c>
      <c r="B178" s="10" t="s">
        <v>188</v>
      </c>
      <c r="C178" s="11">
        <v>2012</v>
      </c>
      <c r="D178" s="12">
        <v>28247</v>
      </c>
      <c r="E178" s="12">
        <v>27703</v>
      </c>
      <c r="F178" s="12">
        <v>544</v>
      </c>
      <c r="G178" s="13">
        <v>2.68</v>
      </c>
      <c r="H178" s="12">
        <v>10997</v>
      </c>
      <c r="I178" s="12">
        <v>10321</v>
      </c>
      <c r="J178" s="12">
        <v>676</v>
      </c>
      <c r="K178" s="10">
        <v>6.15</v>
      </c>
      <c r="L178" s="13">
        <v>2.5191415840000002</v>
      </c>
    </row>
    <row r="179" spans="1:12" x14ac:dyDescent="0.15">
      <c r="A179" s="1">
        <v>89</v>
      </c>
      <c r="B179" s="10" t="s">
        <v>189</v>
      </c>
      <c r="C179" s="11">
        <v>2012</v>
      </c>
      <c r="D179" s="12">
        <v>18815</v>
      </c>
      <c r="E179" s="12">
        <v>18385</v>
      </c>
      <c r="F179" s="12">
        <v>430</v>
      </c>
      <c r="G179" s="13">
        <v>2.38</v>
      </c>
      <c r="H179" s="12">
        <v>8693</v>
      </c>
      <c r="I179" s="12">
        <v>7723</v>
      </c>
      <c r="J179" s="12">
        <v>970</v>
      </c>
      <c r="K179" s="10">
        <v>11.15</v>
      </c>
      <c r="L179" s="13">
        <v>2.1149200509999999</v>
      </c>
    </row>
    <row r="180" spans="1:12" x14ac:dyDescent="0.15">
      <c r="A180" s="1">
        <v>91</v>
      </c>
      <c r="B180" s="10" t="s">
        <v>190</v>
      </c>
      <c r="C180" s="11">
        <v>2012</v>
      </c>
      <c r="D180" s="12">
        <v>4478</v>
      </c>
      <c r="E180" s="12">
        <v>4478</v>
      </c>
      <c r="F180" s="12">
        <v>0</v>
      </c>
      <c r="G180" s="13">
        <v>2.1800000000000002</v>
      </c>
      <c r="H180" s="12">
        <v>3104</v>
      </c>
      <c r="I180" s="12">
        <v>2054</v>
      </c>
      <c r="J180" s="12">
        <v>1050</v>
      </c>
      <c r="K180" s="10">
        <v>33.83</v>
      </c>
      <c r="L180" s="13">
        <v>1.4426546389999999</v>
      </c>
    </row>
    <row r="181" spans="1:12" x14ac:dyDescent="0.15">
      <c r="A181" s="1">
        <v>93</v>
      </c>
      <c r="B181" s="10" t="s">
        <v>191</v>
      </c>
      <c r="C181" s="11">
        <v>2012</v>
      </c>
      <c r="D181" s="12">
        <v>15739</v>
      </c>
      <c r="E181" s="12">
        <v>15660</v>
      </c>
      <c r="F181" s="12">
        <v>79</v>
      </c>
      <c r="G181" s="13">
        <v>2.2400000000000002</v>
      </c>
      <c r="H181" s="12">
        <v>13806</v>
      </c>
      <c r="I181" s="12">
        <v>6987</v>
      </c>
      <c r="J181" s="12">
        <v>6819</v>
      </c>
      <c r="K181" s="10">
        <v>49.39</v>
      </c>
      <c r="L181" s="13">
        <v>1.134289439</v>
      </c>
    </row>
    <row r="182" spans="1:12" x14ac:dyDescent="0.15">
      <c r="A182" s="1">
        <v>95</v>
      </c>
      <c r="B182" s="10" t="s">
        <v>192</v>
      </c>
      <c r="C182" s="11">
        <v>2012</v>
      </c>
      <c r="D182" s="12">
        <v>4482</v>
      </c>
      <c r="E182" s="12">
        <v>4419</v>
      </c>
      <c r="F182" s="12">
        <v>62</v>
      </c>
      <c r="G182" s="13">
        <v>2.42</v>
      </c>
      <c r="H182" s="12">
        <v>1950</v>
      </c>
      <c r="I182" s="12">
        <v>1828</v>
      </c>
      <c r="J182" s="12">
        <v>122</v>
      </c>
      <c r="K182" s="10">
        <v>6.24</v>
      </c>
      <c r="L182" s="13">
        <v>2.2661538459999999</v>
      </c>
    </row>
    <row r="183" spans="1:12" x14ac:dyDescent="0.15">
      <c r="A183" s="1">
        <v>97</v>
      </c>
      <c r="B183" s="10" t="s">
        <v>193</v>
      </c>
      <c r="C183" s="11">
        <v>2012</v>
      </c>
      <c r="D183" s="12">
        <v>17201</v>
      </c>
      <c r="E183" s="12">
        <v>17129</v>
      </c>
      <c r="F183" s="12">
        <v>72</v>
      </c>
      <c r="G183" s="13">
        <v>2.11</v>
      </c>
      <c r="H183" s="12">
        <v>12636</v>
      </c>
      <c r="I183" s="12">
        <v>8132</v>
      </c>
      <c r="J183" s="12">
        <v>4504</v>
      </c>
      <c r="K183" s="10">
        <v>35.64</v>
      </c>
      <c r="L183" s="13">
        <v>1.355571383</v>
      </c>
    </row>
    <row r="184" spans="1:12" x14ac:dyDescent="0.15">
      <c r="A184" s="1">
        <v>99</v>
      </c>
      <c r="B184" s="10" t="s">
        <v>194</v>
      </c>
      <c r="C184" s="11">
        <v>2012</v>
      </c>
      <c r="D184" s="12">
        <v>12398</v>
      </c>
      <c r="E184" s="12">
        <v>12072</v>
      </c>
      <c r="F184" s="12">
        <v>326</v>
      </c>
      <c r="G184" s="13">
        <v>2.4900000000000002</v>
      </c>
      <c r="H184" s="12">
        <v>5428</v>
      </c>
      <c r="I184" s="12">
        <v>4842</v>
      </c>
      <c r="J184" s="12">
        <v>586</v>
      </c>
      <c r="K184" s="10">
        <v>10.79</v>
      </c>
      <c r="L184" s="13">
        <v>2.224023581</v>
      </c>
    </row>
    <row r="185" spans="1:12" x14ac:dyDescent="0.15">
      <c r="A185" s="1">
        <v>101</v>
      </c>
      <c r="B185" s="10" t="s">
        <v>195</v>
      </c>
      <c r="C185" s="11">
        <v>2012</v>
      </c>
      <c r="D185" s="12">
        <v>160327</v>
      </c>
      <c r="E185" s="12">
        <v>156264</v>
      </c>
      <c r="F185" s="12">
        <v>4063</v>
      </c>
      <c r="G185" s="13">
        <v>2.46</v>
      </c>
      <c r="H185" s="12">
        <v>69927</v>
      </c>
      <c r="I185" s="12">
        <v>63612</v>
      </c>
      <c r="J185" s="12">
        <v>6315</v>
      </c>
      <c r="K185" s="10">
        <v>9.0299999999999994</v>
      </c>
      <c r="L185" s="13">
        <v>2.234673302</v>
      </c>
    </row>
    <row r="186" spans="1:12" x14ac:dyDescent="0.15">
      <c r="A186" s="1">
        <v>103</v>
      </c>
      <c r="B186" s="10" t="s">
        <v>196</v>
      </c>
      <c r="C186" s="11">
        <v>2012</v>
      </c>
      <c r="D186" s="12">
        <v>6793</v>
      </c>
      <c r="E186" s="12">
        <v>6359</v>
      </c>
      <c r="F186" s="12">
        <v>434</v>
      </c>
      <c r="G186" s="13">
        <v>2.4300000000000002</v>
      </c>
      <c r="H186" s="12">
        <v>3213</v>
      </c>
      <c r="I186" s="12">
        <v>2616</v>
      </c>
      <c r="J186" s="12">
        <v>597</v>
      </c>
      <c r="K186" s="10">
        <v>18.579999999999998</v>
      </c>
      <c r="L186" s="13">
        <v>1.9791472139999999</v>
      </c>
    </row>
    <row r="187" spans="1:12" x14ac:dyDescent="0.15">
      <c r="A187" s="1">
        <v>105</v>
      </c>
      <c r="B187" s="10" t="s">
        <v>197</v>
      </c>
      <c r="C187" s="11">
        <v>2012</v>
      </c>
      <c r="D187" s="12">
        <v>11912</v>
      </c>
      <c r="E187" s="12">
        <v>11727</v>
      </c>
      <c r="F187" s="12">
        <v>185</v>
      </c>
      <c r="G187" s="13">
        <v>2.4500000000000002</v>
      </c>
      <c r="H187" s="12">
        <v>6327</v>
      </c>
      <c r="I187" s="12">
        <v>4788</v>
      </c>
      <c r="J187" s="12">
        <v>1539</v>
      </c>
      <c r="K187" s="10">
        <v>24.33</v>
      </c>
      <c r="L187" s="13">
        <v>1.853485064</v>
      </c>
    </row>
    <row r="188" spans="1:12" x14ac:dyDescent="0.15">
      <c r="A188" s="1">
        <v>107</v>
      </c>
      <c r="B188" s="10" t="s">
        <v>198</v>
      </c>
      <c r="C188" s="11">
        <v>2012</v>
      </c>
      <c r="D188" s="12">
        <v>23525</v>
      </c>
      <c r="E188" s="12">
        <v>23186</v>
      </c>
      <c r="F188" s="12">
        <v>338</v>
      </c>
      <c r="G188" s="13">
        <v>2.35</v>
      </c>
      <c r="H188" s="12">
        <v>15638</v>
      </c>
      <c r="I188" s="12">
        <v>9887</v>
      </c>
      <c r="J188" s="12">
        <v>5751</v>
      </c>
      <c r="K188" s="10">
        <v>36.78</v>
      </c>
      <c r="L188" s="13">
        <v>1.4826704180000001</v>
      </c>
    </row>
    <row r="189" spans="1:12" x14ac:dyDescent="0.15">
      <c r="A189" s="1">
        <v>109</v>
      </c>
      <c r="B189" s="10" t="s">
        <v>199</v>
      </c>
      <c r="C189" s="11">
        <v>2012</v>
      </c>
      <c r="D189" s="12">
        <v>6158</v>
      </c>
      <c r="E189" s="12">
        <v>6137</v>
      </c>
      <c r="F189" s="12">
        <v>21</v>
      </c>
      <c r="G189" s="13">
        <v>2.29</v>
      </c>
      <c r="H189" s="12">
        <v>3290</v>
      </c>
      <c r="I189" s="12">
        <v>2675</v>
      </c>
      <c r="J189" s="12">
        <v>615</v>
      </c>
      <c r="K189" s="10">
        <v>18.71</v>
      </c>
      <c r="L189" s="13">
        <v>1.8653495440000001</v>
      </c>
    </row>
    <row r="190" spans="1:12" x14ac:dyDescent="0.15">
      <c r="A190" s="1">
        <v>111</v>
      </c>
      <c r="B190" s="10" t="s">
        <v>200</v>
      </c>
      <c r="C190" s="11">
        <v>2012</v>
      </c>
      <c r="D190" s="12">
        <v>703</v>
      </c>
      <c r="E190" s="12">
        <v>703</v>
      </c>
      <c r="F190" s="12">
        <v>0</v>
      </c>
      <c r="G190" s="13">
        <v>2.0099999999999998</v>
      </c>
      <c r="H190" s="12">
        <v>741</v>
      </c>
      <c r="I190" s="12">
        <v>350</v>
      </c>
      <c r="J190" s="12">
        <v>391</v>
      </c>
      <c r="K190" s="10">
        <v>52.77</v>
      </c>
      <c r="L190" s="13">
        <v>0.94871794899999995</v>
      </c>
    </row>
    <row r="191" spans="1:12" x14ac:dyDescent="0.15">
      <c r="A191" s="1">
        <v>113</v>
      </c>
      <c r="B191" s="10" t="s">
        <v>201</v>
      </c>
      <c r="C191" s="11">
        <v>2012</v>
      </c>
      <c r="D191" s="12">
        <v>7576</v>
      </c>
      <c r="E191" s="12">
        <v>7450</v>
      </c>
      <c r="F191" s="12">
        <v>126</v>
      </c>
      <c r="G191" s="13">
        <v>2.15</v>
      </c>
      <c r="H191" s="12">
        <v>6197</v>
      </c>
      <c r="I191" s="12">
        <v>3462</v>
      </c>
      <c r="J191" s="12">
        <v>2735</v>
      </c>
      <c r="K191" s="10">
        <v>44.13</v>
      </c>
      <c r="L191" s="13">
        <v>1.2021946100000001</v>
      </c>
    </row>
    <row r="192" spans="1:12" x14ac:dyDescent="0.15">
      <c r="A192" s="1">
        <v>115</v>
      </c>
      <c r="B192" s="10" t="s">
        <v>202</v>
      </c>
      <c r="C192" s="11">
        <v>2012</v>
      </c>
      <c r="D192" s="12">
        <v>2375</v>
      </c>
      <c r="E192" s="12">
        <v>2338</v>
      </c>
      <c r="F192" s="12">
        <v>37</v>
      </c>
      <c r="G192" s="13">
        <v>2.15</v>
      </c>
      <c r="H192" s="12">
        <v>1325</v>
      </c>
      <c r="I192" s="12">
        <v>1086</v>
      </c>
      <c r="J192" s="12">
        <v>239</v>
      </c>
      <c r="K192" s="10">
        <v>18.04</v>
      </c>
      <c r="L192" s="13">
        <v>1.764528302</v>
      </c>
    </row>
    <row r="193" spans="1:12" x14ac:dyDescent="0.15">
      <c r="A193" s="1">
        <v>117</v>
      </c>
      <c r="B193" s="10" t="s">
        <v>203</v>
      </c>
      <c r="C193" s="11">
        <v>2012</v>
      </c>
      <c r="D193" s="12">
        <v>28385</v>
      </c>
      <c r="E193" s="12">
        <v>28055</v>
      </c>
      <c r="F193" s="12">
        <v>330</v>
      </c>
      <c r="G193" s="13">
        <v>2.36</v>
      </c>
      <c r="H193" s="12">
        <v>29866</v>
      </c>
      <c r="I193" s="12">
        <v>11895</v>
      </c>
      <c r="J193" s="12">
        <v>17971</v>
      </c>
      <c r="K193" s="10">
        <v>60.17</v>
      </c>
      <c r="L193" s="13">
        <v>0.93936248600000005</v>
      </c>
    </row>
    <row r="194" spans="1:12" x14ac:dyDescent="0.15">
      <c r="A194" s="1">
        <v>119</v>
      </c>
      <c r="B194" s="10" t="s">
        <v>204</v>
      </c>
      <c r="C194" s="11">
        <v>2012</v>
      </c>
      <c r="D194" s="12">
        <v>23270</v>
      </c>
      <c r="E194" s="12">
        <v>23128</v>
      </c>
      <c r="F194" s="12">
        <v>142</v>
      </c>
      <c r="G194" s="13">
        <v>2.36</v>
      </c>
      <c r="H194" s="12">
        <v>12699</v>
      </c>
      <c r="I194" s="12">
        <v>9815</v>
      </c>
      <c r="J194" s="12">
        <v>2884</v>
      </c>
      <c r="K194" s="10">
        <v>22.71</v>
      </c>
      <c r="L194" s="13">
        <v>1.821245767</v>
      </c>
    </row>
    <row r="195" spans="1:12" x14ac:dyDescent="0.15">
      <c r="A195" s="1">
        <v>121</v>
      </c>
      <c r="B195" s="10" t="s">
        <v>205</v>
      </c>
      <c r="C195" s="11">
        <v>2012</v>
      </c>
      <c r="D195" s="12">
        <v>4560</v>
      </c>
      <c r="E195" s="12">
        <v>4506</v>
      </c>
      <c r="F195" s="12">
        <v>54</v>
      </c>
      <c r="G195" s="13">
        <v>2.35</v>
      </c>
      <c r="H195" s="12">
        <v>2195</v>
      </c>
      <c r="I195" s="12">
        <v>1916</v>
      </c>
      <c r="J195" s="12">
        <v>279</v>
      </c>
      <c r="K195" s="10">
        <v>12.71</v>
      </c>
      <c r="L195" s="13">
        <v>2.0528473800000002</v>
      </c>
    </row>
    <row r="196" spans="1:12" x14ac:dyDescent="0.15">
      <c r="A196" s="1">
        <v>123</v>
      </c>
      <c r="B196" s="10" t="s">
        <v>206</v>
      </c>
      <c r="C196" s="11">
        <v>2012</v>
      </c>
      <c r="D196" s="12">
        <v>263850</v>
      </c>
      <c r="E196" s="12">
        <v>257957</v>
      </c>
      <c r="F196" s="12">
        <v>5893</v>
      </c>
      <c r="G196" s="13">
        <v>2.78</v>
      </c>
      <c r="H196" s="12">
        <v>98257</v>
      </c>
      <c r="I196" s="12">
        <v>92799</v>
      </c>
      <c r="J196" s="12">
        <v>5458</v>
      </c>
      <c r="K196" s="10">
        <v>5.55</v>
      </c>
      <c r="L196" s="13">
        <v>2.6253294930000002</v>
      </c>
    </row>
    <row r="197" spans="1:12" x14ac:dyDescent="0.15">
      <c r="A197" s="1">
        <v>125</v>
      </c>
      <c r="B197" s="10" t="s">
        <v>207</v>
      </c>
      <c r="C197" s="11">
        <v>2012</v>
      </c>
      <c r="D197" s="12">
        <v>10078</v>
      </c>
      <c r="E197" s="12">
        <v>9830</v>
      </c>
      <c r="F197" s="12">
        <v>248</v>
      </c>
      <c r="G197" s="13">
        <v>2.5</v>
      </c>
      <c r="H197" s="12">
        <v>4246</v>
      </c>
      <c r="I197" s="12">
        <v>3929</v>
      </c>
      <c r="J197" s="12">
        <v>317</v>
      </c>
      <c r="K197" s="10">
        <v>7.47</v>
      </c>
      <c r="L197" s="13">
        <v>2.3151201129999999</v>
      </c>
    </row>
    <row r="198" spans="1:12" x14ac:dyDescent="0.15">
      <c r="A198" s="1">
        <v>0</v>
      </c>
      <c r="B198" s="10" t="s">
        <v>143</v>
      </c>
      <c r="C198" s="11">
        <v>2013</v>
      </c>
      <c r="D198" s="12">
        <v>5270883</v>
      </c>
      <c r="E198" s="12">
        <v>5149736</v>
      </c>
      <c r="F198" s="12">
        <v>121147</v>
      </c>
      <c r="G198" s="13">
        <v>2.4900000000000002</v>
      </c>
      <c r="H198" s="12">
        <v>2254094</v>
      </c>
      <c r="I198" s="12">
        <v>2065107</v>
      </c>
      <c r="J198" s="12">
        <v>188987</v>
      </c>
      <c r="K198" s="10">
        <v>8.3800000000000008</v>
      </c>
      <c r="L198" s="13">
        <v>2.2846145720000002</v>
      </c>
    </row>
    <row r="199" spans="1:12" x14ac:dyDescent="0.15">
      <c r="A199" s="1">
        <v>1</v>
      </c>
      <c r="B199" s="10" t="s">
        <v>144</v>
      </c>
      <c r="C199" s="11">
        <v>2013</v>
      </c>
      <c r="D199" s="12">
        <v>469878</v>
      </c>
      <c r="E199" s="12">
        <v>465792</v>
      </c>
      <c r="F199" s="12">
        <v>4086</v>
      </c>
      <c r="G199" s="13">
        <v>2.86</v>
      </c>
      <c r="H199" s="12">
        <v>167459</v>
      </c>
      <c r="I199" s="12">
        <v>162991</v>
      </c>
      <c r="J199" s="12">
        <v>4468</v>
      </c>
      <c r="K199" s="10">
        <v>2.67</v>
      </c>
      <c r="L199" s="13">
        <v>2.7815286129999999</v>
      </c>
    </row>
    <row r="200" spans="1:12" x14ac:dyDescent="0.15">
      <c r="A200" s="1">
        <v>3</v>
      </c>
      <c r="B200" s="10" t="s">
        <v>145</v>
      </c>
      <c r="C200" s="11">
        <v>2013</v>
      </c>
      <c r="D200" s="12">
        <v>15709</v>
      </c>
      <c r="E200" s="12">
        <v>14969</v>
      </c>
      <c r="F200" s="12">
        <v>740</v>
      </c>
      <c r="G200" s="13">
        <v>2.44</v>
      </c>
      <c r="H200" s="12">
        <v>6700</v>
      </c>
      <c r="I200" s="12">
        <v>6126</v>
      </c>
      <c r="J200" s="12">
        <v>574</v>
      </c>
      <c r="K200" s="10">
        <v>8.57</v>
      </c>
      <c r="L200" s="13">
        <v>2.2341791039999999</v>
      </c>
    </row>
    <row r="201" spans="1:12" x14ac:dyDescent="0.15">
      <c r="A201" s="1">
        <v>5</v>
      </c>
      <c r="B201" s="10" t="s">
        <v>146</v>
      </c>
      <c r="C201" s="11">
        <v>2013</v>
      </c>
      <c r="D201" s="12">
        <v>607861</v>
      </c>
      <c r="E201" s="12">
        <v>602977</v>
      </c>
      <c r="F201" s="12">
        <v>4884</v>
      </c>
      <c r="G201" s="13">
        <v>2.5499999999999998</v>
      </c>
      <c r="H201" s="12">
        <v>242604</v>
      </c>
      <c r="I201" s="12">
        <v>236352</v>
      </c>
      <c r="J201" s="12">
        <v>6252</v>
      </c>
      <c r="K201" s="10">
        <v>2.58</v>
      </c>
      <c r="L201" s="13">
        <v>2.4854371730000002</v>
      </c>
    </row>
    <row r="202" spans="1:12" x14ac:dyDescent="0.15">
      <c r="A202" s="1">
        <v>7</v>
      </c>
      <c r="B202" s="10" t="s">
        <v>147</v>
      </c>
      <c r="C202" s="11">
        <v>2013</v>
      </c>
      <c r="D202" s="12">
        <v>11995</v>
      </c>
      <c r="E202" s="12">
        <v>11878</v>
      </c>
      <c r="F202" s="12">
        <v>117</v>
      </c>
      <c r="G202" s="13">
        <v>2.2799999999999998</v>
      </c>
      <c r="H202" s="12">
        <v>8840</v>
      </c>
      <c r="I202" s="12">
        <v>5219</v>
      </c>
      <c r="J202" s="12">
        <v>3621</v>
      </c>
      <c r="K202" s="10">
        <v>40.96</v>
      </c>
      <c r="L202" s="13">
        <v>1.3436651580000001</v>
      </c>
    </row>
    <row r="203" spans="1:12" x14ac:dyDescent="0.15">
      <c r="A203" s="1">
        <v>9</v>
      </c>
      <c r="B203" s="10" t="s">
        <v>148</v>
      </c>
      <c r="C203" s="11">
        <v>2013</v>
      </c>
      <c r="D203" s="12">
        <v>3637</v>
      </c>
      <c r="E203" s="12">
        <v>3568</v>
      </c>
      <c r="F203" s="12">
        <v>69</v>
      </c>
      <c r="G203" s="13">
        <v>2.1800000000000002</v>
      </c>
      <c r="H203" s="12">
        <v>1968</v>
      </c>
      <c r="I203" s="12">
        <v>1634</v>
      </c>
      <c r="J203" s="12">
        <v>334</v>
      </c>
      <c r="K203" s="10">
        <v>16.97</v>
      </c>
      <c r="L203" s="13">
        <v>1.8130081300000001</v>
      </c>
    </row>
    <row r="204" spans="1:12" x14ac:dyDescent="0.15">
      <c r="A204" s="1">
        <v>11</v>
      </c>
      <c r="B204" s="10" t="s">
        <v>149</v>
      </c>
      <c r="C204" s="11">
        <v>2013</v>
      </c>
      <c r="D204" s="12">
        <v>5800</v>
      </c>
      <c r="E204" s="12">
        <v>4085</v>
      </c>
      <c r="F204" s="12">
        <v>1715</v>
      </c>
      <c r="G204" s="13">
        <v>2.3199999999999998</v>
      </c>
      <c r="H204" s="12">
        <v>2122</v>
      </c>
      <c r="I204" s="12">
        <v>1759</v>
      </c>
      <c r="J204" s="12">
        <v>363</v>
      </c>
      <c r="K204" s="10">
        <v>17.12</v>
      </c>
      <c r="L204" s="13">
        <v>1.9250706879999999</v>
      </c>
    </row>
    <row r="205" spans="1:12" x14ac:dyDescent="0.15">
      <c r="A205" s="1">
        <v>13</v>
      </c>
      <c r="B205" s="10" t="s">
        <v>150</v>
      </c>
      <c r="C205" s="11">
        <v>2013</v>
      </c>
      <c r="D205" s="12">
        <v>310896</v>
      </c>
      <c r="E205" s="12">
        <v>299300</v>
      </c>
      <c r="F205" s="12">
        <v>11596</v>
      </c>
      <c r="G205" s="13">
        <v>2.39</v>
      </c>
      <c r="H205" s="12">
        <v>129616</v>
      </c>
      <c r="I205" s="12">
        <v>125254</v>
      </c>
      <c r="J205" s="12">
        <v>4362</v>
      </c>
      <c r="K205" s="10">
        <v>3.37</v>
      </c>
      <c r="L205" s="13">
        <v>2.3091285030000002</v>
      </c>
    </row>
    <row r="206" spans="1:12" x14ac:dyDescent="0.15">
      <c r="A206" s="1">
        <v>14</v>
      </c>
      <c r="B206" s="10" t="s">
        <v>151</v>
      </c>
      <c r="C206" s="11">
        <v>2013</v>
      </c>
      <c r="D206" s="12">
        <v>60669</v>
      </c>
      <c r="E206" s="12">
        <v>60404</v>
      </c>
      <c r="F206" s="12">
        <v>265</v>
      </c>
      <c r="G206" s="13">
        <v>2.56</v>
      </c>
      <c r="H206" s="12">
        <v>25541</v>
      </c>
      <c r="I206" s="12">
        <v>23579</v>
      </c>
      <c r="J206" s="12">
        <v>1962</v>
      </c>
      <c r="K206" s="10">
        <v>7.68</v>
      </c>
      <c r="L206" s="13">
        <v>2.3649817940000002</v>
      </c>
    </row>
    <row r="207" spans="1:12" x14ac:dyDescent="0.15">
      <c r="A207" s="1">
        <v>15</v>
      </c>
      <c r="B207" s="10" t="s">
        <v>152</v>
      </c>
      <c r="C207" s="11">
        <v>2013</v>
      </c>
      <c r="D207" s="12">
        <v>18036</v>
      </c>
      <c r="E207" s="12">
        <v>16720</v>
      </c>
      <c r="F207" s="12">
        <v>1316</v>
      </c>
      <c r="G207" s="13">
        <v>2.16</v>
      </c>
      <c r="H207" s="12">
        <v>10085</v>
      </c>
      <c r="I207" s="12">
        <v>7756</v>
      </c>
      <c r="J207" s="12">
        <v>2329</v>
      </c>
      <c r="K207" s="10">
        <v>23.09</v>
      </c>
      <c r="L207" s="13">
        <v>1.6579077840000001</v>
      </c>
    </row>
    <row r="208" spans="1:12" x14ac:dyDescent="0.15">
      <c r="A208" s="1">
        <v>17</v>
      </c>
      <c r="B208" s="10" t="s">
        <v>153</v>
      </c>
      <c r="C208" s="11">
        <v>2013</v>
      </c>
      <c r="D208" s="12">
        <v>1818</v>
      </c>
      <c r="E208" s="12">
        <v>1776</v>
      </c>
      <c r="F208" s="12">
        <v>42</v>
      </c>
      <c r="G208" s="13">
        <v>2.29</v>
      </c>
      <c r="H208" s="12">
        <v>878</v>
      </c>
      <c r="I208" s="12">
        <v>776</v>
      </c>
      <c r="J208" s="12">
        <v>102</v>
      </c>
      <c r="K208" s="10">
        <v>11.64</v>
      </c>
      <c r="L208" s="13">
        <v>2.0227790429999999</v>
      </c>
    </row>
    <row r="209" spans="1:12" x14ac:dyDescent="0.15">
      <c r="A209" s="1">
        <v>19</v>
      </c>
      <c r="B209" s="10" t="s">
        <v>154</v>
      </c>
      <c r="C209" s="11">
        <v>2013</v>
      </c>
      <c r="D209" s="12">
        <v>8966</v>
      </c>
      <c r="E209" s="12">
        <v>8876</v>
      </c>
      <c r="F209" s="12">
        <v>90</v>
      </c>
      <c r="G209" s="13">
        <v>2.14</v>
      </c>
      <c r="H209" s="12">
        <v>5496</v>
      </c>
      <c r="I209" s="12">
        <v>4157</v>
      </c>
      <c r="J209" s="12">
        <v>1339</v>
      </c>
      <c r="K209" s="10">
        <v>24.36</v>
      </c>
      <c r="L209" s="13">
        <v>1.614992722</v>
      </c>
    </row>
    <row r="210" spans="1:12" x14ac:dyDescent="0.15">
      <c r="A210" s="1">
        <v>21</v>
      </c>
      <c r="B210" s="10" t="s">
        <v>155</v>
      </c>
      <c r="C210" s="11">
        <v>2013</v>
      </c>
      <c r="D210" s="12">
        <v>8067</v>
      </c>
      <c r="E210" s="12">
        <v>8023</v>
      </c>
      <c r="F210" s="12">
        <v>44</v>
      </c>
      <c r="G210" s="13">
        <v>2.61</v>
      </c>
      <c r="H210" s="12">
        <v>3856</v>
      </c>
      <c r="I210" s="12">
        <v>3072</v>
      </c>
      <c r="J210" s="12">
        <v>784</v>
      </c>
      <c r="K210" s="10">
        <v>20.34</v>
      </c>
      <c r="L210" s="13">
        <v>2.0806535269999999</v>
      </c>
    </row>
    <row r="211" spans="1:12" x14ac:dyDescent="0.15">
      <c r="A211" s="1">
        <v>23</v>
      </c>
      <c r="B211" s="10" t="s">
        <v>156</v>
      </c>
      <c r="C211" s="11">
        <v>2013</v>
      </c>
      <c r="D211" s="12">
        <v>3516</v>
      </c>
      <c r="E211" s="12">
        <v>3516</v>
      </c>
      <c r="F211" s="12">
        <v>0</v>
      </c>
      <c r="G211" s="13">
        <v>2.25</v>
      </c>
      <c r="H211" s="12">
        <v>2310</v>
      </c>
      <c r="I211" s="12">
        <v>1563</v>
      </c>
      <c r="J211" s="12">
        <v>747</v>
      </c>
      <c r="K211" s="10">
        <v>32.32</v>
      </c>
      <c r="L211" s="13">
        <v>1.522077922</v>
      </c>
    </row>
    <row r="212" spans="1:12" x14ac:dyDescent="0.15">
      <c r="A212" s="1">
        <v>25</v>
      </c>
      <c r="B212" s="10" t="s">
        <v>157</v>
      </c>
      <c r="C212" s="11">
        <v>2013</v>
      </c>
      <c r="D212" s="12">
        <v>5843</v>
      </c>
      <c r="E212" s="12">
        <v>3112</v>
      </c>
      <c r="F212" s="12">
        <v>2730</v>
      </c>
      <c r="G212" s="13">
        <v>2.38</v>
      </c>
      <c r="H212" s="12">
        <v>1485</v>
      </c>
      <c r="I212" s="12">
        <v>1308</v>
      </c>
      <c r="J212" s="12">
        <v>177</v>
      </c>
      <c r="K212" s="10">
        <v>11.91</v>
      </c>
      <c r="L212" s="13">
        <v>2.0956228960000001</v>
      </c>
    </row>
    <row r="213" spans="1:12" x14ac:dyDescent="0.15">
      <c r="A213" s="1">
        <v>27</v>
      </c>
      <c r="B213" s="10" t="s">
        <v>158</v>
      </c>
      <c r="C213" s="11">
        <v>2013</v>
      </c>
      <c r="D213" s="12">
        <v>4405</v>
      </c>
      <c r="E213" s="12">
        <v>4391</v>
      </c>
      <c r="F213" s="12">
        <v>14</v>
      </c>
      <c r="G213" s="13">
        <v>2.13</v>
      </c>
      <c r="H213" s="12">
        <v>3775</v>
      </c>
      <c r="I213" s="12">
        <v>2065</v>
      </c>
      <c r="J213" s="12">
        <v>1710</v>
      </c>
      <c r="K213" s="10">
        <v>45.31</v>
      </c>
      <c r="L213" s="13">
        <v>1.1631788080000001</v>
      </c>
    </row>
    <row r="214" spans="1:12" x14ac:dyDescent="0.15">
      <c r="A214" s="1">
        <v>29</v>
      </c>
      <c r="B214" s="10" t="s">
        <v>159</v>
      </c>
      <c r="C214" s="11">
        <v>2013</v>
      </c>
      <c r="D214" s="12">
        <v>30428</v>
      </c>
      <c r="E214" s="12">
        <v>29835</v>
      </c>
      <c r="F214" s="12">
        <v>593</v>
      </c>
      <c r="G214" s="13">
        <v>2.36</v>
      </c>
      <c r="H214" s="12">
        <v>14616</v>
      </c>
      <c r="I214" s="12">
        <v>12620</v>
      </c>
      <c r="J214" s="12">
        <v>1996</v>
      </c>
      <c r="K214" s="10">
        <v>13.66</v>
      </c>
      <c r="L214" s="13">
        <v>2.0412561579999999</v>
      </c>
    </row>
    <row r="215" spans="1:12" x14ac:dyDescent="0.15">
      <c r="A215" s="1">
        <v>31</v>
      </c>
      <c r="B215" s="10" t="s">
        <v>160</v>
      </c>
      <c r="C215" s="11">
        <v>2013</v>
      </c>
      <c r="D215" s="12">
        <v>645302</v>
      </c>
      <c r="E215" s="12">
        <v>629224</v>
      </c>
      <c r="F215" s="12">
        <v>16078</v>
      </c>
      <c r="G215" s="13">
        <v>2.2200000000000002</v>
      </c>
      <c r="H215" s="12">
        <v>295120</v>
      </c>
      <c r="I215" s="12">
        <v>283994</v>
      </c>
      <c r="J215" s="12">
        <v>11126</v>
      </c>
      <c r="K215" s="10">
        <v>3.77</v>
      </c>
      <c r="L215" s="13">
        <v>2.1320954190000001</v>
      </c>
    </row>
    <row r="216" spans="1:12" x14ac:dyDescent="0.15">
      <c r="A216" s="1">
        <v>33</v>
      </c>
      <c r="B216" s="10" t="s">
        <v>161</v>
      </c>
      <c r="C216" s="11">
        <v>2013</v>
      </c>
      <c r="D216" s="12">
        <v>2082</v>
      </c>
      <c r="E216" s="12">
        <v>2082</v>
      </c>
      <c r="F216" s="12">
        <v>0</v>
      </c>
      <c r="G216" s="13">
        <v>2.27</v>
      </c>
      <c r="H216" s="12">
        <v>1186</v>
      </c>
      <c r="I216" s="12">
        <v>916</v>
      </c>
      <c r="J216" s="12">
        <v>270</v>
      </c>
      <c r="K216" s="10">
        <v>22.78</v>
      </c>
      <c r="L216" s="13">
        <v>1.755480607</v>
      </c>
    </row>
    <row r="217" spans="1:12" x14ac:dyDescent="0.15">
      <c r="A217" s="1">
        <v>35</v>
      </c>
      <c r="B217" s="10" t="s">
        <v>162</v>
      </c>
      <c r="C217" s="11">
        <v>2013</v>
      </c>
      <c r="D217" s="12">
        <v>306327</v>
      </c>
      <c r="E217" s="12">
        <v>305221</v>
      </c>
      <c r="F217" s="12">
        <v>1106</v>
      </c>
      <c r="G217" s="13">
        <v>2.79</v>
      </c>
      <c r="H217" s="12">
        <v>111597</v>
      </c>
      <c r="I217" s="12">
        <v>109511</v>
      </c>
      <c r="J217" s="12">
        <v>2086</v>
      </c>
      <c r="K217" s="10">
        <v>1.87</v>
      </c>
      <c r="L217" s="13">
        <v>2.7350287190000002</v>
      </c>
    </row>
    <row r="218" spans="1:12" x14ac:dyDescent="0.15">
      <c r="A218" s="1">
        <v>37</v>
      </c>
      <c r="B218" s="10" t="s">
        <v>163</v>
      </c>
      <c r="C218" s="11">
        <v>2013</v>
      </c>
      <c r="D218" s="12">
        <v>52262</v>
      </c>
      <c r="E218" s="12">
        <v>52192</v>
      </c>
      <c r="F218" s="12">
        <v>71</v>
      </c>
      <c r="G218" s="13">
        <v>2.7</v>
      </c>
      <c r="H218" s="12">
        <v>31014</v>
      </c>
      <c r="I218" s="12">
        <v>19320</v>
      </c>
      <c r="J218" s="12">
        <v>11694</v>
      </c>
      <c r="K218" s="10">
        <v>37.71</v>
      </c>
      <c r="L218" s="13">
        <v>1.6828529050000001</v>
      </c>
    </row>
    <row r="219" spans="1:12" x14ac:dyDescent="0.15">
      <c r="A219" s="1">
        <v>39</v>
      </c>
      <c r="B219" s="10" t="s">
        <v>164</v>
      </c>
      <c r="C219" s="11">
        <v>2013</v>
      </c>
      <c r="D219" s="12">
        <v>23183</v>
      </c>
      <c r="E219" s="12">
        <v>23111</v>
      </c>
      <c r="F219" s="12">
        <v>72</v>
      </c>
      <c r="G219" s="13">
        <v>2.75</v>
      </c>
      <c r="H219" s="12">
        <v>8978</v>
      </c>
      <c r="I219" s="12">
        <v>8392</v>
      </c>
      <c r="J219" s="12">
        <v>586</v>
      </c>
      <c r="K219" s="10">
        <v>6.53</v>
      </c>
      <c r="L219" s="13">
        <v>2.5741813320000002</v>
      </c>
    </row>
    <row r="220" spans="1:12" x14ac:dyDescent="0.15">
      <c r="A220" s="1">
        <v>41</v>
      </c>
      <c r="B220" s="10" t="s">
        <v>165</v>
      </c>
      <c r="C220" s="11">
        <v>2013</v>
      </c>
      <c r="D220" s="12">
        <v>658303</v>
      </c>
      <c r="E220" s="12">
        <v>637964</v>
      </c>
      <c r="F220" s="12">
        <v>20339</v>
      </c>
      <c r="G220" s="13">
        <v>2.57</v>
      </c>
      <c r="H220" s="12">
        <v>261089</v>
      </c>
      <c r="I220" s="12">
        <v>248215</v>
      </c>
      <c r="J220" s="12">
        <v>12874</v>
      </c>
      <c r="K220" s="10">
        <v>4.93</v>
      </c>
      <c r="L220" s="13">
        <v>2.4434732979999998</v>
      </c>
    </row>
    <row r="221" spans="1:12" x14ac:dyDescent="0.15">
      <c r="A221" s="1">
        <v>43</v>
      </c>
      <c r="B221" s="10" t="s">
        <v>166</v>
      </c>
      <c r="C221" s="11">
        <v>2013</v>
      </c>
      <c r="D221" s="12">
        <v>47183</v>
      </c>
      <c r="E221" s="12">
        <v>38739</v>
      </c>
      <c r="F221" s="12">
        <v>8445</v>
      </c>
      <c r="G221" s="13">
        <v>2.2999999999999998</v>
      </c>
      <c r="H221" s="12">
        <v>19620</v>
      </c>
      <c r="I221" s="12">
        <v>16870</v>
      </c>
      <c r="J221" s="12">
        <v>2750</v>
      </c>
      <c r="K221" s="10">
        <v>14.02</v>
      </c>
      <c r="L221" s="13">
        <v>1.974464832</v>
      </c>
    </row>
    <row r="222" spans="1:12" x14ac:dyDescent="0.15">
      <c r="A222" s="1">
        <v>45</v>
      </c>
      <c r="B222" s="10" t="s">
        <v>167</v>
      </c>
      <c r="C222" s="11">
        <v>2013</v>
      </c>
      <c r="D222" s="12">
        <v>56798</v>
      </c>
      <c r="E222" s="12">
        <v>55839</v>
      </c>
      <c r="F222" s="12">
        <v>959</v>
      </c>
      <c r="G222" s="13">
        <v>2.72</v>
      </c>
      <c r="H222" s="12">
        <v>23042</v>
      </c>
      <c r="I222" s="12">
        <v>20522</v>
      </c>
      <c r="J222" s="12">
        <v>2520</v>
      </c>
      <c r="K222" s="10">
        <v>10.94</v>
      </c>
      <c r="L222" s="13">
        <v>2.4233573470000001</v>
      </c>
    </row>
    <row r="223" spans="1:12" x14ac:dyDescent="0.15">
      <c r="A223" s="1">
        <v>47</v>
      </c>
      <c r="B223" s="10" t="s">
        <v>168</v>
      </c>
      <c r="C223" s="11">
        <v>2013</v>
      </c>
      <c r="D223" s="12">
        <v>5512</v>
      </c>
      <c r="E223" s="12">
        <v>5466</v>
      </c>
      <c r="F223" s="12">
        <v>46</v>
      </c>
      <c r="G223" s="13">
        <v>2.2000000000000002</v>
      </c>
      <c r="H223" s="12">
        <v>3328</v>
      </c>
      <c r="I223" s="12">
        <v>2488</v>
      </c>
      <c r="J223" s="12">
        <v>840</v>
      </c>
      <c r="K223" s="10">
        <v>25.23</v>
      </c>
      <c r="L223" s="13">
        <v>1.642427885</v>
      </c>
    </row>
    <row r="224" spans="1:12" x14ac:dyDescent="0.15">
      <c r="A224" s="1">
        <v>49</v>
      </c>
      <c r="B224" s="10" t="s">
        <v>169</v>
      </c>
      <c r="C224" s="11">
        <v>2013</v>
      </c>
      <c r="D224" s="12">
        <v>14948</v>
      </c>
      <c r="E224" s="12">
        <v>14733</v>
      </c>
      <c r="F224" s="12">
        <v>215</v>
      </c>
      <c r="G224" s="13">
        <v>2.25</v>
      </c>
      <c r="H224" s="12">
        <v>15676</v>
      </c>
      <c r="I224" s="12">
        <v>6556</v>
      </c>
      <c r="J224" s="12">
        <v>9120</v>
      </c>
      <c r="K224" s="10">
        <v>58.18</v>
      </c>
      <c r="L224" s="13">
        <v>0.93984434800000005</v>
      </c>
    </row>
    <row r="225" spans="1:12" x14ac:dyDescent="0.15">
      <c r="A225" s="1">
        <v>51</v>
      </c>
      <c r="B225" s="10" t="s">
        <v>170</v>
      </c>
      <c r="C225" s="11">
        <v>2013</v>
      </c>
      <c r="D225" s="12">
        <v>15425</v>
      </c>
      <c r="E225" s="12">
        <v>14414</v>
      </c>
      <c r="F225" s="12">
        <v>1011</v>
      </c>
      <c r="G225" s="13">
        <v>2.2200000000000002</v>
      </c>
      <c r="H225" s="12">
        <v>11475</v>
      </c>
      <c r="I225" s="12">
        <v>6486</v>
      </c>
      <c r="J225" s="12">
        <v>4989</v>
      </c>
      <c r="K225" s="10">
        <v>43.48</v>
      </c>
      <c r="L225" s="13">
        <v>1.2561220040000001</v>
      </c>
    </row>
    <row r="226" spans="1:12" x14ac:dyDescent="0.15">
      <c r="A226" s="1">
        <v>53</v>
      </c>
      <c r="B226" s="10" t="s">
        <v>171</v>
      </c>
      <c r="C226" s="11">
        <v>2013</v>
      </c>
      <c r="D226" s="12">
        <v>825</v>
      </c>
      <c r="E226" s="12">
        <v>785</v>
      </c>
      <c r="F226" s="12">
        <v>39</v>
      </c>
      <c r="G226" s="13">
        <v>2.15</v>
      </c>
      <c r="H226" s="12">
        <v>1284</v>
      </c>
      <c r="I226" s="12">
        <v>365</v>
      </c>
      <c r="J226" s="12">
        <v>919</v>
      </c>
      <c r="K226" s="10">
        <v>71.58</v>
      </c>
      <c r="L226" s="13">
        <v>0.61137071700000001</v>
      </c>
    </row>
    <row r="227" spans="1:12" x14ac:dyDescent="0.15">
      <c r="A227" s="1">
        <v>55</v>
      </c>
      <c r="B227" s="10" t="s">
        <v>172</v>
      </c>
      <c r="C227" s="11">
        <v>2013</v>
      </c>
      <c r="D227" s="12">
        <v>6697</v>
      </c>
      <c r="E227" s="12">
        <v>6551</v>
      </c>
      <c r="F227" s="12">
        <v>146</v>
      </c>
      <c r="G227" s="13">
        <v>2.09</v>
      </c>
      <c r="H227" s="12">
        <v>4523</v>
      </c>
      <c r="I227" s="12">
        <v>3132</v>
      </c>
      <c r="J227" s="12">
        <v>1391</v>
      </c>
      <c r="K227" s="10">
        <v>30.74</v>
      </c>
      <c r="L227" s="13">
        <v>1.4483749720000001</v>
      </c>
    </row>
    <row r="228" spans="1:12" x14ac:dyDescent="0.15">
      <c r="A228" s="1">
        <v>57</v>
      </c>
      <c r="B228" s="10" t="s">
        <v>173</v>
      </c>
      <c r="C228" s="11">
        <v>2013</v>
      </c>
      <c r="D228" s="12">
        <v>1383</v>
      </c>
      <c r="E228" s="12">
        <v>1381</v>
      </c>
      <c r="F228" s="12">
        <v>2</v>
      </c>
      <c r="G228" s="13">
        <v>2.13</v>
      </c>
      <c r="H228" s="12">
        <v>1151</v>
      </c>
      <c r="I228" s="12">
        <v>648</v>
      </c>
      <c r="J228" s="12">
        <v>503</v>
      </c>
      <c r="K228" s="10">
        <v>43.69</v>
      </c>
      <c r="L228" s="13">
        <v>1.199826238</v>
      </c>
    </row>
    <row r="229" spans="1:12" x14ac:dyDescent="0.15">
      <c r="A229" s="1">
        <v>59</v>
      </c>
      <c r="B229" s="10" t="s">
        <v>174</v>
      </c>
      <c r="C229" s="11">
        <v>2013</v>
      </c>
      <c r="D229" s="12">
        <v>552236</v>
      </c>
      <c r="E229" s="12">
        <v>544284</v>
      </c>
      <c r="F229" s="12">
        <v>7952</v>
      </c>
      <c r="G229" s="13">
        <v>2.42</v>
      </c>
      <c r="H229" s="12">
        <v>233257</v>
      </c>
      <c r="I229" s="12">
        <v>225291</v>
      </c>
      <c r="J229" s="12">
        <v>7966</v>
      </c>
      <c r="K229" s="10">
        <v>3.42</v>
      </c>
      <c r="L229" s="13">
        <v>2.3334090719999998</v>
      </c>
    </row>
    <row r="230" spans="1:12" x14ac:dyDescent="0.15">
      <c r="A230" s="1">
        <v>61</v>
      </c>
      <c r="B230" s="10" t="s">
        <v>175</v>
      </c>
      <c r="C230" s="11">
        <v>2013</v>
      </c>
      <c r="D230" s="12">
        <v>1397</v>
      </c>
      <c r="E230" s="12">
        <v>1377</v>
      </c>
      <c r="F230" s="12">
        <v>20</v>
      </c>
      <c r="G230" s="13">
        <v>2.29</v>
      </c>
      <c r="H230" s="12">
        <v>730</v>
      </c>
      <c r="I230" s="12">
        <v>601</v>
      </c>
      <c r="J230" s="12">
        <v>129</v>
      </c>
      <c r="K230" s="10">
        <v>17.649999999999999</v>
      </c>
      <c r="L230" s="13">
        <v>1.88630137</v>
      </c>
    </row>
    <row r="231" spans="1:12" x14ac:dyDescent="0.15">
      <c r="A231" s="1">
        <v>63</v>
      </c>
      <c r="B231" s="10" t="s">
        <v>176</v>
      </c>
      <c r="C231" s="11">
        <v>2013</v>
      </c>
      <c r="D231" s="12">
        <v>8006</v>
      </c>
      <c r="E231" s="12">
        <v>7225</v>
      </c>
      <c r="F231" s="12">
        <v>780</v>
      </c>
      <c r="G231" s="13">
        <v>2.39</v>
      </c>
      <c r="H231" s="12">
        <v>3379</v>
      </c>
      <c r="I231" s="12">
        <v>3028</v>
      </c>
      <c r="J231" s="12">
        <v>351</v>
      </c>
      <c r="K231" s="10">
        <v>10.37</v>
      </c>
      <c r="L231" s="13">
        <v>2.1382065699999999</v>
      </c>
    </row>
    <row r="232" spans="1:12" x14ac:dyDescent="0.15">
      <c r="A232" s="1">
        <v>65</v>
      </c>
      <c r="B232" s="10" t="s">
        <v>177</v>
      </c>
      <c r="C232" s="11">
        <v>2013</v>
      </c>
      <c r="D232" s="12">
        <v>7071</v>
      </c>
      <c r="E232" s="12">
        <v>6997</v>
      </c>
      <c r="F232" s="12">
        <v>74</v>
      </c>
      <c r="G232" s="13">
        <v>2.42</v>
      </c>
      <c r="H232" s="12">
        <v>4277</v>
      </c>
      <c r="I232" s="12">
        <v>2896</v>
      </c>
      <c r="J232" s="12">
        <v>1381</v>
      </c>
      <c r="K232" s="10">
        <v>32.29</v>
      </c>
      <c r="L232" s="13">
        <v>1.6359597850000001</v>
      </c>
    </row>
    <row r="233" spans="1:12" x14ac:dyDescent="0.15">
      <c r="A233" s="1">
        <v>67</v>
      </c>
      <c r="B233" s="10" t="s">
        <v>178</v>
      </c>
      <c r="C233" s="11">
        <v>2013</v>
      </c>
      <c r="D233" s="12">
        <v>53146</v>
      </c>
      <c r="E233" s="12">
        <v>51067</v>
      </c>
      <c r="F233" s="12">
        <v>2079</v>
      </c>
      <c r="G233" s="13">
        <v>2.33</v>
      </c>
      <c r="H233" s="12">
        <v>26262</v>
      </c>
      <c r="I233" s="12">
        <v>21878</v>
      </c>
      <c r="J233" s="12">
        <v>4384</v>
      </c>
      <c r="K233" s="10">
        <v>16.690000000000001</v>
      </c>
      <c r="L233" s="13">
        <v>1.9445205999999999</v>
      </c>
    </row>
    <row r="234" spans="1:12" x14ac:dyDescent="0.15">
      <c r="A234" s="1">
        <v>69</v>
      </c>
      <c r="B234" s="10" t="s">
        <v>179</v>
      </c>
      <c r="C234" s="11">
        <v>2013</v>
      </c>
      <c r="D234" s="12">
        <v>316337</v>
      </c>
      <c r="E234" s="12">
        <v>307160</v>
      </c>
      <c r="F234" s="12">
        <v>9177</v>
      </c>
      <c r="G234" s="13">
        <v>2.42</v>
      </c>
      <c r="H234" s="12">
        <v>138277</v>
      </c>
      <c r="I234" s="12">
        <v>127128</v>
      </c>
      <c r="J234" s="12">
        <v>11149</v>
      </c>
      <c r="K234" s="10">
        <v>8.06</v>
      </c>
      <c r="L234" s="13">
        <v>2.2213383279999999</v>
      </c>
    </row>
    <row r="235" spans="1:12" x14ac:dyDescent="0.15">
      <c r="A235" s="1">
        <v>71</v>
      </c>
      <c r="B235" s="10" t="s">
        <v>180</v>
      </c>
      <c r="C235" s="11">
        <v>2013</v>
      </c>
      <c r="D235" s="12">
        <v>15172</v>
      </c>
      <c r="E235" s="12">
        <v>14362</v>
      </c>
      <c r="F235" s="12">
        <v>810</v>
      </c>
      <c r="G235" s="13">
        <v>2.2599999999999998</v>
      </c>
      <c r="H235" s="12">
        <v>7915</v>
      </c>
      <c r="I235" s="12">
        <v>6356</v>
      </c>
      <c r="J235" s="12">
        <v>1559</v>
      </c>
      <c r="K235" s="10">
        <v>19.7</v>
      </c>
      <c r="L235" s="13">
        <v>1.814529375</v>
      </c>
    </row>
    <row r="236" spans="1:12" x14ac:dyDescent="0.15">
      <c r="A236" s="1">
        <v>73</v>
      </c>
      <c r="B236" s="10" t="s">
        <v>181</v>
      </c>
      <c r="C236" s="11">
        <v>2013</v>
      </c>
      <c r="D236" s="12">
        <v>5522</v>
      </c>
      <c r="E236" s="12">
        <v>4504</v>
      </c>
      <c r="F236" s="12">
        <v>1018</v>
      </c>
      <c r="G236" s="13">
        <v>2.31</v>
      </c>
      <c r="H236" s="12">
        <v>2257</v>
      </c>
      <c r="I236" s="12">
        <v>1953</v>
      </c>
      <c r="J236" s="12">
        <v>304</v>
      </c>
      <c r="K236" s="10">
        <v>13.49</v>
      </c>
      <c r="L236" s="13">
        <v>1.9955693400000001</v>
      </c>
    </row>
    <row r="237" spans="1:12" x14ac:dyDescent="0.15">
      <c r="A237" s="1">
        <v>75</v>
      </c>
      <c r="B237" s="10" t="s">
        <v>182</v>
      </c>
      <c r="C237" s="11">
        <v>2013</v>
      </c>
      <c r="D237" s="12">
        <v>22056</v>
      </c>
      <c r="E237" s="12">
        <v>18704</v>
      </c>
      <c r="F237" s="12">
        <v>3352</v>
      </c>
      <c r="G237" s="13">
        <v>2.33</v>
      </c>
      <c r="H237" s="12">
        <v>8526</v>
      </c>
      <c r="I237" s="12">
        <v>8025</v>
      </c>
      <c r="J237" s="12">
        <v>501</v>
      </c>
      <c r="K237" s="10">
        <v>5.88</v>
      </c>
      <c r="L237" s="13">
        <v>2.1937602630000002</v>
      </c>
    </row>
    <row r="238" spans="1:12" x14ac:dyDescent="0.15">
      <c r="A238" s="1">
        <v>77</v>
      </c>
      <c r="B238" s="10" t="s">
        <v>183</v>
      </c>
      <c r="C238" s="11">
        <v>2013</v>
      </c>
      <c r="D238" s="12">
        <v>147926</v>
      </c>
      <c r="E238" s="12">
        <v>143247</v>
      </c>
      <c r="F238" s="12">
        <v>4679</v>
      </c>
      <c r="G238" s="13">
        <v>2.44</v>
      </c>
      <c r="H238" s="12">
        <v>63811</v>
      </c>
      <c r="I238" s="12">
        <v>58589</v>
      </c>
      <c r="J238" s="12">
        <v>5222</v>
      </c>
      <c r="K238" s="10">
        <v>8.18</v>
      </c>
      <c r="L238" s="13">
        <v>2.2448637379999998</v>
      </c>
    </row>
    <row r="239" spans="1:12" x14ac:dyDescent="0.15">
      <c r="A239" s="1">
        <v>79</v>
      </c>
      <c r="B239" s="10" t="s">
        <v>184</v>
      </c>
      <c r="C239" s="11">
        <v>2013</v>
      </c>
      <c r="D239" s="12">
        <v>734</v>
      </c>
      <c r="E239" s="12">
        <v>734</v>
      </c>
      <c r="F239" s="12">
        <v>0</v>
      </c>
      <c r="G239" s="13">
        <v>2.02</v>
      </c>
      <c r="H239" s="12">
        <v>1119</v>
      </c>
      <c r="I239" s="12">
        <v>363</v>
      </c>
      <c r="J239" s="12">
        <v>756</v>
      </c>
      <c r="K239" s="10">
        <v>67.52</v>
      </c>
      <c r="L239" s="13">
        <v>0.65594280599999999</v>
      </c>
    </row>
    <row r="240" spans="1:12" x14ac:dyDescent="0.15">
      <c r="A240" s="1">
        <v>81</v>
      </c>
      <c r="B240" s="10" t="s">
        <v>185</v>
      </c>
      <c r="C240" s="11">
        <v>2013</v>
      </c>
      <c r="D240" s="12">
        <v>13187</v>
      </c>
      <c r="E240" s="12">
        <v>13080</v>
      </c>
      <c r="F240" s="12">
        <v>107</v>
      </c>
      <c r="G240" s="13">
        <v>2.4900000000000002</v>
      </c>
      <c r="H240" s="12">
        <v>5990</v>
      </c>
      <c r="I240" s="12">
        <v>5249</v>
      </c>
      <c r="J240" s="12">
        <v>741</v>
      </c>
      <c r="K240" s="10">
        <v>12.38</v>
      </c>
      <c r="L240" s="13">
        <v>2.183639399</v>
      </c>
    </row>
    <row r="241" spans="1:12" x14ac:dyDescent="0.15">
      <c r="A241" s="1">
        <v>83</v>
      </c>
      <c r="B241" s="10" t="s">
        <v>186</v>
      </c>
      <c r="C241" s="11">
        <v>2013</v>
      </c>
      <c r="D241" s="12">
        <v>25485</v>
      </c>
      <c r="E241" s="12">
        <v>25233</v>
      </c>
      <c r="F241" s="12">
        <v>253</v>
      </c>
      <c r="G241" s="13">
        <v>2.39</v>
      </c>
      <c r="H241" s="12">
        <v>11960</v>
      </c>
      <c r="I241" s="12">
        <v>10559</v>
      </c>
      <c r="J241" s="12">
        <v>1401</v>
      </c>
      <c r="K241" s="10">
        <v>11.71</v>
      </c>
      <c r="L241" s="13">
        <v>2.1097826089999998</v>
      </c>
    </row>
    <row r="242" spans="1:12" x14ac:dyDescent="0.15">
      <c r="A242" s="1">
        <v>85</v>
      </c>
      <c r="B242" s="10" t="s">
        <v>187</v>
      </c>
      <c r="C242" s="11">
        <v>2013</v>
      </c>
      <c r="D242" s="12">
        <v>41331</v>
      </c>
      <c r="E242" s="12">
        <v>40754</v>
      </c>
      <c r="F242" s="12">
        <v>577</v>
      </c>
      <c r="G242" s="13">
        <v>2.4500000000000002</v>
      </c>
      <c r="H242" s="12">
        <v>17500</v>
      </c>
      <c r="I242" s="12">
        <v>16631</v>
      </c>
      <c r="J242" s="12">
        <v>869</v>
      </c>
      <c r="K242" s="10">
        <v>4.97</v>
      </c>
      <c r="L242" s="13">
        <v>2.3288000000000002</v>
      </c>
    </row>
    <row r="243" spans="1:12" x14ac:dyDescent="0.15">
      <c r="A243" s="1">
        <v>87</v>
      </c>
      <c r="B243" s="10" t="s">
        <v>188</v>
      </c>
      <c r="C243" s="11">
        <v>2013</v>
      </c>
      <c r="D243" s="12">
        <v>28249</v>
      </c>
      <c r="E243" s="12">
        <v>27715</v>
      </c>
      <c r="F243" s="12">
        <v>534</v>
      </c>
      <c r="G243" s="13">
        <v>2.68</v>
      </c>
      <c r="H243" s="12">
        <v>11033</v>
      </c>
      <c r="I243" s="12">
        <v>10334</v>
      </c>
      <c r="J243" s="12">
        <v>699</v>
      </c>
      <c r="K243" s="10">
        <v>6.34</v>
      </c>
      <c r="L243" s="13">
        <v>2.5120094260000001</v>
      </c>
    </row>
    <row r="244" spans="1:12" x14ac:dyDescent="0.15">
      <c r="A244" s="1">
        <v>89</v>
      </c>
      <c r="B244" s="10" t="s">
        <v>189</v>
      </c>
      <c r="C244" s="11">
        <v>2013</v>
      </c>
      <c r="D244" s="12">
        <v>18799</v>
      </c>
      <c r="E244" s="12">
        <v>18371</v>
      </c>
      <c r="F244" s="12">
        <v>428</v>
      </c>
      <c r="G244" s="13">
        <v>2.38</v>
      </c>
      <c r="H244" s="12">
        <v>8696</v>
      </c>
      <c r="I244" s="12">
        <v>7718</v>
      </c>
      <c r="J244" s="12">
        <v>978</v>
      </c>
      <c r="K244" s="10">
        <v>11.25</v>
      </c>
      <c r="L244" s="13">
        <v>2.1125804970000002</v>
      </c>
    </row>
    <row r="245" spans="1:12" x14ac:dyDescent="0.15">
      <c r="A245" s="1">
        <v>91</v>
      </c>
      <c r="B245" s="10" t="s">
        <v>190</v>
      </c>
      <c r="C245" s="11">
        <v>2013</v>
      </c>
      <c r="D245" s="12">
        <v>4515</v>
      </c>
      <c r="E245" s="12">
        <v>4515</v>
      </c>
      <c r="F245" s="12">
        <v>0</v>
      </c>
      <c r="G245" s="13">
        <v>2.17</v>
      </c>
      <c r="H245" s="12">
        <v>3112</v>
      </c>
      <c r="I245" s="12">
        <v>2078</v>
      </c>
      <c r="J245" s="12">
        <v>1034</v>
      </c>
      <c r="K245" s="10">
        <v>33.229999999999997</v>
      </c>
      <c r="L245" s="13">
        <v>1.450835476</v>
      </c>
    </row>
    <row r="246" spans="1:12" x14ac:dyDescent="0.15">
      <c r="A246" s="1">
        <v>93</v>
      </c>
      <c r="B246" s="10" t="s">
        <v>191</v>
      </c>
      <c r="C246" s="11">
        <v>2013</v>
      </c>
      <c r="D246" s="12">
        <v>15730</v>
      </c>
      <c r="E246" s="12">
        <v>15657</v>
      </c>
      <c r="F246" s="12">
        <v>73</v>
      </c>
      <c r="G246" s="13">
        <v>2.2400000000000002</v>
      </c>
      <c r="H246" s="12">
        <v>13809</v>
      </c>
      <c r="I246" s="12">
        <v>6993</v>
      </c>
      <c r="J246" s="12">
        <v>6816</v>
      </c>
      <c r="K246" s="10">
        <v>49.36</v>
      </c>
      <c r="L246" s="13">
        <v>1.133825766</v>
      </c>
    </row>
    <row r="247" spans="1:12" x14ac:dyDescent="0.15">
      <c r="A247" s="1">
        <v>95</v>
      </c>
      <c r="B247" s="10" t="s">
        <v>192</v>
      </c>
      <c r="C247" s="11">
        <v>2013</v>
      </c>
      <c r="D247" s="12">
        <v>4486</v>
      </c>
      <c r="E247" s="12">
        <v>4423</v>
      </c>
      <c r="F247" s="12">
        <v>63</v>
      </c>
      <c r="G247" s="13">
        <v>2.42</v>
      </c>
      <c r="H247" s="12">
        <v>1964</v>
      </c>
      <c r="I247" s="12">
        <v>1826</v>
      </c>
      <c r="J247" s="12">
        <v>138</v>
      </c>
      <c r="K247" s="10">
        <v>7.02</v>
      </c>
      <c r="L247" s="13">
        <v>2.2520366599999999</v>
      </c>
    </row>
    <row r="248" spans="1:12" x14ac:dyDescent="0.15">
      <c r="A248" s="1">
        <v>97</v>
      </c>
      <c r="B248" s="10" t="s">
        <v>193</v>
      </c>
      <c r="C248" s="11">
        <v>2013</v>
      </c>
      <c r="D248" s="12">
        <v>17321</v>
      </c>
      <c r="E248" s="12">
        <v>17249</v>
      </c>
      <c r="F248" s="12">
        <v>72</v>
      </c>
      <c r="G248" s="13">
        <v>2.11</v>
      </c>
      <c r="H248" s="12">
        <v>12699</v>
      </c>
      <c r="I248" s="12">
        <v>8166</v>
      </c>
      <c r="J248" s="12">
        <v>4533</v>
      </c>
      <c r="K248" s="10">
        <v>35.700000000000003</v>
      </c>
      <c r="L248" s="13">
        <v>1.3582959290000001</v>
      </c>
    </row>
    <row r="249" spans="1:12" x14ac:dyDescent="0.15">
      <c r="A249" s="1">
        <v>99</v>
      </c>
      <c r="B249" s="10" t="s">
        <v>194</v>
      </c>
      <c r="C249" s="11">
        <v>2013</v>
      </c>
      <c r="D249" s="12">
        <v>12287</v>
      </c>
      <c r="E249" s="12">
        <v>11956</v>
      </c>
      <c r="F249" s="12">
        <v>331</v>
      </c>
      <c r="G249" s="13">
        <v>2.4900000000000002</v>
      </c>
      <c r="H249" s="12">
        <v>5432</v>
      </c>
      <c r="I249" s="12">
        <v>4804</v>
      </c>
      <c r="J249" s="12">
        <v>628</v>
      </c>
      <c r="K249" s="10">
        <v>11.56</v>
      </c>
      <c r="L249" s="13">
        <v>2.2010309280000002</v>
      </c>
    </row>
    <row r="250" spans="1:12" x14ac:dyDescent="0.15">
      <c r="A250" s="1">
        <v>101</v>
      </c>
      <c r="B250" s="10" t="s">
        <v>195</v>
      </c>
      <c r="C250" s="11">
        <v>2013</v>
      </c>
      <c r="D250" s="12">
        <v>160565</v>
      </c>
      <c r="E250" s="12">
        <v>156556</v>
      </c>
      <c r="F250" s="12">
        <v>4009</v>
      </c>
      <c r="G250" s="13">
        <v>2.46</v>
      </c>
      <c r="H250" s="12">
        <v>70176</v>
      </c>
      <c r="I250" s="12">
        <v>63742</v>
      </c>
      <c r="J250" s="12">
        <v>6434</v>
      </c>
      <c r="K250" s="10">
        <v>9.17</v>
      </c>
      <c r="L250" s="13">
        <v>2.2309051530000001</v>
      </c>
    </row>
    <row r="251" spans="1:12" x14ac:dyDescent="0.15">
      <c r="A251" s="1">
        <v>103</v>
      </c>
      <c r="B251" s="10" t="s">
        <v>196</v>
      </c>
      <c r="C251" s="11">
        <v>2013</v>
      </c>
      <c r="D251" s="12">
        <v>6764</v>
      </c>
      <c r="E251" s="12">
        <v>6358</v>
      </c>
      <c r="F251" s="12">
        <v>406</v>
      </c>
      <c r="G251" s="13">
        <v>2.4300000000000002</v>
      </c>
      <c r="H251" s="12">
        <v>3214</v>
      </c>
      <c r="I251" s="12">
        <v>2616</v>
      </c>
      <c r="J251" s="12">
        <v>598</v>
      </c>
      <c r="K251" s="10">
        <v>18.61</v>
      </c>
      <c r="L251" s="13">
        <v>1.978220286</v>
      </c>
    </row>
    <row r="252" spans="1:12" x14ac:dyDescent="0.15">
      <c r="A252" s="1">
        <v>105</v>
      </c>
      <c r="B252" s="10" t="s">
        <v>197</v>
      </c>
      <c r="C252" s="11">
        <v>2013</v>
      </c>
      <c r="D252" s="12">
        <v>11868</v>
      </c>
      <c r="E252" s="12">
        <v>11689</v>
      </c>
      <c r="F252" s="12">
        <v>179</v>
      </c>
      <c r="G252" s="13">
        <v>2.44</v>
      </c>
      <c r="H252" s="12">
        <v>6365</v>
      </c>
      <c r="I252" s="12">
        <v>4788</v>
      </c>
      <c r="J252" s="12">
        <v>1577</v>
      </c>
      <c r="K252" s="10">
        <v>24.77</v>
      </c>
      <c r="L252" s="13">
        <v>1.8364493319999999</v>
      </c>
    </row>
    <row r="253" spans="1:12" x14ac:dyDescent="0.15">
      <c r="A253" s="1">
        <v>107</v>
      </c>
      <c r="B253" s="10" t="s">
        <v>198</v>
      </c>
      <c r="C253" s="11">
        <v>2013</v>
      </c>
      <c r="D253" s="12">
        <v>23578</v>
      </c>
      <c r="E253" s="12">
        <v>23238</v>
      </c>
      <c r="F253" s="12">
        <v>340</v>
      </c>
      <c r="G253" s="13">
        <v>2.35</v>
      </c>
      <c r="H253" s="12">
        <v>15670</v>
      </c>
      <c r="I253" s="12">
        <v>9903</v>
      </c>
      <c r="J253" s="12">
        <v>5767</v>
      </c>
      <c r="K253" s="10">
        <v>36.799999999999997</v>
      </c>
      <c r="L253" s="13">
        <v>1.4829610719999999</v>
      </c>
    </row>
    <row r="254" spans="1:12" x14ac:dyDescent="0.15">
      <c r="A254" s="1">
        <v>109</v>
      </c>
      <c r="B254" s="10" t="s">
        <v>199</v>
      </c>
      <c r="C254" s="11">
        <v>2013</v>
      </c>
      <c r="D254" s="12">
        <v>6166</v>
      </c>
      <c r="E254" s="12">
        <v>6144</v>
      </c>
      <c r="F254" s="12">
        <v>23</v>
      </c>
      <c r="G254" s="13">
        <v>2.29</v>
      </c>
      <c r="H254" s="12">
        <v>3321</v>
      </c>
      <c r="I254" s="12">
        <v>2686</v>
      </c>
      <c r="J254" s="12">
        <v>635</v>
      </c>
      <c r="K254" s="10">
        <v>19.11</v>
      </c>
      <c r="L254" s="13">
        <v>1.850045167</v>
      </c>
    </row>
    <row r="255" spans="1:12" x14ac:dyDescent="0.15">
      <c r="A255" s="1">
        <v>111</v>
      </c>
      <c r="B255" s="10" t="s">
        <v>200</v>
      </c>
      <c r="C255" s="11">
        <v>2013</v>
      </c>
      <c r="D255" s="12">
        <v>704</v>
      </c>
      <c r="E255" s="12">
        <v>704</v>
      </c>
      <c r="F255" s="12">
        <v>0</v>
      </c>
      <c r="G255" s="13">
        <v>1.99</v>
      </c>
      <c r="H255" s="12">
        <v>747</v>
      </c>
      <c r="I255" s="12">
        <v>353</v>
      </c>
      <c r="J255" s="12">
        <v>394</v>
      </c>
      <c r="K255" s="10">
        <v>52.76</v>
      </c>
      <c r="L255" s="13">
        <v>0.94243641199999995</v>
      </c>
    </row>
    <row r="256" spans="1:12" x14ac:dyDescent="0.15">
      <c r="A256" s="1">
        <v>113</v>
      </c>
      <c r="B256" s="10" t="s">
        <v>201</v>
      </c>
      <c r="C256" s="11">
        <v>2013</v>
      </c>
      <c r="D256" s="12">
        <v>7615</v>
      </c>
      <c r="E256" s="12">
        <v>7499</v>
      </c>
      <c r="F256" s="12">
        <v>116</v>
      </c>
      <c r="G256" s="13">
        <v>2.16</v>
      </c>
      <c r="H256" s="12">
        <v>6209</v>
      </c>
      <c r="I256" s="12">
        <v>3467</v>
      </c>
      <c r="J256" s="12">
        <v>2742</v>
      </c>
      <c r="K256" s="10">
        <v>44.17</v>
      </c>
      <c r="L256" s="13">
        <v>1.2077629249999999</v>
      </c>
    </row>
    <row r="257" spans="1:12" x14ac:dyDescent="0.15">
      <c r="A257" s="1">
        <v>115</v>
      </c>
      <c r="B257" s="10" t="s">
        <v>202</v>
      </c>
      <c r="C257" s="11">
        <v>2013</v>
      </c>
      <c r="D257" s="12">
        <v>2379</v>
      </c>
      <c r="E257" s="12">
        <v>2342</v>
      </c>
      <c r="F257" s="12">
        <v>37</v>
      </c>
      <c r="G257" s="13">
        <v>2.16</v>
      </c>
      <c r="H257" s="12">
        <v>1327</v>
      </c>
      <c r="I257" s="12">
        <v>1086</v>
      </c>
      <c r="J257" s="12">
        <v>241</v>
      </c>
      <c r="K257" s="10">
        <v>18.149999999999999</v>
      </c>
      <c r="L257" s="13">
        <v>1.7648831949999999</v>
      </c>
    </row>
    <row r="258" spans="1:12" x14ac:dyDescent="0.15">
      <c r="A258" s="1">
        <v>117</v>
      </c>
      <c r="B258" s="10" t="s">
        <v>203</v>
      </c>
      <c r="C258" s="11">
        <v>2013</v>
      </c>
      <c r="D258" s="12">
        <v>28860</v>
      </c>
      <c r="E258" s="12">
        <v>28502</v>
      </c>
      <c r="F258" s="12">
        <v>358</v>
      </c>
      <c r="G258" s="13">
        <v>2.36</v>
      </c>
      <c r="H258" s="12">
        <v>29882</v>
      </c>
      <c r="I258" s="12">
        <v>12085</v>
      </c>
      <c r="J258" s="12">
        <v>17797</v>
      </c>
      <c r="K258" s="10">
        <v>59.56</v>
      </c>
      <c r="L258" s="13">
        <v>0.95381835199999998</v>
      </c>
    </row>
    <row r="259" spans="1:12" x14ac:dyDescent="0.15">
      <c r="A259" s="1">
        <v>119</v>
      </c>
      <c r="B259" s="10" t="s">
        <v>204</v>
      </c>
      <c r="C259" s="11">
        <v>2013</v>
      </c>
      <c r="D259" s="12">
        <v>23110</v>
      </c>
      <c r="E259" s="12">
        <v>22963</v>
      </c>
      <c r="F259" s="12">
        <v>147</v>
      </c>
      <c r="G259" s="13">
        <v>2.35</v>
      </c>
      <c r="H259" s="12">
        <v>12744</v>
      </c>
      <c r="I259" s="12">
        <v>9769</v>
      </c>
      <c r="J259" s="12">
        <v>2975</v>
      </c>
      <c r="K259" s="10">
        <v>23.34</v>
      </c>
      <c r="L259" s="13">
        <v>1.801867546</v>
      </c>
    </row>
    <row r="260" spans="1:12" x14ac:dyDescent="0.15">
      <c r="A260" s="1">
        <v>121</v>
      </c>
      <c r="B260" s="10" t="s">
        <v>205</v>
      </c>
      <c r="C260" s="11">
        <v>2013</v>
      </c>
      <c r="D260" s="12">
        <v>4614</v>
      </c>
      <c r="E260" s="12">
        <v>4521</v>
      </c>
      <c r="F260" s="12">
        <v>93</v>
      </c>
      <c r="G260" s="13">
        <v>2.36</v>
      </c>
      <c r="H260" s="12">
        <v>2199</v>
      </c>
      <c r="I260" s="12">
        <v>1917</v>
      </c>
      <c r="J260" s="12">
        <v>282</v>
      </c>
      <c r="K260" s="10">
        <v>12.82</v>
      </c>
      <c r="L260" s="13">
        <v>2.0559345160000002</v>
      </c>
    </row>
    <row r="261" spans="1:12" x14ac:dyDescent="0.15">
      <c r="A261" s="1">
        <v>123</v>
      </c>
      <c r="B261" s="10" t="s">
        <v>206</v>
      </c>
      <c r="C261" s="11">
        <v>2013</v>
      </c>
      <c r="D261" s="12">
        <v>269770</v>
      </c>
      <c r="E261" s="12">
        <v>263855</v>
      </c>
      <c r="F261" s="12">
        <v>5915</v>
      </c>
      <c r="G261" s="13">
        <v>2.79</v>
      </c>
      <c r="H261" s="12">
        <v>99547</v>
      </c>
      <c r="I261" s="12">
        <v>94661</v>
      </c>
      <c r="J261" s="12">
        <v>4886</v>
      </c>
      <c r="K261" s="10">
        <v>4.91</v>
      </c>
      <c r="L261" s="13">
        <v>2.6505570230000002</v>
      </c>
    </row>
    <row r="262" spans="1:12" x14ac:dyDescent="0.15">
      <c r="A262" s="1">
        <v>125</v>
      </c>
      <c r="B262" s="10" t="s">
        <v>207</v>
      </c>
      <c r="C262" s="11">
        <v>2013</v>
      </c>
      <c r="D262" s="12">
        <v>10143</v>
      </c>
      <c r="E262" s="12">
        <v>9830</v>
      </c>
      <c r="F262" s="12">
        <v>313</v>
      </c>
      <c r="G262" s="13">
        <v>2.5099999999999998</v>
      </c>
      <c r="H262" s="12">
        <v>4254</v>
      </c>
      <c r="I262" s="12">
        <v>3921</v>
      </c>
      <c r="J262" s="12">
        <v>333</v>
      </c>
      <c r="K262" s="10">
        <v>7.82</v>
      </c>
      <c r="L262" s="13">
        <v>2.3107663380000001</v>
      </c>
    </row>
    <row r="263" spans="1:12" x14ac:dyDescent="0.15">
      <c r="A263" s="1">
        <v>0</v>
      </c>
      <c r="B263" s="10" t="s">
        <v>143</v>
      </c>
      <c r="C263" s="11">
        <v>2014</v>
      </c>
      <c r="D263" s="12">
        <v>5347655</v>
      </c>
      <c r="E263" s="12">
        <v>5225942</v>
      </c>
      <c r="F263" s="12">
        <v>121712</v>
      </c>
      <c r="G263" s="13">
        <v>2.4900000000000002</v>
      </c>
      <c r="H263" s="12">
        <v>2281231</v>
      </c>
      <c r="I263" s="12">
        <v>2094728</v>
      </c>
      <c r="J263" s="12">
        <v>186503</v>
      </c>
      <c r="K263" s="10">
        <v>8.18</v>
      </c>
      <c r="L263" s="13">
        <v>2.2908429699999999</v>
      </c>
    </row>
    <row r="264" spans="1:12" x14ac:dyDescent="0.15">
      <c r="A264" s="1">
        <v>1</v>
      </c>
      <c r="B264" s="10" t="s">
        <v>144</v>
      </c>
      <c r="C264" s="11">
        <v>2014</v>
      </c>
      <c r="D264" s="12">
        <v>479901</v>
      </c>
      <c r="E264" s="12">
        <v>475690</v>
      </c>
      <c r="F264" s="12">
        <v>4211</v>
      </c>
      <c r="G264" s="13">
        <v>2.86</v>
      </c>
      <c r="H264" s="12">
        <v>169377</v>
      </c>
      <c r="I264" s="12">
        <v>166221</v>
      </c>
      <c r="J264" s="12">
        <v>3156</v>
      </c>
      <c r="K264" s="10">
        <v>1.86</v>
      </c>
      <c r="L264" s="13">
        <v>2.808468682</v>
      </c>
    </row>
    <row r="265" spans="1:12" x14ac:dyDescent="0.15">
      <c r="A265" s="1">
        <v>3</v>
      </c>
      <c r="B265" s="10" t="s">
        <v>145</v>
      </c>
      <c r="C265" s="11">
        <v>2014</v>
      </c>
      <c r="D265" s="12">
        <v>15788</v>
      </c>
      <c r="E265" s="12">
        <v>14923</v>
      </c>
      <c r="F265" s="12">
        <v>865</v>
      </c>
      <c r="G265" s="13">
        <v>2.44</v>
      </c>
      <c r="H265" s="12">
        <v>6747</v>
      </c>
      <c r="I265" s="12">
        <v>6115</v>
      </c>
      <c r="J265" s="12">
        <v>632</v>
      </c>
      <c r="K265" s="10">
        <v>9.3699999999999992</v>
      </c>
      <c r="L265" s="13">
        <v>2.2117978360000001</v>
      </c>
    </row>
    <row r="266" spans="1:12" x14ac:dyDescent="0.15">
      <c r="A266" s="1">
        <v>5</v>
      </c>
      <c r="B266" s="10" t="s">
        <v>146</v>
      </c>
      <c r="C266" s="11">
        <v>2014</v>
      </c>
      <c r="D266" s="12">
        <v>618310</v>
      </c>
      <c r="E266" s="12">
        <v>613335</v>
      </c>
      <c r="F266" s="12">
        <v>4975</v>
      </c>
      <c r="G266" s="13">
        <v>2.56</v>
      </c>
      <c r="H266" s="12">
        <v>245659</v>
      </c>
      <c r="I266" s="12">
        <v>239801</v>
      </c>
      <c r="J266" s="12">
        <v>5858</v>
      </c>
      <c r="K266" s="10">
        <v>2.38</v>
      </c>
      <c r="L266" s="13">
        <v>2.49669257</v>
      </c>
    </row>
    <row r="267" spans="1:12" x14ac:dyDescent="0.15">
      <c r="A267" s="1">
        <v>7</v>
      </c>
      <c r="B267" s="10" t="s">
        <v>147</v>
      </c>
      <c r="C267" s="11">
        <v>2014</v>
      </c>
      <c r="D267" s="12">
        <v>11931</v>
      </c>
      <c r="E267" s="12">
        <v>11818</v>
      </c>
      <c r="F267" s="12">
        <v>113</v>
      </c>
      <c r="G267" s="13">
        <v>2.2799999999999998</v>
      </c>
      <c r="H267" s="12">
        <v>8899</v>
      </c>
      <c r="I267" s="12">
        <v>5187</v>
      </c>
      <c r="J267" s="12">
        <v>3712</v>
      </c>
      <c r="K267" s="10">
        <v>41.71</v>
      </c>
      <c r="L267" s="13">
        <v>1.328014384</v>
      </c>
    </row>
    <row r="268" spans="1:12" x14ac:dyDescent="0.15">
      <c r="A268" s="1">
        <v>9</v>
      </c>
      <c r="B268" s="10" t="s">
        <v>148</v>
      </c>
      <c r="C268" s="11">
        <v>2014</v>
      </c>
      <c r="D268" s="12">
        <v>3564</v>
      </c>
      <c r="E268" s="12">
        <v>3500</v>
      </c>
      <c r="F268" s="12">
        <v>64</v>
      </c>
      <c r="G268" s="13">
        <v>2.14</v>
      </c>
      <c r="H268" s="12">
        <v>1968</v>
      </c>
      <c r="I268" s="12">
        <v>1634</v>
      </c>
      <c r="J268" s="12">
        <v>334</v>
      </c>
      <c r="K268" s="10">
        <v>16.97</v>
      </c>
      <c r="L268" s="13">
        <v>1.7784552849999999</v>
      </c>
    </row>
    <row r="269" spans="1:12" x14ac:dyDescent="0.15">
      <c r="A269" s="1">
        <v>11</v>
      </c>
      <c r="B269" s="10" t="s">
        <v>149</v>
      </c>
      <c r="C269" s="11">
        <v>2014</v>
      </c>
      <c r="D269" s="12">
        <v>5851</v>
      </c>
      <c r="E269" s="12">
        <v>3982</v>
      </c>
      <c r="F269" s="12">
        <v>1869</v>
      </c>
      <c r="G269" s="13">
        <v>2.3199999999999998</v>
      </c>
      <c r="H269" s="12">
        <v>2124</v>
      </c>
      <c r="I269" s="12">
        <v>1719</v>
      </c>
      <c r="J269" s="12">
        <v>405</v>
      </c>
      <c r="K269" s="10">
        <v>19.05</v>
      </c>
      <c r="L269" s="13">
        <v>1.874764595</v>
      </c>
    </row>
    <row r="270" spans="1:12" x14ac:dyDescent="0.15">
      <c r="A270" s="1">
        <v>13</v>
      </c>
      <c r="B270" s="10" t="s">
        <v>150</v>
      </c>
      <c r="C270" s="11">
        <v>2014</v>
      </c>
      <c r="D270" s="12">
        <v>314213</v>
      </c>
      <c r="E270" s="12">
        <v>301907</v>
      </c>
      <c r="F270" s="12">
        <v>12306</v>
      </c>
      <c r="G270" s="13">
        <v>2.39</v>
      </c>
      <c r="H270" s="12">
        <v>131002</v>
      </c>
      <c r="I270" s="12">
        <v>126418</v>
      </c>
      <c r="J270" s="12">
        <v>4584</v>
      </c>
      <c r="K270" s="10">
        <v>3.5</v>
      </c>
      <c r="L270" s="13">
        <v>2.304598403</v>
      </c>
    </row>
    <row r="271" spans="1:12" x14ac:dyDescent="0.15">
      <c r="A271" s="1">
        <v>14</v>
      </c>
      <c r="B271" s="10" t="s">
        <v>151</v>
      </c>
      <c r="C271" s="11">
        <v>2014</v>
      </c>
      <c r="D271" s="12">
        <v>62504</v>
      </c>
      <c r="E271" s="12">
        <v>62245</v>
      </c>
      <c r="F271" s="12">
        <v>259</v>
      </c>
      <c r="G271" s="13">
        <v>2.5499999999999998</v>
      </c>
      <c r="H271" s="12">
        <v>26564</v>
      </c>
      <c r="I271" s="12">
        <v>24409</v>
      </c>
      <c r="J271" s="12">
        <v>2155</v>
      </c>
      <c r="K271" s="10">
        <v>8.11</v>
      </c>
      <c r="L271" s="13">
        <v>2.3432088539999998</v>
      </c>
    </row>
    <row r="272" spans="1:12" x14ac:dyDescent="0.15">
      <c r="A272" s="1">
        <v>15</v>
      </c>
      <c r="B272" s="10" t="s">
        <v>152</v>
      </c>
      <c r="C272" s="11">
        <v>2014</v>
      </c>
      <c r="D272" s="12">
        <v>18066</v>
      </c>
      <c r="E272" s="12">
        <v>16614</v>
      </c>
      <c r="F272" s="12">
        <v>1452</v>
      </c>
      <c r="G272" s="13">
        <v>2.16</v>
      </c>
      <c r="H272" s="12">
        <v>10114</v>
      </c>
      <c r="I272" s="12">
        <v>7705</v>
      </c>
      <c r="J272" s="12">
        <v>2409</v>
      </c>
      <c r="K272" s="10">
        <v>23.82</v>
      </c>
      <c r="L272" s="13">
        <v>1.6426735219999999</v>
      </c>
    </row>
    <row r="273" spans="1:12" x14ac:dyDescent="0.15">
      <c r="A273" s="1">
        <v>17</v>
      </c>
      <c r="B273" s="10" t="s">
        <v>153</v>
      </c>
      <c r="C273" s="11">
        <v>2014</v>
      </c>
      <c r="D273" s="12">
        <v>1817</v>
      </c>
      <c r="E273" s="12">
        <v>1775</v>
      </c>
      <c r="F273" s="12">
        <v>42</v>
      </c>
      <c r="G273" s="13">
        <v>2.29</v>
      </c>
      <c r="H273" s="12">
        <v>879</v>
      </c>
      <c r="I273" s="12">
        <v>774</v>
      </c>
      <c r="J273" s="12">
        <v>105</v>
      </c>
      <c r="K273" s="10">
        <v>11.94</v>
      </c>
      <c r="L273" s="13">
        <v>2.019340159</v>
      </c>
    </row>
    <row r="274" spans="1:12" x14ac:dyDescent="0.15">
      <c r="A274" s="1">
        <v>19</v>
      </c>
      <c r="B274" s="10" t="s">
        <v>154</v>
      </c>
      <c r="C274" s="11">
        <v>2014</v>
      </c>
      <c r="D274" s="12">
        <v>9034</v>
      </c>
      <c r="E274" s="12">
        <v>8949</v>
      </c>
      <c r="F274" s="12">
        <v>85</v>
      </c>
      <c r="G274" s="13">
        <v>2.13</v>
      </c>
      <c r="H274" s="12">
        <v>5535</v>
      </c>
      <c r="I274" s="12">
        <v>4194</v>
      </c>
      <c r="J274" s="12">
        <v>1341</v>
      </c>
      <c r="K274" s="10">
        <v>24.22</v>
      </c>
      <c r="L274" s="13">
        <v>1.616802168</v>
      </c>
    </row>
    <row r="275" spans="1:12" x14ac:dyDescent="0.15">
      <c r="A275" s="1">
        <v>21</v>
      </c>
      <c r="B275" s="10" t="s">
        <v>155</v>
      </c>
      <c r="C275" s="11">
        <v>2014</v>
      </c>
      <c r="D275" s="12">
        <v>7997</v>
      </c>
      <c r="E275" s="12">
        <v>7950</v>
      </c>
      <c r="F275" s="12">
        <v>47</v>
      </c>
      <c r="G275" s="13">
        <v>2.6</v>
      </c>
      <c r="H275" s="12">
        <v>3871</v>
      </c>
      <c r="I275" s="12">
        <v>3053</v>
      </c>
      <c r="J275" s="12">
        <v>818</v>
      </c>
      <c r="K275" s="10">
        <v>21.12</v>
      </c>
      <c r="L275" s="13">
        <v>2.0537328860000001</v>
      </c>
    </row>
    <row r="276" spans="1:12" x14ac:dyDescent="0.15">
      <c r="A276" s="1">
        <v>23</v>
      </c>
      <c r="B276" s="10" t="s">
        <v>156</v>
      </c>
      <c r="C276" s="11">
        <v>2014</v>
      </c>
      <c r="D276" s="12">
        <v>3516</v>
      </c>
      <c r="E276" s="12">
        <v>3516</v>
      </c>
      <c r="F276" s="12">
        <v>0</v>
      </c>
      <c r="G276" s="13">
        <v>2.2400000000000002</v>
      </c>
      <c r="H276" s="12">
        <v>2310</v>
      </c>
      <c r="I276" s="12">
        <v>1569</v>
      </c>
      <c r="J276" s="12">
        <v>741</v>
      </c>
      <c r="K276" s="10">
        <v>32.08</v>
      </c>
      <c r="L276" s="13">
        <v>1.522077922</v>
      </c>
    </row>
    <row r="277" spans="1:12" x14ac:dyDescent="0.15">
      <c r="A277" s="1">
        <v>25</v>
      </c>
      <c r="B277" s="10" t="s">
        <v>157</v>
      </c>
      <c r="C277" s="11">
        <v>2014</v>
      </c>
      <c r="D277" s="12">
        <v>5843</v>
      </c>
      <c r="E277" s="12">
        <v>3097</v>
      </c>
      <c r="F277" s="12">
        <v>2746</v>
      </c>
      <c r="G277" s="13">
        <v>2.37</v>
      </c>
      <c r="H277" s="12">
        <v>1488</v>
      </c>
      <c r="I277" s="12">
        <v>1307</v>
      </c>
      <c r="J277" s="12">
        <v>181</v>
      </c>
      <c r="K277" s="10">
        <v>12.18</v>
      </c>
      <c r="L277" s="13">
        <v>2.0813172039999999</v>
      </c>
    </row>
    <row r="278" spans="1:12" x14ac:dyDescent="0.15">
      <c r="A278" s="1">
        <v>27</v>
      </c>
      <c r="B278" s="10" t="s">
        <v>158</v>
      </c>
      <c r="C278" s="11">
        <v>2014</v>
      </c>
      <c r="D278" s="12">
        <v>4437</v>
      </c>
      <c r="E278" s="12">
        <v>4424</v>
      </c>
      <c r="F278" s="12">
        <v>13</v>
      </c>
      <c r="G278" s="13">
        <v>2.12</v>
      </c>
      <c r="H278" s="12">
        <v>3821</v>
      </c>
      <c r="I278" s="12">
        <v>2082</v>
      </c>
      <c r="J278" s="12">
        <v>1739</v>
      </c>
      <c r="K278" s="10">
        <v>45.52</v>
      </c>
      <c r="L278" s="13">
        <v>1.157812091</v>
      </c>
    </row>
    <row r="279" spans="1:12" x14ac:dyDescent="0.15">
      <c r="A279" s="1">
        <v>29</v>
      </c>
      <c r="B279" s="10" t="s">
        <v>159</v>
      </c>
      <c r="C279" s="11">
        <v>2014</v>
      </c>
      <c r="D279" s="12">
        <v>30066</v>
      </c>
      <c r="E279" s="12">
        <v>29319</v>
      </c>
      <c r="F279" s="12">
        <v>747</v>
      </c>
      <c r="G279" s="13">
        <v>2.36</v>
      </c>
      <c r="H279" s="12">
        <v>14623</v>
      </c>
      <c r="I279" s="12">
        <v>12430</v>
      </c>
      <c r="J279" s="12">
        <v>2193</v>
      </c>
      <c r="K279" s="10">
        <v>15</v>
      </c>
      <c r="L279" s="13">
        <v>2.0049921359999998</v>
      </c>
    </row>
    <row r="280" spans="1:12" x14ac:dyDescent="0.15">
      <c r="A280" s="1">
        <v>31</v>
      </c>
      <c r="B280" s="10" t="s">
        <v>160</v>
      </c>
      <c r="C280" s="11">
        <v>2014</v>
      </c>
      <c r="D280" s="12">
        <v>658632</v>
      </c>
      <c r="E280" s="12">
        <v>642474</v>
      </c>
      <c r="F280" s="12">
        <v>16158</v>
      </c>
      <c r="G280" s="13">
        <v>2.21</v>
      </c>
      <c r="H280" s="12">
        <v>300889</v>
      </c>
      <c r="I280" s="12">
        <v>290179</v>
      </c>
      <c r="J280" s="12">
        <v>10710</v>
      </c>
      <c r="K280" s="10">
        <v>3.56</v>
      </c>
      <c r="L280" s="13">
        <v>2.1352525349999998</v>
      </c>
    </row>
    <row r="281" spans="1:12" x14ac:dyDescent="0.15">
      <c r="A281" s="1">
        <v>33</v>
      </c>
      <c r="B281" s="10" t="s">
        <v>161</v>
      </c>
      <c r="C281" s="11">
        <v>2014</v>
      </c>
      <c r="D281" s="12">
        <v>2084</v>
      </c>
      <c r="E281" s="12">
        <v>2084</v>
      </c>
      <c r="F281" s="12">
        <v>0</v>
      </c>
      <c r="G281" s="13">
        <v>2.27</v>
      </c>
      <c r="H281" s="12">
        <v>1212</v>
      </c>
      <c r="I281" s="12">
        <v>919</v>
      </c>
      <c r="J281" s="12">
        <v>293</v>
      </c>
      <c r="K281" s="10">
        <v>24.14</v>
      </c>
      <c r="L281" s="13">
        <v>1.7194719469999999</v>
      </c>
    </row>
    <row r="282" spans="1:12" x14ac:dyDescent="0.15">
      <c r="A282" s="1">
        <v>35</v>
      </c>
      <c r="B282" s="10" t="s">
        <v>162</v>
      </c>
      <c r="C282" s="11">
        <v>2014</v>
      </c>
      <c r="D282" s="12">
        <v>314609</v>
      </c>
      <c r="E282" s="12">
        <v>313424</v>
      </c>
      <c r="F282" s="12">
        <v>1185</v>
      </c>
      <c r="G282" s="13">
        <v>2.79</v>
      </c>
      <c r="H282" s="12">
        <v>114036</v>
      </c>
      <c r="I282" s="12">
        <v>112530</v>
      </c>
      <c r="J282" s="12">
        <v>1506</v>
      </c>
      <c r="K282" s="10">
        <v>1.32</v>
      </c>
      <c r="L282" s="13">
        <v>2.7484653969999999</v>
      </c>
    </row>
    <row r="283" spans="1:12" x14ac:dyDescent="0.15">
      <c r="A283" s="1">
        <v>37</v>
      </c>
      <c r="B283" s="10" t="s">
        <v>163</v>
      </c>
      <c r="C283" s="11">
        <v>2014</v>
      </c>
      <c r="D283" s="12">
        <v>52398</v>
      </c>
      <c r="E283" s="12">
        <v>52323</v>
      </c>
      <c r="F283" s="12">
        <v>76</v>
      </c>
      <c r="G283" s="13">
        <v>2.7</v>
      </c>
      <c r="H283" s="12">
        <v>31120</v>
      </c>
      <c r="I283" s="12">
        <v>19391</v>
      </c>
      <c r="J283" s="12">
        <v>11729</v>
      </c>
      <c r="K283" s="10">
        <v>37.69</v>
      </c>
      <c r="L283" s="13">
        <v>1.6813303340000001</v>
      </c>
    </row>
    <row r="284" spans="1:12" x14ac:dyDescent="0.15">
      <c r="A284" s="1">
        <v>39</v>
      </c>
      <c r="B284" s="10" t="s">
        <v>164</v>
      </c>
      <c r="C284" s="11">
        <v>2014</v>
      </c>
      <c r="D284" s="12">
        <v>23569</v>
      </c>
      <c r="E284" s="12">
        <v>23497</v>
      </c>
      <c r="F284" s="12">
        <v>72</v>
      </c>
      <c r="G284" s="13">
        <v>2.76</v>
      </c>
      <c r="H284" s="12">
        <v>9029</v>
      </c>
      <c r="I284" s="12">
        <v>8524</v>
      </c>
      <c r="J284" s="12">
        <v>505</v>
      </c>
      <c r="K284" s="10">
        <v>5.59</v>
      </c>
      <c r="L284" s="13">
        <v>2.6023922920000002</v>
      </c>
    </row>
    <row r="285" spans="1:12" x14ac:dyDescent="0.15">
      <c r="A285" s="1">
        <v>41</v>
      </c>
      <c r="B285" s="10" t="s">
        <v>165</v>
      </c>
      <c r="C285" s="11">
        <v>2014</v>
      </c>
      <c r="D285" s="12">
        <v>665754</v>
      </c>
      <c r="E285" s="12">
        <v>645729</v>
      </c>
      <c r="F285" s="12">
        <v>20025</v>
      </c>
      <c r="G285" s="13">
        <v>2.57</v>
      </c>
      <c r="H285" s="12">
        <v>264933</v>
      </c>
      <c r="I285" s="12">
        <v>250769</v>
      </c>
      <c r="J285" s="12">
        <v>14164</v>
      </c>
      <c r="K285" s="10">
        <v>5.35</v>
      </c>
      <c r="L285" s="13">
        <v>2.4373294379999999</v>
      </c>
    </row>
    <row r="286" spans="1:12" x14ac:dyDescent="0.15">
      <c r="A286" s="1">
        <v>43</v>
      </c>
      <c r="B286" s="10" t="s">
        <v>166</v>
      </c>
      <c r="C286" s="11">
        <v>2014</v>
      </c>
      <c r="D286" s="12">
        <v>47119</v>
      </c>
      <c r="E286" s="12">
        <v>38761</v>
      </c>
      <c r="F286" s="12">
        <v>8358</v>
      </c>
      <c r="G286" s="13">
        <v>2.2999999999999998</v>
      </c>
      <c r="H286" s="12">
        <v>19630</v>
      </c>
      <c r="I286" s="12">
        <v>16886</v>
      </c>
      <c r="J286" s="12">
        <v>2744</v>
      </c>
      <c r="K286" s="10">
        <v>13.98</v>
      </c>
      <c r="L286" s="13">
        <v>1.9745797249999999</v>
      </c>
    </row>
    <row r="287" spans="1:12" x14ac:dyDescent="0.15">
      <c r="A287" s="1">
        <v>45</v>
      </c>
      <c r="B287" s="10" t="s">
        <v>167</v>
      </c>
      <c r="C287" s="11">
        <v>2014</v>
      </c>
      <c r="D287" s="12">
        <v>57131</v>
      </c>
      <c r="E287" s="12">
        <v>56147</v>
      </c>
      <c r="F287" s="12">
        <v>984</v>
      </c>
      <c r="G287" s="13">
        <v>2.72</v>
      </c>
      <c r="H287" s="12">
        <v>23118</v>
      </c>
      <c r="I287" s="12">
        <v>20648</v>
      </c>
      <c r="J287" s="12">
        <v>2470</v>
      </c>
      <c r="K287" s="10">
        <v>10.68</v>
      </c>
      <c r="L287" s="13">
        <v>2.428713557</v>
      </c>
    </row>
    <row r="288" spans="1:12" x14ac:dyDescent="0.15">
      <c r="A288" s="1">
        <v>47</v>
      </c>
      <c r="B288" s="10" t="s">
        <v>168</v>
      </c>
      <c r="C288" s="11">
        <v>2014</v>
      </c>
      <c r="D288" s="12">
        <v>5536</v>
      </c>
      <c r="E288" s="12">
        <v>5490</v>
      </c>
      <c r="F288" s="12">
        <v>45</v>
      </c>
      <c r="G288" s="13">
        <v>2.2000000000000002</v>
      </c>
      <c r="H288" s="12">
        <v>3343</v>
      </c>
      <c r="I288" s="12">
        <v>2498</v>
      </c>
      <c r="J288" s="12">
        <v>845</v>
      </c>
      <c r="K288" s="10">
        <v>25.29</v>
      </c>
      <c r="L288" s="13">
        <v>1.642237511</v>
      </c>
    </row>
    <row r="289" spans="1:12" x14ac:dyDescent="0.15">
      <c r="A289" s="1">
        <v>49</v>
      </c>
      <c r="B289" s="10" t="s">
        <v>169</v>
      </c>
      <c r="C289" s="11">
        <v>2014</v>
      </c>
      <c r="D289" s="12">
        <v>14934</v>
      </c>
      <c r="E289" s="12">
        <v>14722</v>
      </c>
      <c r="F289" s="12">
        <v>212</v>
      </c>
      <c r="G289" s="13">
        <v>2.2400000000000002</v>
      </c>
      <c r="H289" s="12">
        <v>15697</v>
      </c>
      <c r="I289" s="12">
        <v>6565</v>
      </c>
      <c r="J289" s="12">
        <v>9132</v>
      </c>
      <c r="K289" s="10">
        <v>58.18</v>
      </c>
      <c r="L289" s="13">
        <v>0.93788621999999999</v>
      </c>
    </row>
    <row r="290" spans="1:12" x14ac:dyDescent="0.15">
      <c r="A290" s="1">
        <v>51</v>
      </c>
      <c r="B290" s="10" t="s">
        <v>170</v>
      </c>
      <c r="C290" s="11">
        <v>2014</v>
      </c>
      <c r="D290" s="12">
        <v>15552</v>
      </c>
      <c r="E290" s="12">
        <v>14549</v>
      </c>
      <c r="F290" s="12">
        <v>1003</v>
      </c>
      <c r="G290" s="13">
        <v>2.2200000000000002</v>
      </c>
      <c r="H290" s="12">
        <v>11497</v>
      </c>
      <c r="I290" s="12">
        <v>6545</v>
      </c>
      <c r="J290" s="12">
        <v>4952</v>
      </c>
      <c r="K290" s="10">
        <v>43.07</v>
      </c>
      <c r="L290" s="13">
        <v>1.265460555</v>
      </c>
    </row>
    <row r="291" spans="1:12" x14ac:dyDescent="0.15">
      <c r="A291" s="1">
        <v>53</v>
      </c>
      <c r="B291" s="10" t="s">
        <v>171</v>
      </c>
      <c r="C291" s="11">
        <v>2014</v>
      </c>
      <c r="D291" s="12">
        <v>819</v>
      </c>
      <c r="E291" s="12">
        <v>785</v>
      </c>
      <c r="F291" s="12">
        <v>34</v>
      </c>
      <c r="G291" s="13">
        <v>2.14</v>
      </c>
      <c r="H291" s="12">
        <v>1288</v>
      </c>
      <c r="I291" s="12">
        <v>366</v>
      </c>
      <c r="J291" s="12">
        <v>922</v>
      </c>
      <c r="K291" s="10">
        <v>71.58</v>
      </c>
      <c r="L291" s="13">
        <v>0.60947205000000004</v>
      </c>
    </row>
    <row r="292" spans="1:12" x14ac:dyDescent="0.15">
      <c r="A292" s="1">
        <v>55</v>
      </c>
      <c r="B292" s="10" t="s">
        <v>172</v>
      </c>
      <c r="C292" s="11">
        <v>2014</v>
      </c>
      <c r="D292" s="12">
        <v>6700</v>
      </c>
      <c r="E292" s="12">
        <v>6560</v>
      </c>
      <c r="F292" s="12">
        <v>140</v>
      </c>
      <c r="G292" s="13">
        <v>2.09</v>
      </c>
      <c r="H292" s="12">
        <v>4531</v>
      </c>
      <c r="I292" s="12">
        <v>3135</v>
      </c>
      <c r="J292" s="12">
        <v>1396</v>
      </c>
      <c r="K292" s="10">
        <v>30.81</v>
      </c>
      <c r="L292" s="13">
        <v>1.4478040169999999</v>
      </c>
    </row>
    <row r="293" spans="1:12" x14ac:dyDescent="0.15">
      <c r="A293" s="1">
        <v>57</v>
      </c>
      <c r="B293" s="10" t="s">
        <v>173</v>
      </c>
      <c r="C293" s="11">
        <v>2014</v>
      </c>
      <c r="D293" s="12">
        <v>1381</v>
      </c>
      <c r="E293" s="12">
        <v>1379</v>
      </c>
      <c r="F293" s="12">
        <v>2</v>
      </c>
      <c r="G293" s="13">
        <v>2.12</v>
      </c>
      <c r="H293" s="12">
        <v>1155</v>
      </c>
      <c r="I293" s="12">
        <v>649</v>
      </c>
      <c r="J293" s="12">
        <v>506</v>
      </c>
      <c r="K293" s="10">
        <v>43.81</v>
      </c>
      <c r="L293" s="13">
        <v>1.193939394</v>
      </c>
    </row>
    <row r="294" spans="1:12" x14ac:dyDescent="0.15">
      <c r="A294" s="1">
        <v>59</v>
      </c>
      <c r="B294" s="10" t="s">
        <v>174</v>
      </c>
      <c r="C294" s="11">
        <v>2014</v>
      </c>
      <c r="D294" s="12">
        <v>559016</v>
      </c>
      <c r="E294" s="12">
        <v>550990</v>
      </c>
      <c r="F294" s="12">
        <v>8026</v>
      </c>
      <c r="G294" s="13">
        <v>2.42</v>
      </c>
      <c r="H294" s="12">
        <v>234710</v>
      </c>
      <c r="I294" s="12">
        <v>228072</v>
      </c>
      <c r="J294" s="12">
        <v>6638</v>
      </c>
      <c r="K294" s="10">
        <v>2.83</v>
      </c>
      <c r="L294" s="13">
        <v>2.347535256</v>
      </c>
    </row>
    <row r="295" spans="1:12" x14ac:dyDescent="0.15">
      <c r="A295" s="1">
        <v>61</v>
      </c>
      <c r="B295" s="10" t="s">
        <v>175</v>
      </c>
      <c r="C295" s="11">
        <v>2014</v>
      </c>
      <c r="D295" s="12">
        <v>1393</v>
      </c>
      <c r="E295" s="12">
        <v>1372</v>
      </c>
      <c r="F295" s="12">
        <v>22</v>
      </c>
      <c r="G295" s="13">
        <v>2.31</v>
      </c>
      <c r="H295" s="12">
        <v>734</v>
      </c>
      <c r="I295" s="12">
        <v>594</v>
      </c>
      <c r="J295" s="12">
        <v>140</v>
      </c>
      <c r="K295" s="10">
        <v>19.12</v>
      </c>
      <c r="L295" s="13">
        <v>1.869209809</v>
      </c>
    </row>
    <row r="296" spans="1:12" x14ac:dyDescent="0.15">
      <c r="A296" s="1">
        <v>63</v>
      </c>
      <c r="B296" s="10" t="s">
        <v>176</v>
      </c>
      <c r="C296" s="11">
        <v>2014</v>
      </c>
      <c r="D296" s="12">
        <v>7664</v>
      </c>
      <c r="E296" s="12">
        <v>6982</v>
      </c>
      <c r="F296" s="12">
        <v>682</v>
      </c>
      <c r="G296" s="13">
        <v>2.39</v>
      </c>
      <c r="H296" s="12">
        <v>3402</v>
      </c>
      <c r="I296" s="12">
        <v>2919</v>
      </c>
      <c r="J296" s="12">
        <v>483</v>
      </c>
      <c r="K296" s="10">
        <v>14.2</v>
      </c>
      <c r="L296" s="13">
        <v>2.0523221629999999</v>
      </c>
    </row>
    <row r="297" spans="1:12" x14ac:dyDescent="0.15">
      <c r="A297" s="1">
        <v>65</v>
      </c>
      <c r="B297" s="10" t="s">
        <v>177</v>
      </c>
      <c r="C297" s="11">
        <v>2014</v>
      </c>
      <c r="D297" s="12">
        <v>7085</v>
      </c>
      <c r="E297" s="12">
        <v>6995</v>
      </c>
      <c r="F297" s="12">
        <v>90</v>
      </c>
      <c r="G297" s="13">
        <v>2.41</v>
      </c>
      <c r="H297" s="12">
        <v>4277</v>
      </c>
      <c r="I297" s="12">
        <v>2901</v>
      </c>
      <c r="J297" s="12">
        <v>1376</v>
      </c>
      <c r="K297" s="10">
        <v>32.17</v>
      </c>
      <c r="L297" s="13">
        <v>1.635492167</v>
      </c>
    </row>
    <row r="298" spans="1:12" x14ac:dyDescent="0.15">
      <c r="A298" s="1">
        <v>67</v>
      </c>
      <c r="B298" s="10" t="s">
        <v>178</v>
      </c>
      <c r="C298" s="11">
        <v>2014</v>
      </c>
      <c r="D298" s="12">
        <v>53557</v>
      </c>
      <c r="E298" s="12">
        <v>51603</v>
      </c>
      <c r="F298" s="12">
        <v>1954</v>
      </c>
      <c r="G298" s="13">
        <v>2.33</v>
      </c>
      <c r="H298" s="12">
        <v>26464</v>
      </c>
      <c r="I298" s="12">
        <v>22164</v>
      </c>
      <c r="J298" s="12">
        <v>4300</v>
      </c>
      <c r="K298" s="10">
        <v>16.25</v>
      </c>
      <c r="L298" s="13">
        <v>1.9499319829999999</v>
      </c>
    </row>
    <row r="299" spans="1:12" x14ac:dyDescent="0.15">
      <c r="A299" s="1">
        <v>69</v>
      </c>
      <c r="B299" s="10" t="s">
        <v>179</v>
      </c>
      <c r="C299" s="11">
        <v>2014</v>
      </c>
      <c r="D299" s="12">
        <v>324123</v>
      </c>
      <c r="E299" s="12">
        <v>314446</v>
      </c>
      <c r="F299" s="12">
        <v>9677</v>
      </c>
      <c r="G299" s="13">
        <v>2.41</v>
      </c>
      <c r="H299" s="12">
        <v>140988</v>
      </c>
      <c r="I299" s="12">
        <v>130211</v>
      </c>
      <c r="J299" s="12">
        <v>10777</v>
      </c>
      <c r="K299" s="10">
        <v>7.64</v>
      </c>
      <c r="L299" s="13">
        <v>2.230303288</v>
      </c>
    </row>
    <row r="300" spans="1:12" x14ac:dyDescent="0.15">
      <c r="A300" s="1">
        <v>71</v>
      </c>
      <c r="B300" s="10" t="s">
        <v>180</v>
      </c>
      <c r="C300" s="11">
        <v>2014</v>
      </c>
      <c r="D300" s="12">
        <v>15086</v>
      </c>
      <c r="E300" s="12">
        <v>14292</v>
      </c>
      <c r="F300" s="12">
        <v>794</v>
      </c>
      <c r="G300" s="13">
        <v>2.25</v>
      </c>
      <c r="H300" s="12">
        <v>7953</v>
      </c>
      <c r="I300" s="12">
        <v>6358</v>
      </c>
      <c r="J300" s="12">
        <v>1595</v>
      </c>
      <c r="K300" s="10">
        <v>20.05</v>
      </c>
      <c r="L300" s="13">
        <v>1.7970577139999999</v>
      </c>
    </row>
    <row r="301" spans="1:12" x14ac:dyDescent="0.15">
      <c r="A301" s="1">
        <v>73</v>
      </c>
      <c r="B301" s="10" t="s">
        <v>181</v>
      </c>
      <c r="C301" s="11">
        <v>2014</v>
      </c>
      <c r="D301" s="12">
        <v>5538</v>
      </c>
      <c r="E301" s="12">
        <v>4524</v>
      </c>
      <c r="F301" s="12">
        <v>1014</v>
      </c>
      <c r="G301" s="13">
        <v>2.3199999999999998</v>
      </c>
      <c r="H301" s="12">
        <v>2264</v>
      </c>
      <c r="I301" s="12">
        <v>1954</v>
      </c>
      <c r="J301" s="12">
        <v>310</v>
      </c>
      <c r="K301" s="10">
        <v>13.71</v>
      </c>
      <c r="L301" s="13">
        <v>1.998233216</v>
      </c>
    </row>
    <row r="302" spans="1:12" x14ac:dyDescent="0.15">
      <c r="A302" s="1">
        <v>75</v>
      </c>
      <c r="B302" s="10" t="s">
        <v>182</v>
      </c>
      <c r="C302" s="11">
        <v>2014</v>
      </c>
      <c r="D302" s="12">
        <v>21964</v>
      </c>
      <c r="E302" s="12">
        <v>18652</v>
      </c>
      <c r="F302" s="12">
        <v>3312</v>
      </c>
      <c r="G302" s="13">
        <v>2.33</v>
      </c>
      <c r="H302" s="12">
        <v>8547</v>
      </c>
      <c r="I302" s="12">
        <v>8010</v>
      </c>
      <c r="J302" s="12">
        <v>537</v>
      </c>
      <c r="K302" s="10">
        <v>6.28</v>
      </c>
      <c r="L302" s="13">
        <v>2.1822861819999999</v>
      </c>
    </row>
    <row r="303" spans="1:12" x14ac:dyDescent="0.15">
      <c r="A303" s="1">
        <v>77</v>
      </c>
      <c r="B303" s="10" t="s">
        <v>183</v>
      </c>
      <c r="C303" s="11">
        <v>2014</v>
      </c>
      <c r="D303" s="12">
        <v>147876</v>
      </c>
      <c r="E303" s="12">
        <v>143573</v>
      </c>
      <c r="F303" s="12">
        <v>4303</v>
      </c>
      <c r="G303" s="13">
        <v>2.44</v>
      </c>
      <c r="H303" s="12">
        <v>64108</v>
      </c>
      <c r="I303" s="12">
        <v>58864</v>
      </c>
      <c r="J303" s="12">
        <v>5244</v>
      </c>
      <c r="K303" s="10">
        <v>8.18</v>
      </c>
      <c r="L303" s="13">
        <v>2.2395488860000001</v>
      </c>
    </row>
    <row r="304" spans="1:12" x14ac:dyDescent="0.15">
      <c r="A304" s="1">
        <v>79</v>
      </c>
      <c r="B304" s="10" t="s">
        <v>184</v>
      </c>
      <c r="C304" s="11">
        <v>2014</v>
      </c>
      <c r="D304" s="12">
        <v>747</v>
      </c>
      <c r="E304" s="12">
        <v>747</v>
      </c>
      <c r="F304" s="12">
        <v>0</v>
      </c>
      <c r="G304" s="13">
        <v>2.02</v>
      </c>
      <c r="H304" s="12">
        <v>1130</v>
      </c>
      <c r="I304" s="12">
        <v>370</v>
      </c>
      <c r="J304" s="12">
        <v>760</v>
      </c>
      <c r="K304" s="10">
        <v>67.28</v>
      </c>
      <c r="L304" s="13">
        <v>0.66106194699999998</v>
      </c>
    </row>
    <row r="305" spans="1:12" x14ac:dyDescent="0.15">
      <c r="A305" s="1">
        <v>81</v>
      </c>
      <c r="B305" s="10" t="s">
        <v>185</v>
      </c>
      <c r="C305" s="11">
        <v>2014</v>
      </c>
      <c r="D305" s="12">
        <v>13016</v>
      </c>
      <c r="E305" s="12">
        <v>12907</v>
      </c>
      <c r="F305" s="12">
        <v>109</v>
      </c>
      <c r="G305" s="13">
        <v>2.4900000000000002</v>
      </c>
      <c r="H305" s="12">
        <v>5999</v>
      </c>
      <c r="I305" s="12">
        <v>5189</v>
      </c>
      <c r="J305" s="12">
        <v>810</v>
      </c>
      <c r="K305" s="10">
        <v>13.51</v>
      </c>
      <c r="L305" s="13">
        <v>2.1515252540000001</v>
      </c>
    </row>
    <row r="306" spans="1:12" x14ac:dyDescent="0.15">
      <c r="A306" s="1">
        <v>83</v>
      </c>
      <c r="B306" s="10" t="s">
        <v>186</v>
      </c>
      <c r="C306" s="11">
        <v>2014</v>
      </c>
      <c r="D306" s="12">
        <v>25464</v>
      </c>
      <c r="E306" s="12">
        <v>25206</v>
      </c>
      <c r="F306" s="12">
        <v>258</v>
      </c>
      <c r="G306" s="13">
        <v>2.39</v>
      </c>
      <c r="H306" s="12">
        <v>11966</v>
      </c>
      <c r="I306" s="12">
        <v>10564</v>
      </c>
      <c r="J306" s="12">
        <v>1402</v>
      </c>
      <c r="K306" s="10">
        <v>11.72</v>
      </c>
      <c r="L306" s="13">
        <v>2.106468327</v>
      </c>
    </row>
    <row r="307" spans="1:12" x14ac:dyDescent="0.15">
      <c r="A307" s="1">
        <v>85</v>
      </c>
      <c r="B307" s="10" t="s">
        <v>187</v>
      </c>
      <c r="C307" s="11">
        <v>2014</v>
      </c>
      <c r="D307" s="12">
        <v>41388</v>
      </c>
      <c r="E307" s="12">
        <v>40799</v>
      </c>
      <c r="F307" s="12">
        <v>589</v>
      </c>
      <c r="G307" s="13">
        <v>2.44</v>
      </c>
      <c r="H307" s="12">
        <v>17608</v>
      </c>
      <c r="I307" s="12">
        <v>16695</v>
      </c>
      <c r="J307" s="12">
        <v>913</v>
      </c>
      <c r="K307" s="10">
        <v>5.19</v>
      </c>
      <c r="L307" s="13">
        <v>2.3170717860000001</v>
      </c>
    </row>
    <row r="308" spans="1:12" x14ac:dyDescent="0.15">
      <c r="A308" s="1">
        <v>87</v>
      </c>
      <c r="B308" s="10" t="s">
        <v>188</v>
      </c>
      <c r="C308" s="11">
        <v>2014</v>
      </c>
      <c r="D308" s="12">
        <v>28162</v>
      </c>
      <c r="E308" s="12">
        <v>27638</v>
      </c>
      <c r="F308" s="12">
        <v>524</v>
      </c>
      <c r="G308" s="13">
        <v>2.67</v>
      </c>
      <c r="H308" s="12">
        <v>11069</v>
      </c>
      <c r="I308" s="12">
        <v>10347</v>
      </c>
      <c r="J308" s="12">
        <v>722</v>
      </c>
      <c r="K308" s="10">
        <v>6.52</v>
      </c>
      <c r="L308" s="13">
        <v>2.4968831869999999</v>
      </c>
    </row>
    <row r="309" spans="1:12" x14ac:dyDescent="0.15">
      <c r="A309" s="1">
        <v>89</v>
      </c>
      <c r="B309" s="10" t="s">
        <v>189</v>
      </c>
      <c r="C309" s="11">
        <v>2014</v>
      </c>
      <c r="D309" s="12">
        <v>18779</v>
      </c>
      <c r="E309" s="12">
        <v>18352</v>
      </c>
      <c r="F309" s="12">
        <v>427</v>
      </c>
      <c r="G309" s="13">
        <v>2.38</v>
      </c>
      <c r="H309" s="12">
        <v>8700</v>
      </c>
      <c r="I309" s="12">
        <v>7710</v>
      </c>
      <c r="J309" s="12">
        <v>990</v>
      </c>
      <c r="K309" s="10">
        <v>11.38</v>
      </c>
      <c r="L309" s="13">
        <v>2.1094252870000001</v>
      </c>
    </row>
    <row r="310" spans="1:12" x14ac:dyDescent="0.15">
      <c r="A310" s="1">
        <v>91</v>
      </c>
      <c r="B310" s="10" t="s">
        <v>190</v>
      </c>
      <c r="C310" s="11">
        <v>2014</v>
      </c>
      <c r="D310" s="12">
        <v>4528</v>
      </c>
      <c r="E310" s="12">
        <v>4528</v>
      </c>
      <c r="F310" s="12">
        <v>0</v>
      </c>
      <c r="G310" s="13">
        <v>2.17</v>
      </c>
      <c r="H310" s="12">
        <v>3126</v>
      </c>
      <c r="I310" s="12">
        <v>2091</v>
      </c>
      <c r="J310" s="12">
        <v>1035</v>
      </c>
      <c r="K310" s="10">
        <v>33.11</v>
      </c>
      <c r="L310" s="13">
        <v>1.4484964810000001</v>
      </c>
    </row>
    <row r="311" spans="1:12" x14ac:dyDescent="0.15">
      <c r="A311" s="1">
        <v>93</v>
      </c>
      <c r="B311" s="10" t="s">
        <v>191</v>
      </c>
      <c r="C311" s="11">
        <v>2014</v>
      </c>
      <c r="D311" s="12">
        <v>15778</v>
      </c>
      <c r="E311" s="12">
        <v>15711</v>
      </c>
      <c r="F311" s="12">
        <v>67</v>
      </c>
      <c r="G311" s="13">
        <v>2.2400000000000002</v>
      </c>
      <c r="H311" s="12">
        <v>13811</v>
      </c>
      <c r="I311" s="12">
        <v>7024</v>
      </c>
      <c r="J311" s="12">
        <v>6787</v>
      </c>
      <c r="K311" s="10">
        <v>49.14</v>
      </c>
      <c r="L311" s="13">
        <v>1.137571501</v>
      </c>
    </row>
    <row r="312" spans="1:12" x14ac:dyDescent="0.15">
      <c r="A312" s="1">
        <v>95</v>
      </c>
      <c r="B312" s="10" t="s">
        <v>192</v>
      </c>
      <c r="C312" s="11">
        <v>2014</v>
      </c>
      <c r="D312" s="12">
        <v>4494</v>
      </c>
      <c r="E312" s="12">
        <v>4430</v>
      </c>
      <c r="F312" s="12">
        <v>64</v>
      </c>
      <c r="G312" s="13">
        <v>2.4300000000000002</v>
      </c>
      <c r="H312" s="12">
        <v>1967</v>
      </c>
      <c r="I312" s="12">
        <v>1826</v>
      </c>
      <c r="J312" s="12">
        <v>141</v>
      </c>
      <c r="K312" s="10">
        <v>7.18</v>
      </c>
      <c r="L312" s="13">
        <v>2.2521606510000001</v>
      </c>
    </row>
    <row r="313" spans="1:12" x14ac:dyDescent="0.15">
      <c r="A313" s="1">
        <v>97</v>
      </c>
      <c r="B313" s="10" t="s">
        <v>193</v>
      </c>
      <c r="C313" s="11">
        <v>2014</v>
      </c>
      <c r="D313" s="12">
        <v>17521</v>
      </c>
      <c r="E313" s="12">
        <v>17449</v>
      </c>
      <c r="F313" s="12">
        <v>72</v>
      </c>
      <c r="G313" s="13">
        <v>2.12</v>
      </c>
      <c r="H313" s="12">
        <v>12780</v>
      </c>
      <c r="I313" s="12">
        <v>8237</v>
      </c>
      <c r="J313" s="12">
        <v>4543</v>
      </c>
      <c r="K313" s="10">
        <v>35.549999999999997</v>
      </c>
      <c r="L313" s="13">
        <v>1.365336463</v>
      </c>
    </row>
    <row r="314" spans="1:12" x14ac:dyDescent="0.15">
      <c r="A314" s="1">
        <v>99</v>
      </c>
      <c r="B314" s="10" t="s">
        <v>194</v>
      </c>
      <c r="C314" s="11">
        <v>2014</v>
      </c>
      <c r="D314" s="12">
        <v>12023</v>
      </c>
      <c r="E314" s="12">
        <v>11687</v>
      </c>
      <c r="F314" s="12">
        <v>336</v>
      </c>
      <c r="G314" s="13">
        <v>2.46</v>
      </c>
      <c r="H314" s="12">
        <v>5437</v>
      </c>
      <c r="I314" s="12">
        <v>4756</v>
      </c>
      <c r="J314" s="12">
        <v>681</v>
      </c>
      <c r="K314" s="10">
        <v>12.52</v>
      </c>
      <c r="L314" s="13">
        <v>2.1495309909999998</v>
      </c>
    </row>
    <row r="315" spans="1:12" x14ac:dyDescent="0.15">
      <c r="A315" s="1">
        <v>101</v>
      </c>
      <c r="B315" s="10" t="s">
        <v>195</v>
      </c>
      <c r="C315" s="11">
        <v>2014</v>
      </c>
      <c r="D315" s="12">
        <v>160867</v>
      </c>
      <c r="E315" s="12">
        <v>156926</v>
      </c>
      <c r="F315" s="12">
        <v>3941</v>
      </c>
      <c r="G315" s="13">
        <v>2.46</v>
      </c>
      <c r="H315" s="12">
        <v>70410</v>
      </c>
      <c r="I315" s="12">
        <v>63902</v>
      </c>
      <c r="J315" s="12">
        <v>6508</v>
      </c>
      <c r="K315" s="10">
        <v>9.24</v>
      </c>
      <c r="L315" s="13">
        <v>2.2287459169999999</v>
      </c>
    </row>
    <row r="316" spans="1:12" x14ac:dyDescent="0.15">
      <c r="A316" s="1">
        <v>103</v>
      </c>
      <c r="B316" s="10" t="s">
        <v>196</v>
      </c>
      <c r="C316" s="11">
        <v>2014</v>
      </c>
      <c r="D316" s="12">
        <v>6644</v>
      </c>
      <c r="E316" s="12">
        <v>6354</v>
      </c>
      <c r="F316" s="12">
        <v>290</v>
      </c>
      <c r="G316" s="13">
        <v>2.4300000000000002</v>
      </c>
      <c r="H316" s="12">
        <v>3223</v>
      </c>
      <c r="I316" s="12">
        <v>2614</v>
      </c>
      <c r="J316" s="12">
        <v>609</v>
      </c>
      <c r="K316" s="10">
        <v>18.91</v>
      </c>
      <c r="L316" s="13">
        <v>1.9714551659999999</v>
      </c>
    </row>
    <row r="317" spans="1:12" x14ac:dyDescent="0.15">
      <c r="A317" s="1">
        <v>105</v>
      </c>
      <c r="B317" s="10" t="s">
        <v>197</v>
      </c>
      <c r="C317" s="11">
        <v>2014</v>
      </c>
      <c r="D317" s="12">
        <v>11823</v>
      </c>
      <c r="E317" s="12">
        <v>11651</v>
      </c>
      <c r="F317" s="12">
        <v>172</v>
      </c>
      <c r="G317" s="13">
        <v>2.4300000000000002</v>
      </c>
      <c r="H317" s="12">
        <v>6384</v>
      </c>
      <c r="I317" s="12">
        <v>4789</v>
      </c>
      <c r="J317" s="12">
        <v>1595</v>
      </c>
      <c r="K317" s="10">
        <v>24.99</v>
      </c>
      <c r="L317" s="13">
        <v>1.8250313279999999</v>
      </c>
    </row>
    <row r="318" spans="1:12" x14ac:dyDescent="0.15">
      <c r="A318" s="1">
        <v>107</v>
      </c>
      <c r="B318" s="10" t="s">
        <v>198</v>
      </c>
      <c r="C318" s="11">
        <v>2014</v>
      </c>
      <c r="D318" s="12">
        <v>23659</v>
      </c>
      <c r="E318" s="12">
        <v>23318</v>
      </c>
      <c r="F318" s="12">
        <v>341</v>
      </c>
      <c r="G318" s="13">
        <v>2.35</v>
      </c>
      <c r="H318" s="12">
        <v>15725</v>
      </c>
      <c r="I318" s="12">
        <v>9932</v>
      </c>
      <c r="J318" s="12">
        <v>5793</v>
      </c>
      <c r="K318" s="10">
        <v>36.840000000000003</v>
      </c>
      <c r="L318" s="13">
        <v>1.482861685</v>
      </c>
    </row>
    <row r="319" spans="1:12" x14ac:dyDescent="0.15">
      <c r="A319" s="1">
        <v>109</v>
      </c>
      <c r="B319" s="10" t="s">
        <v>199</v>
      </c>
      <c r="C319" s="11">
        <v>2014</v>
      </c>
      <c r="D319" s="12">
        <v>6175</v>
      </c>
      <c r="E319" s="12">
        <v>6151</v>
      </c>
      <c r="F319" s="12">
        <v>24</v>
      </c>
      <c r="G319" s="13">
        <v>2.2799999999999998</v>
      </c>
      <c r="H319" s="12">
        <v>3353</v>
      </c>
      <c r="I319" s="12">
        <v>2699</v>
      </c>
      <c r="J319" s="12">
        <v>654</v>
      </c>
      <c r="K319" s="10">
        <v>19.510000000000002</v>
      </c>
      <c r="L319" s="13">
        <v>1.834476588</v>
      </c>
    </row>
    <row r="320" spans="1:12" x14ac:dyDescent="0.15">
      <c r="A320" s="1">
        <v>111</v>
      </c>
      <c r="B320" s="10" t="s">
        <v>200</v>
      </c>
      <c r="C320" s="11">
        <v>2014</v>
      </c>
      <c r="D320" s="12">
        <v>700</v>
      </c>
      <c r="E320" s="12">
        <v>700</v>
      </c>
      <c r="F320" s="12">
        <v>0</v>
      </c>
      <c r="G320" s="13">
        <v>1.98</v>
      </c>
      <c r="H320" s="12">
        <v>747</v>
      </c>
      <c r="I320" s="12">
        <v>353</v>
      </c>
      <c r="J320" s="12">
        <v>394</v>
      </c>
      <c r="K320" s="10">
        <v>52.76</v>
      </c>
      <c r="L320" s="13">
        <v>0.93708166000000004</v>
      </c>
    </row>
    <row r="321" spans="1:12" x14ac:dyDescent="0.15">
      <c r="A321" s="1">
        <v>113</v>
      </c>
      <c r="B321" s="10" t="s">
        <v>201</v>
      </c>
      <c r="C321" s="11">
        <v>2014</v>
      </c>
      <c r="D321" s="12">
        <v>7728</v>
      </c>
      <c r="E321" s="12">
        <v>7561</v>
      </c>
      <c r="F321" s="12">
        <v>167</v>
      </c>
      <c r="G321" s="13">
        <v>2.17</v>
      </c>
      <c r="H321" s="12">
        <v>6238</v>
      </c>
      <c r="I321" s="12">
        <v>3477</v>
      </c>
      <c r="J321" s="12">
        <v>2761</v>
      </c>
      <c r="K321" s="10">
        <v>44.26</v>
      </c>
      <c r="L321" s="13">
        <v>1.2120872069999999</v>
      </c>
    </row>
    <row r="322" spans="1:12" x14ac:dyDescent="0.15">
      <c r="A322" s="1">
        <v>115</v>
      </c>
      <c r="B322" s="10" t="s">
        <v>202</v>
      </c>
      <c r="C322" s="11">
        <v>2014</v>
      </c>
      <c r="D322" s="12">
        <v>2384</v>
      </c>
      <c r="E322" s="12">
        <v>2345</v>
      </c>
      <c r="F322" s="12">
        <v>38</v>
      </c>
      <c r="G322" s="13">
        <v>2.16</v>
      </c>
      <c r="H322" s="12">
        <v>1330</v>
      </c>
      <c r="I322" s="12">
        <v>1086</v>
      </c>
      <c r="J322" s="12">
        <v>244</v>
      </c>
      <c r="K322" s="10">
        <v>18.32</v>
      </c>
      <c r="L322" s="13">
        <v>1.763157895</v>
      </c>
    </row>
    <row r="323" spans="1:12" x14ac:dyDescent="0.15">
      <c r="A323" s="1">
        <v>117</v>
      </c>
      <c r="B323" s="10" t="s">
        <v>203</v>
      </c>
      <c r="C323" s="11">
        <v>2014</v>
      </c>
      <c r="D323" s="12">
        <v>29496</v>
      </c>
      <c r="E323" s="12">
        <v>29109</v>
      </c>
      <c r="F323" s="12">
        <v>387</v>
      </c>
      <c r="G323" s="13">
        <v>2.36</v>
      </c>
      <c r="H323" s="12">
        <v>30034</v>
      </c>
      <c r="I323" s="12">
        <v>12342</v>
      </c>
      <c r="J323" s="12">
        <v>17692</v>
      </c>
      <c r="K323" s="10">
        <v>58.91</v>
      </c>
      <c r="L323" s="13">
        <v>0.96920157200000001</v>
      </c>
    </row>
    <row r="324" spans="1:12" x14ac:dyDescent="0.15">
      <c r="A324" s="1">
        <v>119</v>
      </c>
      <c r="B324" s="10" t="s">
        <v>204</v>
      </c>
      <c r="C324" s="11">
        <v>2014</v>
      </c>
      <c r="D324" s="12">
        <v>23121</v>
      </c>
      <c r="E324" s="12">
        <v>22970</v>
      </c>
      <c r="F324" s="12">
        <v>151</v>
      </c>
      <c r="G324" s="13">
        <v>2.34</v>
      </c>
      <c r="H324" s="12">
        <v>12772</v>
      </c>
      <c r="I324" s="12">
        <v>9796</v>
      </c>
      <c r="J324" s="12">
        <v>2976</v>
      </c>
      <c r="K324" s="10">
        <v>23.3</v>
      </c>
      <c r="L324" s="13">
        <v>1.7984653930000001</v>
      </c>
    </row>
    <row r="325" spans="1:12" x14ac:dyDescent="0.15">
      <c r="A325" s="1">
        <v>121</v>
      </c>
      <c r="B325" s="10" t="s">
        <v>205</v>
      </c>
      <c r="C325" s="11">
        <v>2014</v>
      </c>
      <c r="D325" s="12">
        <v>4617</v>
      </c>
      <c r="E325" s="12">
        <v>4537</v>
      </c>
      <c r="F325" s="12">
        <v>80</v>
      </c>
      <c r="G325" s="13">
        <v>2.37</v>
      </c>
      <c r="H325" s="12">
        <v>2205</v>
      </c>
      <c r="I325" s="12">
        <v>1918</v>
      </c>
      <c r="J325" s="12">
        <v>287</v>
      </c>
      <c r="K325" s="10">
        <v>13</v>
      </c>
      <c r="L325" s="13">
        <v>2.0575963719999999</v>
      </c>
    </row>
    <row r="326" spans="1:12" x14ac:dyDescent="0.15">
      <c r="A326" s="1">
        <v>123</v>
      </c>
      <c r="B326" s="10" t="s">
        <v>206</v>
      </c>
      <c r="C326" s="11">
        <v>2014</v>
      </c>
      <c r="D326" s="12">
        <v>275994</v>
      </c>
      <c r="E326" s="12">
        <v>270649</v>
      </c>
      <c r="F326" s="12">
        <v>5345</v>
      </c>
      <c r="G326" s="13">
        <v>2.79</v>
      </c>
      <c r="H326" s="12">
        <v>101046</v>
      </c>
      <c r="I326" s="12">
        <v>96834</v>
      </c>
      <c r="J326" s="12">
        <v>4212</v>
      </c>
      <c r="K326" s="10">
        <v>4.17</v>
      </c>
      <c r="L326" s="13">
        <v>2.6784731709999998</v>
      </c>
    </row>
    <row r="327" spans="1:12" x14ac:dyDescent="0.15">
      <c r="A327" s="1">
        <v>125</v>
      </c>
      <c r="B327" s="10" t="s">
        <v>207</v>
      </c>
      <c r="C327" s="11">
        <v>2014</v>
      </c>
      <c r="D327" s="12">
        <v>10188</v>
      </c>
      <c r="E327" s="12">
        <v>9823</v>
      </c>
      <c r="F327" s="12">
        <v>365</v>
      </c>
      <c r="G327" s="13">
        <v>2.5099999999999998</v>
      </c>
      <c r="H327" s="12">
        <v>4265</v>
      </c>
      <c r="I327" s="12">
        <v>3911</v>
      </c>
      <c r="J327" s="12">
        <v>354</v>
      </c>
      <c r="K327" s="10">
        <v>8.3000000000000007</v>
      </c>
      <c r="L327" s="13">
        <v>2.3031652990000002</v>
      </c>
    </row>
    <row r="328" spans="1:12" x14ac:dyDescent="0.15">
      <c r="A328" s="1">
        <v>0</v>
      </c>
      <c r="B328" s="10" t="s">
        <v>143</v>
      </c>
      <c r="C328" s="11">
        <v>2015</v>
      </c>
      <c r="D328" s="12">
        <v>5446594</v>
      </c>
      <c r="E328" s="12">
        <v>5322337</v>
      </c>
      <c r="F328" s="12">
        <v>124256</v>
      </c>
      <c r="G328" s="13">
        <v>2.5</v>
      </c>
      <c r="H328" s="12">
        <v>2310630</v>
      </c>
      <c r="I328" s="12">
        <v>2132504</v>
      </c>
      <c r="J328" s="12">
        <v>178126</v>
      </c>
      <c r="K328" s="10">
        <v>7.71</v>
      </c>
      <c r="L328" s="13">
        <v>2.3034137879999999</v>
      </c>
    </row>
    <row r="329" spans="1:12" x14ac:dyDescent="0.15">
      <c r="A329" s="1">
        <v>1</v>
      </c>
      <c r="B329" s="10" t="s">
        <v>144</v>
      </c>
      <c r="C329" s="11">
        <v>2015</v>
      </c>
      <c r="D329" s="12">
        <v>490351</v>
      </c>
      <c r="E329" s="12">
        <v>486126</v>
      </c>
      <c r="F329" s="12">
        <v>4225</v>
      </c>
      <c r="G329" s="13">
        <v>2.87</v>
      </c>
      <c r="H329" s="12">
        <v>171361</v>
      </c>
      <c r="I329" s="12">
        <v>169630</v>
      </c>
      <c r="J329" s="12">
        <v>1731</v>
      </c>
      <c r="K329" s="10">
        <v>1.01</v>
      </c>
      <c r="L329" s="13">
        <v>2.8368531930000001</v>
      </c>
    </row>
    <row r="330" spans="1:12" x14ac:dyDescent="0.15">
      <c r="A330" s="1">
        <v>3</v>
      </c>
      <c r="B330" s="10" t="s">
        <v>145</v>
      </c>
      <c r="C330" s="11">
        <v>2015</v>
      </c>
      <c r="D330" s="12">
        <v>15885</v>
      </c>
      <c r="E330" s="12">
        <v>15020</v>
      </c>
      <c r="F330" s="12">
        <v>865</v>
      </c>
      <c r="G330" s="13">
        <v>2.44</v>
      </c>
      <c r="H330" s="12">
        <v>6807</v>
      </c>
      <c r="I330" s="12">
        <v>6163</v>
      </c>
      <c r="J330" s="12">
        <v>644</v>
      </c>
      <c r="K330" s="10">
        <v>9.4600000000000009</v>
      </c>
      <c r="L330" s="13">
        <v>2.2065520790000002</v>
      </c>
    </row>
    <row r="331" spans="1:12" x14ac:dyDescent="0.15">
      <c r="A331" s="1">
        <v>5</v>
      </c>
      <c r="B331" s="10" t="s">
        <v>146</v>
      </c>
      <c r="C331" s="11">
        <v>2015</v>
      </c>
      <c r="D331" s="12">
        <v>629965</v>
      </c>
      <c r="E331" s="12">
        <v>625080</v>
      </c>
      <c r="F331" s="12">
        <v>4885</v>
      </c>
      <c r="G331" s="13">
        <v>2.56</v>
      </c>
      <c r="H331" s="12">
        <v>247801</v>
      </c>
      <c r="I331" s="12">
        <v>243773</v>
      </c>
      <c r="J331" s="12">
        <v>4028</v>
      </c>
      <c r="K331" s="10">
        <v>1.63</v>
      </c>
      <c r="L331" s="13">
        <v>2.5225079799999999</v>
      </c>
    </row>
    <row r="332" spans="1:12" x14ac:dyDescent="0.15">
      <c r="A332" s="1">
        <v>7</v>
      </c>
      <c r="B332" s="10" t="s">
        <v>147</v>
      </c>
      <c r="C332" s="11">
        <v>2015</v>
      </c>
      <c r="D332" s="12">
        <v>12009</v>
      </c>
      <c r="E332" s="12">
        <v>11900</v>
      </c>
      <c r="F332" s="12">
        <v>109</v>
      </c>
      <c r="G332" s="13">
        <v>2.2799999999999998</v>
      </c>
      <c r="H332" s="12">
        <v>8952</v>
      </c>
      <c r="I332" s="12">
        <v>5218</v>
      </c>
      <c r="J332" s="12">
        <v>3734</v>
      </c>
      <c r="K332" s="10">
        <v>41.71</v>
      </c>
      <c r="L332" s="13">
        <v>1.3293118859999999</v>
      </c>
    </row>
    <row r="333" spans="1:12" x14ac:dyDescent="0.15">
      <c r="A333" s="1">
        <v>9</v>
      </c>
      <c r="B333" s="10" t="s">
        <v>148</v>
      </c>
      <c r="C333" s="11">
        <v>2015</v>
      </c>
      <c r="D333" s="12">
        <v>3530</v>
      </c>
      <c r="E333" s="12">
        <v>3470</v>
      </c>
      <c r="F333" s="12">
        <v>60</v>
      </c>
      <c r="G333" s="13">
        <v>2.12</v>
      </c>
      <c r="H333" s="12">
        <v>1968</v>
      </c>
      <c r="I333" s="12">
        <v>1634</v>
      </c>
      <c r="J333" s="12">
        <v>334</v>
      </c>
      <c r="K333" s="10">
        <v>16.97</v>
      </c>
      <c r="L333" s="13">
        <v>1.7632113819999999</v>
      </c>
    </row>
    <row r="334" spans="1:12" x14ac:dyDescent="0.15">
      <c r="A334" s="1">
        <v>11</v>
      </c>
      <c r="B334" s="10" t="s">
        <v>149</v>
      </c>
      <c r="C334" s="11">
        <v>2015</v>
      </c>
      <c r="D334" s="12">
        <v>5966</v>
      </c>
      <c r="E334" s="12">
        <v>4059</v>
      </c>
      <c r="F334" s="12">
        <v>1907</v>
      </c>
      <c r="G334" s="13">
        <v>2.31</v>
      </c>
      <c r="H334" s="12">
        <v>2124</v>
      </c>
      <c r="I334" s="12">
        <v>1758</v>
      </c>
      <c r="J334" s="12">
        <v>366</v>
      </c>
      <c r="K334" s="10">
        <v>17.25</v>
      </c>
      <c r="L334" s="13">
        <v>1.911016949</v>
      </c>
    </row>
    <row r="335" spans="1:12" x14ac:dyDescent="0.15">
      <c r="A335" s="1">
        <v>13</v>
      </c>
      <c r="B335" s="10" t="s">
        <v>150</v>
      </c>
      <c r="C335" s="11">
        <v>2015</v>
      </c>
      <c r="D335" s="12">
        <v>320352</v>
      </c>
      <c r="E335" s="12">
        <v>307247</v>
      </c>
      <c r="F335" s="12">
        <v>13105</v>
      </c>
      <c r="G335" s="13">
        <v>2.39</v>
      </c>
      <c r="H335" s="12">
        <v>132127</v>
      </c>
      <c r="I335" s="12">
        <v>128728</v>
      </c>
      <c r="J335" s="12">
        <v>3399</v>
      </c>
      <c r="K335" s="10">
        <v>2.57</v>
      </c>
      <c r="L335" s="13">
        <v>2.3253914789999999</v>
      </c>
    </row>
    <row r="336" spans="1:12" x14ac:dyDescent="0.15">
      <c r="A336" s="1">
        <v>14</v>
      </c>
      <c r="B336" s="10" t="s">
        <v>151</v>
      </c>
      <c r="C336" s="11">
        <v>2015</v>
      </c>
      <c r="D336" s="12">
        <v>65831</v>
      </c>
      <c r="E336" s="12">
        <v>65577</v>
      </c>
      <c r="F336" s="12">
        <v>254</v>
      </c>
      <c r="G336" s="13">
        <v>2.54</v>
      </c>
      <c r="H336" s="12">
        <v>27750</v>
      </c>
      <c r="I336" s="12">
        <v>25834</v>
      </c>
      <c r="J336" s="12">
        <v>1916</v>
      </c>
      <c r="K336" s="10">
        <v>6.9</v>
      </c>
      <c r="L336" s="13">
        <v>2.3631351349999998</v>
      </c>
    </row>
    <row r="337" spans="1:12" x14ac:dyDescent="0.15">
      <c r="A337" s="1">
        <v>15</v>
      </c>
      <c r="B337" s="10" t="s">
        <v>152</v>
      </c>
      <c r="C337" s="11">
        <v>2015</v>
      </c>
      <c r="D337" s="12">
        <v>18108</v>
      </c>
      <c r="E337" s="12">
        <v>16713</v>
      </c>
      <c r="F337" s="12">
        <v>1395</v>
      </c>
      <c r="G337" s="13">
        <v>2.16</v>
      </c>
      <c r="H337" s="12">
        <v>10183</v>
      </c>
      <c r="I337" s="12">
        <v>7749</v>
      </c>
      <c r="J337" s="12">
        <v>2434</v>
      </c>
      <c r="K337" s="10">
        <v>23.9</v>
      </c>
      <c r="L337" s="13">
        <v>1.641264853</v>
      </c>
    </row>
    <row r="338" spans="1:12" x14ac:dyDescent="0.15">
      <c r="A338" s="1">
        <v>17</v>
      </c>
      <c r="B338" s="10" t="s">
        <v>153</v>
      </c>
      <c r="C338" s="11">
        <v>2015</v>
      </c>
      <c r="D338" s="12">
        <v>1806</v>
      </c>
      <c r="E338" s="12">
        <v>1764</v>
      </c>
      <c r="F338" s="12">
        <v>42</v>
      </c>
      <c r="G338" s="13">
        <v>2.2999999999999998</v>
      </c>
      <c r="H338" s="12">
        <v>886</v>
      </c>
      <c r="I338" s="12">
        <v>768</v>
      </c>
      <c r="J338" s="12">
        <v>118</v>
      </c>
      <c r="K338" s="10">
        <v>13.3</v>
      </c>
      <c r="L338" s="13">
        <v>1.9909706549999999</v>
      </c>
    </row>
    <row r="339" spans="1:12" x14ac:dyDescent="0.15">
      <c r="A339" s="1">
        <v>19</v>
      </c>
      <c r="B339" s="10" t="s">
        <v>154</v>
      </c>
      <c r="C339" s="11">
        <v>2015</v>
      </c>
      <c r="D339" s="12">
        <v>9158</v>
      </c>
      <c r="E339" s="12">
        <v>9047</v>
      </c>
      <c r="F339" s="12">
        <v>111</v>
      </c>
      <c r="G339" s="13">
        <v>2.13</v>
      </c>
      <c r="H339" s="12">
        <v>5544</v>
      </c>
      <c r="I339" s="12">
        <v>4243</v>
      </c>
      <c r="J339" s="12">
        <v>1301</v>
      </c>
      <c r="K339" s="10">
        <v>23.46</v>
      </c>
      <c r="L339" s="13">
        <v>1.6318542570000001</v>
      </c>
    </row>
    <row r="340" spans="1:12" x14ac:dyDescent="0.15">
      <c r="A340" s="1">
        <v>21</v>
      </c>
      <c r="B340" s="10" t="s">
        <v>155</v>
      </c>
      <c r="C340" s="11">
        <v>2015</v>
      </c>
      <c r="D340" s="12">
        <v>7930</v>
      </c>
      <c r="E340" s="12">
        <v>7881</v>
      </c>
      <c r="F340" s="12">
        <v>50</v>
      </c>
      <c r="G340" s="13">
        <v>2.6</v>
      </c>
      <c r="H340" s="12">
        <v>3885</v>
      </c>
      <c r="I340" s="12">
        <v>3036</v>
      </c>
      <c r="J340" s="12">
        <v>849</v>
      </c>
      <c r="K340" s="10">
        <v>21.85</v>
      </c>
      <c r="L340" s="13">
        <v>2.0285714289999999</v>
      </c>
    </row>
    <row r="341" spans="1:12" x14ac:dyDescent="0.15">
      <c r="A341" s="1">
        <v>23</v>
      </c>
      <c r="B341" s="10" t="s">
        <v>156</v>
      </c>
      <c r="C341" s="11">
        <v>2015</v>
      </c>
      <c r="D341" s="12">
        <v>3516</v>
      </c>
      <c r="E341" s="12">
        <v>3516</v>
      </c>
      <c r="F341" s="12">
        <v>0</v>
      </c>
      <c r="G341" s="13">
        <v>2.23</v>
      </c>
      <c r="H341" s="12">
        <v>2310</v>
      </c>
      <c r="I341" s="12">
        <v>1575</v>
      </c>
      <c r="J341" s="12">
        <v>735</v>
      </c>
      <c r="K341" s="10">
        <v>31.84</v>
      </c>
      <c r="L341" s="13">
        <v>1.522077922</v>
      </c>
    </row>
    <row r="342" spans="1:12" x14ac:dyDescent="0.15">
      <c r="A342" s="1">
        <v>25</v>
      </c>
      <c r="B342" s="10" t="s">
        <v>157</v>
      </c>
      <c r="C342" s="11">
        <v>2015</v>
      </c>
      <c r="D342" s="12">
        <v>5839</v>
      </c>
      <c r="E342" s="12">
        <v>3077</v>
      </c>
      <c r="F342" s="12">
        <v>2762</v>
      </c>
      <c r="G342" s="13">
        <v>2.36</v>
      </c>
      <c r="H342" s="12">
        <v>1495</v>
      </c>
      <c r="I342" s="12">
        <v>1304</v>
      </c>
      <c r="J342" s="12">
        <v>191</v>
      </c>
      <c r="K342" s="10">
        <v>12.81</v>
      </c>
      <c r="L342" s="13">
        <v>2.05819398</v>
      </c>
    </row>
    <row r="343" spans="1:12" x14ac:dyDescent="0.15">
      <c r="A343" s="1">
        <v>27</v>
      </c>
      <c r="B343" s="10" t="s">
        <v>158</v>
      </c>
      <c r="C343" s="11">
        <v>2015</v>
      </c>
      <c r="D343" s="12">
        <v>4467</v>
      </c>
      <c r="E343" s="12">
        <v>4454</v>
      </c>
      <c r="F343" s="12">
        <v>13</v>
      </c>
      <c r="G343" s="13">
        <v>2.12</v>
      </c>
      <c r="H343" s="12">
        <v>3863</v>
      </c>
      <c r="I343" s="12">
        <v>2097</v>
      </c>
      <c r="J343" s="12">
        <v>1766</v>
      </c>
      <c r="K343" s="10">
        <v>45.71</v>
      </c>
      <c r="L343" s="13">
        <v>1.152989904</v>
      </c>
    </row>
    <row r="344" spans="1:12" x14ac:dyDescent="0.15">
      <c r="A344" s="1">
        <v>29</v>
      </c>
      <c r="B344" s="10" t="s">
        <v>159</v>
      </c>
      <c r="C344" s="11">
        <v>2015</v>
      </c>
      <c r="D344" s="12">
        <v>30039</v>
      </c>
      <c r="E344" s="12">
        <v>29267</v>
      </c>
      <c r="F344" s="12">
        <v>772</v>
      </c>
      <c r="G344" s="13">
        <v>2.35</v>
      </c>
      <c r="H344" s="12">
        <v>14673</v>
      </c>
      <c r="I344" s="12">
        <v>12436</v>
      </c>
      <c r="J344" s="12">
        <v>2237</v>
      </c>
      <c r="K344" s="10">
        <v>15.25</v>
      </c>
      <c r="L344" s="13">
        <v>1.994615961</v>
      </c>
    </row>
    <row r="345" spans="1:12" x14ac:dyDescent="0.15">
      <c r="A345" s="1">
        <v>31</v>
      </c>
      <c r="B345" s="10" t="s">
        <v>160</v>
      </c>
      <c r="C345" s="11">
        <v>2015</v>
      </c>
      <c r="D345" s="12">
        <v>675534</v>
      </c>
      <c r="E345" s="12">
        <v>659092</v>
      </c>
      <c r="F345" s="12">
        <v>16442</v>
      </c>
      <c r="G345" s="13">
        <v>2.21</v>
      </c>
      <c r="H345" s="12">
        <v>306476</v>
      </c>
      <c r="I345" s="12">
        <v>297895</v>
      </c>
      <c r="J345" s="12">
        <v>8581</v>
      </c>
      <c r="K345" s="10">
        <v>2.8</v>
      </c>
      <c r="L345" s="13">
        <v>2.1505501250000001</v>
      </c>
    </row>
    <row r="346" spans="1:12" x14ac:dyDescent="0.15">
      <c r="A346" s="1">
        <v>33</v>
      </c>
      <c r="B346" s="10" t="s">
        <v>161</v>
      </c>
      <c r="C346" s="11">
        <v>2015</v>
      </c>
      <c r="D346" s="12">
        <v>2087</v>
      </c>
      <c r="E346" s="12">
        <v>2087</v>
      </c>
      <c r="F346" s="12">
        <v>0</v>
      </c>
      <c r="G346" s="13">
        <v>2.2599999999999998</v>
      </c>
      <c r="H346" s="12">
        <v>1243</v>
      </c>
      <c r="I346" s="12">
        <v>924</v>
      </c>
      <c r="J346" s="12">
        <v>319</v>
      </c>
      <c r="K346" s="10">
        <v>25.68</v>
      </c>
      <c r="L346" s="13">
        <v>1.6790024139999999</v>
      </c>
    </row>
    <row r="347" spans="1:12" x14ac:dyDescent="0.15">
      <c r="A347" s="1">
        <v>35</v>
      </c>
      <c r="B347" s="10" t="s">
        <v>162</v>
      </c>
      <c r="C347" s="11">
        <v>2015</v>
      </c>
      <c r="D347" s="12">
        <v>322079</v>
      </c>
      <c r="E347" s="12">
        <v>320816</v>
      </c>
      <c r="F347" s="12">
        <v>1263</v>
      </c>
      <c r="G347" s="13">
        <v>2.78</v>
      </c>
      <c r="H347" s="12">
        <v>117377</v>
      </c>
      <c r="I347" s="12">
        <v>115347</v>
      </c>
      <c r="J347" s="12">
        <v>2030</v>
      </c>
      <c r="K347" s="10">
        <v>1.73</v>
      </c>
      <c r="L347" s="13">
        <v>2.733210084</v>
      </c>
    </row>
    <row r="348" spans="1:12" x14ac:dyDescent="0.15">
      <c r="A348" s="1">
        <v>37</v>
      </c>
      <c r="B348" s="10" t="s">
        <v>163</v>
      </c>
      <c r="C348" s="11">
        <v>2015</v>
      </c>
      <c r="D348" s="12">
        <v>52780</v>
      </c>
      <c r="E348" s="12">
        <v>52699</v>
      </c>
      <c r="F348" s="12">
        <v>81</v>
      </c>
      <c r="G348" s="13">
        <v>2.7</v>
      </c>
      <c r="H348" s="12">
        <v>31363</v>
      </c>
      <c r="I348" s="12">
        <v>19553</v>
      </c>
      <c r="J348" s="12">
        <v>11810</v>
      </c>
      <c r="K348" s="10">
        <v>37.659999999999997</v>
      </c>
      <c r="L348" s="13">
        <v>1.6802920640000001</v>
      </c>
    </row>
    <row r="349" spans="1:12" x14ac:dyDescent="0.15">
      <c r="A349" s="1">
        <v>39</v>
      </c>
      <c r="B349" s="10" t="s">
        <v>164</v>
      </c>
      <c r="C349" s="11">
        <v>2015</v>
      </c>
      <c r="D349" s="12">
        <v>24061</v>
      </c>
      <c r="E349" s="12">
        <v>23989</v>
      </c>
      <c r="F349" s="12">
        <v>72</v>
      </c>
      <c r="G349" s="13">
        <v>2.76</v>
      </c>
      <c r="H349" s="12">
        <v>9116</v>
      </c>
      <c r="I349" s="12">
        <v>8694</v>
      </c>
      <c r="J349" s="12">
        <v>422</v>
      </c>
      <c r="K349" s="10">
        <v>4.63</v>
      </c>
      <c r="L349" s="13">
        <v>2.6315269859999999</v>
      </c>
    </row>
    <row r="350" spans="1:12" x14ac:dyDescent="0.15">
      <c r="A350" s="1">
        <v>41</v>
      </c>
      <c r="B350" s="10" t="s">
        <v>165</v>
      </c>
      <c r="C350" s="11">
        <v>2015</v>
      </c>
      <c r="D350" s="12">
        <v>677969</v>
      </c>
      <c r="E350" s="12">
        <v>657529</v>
      </c>
      <c r="F350" s="12">
        <v>20440</v>
      </c>
      <c r="G350" s="13">
        <v>2.58</v>
      </c>
      <c r="H350" s="12">
        <v>268705</v>
      </c>
      <c r="I350" s="12">
        <v>254877</v>
      </c>
      <c r="J350" s="12">
        <v>13828</v>
      </c>
      <c r="K350" s="10">
        <v>5.15</v>
      </c>
      <c r="L350" s="13">
        <v>2.4470292699999998</v>
      </c>
    </row>
    <row r="351" spans="1:12" x14ac:dyDescent="0.15">
      <c r="A351" s="1">
        <v>43</v>
      </c>
      <c r="B351" s="10" t="s">
        <v>166</v>
      </c>
      <c r="C351" s="11">
        <v>2015</v>
      </c>
      <c r="D351" s="12">
        <v>47213</v>
      </c>
      <c r="E351" s="12">
        <v>38941</v>
      </c>
      <c r="F351" s="12">
        <v>8272</v>
      </c>
      <c r="G351" s="13">
        <v>2.29</v>
      </c>
      <c r="H351" s="12">
        <v>19683</v>
      </c>
      <c r="I351" s="12">
        <v>16970</v>
      </c>
      <c r="J351" s="12">
        <v>2713</v>
      </c>
      <c r="K351" s="10">
        <v>13.78</v>
      </c>
      <c r="L351" s="13">
        <v>1.9784077630000001</v>
      </c>
    </row>
    <row r="352" spans="1:12" x14ac:dyDescent="0.15">
      <c r="A352" s="1">
        <v>45</v>
      </c>
      <c r="B352" s="10" t="s">
        <v>167</v>
      </c>
      <c r="C352" s="11">
        <v>2015</v>
      </c>
      <c r="D352" s="12">
        <v>57495</v>
      </c>
      <c r="E352" s="12">
        <v>56486</v>
      </c>
      <c r="F352" s="12">
        <v>1010</v>
      </c>
      <c r="G352" s="13">
        <v>2.72</v>
      </c>
      <c r="H352" s="12">
        <v>23201</v>
      </c>
      <c r="I352" s="12">
        <v>20786</v>
      </c>
      <c r="J352" s="12">
        <v>2415</v>
      </c>
      <c r="K352" s="10">
        <v>10.41</v>
      </c>
      <c r="L352" s="13">
        <v>2.4346364380000001</v>
      </c>
    </row>
    <row r="353" spans="1:12" x14ac:dyDescent="0.15">
      <c r="A353" s="1">
        <v>47</v>
      </c>
      <c r="B353" s="10" t="s">
        <v>168</v>
      </c>
      <c r="C353" s="11">
        <v>2015</v>
      </c>
      <c r="D353" s="12">
        <v>5553</v>
      </c>
      <c r="E353" s="12">
        <v>5509</v>
      </c>
      <c r="F353" s="12">
        <v>44</v>
      </c>
      <c r="G353" s="13">
        <v>2.2000000000000002</v>
      </c>
      <c r="H353" s="12">
        <v>3354</v>
      </c>
      <c r="I353" s="12">
        <v>2504</v>
      </c>
      <c r="J353" s="12">
        <v>850</v>
      </c>
      <c r="K353" s="10">
        <v>25.33</v>
      </c>
      <c r="L353" s="13">
        <v>1.6425163979999999</v>
      </c>
    </row>
    <row r="354" spans="1:12" x14ac:dyDescent="0.15">
      <c r="A354" s="1">
        <v>49</v>
      </c>
      <c r="B354" s="10" t="s">
        <v>169</v>
      </c>
      <c r="C354" s="11">
        <v>2015</v>
      </c>
      <c r="D354" s="12">
        <v>14961</v>
      </c>
      <c r="E354" s="12">
        <v>14751</v>
      </c>
      <c r="F354" s="12">
        <v>210</v>
      </c>
      <c r="G354" s="13">
        <v>2.2400000000000002</v>
      </c>
      <c r="H354" s="12">
        <v>15762</v>
      </c>
      <c r="I354" s="12">
        <v>6591</v>
      </c>
      <c r="J354" s="12">
        <v>9171</v>
      </c>
      <c r="K354" s="10">
        <v>58.19</v>
      </c>
      <c r="L354" s="13">
        <v>0.93585839400000004</v>
      </c>
    </row>
    <row r="355" spans="1:12" x14ac:dyDescent="0.15">
      <c r="A355" s="1">
        <v>51</v>
      </c>
      <c r="B355" s="10" t="s">
        <v>170</v>
      </c>
      <c r="C355" s="11">
        <v>2015</v>
      </c>
      <c r="D355" s="12">
        <v>15826</v>
      </c>
      <c r="E355" s="12">
        <v>14822</v>
      </c>
      <c r="F355" s="12">
        <v>1004</v>
      </c>
      <c r="G355" s="13">
        <v>2.2200000000000002</v>
      </c>
      <c r="H355" s="12">
        <v>11514</v>
      </c>
      <c r="I355" s="12">
        <v>6666</v>
      </c>
      <c r="J355" s="12">
        <v>4848</v>
      </c>
      <c r="K355" s="10">
        <v>42.11</v>
      </c>
      <c r="L355" s="13">
        <v>1.287302414</v>
      </c>
    </row>
    <row r="356" spans="1:12" x14ac:dyDescent="0.15">
      <c r="A356" s="1">
        <v>53</v>
      </c>
      <c r="B356" s="10" t="s">
        <v>171</v>
      </c>
      <c r="C356" s="11">
        <v>2015</v>
      </c>
      <c r="D356" s="12">
        <v>813</v>
      </c>
      <c r="E356" s="12">
        <v>785</v>
      </c>
      <c r="F356" s="12">
        <v>28</v>
      </c>
      <c r="G356" s="13">
        <v>2.14</v>
      </c>
      <c r="H356" s="12">
        <v>1292</v>
      </c>
      <c r="I356" s="12">
        <v>367</v>
      </c>
      <c r="J356" s="12">
        <v>925</v>
      </c>
      <c r="K356" s="10">
        <v>71.58</v>
      </c>
      <c r="L356" s="13">
        <v>0.607585139</v>
      </c>
    </row>
    <row r="357" spans="1:12" x14ac:dyDescent="0.15">
      <c r="A357" s="1">
        <v>55</v>
      </c>
      <c r="B357" s="10" t="s">
        <v>172</v>
      </c>
      <c r="C357" s="11">
        <v>2015</v>
      </c>
      <c r="D357" s="12">
        <v>6706</v>
      </c>
      <c r="E357" s="12">
        <v>6572</v>
      </c>
      <c r="F357" s="12">
        <v>134</v>
      </c>
      <c r="G357" s="13">
        <v>2.09</v>
      </c>
      <c r="H357" s="12">
        <v>4543</v>
      </c>
      <c r="I357" s="12">
        <v>3138</v>
      </c>
      <c r="J357" s="12">
        <v>1405</v>
      </c>
      <c r="K357" s="10">
        <v>30.92</v>
      </c>
      <c r="L357" s="13">
        <v>1.446621175</v>
      </c>
    </row>
    <row r="358" spans="1:12" x14ac:dyDescent="0.15">
      <c r="A358" s="1">
        <v>57</v>
      </c>
      <c r="B358" s="10" t="s">
        <v>173</v>
      </c>
      <c r="C358" s="11">
        <v>2015</v>
      </c>
      <c r="D358" s="12">
        <v>1381</v>
      </c>
      <c r="E358" s="12">
        <v>1379</v>
      </c>
      <c r="F358" s="12">
        <v>2</v>
      </c>
      <c r="G358" s="13">
        <v>2.12</v>
      </c>
      <c r="H358" s="12">
        <v>1161</v>
      </c>
      <c r="I358" s="12">
        <v>650</v>
      </c>
      <c r="J358" s="12">
        <v>511</v>
      </c>
      <c r="K358" s="10">
        <v>44</v>
      </c>
      <c r="L358" s="13">
        <v>1.187769165</v>
      </c>
    </row>
    <row r="359" spans="1:12" x14ac:dyDescent="0.15">
      <c r="A359" s="1">
        <v>59</v>
      </c>
      <c r="B359" s="10" t="s">
        <v>174</v>
      </c>
      <c r="C359" s="11">
        <v>2015</v>
      </c>
      <c r="D359" s="12">
        <v>565161</v>
      </c>
      <c r="E359" s="12">
        <v>557032</v>
      </c>
      <c r="F359" s="12">
        <v>8129</v>
      </c>
      <c r="G359" s="13">
        <v>2.42</v>
      </c>
      <c r="H359" s="12">
        <v>237424</v>
      </c>
      <c r="I359" s="12">
        <v>230578</v>
      </c>
      <c r="J359" s="12">
        <v>6846</v>
      </c>
      <c r="K359" s="10">
        <v>2.88</v>
      </c>
      <c r="L359" s="13">
        <v>2.3461486620000001</v>
      </c>
    </row>
    <row r="360" spans="1:12" x14ac:dyDescent="0.15">
      <c r="A360" s="1">
        <v>61</v>
      </c>
      <c r="B360" s="10" t="s">
        <v>175</v>
      </c>
      <c r="C360" s="11">
        <v>2015</v>
      </c>
      <c r="D360" s="12">
        <v>1406</v>
      </c>
      <c r="E360" s="12">
        <v>1383</v>
      </c>
      <c r="F360" s="12">
        <v>24</v>
      </c>
      <c r="G360" s="13">
        <v>2.33</v>
      </c>
      <c r="H360" s="12">
        <v>734</v>
      </c>
      <c r="I360" s="12">
        <v>594</v>
      </c>
      <c r="J360" s="12">
        <v>140</v>
      </c>
      <c r="K360" s="10">
        <v>19.12</v>
      </c>
      <c r="L360" s="13">
        <v>1.884196185</v>
      </c>
    </row>
    <row r="361" spans="1:12" x14ac:dyDescent="0.15">
      <c r="A361" s="1">
        <v>63</v>
      </c>
      <c r="B361" s="10" t="s">
        <v>176</v>
      </c>
      <c r="C361" s="11">
        <v>2015</v>
      </c>
      <c r="D361" s="12">
        <v>7561</v>
      </c>
      <c r="E361" s="12">
        <v>6977</v>
      </c>
      <c r="F361" s="12">
        <v>584</v>
      </c>
      <c r="G361" s="13">
        <v>2.4</v>
      </c>
      <c r="H361" s="12">
        <v>3404</v>
      </c>
      <c r="I361" s="12">
        <v>2909</v>
      </c>
      <c r="J361" s="12">
        <v>495</v>
      </c>
      <c r="K361" s="10">
        <v>14.53</v>
      </c>
      <c r="L361" s="13">
        <v>2.0496474739999999</v>
      </c>
    </row>
    <row r="362" spans="1:12" x14ac:dyDescent="0.15">
      <c r="A362" s="1">
        <v>65</v>
      </c>
      <c r="B362" s="10" t="s">
        <v>177</v>
      </c>
      <c r="C362" s="11">
        <v>2015</v>
      </c>
      <c r="D362" s="12">
        <v>7159</v>
      </c>
      <c r="E362" s="12">
        <v>7047</v>
      </c>
      <c r="F362" s="12">
        <v>112</v>
      </c>
      <c r="G362" s="13">
        <v>2.41</v>
      </c>
      <c r="H362" s="12">
        <v>4277</v>
      </c>
      <c r="I362" s="12">
        <v>2928</v>
      </c>
      <c r="J362" s="12">
        <v>1349</v>
      </c>
      <c r="K362" s="10">
        <v>31.54</v>
      </c>
      <c r="L362" s="13">
        <v>1.647650222</v>
      </c>
    </row>
    <row r="363" spans="1:12" x14ac:dyDescent="0.15">
      <c r="A363" s="1">
        <v>67</v>
      </c>
      <c r="B363" s="10" t="s">
        <v>178</v>
      </c>
      <c r="C363" s="11">
        <v>2015</v>
      </c>
      <c r="D363" s="12">
        <v>54300</v>
      </c>
      <c r="E363" s="12">
        <v>52304</v>
      </c>
      <c r="F363" s="12">
        <v>1996</v>
      </c>
      <c r="G363" s="13">
        <v>2.3199999999999998</v>
      </c>
      <c r="H363" s="12">
        <v>26672</v>
      </c>
      <c r="I363" s="12">
        <v>22522</v>
      </c>
      <c r="J363" s="12">
        <v>4150</v>
      </c>
      <c r="K363" s="10">
        <v>15.56</v>
      </c>
      <c r="L363" s="13">
        <v>1.961007798</v>
      </c>
    </row>
    <row r="364" spans="1:12" x14ac:dyDescent="0.15">
      <c r="A364" s="1">
        <v>69</v>
      </c>
      <c r="B364" s="10" t="s">
        <v>179</v>
      </c>
      <c r="C364" s="11">
        <v>2015</v>
      </c>
      <c r="D364" s="12">
        <v>333445</v>
      </c>
      <c r="E364" s="12">
        <v>323148</v>
      </c>
      <c r="F364" s="12">
        <v>10297</v>
      </c>
      <c r="G364" s="13">
        <v>2.41</v>
      </c>
      <c r="H364" s="12">
        <v>143765</v>
      </c>
      <c r="I364" s="12">
        <v>133884</v>
      </c>
      <c r="J364" s="12">
        <v>9881</v>
      </c>
      <c r="K364" s="10">
        <v>6.87</v>
      </c>
      <c r="L364" s="13">
        <v>2.2477515389999998</v>
      </c>
    </row>
    <row r="365" spans="1:12" x14ac:dyDescent="0.15">
      <c r="A365" s="1">
        <v>71</v>
      </c>
      <c r="B365" s="10" t="s">
        <v>180</v>
      </c>
      <c r="C365" s="11">
        <v>2015</v>
      </c>
      <c r="D365" s="12">
        <v>14997</v>
      </c>
      <c r="E365" s="12">
        <v>14219</v>
      </c>
      <c r="F365" s="12">
        <v>778</v>
      </c>
      <c r="G365" s="13">
        <v>2.2400000000000002</v>
      </c>
      <c r="H365" s="12">
        <v>7959</v>
      </c>
      <c r="I365" s="12">
        <v>6359</v>
      </c>
      <c r="J365" s="12">
        <v>1600</v>
      </c>
      <c r="K365" s="10">
        <v>20.11</v>
      </c>
      <c r="L365" s="13">
        <v>1.7865309709999999</v>
      </c>
    </row>
    <row r="366" spans="1:12" x14ac:dyDescent="0.15">
      <c r="A366" s="1">
        <v>73</v>
      </c>
      <c r="B366" s="10" t="s">
        <v>181</v>
      </c>
      <c r="C366" s="11">
        <v>2015</v>
      </c>
      <c r="D366" s="12">
        <v>5553</v>
      </c>
      <c r="E366" s="12">
        <v>4543</v>
      </c>
      <c r="F366" s="12">
        <v>1010</v>
      </c>
      <c r="G366" s="13">
        <v>2.3199999999999998</v>
      </c>
      <c r="H366" s="12">
        <v>2266</v>
      </c>
      <c r="I366" s="12">
        <v>1954</v>
      </c>
      <c r="J366" s="12">
        <v>312</v>
      </c>
      <c r="K366" s="10">
        <v>13.77</v>
      </c>
      <c r="L366" s="13">
        <v>2.0048543689999998</v>
      </c>
    </row>
    <row r="367" spans="1:12" x14ac:dyDescent="0.15">
      <c r="A367" s="1">
        <v>75</v>
      </c>
      <c r="B367" s="10" t="s">
        <v>182</v>
      </c>
      <c r="C367" s="11">
        <v>2015</v>
      </c>
      <c r="D367" s="12">
        <v>21873</v>
      </c>
      <c r="E367" s="12">
        <v>18602</v>
      </c>
      <c r="F367" s="12">
        <v>3271</v>
      </c>
      <c r="G367" s="13">
        <v>2.33</v>
      </c>
      <c r="H367" s="12">
        <v>8567</v>
      </c>
      <c r="I367" s="12">
        <v>7996</v>
      </c>
      <c r="J367" s="12">
        <v>571</v>
      </c>
      <c r="K367" s="10">
        <v>6.67</v>
      </c>
      <c r="L367" s="13">
        <v>2.1713551999999998</v>
      </c>
    </row>
    <row r="368" spans="1:12" x14ac:dyDescent="0.15">
      <c r="A368" s="1">
        <v>77</v>
      </c>
      <c r="B368" s="10" t="s">
        <v>183</v>
      </c>
      <c r="C368" s="11">
        <v>2015</v>
      </c>
      <c r="D368" s="12">
        <v>148774</v>
      </c>
      <c r="E368" s="12">
        <v>144217</v>
      </c>
      <c r="F368" s="12">
        <v>4557</v>
      </c>
      <c r="G368" s="13">
        <v>2.4300000000000002</v>
      </c>
      <c r="H368" s="12">
        <v>64529</v>
      </c>
      <c r="I368" s="12">
        <v>59271</v>
      </c>
      <c r="J368" s="12">
        <v>5258</v>
      </c>
      <c r="K368" s="10">
        <v>8.15</v>
      </c>
      <c r="L368" s="13">
        <v>2.2349176339999999</v>
      </c>
    </row>
    <row r="369" spans="1:12" x14ac:dyDescent="0.15">
      <c r="A369" s="1">
        <v>79</v>
      </c>
      <c r="B369" s="10" t="s">
        <v>184</v>
      </c>
      <c r="C369" s="11">
        <v>2015</v>
      </c>
      <c r="D369" s="12">
        <v>755</v>
      </c>
      <c r="E369" s="12">
        <v>755</v>
      </c>
      <c r="F369" s="12">
        <v>0</v>
      </c>
      <c r="G369" s="13">
        <v>2.02</v>
      </c>
      <c r="H369" s="12">
        <v>1136</v>
      </c>
      <c r="I369" s="12">
        <v>373</v>
      </c>
      <c r="J369" s="12">
        <v>763</v>
      </c>
      <c r="K369" s="10">
        <v>67.16</v>
      </c>
      <c r="L369" s="13">
        <v>0.66461267599999996</v>
      </c>
    </row>
    <row r="370" spans="1:12" x14ac:dyDescent="0.15">
      <c r="A370" s="1">
        <v>81</v>
      </c>
      <c r="B370" s="10" t="s">
        <v>185</v>
      </c>
      <c r="C370" s="11">
        <v>2015</v>
      </c>
      <c r="D370" s="12">
        <v>13038</v>
      </c>
      <c r="E370" s="12">
        <v>12928</v>
      </c>
      <c r="F370" s="12">
        <v>110</v>
      </c>
      <c r="G370" s="13">
        <v>2.48</v>
      </c>
      <c r="H370" s="12">
        <v>6008</v>
      </c>
      <c r="I370" s="12">
        <v>5206</v>
      </c>
      <c r="J370" s="12">
        <v>802</v>
      </c>
      <c r="K370" s="10">
        <v>13.35</v>
      </c>
      <c r="L370" s="13">
        <v>2.1517976029999999</v>
      </c>
    </row>
    <row r="371" spans="1:12" x14ac:dyDescent="0.15">
      <c r="A371" s="1">
        <v>83</v>
      </c>
      <c r="B371" s="10" t="s">
        <v>186</v>
      </c>
      <c r="C371" s="11">
        <v>2015</v>
      </c>
      <c r="D371" s="12">
        <v>25522</v>
      </c>
      <c r="E371" s="12">
        <v>25259</v>
      </c>
      <c r="F371" s="12">
        <v>263</v>
      </c>
      <c r="G371" s="13">
        <v>2.38</v>
      </c>
      <c r="H371" s="12">
        <v>12020</v>
      </c>
      <c r="I371" s="12">
        <v>10601</v>
      </c>
      <c r="J371" s="12">
        <v>1419</v>
      </c>
      <c r="K371" s="10">
        <v>11.81</v>
      </c>
      <c r="L371" s="13">
        <v>2.1014143089999999</v>
      </c>
    </row>
    <row r="372" spans="1:12" x14ac:dyDescent="0.15">
      <c r="A372" s="1">
        <v>85</v>
      </c>
      <c r="B372" s="10" t="s">
        <v>187</v>
      </c>
      <c r="C372" s="11">
        <v>2015</v>
      </c>
      <c r="D372" s="12">
        <v>41457</v>
      </c>
      <c r="E372" s="12">
        <v>40856</v>
      </c>
      <c r="F372" s="12">
        <v>601</v>
      </c>
      <c r="G372" s="13">
        <v>2.44</v>
      </c>
      <c r="H372" s="12">
        <v>17725</v>
      </c>
      <c r="I372" s="12">
        <v>16765</v>
      </c>
      <c r="J372" s="12">
        <v>960</v>
      </c>
      <c r="K372" s="10">
        <v>5.42</v>
      </c>
      <c r="L372" s="13">
        <v>2.3049929480000002</v>
      </c>
    </row>
    <row r="373" spans="1:12" x14ac:dyDescent="0.15">
      <c r="A373" s="1">
        <v>87</v>
      </c>
      <c r="B373" s="10" t="s">
        <v>188</v>
      </c>
      <c r="C373" s="11">
        <v>2015</v>
      </c>
      <c r="D373" s="12">
        <v>28335</v>
      </c>
      <c r="E373" s="12">
        <v>27821</v>
      </c>
      <c r="F373" s="12">
        <v>514</v>
      </c>
      <c r="G373" s="13">
        <v>2.68</v>
      </c>
      <c r="H373" s="12">
        <v>11118</v>
      </c>
      <c r="I373" s="12">
        <v>10365</v>
      </c>
      <c r="J373" s="12">
        <v>753</v>
      </c>
      <c r="K373" s="10">
        <v>6.77</v>
      </c>
      <c r="L373" s="13">
        <v>2.5023385500000002</v>
      </c>
    </row>
    <row r="374" spans="1:12" x14ac:dyDescent="0.15">
      <c r="A374" s="1">
        <v>89</v>
      </c>
      <c r="B374" s="10" t="s">
        <v>189</v>
      </c>
      <c r="C374" s="11">
        <v>2015</v>
      </c>
      <c r="D374" s="12">
        <v>18817</v>
      </c>
      <c r="E374" s="12">
        <v>18392</v>
      </c>
      <c r="F374" s="12">
        <v>426</v>
      </c>
      <c r="G374" s="13">
        <v>2.38</v>
      </c>
      <c r="H374" s="12">
        <v>8691</v>
      </c>
      <c r="I374" s="12">
        <v>7727</v>
      </c>
      <c r="J374" s="12">
        <v>964</v>
      </c>
      <c r="K374" s="10">
        <v>11.09</v>
      </c>
      <c r="L374" s="13">
        <v>2.1162121740000002</v>
      </c>
    </row>
    <row r="375" spans="1:12" x14ac:dyDescent="0.15">
      <c r="A375" s="1">
        <v>91</v>
      </c>
      <c r="B375" s="10" t="s">
        <v>190</v>
      </c>
      <c r="C375" s="11">
        <v>2015</v>
      </c>
      <c r="D375" s="12">
        <v>4550</v>
      </c>
      <c r="E375" s="12">
        <v>4550</v>
      </c>
      <c r="F375" s="12">
        <v>0</v>
      </c>
      <c r="G375" s="13">
        <v>2.16</v>
      </c>
      <c r="H375" s="12">
        <v>3144</v>
      </c>
      <c r="I375" s="12">
        <v>2108</v>
      </c>
      <c r="J375" s="12">
        <v>1036</v>
      </c>
      <c r="K375" s="10">
        <v>32.950000000000003</v>
      </c>
      <c r="L375" s="13">
        <v>1.4472010179999999</v>
      </c>
    </row>
    <row r="376" spans="1:12" x14ac:dyDescent="0.15">
      <c r="A376" s="1">
        <v>93</v>
      </c>
      <c r="B376" s="10" t="s">
        <v>191</v>
      </c>
      <c r="C376" s="11">
        <v>2015</v>
      </c>
      <c r="D376" s="12">
        <v>15975</v>
      </c>
      <c r="E376" s="12">
        <v>15915</v>
      </c>
      <c r="F376" s="12">
        <v>60</v>
      </c>
      <c r="G376" s="13">
        <v>2.23</v>
      </c>
      <c r="H376" s="12">
        <v>13812</v>
      </c>
      <c r="I376" s="12">
        <v>7123</v>
      </c>
      <c r="J376" s="12">
        <v>6689</v>
      </c>
      <c r="K376" s="10">
        <v>48.43</v>
      </c>
      <c r="L376" s="13">
        <v>1.1522589050000001</v>
      </c>
    </row>
    <row r="377" spans="1:12" x14ac:dyDescent="0.15">
      <c r="A377" s="1">
        <v>95</v>
      </c>
      <c r="B377" s="10" t="s">
        <v>192</v>
      </c>
      <c r="C377" s="11">
        <v>2015</v>
      </c>
      <c r="D377" s="12">
        <v>4499</v>
      </c>
      <c r="E377" s="12">
        <v>4433</v>
      </c>
      <c r="F377" s="12">
        <v>66</v>
      </c>
      <c r="G377" s="13">
        <v>2.4300000000000002</v>
      </c>
      <c r="H377" s="12">
        <v>1979</v>
      </c>
      <c r="I377" s="12">
        <v>1824</v>
      </c>
      <c r="J377" s="12">
        <v>155</v>
      </c>
      <c r="K377" s="10">
        <v>7.83</v>
      </c>
      <c r="L377" s="13">
        <v>2.2400202120000001</v>
      </c>
    </row>
    <row r="378" spans="1:12" x14ac:dyDescent="0.15">
      <c r="A378" s="1">
        <v>97</v>
      </c>
      <c r="B378" s="10" t="s">
        <v>193</v>
      </c>
      <c r="C378" s="11">
        <v>2015</v>
      </c>
      <c r="D378" s="12">
        <v>17701</v>
      </c>
      <c r="E378" s="12">
        <v>17629</v>
      </c>
      <c r="F378" s="12">
        <v>72</v>
      </c>
      <c r="G378" s="13">
        <v>2.12</v>
      </c>
      <c r="H378" s="12">
        <v>12853</v>
      </c>
      <c r="I378" s="12">
        <v>8299</v>
      </c>
      <c r="J378" s="12">
        <v>4554</v>
      </c>
      <c r="K378" s="10">
        <v>35.43</v>
      </c>
      <c r="L378" s="13">
        <v>1.3715864</v>
      </c>
    </row>
    <row r="379" spans="1:12" x14ac:dyDescent="0.15">
      <c r="A379" s="1">
        <v>99</v>
      </c>
      <c r="B379" s="10" t="s">
        <v>194</v>
      </c>
      <c r="C379" s="11">
        <v>2015</v>
      </c>
      <c r="D379" s="12">
        <v>11891</v>
      </c>
      <c r="E379" s="12">
        <v>11549</v>
      </c>
      <c r="F379" s="12">
        <v>342</v>
      </c>
      <c r="G379" s="13">
        <v>2.4500000000000002</v>
      </c>
      <c r="H379" s="12">
        <v>5441</v>
      </c>
      <c r="I379" s="12">
        <v>4718</v>
      </c>
      <c r="J379" s="12">
        <v>723</v>
      </c>
      <c r="K379" s="10">
        <v>13.29</v>
      </c>
      <c r="L379" s="13">
        <v>2.12258776</v>
      </c>
    </row>
    <row r="380" spans="1:12" x14ac:dyDescent="0.15">
      <c r="A380" s="1">
        <v>101</v>
      </c>
      <c r="B380" s="10" t="s">
        <v>195</v>
      </c>
      <c r="C380" s="11">
        <v>2015</v>
      </c>
      <c r="D380" s="12">
        <v>162449</v>
      </c>
      <c r="E380" s="12">
        <v>158542</v>
      </c>
      <c r="F380" s="12">
        <v>3907</v>
      </c>
      <c r="G380" s="13">
        <v>2.46</v>
      </c>
      <c r="H380" s="12">
        <v>70455</v>
      </c>
      <c r="I380" s="12">
        <v>64572</v>
      </c>
      <c r="J380" s="12">
        <v>5883</v>
      </c>
      <c r="K380" s="10">
        <v>8.35</v>
      </c>
      <c r="L380" s="13">
        <v>2.2502590310000001</v>
      </c>
    </row>
    <row r="381" spans="1:12" x14ac:dyDescent="0.15">
      <c r="A381" s="1">
        <v>103</v>
      </c>
      <c r="B381" s="10" t="s">
        <v>196</v>
      </c>
      <c r="C381" s="11">
        <v>2015</v>
      </c>
      <c r="D381" s="12">
        <v>6621</v>
      </c>
      <c r="E381" s="12">
        <v>6352</v>
      </c>
      <c r="F381" s="12">
        <v>269</v>
      </c>
      <c r="G381" s="13">
        <v>2.4300000000000002</v>
      </c>
      <c r="H381" s="12">
        <v>3226</v>
      </c>
      <c r="I381" s="12">
        <v>2613</v>
      </c>
      <c r="J381" s="12">
        <v>613</v>
      </c>
      <c r="K381" s="10">
        <v>19.010000000000002</v>
      </c>
      <c r="L381" s="13">
        <v>1.9690018600000001</v>
      </c>
    </row>
    <row r="382" spans="1:12" x14ac:dyDescent="0.15">
      <c r="A382" s="1">
        <v>105</v>
      </c>
      <c r="B382" s="10" t="s">
        <v>197</v>
      </c>
      <c r="C382" s="11">
        <v>2015</v>
      </c>
      <c r="D382" s="12">
        <v>11778</v>
      </c>
      <c r="E382" s="12">
        <v>11612</v>
      </c>
      <c r="F382" s="12">
        <v>166</v>
      </c>
      <c r="G382" s="13">
        <v>2.42</v>
      </c>
      <c r="H382" s="12">
        <v>6407</v>
      </c>
      <c r="I382" s="12">
        <v>4789</v>
      </c>
      <c r="J382" s="12">
        <v>1618</v>
      </c>
      <c r="K382" s="10">
        <v>25.25</v>
      </c>
      <c r="L382" s="13">
        <v>1.812392695</v>
      </c>
    </row>
    <row r="383" spans="1:12" x14ac:dyDescent="0.15">
      <c r="A383" s="1">
        <v>107</v>
      </c>
      <c r="B383" s="10" t="s">
        <v>198</v>
      </c>
      <c r="C383" s="11">
        <v>2015</v>
      </c>
      <c r="D383" s="12">
        <v>23824</v>
      </c>
      <c r="E383" s="12">
        <v>23481</v>
      </c>
      <c r="F383" s="12">
        <v>343</v>
      </c>
      <c r="G383" s="13">
        <v>2.35</v>
      </c>
      <c r="H383" s="12">
        <v>15848</v>
      </c>
      <c r="I383" s="12">
        <v>9996</v>
      </c>
      <c r="J383" s="12">
        <v>5852</v>
      </c>
      <c r="K383" s="10">
        <v>36.93</v>
      </c>
      <c r="L383" s="13">
        <v>1.481638062</v>
      </c>
    </row>
    <row r="384" spans="1:12" x14ac:dyDescent="0.15">
      <c r="A384" s="1">
        <v>109</v>
      </c>
      <c r="B384" s="10" t="s">
        <v>199</v>
      </c>
      <c r="C384" s="11">
        <v>2015</v>
      </c>
      <c r="D384" s="12">
        <v>6183</v>
      </c>
      <c r="E384" s="12">
        <v>6157</v>
      </c>
      <c r="F384" s="12">
        <v>26</v>
      </c>
      <c r="G384" s="13">
        <v>2.27</v>
      </c>
      <c r="H384" s="12">
        <v>3384</v>
      </c>
      <c r="I384" s="12">
        <v>2711</v>
      </c>
      <c r="J384" s="12">
        <v>673</v>
      </c>
      <c r="K384" s="10">
        <v>19.899999999999999</v>
      </c>
      <c r="L384" s="13">
        <v>1.8194444439999999</v>
      </c>
    </row>
    <row r="385" spans="1:12" x14ac:dyDescent="0.15">
      <c r="A385" s="1">
        <v>111</v>
      </c>
      <c r="B385" s="10" t="s">
        <v>200</v>
      </c>
      <c r="C385" s="11">
        <v>2015</v>
      </c>
      <c r="D385" s="12">
        <v>696</v>
      </c>
      <c r="E385" s="12">
        <v>696</v>
      </c>
      <c r="F385" s="12">
        <v>0</v>
      </c>
      <c r="G385" s="13">
        <v>1.97</v>
      </c>
      <c r="H385" s="12">
        <v>747</v>
      </c>
      <c r="I385" s="12">
        <v>353</v>
      </c>
      <c r="J385" s="12">
        <v>394</v>
      </c>
      <c r="K385" s="10">
        <v>52.76</v>
      </c>
      <c r="L385" s="13">
        <v>0.93172690800000002</v>
      </c>
    </row>
    <row r="386" spans="1:12" x14ac:dyDescent="0.15">
      <c r="A386" s="1">
        <v>113</v>
      </c>
      <c r="B386" s="10" t="s">
        <v>201</v>
      </c>
      <c r="C386" s="11">
        <v>2015</v>
      </c>
      <c r="D386" s="12">
        <v>7825</v>
      </c>
      <c r="E386" s="12">
        <v>7665</v>
      </c>
      <c r="F386" s="12">
        <v>160</v>
      </c>
      <c r="G386" s="13">
        <v>2.19</v>
      </c>
      <c r="H386" s="12">
        <v>6320</v>
      </c>
      <c r="I386" s="12">
        <v>3506</v>
      </c>
      <c r="J386" s="12">
        <v>2814</v>
      </c>
      <c r="K386" s="10">
        <v>44.52</v>
      </c>
      <c r="L386" s="13">
        <v>1.2128164560000001</v>
      </c>
    </row>
    <row r="387" spans="1:12" x14ac:dyDescent="0.15">
      <c r="A387" s="1">
        <v>115</v>
      </c>
      <c r="B387" s="10" t="s">
        <v>202</v>
      </c>
      <c r="C387" s="11">
        <v>2015</v>
      </c>
      <c r="D387" s="12">
        <v>2388</v>
      </c>
      <c r="E387" s="12">
        <v>2349</v>
      </c>
      <c r="F387" s="12">
        <v>39</v>
      </c>
      <c r="G387" s="13">
        <v>2.16</v>
      </c>
      <c r="H387" s="12">
        <v>1331</v>
      </c>
      <c r="I387" s="12">
        <v>1086</v>
      </c>
      <c r="J387" s="12">
        <v>245</v>
      </c>
      <c r="K387" s="10">
        <v>18.38</v>
      </c>
      <c r="L387" s="13">
        <v>1.7648384669999999</v>
      </c>
    </row>
    <row r="388" spans="1:12" x14ac:dyDescent="0.15">
      <c r="A388" s="1">
        <v>117</v>
      </c>
      <c r="B388" s="10" t="s">
        <v>203</v>
      </c>
      <c r="C388" s="11">
        <v>2015</v>
      </c>
      <c r="D388" s="12">
        <v>30268</v>
      </c>
      <c r="E388" s="12">
        <v>29852</v>
      </c>
      <c r="F388" s="12">
        <v>416</v>
      </c>
      <c r="G388" s="13">
        <v>2.36</v>
      </c>
      <c r="H388" s="12">
        <v>30121</v>
      </c>
      <c r="I388" s="12">
        <v>12657</v>
      </c>
      <c r="J388" s="12">
        <v>17464</v>
      </c>
      <c r="K388" s="10">
        <v>57.98</v>
      </c>
      <c r="L388" s="13">
        <v>0.99106935399999996</v>
      </c>
    </row>
    <row r="389" spans="1:12" x14ac:dyDescent="0.15">
      <c r="A389" s="1">
        <v>119</v>
      </c>
      <c r="B389" s="10" t="s">
        <v>204</v>
      </c>
      <c r="C389" s="11">
        <v>2015</v>
      </c>
      <c r="D389" s="12">
        <v>23006</v>
      </c>
      <c r="E389" s="12">
        <v>22849</v>
      </c>
      <c r="F389" s="12">
        <v>157</v>
      </c>
      <c r="G389" s="13">
        <v>2.34</v>
      </c>
      <c r="H389" s="12">
        <v>12896</v>
      </c>
      <c r="I389" s="12">
        <v>9768</v>
      </c>
      <c r="J389" s="12">
        <v>3128</v>
      </c>
      <c r="K389" s="10">
        <v>24.26</v>
      </c>
      <c r="L389" s="13">
        <v>1.771789702</v>
      </c>
    </row>
    <row r="390" spans="1:12" x14ac:dyDescent="0.15">
      <c r="A390" s="1">
        <v>121</v>
      </c>
      <c r="B390" s="10" t="s">
        <v>205</v>
      </c>
      <c r="C390" s="11">
        <v>2015</v>
      </c>
      <c r="D390" s="12">
        <v>4682</v>
      </c>
      <c r="E390" s="12">
        <v>4555</v>
      </c>
      <c r="F390" s="12">
        <v>127</v>
      </c>
      <c r="G390" s="13">
        <v>2.37</v>
      </c>
      <c r="H390" s="12">
        <v>2215</v>
      </c>
      <c r="I390" s="12">
        <v>1921</v>
      </c>
      <c r="J390" s="12">
        <v>294</v>
      </c>
      <c r="K390" s="10">
        <v>13.29</v>
      </c>
      <c r="L390" s="13">
        <v>2.0564334089999998</v>
      </c>
    </row>
    <row r="391" spans="1:12" x14ac:dyDescent="0.15">
      <c r="A391" s="1">
        <v>123</v>
      </c>
      <c r="B391" s="10" t="s">
        <v>206</v>
      </c>
      <c r="C391" s="11">
        <v>2015</v>
      </c>
      <c r="D391" s="12">
        <v>284855</v>
      </c>
      <c r="E391" s="12">
        <v>279217</v>
      </c>
      <c r="F391" s="12">
        <v>5638</v>
      </c>
      <c r="G391" s="13">
        <v>2.8</v>
      </c>
      <c r="H391" s="12">
        <v>103354</v>
      </c>
      <c r="I391" s="12">
        <v>99627</v>
      </c>
      <c r="J391" s="12">
        <v>3727</v>
      </c>
      <c r="K391" s="10">
        <v>3.61</v>
      </c>
      <c r="L391" s="13">
        <v>2.7015596880000001</v>
      </c>
    </row>
    <row r="392" spans="1:12" x14ac:dyDescent="0.15">
      <c r="A392" s="1">
        <v>125</v>
      </c>
      <c r="B392" s="10" t="s">
        <v>207</v>
      </c>
      <c r="C392" s="11">
        <v>2015</v>
      </c>
      <c r="D392" s="12">
        <v>10039</v>
      </c>
      <c r="E392" s="12">
        <v>9799</v>
      </c>
      <c r="F392" s="12">
        <v>240</v>
      </c>
      <c r="G392" s="13">
        <v>2.52</v>
      </c>
      <c r="H392" s="12">
        <v>4283</v>
      </c>
      <c r="I392" s="12">
        <v>3894</v>
      </c>
      <c r="J392" s="12">
        <v>389</v>
      </c>
      <c r="K392" s="10">
        <v>9.08</v>
      </c>
      <c r="L392" s="13">
        <v>2.287882325</v>
      </c>
    </row>
    <row r="393" spans="1:12" x14ac:dyDescent="0.15">
      <c r="A393" s="1">
        <v>0</v>
      </c>
      <c r="B393" s="10" t="s">
        <v>143</v>
      </c>
      <c r="C393" s="11">
        <v>2016</v>
      </c>
      <c r="D393" s="12">
        <v>5529631</v>
      </c>
      <c r="E393" s="12">
        <v>5404120</v>
      </c>
      <c r="F393" s="12">
        <v>125511</v>
      </c>
      <c r="G393" s="13">
        <v>2.5</v>
      </c>
      <c r="H393" s="12">
        <v>2339866</v>
      </c>
      <c r="I393" s="12">
        <v>2164521</v>
      </c>
      <c r="J393" s="12">
        <v>175345</v>
      </c>
      <c r="K393" s="10">
        <v>7.49</v>
      </c>
      <c r="L393" s="13">
        <v>2.30958525</v>
      </c>
    </row>
    <row r="394" spans="1:12" x14ac:dyDescent="0.15">
      <c r="A394" s="1">
        <v>1</v>
      </c>
      <c r="B394" s="10" t="s">
        <v>144</v>
      </c>
      <c r="C394" s="11">
        <v>2016</v>
      </c>
      <c r="D394" s="12">
        <v>497822</v>
      </c>
      <c r="E394" s="12">
        <v>493406</v>
      </c>
      <c r="F394" s="12">
        <v>4416</v>
      </c>
      <c r="G394" s="13">
        <v>2.87</v>
      </c>
      <c r="H394" s="12">
        <v>173204</v>
      </c>
      <c r="I394" s="12">
        <v>171930</v>
      </c>
      <c r="J394" s="12">
        <v>1274</v>
      </c>
      <c r="K394" s="10">
        <v>0.74</v>
      </c>
      <c r="L394" s="13">
        <v>2.8486986440000002</v>
      </c>
    </row>
    <row r="395" spans="1:12" x14ac:dyDescent="0.15">
      <c r="A395" s="1">
        <v>3</v>
      </c>
      <c r="B395" s="10" t="s">
        <v>145</v>
      </c>
      <c r="C395" s="11">
        <v>2016</v>
      </c>
      <c r="D395" s="12">
        <v>15936</v>
      </c>
      <c r="E395" s="12">
        <v>15071</v>
      </c>
      <c r="F395" s="12">
        <v>865</v>
      </c>
      <c r="G395" s="13">
        <v>2.4300000000000002</v>
      </c>
      <c r="H395" s="12">
        <v>6835</v>
      </c>
      <c r="I395" s="12">
        <v>6192</v>
      </c>
      <c r="J395" s="12">
        <v>643</v>
      </c>
      <c r="K395" s="10">
        <v>9.41</v>
      </c>
      <c r="L395" s="13">
        <v>2.2049743959999999</v>
      </c>
    </row>
    <row r="396" spans="1:12" x14ac:dyDescent="0.15">
      <c r="A396" s="1">
        <v>5</v>
      </c>
      <c r="B396" s="10" t="s">
        <v>146</v>
      </c>
      <c r="C396" s="11">
        <v>2016</v>
      </c>
      <c r="D396" s="12">
        <v>637656</v>
      </c>
      <c r="E396" s="12">
        <v>632707</v>
      </c>
      <c r="F396" s="12">
        <v>4949</v>
      </c>
      <c r="G396" s="13">
        <v>2.57</v>
      </c>
      <c r="H396" s="12">
        <v>249881</v>
      </c>
      <c r="I396" s="12">
        <v>246123</v>
      </c>
      <c r="J396" s="12">
        <v>3758</v>
      </c>
      <c r="K396" s="10">
        <v>1.5</v>
      </c>
      <c r="L396" s="13">
        <v>2.5320332479999998</v>
      </c>
    </row>
    <row r="397" spans="1:12" x14ac:dyDescent="0.15">
      <c r="A397" s="1">
        <v>7</v>
      </c>
      <c r="B397" s="10" t="s">
        <v>147</v>
      </c>
      <c r="C397" s="11">
        <v>2016</v>
      </c>
      <c r="D397" s="12">
        <v>12362</v>
      </c>
      <c r="E397" s="12">
        <v>12257</v>
      </c>
      <c r="F397" s="12">
        <v>105</v>
      </c>
      <c r="G397" s="13">
        <v>2.2799999999999998</v>
      </c>
      <c r="H397" s="12">
        <v>9033</v>
      </c>
      <c r="I397" s="12">
        <v>5370</v>
      </c>
      <c r="J397" s="12">
        <v>3663</v>
      </c>
      <c r="K397" s="10">
        <v>40.549999999999997</v>
      </c>
      <c r="L397" s="13">
        <v>1.356913539</v>
      </c>
    </row>
    <row r="398" spans="1:12" x14ac:dyDescent="0.15">
      <c r="A398" s="1">
        <v>9</v>
      </c>
      <c r="B398" s="10" t="s">
        <v>148</v>
      </c>
      <c r="C398" s="11">
        <v>2016</v>
      </c>
      <c r="D398" s="12">
        <v>3505</v>
      </c>
      <c r="E398" s="12">
        <v>3450</v>
      </c>
      <c r="F398" s="12">
        <v>55</v>
      </c>
      <c r="G398" s="13">
        <v>2.11</v>
      </c>
      <c r="H398" s="12">
        <v>1968</v>
      </c>
      <c r="I398" s="12">
        <v>1634</v>
      </c>
      <c r="J398" s="12">
        <v>334</v>
      </c>
      <c r="K398" s="10">
        <v>16.97</v>
      </c>
      <c r="L398" s="13">
        <v>1.7530487800000001</v>
      </c>
    </row>
    <row r="399" spans="1:12" x14ac:dyDescent="0.15">
      <c r="A399" s="1">
        <v>11</v>
      </c>
      <c r="B399" s="10" t="s">
        <v>149</v>
      </c>
      <c r="C399" s="11">
        <v>2016</v>
      </c>
      <c r="D399" s="12">
        <v>5753</v>
      </c>
      <c r="E399" s="12">
        <v>4018</v>
      </c>
      <c r="F399" s="12">
        <v>1735</v>
      </c>
      <c r="G399" s="13">
        <v>2.2999999999999998</v>
      </c>
      <c r="H399" s="12">
        <v>2128</v>
      </c>
      <c r="I399" s="12">
        <v>1745</v>
      </c>
      <c r="J399" s="12">
        <v>383</v>
      </c>
      <c r="K399" s="10">
        <v>18.010000000000002</v>
      </c>
      <c r="L399" s="13">
        <v>1.888157895</v>
      </c>
    </row>
    <row r="400" spans="1:12" x14ac:dyDescent="0.15">
      <c r="A400" s="1">
        <v>13</v>
      </c>
      <c r="B400" s="10" t="s">
        <v>150</v>
      </c>
      <c r="C400" s="11">
        <v>2016</v>
      </c>
      <c r="D400" s="12">
        <v>323957</v>
      </c>
      <c r="E400" s="12">
        <v>310498</v>
      </c>
      <c r="F400" s="12">
        <v>13459</v>
      </c>
      <c r="G400" s="13">
        <v>2.39</v>
      </c>
      <c r="H400" s="12">
        <v>133334</v>
      </c>
      <c r="I400" s="12">
        <v>130165</v>
      </c>
      <c r="J400" s="12">
        <v>3169</v>
      </c>
      <c r="K400" s="10">
        <v>2.38</v>
      </c>
      <c r="L400" s="13">
        <v>2.3287233559999998</v>
      </c>
    </row>
    <row r="401" spans="1:12" x14ac:dyDescent="0.15">
      <c r="A401" s="1">
        <v>14</v>
      </c>
      <c r="B401" s="10" t="s">
        <v>151</v>
      </c>
      <c r="C401" s="11">
        <v>2016</v>
      </c>
      <c r="D401" s="12">
        <v>67707</v>
      </c>
      <c r="E401" s="12">
        <v>67459</v>
      </c>
      <c r="F401" s="12">
        <v>248</v>
      </c>
      <c r="G401" s="13">
        <v>2.5299999999999998</v>
      </c>
      <c r="H401" s="12">
        <v>28585</v>
      </c>
      <c r="I401" s="12">
        <v>26698</v>
      </c>
      <c r="J401" s="12">
        <v>1887</v>
      </c>
      <c r="K401" s="10">
        <v>6.6</v>
      </c>
      <c r="L401" s="13">
        <v>2.3599440270000001</v>
      </c>
    </row>
    <row r="402" spans="1:12" x14ac:dyDescent="0.15">
      <c r="A402" s="1">
        <v>15</v>
      </c>
      <c r="B402" s="10" t="s">
        <v>152</v>
      </c>
      <c r="C402" s="11">
        <v>2016</v>
      </c>
      <c r="D402" s="12">
        <v>18519</v>
      </c>
      <c r="E402" s="12">
        <v>17076</v>
      </c>
      <c r="F402" s="12">
        <v>1443</v>
      </c>
      <c r="G402" s="13">
        <v>2.16</v>
      </c>
      <c r="H402" s="12">
        <v>10286</v>
      </c>
      <c r="I402" s="12">
        <v>7915</v>
      </c>
      <c r="J402" s="12">
        <v>2371</v>
      </c>
      <c r="K402" s="10">
        <v>23.05</v>
      </c>
      <c r="L402" s="13">
        <v>1.660120552</v>
      </c>
    </row>
    <row r="403" spans="1:12" x14ac:dyDescent="0.15">
      <c r="A403" s="1">
        <v>17</v>
      </c>
      <c r="B403" s="10" t="s">
        <v>153</v>
      </c>
      <c r="C403" s="11">
        <v>2016</v>
      </c>
      <c r="D403" s="12">
        <v>1794</v>
      </c>
      <c r="E403" s="12">
        <v>1752</v>
      </c>
      <c r="F403" s="12">
        <v>42</v>
      </c>
      <c r="G403" s="13">
        <v>2.2999999999999998</v>
      </c>
      <c r="H403" s="12">
        <v>894</v>
      </c>
      <c r="I403" s="12">
        <v>762</v>
      </c>
      <c r="J403" s="12">
        <v>132</v>
      </c>
      <c r="K403" s="10">
        <v>14.8</v>
      </c>
      <c r="L403" s="13">
        <v>1.959731544</v>
      </c>
    </row>
    <row r="404" spans="1:12" x14ac:dyDescent="0.15">
      <c r="A404" s="1">
        <v>19</v>
      </c>
      <c r="B404" s="10" t="s">
        <v>154</v>
      </c>
      <c r="C404" s="11">
        <v>2016</v>
      </c>
      <c r="D404" s="12">
        <v>9237</v>
      </c>
      <c r="E404" s="12">
        <v>9124</v>
      </c>
      <c r="F404" s="12">
        <v>113</v>
      </c>
      <c r="G404" s="13">
        <v>2.13</v>
      </c>
      <c r="H404" s="12">
        <v>5560</v>
      </c>
      <c r="I404" s="12">
        <v>4283</v>
      </c>
      <c r="J404" s="12">
        <v>1277</v>
      </c>
      <c r="K404" s="10">
        <v>22.98</v>
      </c>
      <c r="L404" s="13">
        <v>1.6410071939999999</v>
      </c>
    </row>
    <row r="405" spans="1:12" x14ac:dyDescent="0.15">
      <c r="A405" s="1">
        <v>21</v>
      </c>
      <c r="B405" s="10" t="s">
        <v>155</v>
      </c>
      <c r="C405" s="11">
        <v>2016</v>
      </c>
      <c r="D405" s="12">
        <v>7842</v>
      </c>
      <c r="E405" s="12">
        <v>7790</v>
      </c>
      <c r="F405" s="12">
        <v>52</v>
      </c>
      <c r="G405" s="13">
        <v>2.59</v>
      </c>
      <c r="H405" s="12">
        <v>3906</v>
      </c>
      <c r="I405" s="12">
        <v>3011</v>
      </c>
      <c r="J405" s="12">
        <v>895</v>
      </c>
      <c r="K405" s="10">
        <v>22.92</v>
      </c>
      <c r="L405" s="13">
        <v>1.9943676400000001</v>
      </c>
    </row>
    <row r="406" spans="1:12" x14ac:dyDescent="0.15">
      <c r="A406" s="1">
        <v>23</v>
      </c>
      <c r="B406" s="10" t="s">
        <v>156</v>
      </c>
      <c r="C406" s="11">
        <v>2016</v>
      </c>
      <c r="D406" s="12">
        <v>3516</v>
      </c>
      <c r="E406" s="12">
        <v>3516</v>
      </c>
      <c r="F406" s="12">
        <v>0</v>
      </c>
      <c r="G406" s="13">
        <v>2.23</v>
      </c>
      <c r="H406" s="12">
        <v>2310</v>
      </c>
      <c r="I406" s="12">
        <v>1580</v>
      </c>
      <c r="J406" s="12">
        <v>730</v>
      </c>
      <c r="K406" s="10">
        <v>31.59</v>
      </c>
      <c r="L406" s="13">
        <v>1.522077922</v>
      </c>
    </row>
    <row r="407" spans="1:12" x14ac:dyDescent="0.15">
      <c r="A407" s="1">
        <v>25</v>
      </c>
      <c r="B407" s="10" t="s">
        <v>157</v>
      </c>
      <c r="C407" s="11">
        <v>2016</v>
      </c>
      <c r="D407" s="12">
        <v>5837</v>
      </c>
      <c r="E407" s="12">
        <v>3059</v>
      </c>
      <c r="F407" s="12">
        <v>2779</v>
      </c>
      <c r="G407" s="13">
        <v>2.35</v>
      </c>
      <c r="H407" s="12">
        <v>1500</v>
      </c>
      <c r="I407" s="12">
        <v>1301</v>
      </c>
      <c r="J407" s="12">
        <v>199</v>
      </c>
      <c r="K407" s="10">
        <v>13.25</v>
      </c>
      <c r="L407" s="13">
        <v>2.0393333330000001</v>
      </c>
    </row>
    <row r="408" spans="1:12" x14ac:dyDescent="0.15">
      <c r="A408" s="1">
        <v>27</v>
      </c>
      <c r="B408" s="10" t="s">
        <v>158</v>
      </c>
      <c r="C408" s="11">
        <v>2016</v>
      </c>
      <c r="D408" s="12">
        <v>4496</v>
      </c>
      <c r="E408" s="12">
        <v>4483</v>
      </c>
      <c r="F408" s="12">
        <v>13</v>
      </c>
      <c r="G408" s="13">
        <v>2.12</v>
      </c>
      <c r="H408" s="12">
        <v>3905</v>
      </c>
      <c r="I408" s="12">
        <v>2113</v>
      </c>
      <c r="J408" s="12">
        <v>1792</v>
      </c>
      <c r="K408" s="10">
        <v>45.89</v>
      </c>
      <c r="L408" s="13">
        <v>1.148015365</v>
      </c>
    </row>
    <row r="409" spans="1:12" x14ac:dyDescent="0.15">
      <c r="A409" s="1">
        <v>29</v>
      </c>
      <c r="B409" s="10" t="s">
        <v>159</v>
      </c>
      <c r="C409" s="11">
        <v>2016</v>
      </c>
      <c r="D409" s="12">
        <v>30489</v>
      </c>
      <c r="E409" s="12">
        <v>29685</v>
      </c>
      <c r="F409" s="12">
        <v>804</v>
      </c>
      <c r="G409" s="13">
        <v>2.35</v>
      </c>
      <c r="H409" s="12">
        <v>14658</v>
      </c>
      <c r="I409" s="12">
        <v>12642</v>
      </c>
      <c r="J409" s="12">
        <v>2016</v>
      </c>
      <c r="K409" s="10">
        <v>13.75</v>
      </c>
      <c r="L409" s="13">
        <v>2.0251739660000001</v>
      </c>
    </row>
    <row r="410" spans="1:12" x14ac:dyDescent="0.15">
      <c r="A410" s="1">
        <v>31</v>
      </c>
      <c r="B410" s="10" t="s">
        <v>160</v>
      </c>
      <c r="C410" s="11">
        <v>2016</v>
      </c>
      <c r="D410" s="12">
        <v>686468</v>
      </c>
      <c r="E410" s="12">
        <v>670083</v>
      </c>
      <c r="F410" s="12">
        <v>16385</v>
      </c>
      <c r="G410" s="13">
        <v>2.21</v>
      </c>
      <c r="H410" s="12">
        <v>314369</v>
      </c>
      <c r="I410" s="12">
        <v>303076</v>
      </c>
      <c r="J410" s="12">
        <v>11293</v>
      </c>
      <c r="K410" s="10">
        <v>3.59</v>
      </c>
      <c r="L410" s="13">
        <v>2.1315174209999999</v>
      </c>
    </row>
    <row r="411" spans="1:12" x14ac:dyDescent="0.15">
      <c r="A411" s="1">
        <v>33</v>
      </c>
      <c r="B411" s="10" t="s">
        <v>161</v>
      </c>
      <c r="C411" s="11">
        <v>2016</v>
      </c>
      <c r="D411" s="12">
        <v>2088</v>
      </c>
      <c r="E411" s="12">
        <v>2088</v>
      </c>
      <c r="F411" s="12">
        <v>0</v>
      </c>
      <c r="G411" s="13">
        <v>2.25</v>
      </c>
      <c r="H411" s="12">
        <v>1267</v>
      </c>
      <c r="I411" s="12">
        <v>927</v>
      </c>
      <c r="J411" s="12">
        <v>340</v>
      </c>
      <c r="K411" s="10">
        <v>26.82</v>
      </c>
      <c r="L411" s="13">
        <v>1.647987372</v>
      </c>
    </row>
    <row r="412" spans="1:12" x14ac:dyDescent="0.15">
      <c r="A412" s="1">
        <v>35</v>
      </c>
      <c r="B412" s="10" t="s">
        <v>162</v>
      </c>
      <c r="C412" s="11">
        <v>2016</v>
      </c>
      <c r="D412" s="12">
        <v>328333</v>
      </c>
      <c r="E412" s="12">
        <v>326991</v>
      </c>
      <c r="F412" s="12">
        <v>1342</v>
      </c>
      <c r="G412" s="13">
        <v>2.77</v>
      </c>
      <c r="H412" s="12">
        <v>119437</v>
      </c>
      <c r="I412" s="12">
        <v>117953</v>
      </c>
      <c r="J412" s="12">
        <v>1484</v>
      </c>
      <c r="K412" s="10">
        <v>1.24</v>
      </c>
      <c r="L412" s="13">
        <v>2.7377697030000001</v>
      </c>
    </row>
    <row r="413" spans="1:12" x14ac:dyDescent="0.15">
      <c r="A413" s="1">
        <v>37</v>
      </c>
      <c r="B413" s="10" t="s">
        <v>163</v>
      </c>
      <c r="C413" s="11">
        <v>2016</v>
      </c>
      <c r="D413" s="12">
        <v>53041</v>
      </c>
      <c r="E413" s="12">
        <v>52955</v>
      </c>
      <c r="F413" s="12">
        <v>86</v>
      </c>
      <c r="G413" s="13">
        <v>2.69</v>
      </c>
      <c r="H413" s="12">
        <v>31539</v>
      </c>
      <c r="I413" s="12">
        <v>19670</v>
      </c>
      <c r="J413" s="12">
        <v>11869</v>
      </c>
      <c r="K413" s="10">
        <v>37.630000000000003</v>
      </c>
      <c r="L413" s="13">
        <v>1.6790323089999999</v>
      </c>
    </row>
    <row r="414" spans="1:12" x14ac:dyDescent="0.15">
      <c r="A414" s="1">
        <v>39</v>
      </c>
      <c r="B414" s="10" t="s">
        <v>164</v>
      </c>
      <c r="C414" s="11">
        <v>2016</v>
      </c>
      <c r="D414" s="12">
        <v>24450</v>
      </c>
      <c r="E414" s="12">
        <v>24379</v>
      </c>
      <c r="F414" s="12">
        <v>71</v>
      </c>
      <c r="G414" s="13">
        <v>2.76</v>
      </c>
      <c r="H414" s="12">
        <v>9236</v>
      </c>
      <c r="I414" s="12">
        <v>8827</v>
      </c>
      <c r="J414" s="12">
        <v>409</v>
      </c>
      <c r="K414" s="10">
        <v>4.43</v>
      </c>
      <c r="L414" s="13">
        <v>2.6395625809999999</v>
      </c>
    </row>
    <row r="415" spans="1:12" x14ac:dyDescent="0.15">
      <c r="A415" s="1">
        <v>41</v>
      </c>
      <c r="B415" s="10" t="s">
        <v>165</v>
      </c>
      <c r="C415" s="11">
        <v>2016</v>
      </c>
      <c r="D415" s="12">
        <v>692295</v>
      </c>
      <c r="E415" s="12">
        <v>671321</v>
      </c>
      <c r="F415" s="12">
        <v>20974</v>
      </c>
      <c r="G415" s="13">
        <v>2.58</v>
      </c>
      <c r="H415" s="12">
        <v>272240</v>
      </c>
      <c r="I415" s="12">
        <v>259740</v>
      </c>
      <c r="J415" s="12">
        <v>12500</v>
      </c>
      <c r="K415" s="10">
        <v>4.59</v>
      </c>
      <c r="L415" s="13">
        <v>2.4659161030000001</v>
      </c>
    </row>
    <row r="416" spans="1:12" x14ac:dyDescent="0.15">
      <c r="A416" s="1">
        <v>43</v>
      </c>
      <c r="B416" s="10" t="s">
        <v>166</v>
      </c>
      <c r="C416" s="11">
        <v>2016</v>
      </c>
      <c r="D416" s="12">
        <v>47284</v>
      </c>
      <c r="E416" s="12">
        <v>39099</v>
      </c>
      <c r="F416" s="12">
        <v>8186</v>
      </c>
      <c r="G416" s="13">
        <v>2.29</v>
      </c>
      <c r="H416" s="12">
        <v>19730</v>
      </c>
      <c r="I416" s="12">
        <v>17045</v>
      </c>
      <c r="J416" s="12">
        <v>2685</v>
      </c>
      <c r="K416" s="10">
        <v>13.61</v>
      </c>
      <c r="L416" s="13">
        <v>1.9817029900000001</v>
      </c>
    </row>
    <row r="417" spans="1:12" x14ac:dyDescent="0.15">
      <c r="A417" s="1">
        <v>45</v>
      </c>
      <c r="B417" s="10" t="s">
        <v>167</v>
      </c>
      <c r="C417" s="11">
        <v>2016</v>
      </c>
      <c r="D417" s="12">
        <v>58161</v>
      </c>
      <c r="E417" s="12">
        <v>57126</v>
      </c>
      <c r="F417" s="12">
        <v>1035</v>
      </c>
      <c r="G417" s="13">
        <v>2.72</v>
      </c>
      <c r="H417" s="12">
        <v>23351</v>
      </c>
      <c r="I417" s="12">
        <v>21035</v>
      </c>
      <c r="J417" s="12">
        <v>2316</v>
      </c>
      <c r="K417" s="10">
        <v>9.92</v>
      </c>
      <c r="L417" s="13">
        <v>2.4464048649999999</v>
      </c>
    </row>
    <row r="418" spans="1:12" x14ac:dyDescent="0.15">
      <c r="A418" s="1">
        <v>47</v>
      </c>
      <c r="B418" s="10" t="s">
        <v>168</v>
      </c>
      <c r="C418" s="11">
        <v>2016</v>
      </c>
      <c r="D418" s="12">
        <v>5578</v>
      </c>
      <c r="E418" s="12">
        <v>5534</v>
      </c>
      <c r="F418" s="12">
        <v>44</v>
      </c>
      <c r="G418" s="13">
        <v>2.2000000000000002</v>
      </c>
      <c r="H418" s="12">
        <v>3370</v>
      </c>
      <c r="I418" s="12">
        <v>2514</v>
      </c>
      <c r="J418" s="12">
        <v>856</v>
      </c>
      <c r="K418" s="10">
        <v>25.39</v>
      </c>
      <c r="L418" s="13">
        <v>1.642136499</v>
      </c>
    </row>
    <row r="419" spans="1:12" x14ac:dyDescent="0.15">
      <c r="A419" s="1">
        <v>49</v>
      </c>
      <c r="B419" s="10" t="s">
        <v>169</v>
      </c>
      <c r="C419" s="11">
        <v>2016</v>
      </c>
      <c r="D419" s="12">
        <v>15042</v>
      </c>
      <c r="E419" s="12">
        <v>14835</v>
      </c>
      <c r="F419" s="12">
        <v>208</v>
      </c>
      <c r="G419" s="13">
        <v>2.23</v>
      </c>
      <c r="H419" s="12">
        <v>15889</v>
      </c>
      <c r="I419" s="12">
        <v>6641</v>
      </c>
      <c r="J419" s="12">
        <v>9248</v>
      </c>
      <c r="K419" s="10">
        <v>58.2</v>
      </c>
      <c r="L419" s="13">
        <v>0.93366479999999996</v>
      </c>
    </row>
    <row r="420" spans="1:12" x14ac:dyDescent="0.15">
      <c r="A420" s="1">
        <v>51</v>
      </c>
      <c r="B420" s="10" t="s">
        <v>170</v>
      </c>
      <c r="C420" s="11">
        <v>2016</v>
      </c>
      <c r="D420" s="12">
        <v>16082</v>
      </c>
      <c r="E420" s="12">
        <v>15045</v>
      </c>
      <c r="F420" s="12">
        <v>1037</v>
      </c>
      <c r="G420" s="13">
        <v>2.2200000000000002</v>
      </c>
      <c r="H420" s="12">
        <v>11539</v>
      </c>
      <c r="I420" s="12">
        <v>6765</v>
      </c>
      <c r="J420" s="12">
        <v>4774</v>
      </c>
      <c r="K420" s="10">
        <v>41.37</v>
      </c>
      <c r="L420" s="13">
        <v>1.3038391540000001</v>
      </c>
    </row>
    <row r="421" spans="1:12" x14ac:dyDescent="0.15">
      <c r="A421" s="1">
        <v>53</v>
      </c>
      <c r="B421" s="10" t="s">
        <v>171</v>
      </c>
      <c r="C421" s="11">
        <v>2016</v>
      </c>
      <c r="D421" s="12">
        <v>809</v>
      </c>
      <c r="E421" s="12">
        <v>786</v>
      </c>
      <c r="F421" s="12">
        <v>22</v>
      </c>
      <c r="G421" s="13">
        <v>2.13</v>
      </c>
      <c r="H421" s="12">
        <v>1298</v>
      </c>
      <c r="I421" s="12">
        <v>369</v>
      </c>
      <c r="J421" s="12">
        <v>929</v>
      </c>
      <c r="K421" s="10">
        <v>71.58</v>
      </c>
      <c r="L421" s="13">
        <v>0.60554699499999998</v>
      </c>
    </row>
    <row r="422" spans="1:12" x14ac:dyDescent="0.15">
      <c r="A422" s="1">
        <v>55</v>
      </c>
      <c r="B422" s="10" t="s">
        <v>172</v>
      </c>
      <c r="C422" s="11">
        <v>2016</v>
      </c>
      <c r="D422" s="12">
        <v>6721</v>
      </c>
      <c r="E422" s="12">
        <v>6593</v>
      </c>
      <c r="F422" s="12">
        <v>128</v>
      </c>
      <c r="G422" s="13">
        <v>2.1</v>
      </c>
      <c r="H422" s="12">
        <v>4571</v>
      </c>
      <c r="I422" s="12">
        <v>3146</v>
      </c>
      <c r="J422" s="12">
        <v>1425</v>
      </c>
      <c r="K422" s="10">
        <v>31.17</v>
      </c>
      <c r="L422" s="13">
        <v>1.442353971</v>
      </c>
    </row>
    <row r="423" spans="1:12" x14ac:dyDescent="0.15">
      <c r="A423" s="1">
        <v>57</v>
      </c>
      <c r="B423" s="10" t="s">
        <v>173</v>
      </c>
      <c r="C423" s="11">
        <v>2016</v>
      </c>
      <c r="D423" s="12">
        <v>1379</v>
      </c>
      <c r="E423" s="12">
        <v>1377</v>
      </c>
      <c r="F423" s="12">
        <v>2</v>
      </c>
      <c r="G423" s="13">
        <v>2.12</v>
      </c>
      <c r="H423" s="12">
        <v>1165</v>
      </c>
      <c r="I423" s="12">
        <v>651</v>
      </c>
      <c r="J423" s="12">
        <v>514</v>
      </c>
      <c r="K423" s="10">
        <v>44.13</v>
      </c>
      <c r="L423" s="13">
        <v>1.181974249</v>
      </c>
    </row>
    <row r="424" spans="1:12" x14ac:dyDescent="0.15">
      <c r="A424" s="1">
        <v>59</v>
      </c>
      <c r="B424" s="10" t="s">
        <v>174</v>
      </c>
      <c r="C424" s="11">
        <v>2016</v>
      </c>
      <c r="D424" s="12">
        <v>571744</v>
      </c>
      <c r="E424" s="12">
        <v>563381</v>
      </c>
      <c r="F424" s="12">
        <v>8363</v>
      </c>
      <c r="G424" s="13">
        <v>2.42</v>
      </c>
      <c r="H424" s="12">
        <v>239371</v>
      </c>
      <c r="I424" s="12">
        <v>233211</v>
      </c>
      <c r="J424" s="12">
        <v>6160</v>
      </c>
      <c r="K424" s="10">
        <v>2.57</v>
      </c>
      <c r="L424" s="13">
        <v>2.3535891979999999</v>
      </c>
    </row>
    <row r="425" spans="1:12" x14ac:dyDescent="0.15">
      <c r="A425" s="1">
        <v>61</v>
      </c>
      <c r="B425" s="10" t="s">
        <v>175</v>
      </c>
      <c r="C425" s="11">
        <v>2016</v>
      </c>
      <c r="D425" s="12">
        <v>1420</v>
      </c>
      <c r="E425" s="12">
        <v>1394</v>
      </c>
      <c r="F425" s="12">
        <v>25</v>
      </c>
      <c r="G425" s="13">
        <v>2.35</v>
      </c>
      <c r="H425" s="12">
        <v>734</v>
      </c>
      <c r="I425" s="12">
        <v>594</v>
      </c>
      <c r="J425" s="12">
        <v>140</v>
      </c>
      <c r="K425" s="10">
        <v>19.12</v>
      </c>
      <c r="L425" s="13">
        <v>1.8991825609999999</v>
      </c>
    </row>
    <row r="426" spans="1:12" x14ac:dyDescent="0.15">
      <c r="A426" s="1">
        <v>63</v>
      </c>
      <c r="B426" s="10" t="s">
        <v>176</v>
      </c>
      <c r="C426" s="11">
        <v>2016</v>
      </c>
      <c r="D426" s="12">
        <v>7480</v>
      </c>
      <c r="E426" s="12">
        <v>6995</v>
      </c>
      <c r="F426" s="12">
        <v>486</v>
      </c>
      <c r="G426" s="13">
        <v>2.4</v>
      </c>
      <c r="H426" s="12">
        <v>3404</v>
      </c>
      <c r="I426" s="12">
        <v>2909</v>
      </c>
      <c r="J426" s="12">
        <v>495</v>
      </c>
      <c r="K426" s="10">
        <v>14.53</v>
      </c>
      <c r="L426" s="13">
        <v>2.0549353699999999</v>
      </c>
    </row>
    <row r="427" spans="1:12" x14ac:dyDescent="0.15">
      <c r="A427" s="1">
        <v>65</v>
      </c>
      <c r="B427" s="10" t="s">
        <v>177</v>
      </c>
      <c r="C427" s="11">
        <v>2016</v>
      </c>
      <c r="D427" s="12">
        <v>7246</v>
      </c>
      <c r="E427" s="12">
        <v>7139</v>
      </c>
      <c r="F427" s="12">
        <v>107</v>
      </c>
      <c r="G427" s="13">
        <v>2.4</v>
      </c>
      <c r="H427" s="12">
        <v>4294</v>
      </c>
      <c r="I427" s="12">
        <v>2972</v>
      </c>
      <c r="J427" s="12">
        <v>1322</v>
      </c>
      <c r="K427" s="10">
        <v>30.79</v>
      </c>
      <c r="L427" s="13">
        <v>1.662552399</v>
      </c>
    </row>
    <row r="428" spans="1:12" x14ac:dyDescent="0.15">
      <c r="A428" s="1">
        <v>67</v>
      </c>
      <c r="B428" s="10" t="s">
        <v>178</v>
      </c>
      <c r="C428" s="11">
        <v>2016</v>
      </c>
      <c r="D428" s="12">
        <v>54884</v>
      </c>
      <c r="E428" s="12">
        <v>52945</v>
      </c>
      <c r="F428" s="12">
        <v>1939</v>
      </c>
      <c r="G428" s="13">
        <v>2.3199999999999998</v>
      </c>
      <c r="H428" s="12">
        <v>26937</v>
      </c>
      <c r="I428" s="12">
        <v>22856</v>
      </c>
      <c r="J428" s="12">
        <v>4081</v>
      </c>
      <c r="K428" s="10">
        <v>15.15</v>
      </c>
      <c r="L428" s="13">
        <v>1.9655121209999999</v>
      </c>
    </row>
    <row r="429" spans="1:12" x14ac:dyDescent="0.15">
      <c r="A429" s="1">
        <v>69</v>
      </c>
      <c r="B429" s="10" t="s">
        <v>179</v>
      </c>
      <c r="C429" s="11">
        <v>2016</v>
      </c>
      <c r="D429" s="12">
        <v>339128</v>
      </c>
      <c r="E429" s="12">
        <v>328696</v>
      </c>
      <c r="F429" s="12">
        <v>10432</v>
      </c>
      <c r="G429" s="13">
        <v>2.41</v>
      </c>
      <c r="H429" s="12">
        <v>146124</v>
      </c>
      <c r="I429" s="12">
        <v>136253</v>
      </c>
      <c r="J429" s="12">
        <v>9871</v>
      </c>
      <c r="K429" s="10">
        <v>6.76</v>
      </c>
      <c r="L429" s="13">
        <v>2.2494319890000001</v>
      </c>
    </row>
    <row r="430" spans="1:12" x14ac:dyDescent="0.15">
      <c r="A430" s="1">
        <v>71</v>
      </c>
      <c r="B430" s="10" t="s">
        <v>180</v>
      </c>
      <c r="C430" s="11">
        <v>2016</v>
      </c>
      <c r="D430" s="12">
        <v>14906</v>
      </c>
      <c r="E430" s="12">
        <v>14144</v>
      </c>
      <c r="F430" s="12">
        <v>762</v>
      </c>
      <c r="G430" s="13">
        <v>2.2200000000000002</v>
      </c>
      <c r="H430" s="12">
        <v>7962</v>
      </c>
      <c r="I430" s="12">
        <v>6359</v>
      </c>
      <c r="J430" s="12">
        <v>1603</v>
      </c>
      <c r="K430" s="10">
        <v>20.14</v>
      </c>
      <c r="L430" s="13">
        <v>1.776438081</v>
      </c>
    </row>
    <row r="431" spans="1:12" x14ac:dyDescent="0.15">
      <c r="A431" s="1">
        <v>73</v>
      </c>
      <c r="B431" s="10" t="s">
        <v>181</v>
      </c>
      <c r="C431" s="11">
        <v>2016</v>
      </c>
      <c r="D431" s="12">
        <v>5573</v>
      </c>
      <c r="E431" s="12">
        <v>4567</v>
      </c>
      <c r="F431" s="12">
        <v>1006</v>
      </c>
      <c r="G431" s="13">
        <v>2.33</v>
      </c>
      <c r="H431" s="12">
        <v>2281</v>
      </c>
      <c r="I431" s="12">
        <v>1957</v>
      </c>
      <c r="J431" s="12">
        <v>324</v>
      </c>
      <c r="K431" s="10">
        <v>14.22</v>
      </c>
      <c r="L431" s="13">
        <v>2.0021920209999999</v>
      </c>
    </row>
    <row r="432" spans="1:12" x14ac:dyDescent="0.15">
      <c r="A432" s="1">
        <v>75</v>
      </c>
      <c r="B432" s="10" t="s">
        <v>182</v>
      </c>
      <c r="C432" s="11">
        <v>2016</v>
      </c>
      <c r="D432" s="12">
        <v>21772</v>
      </c>
      <c r="E432" s="12">
        <v>18542</v>
      </c>
      <c r="F432" s="12">
        <v>3230</v>
      </c>
      <c r="G432" s="13">
        <v>2.3199999999999998</v>
      </c>
      <c r="H432" s="12">
        <v>8593</v>
      </c>
      <c r="I432" s="12">
        <v>7977</v>
      </c>
      <c r="J432" s="12">
        <v>616</v>
      </c>
      <c r="K432" s="10">
        <v>7.16</v>
      </c>
      <c r="L432" s="13">
        <v>2.1578028630000001</v>
      </c>
    </row>
    <row r="433" spans="1:12" x14ac:dyDescent="0.15">
      <c r="A433" s="1">
        <v>77</v>
      </c>
      <c r="B433" s="10" t="s">
        <v>183</v>
      </c>
      <c r="C433" s="11">
        <v>2016</v>
      </c>
      <c r="D433" s="12">
        <v>150346</v>
      </c>
      <c r="E433" s="12">
        <v>145847</v>
      </c>
      <c r="F433" s="12">
        <v>4499</v>
      </c>
      <c r="G433" s="13">
        <v>2.4300000000000002</v>
      </c>
      <c r="H433" s="12">
        <v>64807</v>
      </c>
      <c r="I433" s="12">
        <v>60086</v>
      </c>
      <c r="J433" s="12">
        <v>4721</v>
      </c>
      <c r="K433" s="10">
        <v>7.28</v>
      </c>
      <c r="L433" s="13">
        <v>2.2504822010000001</v>
      </c>
    </row>
    <row r="434" spans="1:12" x14ac:dyDescent="0.15">
      <c r="A434" s="1">
        <v>79</v>
      </c>
      <c r="B434" s="10" t="s">
        <v>184</v>
      </c>
      <c r="C434" s="11">
        <v>2016</v>
      </c>
      <c r="D434" s="12">
        <v>770</v>
      </c>
      <c r="E434" s="12">
        <v>770</v>
      </c>
      <c r="F434" s="12">
        <v>0</v>
      </c>
      <c r="G434" s="13">
        <v>2.0299999999999998</v>
      </c>
      <c r="H434" s="12">
        <v>1148</v>
      </c>
      <c r="I434" s="12">
        <v>380</v>
      </c>
      <c r="J434" s="12">
        <v>768</v>
      </c>
      <c r="K434" s="10">
        <v>66.91</v>
      </c>
      <c r="L434" s="13">
        <v>0.67073170699999995</v>
      </c>
    </row>
    <row r="435" spans="1:12" x14ac:dyDescent="0.15">
      <c r="A435" s="1">
        <v>81</v>
      </c>
      <c r="B435" s="10" t="s">
        <v>185</v>
      </c>
      <c r="C435" s="11">
        <v>2016</v>
      </c>
      <c r="D435" s="12">
        <v>13266</v>
      </c>
      <c r="E435" s="12">
        <v>13154</v>
      </c>
      <c r="F435" s="12">
        <v>112</v>
      </c>
      <c r="G435" s="13">
        <v>2.48</v>
      </c>
      <c r="H435" s="12">
        <v>6015</v>
      </c>
      <c r="I435" s="12">
        <v>5307</v>
      </c>
      <c r="J435" s="12">
        <v>708</v>
      </c>
      <c r="K435" s="10">
        <v>11.78</v>
      </c>
      <c r="L435" s="13">
        <v>2.1868661679999999</v>
      </c>
    </row>
    <row r="436" spans="1:12" x14ac:dyDescent="0.15">
      <c r="A436" s="1">
        <v>83</v>
      </c>
      <c r="B436" s="10" t="s">
        <v>186</v>
      </c>
      <c r="C436" s="11">
        <v>2016</v>
      </c>
      <c r="D436" s="12">
        <v>25543</v>
      </c>
      <c r="E436" s="12">
        <v>25275</v>
      </c>
      <c r="F436" s="12">
        <v>268</v>
      </c>
      <c r="G436" s="13">
        <v>2.38</v>
      </c>
      <c r="H436" s="12">
        <v>12052</v>
      </c>
      <c r="I436" s="12">
        <v>10623</v>
      </c>
      <c r="J436" s="12">
        <v>1429</v>
      </c>
      <c r="K436" s="10">
        <v>11.86</v>
      </c>
      <c r="L436" s="13">
        <v>2.0971622970000001</v>
      </c>
    </row>
    <row r="437" spans="1:12" x14ac:dyDescent="0.15">
      <c r="A437" s="1">
        <v>85</v>
      </c>
      <c r="B437" s="10" t="s">
        <v>187</v>
      </c>
      <c r="C437" s="11">
        <v>2016</v>
      </c>
      <c r="D437" s="12">
        <v>41594</v>
      </c>
      <c r="E437" s="12">
        <v>40982</v>
      </c>
      <c r="F437" s="12">
        <v>613</v>
      </c>
      <c r="G437" s="13">
        <v>2.4300000000000002</v>
      </c>
      <c r="H437" s="12">
        <v>17890</v>
      </c>
      <c r="I437" s="12">
        <v>16863</v>
      </c>
      <c r="J437" s="12">
        <v>1027</v>
      </c>
      <c r="K437" s="10">
        <v>5.74</v>
      </c>
      <c r="L437" s="13">
        <v>2.29077697</v>
      </c>
    </row>
    <row r="438" spans="1:12" x14ac:dyDescent="0.15">
      <c r="A438" s="1">
        <v>87</v>
      </c>
      <c r="B438" s="10" t="s">
        <v>188</v>
      </c>
      <c r="C438" s="11">
        <v>2016</v>
      </c>
      <c r="D438" s="12">
        <v>28294</v>
      </c>
      <c r="E438" s="12">
        <v>27790</v>
      </c>
      <c r="F438" s="12">
        <v>504</v>
      </c>
      <c r="G438" s="13">
        <v>2.68</v>
      </c>
      <c r="H438" s="12">
        <v>11135</v>
      </c>
      <c r="I438" s="12">
        <v>10371</v>
      </c>
      <c r="J438" s="12">
        <v>764</v>
      </c>
      <c r="K438" s="10">
        <v>6.86</v>
      </c>
      <c r="L438" s="13">
        <v>2.4957341720000001</v>
      </c>
    </row>
    <row r="439" spans="1:12" x14ac:dyDescent="0.15">
      <c r="A439" s="1">
        <v>89</v>
      </c>
      <c r="B439" s="10" t="s">
        <v>189</v>
      </c>
      <c r="C439" s="11">
        <v>2016</v>
      </c>
      <c r="D439" s="12">
        <v>18797</v>
      </c>
      <c r="E439" s="12">
        <v>18373</v>
      </c>
      <c r="F439" s="12">
        <v>424</v>
      </c>
      <c r="G439" s="13">
        <v>2.38</v>
      </c>
      <c r="H439" s="12">
        <v>8695</v>
      </c>
      <c r="I439" s="12">
        <v>7720</v>
      </c>
      <c r="J439" s="12">
        <v>975</v>
      </c>
      <c r="K439" s="10">
        <v>11.22</v>
      </c>
      <c r="L439" s="13">
        <v>2.113053479</v>
      </c>
    </row>
    <row r="440" spans="1:12" x14ac:dyDescent="0.15">
      <c r="A440" s="1">
        <v>91</v>
      </c>
      <c r="B440" s="10" t="s">
        <v>190</v>
      </c>
      <c r="C440" s="11">
        <v>2016</v>
      </c>
      <c r="D440" s="12">
        <v>4721</v>
      </c>
      <c r="E440" s="12">
        <v>4721</v>
      </c>
      <c r="F440" s="12">
        <v>0</v>
      </c>
      <c r="G440" s="13">
        <v>2.15</v>
      </c>
      <c r="H440" s="12">
        <v>3164</v>
      </c>
      <c r="I440" s="12">
        <v>2194</v>
      </c>
      <c r="J440" s="12">
        <v>970</v>
      </c>
      <c r="K440" s="10">
        <v>30.66</v>
      </c>
      <c r="L440" s="13">
        <v>1.4920986089999999</v>
      </c>
    </row>
    <row r="441" spans="1:12" x14ac:dyDescent="0.15">
      <c r="A441" s="1">
        <v>93</v>
      </c>
      <c r="B441" s="10" t="s">
        <v>191</v>
      </c>
      <c r="C441" s="11">
        <v>2016</v>
      </c>
      <c r="D441" s="12">
        <v>16461</v>
      </c>
      <c r="E441" s="12">
        <v>16408</v>
      </c>
      <c r="F441" s="12">
        <v>53</v>
      </c>
      <c r="G441" s="13">
        <v>2.23</v>
      </c>
      <c r="H441" s="12">
        <v>13813</v>
      </c>
      <c r="I441" s="12">
        <v>7351</v>
      </c>
      <c r="J441" s="12">
        <v>6462</v>
      </c>
      <c r="K441" s="10">
        <v>46.78</v>
      </c>
      <c r="L441" s="13">
        <v>1.187866503</v>
      </c>
    </row>
    <row r="442" spans="1:12" x14ac:dyDescent="0.15">
      <c r="A442" s="1">
        <v>95</v>
      </c>
      <c r="B442" s="10" t="s">
        <v>192</v>
      </c>
      <c r="C442" s="11">
        <v>2016</v>
      </c>
      <c r="D442" s="12">
        <v>4505</v>
      </c>
      <c r="E442" s="12">
        <v>4438</v>
      </c>
      <c r="F442" s="12">
        <v>67</v>
      </c>
      <c r="G442" s="13">
        <v>2.4300000000000002</v>
      </c>
      <c r="H442" s="12">
        <v>1988</v>
      </c>
      <c r="I442" s="12">
        <v>1823</v>
      </c>
      <c r="J442" s="12">
        <v>165</v>
      </c>
      <c r="K442" s="10">
        <v>8.32</v>
      </c>
      <c r="L442" s="13">
        <v>2.2323943659999999</v>
      </c>
    </row>
    <row r="443" spans="1:12" x14ac:dyDescent="0.15">
      <c r="A443" s="1">
        <v>97</v>
      </c>
      <c r="B443" s="10" t="s">
        <v>193</v>
      </c>
      <c r="C443" s="11">
        <v>2016</v>
      </c>
      <c r="D443" s="12">
        <v>17691</v>
      </c>
      <c r="E443" s="12">
        <v>17619</v>
      </c>
      <c r="F443" s="12">
        <v>72</v>
      </c>
      <c r="G443" s="13">
        <v>2.13</v>
      </c>
      <c r="H443" s="12">
        <v>12940</v>
      </c>
      <c r="I443" s="12">
        <v>8271</v>
      </c>
      <c r="J443" s="12">
        <v>4669</v>
      </c>
      <c r="K443" s="10">
        <v>36.08</v>
      </c>
      <c r="L443" s="13">
        <v>1.361591963</v>
      </c>
    </row>
    <row r="444" spans="1:12" x14ac:dyDescent="0.15">
      <c r="A444" s="1">
        <v>99</v>
      </c>
      <c r="B444" s="10" t="s">
        <v>194</v>
      </c>
      <c r="C444" s="11">
        <v>2016</v>
      </c>
      <c r="D444" s="12">
        <v>11887</v>
      </c>
      <c r="E444" s="12">
        <v>11540</v>
      </c>
      <c r="F444" s="12">
        <v>347</v>
      </c>
      <c r="G444" s="13">
        <v>2.4700000000000002</v>
      </c>
      <c r="H444" s="12">
        <v>5446</v>
      </c>
      <c r="I444" s="12">
        <v>4670</v>
      </c>
      <c r="J444" s="12">
        <v>776</v>
      </c>
      <c r="K444" s="10">
        <v>14.25</v>
      </c>
      <c r="L444" s="13">
        <v>2.1189864119999999</v>
      </c>
    </row>
    <row r="445" spans="1:12" x14ac:dyDescent="0.15">
      <c r="A445" s="1">
        <v>101</v>
      </c>
      <c r="B445" s="10" t="s">
        <v>195</v>
      </c>
      <c r="C445" s="11">
        <v>2016</v>
      </c>
      <c r="D445" s="12">
        <v>164124</v>
      </c>
      <c r="E445" s="12">
        <v>160238</v>
      </c>
      <c r="F445" s="12">
        <v>3886</v>
      </c>
      <c r="G445" s="13">
        <v>2.4500000000000002</v>
      </c>
      <c r="H445" s="12">
        <v>70696</v>
      </c>
      <c r="I445" s="12">
        <v>65275</v>
      </c>
      <c r="J445" s="12">
        <v>5421</v>
      </c>
      <c r="K445" s="10">
        <v>7.67</v>
      </c>
      <c r="L445" s="13">
        <v>2.2665780240000002</v>
      </c>
    </row>
    <row r="446" spans="1:12" x14ac:dyDescent="0.15">
      <c r="A446" s="1">
        <v>103</v>
      </c>
      <c r="B446" s="10" t="s">
        <v>196</v>
      </c>
      <c r="C446" s="11">
        <v>2016</v>
      </c>
      <c r="D446" s="12">
        <v>6616</v>
      </c>
      <c r="E446" s="12">
        <v>6349</v>
      </c>
      <c r="F446" s="12">
        <v>267</v>
      </c>
      <c r="G446" s="13">
        <v>2.4300000000000002</v>
      </c>
      <c r="H446" s="12">
        <v>3232</v>
      </c>
      <c r="I446" s="12">
        <v>2611</v>
      </c>
      <c r="J446" s="12">
        <v>621</v>
      </c>
      <c r="K446" s="10">
        <v>19.2</v>
      </c>
      <c r="L446" s="13">
        <v>1.964418317</v>
      </c>
    </row>
    <row r="447" spans="1:12" x14ac:dyDescent="0.15">
      <c r="A447" s="1">
        <v>105</v>
      </c>
      <c r="B447" s="10" t="s">
        <v>197</v>
      </c>
      <c r="C447" s="11">
        <v>2016</v>
      </c>
      <c r="D447" s="12">
        <v>11734</v>
      </c>
      <c r="E447" s="12">
        <v>11574</v>
      </c>
      <c r="F447" s="12">
        <v>160</v>
      </c>
      <c r="G447" s="13">
        <v>2.42</v>
      </c>
      <c r="H447" s="12">
        <v>6431</v>
      </c>
      <c r="I447" s="12">
        <v>4789</v>
      </c>
      <c r="J447" s="12">
        <v>1642</v>
      </c>
      <c r="K447" s="10">
        <v>25.53</v>
      </c>
      <c r="L447" s="13">
        <v>1.7997201060000001</v>
      </c>
    </row>
    <row r="448" spans="1:12" x14ac:dyDescent="0.15">
      <c r="A448" s="1">
        <v>107</v>
      </c>
      <c r="B448" s="10" t="s">
        <v>198</v>
      </c>
      <c r="C448" s="11">
        <v>2016</v>
      </c>
      <c r="D448" s="12">
        <v>23952</v>
      </c>
      <c r="E448" s="12">
        <v>23608</v>
      </c>
      <c r="F448" s="12">
        <v>345</v>
      </c>
      <c r="G448" s="13">
        <v>2.35</v>
      </c>
      <c r="H448" s="12">
        <v>15941</v>
      </c>
      <c r="I448" s="12">
        <v>10045</v>
      </c>
      <c r="J448" s="12">
        <v>5896</v>
      </c>
      <c r="K448" s="10">
        <v>36.99</v>
      </c>
      <c r="L448" s="13">
        <v>1.4809610440000001</v>
      </c>
    </row>
    <row r="449" spans="1:12" x14ac:dyDescent="0.15">
      <c r="A449" s="1">
        <v>109</v>
      </c>
      <c r="B449" s="10" t="s">
        <v>199</v>
      </c>
      <c r="C449" s="11">
        <v>2016</v>
      </c>
      <c r="D449" s="12">
        <v>6188</v>
      </c>
      <c r="E449" s="12">
        <v>6160</v>
      </c>
      <c r="F449" s="12">
        <v>28</v>
      </c>
      <c r="G449" s="13">
        <v>2.2599999999999998</v>
      </c>
      <c r="H449" s="12">
        <v>3412</v>
      </c>
      <c r="I449" s="12">
        <v>2721</v>
      </c>
      <c r="J449" s="12">
        <v>691</v>
      </c>
      <c r="K449" s="10">
        <v>20.239999999999998</v>
      </c>
      <c r="L449" s="13">
        <v>1.8053927320000001</v>
      </c>
    </row>
    <row r="450" spans="1:12" x14ac:dyDescent="0.15">
      <c r="A450" s="1">
        <v>111</v>
      </c>
      <c r="B450" s="10" t="s">
        <v>200</v>
      </c>
      <c r="C450" s="11">
        <v>2016</v>
      </c>
      <c r="D450" s="12">
        <v>697</v>
      </c>
      <c r="E450" s="12">
        <v>697</v>
      </c>
      <c r="F450" s="12">
        <v>0</v>
      </c>
      <c r="G450" s="13">
        <v>1.96</v>
      </c>
      <c r="H450" s="12">
        <v>753</v>
      </c>
      <c r="I450" s="12">
        <v>356</v>
      </c>
      <c r="J450" s="12">
        <v>397</v>
      </c>
      <c r="K450" s="10">
        <v>52.74</v>
      </c>
      <c r="L450" s="13">
        <v>0.92563081000000003</v>
      </c>
    </row>
    <row r="451" spans="1:12" x14ac:dyDescent="0.15">
      <c r="A451" s="1">
        <v>113</v>
      </c>
      <c r="B451" s="10" t="s">
        <v>201</v>
      </c>
      <c r="C451" s="11">
        <v>2016</v>
      </c>
      <c r="D451" s="12">
        <v>8001</v>
      </c>
      <c r="E451" s="12">
        <v>7732</v>
      </c>
      <c r="F451" s="12">
        <v>269</v>
      </c>
      <c r="G451" s="13">
        <v>2.2000000000000002</v>
      </c>
      <c r="H451" s="12">
        <v>6355</v>
      </c>
      <c r="I451" s="12">
        <v>3519</v>
      </c>
      <c r="J451" s="12">
        <v>2836</v>
      </c>
      <c r="K451" s="10">
        <v>44.63</v>
      </c>
      <c r="L451" s="13">
        <v>1.21667978</v>
      </c>
    </row>
    <row r="452" spans="1:12" x14ac:dyDescent="0.15">
      <c r="A452" s="1">
        <v>115</v>
      </c>
      <c r="B452" s="10" t="s">
        <v>202</v>
      </c>
      <c r="C452" s="11">
        <v>2016</v>
      </c>
      <c r="D452" s="12">
        <v>2392</v>
      </c>
      <c r="E452" s="12">
        <v>2352</v>
      </c>
      <c r="F452" s="12">
        <v>40</v>
      </c>
      <c r="G452" s="13">
        <v>2.17</v>
      </c>
      <c r="H452" s="12">
        <v>1331</v>
      </c>
      <c r="I452" s="12">
        <v>1086</v>
      </c>
      <c r="J452" s="12">
        <v>245</v>
      </c>
      <c r="K452" s="10">
        <v>18.38</v>
      </c>
      <c r="L452" s="13">
        <v>1.767092412</v>
      </c>
    </row>
    <row r="453" spans="1:12" x14ac:dyDescent="0.15">
      <c r="A453" s="1">
        <v>117</v>
      </c>
      <c r="B453" s="10" t="s">
        <v>203</v>
      </c>
      <c r="C453" s="11">
        <v>2016</v>
      </c>
      <c r="D453" s="12">
        <v>30817</v>
      </c>
      <c r="E453" s="12">
        <v>30372</v>
      </c>
      <c r="F453" s="12">
        <v>445</v>
      </c>
      <c r="G453" s="13">
        <v>2.36</v>
      </c>
      <c r="H453" s="12">
        <v>30141</v>
      </c>
      <c r="I453" s="12">
        <v>12878</v>
      </c>
      <c r="J453" s="12">
        <v>17263</v>
      </c>
      <c r="K453" s="10">
        <v>57.27</v>
      </c>
      <c r="L453" s="13">
        <v>1.0076639789999999</v>
      </c>
    </row>
    <row r="454" spans="1:12" x14ac:dyDescent="0.15">
      <c r="A454" s="1">
        <v>119</v>
      </c>
      <c r="B454" s="10" t="s">
        <v>204</v>
      </c>
      <c r="C454" s="11">
        <v>2016</v>
      </c>
      <c r="D454" s="12">
        <v>23607</v>
      </c>
      <c r="E454" s="12">
        <v>23445</v>
      </c>
      <c r="F454" s="12">
        <v>162</v>
      </c>
      <c r="G454" s="13">
        <v>2.33</v>
      </c>
      <c r="H454" s="12">
        <v>12956</v>
      </c>
      <c r="I454" s="12">
        <v>10047</v>
      </c>
      <c r="J454" s="12">
        <v>2909</v>
      </c>
      <c r="K454" s="10">
        <v>22.45</v>
      </c>
      <c r="L454" s="13">
        <v>1.8095862920000001</v>
      </c>
    </row>
    <row r="455" spans="1:12" x14ac:dyDescent="0.15">
      <c r="A455" s="1">
        <v>121</v>
      </c>
      <c r="B455" s="10" t="s">
        <v>205</v>
      </c>
      <c r="C455" s="11">
        <v>2016</v>
      </c>
      <c r="D455" s="12">
        <v>4745</v>
      </c>
      <c r="E455" s="12">
        <v>4574</v>
      </c>
      <c r="F455" s="12">
        <v>171</v>
      </c>
      <c r="G455" s="13">
        <v>2.38</v>
      </c>
      <c r="H455" s="12">
        <v>2227</v>
      </c>
      <c r="I455" s="12">
        <v>1923</v>
      </c>
      <c r="J455" s="12">
        <v>304</v>
      </c>
      <c r="K455" s="10">
        <v>13.63</v>
      </c>
      <c r="L455" s="13">
        <v>2.0538841489999999</v>
      </c>
    </row>
    <row r="456" spans="1:12" x14ac:dyDescent="0.15">
      <c r="A456" s="1">
        <v>123</v>
      </c>
      <c r="B456" s="10" t="s">
        <v>206</v>
      </c>
      <c r="C456" s="11">
        <v>2016</v>
      </c>
      <c r="D456" s="12">
        <v>294513</v>
      </c>
      <c r="E456" s="12">
        <v>288943</v>
      </c>
      <c r="F456" s="12">
        <v>5570</v>
      </c>
      <c r="G456" s="13">
        <v>2.81</v>
      </c>
      <c r="H456" s="12">
        <v>106316</v>
      </c>
      <c r="I456" s="12">
        <v>102818</v>
      </c>
      <c r="J456" s="12">
        <v>3498</v>
      </c>
      <c r="K456" s="10">
        <v>3.29</v>
      </c>
      <c r="L456" s="13">
        <v>2.717775311</v>
      </c>
    </row>
    <row r="457" spans="1:12" x14ac:dyDescent="0.15">
      <c r="A457" s="1">
        <v>125</v>
      </c>
      <c r="B457" s="10" t="s">
        <v>207</v>
      </c>
      <c r="C457" s="11">
        <v>2016</v>
      </c>
      <c r="D457" s="12">
        <v>10056</v>
      </c>
      <c r="E457" s="12">
        <v>9792</v>
      </c>
      <c r="F457" s="12">
        <v>264</v>
      </c>
      <c r="G457" s="13">
        <v>2.52</v>
      </c>
      <c r="H457" s="12">
        <v>4294</v>
      </c>
      <c r="I457" s="12">
        <v>3884</v>
      </c>
      <c r="J457" s="12">
        <v>410</v>
      </c>
      <c r="K457" s="10">
        <v>9.56</v>
      </c>
      <c r="L457" s="13">
        <v>2.280391244</v>
      </c>
    </row>
    <row r="458" spans="1:12" x14ac:dyDescent="0.15">
      <c r="A458" s="1">
        <v>0</v>
      </c>
      <c r="B458" s="10" t="s">
        <v>143</v>
      </c>
      <c r="C458" s="11">
        <v>2017</v>
      </c>
      <c r="D458" s="12">
        <v>5599588</v>
      </c>
      <c r="E458" s="12">
        <v>5472360</v>
      </c>
      <c r="F458" s="12">
        <v>127227</v>
      </c>
      <c r="G458" s="13">
        <v>2.5</v>
      </c>
      <c r="H458" s="12">
        <v>2377152</v>
      </c>
      <c r="I458" s="12">
        <v>2190473</v>
      </c>
      <c r="J458" s="12">
        <v>186679</v>
      </c>
      <c r="K458" s="10">
        <v>7.85</v>
      </c>
      <c r="L458" s="13">
        <v>2.3020656650000002</v>
      </c>
    </row>
    <row r="459" spans="1:12" x14ac:dyDescent="0.15">
      <c r="A459" s="1">
        <v>1</v>
      </c>
      <c r="B459" s="10" t="s">
        <v>144</v>
      </c>
      <c r="C459" s="11">
        <v>2017</v>
      </c>
      <c r="D459" s="12">
        <v>503706</v>
      </c>
      <c r="E459" s="12">
        <v>499300</v>
      </c>
      <c r="F459" s="12">
        <v>4406</v>
      </c>
      <c r="G459" s="13">
        <v>2.87</v>
      </c>
      <c r="H459" s="12">
        <v>176439</v>
      </c>
      <c r="I459" s="12">
        <v>173741</v>
      </c>
      <c r="J459" s="12">
        <v>2698</v>
      </c>
      <c r="K459" s="10">
        <v>1.53</v>
      </c>
      <c r="L459" s="13">
        <v>2.829873214</v>
      </c>
    </row>
    <row r="460" spans="1:12" x14ac:dyDescent="0.15">
      <c r="A460" s="1">
        <v>3</v>
      </c>
      <c r="B460" s="10" t="s">
        <v>145</v>
      </c>
      <c r="C460" s="11">
        <v>2017</v>
      </c>
      <c r="D460" s="12">
        <v>16053</v>
      </c>
      <c r="E460" s="12">
        <v>15188</v>
      </c>
      <c r="F460" s="12">
        <v>865</v>
      </c>
      <c r="G460" s="13">
        <v>2.4300000000000002</v>
      </c>
      <c r="H460" s="12">
        <v>6908</v>
      </c>
      <c r="I460" s="12">
        <v>6247</v>
      </c>
      <c r="J460" s="12">
        <v>661</v>
      </c>
      <c r="K460" s="10">
        <v>9.57</v>
      </c>
      <c r="L460" s="13">
        <v>2.198610307</v>
      </c>
    </row>
    <row r="461" spans="1:12" x14ac:dyDescent="0.15">
      <c r="A461" s="1">
        <v>5</v>
      </c>
      <c r="B461" s="10" t="s">
        <v>146</v>
      </c>
      <c r="C461" s="11">
        <v>2017</v>
      </c>
      <c r="D461" s="12">
        <v>642976</v>
      </c>
      <c r="E461" s="12">
        <v>637915</v>
      </c>
      <c r="F461" s="12">
        <v>5061</v>
      </c>
      <c r="G461" s="13">
        <v>2.58</v>
      </c>
      <c r="H461" s="12">
        <v>254352</v>
      </c>
      <c r="I461" s="12">
        <v>247523</v>
      </c>
      <c r="J461" s="12">
        <v>6829</v>
      </c>
      <c r="K461" s="10">
        <v>2.68</v>
      </c>
      <c r="L461" s="13">
        <v>2.5080007229999999</v>
      </c>
    </row>
    <row r="462" spans="1:12" x14ac:dyDescent="0.15">
      <c r="A462" s="1">
        <v>7</v>
      </c>
      <c r="B462" s="10" t="s">
        <v>147</v>
      </c>
      <c r="C462" s="11">
        <v>2017</v>
      </c>
      <c r="D462" s="12">
        <v>12758</v>
      </c>
      <c r="E462" s="12">
        <v>12657</v>
      </c>
      <c r="F462" s="12">
        <v>101</v>
      </c>
      <c r="G462" s="13">
        <v>2.2799999999999998</v>
      </c>
      <c r="H462" s="12">
        <v>9137</v>
      </c>
      <c r="I462" s="12">
        <v>5540</v>
      </c>
      <c r="J462" s="12">
        <v>3597</v>
      </c>
      <c r="K462" s="10">
        <v>39.369999999999997</v>
      </c>
      <c r="L462" s="13">
        <v>1.3852467989999999</v>
      </c>
    </row>
    <row r="463" spans="1:12" x14ac:dyDescent="0.15">
      <c r="A463" s="1">
        <v>9</v>
      </c>
      <c r="B463" s="10" t="s">
        <v>148</v>
      </c>
      <c r="C463" s="11">
        <v>2017</v>
      </c>
      <c r="D463" s="12">
        <v>3523</v>
      </c>
      <c r="E463" s="12">
        <v>3472</v>
      </c>
      <c r="F463" s="12">
        <v>51</v>
      </c>
      <c r="G463" s="13">
        <v>2.14</v>
      </c>
      <c r="H463" s="12">
        <v>1969</v>
      </c>
      <c r="I463" s="12">
        <v>1621</v>
      </c>
      <c r="J463" s="12">
        <v>348</v>
      </c>
      <c r="K463" s="10">
        <v>17.68</v>
      </c>
      <c r="L463" s="13">
        <v>1.7633316400000001</v>
      </c>
    </row>
    <row r="464" spans="1:12" x14ac:dyDescent="0.15">
      <c r="A464" s="1">
        <v>11</v>
      </c>
      <c r="B464" s="10" t="s">
        <v>149</v>
      </c>
      <c r="C464" s="11">
        <v>2017</v>
      </c>
      <c r="D464" s="12">
        <v>5968</v>
      </c>
      <c r="E464" s="12">
        <v>4034</v>
      </c>
      <c r="F464" s="12">
        <v>1934</v>
      </c>
      <c r="G464" s="13">
        <v>2.2999999999999998</v>
      </c>
      <c r="H464" s="12">
        <v>2130</v>
      </c>
      <c r="I464" s="12">
        <v>1757</v>
      </c>
      <c r="J464" s="12">
        <v>373</v>
      </c>
      <c r="K464" s="10">
        <v>17.53</v>
      </c>
      <c r="L464" s="13">
        <v>1.893896714</v>
      </c>
    </row>
    <row r="465" spans="1:12" x14ac:dyDescent="0.15">
      <c r="A465" s="1">
        <v>13</v>
      </c>
      <c r="B465" s="10" t="s">
        <v>150</v>
      </c>
      <c r="C465" s="11">
        <v>2017</v>
      </c>
      <c r="D465" s="12">
        <v>325414</v>
      </c>
      <c r="E465" s="12">
        <v>311468</v>
      </c>
      <c r="F465" s="12">
        <v>13946</v>
      </c>
      <c r="G465" s="13">
        <v>2.38</v>
      </c>
      <c r="H465" s="12">
        <v>135024</v>
      </c>
      <c r="I465" s="12">
        <v>130647</v>
      </c>
      <c r="J465" s="12">
        <v>4377</v>
      </c>
      <c r="K465" s="10">
        <v>3.24</v>
      </c>
      <c r="L465" s="13">
        <v>2.3067602800000002</v>
      </c>
    </row>
    <row r="466" spans="1:12" x14ac:dyDescent="0.15">
      <c r="A466" s="1">
        <v>14</v>
      </c>
      <c r="B466" s="10" t="s">
        <v>151</v>
      </c>
      <c r="C466" s="11">
        <v>2017</v>
      </c>
      <c r="D466" s="12">
        <v>69655</v>
      </c>
      <c r="E466" s="12">
        <v>69413</v>
      </c>
      <c r="F466" s="12">
        <v>242</v>
      </c>
      <c r="G466" s="13">
        <v>2.52</v>
      </c>
      <c r="H466" s="12">
        <v>29498</v>
      </c>
      <c r="I466" s="12">
        <v>27598</v>
      </c>
      <c r="J466" s="12">
        <v>1900</v>
      </c>
      <c r="K466" s="10">
        <v>6.44</v>
      </c>
      <c r="L466" s="13">
        <v>2.3531425860000001</v>
      </c>
    </row>
    <row r="467" spans="1:12" x14ac:dyDescent="0.15">
      <c r="A467" s="1">
        <v>15</v>
      </c>
      <c r="B467" s="10" t="s">
        <v>152</v>
      </c>
      <c r="C467" s="11">
        <v>2017</v>
      </c>
      <c r="D467" s="12">
        <v>18967</v>
      </c>
      <c r="E467" s="12">
        <v>17546</v>
      </c>
      <c r="F467" s="12">
        <v>1421</v>
      </c>
      <c r="G467" s="13">
        <v>2.16</v>
      </c>
      <c r="H467" s="12">
        <v>10484</v>
      </c>
      <c r="I467" s="12">
        <v>8131</v>
      </c>
      <c r="J467" s="12">
        <v>2353</v>
      </c>
      <c r="K467" s="10">
        <v>22.44</v>
      </c>
      <c r="L467" s="13">
        <v>1.6735978629999999</v>
      </c>
    </row>
    <row r="468" spans="1:12" x14ac:dyDescent="0.15">
      <c r="A468" s="1">
        <v>17</v>
      </c>
      <c r="B468" s="10" t="s">
        <v>153</v>
      </c>
      <c r="C468" s="11">
        <v>2017</v>
      </c>
      <c r="D468" s="12">
        <v>1788</v>
      </c>
      <c r="E468" s="12">
        <v>1746</v>
      </c>
      <c r="F468" s="12">
        <v>42</v>
      </c>
      <c r="G468" s="13">
        <v>2.2999999999999998</v>
      </c>
      <c r="H468" s="12">
        <v>898</v>
      </c>
      <c r="I468" s="12">
        <v>758</v>
      </c>
      <c r="J468" s="12">
        <v>140</v>
      </c>
      <c r="K468" s="10">
        <v>15.6</v>
      </c>
      <c r="L468" s="13">
        <v>1.944320713</v>
      </c>
    </row>
    <row r="469" spans="1:12" x14ac:dyDescent="0.15">
      <c r="A469" s="1">
        <v>19</v>
      </c>
      <c r="B469" s="10" t="s">
        <v>154</v>
      </c>
      <c r="C469" s="11">
        <v>2017</v>
      </c>
      <c r="D469" s="12">
        <v>9427</v>
      </c>
      <c r="E469" s="12">
        <v>9312</v>
      </c>
      <c r="F469" s="12">
        <v>115</v>
      </c>
      <c r="G469" s="13">
        <v>2.13</v>
      </c>
      <c r="H469" s="12">
        <v>5572</v>
      </c>
      <c r="I469" s="12">
        <v>4374</v>
      </c>
      <c r="J469" s="12">
        <v>1198</v>
      </c>
      <c r="K469" s="10">
        <v>21.5</v>
      </c>
      <c r="L469" s="13">
        <v>1.671213209</v>
      </c>
    </row>
    <row r="470" spans="1:12" x14ac:dyDescent="0.15">
      <c r="A470" s="1">
        <v>21</v>
      </c>
      <c r="B470" s="10" t="s">
        <v>155</v>
      </c>
      <c r="C470" s="11">
        <v>2017</v>
      </c>
      <c r="D470" s="12">
        <v>7757</v>
      </c>
      <c r="E470" s="12">
        <v>7702</v>
      </c>
      <c r="F470" s="12">
        <v>55</v>
      </c>
      <c r="G470" s="13">
        <v>2.58</v>
      </c>
      <c r="H470" s="12">
        <v>3926</v>
      </c>
      <c r="I470" s="12">
        <v>2986</v>
      </c>
      <c r="J470" s="12">
        <v>940</v>
      </c>
      <c r="K470" s="10">
        <v>23.94</v>
      </c>
      <c r="L470" s="13">
        <v>1.9617931740000001</v>
      </c>
    </row>
    <row r="471" spans="1:12" x14ac:dyDescent="0.15">
      <c r="A471" s="1">
        <v>23</v>
      </c>
      <c r="B471" s="10" t="s">
        <v>156</v>
      </c>
      <c r="C471" s="11">
        <v>2017</v>
      </c>
      <c r="D471" s="12">
        <v>3516</v>
      </c>
      <c r="E471" s="12">
        <v>3516</v>
      </c>
      <c r="F471" s="12">
        <v>0</v>
      </c>
      <c r="G471" s="13">
        <v>2.2200000000000002</v>
      </c>
      <c r="H471" s="12">
        <v>2311</v>
      </c>
      <c r="I471" s="12">
        <v>1586</v>
      </c>
      <c r="J471" s="12">
        <v>725</v>
      </c>
      <c r="K471" s="10">
        <v>31.38</v>
      </c>
      <c r="L471" s="13">
        <v>1.5214192989999999</v>
      </c>
    </row>
    <row r="472" spans="1:12" x14ac:dyDescent="0.15">
      <c r="A472" s="1">
        <v>25</v>
      </c>
      <c r="B472" s="10" t="s">
        <v>157</v>
      </c>
      <c r="C472" s="11">
        <v>2017</v>
      </c>
      <c r="D472" s="12">
        <v>5837</v>
      </c>
      <c r="E472" s="12">
        <v>3042</v>
      </c>
      <c r="F472" s="12">
        <v>2795</v>
      </c>
      <c r="G472" s="13">
        <v>2.34</v>
      </c>
      <c r="H472" s="12">
        <v>1504</v>
      </c>
      <c r="I472" s="12">
        <v>1299</v>
      </c>
      <c r="J472" s="12">
        <v>205</v>
      </c>
      <c r="K472" s="10">
        <v>13.61</v>
      </c>
      <c r="L472" s="13">
        <v>2.0226063829999998</v>
      </c>
    </row>
    <row r="473" spans="1:12" x14ac:dyDescent="0.15">
      <c r="A473" s="1">
        <v>27</v>
      </c>
      <c r="B473" s="10" t="s">
        <v>158</v>
      </c>
      <c r="C473" s="11">
        <v>2017</v>
      </c>
      <c r="D473" s="12">
        <v>4539</v>
      </c>
      <c r="E473" s="12">
        <v>4526</v>
      </c>
      <c r="F473" s="12">
        <v>12</v>
      </c>
      <c r="G473" s="13">
        <v>2.12</v>
      </c>
      <c r="H473" s="12">
        <v>3964</v>
      </c>
      <c r="I473" s="12">
        <v>2135</v>
      </c>
      <c r="J473" s="12">
        <v>1829</v>
      </c>
      <c r="K473" s="10">
        <v>46.14</v>
      </c>
      <c r="L473" s="13">
        <v>1.1417759839999999</v>
      </c>
    </row>
    <row r="474" spans="1:12" x14ac:dyDescent="0.15">
      <c r="A474" s="1">
        <v>29</v>
      </c>
      <c r="B474" s="10" t="s">
        <v>159</v>
      </c>
      <c r="C474" s="11">
        <v>2017</v>
      </c>
      <c r="D474" s="12">
        <v>30703</v>
      </c>
      <c r="E474" s="12">
        <v>29858</v>
      </c>
      <c r="F474" s="12">
        <v>845</v>
      </c>
      <c r="G474" s="13">
        <v>2.34</v>
      </c>
      <c r="H474" s="12">
        <v>14660</v>
      </c>
      <c r="I474" s="12">
        <v>12745</v>
      </c>
      <c r="J474" s="12">
        <v>1915</v>
      </c>
      <c r="K474" s="10">
        <v>13.06</v>
      </c>
      <c r="L474" s="13">
        <v>2.0366984989999999</v>
      </c>
    </row>
    <row r="475" spans="1:12" x14ac:dyDescent="0.15">
      <c r="A475" s="1">
        <v>31</v>
      </c>
      <c r="B475" s="10" t="s">
        <v>160</v>
      </c>
      <c r="C475" s="11">
        <v>2017</v>
      </c>
      <c r="D475" s="12">
        <v>693134</v>
      </c>
      <c r="E475" s="12">
        <v>676812</v>
      </c>
      <c r="F475" s="12">
        <v>16322</v>
      </c>
      <c r="G475" s="13">
        <v>2.21</v>
      </c>
      <c r="H475" s="12">
        <v>321058</v>
      </c>
      <c r="I475" s="12">
        <v>306336</v>
      </c>
      <c r="J475" s="12">
        <v>14722</v>
      </c>
      <c r="K475" s="10">
        <v>4.59</v>
      </c>
      <c r="L475" s="13">
        <v>2.108067701</v>
      </c>
    </row>
    <row r="476" spans="1:12" x14ac:dyDescent="0.15">
      <c r="A476" s="1">
        <v>33</v>
      </c>
      <c r="B476" s="10" t="s">
        <v>161</v>
      </c>
      <c r="C476" s="11">
        <v>2017</v>
      </c>
      <c r="D476" s="12">
        <v>2088</v>
      </c>
      <c r="E476" s="12">
        <v>2088</v>
      </c>
      <c r="F476" s="12">
        <v>0</v>
      </c>
      <c r="G476" s="13">
        <v>2.25</v>
      </c>
      <c r="H476" s="12">
        <v>1287</v>
      </c>
      <c r="I476" s="12">
        <v>930</v>
      </c>
      <c r="J476" s="12">
        <v>357</v>
      </c>
      <c r="K476" s="10">
        <v>27.73</v>
      </c>
      <c r="L476" s="13">
        <v>1.6223776219999999</v>
      </c>
    </row>
    <row r="477" spans="1:12" x14ac:dyDescent="0.15">
      <c r="A477" s="1">
        <v>35</v>
      </c>
      <c r="B477" s="10" t="s">
        <v>162</v>
      </c>
      <c r="C477" s="11">
        <v>2017</v>
      </c>
      <c r="D477" s="12">
        <v>335933</v>
      </c>
      <c r="E477" s="12">
        <v>334512</v>
      </c>
      <c r="F477" s="12">
        <v>1421</v>
      </c>
      <c r="G477" s="13">
        <v>2.77</v>
      </c>
      <c r="H477" s="12">
        <v>122812</v>
      </c>
      <c r="I477" s="12">
        <v>120764</v>
      </c>
      <c r="J477" s="12">
        <v>2048</v>
      </c>
      <c r="K477" s="10">
        <v>1.67</v>
      </c>
      <c r="L477" s="13">
        <v>2.7237729210000001</v>
      </c>
    </row>
    <row r="478" spans="1:12" x14ac:dyDescent="0.15">
      <c r="A478" s="1">
        <v>37</v>
      </c>
      <c r="B478" s="10" t="s">
        <v>163</v>
      </c>
      <c r="C478" s="11">
        <v>2017</v>
      </c>
      <c r="D478" s="12">
        <v>53724</v>
      </c>
      <c r="E478" s="12">
        <v>53633</v>
      </c>
      <c r="F478" s="12">
        <v>91</v>
      </c>
      <c r="G478" s="13">
        <v>2.69</v>
      </c>
      <c r="H478" s="12">
        <v>31951</v>
      </c>
      <c r="I478" s="12">
        <v>19945</v>
      </c>
      <c r="J478" s="12">
        <v>12006</v>
      </c>
      <c r="K478" s="10">
        <v>37.58</v>
      </c>
      <c r="L478" s="13">
        <v>1.678601609</v>
      </c>
    </row>
    <row r="479" spans="1:12" x14ac:dyDescent="0.15">
      <c r="A479" s="1">
        <v>39</v>
      </c>
      <c r="B479" s="10" t="s">
        <v>164</v>
      </c>
      <c r="C479" s="11">
        <v>2017</v>
      </c>
      <c r="D479" s="12">
        <v>24942</v>
      </c>
      <c r="E479" s="12">
        <v>24871</v>
      </c>
      <c r="F479" s="12">
        <v>71</v>
      </c>
      <c r="G479" s="13">
        <v>2.76</v>
      </c>
      <c r="H479" s="12">
        <v>9328</v>
      </c>
      <c r="I479" s="12">
        <v>8997</v>
      </c>
      <c r="J479" s="12">
        <v>331</v>
      </c>
      <c r="K479" s="10">
        <v>3.55</v>
      </c>
      <c r="L479" s="13">
        <v>2.6662735849999999</v>
      </c>
    </row>
    <row r="480" spans="1:12" x14ac:dyDescent="0.15">
      <c r="A480" s="1">
        <v>41</v>
      </c>
      <c r="B480" s="10" t="s">
        <v>165</v>
      </c>
      <c r="C480" s="11">
        <v>2017</v>
      </c>
      <c r="D480" s="12">
        <v>704797</v>
      </c>
      <c r="E480" s="12">
        <v>683661</v>
      </c>
      <c r="F480" s="12">
        <v>21136</v>
      </c>
      <c r="G480" s="13">
        <v>2.59</v>
      </c>
      <c r="H480" s="12">
        <v>276227</v>
      </c>
      <c r="I480" s="12">
        <v>264025</v>
      </c>
      <c r="J480" s="12">
        <v>12202</v>
      </c>
      <c r="K480" s="10">
        <v>4.42</v>
      </c>
      <c r="L480" s="13">
        <v>2.4749970129999999</v>
      </c>
    </row>
    <row r="481" spans="1:12" x14ac:dyDescent="0.15">
      <c r="A481" s="1">
        <v>43</v>
      </c>
      <c r="B481" s="10" t="s">
        <v>166</v>
      </c>
      <c r="C481" s="11">
        <v>2017</v>
      </c>
      <c r="D481" s="12">
        <v>47564</v>
      </c>
      <c r="E481" s="12">
        <v>39465</v>
      </c>
      <c r="F481" s="12">
        <v>8099</v>
      </c>
      <c r="G481" s="13">
        <v>2.29</v>
      </c>
      <c r="H481" s="12">
        <v>19834</v>
      </c>
      <c r="I481" s="12">
        <v>17211</v>
      </c>
      <c r="J481" s="12">
        <v>2623</v>
      </c>
      <c r="K481" s="10">
        <v>13.22</v>
      </c>
      <c r="L481" s="13">
        <v>1.9897650499999999</v>
      </c>
    </row>
    <row r="482" spans="1:12" x14ac:dyDescent="0.15">
      <c r="A482" s="1">
        <v>45</v>
      </c>
      <c r="B482" s="10" t="s">
        <v>167</v>
      </c>
      <c r="C482" s="11">
        <v>2017</v>
      </c>
      <c r="D482" s="12">
        <v>58871</v>
      </c>
      <c r="E482" s="12">
        <v>57811</v>
      </c>
      <c r="F482" s="12">
        <v>1060</v>
      </c>
      <c r="G482" s="13">
        <v>2.71</v>
      </c>
      <c r="H482" s="12">
        <v>23511</v>
      </c>
      <c r="I482" s="12">
        <v>21300</v>
      </c>
      <c r="J482" s="12">
        <v>2211</v>
      </c>
      <c r="K482" s="10">
        <v>9.4</v>
      </c>
      <c r="L482" s="13">
        <v>2.4588915830000002</v>
      </c>
    </row>
    <row r="483" spans="1:12" x14ac:dyDescent="0.15">
      <c r="A483" s="1">
        <v>47</v>
      </c>
      <c r="B483" s="10" t="s">
        <v>168</v>
      </c>
      <c r="C483" s="11">
        <v>2017</v>
      </c>
      <c r="D483" s="12">
        <v>5635</v>
      </c>
      <c r="E483" s="12">
        <v>5592</v>
      </c>
      <c r="F483" s="12">
        <v>43</v>
      </c>
      <c r="G483" s="13">
        <v>2.2000000000000002</v>
      </c>
      <c r="H483" s="12">
        <v>3410</v>
      </c>
      <c r="I483" s="12">
        <v>2539</v>
      </c>
      <c r="J483" s="12">
        <v>871</v>
      </c>
      <c r="K483" s="10">
        <v>25.55</v>
      </c>
      <c r="L483" s="13">
        <v>1.6398826980000001</v>
      </c>
    </row>
    <row r="484" spans="1:12" x14ac:dyDescent="0.15">
      <c r="A484" s="1">
        <v>49</v>
      </c>
      <c r="B484" s="10" t="s">
        <v>169</v>
      </c>
      <c r="C484" s="11">
        <v>2017</v>
      </c>
      <c r="D484" s="12">
        <v>15147</v>
      </c>
      <c r="E484" s="12">
        <v>14942</v>
      </c>
      <c r="F484" s="12">
        <v>205</v>
      </c>
      <c r="G484" s="13">
        <v>2.23</v>
      </c>
      <c r="H484" s="12">
        <v>16043</v>
      </c>
      <c r="I484" s="12">
        <v>6703</v>
      </c>
      <c r="J484" s="12">
        <v>9340</v>
      </c>
      <c r="K484" s="10">
        <v>58.22</v>
      </c>
      <c r="L484" s="13">
        <v>0.93137193799999995</v>
      </c>
    </row>
    <row r="485" spans="1:12" x14ac:dyDescent="0.15">
      <c r="A485" s="1">
        <v>51</v>
      </c>
      <c r="B485" s="10" t="s">
        <v>170</v>
      </c>
      <c r="C485" s="11">
        <v>2017</v>
      </c>
      <c r="D485" s="12">
        <v>16464</v>
      </c>
      <c r="E485" s="12">
        <v>15411</v>
      </c>
      <c r="F485" s="12">
        <v>1053</v>
      </c>
      <c r="G485" s="13">
        <v>2.2200000000000002</v>
      </c>
      <c r="H485" s="12">
        <v>11633</v>
      </c>
      <c r="I485" s="12">
        <v>6928</v>
      </c>
      <c r="J485" s="12">
        <v>4705</v>
      </c>
      <c r="K485" s="10">
        <v>40.450000000000003</v>
      </c>
      <c r="L485" s="13">
        <v>1.3247657530000001</v>
      </c>
    </row>
    <row r="486" spans="1:12" x14ac:dyDescent="0.15">
      <c r="A486" s="1">
        <v>53</v>
      </c>
      <c r="B486" s="10" t="s">
        <v>171</v>
      </c>
      <c r="C486" s="11">
        <v>2017</v>
      </c>
      <c r="D486" s="12">
        <v>805</v>
      </c>
      <c r="E486" s="12">
        <v>788</v>
      </c>
      <c r="F486" s="12">
        <v>17</v>
      </c>
      <c r="G486" s="13">
        <v>2.12</v>
      </c>
      <c r="H486" s="12">
        <v>1305</v>
      </c>
      <c r="I486" s="12">
        <v>371</v>
      </c>
      <c r="J486" s="12">
        <v>934</v>
      </c>
      <c r="K486" s="10">
        <v>71.58</v>
      </c>
      <c r="L486" s="13">
        <v>0.60383141799999995</v>
      </c>
    </row>
    <row r="487" spans="1:12" x14ac:dyDescent="0.15">
      <c r="A487" s="1">
        <v>55</v>
      </c>
      <c r="B487" s="10" t="s">
        <v>172</v>
      </c>
      <c r="C487" s="11">
        <v>2017</v>
      </c>
      <c r="D487" s="12">
        <v>6737</v>
      </c>
      <c r="E487" s="12">
        <v>6615</v>
      </c>
      <c r="F487" s="12">
        <v>122</v>
      </c>
      <c r="G487" s="13">
        <v>2.1</v>
      </c>
      <c r="H487" s="12">
        <v>4600</v>
      </c>
      <c r="I487" s="12">
        <v>3155</v>
      </c>
      <c r="J487" s="12">
        <v>1445</v>
      </c>
      <c r="K487" s="10">
        <v>31.42</v>
      </c>
      <c r="L487" s="13">
        <v>1.438043478</v>
      </c>
    </row>
    <row r="488" spans="1:12" x14ac:dyDescent="0.15">
      <c r="A488" s="1">
        <v>57</v>
      </c>
      <c r="B488" s="10" t="s">
        <v>173</v>
      </c>
      <c r="C488" s="11">
        <v>2017</v>
      </c>
      <c r="D488" s="12">
        <v>1379</v>
      </c>
      <c r="E488" s="12">
        <v>1377</v>
      </c>
      <c r="F488" s="12">
        <v>2</v>
      </c>
      <c r="G488" s="13">
        <v>2.11</v>
      </c>
      <c r="H488" s="12">
        <v>1172</v>
      </c>
      <c r="I488" s="12">
        <v>652</v>
      </c>
      <c r="J488" s="12">
        <v>520</v>
      </c>
      <c r="K488" s="10">
        <v>44.35</v>
      </c>
      <c r="L488" s="13">
        <v>1.174914676</v>
      </c>
    </row>
    <row r="489" spans="1:12" x14ac:dyDescent="0.15">
      <c r="A489" s="1">
        <v>59</v>
      </c>
      <c r="B489" s="10" t="s">
        <v>174</v>
      </c>
      <c r="C489" s="11">
        <v>2017</v>
      </c>
      <c r="D489" s="12">
        <v>575923</v>
      </c>
      <c r="E489" s="12">
        <v>566813</v>
      </c>
      <c r="F489" s="12">
        <v>9110</v>
      </c>
      <c r="G489" s="13">
        <v>2.42</v>
      </c>
      <c r="H489" s="12">
        <v>242056</v>
      </c>
      <c r="I489" s="12">
        <v>234636</v>
      </c>
      <c r="J489" s="12">
        <v>7420</v>
      </c>
      <c r="K489" s="10">
        <v>3.07</v>
      </c>
      <c r="L489" s="13">
        <v>2.3416606070000001</v>
      </c>
    </row>
    <row r="490" spans="1:12" x14ac:dyDescent="0.15">
      <c r="A490" s="1">
        <v>61</v>
      </c>
      <c r="B490" s="10" t="s">
        <v>175</v>
      </c>
      <c r="C490" s="11">
        <v>2017</v>
      </c>
      <c r="D490" s="12">
        <v>1428</v>
      </c>
      <c r="E490" s="12">
        <v>1401</v>
      </c>
      <c r="F490" s="12">
        <v>27</v>
      </c>
      <c r="G490" s="13">
        <v>2.37</v>
      </c>
      <c r="H490" s="12">
        <v>735</v>
      </c>
      <c r="I490" s="12">
        <v>592</v>
      </c>
      <c r="J490" s="12">
        <v>143</v>
      </c>
      <c r="K490" s="10">
        <v>19.489999999999998</v>
      </c>
      <c r="L490" s="13">
        <v>1.9061224489999999</v>
      </c>
    </row>
    <row r="491" spans="1:12" x14ac:dyDescent="0.15">
      <c r="A491" s="1">
        <v>63</v>
      </c>
      <c r="B491" s="10" t="s">
        <v>176</v>
      </c>
      <c r="C491" s="11">
        <v>2017</v>
      </c>
      <c r="D491" s="12">
        <v>7400</v>
      </c>
      <c r="E491" s="12">
        <v>7012</v>
      </c>
      <c r="F491" s="12">
        <v>388</v>
      </c>
      <c r="G491" s="13">
        <v>2.41</v>
      </c>
      <c r="H491" s="12">
        <v>3404</v>
      </c>
      <c r="I491" s="12">
        <v>2909</v>
      </c>
      <c r="J491" s="12">
        <v>495</v>
      </c>
      <c r="K491" s="10">
        <v>14.53</v>
      </c>
      <c r="L491" s="13">
        <v>2.059929495</v>
      </c>
    </row>
    <row r="492" spans="1:12" x14ac:dyDescent="0.15">
      <c r="A492" s="1">
        <v>65</v>
      </c>
      <c r="B492" s="10" t="s">
        <v>177</v>
      </c>
      <c r="C492" s="11">
        <v>2017</v>
      </c>
      <c r="D492" s="12">
        <v>7352</v>
      </c>
      <c r="E492" s="12">
        <v>7264</v>
      </c>
      <c r="F492" s="12">
        <v>88</v>
      </c>
      <c r="G492" s="13">
        <v>2.4</v>
      </c>
      <c r="H492" s="12">
        <v>4294</v>
      </c>
      <c r="I492" s="12">
        <v>3030</v>
      </c>
      <c r="J492" s="12">
        <v>1264</v>
      </c>
      <c r="K492" s="10">
        <v>29.44</v>
      </c>
      <c r="L492" s="13">
        <v>1.6916627849999999</v>
      </c>
    </row>
    <row r="493" spans="1:12" x14ac:dyDescent="0.15">
      <c r="A493" s="1">
        <v>67</v>
      </c>
      <c r="B493" s="10" t="s">
        <v>178</v>
      </c>
      <c r="C493" s="11">
        <v>2017</v>
      </c>
      <c r="D493" s="12">
        <v>55034</v>
      </c>
      <c r="E493" s="12">
        <v>53179</v>
      </c>
      <c r="F493" s="12">
        <v>1855</v>
      </c>
      <c r="G493" s="13">
        <v>2.31</v>
      </c>
      <c r="H493" s="12">
        <v>27145</v>
      </c>
      <c r="I493" s="12">
        <v>23015</v>
      </c>
      <c r="J493" s="12">
        <v>4130</v>
      </c>
      <c r="K493" s="10">
        <v>15.21</v>
      </c>
      <c r="L493" s="13">
        <v>1.959071652</v>
      </c>
    </row>
    <row r="494" spans="1:12" x14ac:dyDescent="0.15">
      <c r="A494" s="1">
        <v>69</v>
      </c>
      <c r="B494" s="10" t="s">
        <v>179</v>
      </c>
      <c r="C494" s="11">
        <v>2017</v>
      </c>
      <c r="D494" s="12">
        <v>344187</v>
      </c>
      <c r="E494" s="12">
        <v>333518</v>
      </c>
      <c r="F494" s="12">
        <v>10669</v>
      </c>
      <c r="G494" s="13">
        <v>2.41</v>
      </c>
      <c r="H494" s="12">
        <v>149794</v>
      </c>
      <c r="I494" s="12">
        <v>138324</v>
      </c>
      <c r="J494" s="12">
        <v>11470</v>
      </c>
      <c r="K494" s="10">
        <v>7.66</v>
      </c>
      <c r="L494" s="13">
        <v>2.2265110749999999</v>
      </c>
    </row>
    <row r="495" spans="1:12" x14ac:dyDescent="0.15">
      <c r="A495" s="1">
        <v>71</v>
      </c>
      <c r="B495" s="10" t="s">
        <v>180</v>
      </c>
      <c r="C495" s="11">
        <v>2017</v>
      </c>
      <c r="D495" s="12">
        <v>14817</v>
      </c>
      <c r="E495" s="12">
        <v>14071</v>
      </c>
      <c r="F495" s="12">
        <v>746</v>
      </c>
      <c r="G495" s="13">
        <v>2.21</v>
      </c>
      <c r="H495" s="12">
        <v>7969</v>
      </c>
      <c r="I495" s="12">
        <v>6359</v>
      </c>
      <c r="J495" s="12">
        <v>1610</v>
      </c>
      <c r="K495" s="10">
        <v>20.2</v>
      </c>
      <c r="L495" s="13">
        <v>1.7657171540000001</v>
      </c>
    </row>
    <row r="496" spans="1:12" x14ac:dyDescent="0.15">
      <c r="A496" s="1">
        <v>73</v>
      </c>
      <c r="B496" s="10" t="s">
        <v>181</v>
      </c>
      <c r="C496" s="11">
        <v>2017</v>
      </c>
      <c r="D496" s="12">
        <v>5591</v>
      </c>
      <c r="E496" s="12">
        <v>4589</v>
      </c>
      <c r="F496" s="12">
        <v>1002</v>
      </c>
      <c r="G496" s="13">
        <v>2.34</v>
      </c>
      <c r="H496" s="12">
        <v>2290</v>
      </c>
      <c r="I496" s="12">
        <v>1958</v>
      </c>
      <c r="J496" s="12">
        <v>332</v>
      </c>
      <c r="K496" s="10">
        <v>14.49</v>
      </c>
      <c r="L496" s="13">
        <v>2.0039301310000002</v>
      </c>
    </row>
    <row r="497" spans="1:12" x14ac:dyDescent="0.15">
      <c r="A497" s="1">
        <v>75</v>
      </c>
      <c r="B497" s="10" t="s">
        <v>182</v>
      </c>
      <c r="C497" s="11">
        <v>2017</v>
      </c>
      <c r="D497" s="12">
        <v>21691</v>
      </c>
      <c r="E497" s="12">
        <v>18502</v>
      </c>
      <c r="F497" s="12">
        <v>3190</v>
      </c>
      <c r="G497" s="13">
        <v>2.3199999999999998</v>
      </c>
      <c r="H497" s="12">
        <v>8607</v>
      </c>
      <c r="I497" s="12">
        <v>7968</v>
      </c>
      <c r="J497" s="12">
        <v>639</v>
      </c>
      <c r="K497" s="10">
        <v>7.43</v>
      </c>
      <c r="L497" s="13">
        <v>2.1496456369999999</v>
      </c>
    </row>
    <row r="498" spans="1:12" x14ac:dyDescent="0.15">
      <c r="A498" s="1">
        <v>77</v>
      </c>
      <c r="B498" s="10" t="s">
        <v>183</v>
      </c>
      <c r="C498" s="11">
        <v>2017</v>
      </c>
      <c r="D498" s="12">
        <v>152148</v>
      </c>
      <c r="E498" s="12">
        <v>147646</v>
      </c>
      <c r="F498" s="12">
        <v>4502</v>
      </c>
      <c r="G498" s="13">
        <v>2.42</v>
      </c>
      <c r="H498" s="12">
        <v>65240</v>
      </c>
      <c r="I498" s="12">
        <v>60974</v>
      </c>
      <c r="J498" s="12">
        <v>4266</v>
      </c>
      <c r="K498" s="10">
        <v>6.54</v>
      </c>
      <c r="L498" s="13">
        <v>2.2631207849999999</v>
      </c>
    </row>
    <row r="499" spans="1:12" x14ac:dyDescent="0.15">
      <c r="A499" s="1">
        <v>79</v>
      </c>
      <c r="B499" s="10" t="s">
        <v>184</v>
      </c>
      <c r="C499" s="11">
        <v>2017</v>
      </c>
      <c r="D499" s="12">
        <v>788</v>
      </c>
      <c r="E499" s="12">
        <v>788</v>
      </c>
      <c r="F499" s="12">
        <v>0</v>
      </c>
      <c r="G499" s="13">
        <v>2.0299999999999998</v>
      </c>
      <c r="H499" s="12">
        <v>1162</v>
      </c>
      <c r="I499" s="12">
        <v>388</v>
      </c>
      <c r="J499" s="12">
        <v>774</v>
      </c>
      <c r="K499" s="10">
        <v>66.62</v>
      </c>
      <c r="L499" s="13">
        <v>0.67814113600000003</v>
      </c>
    </row>
    <row r="500" spans="1:12" x14ac:dyDescent="0.15">
      <c r="A500" s="1">
        <v>81</v>
      </c>
      <c r="B500" s="10" t="s">
        <v>185</v>
      </c>
      <c r="C500" s="11">
        <v>2017</v>
      </c>
      <c r="D500" s="12">
        <v>13223</v>
      </c>
      <c r="E500" s="12">
        <v>13109</v>
      </c>
      <c r="F500" s="12">
        <v>114</v>
      </c>
      <c r="G500" s="13">
        <v>2.4700000000000002</v>
      </c>
      <c r="H500" s="12">
        <v>6025</v>
      </c>
      <c r="I500" s="12">
        <v>5298</v>
      </c>
      <c r="J500" s="12">
        <v>727</v>
      </c>
      <c r="K500" s="10">
        <v>12.06</v>
      </c>
      <c r="L500" s="13">
        <v>2.1757676350000001</v>
      </c>
    </row>
    <row r="501" spans="1:12" x14ac:dyDescent="0.15">
      <c r="A501" s="1">
        <v>83</v>
      </c>
      <c r="B501" s="10" t="s">
        <v>186</v>
      </c>
      <c r="C501" s="11">
        <v>2017</v>
      </c>
      <c r="D501" s="12">
        <v>25556</v>
      </c>
      <c r="E501" s="12">
        <v>25283</v>
      </c>
      <c r="F501" s="12">
        <v>273</v>
      </c>
      <c r="G501" s="13">
        <v>2.38</v>
      </c>
      <c r="H501" s="12">
        <v>12079</v>
      </c>
      <c r="I501" s="12">
        <v>10642</v>
      </c>
      <c r="J501" s="12">
        <v>1437</v>
      </c>
      <c r="K501" s="10">
        <v>11.9</v>
      </c>
      <c r="L501" s="13">
        <v>2.093136849</v>
      </c>
    </row>
    <row r="502" spans="1:12" x14ac:dyDescent="0.15">
      <c r="A502" s="1">
        <v>85</v>
      </c>
      <c r="B502" s="10" t="s">
        <v>187</v>
      </c>
      <c r="C502" s="11">
        <v>2017</v>
      </c>
      <c r="D502" s="12">
        <v>41768</v>
      </c>
      <c r="E502" s="12">
        <v>41143</v>
      </c>
      <c r="F502" s="12">
        <v>625</v>
      </c>
      <c r="G502" s="13">
        <v>2.42</v>
      </c>
      <c r="H502" s="12">
        <v>18081</v>
      </c>
      <c r="I502" s="12">
        <v>16976</v>
      </c>
      <c r="J502" s="12">
        <v>1105</v>
      </c>
      <c r="K502" s="10">
        <v>6.11</v>
      </c>
      <c r="L502" s="13">
        <v>2.2754825510000001</v>
      </c>
    </row>
    <row r="503" spans="1:12" x14ac:dyDescent="0.15">
      <c r="A503" s="1">
        <v>87</v>
      </c>
      <c r="B503" s="10" t="s">
        <v>188</v>
      </c>
      <c r="C503" s="11">
        <v>2017</v>
      </c>
      <c r="D503" s="12">
        <v>28425</v>
      </c>
      <c r="E503" s="12">
        <v>27931</v>
      </c>
      <c r="F503" s="12">
        <v>494</v>
      </c>
      <c r="G503" s="13">
        <v>2.69</v>
      </c>
      <c r="H503" s="12">
        <v>11164</v>
      </c>
      <c r="I503" s="12">
        <v>10382</v>
      </c>
      <c r="J503" s="12">
        <v>782</v>
      </c>
      <c r="K503" s="10">
        <v>7.01</v>
      </c>
      <c r="L503" s="13">
        <v>2.5018810459999998</v>
      </c>
    </row>
    <row r="504" spans="1:12" x14ac:dyDescent="0.15">
      <c r="A504" s="1">
        <v>89</v>
      </c>
      <c r="B504" s="10" t="s">
        <v>189</v>
      </c>
      <c r="C504" s="11">
        <v>2017</v>
      </c>
      <c r="D504" s="12">
        <v>18763</v>
      </c>
      <c r="E504" s="12">
        <v>18340</v>
      </c>
      <c r="F504" s="12">
        <v>422</v>
      </c>
      <c r="G504" s="13">
        <v>2.38</v>
      </c>
      <c r="H504" s="12">
        <v>8702</v>
      </c>
      <c r="I504" s="12">
        <v>7706</v>
      </c>
      <c r="J504" s="12">
        <v>996</v>
      </c>
      <c r="K504" s="10">
        <v>11.44</v>
      </c>
      <c r="L504" s="13">
        <v>2.1075614800000002</v>
      </c>
    </row>
    <row r="505" spans="1:12" x14ac:dyDescent="0.15">
      <c r="A505" s="1">
        <v>91</v>
      </c>
      <c r="B505" s="10" t="s">
        <v>190</v>
      </c>
      <c r="C505" s="11">
        <v>2017</v>
      </c>
      <c r="D505" s="12">
        <v>4730</v>
      </c>
      <c r="E505" s="12">
        <v>4730</v>
      </c>
      <c r="F505" s="12">
        <v>0</v>
      </c>
      <c r="G505" s="13">
        <v>2.14</v>
      </c>
      <c r="H505" s="12">
        <v>3200</v>
      </c>
      <c r="I505" s="12">
        <v>2206</v>
      </c>
      <c r="J505" s="12">
        <v>994</v>
      </c>
      <c r="K505" s="10">
        <v>31.06</v>
      </c>
      <c r="L505" s="13">
        <v>1.4781249999999999</v>
      </c>
    </row>
    <row r="506" spans="1:12" x14ac:dyDescent="0.15">
      <c r="A506" s="1">
        <v>93</v>
      </c>
      <c r="B506" s="10" t="s">
        <v>191</v>
      </c>
      <c r="C506" s="11">
        <v>2017</v>
      </c>
      <c r="D506" s="12">
        <v>16866</v>
      </c>
      <c r="E506" s="12">
        <v>16819</v>
      </c>
      <c r="F506" s="12">
        <v>47</v>
      </c>
      <c r="G506" s="13">
        <v>2.23</v>
      </c>
      <c r="H506" s="12">
        <v>13814</v>
      </c>
      <c r="I506" s="12">
        <v>7543</v>
      </c>
      <c r="J506" s="12">
        <v>6271</v>
      </c>
      <c r="K506" s="10">
        <v>45.4</v>
      </c>
      <c r="L506" s="13">
        <v>1.217532938</v>
      </c>
    </row>
    <row r="507" spans="1:12" x14ac:dyDescent="0.15">
      <c r="A507" s="1">
        <v>95</v>
      </c>
      <c r="B507" s="10" t="s">
        <v>192</v>
      </c>
      <c r="C507" s="11">
        <v>2017</v>
      </c>
      <c r="D507" s="12">
        <v>4514</v>
      </c>
      <c r="E507" s="12">
        <v>4446</v>
      </c>
      <c r="F507" s="12">
        <v>68</v>
      </c>
      <c r="G507" s="13">
        <v>2.44</v>
      </c>
      <c r="H507" s="12">
        <v>1989</v>
      </c>
      <c r="I507" s="12">
        <v>1822</v>
      </c>
      <c r="J507" s="12">
        <v>167</v>
      </c>
      <c r="K507" s="10">
        <v>8.3699999999999992</v>
      </c>
      <c r="L507" s="13">
        <v>2.2352941180000001</v>
      </c>
    </row>
    <row r="508" spans="1:12" x14ac:dyDescent="0.15">
      <c r="A508" s="1">
        <v>97</v>
      </c>
      <c r="B508" s="10" t="s">
        <v>193</v>
      </c>
      <c r="C508" s="11">
        <v>2017</v>
      </c>
      <c r="D508" s="12">
        <v>17658</v>
      </c>
      <c r="E508" s="12">
        <v>17586</v>
      </c>
      <c r="F508" s="12">
        <v>72</v>
      </c>
      <c r="G508" s="13">
        <v>2.14</v>
      </c>
      <c r="H508" s="12">
        <v>13040</v>
      </c>
      <c r="I508" s="12">
        <v>8233</v>
      </c>
      <c r="J508" s="12">
        <v>4807</v>
      </c>
      <c r="K508" s="10">
        <v>36.86</v>
      </c>
      <c r="L508" s="13">
        <v>1.3486196319999999</v>
      </c>
    </row>
    <row r="509" spans="1:12" x14ac:dyDescent="0.15">
      <c r="A509" s="1">
        <v>99</v>
      </c>
      <c r="B509" s="10" t="s">
        <v>194</v>
      </c>
      <c r="C509" s="11">
        <v>2017</v>
      </c>
      <c r="D509" s="12">
        <v>11930</v>
      </c>
      <c r="E509" s="12">
        <v>11578</v>
      </c>
      <c r="F509" s="12">
        <v>352</v>
      </c>
      <c r="G509" s="13">
        <v>2.4700000000000002</v>
      </c>
      <c r="H509" s="12">
        <v>5445</v>
      </c>
      <c r="I509" s="12">
        <v>4680</v>
      </c>
      <c r="J509" s="12">
        <v>765</v>
      </c>
      <c r="K509" s="10">
        <v>14.06</v>
      </c>
      <c r="L509" s="13">
        <v>2.1263544539999999</v>
      </c>
    </row>
    <row r="510" spans="1:12" x14ac:dyDescent="0.15">
      <c r="A510" s="1">
        <v>101</v>
      </c>
      <c r="B510" s="10" t="s">
        <v>195</v>
      </c>
      <c r="C510" s="11">
        <v>2017</v>
      </c>
      <c r="D510" s="12">
        <v>165549</v>
      </c>
      <c r="E510" s="12">
        <v>161565</v>
      </c>
      <c r="F510" s="12">
        <v>3984</v>
      </c>
      <c r="G510" s="13">
        <v>2.4500000000000002</v>
      </c>
      <c r="H510" s="12">
        <v>70831</v>
      </c>
      <c r="I510" s="12">
        <v>65825</v>
      </c>
      <c r="J510" s="12">
        <v>5006</v>
      </c>
      <c r="K510" s="10">
        <v>7.07</v>
      </c>
      <c r="L510" s="13">
        <v>2.2809927860000001</v>
      </c>
    </row>
    <row r="511" spans="1:12" x14ac:dyDescent="0.15">
      <c r="A511" s="1">
        <v>103</v>
      </c>
      <c r="B511" s="10" t="s">
        <v>196</v>
      </c>
      <c r="C511" s="11">
        <v>2017</v>
      </c>
      <c r="D511" s="12">
        <v>6568</v>
      </c>
      <c r="E511" s="12">
        <v>6344</v>
      </c>
      <c r="F511" s="12">
        <v>224</v>
      </c>
      <c r="G511" s="13">
        <v>2.4300000000000002</v>
      </c>
      <c r="H511" s="12">
        <v>3241</v>
      </c>
      <c r="I511" s="12">
        <v>2609</v>
      </c>
      <c r="J511" s="12">
        <v>632</v>
      </c>
      <c r="K511" s="10">
        <v>19.489999999999998</v>
      </c>
      <c r="L511" s="13">
        <v>1.9574205490000001</v>
      </c>
    </row>
    <row r="512" spans="1:12" x14ac:dyDescent="0.15">
      <c r="A512" s="1">
        <v>105</v>
      </c>
      <c r="B512" s="10" t="s">
        <v>197</v>
      </c>
      <c r="C512" s="11">
        <v>2017</v>
      </c>
      <c r="D512" s="12">
        <v>11688</v>
      </c>
      <c r="E512" s="12">
        <v>11535</v>
      </c>
      <c r="F512" s="12">
        <v>153</v>
      </c>
      <c r="G512" s="13">
        <v>2.41</v>
      </c>
      <c r="H512" s="12">
        <v>6440</v>
      </c>
      <c r="I512" s="12">
        <v>4790</v>
      </c>
      <c r="J512" s="12">
        <v>1650</v>
      </c>
      <c r="K512" s="10">
        <v>25.63</v>
      </c>
      <c r="L512" s="13">
        <v>1.791149068</v>
      </c>
    </row>
    <row r="513" spans="1:12" x14ac:dyDescent="0.15">
      <c r="A513" s="1">
        <v>107</v>
      </c>
      <c r="B513" s="10" t="s">
        <v>198</v>
      </c>
      <c r="C513" s="11">
        <v>2017</v>
      </c>
      <c r="D513" s="12">
        <v>24162</v>
      </c>
      <c r="E513" s="12">
        <v>23816</v>
      </c>
      <c r="F513" s="12">
        <v>346</v>
      </c>
      <c r="G513" s="13">
        <v>2.35</v>
      </c>
      <c r="H513" s="12">
        <v>16100</v>
      </c>
      <c r="I513" s="12">
        <v>10127</v>
      </c>
      <c r="J513" s="12">
        <v>5973</v>
      </c>
      <c r="K513" s="10">
        <v>37.1</v>
      </c>
      <c r="L513" s="13">
        <v>1.4792546579999999</v>
      </c>
    </row>
    <row r="514" spans="1:12" x14ac:dyDescent="0.15">
      <c r="A514" s="1">
        <v>109</v>
      </c>
      <c r="B514" s="10" t="s">
        <v>199</v>
      </c>
      <c r="C514" s="11">
        <v>2017</v>
      </c>
      <c r="D514" s="12">
        <v>6214</v>
      </c>
      <c r="E514" s="12">
        <v>6184</v>
      </c>
      <c r="F514" s="12">
        <v>29</v>
      </c>
      <c r="G514" s="13">
        <v>2.2599999999999998</v>
      </c>
      <c r="H514" s="12">
        <v>3464</v>
      </c>
      <c r="I514" s="12">
        <v>2741</v>
      </c>
      <c r="J514" s="12">
        <v>723</v>
      </c>
      <c r="K514" s="10">
        <v>20.86</v>
      </c>
      <c r="L514" s="13">
        <v>1.7852193999999999</v>
      </c>
    </row>
    <row r="515" spans="1:12" x14ac:dyDescent="0.15">
      <c r="A515" s="1">
        <v>111</v>
      </c>
      <c r="B515" s="10" t="s">
        <v>200</v>
      </c>
      <c r="C515" s="11">
        <v>2017</v>
      </c>
      <c r="D515" s="12">
        <v>700</v>
      </c>
      <c r="E515" s="12">
        <v>700</v>
      </c>
      <c r="F515" s="12">
        <v>0</v>
      </c>
      <c r="G515" s="13">
        <v>1.94</v>
      </c>
      <c r="H515" s="12">
        <v>761</v>
      </c>
      <c r="I515" s="12">
        <v>360</v>
      </c>
      <c r="J515" s="12">
        <v>401</v>
      </c>
      <c r="K515" s="10">
        <v>52.73</v>
      </c>
      <c r="L515" s="13">
        <v>0.91984231299999997</v>
      </c>
    </row>
    <row r="516" spans="1:12" x14ac:dyDescent="0.15">
      <c r="A516" s="1">
        <v>113</v>
      </c>
      <c r="B516" s="10" t="s">
        <v>201</v>
      </c>
      <c r="C516" s="11">
        <v>2017</v>
      </c>
      <c r="D516" s="12">
        <v>8014</v>
      </c>
      <c r="E516" s="12">
        <v>7800</v>
      </c>
      <c r="F516" s="12">
        <v>214</v>
      </c>
      <c r="G516" s="13">
        <v>2.21</v>
      </c>
      <c r="H516" s="12">
        <v>6390</v>
      </c>
      <c r="I516" s="12">
        <v>3531</v>
      </c>
      <c r="J516" s="12">
        <v>2859</v>
      </c>
      <c r="K516" s="10">
        <v>44.74</v>
      </c>
      <c r="L516" s="13">
        <v>1.2206572769999999</v>
      </c>
    </row>
    <row r="517" spans="1:12" x14ac:dyDescent="0.15">
      <c r="A517" s="1">
        <v>115</v>
      </c>
      <c r="B517" s="10" t="s">
        <v>202</v>
      </c>
      <c r="C517" s="11">
        <v>2017</v>
      </c>
      <c r="D517" s="12">
        <v>2396</v>
      </c>
      <c r="E517" s="12">
        <v>2355</v>
      </c>
      <c r="F517" s="12">
        <v>41</v>
      </c>
      <c r="G517" s="13">
        <v>2.17</v>
      </c>
      <c r="H517" s="12">
        <v>1335</v>
      </c>
      <c r="I517" s="12">
        <v>1087</v>
      </c>
      <c r="J517" s="12">
        <v>248</v>
      </c>
      <c r="K517" s="10">
        <v>18.61</v>
      </c>
      <c r="L517" s="13">
        <v>1.7640449439999999</v>
      </c>
    </row>
    <row r="518" spans="1:12" x14ac:dyDescent="0.15">
      <c r="A518" s="1">
        <v>117</v>
      </c>
      <c r="B518" s="10" t="s">
        <v>203</v>
      </c>
      <c r="C518" s="11">
        <v>2017</v>
      </c>
      <c r="D518" s="12">
        <v>31133</v>
      </c>
      <c r="E518" s="12">
        <v>30660</v>
      </c>
      <c r="F518" s="12">
        <v>473</v>
      </c>
      <c r="G518" s="13">
        <v>2.36</v>
      </c>
      <c r="H518" s="12">
        <v>30320</v>
      </c>
      <c r="I518" s="12">
        <v>13000</v>
      </c>
      <c r="J518" s="12">
        <v>17320</v>
      </c>
      <c r="K518" s="10">
        <v>57.12</v>
      </c>
      <c r="L518" s="13">
        <v>1.01121372</v>
      </c>
    </row>
    <row r="519" spans="1:12" x14ac:dyDescent="0.15">
      <c r="A519" s="1">
        <v>119</v>
      </c>
      <c r="B519" s="10" t="s">
        <v>204</v>
      </c>
      <c r="C519" s="11">
        <v>2017</v>
      </c>
      <c r="D519" s="12">
        <v>24153</v>
      </c>
      <c r="E519" s="12">
        <v>23987</v>
      </c>
      <c r="F519" s="12">
        <v>166</v>
      </c>
      <c r="G519" s="13">
        <v>2.33</v>
      </c>
      <c r="H519" s="12">
        <v>13056</v>
      </c>
      <c r="I519" s="12">
        <v>10305</v>
      </c>
      <c r="J519" s="12">
        <v>2751</v>
      </c>
      <c r="K519" s="10">
        <v>21.07</v>
      </c>
      <c r="L519" s="13">
        <v>1.8372395829999999</v>
      </c>
    </row>
    <row r="520" spans="1:12" x14ac:dyDescent="0.15">
      <c r="A520" s="1">
        <v>121</v>
      </c>
      <c r="B520" s="10" t="s">
        <v>205</v>
      </c>
      <c r="C520" s="11">
        <v>2017</v>
      </c>
      <c r="D520" s="12">
        <v>4845</v>
      </c>
      <c r="E520" s="12">
        <v>4593</v>
      </c>
      <c r="F520" s="12">
        <v>252</v>
      </c>
      <c r="G520" s="13">
        <v>2.38</v>
      </c>
      <c r="H520" s="12">
        <v>2239</v>
      </c>
      <c r="I520" s="12">
        <v>1926</v>
      </c>
      <c r="J520" s="12">
        <v>313</v>
      </c>
      <c r="K520" s="10">
        <v>13.97</v>
      </c>
      <c r="L520" s="13">
        <v>2.0513622150000002</v>
      </c>
    </row>
    <row r="521" spans="1:12" x14ac:dyDescent="0.15">
      <c r="A521" s="1">
        <v>123</v>
      </c>
      <c r="B521" s="10" t="s">
        <v>206</v>
      </c>
      <c r="C521" s="11">
        <v>2017</v>
      </c>
      <c r="D521" s="12">
        <v>304595</v>
      </c>
      <c r="E521" s="12">
        <v>299012</v>
      </c>
      <c r="F521" s="12">
        <v>5583</v>
      </c>
      <c r="G521" s="13">
        <v>2.82</v>
      </c>
      <c r="H521" s="12">
        <v>109489</v>
      </c>
      <c r="I521" s="12">
        <v>106113</v>
      </c>
      <c r="J521" s="12">
        <v>3376</v>
      </c>
      <c r="K521" s="10">
        <v>3.08</v>
      </c>
      <c r="L521" s="13">
        <v>2.7309775410000001</v>
      </c>
    </row>
    <row r="522" spans="1:12" x14ac:dyDescent="0.15">
      <c r="A522" s="1">
        <v>125</v>
      </c>
      <c r="B522" s="10" t="s">
        <v>207</v>
      </c>
      <c r="C522" s="11">
        <v>2017</v>
      </c>
      <c r="D522" s="12">
        <v>9973</v>
      </c>
      <c r="E522" s="12">
        <v>9787</v>
      </c>
      <c r="F522" s="12">
        <v>186</v>
      </c>
      <c r="G522" s="13">
        <v>2.5299999999999998</v>
      </c>
      <c r="H522" s="12">
        <v>4304</v>
      </c>
      <c r="I522" s="12">
        <v>3874</v>
      </c>
      <c r="J522" s="12">
        <v>430</v>
      </c>
      <c r="K522" s="10">
        <v>9.99</v>
      </c>
      <c r="L522" s="13">
        <v>2.2739312269999998</v>
      </c>
    </row>
    <row r="523" spans="1:12" x14ac:dyDescent="0.15">
      <c r="A523" s="1">
        <v>0</v>
      </c>
      <c r="B523" s="10" t="s">
        <v>143</v>
      </c>
      <c r="C523" s="11">
        <v>2018</v>
      </c>
      <c r="D523" s="12">
        <v>5676912</v>
      </c>
      <c r="E523" s="12">
        <v>5549371</v>
      </c>
      <c r="F523" s="12">
        <v>127541</v>
      </c>
      <c r="G523" s="13">
        <v>2.5</v>
      </c>
      <c r="H523" s="12">
        <v>2418599</v>
      </c>
      <c r="I523" s="12">
        <v>2220185</v>
      </c>
      <c r="J523" s="12">
        <v>198414</v>
      </c>
      <c r="K523" s="10">
        <v>8.1999999999999993</v>
      </c>
      <c r="L523" s="13">
        <v>2.2944568319999998</v>
      </c>
    </row>
    <row r="524" spans="1:12" x14ac:dyDescent="0.15">
      <c r="A524" s="1">
        <v>1</v>
      </c>
      <c r="B524" s="10" t="s">
        <v>144</v>
      </c>
      <c r="C524" s="11">
        <v>2018</v>
      </c>
      <c r="D524" s="12">
        <v>511422</v>
      </c>
      <c r="E524" s="12">
        <v>506996</v>
      </c>
      <c r="F524" s="12">
        <v>4426</v>
      </c>
      <c r="G524" s="13">
        <v>2.88</v>
      </c>
      <c r="H524" s="12">
        <v>180056</v>
      </c>
      <c r="I524" s="12">
        <v>176173</v>
      </c>
      <c r="J524" s="12">
        <v>3883</v>
      </c>
      <c r="K524" s="10">
        <v>2.16</v>
      </c>
      <c r="L524" s="13">
        <v>2.8157684280000002</v>
      </c>
    </row>
    <row r="525" spans="1:12" x14ac:dyDescent="0.15">
      <c r="A525" s="1">
        <v>3</v>
      </c>
      <c r="B525" s="10" t="s">
        <v>145</v>
      </c>
      <c r="C525" s="11">
        <v>2018</v>
      </c>
      <c r="D525" s="12">
        <v>16184</v>
      </c>
      <c r="E525" s="12">
        <v>15319</v>
      </c>
      <c r="F525" s="12">
        <v>865</v>
      </c>
      <c r="G525" s="13">
        <v>2.4300000000000002</v>
      </c>
      <c r="H525" s="12">
        <v>6990</v>
      </c>
      <c r="I525" s="12">
        <v>6310</v>
      </c>
      <c r="J525" s="12">
        <v>680</v>
      </c>
      <c r="K525" s="10">
        <v>9.73</v>
      </c>
      <c r="L525" s="13">
        <v>2.1915593709999999</v>
      </c>
    </row>
    <row r="526" spans="1:12" x14ac:dyDescent="0.15">
      <c r="A526" s="1">
        <v>5</v>
      </c>
      <c r="B526" s="10" t="s">
        <v>146</v>
      </c>
      <c r="C526" s="11">
        <v>2018</v>
      </c>
      <c r="D526" s="12">
        <v>650167</v>
      </c>
      <c r="E526" s="12">
        <v>644993</v>
      </c>
      <c r="F526" s="12">
        <v>5174</v>
      </c>
      <c r="G526" s="13">
        <v>2.58</v>
      </c>
      <c r="H526" s="12">
        <v>257003</v>
      </c>
      <c r="I526" s="12">
        <v>249640</v>
      </c>
      <c r="J526" s="12">
        <v>7363</v>
      </c>
      <c r="K526" s="10">
        <v>2.86</v>
      </c>
      <c r="L526" s="13">
        <v>2.5096710930000001</v>
      </c>
    </row>
    <row r="527" spans="1:12" x14ac:dyDescent="0.15">
      <c r="A527" s="1">
        <v>7</v>
      </c>
      <c r="B527" s="10" t="s">
        <v>147</v>
      </c>
      <c r="C527" s="11">
        <v>2018</v>
      </c>
      <c r="D527" s="12">
        <v>13034</v>
      </c>
      <c r="E527" s="12">
        <v>12937</v>
      </c>
      <c r="F527" s="12">
        <v>97</v>
      </c>
      <c r="G527" s="13">
        <v>2.29</v>
      </c>
      <c r="H527" s="12">
        <v>9277</v>
      </c>
      <c r="I527" s="12">
        <v>5657</v>
      </c>
      <c r="J527" s="12">
        <v>3620</v>
      </c>
      <c r="K527" s="10">
        <v>39.020000000000003</v>
      </c>
      <c r="L527" s="13">
        <v>1.3945240919999999</v>
      </c>
    </row>
    <row r="528" spans="1:12" x14ac:dyDescent="0.15">
      <c r="A528" s="1">
        <v>9</v>
      </c>
      <c r="B528" s="10" t="s">
        <v>148</v>
      </c>
      <c r="C528" s="11">
        <v>2018</v>
      </c>
      <c r="D528" s="12">
        <v>3550</v>
      </c>
      <c r="E528" s="12">
        <v>3504</v>
      </c>
      <c r="F528" s="12">
        <v>46</v>
      </c>
      <c r="G528" s="13">
        <v>2.16</v>
      </c>
      <c r="H528" s="12">
        <v>1969</v>
      </c>
      <c r="I528" s="12">
        <v>1621</v>
      </c>
      <c r="J528" s="12">
        <v>348</v>
      </c>
      <c r="K528" s="10">
        <v>17.68</v>
      </c>
      <c r="L528" s="13">
        <v>1.7795835449999999</v>
      </c>
    </row>
    <row r="529" spans="1:12" x14ac:dyDescent="0.15">
      <c r="A529" s="1">
        <v>11</v>
      </c>
      <c r="B529" s="10" t="s">
        <v>149</v>
      </c>
      <c r="C529" s="11">
        <v>2018</v>
      </c>
      <c r="D529" s="12">
        <v>5984</v>
      </c>
      <c r="E529" s="12">
        <v>4052</v>
      </c>
      <c r="F529" s="12">
        <v>1932</v>
      </c>
      <c r="G529" s="13">
        <v>2.29</v>
      </c>
      <c r="H529" s="12">
        <v>2133</v>
      </c>
      <c r="I529" s="12">
        <v>1770</v>
      </c>
      <c r="J529" s="12">
        <v>363</v>
      </c>
      <c r="K529" s="10">
        <v>17.04</v>
      </c>
      <c r="L529" s="13">
        <v>1.8996718239999999</v>
      </c>
    </row>
    <row r="530" spans="1:12" x14ac:dyDescent="0.15">
      <c r="A530" s="1">
        <v>13</v>
      </c>
      <c r="B530" s="10" t="s">
        <v>150</v>
      </c>
      <c r="C530" s="11">
        <v>2018</v>
      </c>
      <c r="D530" s="12">
        <v>328055</v>
      </c>
      <c r="E530" s="12">
        <v>313643</v>
      </c>
      <c r="F530" s="12">
        <v>14412</v>
      </c>
      <c r="G530" s="13">
        <v>2.38</v>
      </c>
      <c r="H530" s="12">
        <v>136410</v>
      </c>
      <c r="I530" s="12">
        <v>131636</v>
      </c>
      <c r="J530" s="12">
        <v>4774</v>
      </c>
      <c r="K530" s="10">
        <v>3.5</v>
      </c>
      <c r="L530" s="13">
        <v>2.2992669160000001</v>
      </c>
    </row>
    <row r="531" spans="1:12" x14ac:dyDescent="0.15">
      <c r="A531" s="1">
        <v>14</v>
      </c>
      <c r="B531" s="10" t="s">
        <v>151</v>
      </c>
      <c r="C531" s="11">
        <v>2018</v>
      </c>
      <c r="D531" s="12">
        <v>71322</v>
      </c>
      <c r="E531" s="12">
        <v>70723</v>
      </c>
      <c r="F531" s="12">
        <v>599</v>
      </c>
      <c r="G531" s="13">
        <v>2.5</v>
      </c>
      <c r="H531" s="12">
        <v>30060</v>
      </c>
      <c r="I531" s="12">
        <v>28250</v>
      </c>
      <c r="J531" s="12">
        <v>1810</v>
      </c>
      <c r="K531" s="10">
        <v>6.02</v>
      </c>
      <c r="L531" s="13">
        <v>2.3527278780000001</v>
      </c>
    </row>
    <row r="532" spans="1:12" x14ac:dyDescent="0.15">
      <c r="A532" s="1">
        <v>15</v>
      </c>
      <c r="B532" s="10" t="s">
        <v>152</v>
      </c>
      <c r="C532" s="11">
        <v>2018</v>
      </c>
      <c r="D532" s="12">
        <v>19250</v>
      </c>
      <c r="E532" s="12">
        <v>17829</v>
      </c>
      <c r="F532" s="12">
        <v>1421</v>
      </c>
      <c r="G532" s="13">
        <v>2.16</v>
      </c>
      <c r="H532" s="12">
        <v>10673</v>
      </c>
      <c r="I532" s="12">
        <v>8260</v>
      </c>
      <c r="J532" s="12">
        <v>2413</v>
      </c>
      <c r="K532" s="10">
        <v>22.61</v>
      </c>
      <c r="L532" s="13">
        <v>1.670476904</v>
      </c>
    </row>
    <row r="533" spans="1:12" x14ac:dyDescent="0.15">
      <c r="A533" s="1">
        <v>17</v>
      </c>
      <c r="B533" s="10" t="s">
        <v>153</v>
      </c>
      <c r="C533" s="11">
        <v>2018</v>
      </c>
      <c r="D533" s="12">
        <v>1783</v>
      </c>
      <c r="E533" s="12">
        <v>1741</v>
      </c>
      <c r="F533" s="12">
        <v>42</v>
      </c>
      <c r="G533" s="13">
        <v>2.31</v>
      </c>
      <c r="H533" s="12">
        <v>901</v>
      </c>
      <c r="I533" s="12">
        <v>755</v>
      </c>
      <c r="J533" s="12">
        <v>146</v>
      </c>
      <c r="K533" s="10">
        <v>16.23</v>
      </c>
      <c r="L533" s="13">
        <v>1.9322974470000001</v>
      </c>
    </row>
    <row r="534" spans="1:12" x14ac:dyDescent="0.15">
      <c r="A534" s="1">
        <v>19</v>
      </c>
      <c r="B534" s="10" t="s">
        <v>154</v>
      </c>
      <c r="C534" s="11">
        <v>2018</v>
      </c>
      <c r="D534" s="12">
        <v>9385</v>
      </c>
      <c r="E534" s="12">
        <v>9260</v>
      </c>
      <c r="F534" s="12">
        <v>125</v>
      </c>
      <c r="G534" s="13">
        <v>2.13</v>
      </c>
      <c r="H534" s="12">
        <v>5602</v>
      </c>
      <c r="I534" s="12">
        <v>4353</v>
      </c>
      <c r="J534" s="12">
        <v>1249</v>
      </c>
      <c r="K534" s="10">
        <v>22.3</v>
      </c>
      <c r="L534" s="13">
        <v>1.652981078</v>
      </c>
    </row>
    <row r="535" spans="1:12" x14ac:dyDescent="0.15">
      <c r="A535" s="1">
        <v>21</v>
      </c>
      <c r="B535" s="10" t="s">
        <v>155</v>
      </c>
      <c r="C535" s="11">
        <v>2018</v>
      </c>
      <c r="D535" s="12">
        <v>7660</v>
      </c>
      <c r="E535" s="12">
        <v>7602</v>
      </c>
      <c r="F535" s="12">
        <v>58</v>
      </c>
      <c r="G535" s="13">
        <v>2.57</v>
      </c>
      <c r="H535" s="12">
        <v>3950</v>
      </c>
      <c r="I535" s="12">
        <v>2957</v>
      </c>
      <c r="J535" s="12">
        <v>993</v>
      </c>
      <c r="K535" s="10">
        <v>25.15</v>
      </c>
      <c r="L535" s="13">
        <v>1.924556962</v>
      </c>
    </row>
    <row r="536" spans="1:12" x14ac:dyDescent="0.15">
      <c r="A536" s="1">
        <v>23</v>
      </c>
      <c r="B536" s="10" t="s">
        <v>156</v>
      </c>
      <c r="C536" s="11">
        <v>2018</v>
      </c>
      <c r="D536" s="12">
        <v>3515</v>
      </c>
      <c r="E536" s="12">
        <v>3515</v>
      </c>
      <c r="F536" s="12">
        <v>0</v>
      </c>
      <c r="G536" s="13">
        <v>2.21</v>
      </c>
      <c r="H536" s="12">
        <v>2313</v>
      </c>
      <c r="I536" s="12">
        <v>1591</v>
      </c>
      <c r="J536" s="12">
        <v>722</v>
      </c>
      <c r="K536" s="10">
        <v>31.2</v>
      </c>
      <c r="L536" s="13">
        <v>1.519671422</v>
      </c>
    </row>
    <row r="537" spans="1:12" x14ac:dyDescent="0.15">
      <c r="A537" s="1">
        <v>25</v>
      </c>
      <c r="B537" s="10" t="s">
        <v>157</v>
      </c>
      <c r="C537" s="11">
        <v>2018</v>
      </c>
      <c r="D537" s="12">
        <v>5837</v>
      </c>
      <c r="E537" s="12">
        <v>3027</v>
      </c>
      <c r="F537" s="12">
        <v>2811</v>
      </c>
      <c r="G537" s="13">
        <v>2.33</v>
      </c>
      <c r="H537" s="12">
        <v>1507</v>
      </c>
      <c r="I537" s="12">
        <v>1298</v>
      </c>
      <c r="J537" s="12">
        <v>209</v>
      </c>
      <c r="K537" s="10">
        <v>13.87</v>
      </c>
      <c r="L537" s="13">
        <v>2.0086264100000002</v>
      </c>
    </row>
    <row r="538" spans="1:12" x14ac:dyDescent="0.15">
      <c r="A538" s="1">
        <v>27</v>
      </c>
      <c r="B538" s="10" t="s">
        <v>158</v>
      </c>
      <c r="C538" s="11">
        <v>2018</v>
      </c>
      <c r="D538" s="12">
        <v>4591</v>
      </c>
      <c r="E538" s="12">
        <v>4580</v>
      </c>
      <c r="F538" s="12">
        <v>12</v>
      </c>
      <c r="G538" s="13">
        <v>2.12</v>
      </c>
      <c r="H538" s="12">
        <v>4036</v>
      </c>
      <c r="I538" s="12">
        <v>2162</v>
      </c>
      <c r="J538" s="12">
        <v>1874</v>
      </c>
      <c r="K538" s="10">
        <v>46.44</v>
      </c>
      <c r="L538" s="13">
        <v>1.1347869180000001</v>
      </c>
    </row>
    <row r="539" spans="1:12" x14ac:dyDescent="0.15">
      <c r="A539" s="1">
        <v>29</v>
      </c>
      <c r="B539" s="10" t="s">
        <v>159</v>
      </c>
      <c r="C539" s="11">
        <v>2018</v>
      </c>
      <c r="D539" s="12">
        <v>31033</v>
      </c>
      <c r="E539" s="12">
        <v>30182</v>
      </c>
      <c r="F539" s="12">
        <v>851</v>
      </c>
      <c r="G539" s="13">
        <v>2.34</v>
      </c>
      <c r="H539" s="12">
        <v>14694</v>
      </c>
      <c r="I539" s="12">
        <v>12913</v>
      </c>
      <c r="J539" s="12">
        <v>1781</v>
      </c>
      <c r="K539" s="10">
        <v>12.12</v>
      </c>
      <c r="L539" s="13">
        <v>2.0540356609999999</v>
      </c>
    </row>
    <row r="540" spans="1:12" x14ac:dyDescent="0.15">
      <c r="A540" s="1">
        <v>31</v>
      </c>
      <c r="B540" s="10" t="s">
        <v>160</v>
      </c>
      <c r="C540" s="11">
        <v>2018</v>
      </c>
      <c r="D540" s="12">
        <v>702679</v>
      </c>
      <c r="E540" s="12">
        <v>686379</v>
      </c>
      <c r="F540" s="12">
        <v>16300</v>
      </c>
      <c r="G540" s="13">
        <v>2.21</v>
      </c>
      <c r="H540" s="12">
        <v>331306</v>
      </c>
      <c r="I540" s="12">
        <v>310886</v>
      </c>
      <c r="J540" s="12">
        <v>20420</v>
      </c>
      <c r="K540" s="10">
        <v>6.16</v>
      </c>
      <c r="L540" s="13">
        <v>2.0717373060000002</v>
      </c>
    </row>
    <row r="541" spans="1:12" x14ac:dyDescent="0.15">
      <c r="A541" s="1">
        <v>33</v>
      </c>
      <c r="B541" s="10" t="s">
        <v>161</v>
      </c>
      <c r="C541" s="11">
        <v>2018</v>
      </c>
      <c r="D541" s="12">
        <v>2091</v>
      </c>
      <c r="E541" s="12">
        <v>2091</v>
      </c>
      <c r="F541" s="12">
        <v>0</v>
      </c>
      <c r="G541" s="13">
        <v>2.2400000000000002</v>
      </c>
      <c r="H541" s="12">
        <v>1317</v>
      </c>
      <c r="I541" s="12">
        <v>934</v>
      </c>
      <c r="J541" s="12">
        <v>383</v>
      </c>
      <c r="K541" s="10">
        <v>29.06</v>
      </c>
      <c r="L541" s="13">
        <v>1.587699317</v>
      </c>
    </row>
    <row r="542" spans="1:12" x14ac:dyDescent="0.15">
      <c r="A542" s="1">
        <v>35</v>
      </c>
      <c r="B542" s="10" t="s">
        <v>162</v>
      </c>
      <c r="C542" s="11">
        <v>2018</v>
      </c>
      <c r="D542" s="12">
        <v>343267</v>
      </c>
      <c r="E542" s="12">
        <v>341768</v>
      </c>
      <c r="F542" s="12">
        <v>1499</v>
      </c>
      <c r="G542" s="13">
        <v>2.76</v>
      </c>
      <c r="H542" s="12">
        <v>128333</v>
      </c>
      <c r="I542" s="12">
        <v>123660</v>
      </c>
      <c r="J542" s="12">
        <v>4673</v>
      </c>
      <c r="K542" s="10">
        <v>3.64</v>
      </c>
      <c r="L542" s="13">
        <v>2.6631341900000001</v>
      </c>
    </row>
    <row r="543" spans="1:12" x14ac:dyDescent="0.15">
      <c r="A543" s="1">
        <v>37</v>
      </c>
      <c r="B543" s="10" t="s">
        <v>163</v>
      </c>
      <c r="C543" s="11">
        <v>2018</v>
      </c>
      <c r="D543" s="12">
        <v>54205</v>
      </c>
      <c r="E543" s="12">
        <v>54108</v>
      </c>
      <c r="F543" s="12">
        <v>97</v>
      </c>
      <c r="G543" s="13">
        <v>2.69</v>
      </c>
      <c r="H543" s="12">
        <v>32251</v>
      </c>
      <c r="I543" s="12">
        <v>20145</v>
      </c>
      <c r="J543" s="12">
        <v>12106</v>
      </c>
      <c r="K543" s="10">
        <v>37.54</v>
      </c>
      <c r="L543" s="13">
        <v>1.67771542</v>
      </c>
    </row>
    <row r="544" spans="1:12" x14ac:dyDescent="0.15">
      <c r="A544" s="1">
        <v>39</v>
      </c>
      <c r="B544" s="10" t="s">
        <v>164</v>
      </c>
      <c r="C544" s="11">
        <v>2018</v>
      </c>
      <c r="D544" s="12">
        <v>25366</v>
      </c>
      <c r="E544" s="12">
        <v>25296</v>
      </c>
      <c r="F544" s="12">
        <v>70</v>
      </c>
      <c r="G544" s="13">
        <v>2.77</v>
      </c>
      <c r="H544" s="12">
        <v>9463</v>
      </c>
      <c r="I544" s="12">
        <v>9142</v>
      </c>
      <c r="J544" s="12">
        <v>321</v>
      </c>
      <c r="K544" s="10">
        <v>3.39</v>
      </c>
      <c r="L544" s="13">
        <v>2.67314805</v>
      </c>
    </row>
    <row r="545" spans="1:12" x14ac:dyDescent="0.15">
      <c r="A545" s="1">
        <v>41</v>
      </c>
      <c r="B545" s="10" t="s">
        <v>165</v>
      </c>
      <c r="C545" s="11">
        <v>2018</v>
      </c>
      <c r="D545" s="12">
        <v>717812</v>
      </c>
      <c r="E545" s="12">
        <v>696781</v>
      </c>
      <c r="F545" s="12">
        <v>21031</v>
      </c>
      <c r="G545" s="13">
        <v>2.59</v>
      </c>
      <c r="H545" s="12">
        <v>280240</v>
      </c>
      <c r="I545" s="12">
        <v>268594</v>
      </c>
      <c r="J545" s="12">
        <v>11646</v>
      </c>
      <c r="K545" s="10">
        <v>4.16</v>
      </c>
      <c r="L545" s="13">
        <v>2.4863723950000001</v>
      </c>
    </row>
    <row r="546" spans="1:12" x14ac:dyDescent="0.15">
      <c r="A546" s="1">
        <v>43</v>
      </c>
      <c r="B546" s="10" t="s">
        <v>166</v>
      </c>
      <c r="C546" s="11">
        <v>2018</v>
      </c>
      <c r="D546" s="12">
        <v>47990</v>
      </c>
      <c r="E546" s="12">
        <v>39977</v>
      </c>
      <c r="F546" s="12">
        <v>8013</v>
      </c>
      <c r="G546" s="13">
        <v>2.29</v>
      </c>
      <c r="H546" s="12">
        <v>19978</v>
      </c>
      <c r="I546" s="12">
        <v>17441</v>
      </c>
      <c r="J546" s="12">
        <v>2537</v>
      </c>
      <c r="K546" s="10">
        <v>12.7</v>
      </c>
      <c r="L546" s="13">
        <v>2.0010511559999999</v>
      </c>
    </row>
    <row r="547" spans="1:12" x14ac:dyDescent="0.15">
      <c r="A547" s="1">
        <v>45</v>
      </c>
      <c r="B547" s="10" t="s">
        <v>167</v>
      </c>
      <c r="C547" s="11">
        <v>2018</v>
      </c>
      <c r="D547" s="12">
        <v>59769</v>
      </c>
      <c r="E547" s="12">
        <v>58684</v>
      </c>
      <c r="F547" s="12">
        <v>1085</v>
      </c>
      <c r="G547" s="13">
        <v>2.71</v>
      </c>
      <c r="H547" s="12">
        <v>23713</v>
      </c>
      <c r="I547" s="12">
        <v>21636</v>
      </c>
      <c r="J547" s="12">
        <v>2077</v>
      </c>
      <c r="K547" s="10">
        <v>8.76</v>
      </c>
      <c r="L547" s="13">
        <v>2.4747606800000002</v>
      </c>
    </row>
    <row r="548" spans="1:12" x14ac:dyDescent="0.15">
      <c r="A548" s="1">
        <v>47</v>
      </c>
      <c r="B548" s="10" t="s">
        <v>168</v>
      </c>
      <c r="C548" s="11">
        <v>2018</v>
      </c>
      <c r="D548" s="12">
        <v>5707</v>
      </c>
      <c r="E548" s="12">
        <v>5666</v>
      </c>
      <c r="F548" s="12">
        <v>42</v>
      </c>
      <c r="G548" s="13">
        <v>2.2000000000000002</v>
      </c>
      <c r="H548" s="12">
        <v>3461</v>
      </c>
      <c r="I548" s="12">
        <v>2570</v>
      </c>
      <c r="J548" s="12">
        <v>891</v>
      </c>
      <c r="K548" s="10">
        <v>25.74</v>
      </c>
      <c r="L548" s="13">
        <v>1.637099104</v>
      </c>
    </row>
    <row r="549" spans="1:12" x14ac:dyDescent="0.15">
      <c r="A549" s="1">
        <v>49</v>
      </c>
      <c r="B549" s="10" t="s">
        <v>169</v>
      </c>
      <c r="C549" s="11">
        <v>2018</v>
      </c>
      <c r="D549" s="12">
        <v>15268</v>
      </c>
      <c r="E549" s="12">
        <v>15065</v>
      </c>
      <c r="F549" s="12">
        <v>203</v>
      </c>
      <c r="G549" s="13">
        <v>2.2200000000000002</v>
      </c>
      <c r="H549" s="12">
        <v>16215</v>
      </c>
      <c r="I549" s="12">
        <v>6772</v>
      </c>
      <c r="J549" s="12">
        <v>9443</v>
      </c>
      <c r="K549" s="10">
        <v>58.24</v>
      </c>
      <c r="L549" s="13">
        <v>0.92907801400000001</v>
      </c>
    </row>
    <row r="550" spans="1:12" x14ac:dyDescent="0.15">
      <c r="A550" s="1">
        <v>51</v>
      </c>
      <c r="B550" s="10" t="s">
        <v>170</v>
      </c>
      <c r="C550" s="11">
        <v>2018</v>
      </c>
      <c r="D550" s="12">
        <v>16681</v>
      </c>
      <c r="E550" s="12">
        <v>15625</v>
      </c>
      <c r="F550" s="12">
        <v>1056</v>
      </c>
      <c r="G550" s="13">
        <v>2.23</v>
      </c>
      <c r="H550" s="12">
        <v>11766</v>
      </c>
      <c r="I550" s="12">
        <v>7022</v>
      </c>
      <c r="J550" s="12">
        <v>4744</v>
      </c>
      <c r="K550" s="10">
        <v>40.32</v>
      </c>
      <c r="L550" s="13">
        <v>1.327978922</v>
      </c>
    </row>
    <row r="551" spans="1:12" x14ac:dyDescent="0.15">
      <c r="A551" s="1">
        <v>53</v>
      </c>
      <c r="B551" s="10" t="s">
        <v>171</v>
      </c>
      <c r="C551" s="11">
        <v>2018</v>
      </c>
      <c r="D551" s="12">
        <v>801</v>
      </c>
      <c r="E551" s="12">
        <v>790</v>
      </c>
      <c r="F551" s="12">
        <v>11</v>
      </c>
      <c r="G551" s="13">
        <v>2.12</v>
      </c>
      <c r="H551" s="12">
        <v>1313</v>
      </c>
      <c r="I551" s="12">
        <v>373</v>
      </c>
      <c r="J551" s="12">
        <v>940</v>
      </c>
      <c r="K551" s="10">
        <v>71.58</v>
      </c>
      <c r="L551" s="13">
        <v>0.601675552</v>
      </c>
    </row>
    <row r="552" spans="1:12" x14ac:dyDescent="0.15">
      <c r="A552" s="1">
        <v>55</v>
      </c>
      <c r="B552" s="10" t="s">
        <v>172</v>
      </c>
      <c r="C552" s="11">
        <v>2018</v>
      </c>
      <c r="D552" s="12">
        <v>6758</v>
      </c>
      <c r="E552" s="12">
        <v>6642</v>
      </c>
      <c r="F552" s="12">
        <v>115</v>
      </c>
      <c r="G552" s="13">
        <v>2.1</v>
      </c>
      <c r="H552" s="12">
        <v>4637</v>
      </c>
      <c r="I552" s="12">
        <v>3165</v>
      </c>
      <c r="J552" s="12">
        <v>1472</v>
      </c>
      <c r="K552" s="10">
        <v>31.74</v>
      </c>
      <c r="L552" s="13">
        <v>1.4323916329999999</v>
      </c>
    </row>
    <row r="553" spans="1:12" x14ac:dyDescent="0.15">
      <c r="A553" s="1">
        <v>57</v>
      </c>
      <c r="B553" s="10" t="s">
        <v>173</v>
      </c>
      <c r="C553" s="11">
        <v>2018</v>
      </c>
      <c r="D553" s="12">
        <v>1379</v>
      </c>
      <c r="E553" s="12">
        <v>1377</v>
      </c>
      <c r="F553" s="12">
        <v>2</v>
      </c>
      <c r="G553" s="13">
        <v>2.11</v>
      </c>
      <c r="H553" s="12">
        <v>1179</v>
      </c>
      <c r="I553" s="12">
        <v>654</v>
      </c>
      <c r="J553" s="12">
        <v>525</v>
      </c>
      <c r="K553" s="10">
        <v>44.56</v>
      </c>
      <c r="L553" s="13">
        <v>1.1679389309999999</v>
      </c>
    </row>
    <row r="554" spans="1:12" x14ac:dyDescent="0.15">
      <c r="A554" s="1">
        <v>59</v>
      </c>
      <c r="B554" s="10" t="s">
        <v>174</v>
      </c>
      <c r="C554" s="11">
        <v>2018</v>
      </c>
      <c r="D554" s="12">
        <v>579821</v>
      </c>
      <c r="E554" s="12">
        <v>570999</v>
      </c>
      <c r="F554" s="12">
        <v>8822</v>
      </c>
      <c r="G554" s="13">
        <v>2.42</v>
      </c>
      <c r="H554" s="12">
        <v>244236</v>
      </c>
      <c r="I554" s="12">
        <v>236374</v>
      </c>
      <c r="J554" s="12">
        <v>7862</v>
      </c>
      <c r="K554" s="10">
        <v>3.22</v>
      </c>
      <c r="L554" s="13">
        <v>2.33789859</v>
      </c>
    </row>
    <row r="555" spans="1:12" x14ac:dyDescent="0.15">
      <c r="A555" s="1">
        <v>61</v>
      </c>
      <c r="B555" s="10" t="s">
        <v>175</v>
      </c>
      <c r="C555" s="11">
        <v>2018</v>
      </c>
      <c r="D555" s="12">
        <v>1442</v>
      </c>
      <c r="E555" s="12">
        <v>1412</v>
      </c>
      <c r="F555" s="12">
        <v>29</v>
      </c>
      <c r="G555" s="13">
        <v>2.39</v>
      </c>
      <c r="H555" s="12">
        <v>735</v>
      </c>
      <c r="I555" s="12">
        <v>592</v>
      </c>
      <c r="J555" s="12">
        <v>143</v>
      </c>
      <c r="K555" s="10">
        <v>19.489999999999998</v>
      </c>
      <c r="L555" s="13">
        <v>1.9210884349999999</v>
      </c>
    </row>
    <row r="556" spans="1:12" x14ac:dyDescent="0.15">
      <c r="A556" s="1">
        <v>63</v>
      </c>
      <c r="B556" s="10" t="s">
        <v>176</v>
      </c>
      <c r="C556" s="11">
        <v>2018</v>
      </c>
      <c r="D556" s="12">
        <v>7285</v>
      </c>
      <c r="E556" s="12">
        <v>6996</v>
      </c>
      <c r="F556" s="12">
        <v>289</v>
      </c>
      <c r="G556" s="13">
        <v>2.42</v>
      </c>
      <c r="H556" s="12">
        <v>3407</v>
      </c>
      <c r="I556" s="12">
        <v>2895</v>
      </c>
      <c r="J556" s="12">
        <v>512</v>
      </c>
      <c r="K556" s="10">
        <v>15.03</v>
      </c>
      <c r="L556" s="13">
        <v>2.053419431</v>
      </c>
    </row>
    <row r="557" spans="1:12" x14ac:dyDescent="0.15">
      <c r="A557" s="1">
        <v>65</v>
      </c>
      <c r="B557" s="10" t="s">
        <v>177</v>
      </c>
      <c r="C557" s="11">
        <v>2018</v>
      </c>
      <c r="D557" s="12">
        <v>7332</v>
      </c>
      <c r="E557" s="12">
        <v>7249</v>
      </c>
      <c r="F557" s="12">
        <v>83</v>
      </c>
      <c r="G557" s="13">
        <v>2.39</v>
      </c>
      <c r="H557" s="12">
        <v>4300</v>
      </c>
      <c r="I557" s="12">
        <v>3030</v>
      </c>
      <c r="J557" s="12">
        <v>1270</v>
      </c>
      <c r="K557" s="10">
        <v>29.53</v>
      </c>
      <c r="L557" s="13">
        <v>1.685813953</v>
      </c>
    </row>
    <row r="558" spans="1:12" x14ac:dyDescent="0.15">
      <c r="A558" s="1">
        <v>67</v>
      </c>
      <c r="B558" s="10" t="s">
        <v>178</v>
      </c>
      <c r="C558" s="11">
        <v>2018</v>
      </c>
      <c r="D558" s="12">
        <v>55731</v>
      </c>
      <c r="E558" s="12">
        <v>53884</v>
      </c>
      <c r="F558" s="12">
        <v>1847</v>
      </c>
      <c r="G558" s="13">
        <v>2.2999999999999998</v>
      </c>
      <c r="H558" s="12">
        <v>27670</v>
      </c>
      <c r="I558" s="12">
        <v>23380</v>
      </c>
      <c r="J558" s="12">
        <v>4290</v>
      </c>
      <c r="K558" s="10">
        <v>15.5</v>
      </c>
      <c r="L558" s="13">
        <v>1.9473798339999999</v>
      </c>
    </row>
    <row r="559" spans="1:12" x14ac:dyDescent="0.15">
      <c r="A559" s="1">
        <v>69</v>
      </c>
      <c r="B559" s="10" t="s">
        <v>179</v>
      </c>
      <c r="C559" s="11">
        <v>2018</v>
      </c>
      <c r="D559" s="12">
        <v>350661</v>
      </c>
      <c r="E559" s="12">
        <v>339773</v>
      </c>
      <c r="F559" s="12">
        <v>10888</v>
      </c>
      <c r="G559" s="13">
        <v>2.41</v>
      </c>
      <c r="H559" s="12">
        <v>152984</v>
      </c>
      <c r="I559" s="12">
        <v>140992</v>
      </c>
      <c r="J559" s="12">
        <v>11992</v>
      </c>
      <c r="K559" s="10">
        <v>7.84</v>
      </c>
      <c r="L559" s="13">
        <v>2.2209708199999998</v>
      </c>
    </row>
    <row r="560" spans="1:12" x14ac:dyDescent="0.15">
      <c r="A560" s="1">
        <v>71</v>
      </c>
      <c r="B560" s="10" t="s">
        <v>180</v>
      </c>
      <c r="C560" s="11">
        <v>2018</v>
      </c>
      <c r="D560" s="12">
        <v>14729</v>
      </c>
      <c r="E560" s="12">
        <v>13999</v>
      </c>
      <c r="F560" s="12">
        <v>730</v>
      </c>
      <c r="G560" s="13">
        <v>2.2000000000000002</v>
      </c>
      <c r="H560" s="12">
        <v>7989</v>
      </c>
      <c r="I560" s="12">
        <v>6360</v>
      </c>
      <c r="J560" s="12">
        <v>1629</v>
      </c>
      <c r="K560" s="10">
        <v>20.39</v>
      </c>
      <c r="L560" s="13">
        <v>1.7522843910000001</v>
      </c>
    </row>
    <row r="561" spans="1:12" x14ac:dyDescent="0.15">
      <c r="A561" s="1">
        <v>73</v>
      </c>
      <c r="B561" s="10" t="s">
        <v>181</v>
      </c>
      <c r="C561" s="11">
        <v>2018</v>
      </c>
      <c r="D561" s="12">
        <v>5621</v>
      </c>
      <c r="E561" s="12">
        <v>4623</v>
      </c>
      <c r="F561" s="12">
        <v>998</v>
      </c>
      <c r="G561" s="13">
        <v>2.35</v>
      </c>
      <c r="H561" s="12">
        <v>2331</v>
      </c>
      <c r="I561" s="12">
        <v>1965</v>
      </c>
      <c r="J561" s="12">
        <v>366</v>
      </c>
      <c r="K561" s="10">
        <v>15.7</v>
      </c>
      <c r="L561" s="13">
        <v>1.9832689830000001</v>
      </c>
    </row>
    <row r="562" spans="1:12" x14ac:dyDescent="0.15">
      <c r="A562" s="1">
        <v>75</v>
      </c>
      <c r="B562" s="10" t="s">
        <v>182</v>
      </c>
      <c r="C562" s="11">
        <v>2018</v>
      </c>
      <c r="D562" s="12">
        <v>21611</v>
      </c>
      <c r="E562" s="12">
        <v>18461</v>
      </c>
      <c r="F562" s="12">
        <v>3149</v>
      </c>
      <c r="G562" s="13">
        <v>2.3199999999999998</v>
      </c>
      <c r="H562" s="12">
        <v>8621</v>
      </c>
      <c r="I562" s="12">
        <v>7958</v>
      </c>
      <c r="J562" s="12">
        <v>663</v>
      </c>
      <c r="K562" s="10">
        <v>7.7</v>
      </c>
      <c r="L562" s="13">
        <v>2.1413989099999999</v>
      </c>
    </row>
    <row r="563" spans="1:12" x14ac:dyDescent="0.15">
      <c r="A563" s="1">
        <v>77</v>
      </c>
      <c r="B563" s="10" t="s">
        <v>183</v>
      </c>
      <c r="C563" s="11">
        <v>2018</v>
      </c>
      <c r="D563" s="12">
        <v>154047</v>
      </c>
      <c r="E563" s="12">
        <v>149639</v>
      </c>
      <c r="F563" s="12">
        <v>4408</v>
      </c>
      <c r="G563" s="13">
        <v>2.42</v>
      </c>
      <c r="H563" s="12">
        <v>65823</v>
      </c>
      <c r="I563" s="12">
        <v>61948</v>
      </c>
      <c r="J563" s="12">
        <v>3875</v>
      </c>
      <c r="K563" s="10">
        <v>5.89</v>
      </c>
      <c r="L563" s="13">
        <v>2.2733542990000002</v>
      </c>
    </row>
    <row r="564" spans="1:12" x14ac:dyDescent="0.15">
      <c r="A564" s="1">
        <v>79</v>
      </c>
      <c r="B564" s="10" t="s">
        <v>184</v>
      </c>
      <c r="C564" s="11">
        <v>2018</v>
      </c>
      <c r="D564" s="12">
        <v>811</v>
      </c>
      <c r="E564" s="12">
        <v>811</v>
      </c>
      <c r="F564" s="12">
        <v>0</v>
      </c>
      <c r="G564" s="13">
        <v>2.0299999999999998</v>
      </c>
      <c r="H564" s="12">
        <v>1181</v>
      </c>
      <c r="I564" s="12">
        <v>399</v>
      </c>
      <c r="J564" s="12">
        <v>782</v>
      </c>
      <c r="K564" s="10">
        <v>66.25</v>
      </c>
      <c r="L564" s="13">
        <v>0.68670618100000003</v>
      </c>
    </row>
    <row r="565" spans="1:12" x14ac:dyDescent="0.15">
      <c r="A565" s="1">
        <v>81</v>
      </c>
      <c r="B565" s="10" t="s">
        <v>185</v>
      </c>
      <c r="C565" s="11">
        <v>2018</v>
      </c>
      <c r="D565" s="12">
        <v>13291</v>
      </c>
      <c r="E565" s="12">
        <v>13175</v>
      </c>
      <c r="F565" s="12">
        <v>116</v>
      </c>
      <c r="G565" s="13">
        <v>2.4700000000000002</v>
      </c>
      <c r="H565" s="12">
        <v>6047</v>
      </c>
      <c r="I565" s="12">
        <v>5334</v>
      </c>
      <c r="J565" s="12">
        <v>713</v>
      </c>
      <c r="K565" s="10">
        <v>11.78</v>
      </c>
      <c r="L565" s="13">
        <v>2.1787663300000002</v>
      </c>
    </row>
    <row r="566" spans="1:12" x14ac:dyDescent="0.15">
      <c r="A566" s="1">
        <v>83</v>
      </c>
      <c r="B566" s="10" t="s">
        <v>186</v>
      </c>
      <c r="C566" s="11">
        <v>2018</v>
      </c>
      <c r="D566" s="12">
        <v>25612</v>
      </c>
      <c r="E566" s="12">
        <v>25333</v>
      </c>
      <c r="F566" s="12">
        <v>279</v>
      </c>
      <c r="G566" s="13">
        <v>2.37</v>
      </c>
      <c r="H566" s="12">
        <v>12132</v>
      </c>
      <c r="I566" s="12">
        <v>10678</v>
      </c>
      <c r="J566" s="12">
        <v>1454</v>
      </c>
      <c r="K566" s="10">
        <v>11.98</v>
      </c>
      <c r="L566" s="13">
        <v>2.0881140779999998</v>
      </c>
    </row>
    <row r="567" spans="1:12" x14ac:dyDescent="0.15">
      <c r="A567" s="1">
        <v>85</v>
      </c>
      <c r="B567" s="10" t="s">
        <v>187</v>
      </c>
      <c r="C567" s="11">
        <v>2018</v>
      </c>
      <c r="D567" s="12">
        <v>42084</v>
      </c>
      <c r="E567" s="12">
        <v>41447</v>
      </c>
      <c r="F567" s="12">
        <v>636</v>
      </c>
      <c r="G567" s="13">
        <v>2.42</v>
      </c>
      <c r="H567" s="12">
        <v>18372</v>
      </c>
      <c r="I567" s="12">
        <v>17149</v>
      </c>
      <c r="J567" s="12">
        <v>1223</v>
      </c>
      <c r="K567" s="10">
        <v>6.65</v>
      </c>
      <c r="L567" s="13">
        <v>2.2559873719999999</v>
      </c>
    </row>
    <row r="568" spans="1:12" x14ac:dyDescent="0.15">
      <c r="A568" s="1">
        <v>87</v>
      </c>
      <c r="B568" s="10" t="s">
        <v>188</v>
      </c>
      <c r="C568" s="11">
        <v>2018</v>
      </c>
      <c r="D568" s="12">
        <v>28933</v>
      </c>
      <c r="E568" s="12">
        <v>28449</v>
      </c>
      <c r="F568" s="12">
        <v>484</v>
      </c>
      <c r="G568" s="13">
        <v>2.73</v>
      </c>
      <c r="H568" s="12">
        <v>11251</v>
      </c>
      <c r="I568" s="12">
        <v>10414</v>
      </c>
      <c r="J568" s="12">
        <v>837</v>
      </c>
      <c r="K568" s="10">
        <v>7.44</v>
      </c>
      <c r="L568" s="13">
        <v>2.5285752380000002</v>
      </c>
    </row>
    <row r="569" spans="1:12" x14ac:dyDescent="0.15">
      <c r="A569" s="1">
        <v>89</v>
      </c>
      <c r="B569" s="10" t="s">
        <v>189</v>
      </c>
      <c r="C569" s="11">
        <v>2018</v>
      </c>
      <c r="D569" s="12">
        <v>18756</v>
      </c>
      <c r="E569" s="12">
        <v>18335</v>
      </c>
      <c r="F569" s="12">
        <v>421</v>
      </c>
      <c r="G569" s="13">
        <v>2.38</v>
      </c>
      <c r="H569" s="12">
        <v>8703</v>
      </c>
      <c r="I569" s="12">
        <v>7704</v>
      </c>
      <c r="J569" s="12">
        <v>999</v>
      </c>
      <c r="K569" s="10">
        <v>11.47</v>
      </c>
      <c r="L569" s="13">
        <v>2.1067448010000001</v>
      </c>
    </row>
    <row r="570" spans="1:12" x14ac:dyDescent="0.15">
      <c r="A570" s="1">
        <v>91</v>
      </c>
      <c r="B570" s="10" t="s">
        <v>190</v>
      </c>
      <c r="C570" s="11">
        <v>2018</v>
      </c>
      <c r="D570" s="12">
        <v>4736</v>
      </c>
      <c r="E570" s="12">
        <v>4736</v>
      </c>
      <c r="F570" s="12">
        <v>0</v>
      </c>
      <c r="G570" s="13">
        <v>2.14</v>
      </c>
      <c r="H570" s="12">
        <v>3242</v>
      </c>
      <c r="I570" s="12">
        <v>2216</v>
      </c>
      <c r="J570" s="12">
        <v>1026</v>
      </c>
      <c r="K570" s="10">
        <v>31.65</v>
      </c>
      <c r="L570" s="13">
        <v>1.46082665</v>
      </c>
    </row>
    <row r="571" spans="1:12" x14ac:dyDescent="0.15">
      <c r="A571" s="1">
        <v>93</v>
      </c>
      <c r="B571" s="10" t="s">
        <v>191</v>
      </c>
      <c r="C571" s="11">
        <v>2018</v>
      </c>
      <c r="D571" s="12">
        <v>17366</v>
      </c>
      <c r="E571" s="12">
        <v>17325</v>
      </c>
      <c r="F571" s="12">
        <v>41</v>
      </c>
      <c r="G571" s="13">
        <v>2.23</v>
      </c>
      <c r="H571" s="12">
        <v>13820</v>
      </c>
      <c r="I571" s="12">
        <v>7777</v>
      </c>
      <c r="J571" s="12">
        <v>6043</v>
      </c>
      <c r="K571" s="10">
        <v>43.73</v>
      </c>
      <c r="L571" s="13">
        <v>1.253617945</v>
      </c>
    </row>
    <row r="572" spans="1:12" x14ac:dyDescent="0.15">
      <c r="A572" s="1">
        <v>95</v>
      </c>
      <c r="B572" s="10" t="s">
        <v>192</v>
      </c>
      <c r="C572" s="11">
        <v>2018</v>
      </c>
      <c r="D572" s="12">
        <v>4515</v>
      </c>
      <c r="E572" s="12">
        <v>4447</v>
      </c>
      <c r="F572" s="12">
        <v>69</v>
      </c>
      <c r="G572" s="13">
        <v>2.44</v>
      </c>
      <c r="H572" s="12">
        <v>2010</v>
      </c>
      <c r="I572" s="12">
        <v>1819</v>
      </c>
      <c r="J572" s="12">
        <v>191</v>
      </c>
      <c r="K572" s="10">
        <v>9.48</v>
      </c>
      <c r="L572" s="13">
        <v>2.212437811</v>
      </c>
    </row>
    <row r="573" spans="1:12" x14ac:dyDescent="0.15">
      <c r="A573" s="1">
        <v>97</v>
      </c>
      <c r="B573" s="10" t="s">
        <v>193</v>
      </c>
      <c r="C573" s="11">
        <v>2018</v>
      </c>
      <c r="D573" s="12">
        <v>17643</v>
      </c>
      <c r="E573" s="12">
        <v>17571</v>
      </c>
      <c r="F573" s="12">
        <v>72</v>
      </c>
      <c r="G573" s="13">
        <v>2.14</v>
      </c>
      <c r="H573" s="12">
        <v>13107</v>
      </c>
      <c r="I573" s="12">
        <v>8203</v>
      </c>
      <c r="J573" s="12">
        <v>4904</v>
      </c>
      <c r="K573" s="10">
        <v>37.42</v>
      </c>
      <c r="L573" s="13">
        <v>1.3405813689999999</v>
      </c>
    </row>
    <row r="574" spans="1:12" x14ac:dyDescent="0.15">
      <c r="A574" s="1">
        <v>99</v>
      </c>
      <c r="B574" s="10" t="s">
        <v>194</v>
      </c>
      <c r="C574" s="11">
        <v>2018</v>
      </c>
      <c r="D574" s="12">
        <v>11971</v>
      </c>
      <c r="E574" s="12">
        <v>11614</v>
      </c>
      <c r="F574" s="12">
        <v>357</v>
      </c>
      <c r="G574" s="13">
        <v>2.44</v>
      </c>
      <c r="H574" s="12">
        <v>5436</v>
      </c>
      <c r="I574" s="12">
        <v>4766</v>
      </c>
      <c r="J574" s="12">
        <v>670</v>
      </c>
      <c r="K574" s="10">
        <v>12.33</v>
      </c>
      <c r="L574" s="13">
        <v>2.136497425</v>
      </c>
    </row>
    <row r="575" spans="1:12" x14ac:dyDescent="0.15">
      <c r="A575" s="1">
        <v>101</v>
      </c>
      <c r="B575" s="10" t="s">
        <v>195</v>
      </c>
      <c r="C575" s="11">
        <v>2018</v>
      </c>
      <c r="D575" s="12">
        <v>166686</v>
      </c>
      <c r="E575" s="12">
        <v>162731</v>
      </c>
      <c r="F575" s="12">
        <v>3955</v>
      </c>
      <c r="G575" s="13">
        <v>2.4500000000000002</v>
      </c>
      <c r="H575" s="12">
        <v>71066</v>
      </c>
      <c r="I575" s="12">
        <v>66311</v>
      </c>
      <c r="J575" s="12">
        <v>4755</v>
      </c>
      <c r="K575" s="10">
        <v>6.69</v>
      </c>
      <c r="L575" s="13">
        <v>2.289857316</v>
      </c>
    </row>
    <row r="576" spans="1:12" x14ac:dyDescent="0.15">
      <c r="A576" s="1">
        <v>103</v>
      </c>
      <c r="B576" s="10" t="s">
        <v>196</v>
      </c>
      <c r="C576" s="11">
        <v>2018</v>
      </c>
      <c r="D576" s="12">
        <v>6588</v>
      </c>
      <c r="E576" s="12">
        <v>6338</v>
      </c>
      <c r="F576" s="12">
        <v>250</v>
      </c>
      <c r="G576" s="13">
        <v>2.4300000000000002</v>
      </c>
      <c r="H576" s="12">
        <v>3252</v>
      </c>
      <c r="I576" s="12">
        <v>2607</v>
      </c>
      <c r="J576" s="12">
        <v>645</v>
      </c>
      <c r="K576" s="10">
        <v>19.850000000000001</v>
      </c>
      <c r="L576" s="13">
        <v>1.94895449</v>
      </c>
    </row>
    <row r="577" spans="1:12" x14ac:dyDescent="0.15">
      <c r="A577" s="1">
        <v>105</v>
      </c>
      <c r="B577" s="10" t="s">
        <v>197</v>
      </c>
      <c r="C577" s="11">
        <v>2018</v>
      </c>
      <c r="D577" s="12">
        <v>11644</v>
      </c>
      <c r="E577" s="12">
        <v>11498</v>
      </c>
      <c r="F577" s="12">
        <v>147</v>
      </c>
      <c r="G577" s="13">
        <v>2.4</v>
      </c>
      <c r="H577" s="12">
        <v>6483</v>
      </c>
      <c r="I577" s="12">
        <v>4790</v>
      </c>
      <c r="J577" s="12">
        <v>1693</v>
      </c>
      <c r="K577" s="10">
        <v>26.11</v>
      </c>
      <c r="L577" s="13">
        <v>1.773561623</v>
      </c>
    </row>
    <row r="578" spans="1:12" x14ac:dyDescent="0.15">
      <c r="A578" s="1">
        <v>107</v>
      </c>
      <c r="B578" s="10" t="s">
        <v>198</v>
      </c>
      <c r="C578" s="11">
        <v>2018</v>
      </c>
      <c r="D578" s="12">
        <v>24314</v>
      </c>
      <c r="E578" s="12">
        <v>23966</v>
      </c>
      <c r="F578" s="12">
        <v>348</v>
      </c>
      <c r="G578" s="13">
        <v>2.35</v>
      </c>
      <c r="H578" s="12">
        <v>16212</v>
      </c>
      <c r="I578" s="12">
        <v>10186</v>
      </c>
      <c r="J578" s="12">
        <v>6026</v>
      </c>
      <c r="K578" s="10">
        <v>37.17</v>
      </c>
      <c r="L578" s="13">
        <v>1.478287688</v>
      </c>
    </row>
    <row r="579" spans="1:12" x14ac:dyDescent="0.15">
      <c r="A579" s="1">
        <v>109</v>
      </c>
      <c r="B579" s="10" t="s">
        <v>199</v>
      </c>
      <c r="C579" s="11">
        <v>2018</v>
      </c>
      <c r="D579" s="12">
        <v>6276</v>
      </c>
      <c r="E579" s="12">
        <v>6245</v>
      </c>
      <c r="F579" s="12">
        <v>31</v>
      </c>
      <c r="G579" s="13">
        <v>2.25</v>
      </c>
      <c r="H579" s="12">
        <v>3559</v>
      </c>
      <c r="I579" s="12">
        <v>2778</v>
      </c>
      <c r="J579" s="12">
        <v>781</v>
      </c>
      <c r="K579" s="10">
        <v>21.95</v>
      </c>
      <c r="L579" s="13">
        <v>1.7547063780000001</v>
      </c>
    </row>
    <row r="580" spans="1:12" x14ac:dyDescent="0.15">
      <c r="A580" s="1">
        <v>111</v>
      </c>
      <c r="B580" s="10" t="s">
        <v>200</v>
      </c>
      <c r="C580" s="11">
        <v>2018</v>
      </c>
      <c r="D580" s="12">
        <v>703</v>
      </c>
      <c r="E580" s="12">
        <v>703</v>
      </c>
      <c r="F580" s="12">
        <v>0</v>
      </c>
      <c r="G580" s="13">
        <v>1.94</v>
      </c>
      <c r="H580" s="12">
        <v>768</v>
      </c>
      <c r="I580" s="12">
        <v>363</v>
      </c>
      <c r="J580" s="12">
        <v>405</v>
      </c>
      <c r="K580" s="10">
        <v>52.71</v>
      </c>
      <c r="L580" s="13">
        <v>0.91536458300000001</v>
      </c>
    </row>
    <row r="581" spans="1:12" x14ac:dyDescent="0.15">
      <c r="A581" s="1">
        <v>113</v>
      </c>
      <c r="B581" s="10" t="s">
        <v>201</v>
      </c>
      <c r="C581" s="11">
        <v>2018</v>
      </c>
      <c r="D581" s="12">
        <v>8154</v>
      </c>
      <c r="E581" s="12">
        <v>7901</v>
      </c>
      <c r="F581" s="12">
        <v>253</v>
      </c>
      <c r="G581" s="13">
        <v>2.2200000000000002</v>
      </c>
      <c r="H581" s="12">
        <v>6467</v>
      </c>
      <c r="I581" s="12">
        <v>3559</v>
      </c>
      <c r="J581" s="12">
        <v>2908</v>
      </c>
      <c r="K581" s="10">
        <v>44.97</v>
      </c>
      <c r="L581" s="13">
        <v>1.2217411469999999</v>
      </c>
    </row>
    <row r="582" spans="1:12" x14ac:dyDescent="0.15">
      <c r="A582" s="1">
        <v>115</v>
      </c>
      <c r="B582" s="10" t="s">
        <v>202</v>
      </c>
      <c r="C582" s="11">
        <v>2018</v>
      </c>
      <c r="D582" s="12">
        <v>2401</v>
      </c>
      <c r="E582" s="12">
        <v>2359</v>
      </c>
      <c r="F582" s="12">
        <v>41</v>
      </c>
      <c r="G582" s="13">
        <v>2.17</v>
      </c>
      <c r="H582" s="12">
        <v>1339</v>
      </c>
      <c r="I582" s="12">
        <v>1087</v>
      </c>
      <c r="J582" s="12">
        <v>252</v>
      </c>
      <c r="K582" s="10">
        <v>18.84</v>
      </c>
      <c r="L582" s="13">
        <v>1.761762509</v>
      </c>
    </row>
    <row r="583" spans="1:12" x14ac:dyDescent="0.15">
      <c r="A583" s="1">
        <v>117</v>
      </c>
      <c r="B583" s="10" t="s">
        <v>203</v>
      </c>
      <c r="C583" s="11">
        <v>2018</v>
      </c>
      <c r="D583" s="12">
        <v>31095</v>
      </c>
      <c r="E583" s="12">
        <v>30593</v>
      </c>
      <c r="F583" s="12">
        <v>502</v>
      </c>
      <c r="G583" s="13">
        <v>2.36</v>
      </c>
      <c r="H583" s="12">
        <v>30593</v>
      </c>
      <c r="I583" s="12">
        <v>12972</v>
      </c>
      <c r="J583" s="12">
        <v>17621</v>
      </c>
      <c r="K583" s="10">
        <v>57.6</v>
      </c>
      <c r="L583" s="13">
        <v>1</v>
      </c>
    </row>
    <row r="584" spans="1:12" x14ac:dyDescent="0.15">
      <c r="A584" s="1">
        <v>119</v>
      </c>
      <c r="B584" s="10" t="s">
        <v>204</v>
      </c>
      <c r="C584" s="11">
        <v>2018</v>
      </c>
      <c r="D584" s="12">
        <v>24523</v>
      </c>
      <c r="E584" s="12">
        <v>24352</v>
      </c>
      <c r="F584" s="12">
        <v>171</v>
      </c>
      <c r="G584" s="13">
        <v>2.3199999999999998</v>
      </c>
      <c r="H584" s="12">
        <v>13138</v>
      </c>
      <c r="I584" s="12">
        <v>10488</v>
      </c>
      <c r="J584" s="12">
        <v>2650</v>
      </c>
      <c r="K584" s="10">
        <v>20.170000000000002</v>
      </c>
      <c r="L584" s="13">
        <v>1.853554575</v>
      </c>
    </row>
    <row r="585" spans="1:12" x14ac:dyDescent="0.15">
      <c r="A585" s="1">
        <v>121</v>
      </c>
      <c r="B585" s="10" t="s">
        <v>205</v>
      </c>
      <c r="C585" s="11">
        <v>2018</v>
      </c>
      <c r="D585" s="12">
        <v>4812</v>
      </c>
      <c r="E585" s="12">
        <v>4612</v>
      </c>
      <c r="F585" s="12">
        <v>200</v>
      </c>
      <c r="G585" s="13">
        <v>2.39</v>
      </c>
      <c r="H585" s="12">
        <v>2249</v>
      </c>
      <c r="I585" s="12">
        <v>1928</v>
      </c>
      <c r="J585" s="12">
        <v>321</v>
      </c>
      <c r="K585" s="10">
        <v>14.26</v>
      </c>
      <c r="L585" s="13">
        <v>2.0506891949999999</v>
      </c>
    </row>
    <row r="586" spans="1:12" x14ac:dyDescent="0.15">
      <c r="A586" s="1">
        <v>123</v>
      </c>
      <c r="B586" s="10" t="s">
        <v>206</v>
      </c>
      <c r="C586" s="11">
        <v>2018</v>
      </c>
      <c r="D586" s="12">
        <v>313219</v>
      </c>
      <c r="E586" s="12">
        <v>307854</v>
      </c>
      <c r="F586" s="12">
        <v>5365</v>
      </c>
      <c r="G586" s="13">
        <v>2.83</v>
      </c>
      <c r="H586" s="12">
        <v>113019</v>
      </c>
      <c r="I586" s="12">
        <v>108956</v>
      </c>
      <c r="J586" s="12">
        <v>4063</v>
      </c>
      <c r="K586" s="10">
        <v>3.59</v>
      </c>
      <c r="L586" s="13">
        <v>2.7239136780000002</v>
      </c>
    </row>
    <row r="587" spans="1:12" x14ac:dyDescent="0.15">
      <c r="A587" s="1">
        <v>125</v>
      </c>
      <c r="B587" s="10" t="s">
        <v>207</v>
      </c>
      <c r="C587" s="11">
        <v>2018</v>
      </c>
      <c r="D587" s="12">
        <v>9955</v>
      </c>
      <c r="E587" s="12">
        <v>9789</v>
      </c>
      <c r="F587" s="12">
        <v>166</v>
      </c>
      <c r="G587" s="13">
        <v>2.5299999999999998</v>
      </c>
      <c r="H587" s="12">
        <v>4311</v>
      </c>
      <c r="I587" s="12">
        <v>3867</v>
      </c>
      <c r="J587" s="12">
        <v>444</v>
      </c>
      <c r="K587" s="10">
        <v>10.29</v>
      </c>
      <c r="L587" s="13">
        <v>2.270702853</v>
      </c>
    </row>
    <row r="588" spans="1:12" x14ac:dyDescent="0.15">
      <c r="A588" s="1">
        <v>0</v>
      </c>
      <c r="B588" s="10" t="s">
        <v>143</v>
      </c>
      <c r="C588" s="11">
        <v>2019</v>
      </c>
      <c r="D588" s="12">
        <v>5734909</v>
      </c>
      <c r="E588" s="12">
        <v>5606576</v>
      </c>
      <c r="F588" s="12">
        <v>128333</v>
      </c>
      <c r="G588" s="13">
        <v>2.5</v>
      </c>
      <c r="H588" s="12">
        <v>2460839</v>
      </c>
      <c r="I588" s="12">
        <v>2242111</v>
      </c>
      <c r="J588" s="12">
        <v>218728</v>
      </c>
      <c r="K588" s="10">
        <v>8.89</v>
      </c>
      <c r="L588" s="13">
        <v>2.2783188989999998</v>
      </c>
    </row>
    <row r="589" spans="1:12" x14ac:dyDescent="0.15">
      <c r="A589" s="1">
        <v>1</v>
      </c>
      <c r="B589" s="10" t="s">
        <v>144</v>
      </c>
      <c r="C589" s="11">
        <v>2019</v>
      </c>
      <c r="D589" s="12">
        <v>516482</v>
      </c>
      <c r="E589" s="12">
        <v>512038</v>
      </c>
      <c r="F589" s="12">
        <v>4444</v>
      </c>
      <c r="G589" s="13">
        <v>2.88</v>
      </c>
      <c r="H589" s="12">
        <v>183751</v>
      </c>
      <c r="I589" s="12">
        <v>177677</v>
      </c>
      <c r="J589" s="12">
        <v>6074</v>
      </c>
      <c r="K589" s="10">
        <v>3.31</v>
      </c>
      <c r="L589" s="13">
        <v>2.7865861949999999</v>
      </c>
    </row>
    <row r="590" spans="1:12" x14ac:dyDescent="0.15">
      <c r="A590" s="1">
        <v>3</v>
      </c>
      <c r="B590" s="10" t="s">
        <v>145</v>
      </c>
      <c r="C590" s="11">
        <v>2019</v>
      </c>
      <c r="D590" s="12">
        <v>16247</v>
      </c>
      <c r="E590" s="12">
        <v>15382</v>
      </c>
      <c r="F590" s="12">
        <v>865</v>
      </c>
      <c r="G590" s="13">
        <v>2.4300000000000002</v>
      </c>
      <c r="H590" s="12">
        <v>7026</v>
      </c>
      <c r="I590" s="12">
        <v>6343</v>
      </c>
      <c r="J590" s="12">
        <v>683</v>
      </c>
      <c r="K590" s="10">
        <v>9.7200000000000006</v>
      </c>
      <c r="L590" s="13">
        <v>2.1892968970000002</v>
      </c>
    </row>
    <row r="591" spans="1:12" x14ac:dyDescent="0.15">
      <c r="A591" s="1">
        <v>5</v>
      </c>
      <c r="B591" s="10" t="s">
        <v>146</v>
      </c>
      <c r="C591" s="11">
        <v>2019</v>
      </c>
      <c r="D591" s="12">
        <v>653804</v>
      </c>
      <c r="E591" s="12">
        <v>648519</v>
      </c>
      <c r="F591" s="12">
        <v>5285</v>
      </c>
      <c r="G591" s="13">
        <v>2.59</v>
      </c>
      <c r="H591" s="12">
        <v>259939</v>
      </c>
      <c r="I591" s="12">
        <v>250374</v>
      </c>
      <c r="J591" s="12">
        <v>9565</v>
      </c>
      <c r="K591" s="10">
        <v>3.68</v>
      </c>
      <c r="L591" s="13">
        <v>2.494889186</v>
      </c>
    </row>
    <row r="592" spans="1:12" x14ac:dyDescent="0.15">
      <c r="A592" s="1">
        <v>7</v>
      </c>
      <c r="B592" s="10" t="s">
        <v>147</v>
      </c>
      <c r="C592" s="11">
        <v>2019</v>
      </c>
      <c r="D592" s="12">
        <v>13194</v>
      </c>
      <c r="E592" s="12">
        <v>13101</v>
      </c>
      <c r="F592" s="12">
        <v>93</v>
      </c>
      <c r="G592" s="13">
        <v>2.29</v>
      </c>
      <c r="H592" s="12">
        <v>9411</v>
      </c>
      <c r="I592" s="12">
        <v>5723</v>
      </c>
      <c r="J592" s="12">
        <v>3688</v>
      </c>
      <c r="K592" s="10">
        <v>39.19</v>
      </c>
      <c r="L592" s="13">
        <v>1.392094358</v>
      </c>
    </row>
    <row r="593" spans="1:12" x14ac:dyDescent="0.15">
      <c r="A593" s="1">
        <v>9</v>
      </c>
      <c r="B593" s="10" t="s">
        <v>148</v>
      </c>
      <c r="C593" s="11">
        <v>2019</v>
      </c>
      <c r="D593" s="12">
        <v>3565</v>
      </c>
      <c r="E593" s="12">
        <v>3523</v>
      </c>
      <c r="F593" s="12">
        <v>42</v>
      </c>
      <c r="G593" s="13">
        <v>2.17</v>
      </c>
      <c r="H593" s="12">
        <v>1969</v>
      </c>
      <c r="I593" s="12">
        <v>1621</v>
      </c>
      <c r="J593" s="12">
        <v>348</v>
      </c>
      <c r="K593" s="10">
        <v>17.68</v>
      </c>
      <c r="L593" s="13">
        <v>1.7892331130000001</v>
      </c>
    </row>
    <row r="594" spans="1:12" x14ac:dyDescent="0.15">
      <c r="A594" s="1">
        <v>11</v>
      </c>
      <c r="B594" s="10" t="s">
        <v>149</v>
      </c>
      <c r="C594" s="11">
        <v>2019</v>
      </c>
      <c r="D594" s="12">
        <v>5980</v>
      </c>
      <c r="E594" s="12">
        <v>4046</v>
      </c>
      <c r="F594" s="12">
        <v>1934</v>
      </c>
      <c r="G594" s="13">
        <v>2.2799999999999998</v>
      </c>
      <c r="H594" s="12">
        <v>2135</v>
      </c>
      <c r="I594" s="12">
        <v>1772</v>
      </c>
      <c r="J594" s="12">
        <v>363</v>
      </c>
      <c r="K594" s="10">
        <v>17</v>
      </c>
      <c r="L594" s="13">
        <v>1.8950819670000001</v>
      </c>
    </row>
    <row r="595" spans="1:12" x14ac:dyDescent="0.15">
      <c r="A595" s="1">
        <v>13</v>
      </c>
      <c r="B595" s="10" t="s">
        <v>150</v>
      </c>
      <c r="C595" s="11">
        <v>2019</v>
      </c>
      <c r="D595" s="12">
        <v>328827</v>
      </c>
      <c r="E595" s="12">
        <v>314030</v>
      </c>
      <c r="F595" s="12">
        <v>14797</v>
      </c>
      <c r="G595" s="13">
        <v>2.38</v>
      </c>
      <c r="H595" s="12">
        <v>139591</v>
      </c>
      <c r="I595" s="12">
        <v>131875</v>
      </c>
      <c r="J595" s="12">
        <v>7716</v>
      </c>
      <c r="K595" s="10">
        <v>5.53</v>
      </c>
      <c r="L595" s="13">
        <v>2.2496436019999999</v>
      </c>
    </row>
    <row r="596" spans="1:12" x14ac:dyDescent="0.15">
      <c r="A596" s="1">
        <v>14</v>
      </c>
      <c r="B596" s="10" t="s">
        <v>151</v>
      </c>
      <c r="C596" s="11">
        <v>2019</v>
      </c>
      <c r="D596" s="12">
        <v>72669</v>
      </c>
      <c r="E596" s="12">
        <v>72439</v>
      </c>
      <c r="F596" s="12">
        <v>230</v>
      </c>
      <c r="G596" s="13">
        <v>2.4900000000000002</v>
      </c>
      <c r="H596" s="12">
        <v>30982</v>
      </c>
      <c r="I596" s="12">
        <v>29071</v>
      </c>
      <c r="J596" s="12">
        <v>1911</v>
      </c>
      <c r="K596" s="10">
        <v>6.17</v>
      </c>
      <c r="L596" s="13">
        <v>2.3380995420000001</v>
      </c>
    </row>
    <row r="597" spans="1:12" x14ac:dyDescent="0.15">
      <c r="A597" s="1">
        <v>15</v>
      </c>
      <c r="B597" s="10" t="s">
        <v>152</v>
      </c>
      <c r="C597" s="11">
        <v>2019</v>
      </c>
      <c r="D597" s="12">
        <v>19391</v>
      </c>
      <c r="E597" s="12">
        <v>17990</v>
      </c>
      <c r="F597" s="12">
        <v>1401</v>
      </c>
      <c r="G597" s="13">
        <v>2.16</v>
      </c>
      <c r="H597" s="12">
        <v>10806</v>
      </c>
      <c r="I597" s="12">
        <v>8332</v>
      </c>
      <c r="J597" s="12">
        <v>2474</v>
      </c>
      <c r="K597" s="10">
        <v>22.89</v>
      </c>
      <c r="L597" s="13">
        <v>1.664815843</v>
      </c>
    </row>
    <row r="598" spans="1:12" x14ac:dyDescent="0.15">
      <c r="A598" s="1">
        <v>17</v>
      </c>
      <c r="B598" s="10" t="s">
        <v>153</v>
      </c>
      <c r="C598" s="11">
        <v>2019</v>
      </c>
      <c r="D598" s="12">
        <v>1777</v>
      </c>
      <c r="E598" s="12">
        <v>1735</v>
      </c>
      <c r="F598" s="12">
        <v>42</v>
      </c>
      <c r="G598" s="13">
        <v>2.31</v>
      </c>
      <c r="H598" s="12">
        <v>905</v>
      </c>
      <c r="I598" s="12">
        <v>751</v>
      </c>
      <c r="J598" s="12">
        <v>154</v>
      </c>
      <c r="K598" s="10">
        <v>17.02</v>
      </c>
      <c r="L598" s="13">
        <v>1.917127072</v>
      </c>
    </row>
    <row r="599" spans="1:12" x14ac:dyDescent="0.15">
      <c r="A599" s="1">
        <v>19</v>
      </c>
      <c r="B599" s="10" t="s">
        <v>154</v>
      </c>
      <c r="C599" s="11">
        <v>2019</v>
      </c>
      <c r="D599" s="12">
        <v>9414</v>
      </c>
      <c r="E599" s="12">
        <v>9299</v>
      </c>
      <c r="F599" s="12">
        <v>115</v>
      </c>
      <c r="G599" s="13">
        <v>2.13</v>
      </c>
      <c r="H599" s="12">
        <v>5634</v>
      </c>
      <c r="I599" s="12">
        <v>4374</v>
      </c>
      <c r="J599" s="12">
        <v>1260</v>
      </c>
      <c r="K599" s="10">
        <v>22.36</v>
      </c>
      <c r="L599" s="13">
        <v>1.650514732</v>
      </c>
    </row>
    <row r="600" spans="1:12" x14ac:dyDescent="0.15">
      <c r="A600" s="1">
        <v>21</v>
      </c>
      <c r="B600" s="10" t="s">
        <v>155</v>
      </c>
      <c r="C600" s="11">
        <v>2019</v>
      </c>
      <c r="D600" s="12">
        <v>7551</v>
      </c>
      <c r="E600" s="12">
        <v>7490</v>
      </c>
      <c r="F600" s="12">
        <v>60</v>
      </c>
      <c r="G600" s="13">
        <v>2.56</v>
      </c>
      <c r="H600" s="12">
        <v>3978</v>
      </c>
      <c r="I600" s="12">
        <v>2922</v>
      </c>
      <c r="J600" s="12">
        <v>1056</v>
      </c>
      <c r="K600" s="10">
        <v>26.53</v>
      </c>
      <c r="L600" s="13">
        <v>1.882855706</v>
      </c>
    </row>
    <row r="601" spans="1:12" x14ac:dyDescent="0.15">
      <c r="A601" s="1">
        <v>23</v>
      </c>
      <c r="B601" s="10" t="s">
        <v>156</v>
      </c>
      <c r="C601" s="11">
        <v>2019</v>
      </c>
      <c r="D601" s="12">
        <v>3501</v>
      </c>
      <c r="E601" s="12">
        <v>3501</v>
      </c>
      <c r="F601" s="12">
        <v>0</v>
      </c>
      <c r="G601" s="13">
        <v>2.2000000000000002</v>
      </c>
      <c r="H601" s="12">
        <v>2374</v>
      </c>
      <c r="I601" s="12">
        <v>1591</v>
      </c>
      <c r="J601" s="12">
        <v>783</v>
      </c>
      <c r="K601" s="10">
        <v>33</v>
      </c>
      <c r="L601" s="13">
        <v>1.474726201</v>
      </c>
    </row>
    <row r="602" spans="1:12" x14ac:dyDescent="0.15">
      <c r="A602" s="1">
        <v>25</v>
      </c>
      <c r="B602" s="10" t="s">
        <v>157</v>
      </c>
      <c r="C602" s="11">
        <v>2019</v>
      </c>
      <c r="D602" s="12">
        <v>5840</v>
      </c>
      <c r="E602" s="12">
        <v>3013</v>
      </c>
      <c r="F602" s="12">
        <v>2827</v>
      </c>
      <c r="G602" s="13">
        <v>2.3199999999999998</v>
      </c>
      <c r="H602" s="12">
        <v>1508</v>
      </c>
      <c r="I602" s="12">
        <v>1297</v>
      </c>
      <c r="J602" s="12">
        <v>211</v>
      </c>
      <c r="K602" s="10">
        <v>13.96</v>
      </c>
      <c r="L602" s="13">
        <v>1.9980106099999999</v>
      </c>
    </row>
    <row r="603" spans="1:12" x14ac:dyDescent="0.15">
      <c r="A603" s="1">
        <v>27</v>
      </c>
      <c r="B603" s="10" t="s">
        <v>158</v>
      </c>
      <c r="C603" s="11">
        <v>2019</v>
      </c>
      <c r="D603" s="12">
        <v>4646</v>
      </c>
      <c r="E603" s="12">
        <v>4634</v>
      </c>
      <c r="F603" s="12">
        <v>11</v>
      </c>
      <c r="G603" s="13">
        <v>2.12</v>
      </c>
      <c r="H603" s="12">
        <v>4110</v>
      </c>
      <c r="I603" s="12">
        <v>2189</v>
      </c>
      <c r="J603" s="12">
        <v>1921</v>
      </c>
      <c r="K603" s="10">
        <v>46.73</v>
      </c>
      <c r="L603" s="13">
        <v>1.127493917</v>
      </c>
    </row>
    <row r="604" spans="1:12" x14ac:dyDescent="0.15">
      <c r="A604" s="1">
        <v>29</v>
      </c>
      <c r="B604" s="10" t="s">
        <v>159</v>
      </c>
      <c r="C604" s="11">
        <v>2019</v>
      </c>
      <c r="D604" s="12">
        <v>31237</v>
      </c>
      <c r="E604" s="12">
        <v>30360</v>
      </c>
      <c r="F604" s="12">
        <v>877</v>
      </c>
      <c r="G604" s="13">
        <v>2.33</v>
      </c>
      <c r="H604" s="12">
        <v>14728</v>
      </c>
      <c r="I604" s="12">
        <v>13018</v>
      </c>
      <c r="J604" s="12">
        <v>1710</v>
      </c>
      <c r="K604" s="10">
        <v>11.61</v>
      </c>
      <c r="L604" s="13">
        <v>2.0613796849999999</v>
      </c>
    </row>
    <row r="605" spans="1:12" x14ac:dyDescent="0.15">
      <c r="A605" s="1">
        <v>31</v>
      </c>
      <c r="B605" s="10" t="s">
        <v>160</v>
      </c>
      <c r="C605" s="11">
        <v>2019</v>
      </c>
      <c r="D605" s="12">
        <v>710143</v>
      </c>
      <c r="E605" s="12">
        <v>693851</v>
      </c>
      <c r="F605" s="12">
        <v>16292</v>
      </c>
      <c r="G605" s="13">
        <v>2.21</v>
      </c>
      <c r="H605" s="12">
        <v>338605</v>
      </c>
      <c r="I605" s="12">
        <v>314493</v>
      </c>
      <c r="J605" s="12">
        <v>24112</v>
      </c>
      <c r="K605" s="10">
        <v>7.12</v>
      </c>
      <c r="L605" s="13">
        <v>2.04914576</v>
      </c>
    </row>
    <row r="606" spans="1:12" x14ac:dyDescent="0.15">
      <c r="A606" s="1">
        <v>33</v>
      </c>
      <c r="B606" s="10" t="s">
        <v>161</v>
      </c>
      <c r="C606" s="11">
        <v>2019</v>
      </c>
      <c r="D606" s="12">
        <v>2085</v>
      </c>
      <c r="E606" s="12">
        <v>2085</v>
      </c>
      <c r="F606" s="12">
        <v>0</v>
      </c>
      <c r="G606" s="13">
        <v>2.23</v>
      </c>
      <c r="H606" s="12">
        <v>1318</v>
      </c>
      <c r="I606" s="12">
        <v>934</v>
      </c>
      <c r="J606" s="12">
        <v>384</v>
      </c>
      <c r="K606" s="10">
        <v>29.1</v>
      </c>
      <c r="L606" s="13">
        <v>1.5819423370000001</v>
      </c>
    </row>
    <row r="607" spans="1:12" x14ac:dyDescent="0.15">
      <c r="A607" s="1">
        <v>35</v>
      </c>
      <c r="B607" s="10" t="s">
        <v>162</v>
      </c>
      <c r="C607" s="11">
        <v>2019</v>
      </c>
      <c r="D607" s="12">
        <v>351212</v>
      </c>
      <c r="E607" s="12">
        <v>349635</v>
      </c>
      <c r="F607" s="12">
        <v>1577</v>
      </c>
      <c r="G607" s="13">
        <v>2.76</v>
      </c>
      <c r="H607" s="12">
        <v>132630</v>
      </c>
      <c r="I607" s="12">
        <v>126845</v>
      </c>
      <c r="J607" s="12">
        <v>5785</v>
      </c>
      <c r="K607" s="10">
        <v>4.3600000000000003</v>
      </c>
      <c r="L607" s="13">
        <v>2.6361682879999999</v>
      </c>
    </row>
    <row r="608" spans="1:12" x14ac:dyDescent="0.15">
      <c r="A608" s="1">
        <v>37</v>
      </c>
      <c r="B608" s="10" t="s">
        <v>163</v>
      </c>
      <c r="C608" s="11">
        <v>2019</v>
      </c>
      <c r="D608" s="12">
        <v>54819</v>
      </c>
      <c r="E608" s="12">
        <v>54717</v>
      </c>
      <c r="F608" s="12">
        <v>102</v>
      </c>
      <c r="G608" s="13">
        <v>2.68</v>
      </c>
      <c r="H608" s="12">
        <v>32626</v>
      </c>
      <c r="I608" s="12">
        <v>20395</v>
      </c>
      <c r="J608" s="12">
        <v>12231</v>
      </c>
      <c r="K608" s="10">
        <v>37.49</v>
      </c>
      <c r="L608" s="13">
        <v>1.6770980200000001</v>
      </c>
    </row>
    <row r="609" spans="1:12" x14ac:dyDescent="0.15">
      <c r="A609" s="1">
        <v>39</v>
      </c>
      <c r="B609" s="10" t="s">
        <v>164</v>
      </c>
      <c r="C609" s="11">
        <v>2019</v>
      </c>
      <c r="D609" s="12">
        <v>25667</v>
      </c>
      <c r="E609" s="12">
        <v>25597</v>
      </c>
      <c r="F609" s="12">
        <v>70</v>
      </c>
      <c r="G609" s="13">
        <v>2.77</v>
      </c>
      <c r="H609" s="12">
        <v>9673</v>
      </c>
      <c r="I609" s="12">
        <v>9242</v>
      </c>
      <c r="J609" s="12">
        <v>431</v>
      </c>
      <c r="K609" s="10">
        <v>4.46</v>
      </c>
      <c r="L609" s="13">
        <v>2.6462317789999998</v>
      </c>
    </row>
    <row r="610" spans="1:12" x14ac:dyDescent="0.15">
      <c r="A610" s="1">
        <v>41</v>
      </c>
      <c r="B610" s="10" t="s">
        <v>165</v>
      </c>
      <c r="C610" s="11">
        <v>2019</v>
      </c>
      <c r="D610" s="12">
        <v>725497</v>
      </c>
      <c r="E610" s="12">
        <v>704321</v>
      </c>
      <c r="F610" s="12">
        <v>21176</v>
      </c>
      <c r="G610" s="13">
        <v>2.6</v>
      </c>
      <c r="H610" s="12">
        <v>284340</v>
      </c>
      <c r="I610" s="12">
        <v>271000</v>
      </c>
      <c r="J610" s="12">
        <v>13340</v>
      </c>
      <c r="K610" s="10">
        <v>4.6900000000000004</v>
      </c>
      <c r="L610" s="13">
        <v>2.4770380529999998</v>
      </c>
    </row>
    <row r="611" spans="1:12" x14ac:dyDescent="0.15">
      <c r="A611" s="1">
        <v>43</v>
      </c>
      <c r="B611" s="10" t="s">
        <v>166</v>
      </c>
      <c r="C611" s="11">
        <v>2019</v>
      </c>
      <c r="D611" s="12">
        <v>48379</v>
      </c>
      <c r="E611" s="12">
        <v>40453</v>
      </c>
      <c r="F611" s="12">
        <v>7926</v>
      </c>
      <c r="G611" s="13">
        <v>2.29</v>
      </c>
      <c r="H611" s="12">
        <v>20112</v>
      </c>
      <c r="I611" s="12">
        <v>17655</v>
      </c>
      <c r="J611" s="12">
        <v>2457</v>
      </c>
      <c r="K611" s="10">
        <v>12.22</v>
      </c>
      <c r="L611" s="13">
        <v>2.011386237</v>
      </c>
    </row>
    <row r="612" spans="1:12" x14ac:dyDescent="0.15">
      <c r="A612" s="1">
        <v>45</v>
      </c>
      <c r="B612" s="10" t="s">
        <v>167</v>
      </c>
      <c r="C612" s="11">
        <v>2019</v>
      </c>
      <c r="D612" s="12">
        <v>60558</v>
      </c>
      <c r="E612" s="12">
        <v>59448</v>
      </c>
      <c r="F612" s="12">
        <v>1110</v>
      </c>
      <c r="G612" s="13">
        <v>2.71</v>
      </c>
      <c r="H612" s="12">
        <v>23891</v>
      </c>
      <c r="I612" s="12">
        <v>21931</v>
      </c>
      <c r="J612" s="12">
        <v>1960</v>
      </c>
      <c r="K612" s="10">
        <v>8.1999999999999993</v>
      </c>
      <c r="L612" s="13">
        <v>2.488301034</v>
      </c>
    </row>
    <row r="613" spans="1:12" x14ac:dyDescent="0.15">
      <c r="A613" s="1">
        <v>47</v>
      </c>
      <c r="B613" s="10" t="s">
        <v>168</v>
      </c>
      <c r="C613" s="11">
        <v>2019</v>
      </c>
      <c r="D613" s="12">
        <v>5751</v>
      </c>
      <c r="E613" s="12">
        <v>5710</v>
      </c>
      <c r="F613" s="12">
        <v>41</v>
      </c>
      <c r="G613" s="13">
        <v>2.21</v>
      </c>
      <c r="H613" s="12">
        <v>3491</v>
      </c>
      <c r="I613" s="12">
        <v>2589</v>
      </c>
      <c r="J613" s="12">
        <v>902</v>
      </c>
      <c r="K613" s="10">
        <v>25.85</v>
      </c>
      <c r="L613" s="13">
        <v>1.6356344890000001</v>
      </c>
    </row>
    <row r="614" spans="1:12" x14ac:dyDescent="0.15">
      <c r="A614" s="1">
        <v>49</v>
      </c>
      <c r="B614" s="10" t="s">
        <v>169</v>
      </c>
      <c r="C614" s="11">
        <v>2019</v>
      </c>
      <c r="D614" s="12">
        <v>15408</v>
      </c>
      <c r="E614" s="12">
        <v>15207</v>
      </c>
      <c r="F614" s="12">
        <v>200</v>
      </c>
      <c r="G614" s="13">
        <v>2.2200000000000002</v>
      </c>
      <c r="H614" s="12">
        <v>16409</v>
      </c>
      <c r="I614" s="12">
        <v>6850</v>
      </c>
      <c r="J614" s="12">
        <v>9559</v>
      </c>
      <c r="K614" s="10">
        <v>58.26</v>
      </c>
      <c r="L614" s="13">
        <v>0.92674751700000002</v>
      </c>
    </row>
    <row r="615" spans="1:12" x14ac:dyDescent="0.15">
      <c r="A615" s="1">
        <v>51</v>
      </c>
      <c r="B615" s="10" t="s">
        <v>170</v>
      </c>
      <c r="C615" s="11">
        <v>2019</v>
      </c>
      <c r="D615" s="12">
        <v>16941</v>
      </c>
      <c r="E615" s="12">
        <v>15882</v>
      </c>
      <c r="F615" s="12">
        <v>1059</v>
      </c>
      <c r="G615" s="13">
        <v>2.23</v>
      </c>
      <c r="H615" s="12">
        <v>11882</v>
      </c>
      <c r="I615" s="12">
        <v>7136</v>
      </c>
      <c r="J615" s="12">
        <v>4746</v>
      </c>
      <c r="K615" s="10">
        <v>39.94</v>
      </c>
      <c r="L615" s="13">
        <v>1.336643663</v>
      </c>
    </row>
    <row r="616" spans="1:12" x14ac:dyDescent="0.15">
      <c r="A616" s="1">
        <v>53</v>
      </c>
      <c r="B616" s="10" t="s">
        <v>171</v>
      </c>
      <c r="C616" s="11">
        <v>2019</v>
      </c>
      <c r="D616" s="12">
        <v>798</v>
      </c>
      <c r="E616" s="12">
        <v>792</v>
      </c>
      <c r="F616" s="12">
        <v>6</v>
      </c>
      <c r="G616" s="13">
        <v>2.11</v>
      </c>
      <c r="H616" s="12">
        <v>1321</v>
      </c>
      <c r="I616" s="12">
        <v>375</v>
      </c>
      <c r="J616" s="12">
        <v>946</v>
      </c>
      <c r="K616" s="10">
        <v>71.58</v>
      </c>
      <c r="L616" s="13">
        <v>0.59954579900000005</v>
      </c>
    </row>
    <row r="617" spans="1:12" x14ac:dyDescent="0.15">
      <c r="A617" s="1">
        <v>55</v>
      </c>
      <c r="B617" s="10" t="s">
        <v>172</v>
      </c>
      <c r="C617" s="11">
        <v>2019</v>
      </c>
      <c r="D617" s="12">
        <v>6778</v>
      </c>
      <c r="E617" s="12">
        <v>6669</v>
      </c>
      <c r="F617" s="12">
        <v>109</v>
      </c>
      <c r="G617" s="13">
        <v>2.1</v>
      </c>
      <c r="H617" s="12">
        <v>4674</v>
      </c>
      <c r="I617" s="12">
        <v>3176</v>
      </c>
      <c r="J617" s="12">
        <v>1498</v>
      </c>
      <c r="K617" s="10">
        <v>32.049999999999997</v>
      </c>
      <c r="L617" s="13">
        <v>1.4268292680000001</v>
      </c>
    </row>
    <row r="618" spans="1:12" x14ac:dyDescent="0.15">
      <c r="A618" s="1">
        <v>57</v>
      </c>
      <c r="B618" s="10" t="s">
        <v>173</v>
      </c>
      <c r="C618" s="11">
        <v>2019</v>
      </c>
      <c r="D618" s="12">
        <v>1379</v>
      </c>
      <c r="E618" s="12">
        <v>1377</v>
      </c>
      <c r="F618" s="12">
        <v>2</v>
      </c>
      <c r="G618" s="13">
        <v>2.1</v>
      </c>
      <c r="H618" s="12">
        <v>1186</v>
      </c>
      <c r="I618" s="12">
        <v>655</v>
      </c>
      <c r="J618" s="12">
        <v>531</v>
      </c>
      <c r="K618" s="10">
        <v>44.77</v>
      </c>
      <c r="L618" s="13">
        <v>1.1610455310000001</v>
      </c>
    </row>
    <row r="619" spans="1:12" x14ac:dyDescent="0.15">
      <c r="A619" s="1">
        <v>59</v>
      </c>
      <c r="B619" s="10" t="s">
        <v>174</v>
      </c>
      <c r="C619" s="11">
        <v>2019</v>
      </c>
      <c r="D619" s="12">
        <v>582568</v>
      </c>
      <c r="E619" s="12">
        <v>573332</v>
      </c>
      <c r="F619" s="12">
        <v>9236</v>
      </c>
      <c r="G619" s="13">
        <v>2.42</v>
      </c>
      <c r="H619" s="12">
        <v>246873</v>
      </c>
      <c r="I619" s="12">
        <v>237345</v>
      </c>
      <c r="J619" s="12">
        <v>9528</v>
      </c>
      <c r="K619" s="10">
        <v>3.86</v>
      </c>
      <c r="L619" s="13">
        <v>2.3223762830000001</v>
      </c>
    </row>
    <row r="620" spans="1:12" x14ac:dyDescent="0.15">
      <c r="A620" s="1">
        <v>61</v>
      </c>
      <c r="B620" s="10" t="s">
        <v>175</v>
      </c>
      <c r="C620" s="11">
        <v>2019</v>
      </c>
      <c r="D620" s="12">
        <v>1455</v>
      </c>
      <c r="E620" s="12">
        <v>1424</v>
      </c>
      <c r="F620" s="12">
        <v>31</v>
      </c>
      <c r="G620" s="13">
        <v>2.41</v>
      </c>
      <c r="H620" s="12">
        <v>735</v>
      </c>
      <c r="I620" s="12">
        <v>592</v>
      </c>
      <c r="J620" s="12">
        <v>143</v>
      </c>
      <c r="K620" s="10">
        <v>19.489999999999998</v>
      </c>
      <c r="L620" s="13">
        <v>1.937414966</v>
      </c>
    </row>
    <row r="621" spans="1:12" x14ac:dyDescent="0.15">
      <c r="A621" s="1">
        <v>63</v>
      </c>
      <c r="B621" s="10" t="s">
        <v>176</v>
      </c>
      <c r="C621" s="11">
        <v>2019</v>
      </c>
      <c r="D621" s="12">
        <v>7182</v>
      </c>
      <c r="E621" s="12">
        <v>6990</v>
      </c>
      <c r="F621" s="12">
        <v>191</v>
      </c>
      <c r="G621" s="13">
        <v>2.42</v>
      </c>
      <c r="H621" s="12">
        <v>3409</v>
      </c>
      <c r="I621" s="12">
        <v>2886</v>
      </c>
      <c r="J621" s="12">
        <v>523</v>
      </c>
      <c r="K621" s="10">
        <v>15.36</v>
      </c>
      <c r="L621" s="13">
        <v>2.050454679</v>
      </c>
    </row>
    <row r="622" spans="1:12" x14ac:dyDescent="0.15">
      <c r="A622" s="1">
        <v>65</v>
      </c>
      <c r="B622" s="10" t="s">
        <v>177</v>
      </c>
      <c r="C622" s="11">
        <v>2019</v>
      </c>
      <c r="D622" s="12">
        <v>7555</v>
      </c>
      <c r="E622" s="12">
        <v>7459</v>
      </c>
      <c r="F622" s="12">
        <v>96</v>
      </c>
      <c r="G622" s="13">
        <v>2.39</v>
      </c>
      <c r="H622" s="12">
        <v>4302</v>
      </c>
      <c r="I622" s="12">
        <v>3124</v>
      </c>
      <c r="J622" s="12">
        <v>1178</v>
      </c>
      <c r="K622" s="10">
        <v>27.38</v>
      </c>
      <c r="L622" s="13">
        <v>1.733844723</v>
      </c>
    </row>
    <row r="623" spans="1:12" x14ac:dyDescent="0.15">
      <c r="A623" s="1">
        <v>67</v>
      </c>
      <c r="B623" s="10" t="s">
        <v>178</v>
      </c>
      <c r="C623" s="11">
        <v>2019</v>
      </c>
      <c r="D623" s="12">
        <v>55509</v>
      </c>
      <c r="E623" s="12">
        <v>53666</v>
      </c>
      <c r="F623" s="12">
        <v>1843</v>
      </c>
      <c r="G623" s="13">
        <v>2.2999999999999998</v>
      </c>
      <c r="H623" s="12">
        <v>27983</v>
      </c>
      <c r="I623" s="12">
        <v>23346</v>
      </c>
      <c r="J623" s="12">
        <v>4637</v>
      </c>
      <c r="K623" s="10">
        <v>16.57</v>
      </c>
      <c r="L623" s="13">
        <v>1.9178072399999999</v>
      </c>
    </row>
    <row r="624" spans="1:12" x14ac:dyDescent="0.15">
      <c r="A624" s="1">
        <v>69</v>
      </c>
      <c r="B624" s="10" t="s">
        <v>179</v>
      </c>
      <c r="C624" s="11">
        <v>2019</v>
      </c>
      <c r="D624" s="12">
        <v>356800</v>
      </c>
      <c r="E624" s="12">
        <v>345762</v>
      </c>
      <c r="F624" s="12">
        <v>11038</v>
      </c>
      <c r="G624" s="13">
        <v>2.41</v>
      </c>
      <c r="H624" s="12">
        <v>156745</v>
      </c>
      <c r="I624" s="12">
        <v>143552</v>
      </c>
      <c r="J624" s="12">
        <v>13193</v>
      </c>
      <c r="K624" s="10">
        <v>8.42</v>
      </c>
      <c r="L624" s="13">
        <v>2.2058885450000001</v>
      </c>
    </row>
    <row r="625" spans="1:12" x14ac:dyDescent="0.15">
      <c r="A625" s="1">
        <v>71</v>
      </c>
      <c r="B625" s="10" t="s">
        <v>180</v>
      </c>
      <c r="C625" s="11">
        <v>2019</v>
      </c>
      <c r="D625" s="12">
        <v>14643</v>
      </c>
      <c r="E625" s="12">
        <v>13929</v>
      </c>
      <c r="F625" s="12">
        <v>714</v>
      </c>
      <c r="G625" s="13">
        <v>2.19</v>
      </c>
      <c r="H625" s="12">
        <v>8027</v>
      </c>
      <c r="I625" s="12">
        <v>6363</v>
      </c>
      <c r="J625" s="12">
        <v>1664</v>
      </c>
      <c r="K625" s="10">
        <v>20.74</v>
      </c>
      <c r="L625" s="13">
        <v>1.735268469</v>
      </c>
    </row>
    <row r="626" spans="1:12" x14ac:dyDescent="0.15">
      <c r="A626" s="1">
        <v>73</v>
      </c>
      <c r="B626" s="10" t="s">
        <v>181</v>
      </c>
      <c r="C626" s="11">
        <v>2019</v>
      </c>
      <c r="D626" s="12">
        <v>5642</v>
      </c>
      <c r="E626" s="12">
        <v>4648</v>
      </c>
      <c r="F626" s="12">
        <v>994</v>
      </c>
      <c r="G626" s="13">
        <v>2.36</v>
      </c>
      <c r="H626" s="12">
        <v>2348</v>
      </c>
      <c r="I626" s="12">
        <v>1968</v>
      </c>
      <c r="J626" s="12">
        <v>380</v>
      </c>
      <c r="K626" s="10">
        <v>16.190000000000001</v>
      </c>
      <c r="L626" s="13">
        <v>1.97955707</v>
      </c>
    </row>
    <row r="627" spans="1:12" x14ac:dyDescent="0.15">
      <c r="A627" s="1">
        <v>75</v>
      </c>
      <c r="B627" s="10" t="s">
        <v>182</v>
      </c>
      <c r="C627" s="11">
        <v>2019</v>
      </c>
      <c r="D627" s="12">
        <v>21505</v>
      </c>
      <c r="E627" s="12">
        <v>18397</v>
      </c>
      <c r="F627" s="12">
        <v>3109</v>
      </c>
      <c r="G627" s="13">
        <v>2.3199999999999998</v>
      </c>
      <c r="H627" s="12">
        <v>8650</v>
      </c>
      <c r="I627" s="12">
        <v>7937</v>
      </c>
      <c r="J627" s="12">
        <v>713</v>
      </c>
      <c r="K627" s="10">
        <v>8.24</v>
      </c>
      <c r="L627" s="13">
        <v>2.1268208089999998</v>
      </c>
    </row>
    <row r="628" spans="1:12" x14ac:dyDescent="0.15">
      <c r="A628" s="1">
        <v>77</v>
      </c>
      <c r="B628" s="10" t="s">
        <v>183</v>
      </c>
      <c r="C628" s="11">
        <v>2019</v>
      </c>
      <c r="D628" s="12">
        <v>155109</v>
      </c>
      <c r="E628" s="12">
        <v>150803</v>
      </c>
      <c r="F628" s="12">
        <v>4306</v>
      </c>
      <c r="G628" s="13">
        <v>2.41</v>
      </c>
      <c r="H628" s="12">
        <v>66587</v>
      </c>
      <c r="I628" s="12">
        <v>62582</v>
      </c>
      <c r="J628" s="12">
        <v>4005</v>
      </c>
      <c r="K628" s="10">
        <v>6.01</v>
      </c>
      <c r="L628" s="13">
        <v>2.2647513780000001</v>
      </c>
    </row>
    <row r="629" spans="1:12" x14ac:dyDescent="0.15">
      <c r="A629" s="1">
        <v>79</v>
      </c>
      <c r="B629" s="10" t="s">
        <v>184</v>
      </c>
      <c r="C629" s="11">
        <v>2019</v>
      </c>
      <c r="D629" s="12">
        <v>834</v>
      </c>
      <c r="E629" s="12">
        <v>834</v>
      </c>
      <c r="F629" s="12">
        <v>0</v>
      </c>
      <c r="G629" s="13">
        <v>2.04</v>
      </c>
      <c r="H629" s="12">
        <v>1200</v>
      </c>
      <c r="I629" s="12">
        <v>409</v>
      </c>
      <c r="J629" s="12">
        <v>791</v>
      </c>
      <c r="K629" s="10">
        <v>65.88</v>
      </c>
      <c r="L629" s="13">
        <v>0.69499999999999995</v>
      </c>
    </row>
    <row r="630" spans="1:12" x14ac:dyDescent="0.15">
      <c r="A630" s="1">
        <v>81</v>
      </c>
      <c r="B630" s="10" t="s">
        <v>185</v>
      </c>
      <c r="C630" s="11">
        <v>2019</v>
      </c>
      <c r="D630" s="12">
        <v>13364</v>
      </c>
      <c r="E630" s="12">
        <v>13247</v>
      </c>
      <c r="F630" s="12">
        <v>117</v>
      </c>
      <c r="G630" s="13">
        <v>2.4700000000000002</v>
      </c>
      <c r="H630" s="12">
        <v>6072</v>
      </c>
      <c r="I630" s="12">
        <v>5373</v>
      </c>
      <c r="J630" s="12">
        <v>699</v>
      </c>
      <c r="K630" s="10">
        <v>11.51</v>
      </c>
      <c r="L630" s="13">
        <v>2.1816534910000001</v>
      </c>
    </row>
    <row r="631" spans="1:12" x14ac:dyDescent="0.15">
      <c r="A631" s="1">
        <v>83</v>
      </c>
      <c r="B631" s="10" t="s">
        <v>186</v>
      </c>
      <c r="C631" s="11">
        <v>2019</v>
      </c>
      <c r="D631" s="12">
        <v>25731</v>
      </c>
      <c r="E631" s="12">
        <v>25447</v>
      </c>
      <c r="F631" s="12">
        <v>284</v>
      </c>
      <c r="G631" s="13">
        <v>2.37</v>
      </c>
      <c r="H631" s="12">
        <v>12224</v>
      </c>
      <c r="I631" s="12">
        <v>10742</v>
      </c>
      <c r="J631" s="12">
        <v>1482</v>
      </c>
      <c r="K631" s="10">
        <v>12.12</v>
      </c>
      <c r="L631" s="13">
        <v>2.0817244760000002</v>
      </c>
    </row>
    <row r="632" spans="1:12" x14ac:dyDescent="0.15">
      <c r="A632" s="1">
        <v>85</v>
      </c>
      <c r="B632" s="10" t="s">
        <v>187</v>
      </c>
      <c r="C632" s="11">
        <v>2019</v>
      </c>
      <c r="D632" s="12">
        <v>42501</v>
      </c>
      <c r="E632" s="12">
        <v>41852</v>
      </c>
      <c r="F632" s="12">
        <v>648</v>
      </c>
      <c r="G632" s="13">
        <v>2.41</v>
      </c>
      <c r="H632" s="12">
        <v>18735</v>
      </c>
      <c r="I632" s="12">
        <v>17365</v>
      </c>
      <c r="J632" s="12">
        <v>1370</v>
      </c>
      <c r="K632" s="10">
        <v>7.31</v>
      </c>
      <c r="L632" s="13">
        <v>2.233893782</v>
      </c>
    </row>
    <row r="633" spans="1:12" x14ac:dyDescent="0.15">
      <c r="A633" s="1">
        <v>87</v>
      </c>
      <c r="B633" s="10" t="s">
        <v>188</v>
      </c>
      <c r="C633" s="11">
        <v>2019</v>
      </c>
      <c r="D633" s="12">
        <v>29130</v>
      </c>
      <c r="E633" s="12">
        <v>28656</v>
      </c>
      <c r="F633" s="12">
        <v>474</v>
      </c>
      <c r="G633" s="13">
        <v>2.74</v>
      </c>
      <c r="H633" s="12">
        <v>11393</v>
      </c>
      <c r="I633" s="12">
        <v>10466</v>
      </c>
      <c r="J633" s="12">
        <v>927</v>
      </c>
      <c r="K633" s="10">
        <v>8.14</v>
      </c>
      <c r="L633" s="13">
        <v>2.515228649</v>
      </c>
    </row>
    <row r="634" spans="1:12" x14ac:dyDescent="0.15">
      <c r="A634" s="1">
        <v>89</v>
      </c>
      <c r="B634" s="10" t="s">
        <v>189</v>
      </c>
      <c r="C634" s="11">
        <v>2019</v>
      </c>
      <c r="D634" s="12">
        <v>18736</v>
      </c>
      <c r="E634" s="12">
        <v>18316</v>
      </c>
      <c r="F634" s="12">
        <v>420</v>
      </c>
      <c r="G634" s="13">
        <v>2.38</v>
      </c>
      <c r="H634" s="12">
        <v>8707</v>
      </c>
      <c r="I634" s="12">
        <v>7697</v>
      </c>
      <c r="J634" s="12">
        <v>1010</v>
      </c>
      <c r="K634" s="10">
        <v>11.6</v>
      </c>
      <c r="L634" s="13">
        <v>2.1035948090000001</v>
      </c>
    </row>
    <row r="635" spans="1:12" x14ac:dyDescent="0.15">
      <c r="A635" s="1">
        <v>91</v>
      </c>
      <c r="B635" s="10" t="s">
        <v>190</v>
      </c>
      <c r="C635" s="11">
        <v>2019</v>
      </c>
      <c r="D635" s="12">
        <v>4887</v>
      </c>
      <c r="E635" s="12">
        <v>4887</v>
      </c>
      <c r="F635" s="12">
        <v>0</v>
      </c>
      <c r="G635" s="13">
        <v>2.13</v>
      </c>
      <c r="H635" s="12">
        <v>3289</v>
      </c>
      <c r="I635" s="12">
        <v>2295</v>
      </c>
      <c r="J635" s="12">
        <v>994</v>
      </c>
      <c r="K635" s="10">
        <v>30.22</v>
      </c>
      <c r="L635" s="13">
        <v>1.4858619639999999</v>
      </c>
    </row>
    <row r="636" spans="1:12" x14ac:dyDescent="0.15">
      <c r="A636" s="1">
        <v>93</v>
      </c>
      <c r="B636" s="10" t="s">
        <v>191</v>
      </c>
      <c r="C636" s="11">
        <v>2019</v>
      </c>
      <c r="D636" s="12">
        <v>17511</v>
      </c>
      <c r="E636" s="12">
        <v>17476</v>
      </c>
      <c r="F636" s="12">
        <v>35</v>
      </c>
      <c r="G636" s="13">
        <v>2.23</v>
      </c>
      <c r="H636" s="12">
        <v>13992</v>
      </c>
      <c r="I636" s="12">
        <v>7853</v>
      </c>
      <c r="J636" s="12">
        <v>6139</v>
      </c>
      <c r="K636" s="10">
        <v>43.88</v>
      </c>
      <c r="L636" s="13">
        <v>1.2489994280000001</v>
      </c>
    </row>
    <row r="637" spans="1:12" x14ac:dyDescent="0.15">
      <c r="A637" s="1">
        <v>95</v>
      </c>
      <c r="B637" s="10" t="s">
        <v>192</v>
      </c>
      <c r="C637" s="11">
        <v>2019</v>
      </c>
      <c r="D637" s="12">
        <v>4521</v>
      </c>
      <c r="E637" s="12">
        <v>4451</v>
      </c>
      <c r="F637" s="12">
        <v>70</v>
      </c>
      <c r="G637" s="13">
        <v>2.4500000000000002</v>
      </c>
      <c r="H637" s="12">
        <v>2021</v>
      </c>
      <c r="I637" s="12">
        <v>1818</v>
      </c>
      <c r="J637" s="12">
        <v>203</v>
      </c>
      <c r="K637" s="10">
        <v>10.06</v>
      </c>
      <c r="L637" s="13">
        <v>2.2023750620000002</v>
      </c>
    </row>
    <row r="638" spans="1:12" x14ac:dyDescent="0.15">
      <c r="A638" s="1">
        <v>97</v>
      </c>
      <c r="B638" s="10" t="s">
        <v>193</v>
      </c>
      <c r="C638" s="11">
        <v>2019</v>
      </c>
      <c r="D638" s="12">
        <v>17413</v>
      </c>
      <c r="E638" s="12">
        <v>17341</v>
      </c>
      <c r="F638" s="12">
        <v>72</v>
      </c>
      <c r="G638" s="13">
        <v>2.15</v>
      </c>
      <c r="H638" s="12">
        <v>13183</v>
      </c>
      <c r="I638" s="12">
        <v>8073</v>
      </c>
      <c r="J638" s="12">
        <v>5110</v>
      </c>
      <c r="K638" s="10">
        <v>38.76</v>
      </c>
      <c r="L638" s="13">
        <v>1.3154062049999999</v>
      </c>
    </row>
    <row r="639" spans="1:12" x14ac:dyDescent="0.15">
      <c r="A639" s="1">
        <v>99</v>
      </c>
      <c r="B639" s="10" t="s">
        <v>194</v>
      </c>
      <c r="C639" s="11">
        <v>2019</v>
      </c>
      <c r="D639" s="12">
        <v>12011</v>
      </c>
      <c r="E639" s="12">
        <v>11648</v>
      </c>
      <c r="F639" s="12">
        <v>363</v>
      </c>
      <c r="G639" s="13">
        <v>2.4300000000000002</v>
      </c>
      <c r="H639" s="12">
        <v>5433</v>
      </c>
      <c r="I639" s="12">
        <v>4794</v>
      </c>
      <c r="J639" s="12">
        <v>639</v>
      </c>
      <c r="K639" s="10">
        <v>11.76</v>
      </c>
      <c r="L639" s="13">
        <v>2.1439352110000001</v>
      </c>
    </row>
    <row r="640" spans="1:12" x14ac:dyDescent="0.15">
      <c r="A640" s="1">
        <v>101</v>
      </c>
      <c r="B640" s="10" t="s">
        <v>195</v>
      </c>
      <c r="C640" s="11">
        <v>2019</v>
      </c>
      <c r="D640" s="12">
        <v>167485</v>
      </c>
      <c r="E640" s="12">
        <v>163539</v>
      </c>
      <c r="F640" s="12">
        <v>3946</v>
      </c>
      <c r="G640" s="13">
        <v>2.4500000000000002</v>
      </c>
      <c r="H640" s="12">
        <v>71576</v>
      </c>
      <c r="I640" s="12">
        <v>66652</v>
      </c>
      <c r="J640" s="12">
        <v>4924</v>
      </c>
      <c r="K640" s="10">
        <v>6.88</v>
      </c>
      <c r="L640" s="13">
        <v>2.2848301110000002</v>
      </c>
    </row>
    <row r="641" spans="1:12" x14ac:dyDescent="0.15">
      <c r="A641" s="1">
        <v>103</v>
      </c>
      <c r="B641" s="10" t="s">
        <v>196</v>
      </c>
      <c r="C641" s="11">
        <v>2019</v>
      </c>
      <c r="D641" s="12">
        <v>6528</v>
      </c>
      <c r="E641" s="12">
        <v>6328</v>
      </c>
      <c r="F641" s="12">
        <v>200</v>
      </c>
      <c r="G641" s="13">
        <v>2.4300000000000002</v>
      </c>
      <c r="H641" s="12">
        <v>3269</v>
      </c>
      <c r="I641" s="12">
        <v>2602</v>
      </c>
      <c r="J641" s="12">
        <v>667</v>
      </c>
      <c r="K641" s="10">
        <v>20.39</v>
      </c>
      <c r="L641" s="13">
        <v>1.9357601710000001</v>
      </c>
    </row>
    <row r="642" spans="1:12" x14ac:dyDescent="0.15">
      <c r="A642" s="1">
        <v>105</v>
      </c>
      <c r="B642" s="10" t="s">
        <v>197</v>
      </c>
      <c r="C642" s="11">
        <v>2019</v>
      </c>
      <c r="D642" s="12">
        <v>11600</v>
      </c>
      <c r="E642" s="12">
        <v>11459</v>
      </c>
      <c r="F642" s="12">
        <v>140</v>
      </c>
      <c r="G642" s="13">
        <v>2.39</v>
      </c>
      <c r="H642" s="12">
        <v>6506</v>
      </c>
      <c r="I642" s="12">
        <v>4791</v>
      </c>
      <c r="J642" s="12">
        <v>1715</v>
      </c>
      <c r="K642" s="10">
        <v>26.37</v>
      </c>
      <c r="L642" s="13">
        <v>1.761297264</v>
      </c>
    </row>
    <row r="643" spans="1:12" x14ac:dyDescent="0.15">
      <c r="A643" s="1">
        <v>107</v>
      </c>
      <c r="B643" s="10" t="s">
        <v>198</v>
      </c>
      <c r="C643" s="11">
        <v>2019</v>
      </c>
      <c r="D643" s="12">
        <v>24521</v>
      </c>
      <c r="E643" s="12">
        <v>24171</v>
      </c>
      <c r="F643" s="12">
        <v>349</v>
      </c>
      <c r="G643" s="13">
        <v>2.35</v>
      </c>
      <c r="H643" s="12">
        <v>16369</v>
      </c>
      <c r="I643" s="12">
        <v>10268</v>
      </c>
      <c r="J643" s="12">
        <v>6101</v>
      </c>
      <c r="K643" s="10">
        <v>37.270000000000003</v>
      </c>
      <c r="L643" s="13">
        <v>1.4766326590000001</v>
      </c>
    </row>
    <row r="644" spans="1:12" x14ac:dyDescent="0.15">
      <c r="A644" s="1">
        <v>109</v>
      </c>
      <c r="B644" s="10" t="s">
        <v>199</v>
      </c>
      <c r="C644" s="11">
        <v>2019</v>
      </c>
      <c r="D644" s="12">
        <v>6359</v>
      </c>
      <c r="E644" s="12">
        <v>6327</v>
      </c>
      <c r="F644" s="12">
        <v>32</v>
      </c>
      <c r="G644" s="13">
        <v>2.2400000000000002</v>
      </c>
      <c r="H644" s="12">
        <v>3679</v>
      </c>
      <c r="I644" s="12">
        <v>2824</v>
      </c>
      <c r="J644" s="12">
        <v>855</v>
      </c>
      <c r="K644" s="10">
        <v>23.25</v>
      </c>
      <c r="L644" s="13">
        <v>1.7197608049999999</v>
      </c>
    </row>
    <row r="645" spans="1:12" x14ac:dyDescent="0.15">
      <c r="A645" s="1">
        <v>111</v>
      </c>
      <c r="B645" s="10" t="s">
        <v>200</v>
      </c>
      <c r="C645" s="11">
        <v>2019</v>
      </c>
      <c r="D645" s="12">
        <v>705</v>
      </c>
      <c r="E645" s="12">
        <v>705</v>
      </c>
      <c r="F645" s="12">
        <v>0</v>
      </c>
      <c r="G645" s="13">
        <v>1.92</v>
      </c>
      <c r="H645" s="12">
        <v>775</v>
      </c>
      <c r="I645" s="12">
        <v>367</v>
      </c>
      <c r="J645" s="12">
        <v>408</v>
      </c>
      <c r="K645" s="10">
        <v>52.7</v>
      </c>
      <c r="L645" s="13">
        <v>0.90967741899999999</v>
      </c>
    </row>
    <row r="646" spans="1:12" x14ac:dyDescent="0.15">
      <c r="A646" s="1">
        <v>113</v>
      </c>
      <c r="B646" s="10" t="s">
        <v>201</v>
      </c>
      <c r="C646" s="11">
        <v>2019</v>
      </c>
      <c r="D646" s="12">
        <v>8123</v>
      </c>
      <c r="E646" s="12">
        <v>7977</v>
      </c>
      <c r="F646" s="12">
        <v>146</v>
      </c>
      <c r="G646" s="13">
        <v>2.23</v>
      </c>
      <c r="H646" s="12">
        <v>6512</v>
      </c>
      <c r="I646" s="12">
        <v>3575</v>
      </c>
      <c r="J646" s="12">
        <v>2937</v>
      </c>
      <c r="K646" s="10">
        <v>45.1</v>
      </c>
      <c r="L646" s="13">
        <v>1.224969287</v>
      </c>
    </row>
    <row r="647" spans="1:12" x14ac:dyDescent="0.15">
      <c r="A647" s="1">
        <v>115</v>
      </c>
      <c r="B647" s="10" t="s">
        <v>202</v>
      </c>
      <c r="C647" s="11">
        <v>2019</v>
      </c>
      <c r="D647" s="12">
        <v>2405</v>
      </c>
      <c r="E647" s="12">
        <v>2363</v>
      </c>
      <c r="F647" s="12">
        <v>42</v>
      </c>
      <c r="G647" s="13">
        <v>2.17</v>
      </c>
      <c r="H647" s="12">
        <v>1341</v>
      </c>
      <c r="I647" s="12">
        <v>1087</v>
      </c>
      <c r="J647" s="12">
        <v>254</v>
      </c>
      <c r="K647" s="10">
        <v>18.95</v>
      </c>
      <c r="L647" s="13">
        <v>1.7621178230000001</v>
      </c>
    </row>
    <row r="648" spans="1:12" x14ac:dyDescent="0.15">
      <c r="A648" s="1">
        <v>117</v>
      </c>
      <c r="B648" s="10" t="s">
        <v>203</v>
      </c>
      <c r="C648" s="11">
        <v>2019</v>
      </c>
      <c r="D648" s="12">
        <v>31190</v>
      </c>
      <c r="E648" s="12">
        <v>30660</v>
      </c>
      <c r="F648" s="12">
        <v>530</v>
      </c>
      <c r="G648" s="13">
        <v>2.36</v>
      </c>
      <c r="H648" s="12">
        <v>31123</v>
      </c>
      <c r="I648" s="12">
        <v>13000</v>
      </c>
      <c r="J648" s="12">
        <v>18123</v>
      </c>
      <c r="K648" s="10">
        <v>58.23</v>
      </c>
      <c r="L648" s="13">
        <v>0.98512354199999996</v>
      </c>
    </row>
    <row r="649" spans="1:12" x14ac:dyDescent="0.15">
      <c r="A649" s="1">
        <v>119</v>
      </c>
      <c r="B649" s="10" t="s">
        <v>204</v>
      </c>
      <c r="C649" s="11">
        <v>2019</v>
      </c>
      <c r="D649" s="12">
        <v>24679</v>
      </c>
      <c r="E649" s="12">
        <v>24503</v>
      </c>
      <c r="F649" s="12">
        <v>176</v>
      </c>
      <c r="G649" s="13">
        <v>2.3199999999999998</v>
      </c>
      <c r="H649" s="12">
        <v>13254</v>
      </c>
      <c r="I649" s="12">
        <v>10579</v>
      </c>
      <c r="J649" s="12">
        <v>2675</v>
      </c>
      <c r="K649" s="10">
        <v>20.18</v>
      </c>
      <c r="L649" s="13">
        <v>1.8487249130000001</v>
      </c>
    </row>
    <row r="650" spans="1:12" x14ac:dyDescent="0.15">
      <c r="A650" s="1">
        <v>121</v>
      </c>
      <c r="B650" s="10" t="s">
        <v>205</v>
      </c>
      <c r="C650" s="11">
        <v>2019</v>
      </c>
      <c r="D650" s="12">
        <v>4826</v>
      </c>
      <c r="E650" s="12">
        <v>4635</v>
      </c>
      <c r="F650" s="12">
        <v>191</v>
      </c>
      <c r="G650" s="13">
        <v>2.4</v>
      </c>
      <c r="H650" s="12">
        <v>2268</v>
      </c>
      <c r="I650" s="12">
        <v>1933</v>
      </c>
      <c r="J650" s="12">
        <v>335</v>
      </c>
      <c r="K650" s="10">
        <v>14.78</v>
      </c>
      <c r="L650" s="13">
        <v>2.0436507939999999</v>
      </c>
    </row>
    <row r="651" spans="1:12" x14ac:dyDescent="0.15">
      <c r="A651" s="1">
        <v>123</v>
      </c>
      <c r="B651" s="10" t="s">
        <v>206</v>
      </c>
      <c r="C651" s="11">
        <v>2019</v>
      </c>
      <c r="D651" s="12">
        <v>322335</v>
      </c>
      <c r="E651" s="12">
        <v>316706</v>
      </c>
      <c r="F651" s="12">
        <v>5629</v>
      </c>
      <c r="G651" s="13">
        <v>2.83</v>
      </c>
      <c r="H651" s="12">
        <v>116937</v>
      </c>
      <c r="I651" s="12">
        <v>111787</v>
      </c>
      <c r="J651" s="12">
        <v>5150</v>
      </c>
      <c r="K651" s="10">
        <v>4.4000000000000004</v>
      </c>
      <c r="L651" s="13">
        <v>2.7083472300000002</v>
      </c>
    </row>
    <row r="652" spans="1:12" x14ac:dyDescent="0.15">
      <c r="A652" s="1">
        <v>125</v>
      </c>
      <c r="B652" s="10" t="s">
        <v>207</v>
      </c>
      <c r="C652" s="11">
        <v>2019</v>
      </c>
      <c r="D652" s="12">
        <v>10010</v>
      </c>
      <c r="E652" s="12">
        <v>9793</v>
      </c>
      <c r="F652" s="12">
        <v>217</v>
      </c>
      <c r="G652" s="13">
        <v>2.54</v>
      </c>
      <c r="H652" s="12">
        <v>4317</v>
      </c>
      <c r="I652" s="12">
        <v>3862</v>
      </c>
      <c r="J652" s="12">
        <v>455</v>
      </c>
      <c r="K652" s="10">
        <v>10.55</v>
      </c>
      <c r="L652" s="13">
        <v>2.2684734770000001</v>
      </c>
    </row>
    <row r="653" spans="1:12" x14ac:dyDescent="0.15">
      <c r="A653" s="1">
        <v>0</v>
      </c>
      <c r="B653" s="10" t="s">
        <v>143</v>
      </c>
      <c r="C653" s="11">
        <v>2020</v>
      </c>
      <c r="D653" s="12">
        <v>5784584</v>
      </c>
      <c r="E653" s="12">
        <v>5659934</v>
      </c>
      <c r="F653" s="12">
        <v>124650</v>
      </c>
      <c r="H653" s="12">
        <v>2501178</v>
      </c>
      <c r="L653" s="13">
        <v>2.2629073179999999</v>
      </c>
    </row>
    <row r="654" spans="1:12" x14ac:dyDescent="0.15">
      <c r="A654" s="1">
        <v>1</v>
      </c>
      <c r="B654" s="10" t="s">
        <v>144</v>
      </c>
      <c r="C654" s="11">
        <v>2020</v>
      </c>
      <c r="D654" s="12">
        <v>520433</v>
      </c>
      <c r="E654" s="12">
        <v>515957</v>
      </c>
      <c r="F654" s="12">
        <v>4476</v>
      </c>
      <c r="H654" s="12">
        <v>187288</v>
      </c>
      <c r="L654" s="13">
        <v>2.7548855240000001</v>
      </c>
    </row>
    <row r="655" spans="1:12" x14ac:dyDescent="0.15">
      <c r="A655" s="1">
        <v>3</v>
      </c>
      <c r="B655" s="10" t="s">
        <v>145</v>
      </c>
      <c r="C655" s="11">
        <v>2020</v>
      </c>
      <c r="D655" s="12">
        <v>16371</v>
      </c>
      <c r="E655" s="12">
        <v>15411</v>
      </c>
      <c r="F655" s="12">
        <v>960</v>
      </c>
      <c r="H655" s="12">
        <v>7072</v>
      </c>
      <c r="L655" s="13">
        <v>2.1791572399999999</v>
      </c>
    </row>
    <row r="656" spans="1:12" x14ac:dyDescent="0.15">
      <c r="A656" s="1">
        <v>5</v>
      </c>
      <c r="B656" s="10" t="s">
        <v>146</v>
      </c>
      <c r="C656" s="11">
        <v>2020</v>
      </c>
      <c r="D656" s="12">
        <v>655212</v>
      </c>
      <c r="E656" s="12">
        <v>649825</v>
      </c>
      <c r="F656" s="12">
        <v>5387</v>
      </c>
      <c r="H656" s="12">
        <v>263241</v>
      </c>
      <c r="L656" s="13">
        <v>2.4685554299999999</v>
      </c>
    </row>
    <row r="657" spans="1:12" x14ac:dyDescent="0.15">
      <c r="A657" s="1">
        <v>7</v>
      </c>
      <c r="B657" s="10" t="s">
        <v>147</v>
      </c>
      <c r="C657" s="11">
        <v>2020</v>
      </c>
      <c r="D657" s="12">
        <v>13428</v>
      </c>
      <c r="E657" s="12">
        <v>13330</v>
      </c>
      <c r="F657" s="12">
        <v>98</v>
      </c>
      <c r="H657" s="12">
        <v>9537</v>
      </c>
      <c r="L657" s="13">
        <v>1.3977141660000001</v>
      </c>
    </row>
    <row r="658" spans="1:12" x14ac:dyDescent="0.15">
      <c r="A658" s="1">
        <v>9</v>
      </c>
      <c r="B658" s="10" t="s">
        <v>148</v>
      </c>
      <c r="C658" s="11">
        <v>2020</v>
      </c>
      <c r="D658" s="12">
        <v>3478</v>
      </c>
      <c r="E658" s="12">
        <v>3424</v>
      </c>
      <c r="F658" s="12">
        <v>54</v>
      </c>
      <c r="H658" s="12">
        <v>1972</v>
      </c>
      <c r="L658" s="13">
        <v>1.7363083159999999</v>
      </c>
    </row>
    <row r="659" spans="1:12" x14ac:dyDescent="0.15">
      <c r="A659" s="1">
        <v>11</v>
      </c>
      <c r="B659" s="10" t="s">
        <v>149</v>
      </c>
      <c r="C659" s="11">
        <v>2020</v>
      </c>
      <c r="D659" s="12">
        <v>5477</v>
      </c>
      <c r="E659" s="12">
        <v>4071</v>
      </c>
      <c r="F659" s="12">
        <v>1406</v>
      </c>
      <c r="H659" s="12">
        <v>2136</v>
      </c>
      <c r="L659" s="13">
        <v>1.905898876</v>
      </c>
    </row>
    <row r="660" spans="1:12" x14ac:dyDescent="0.15">
      <c r="A660" s="1">
        <v>13</v>
      </c>
      <c r="B660" s="10" t="s">
        <v>150</v>
      </c>
      <c r="C660" s="11">
        <v>2020</v>
      </c>
      <c r="D660" s="12">
        <v>330923</v>
      </c>
      <c r="E660" s="12">
        <v>315633</v>
      </c>
      <c r="F660" s="12">
        <v>15290</v>
      </c>
      <c r="H660" s="12">
        <v>141291</v>
      </c>
      <c r="L660" s="13">
        <v>2.2339214809999999</v>
      </c>
    </row>
    <row r="661" spans="1:12" x14ac:dyDescent="0.15">
      <c r="A661" s="1">
        <v>14</v>
      </c>
      <c r="B661" s="10" t="s">
        <v>151</v>
      </c>
      <c r="C661" s="11">
        <v>2020</v>
      </c>
      <c r="D661" s="12">
        <v>74494</v>
      </c>
      <c r="E661" s="12">
        <v>74013</v>
      </c>
      <c r="F661" s="12">
        <v>481</v>
      </c>
      <c r="H661" s="12">
        <v>31463</v>
      </c>
      <c r="L661" s="13">
        <v>2.3523821630000001</v>
      </c>
    </row>
    <row r="662" spans="1:12" x14ac:dyDescent="0.15">
      <c r="A662" s="1">
        <v>15</v>
      </c>
      <c r="B662" s="10" t="s">
        <v>152</v>
      </c>
      <c r="C662" s="11">
        <v>2020</v>
      </c>
      <c r="D662" s="12">
        <v>19478</v>
      </c>
      <c r="E662" s="12">
        <v>18247</v>
      </c>
      <c r="F662" s="12">
        <v>1231</v>
      </c>
      <c r="H662" s="12">
        <v>10993</v>
      </c>
      <c r="L662" s="13">
        <v>1.659874466</v>
      </c>
    </row>
    <row r="663" spans="1:12" x14ac:dyDescent="0.15">
      <c r="A663" s="1">
        <v>17</v>
      </c>
      <c r="B663" s="10" t="s">
        <v>153</v>
      </c>
      <c r="C663" s="11">
        <v>2020</v>
      </c>
      <c r="D663" s="12">
        <v>1744</v>
      </c>
      <c r="E663" s="12">
        <v>1722</v>
      </c>
      <c r="F663" s="12">
        <v>22</v>
      </c>
      <c r="H663" s="12">
        <v>929</v>
      </c>
      <c r="L663" s="13">
        <v>1.853606028</v>
      </c>
    </row>
    <row r="664" spans="1:12" x14ac:dyDescent="0.15">
      <c r="A664" s="1">
        <v>19</v>
      </c>
      <c r="B664" s="10" t="s">
        <v>154</v>
      </c>
      <c r="C664" s="11">
        <v>2020</v>
      </c>
      <c r="D664" s="12">
        <v>9397</v>
      </c>
      <c r="E664" s="12">
        <v>9315</v>
      </c>
      <c r="F664" s="12">
        <v>82</v>
      </c>
      <c r="H664" s="12">
        <v>5688</v>
      </c>
      <c r="L664" s="13">
        <v>1.637658228</v>
      </c>
    </row>
    <row r="665" spans="1:12" x14ac:dyDescent="0.15">
      <c r="A665" s="1">
        <v>21</v>
      </c>
      <c r="B665" s="10" t="s">
        <v>155</v>
      </c>
      <c r="C665" s="11">
        <v>2020</v>
      </c>
      <c r="D665" s="12">
        <v>7454</v>
      </c>
      <c r="E665" s="12">
        <v>7395</v>
      </c>
      <c r="F665" s="12">
        <v>59</v>
      </c>
      <c r="H665" s="12">
        <v>4009</v>
      </c>
      <c r="L665" s="13">
        <v>1.844599651</v>
      </c>
    </row>
    <row r="666" spans="1:12" x14ac:dyDescent="0.15">
      <c r="A666" s="1">
        <v>23</v>
      </c>
      <c r="B666" s="10" t="s">
        <v>156</v>
      </c>
      <c r="C666" s="11">
        <v>2020</v>
      </c>
      <c r="D666" s="12">
        <v>3503</v>
      </c>
      <c r="E666" s="12">
        <v>3491</v>
      </c>
      <c r="F666" s="12">
        <v>12</v>
      </c>
      <c r="H666" s="12">
        <v>2424</v>
      </c>
      <c r="L666" s="13">
        <v>1.4401815179999999</v>
      </c>
    </row>
    <row r="667" spans="1:12" x14ac:dyDescent="0.15">
      <c r="A667" s="1">
        <v>25</v>
      </c>
      <c r="B667" s="10" t="s">
        <v>157</v>
      </c>
      <c r="C667" s="11">
        <v>2020</v>
      </c>
      <c r="D667" s="12">
        <v>5696</v>
      </c>
      <c r="E667" s="12">
        <v>3022</v>
      </c>
      <c r="F667" s="12">
        <v>2674</v>
      </c>
      <c r="H667" s="12">
        <v>1509</v>
      </c>
      <c r="L667" s="13">
        <v>2.002650762</v>
      </c>
    </row>
    <row r="668" spans="1:12" x14ac:dyDescent="0.15">
      <c r="A668" s="1">
        <v>27</v>
      </c>
      <c r="B668" s="10" t="s">
        <v>158</v>
      </c>
      <c r="C668" s="11">
        <v>2020</v>
      </c>
      <c r="D668" s="12">
        <v>4720</v>
      </c>
      <c r="E668" s="12">
        <v>4717</v>
      </c>
      <c r="F668" s="12">
        <v>3</v>
      </c>
      <c r="H668" s="12">
        <v>4198</v>
      </c>
      <c r="L668" s="13">
        <v>1.1236303000000001</v>
      </c>
    </row>
    <row r="669" spans="1:12" x14ac:dyDescent="0.15">
      <c r="A669" s="1">
        <v>29</v>
      </c>
      <c r="B669" s="10" t="s">
        <v>159</v>
      </c>
      <c r="C669" s="11">
        <v>2020</v>
      </c>
      <c r="D669" s="12">
        <v>31052</v>
      </c>
      <c r="E669" s="12">
        <v>30486</v>
      </c>
      <c r="F669" s="12">
        <v>566</v>
      </c>
      <c r="H669" s="12">
        <v>14794</v>
      </c>
      <c r="L669" s="13">
        <v>2.0607002840000002</v>
      </c>
    </row>
    <row r="670" spans="1:12" x14ac:dyDescent="0.15">
      <c r="A670" s="1">
        <v>31</v>
      </c>
      <c r="B670" s="10" t="s">
        <v>160</v>
      </c>
      <c r="C670" s="11">
        <v>2020</v>
      </c>
      <c r="D670" s="12">
        <v>717545</v>
      </c>
      <c r="E670" s="12">
        <v>701933</v>
      </c>
      <c r="F670" s="12">
        <v>15612</v>
      </c>
      <c r="H670" s="12">
        <v>347042</v>
      </c>
      <c r="L670" s="13">
        <v>2.0226168590000002</v>
      </c>
    </row>
    <row r="671" spans="1:12" x14ac:dyDescent="0.15">
      <c r="A671" s="1">
        <v>33</v>
      </c>
      <c r="B671" s="10" t="s">
        <v>161</v>
      </c>
      <c r="C671" s="11">
        <v>2020</v>
      </c>
      <c r="D671" s="12">
        <v>2078</v>
      </c>
      <c r="E671" s="12">
        <v>2078</v>
      </c>
      <c r="F671" s="12">
        <v>0</v>
      </c>
      <c r="H671" s="12">
        <v>1321</v>
      </c>
      <c r="L671" s="13">
        <v>1.573050719</v>
      </c>
    </row>
    <row r="672" spans="1:12" x14ac:dyDescent="0.15">
      <c r="A672" s="1">
        <v>35</v>
      </c>
      <c r="B672" s="10" t="s">
        <v>162</v>
      </c>
      <c r="C672" s="11">
        <v>2020</v>
      </c>
      <c r="D672" s="12">
        <v>360272</v>
      </c>
      <c r="E672" s="12">
        <v>358629</v>
      </c>
      <c r="F672" s="12">
        <v>1643</v>
      </c>
      <c r="H672" s="12">
        <v>136477</v>
      </c>
      <c r="L672" s="13">
        <v>2.6277614539999998</v>
      </c>
    </row>
    <row r="673" spans="1:12" x14ac:dyDescent="0.15">
      <c r="A673" s="1">
        <v>37</v>
      </c>
      <c r="B673" s="10" t="s">
        <v>163</v>
      </c>
      <c r="C673" s="11">
        <v>2020</v>
      </c>
      <c r="D673" s="12">
        <v>55667</v>
      </c>
      <c r="E673" s="12">
        <v>55568</v>
      </c>
      <c r="F673" s="12">
        <v>99</v>
      </c>
      <c r="H673" s="12">
        <v>33102</v>
      </c>
      <c r="L673" s="13">
        <v>1.6786901089999999</v>
      </c>
    </row>
    <row r="674" spans="1:12" x14ac:dyDescent="0.15">
      <c r="A674" s="1">
        <v>39</v>
      </c>
      <c r="B674" s="10" t="s">
        <v>164</v>
      </c>
      <c r="C674" s="11">
        <v>2020</v>
      </c>
      <c r="D674" s="12">
        <v>26220</v>
      </c>
      <c r="E674" s="12">
        <v>26159</v>
      </c>
      <c r="F674" s="12">
        <v>61</v>
      </c>
      <c r="H674" s="12">
        <v>9858</v>
      </c>
      <c r="L674" s="13">
        <v>2.6535808479999998</v>
      </c>
    </row>
    <row r="675" spans="1:12" x14ac:dyDescent="0.15">
      <c r="A675" s="1">
        <v>41</v>
      </c>
      <c r="B675" s="10" t="s">
        <v>165</v>
      </c>
      <c r="C675" s="11">
        <v>2020</v>
      </c>
      <c r="D675" s="12">
        <v>732366</v>
      </c>
      <c r="E675" s="12">
        <v>711877</v>
      </c>
      <c r="F675" s="12">
        <v>20489</v>
      </c>
      <c r="H675" s="12">
        <v>288421</v>
      </c>
      <c r="L675" s="13">
        <v>2.4681871289999999</v>
      </c>
    </row>
    <row r="676" spans="1:12" x14ac:dyDescent="0.15">
      <c r="A676" s="1">
        <v>43</v>
      </c>
      <c r="B676" s="10" t="s">
        <v>166</v>
      </c>
      <c r="C676" s="11">
        <v>2020</v>
      </c>
      <c r="D676" s="12">
        <v>48881</v>
      </c>
      <c r="E676" s="12">
        <v>41006</v>
      </c>
      <c r="F676" s="12">
        <v>7875</v>
      </c>
      <c r="H676" s="12">
        <v>20281</v>
      </c>
      <c r="L676" s="13">
        <v>2.0218924120000001</v>
      </c>
    </row>
    <row r="677" spans="1:12" x14ac:dyDescent="0.15">
      <c r="A677" s="1">
        <v>45</v>
      </c>
      <c r="B677" s="10" t="s">
        <v>167</v>
      </c>
      <c r="C677" s="11">
        <v>2020</v>
      </c>
      <c r="D677" s="12">
        <v>61791</v>
      </c>
      <c r="E677" s="12">
        <v>60735</v>
      </c>
      <c r="F677" s="12">
        <v>1056</v>
      </c>
      <c r="H677" s="12">
        <v>24169</v>
      </c>
      <c r="L677" s="13">
        <v>2.5129297859999999</v>
      </c>
    </row>
    <row r="678" spans="1:12" x14ac:dyDescent="0.15">
      <c r="A678" s="1">
        <v>47</v>
      </c>
      <c r="B678" s="10" t="s">
        <v>168</v>
      </c>
      <c r="C678" s="11">
        <v>2020</v>
      </c>
      <c r="D678" s="12">
        <v>5823</v>
      </c>
      <c r="E678" s="12">
        <v>5775</v>
      </c>
      <c r="F678" s="12">
        <v>48</v>
      </c>
      <c r="H678" s="12">
        <v>3523</v>
      </c>
      <c r="L678" s="13">
        <v>1.639227931</v>
      </c>
    </row>
    <row r="679" spans="1:12" x14ac:dyDescent="0.15">
      <c r="A679" s="1">
        <v>49</v>
      </c>
      <c r="B679" s="10" t="s">
        <v>169</v>
      </c>
      <c r="C679" s="11">
        <v>2020</v>
      </c>
      <c r="D679" s="12">
        <v>15748</v>
      </c>
      <c r="E679" s="12">
        <v>15536</v>
      </c>
      <c r="F679" s="12">
        <v>212</v>
      </c>
      <c r="H679" s="12">
        <v>16805</v>
      </c>
      <c r="L679" s="13">
        <v>0.92448675999999996</v>
      </c>
    </row>
    <row r="680" spans="1:12" x14ac:dyDescent="0.15">
      <c r="A680" s="1">
        <v>51</v>
      </c>
      <c r="B680" s="10" t="s">
        <v>170</v>
      </c>
      <c r="C680" s="11">
        <v>2020</v>
      </c>
      <c r="D680" s="12">
        <v>16946</v>
      </c>
      <c r="E680" s="12">
        <v>15926</v>
      </c>
      <c r="F680" s="12">
        <v>1020</v>
      </c>
      <c r="H680" s="12">
        <v>12220</v>
      </c>
      <c r="L680" s="13">
        <v>1.3032733219999999</v>
      </c>
    </row>
    <row r="681" spans="1:12" x14ac:dyDescent="0.15">
      <c r="A681" s="1">
        <v>53</v>
      </c>
      <c r="B681" s="10" t="s">
        <v>171</v>
      </c>
      <c r="C681" s="11">
        <v>2020</v>
      </c>
      <c r="D681" s="12">
        <v>792</v>
      </c>
      <c r="E681" s="12">
        <v>792</v>
      </c>
      <c r="F681" s="12">
        <v>0</v>
      </c>
      <c r="H681" s="12">
        <v>1332</v>
      </c>
      <c r="L681" s="13">
        <v>0.594594595</v>
      </c>
    </row>
    <row r="682" spans="1:12" x14ac:dyDescent="0.15">
      <c r="A682" s="1">
        <v>55</v>
      </c>
      <c r="B682" s="10" t="s">
        <v>172</v>
      </c>
      <c r="C682" s="11">
        <v>2020</v>
      </c>
      <c r="D682" s="12">
        <v>6833</v>
      </c>
      <c r="E682" s="12">
        <v>6713</v>
      </c>
      <c r="F682" s="12">
        <v>120</v>
      </c>
      <c r="H682" s="12">
        <v>4690</v>
      </c>
      <c r="L682" s="13">
        <v>1.431343284</v>
      </c>
    </row>
    <row r="683" spans="1:12" x14ac:dyDescent="0.15">
      <c r="A683" s="1">
        <v>57</v>
      </c>
      <c r="B683" s="10" t="s">
        <v>173</v>
      </c>
      <c r="C683" s="11">
        <v>2020</v>
      </c>
      <c r="D683" s="12">
        <v>1378</v>
      </c>
      <c r="E683" s="12">
        <v>1376</v>
      </c>
      <c r="F683" s="12">
        <v>2</v>
      </c>
      <c r="H683" s="12">
        <v>1191</v>
      </c>
      <c r="L683" s="13">
        <v>1.155331654</v>
      </c>
    </row>
    <row r="684" spans="1:12" x14ac:dyDescent="0.15">
      <c r="A684" s="1">
        <v>59</v>
      </c>
      <c r="B684" s="10" t="s">
        <v>174</v>
      </c>
      <c r="C684" s="11">
        <v>2020</v>
      </c>
      <c r="D684" s="12">
        <v>583063</v>
      </c>
      <c r="E684" s="12">
        <v>574379</v>
      </c>
      <c r="F684" s="12">
        <v>8684</v>
      </c>
      <c r="H684" s="12">
        <v>248886</v>
      </c>
      <c r="L684" s="13">
        <v>2.3077995549999999</v>
      </c>
    </row>
    <row r="685" spans="1:12" x14ac:dyDescent="0.15">
      <c r="A685" s="1">
        <v>61</v>
      </c>
      <c r="B685" s="10" t="s">
        <v>175</v>
      </c>
      <c r="C685" s="11">
        <v>2020</v>
      </c>
      <c r="D685" s="12">
        <v>1454</v>
      </c>
      <c r="E685" s="12">
        <v>1425</v>
      </c>
      <c r="F685" s="12">
        <v>29</v>
      </c>
      <c r="H685" s="12">
        <v>737</v>
      </c>
      <c r="L685" s="13">
        <v>1.933514247</v>
      </c>
    </row>
    <row r="686" spans="1:12" x14ac:dyDescent="0.15">
      <c r="A686" s="1">
        <v>63</v>
      </c>
      <c r="B686" s="10" t="s">
        <v>176</v>
      </c>
      <c r="C686" s="11">
        <v>2020</v>
      </c>
      <c r="D686" s="12">
        <v>7067</v>
      </c>
      <c r="E686" s="12">
        <v>6973</v>
      </c>
      <c r="F686" s="12">
        <v>94</v>
      </c>
      <c r="H686" s="12">
        <v>3411</v>
      </c>
      <c r="L686" s="13">
        <v>2.0442685429999998</v>
      </c>
    </row>
    <row r="687" spans="1:12" x14ac:dyDescent="0.15">
      <c r="A687" s="1">
        <v>65</v>
      </c>
      <c r="B687" s="10" t="s">
        <v>177</v>
      </c>
      <c r="C687" s="11">
        <v>2020</v>
      </c>
      <c r="D687" s="12">
        <v>7412</v>
      </c>
      <c r="E687" s="12">
        <v>7309</v>
      </c>
      <c r="F687" s="12">
        <v>103</v>
      </c>
      <c r="H687" s="12">
        <v>4303</v>
      </c>
      <c r="L687" s="13">
        <v>1.6985823840000001</v>
      </c>
    </row>
    <row r="688" spans="1:12" x14ac:dyDescent="0.15">
      <c r="A688" s="1">
        <v>67</v>
      </c>
      <c r="B688" s="10" t="s">
        <v>178</v>
      </c>
      <c r="C688" s="11">
        <v>2020</v>
      </c>
      <c r="D688" s="12">
        <v>55668</v>
      </c>
      <c r="E688" s="12">
        <v>53928</v>
      </c>
      <c r="F688" s="12">
        <v>1740</v>
      </c>
      <c r="H688" s="12">
        <v>28285</v>
      </c>
      <c r="L688" s="13">
        <v>1.906593601</v>
      </c>
    </row>
    <row r="689" spans="1:12" x14ac:dyDescent="0.15">
      <c r="A689" s="1">
        <v>69</v>
      </c>
      <c r="B689" s="10" t="s">
        <v>179</v>
      </c>
      <c r="C689" s="11">
        <v>2020</v>
      </c>
      <c r="D689" s="12">
        <v>359920</v>
      </c>
      <c r="E689" s="12">
        <v>348236</v>
      </c>
      <c r="F689" s="12">
        <v>11684</v>
      </c>
      <c r="H689" s="12">
        <v>159406</v>
      </c>
      <c r="L689" s="13">
        <v>2.1845852730000002</v>
      </c>
    </row>
    <row r="690" spans="1:12" x14ac:dyDescent="0.15">
      <c r="A690" s="1">
        <v>71</v>
      </c>
      <c r="B690" s="10" t="s">
        <v>180</v>
      </c>
      <c r="C690" s="11">
        <v>2020</v>
      </c>
      <c r="D690" s="12">
        <v>14479</v>
      </c>
      <c r="E690" s="12">
        <v>13850</v>
      </c>
      <c r="F690" s="12">
        <v>629</v>
      </c>
      <c r="H690" s="12">
        <v>8085</v>
      </c>
      <c r="L690" s="13">
        <v>1.7130488559999999</v>
      </c>
    </row>
    <row r="691" spans="1:12" x14ac:dyDescent="0.15">
      <c r="A691" s="1">
        <v>73</v>
      </c>
      <c r="B691" s="10" t="s">
        <v>181</v>
      </c>
      <c r="C691" s="11">
        <v>2020</v>
      </c>
      <c r="D691" s="12">
        <v>5662</v>
      </c>
      <c r="E691" s="12">
        <v>4678</v>
      </c>
      <c r="F691" s="12">
        <v>984</v>
      </c>
      <c r="H691" s="12">
        <v>2360</v>
      </c>
      <c r="L691" s="13">
        <v>1.98220339</v>
      </c>
    </row>
    <row r="692" spans="1:12" x14ac:dyDescent="0.15">
      <c r="A692" s="1">
        <v>75</v>
      </c>
      <c r="B692" s="10" t="s">
        <v>182</v>
      </c>
      <c r="C692" s="11">
        <v>2020</v>
      </c>
      <c r="D692" s="12">
        <v>21203</v>
      </c>
      <c r="E692" s="12">
        <v>18354</v>
      </c>
      <c r="F692" s="12">
        <v>2849</v>
      </c>
      <c r="H692" s="12">
        <v>8674</v>
      </c>
      <c r="L692" s="13">
        <v>2.115978787</v>
      </c>
    </row>
    <row r="693" spans="1:12" x14ac:dyDescent="0.15">
      <c r="A693" s="1">
        <v>77</v>
      </c>
      <c r="B693" s="10" t="s">
        <v>183</v>
      </c>
      <c r="C693" s="11">
        <v>2020</v>
      </c>
      <c r="D693" s="12">
        <v>155993</v>
      </c>
      <c r="E693" s="12">
        <v>152045</v>
      </c>
      <c r="F693" s="12">
        <v>3948</v>
      </c>
      <c r="H693" s="12">
        <v>67680</v>
      </c>
      <c r="L693" s="13">
        <v>2.2465277779999999</v>
      </c>
    </row>
    <row r="694" spans="1:12" x14ac:dyDescent="0.15">
      <c r="A694" s="1">
        <v>79</v>
      </c>
      <c r="B694" s="10" t="s">
        <v>184</v>
      </c>
      <c r="C694" s="11">
        <v>2020</v>
      </c>
      <c r="D694" s="12">
        <v>871</v>
      </c>
      <c r="E694" s="12">
        <v>871</v>
      </c>
      <c r="F694" s="12">
        <v>0</v>
      </c>
      <c r="H694" s="12">
        <v>1221</v>
      </c>
      <c r="L694" s="13">
        <v>0.71334971300000005</v>
      </c>
    </row>
    <row r="695" spans="1:12" x14ac:dyDescent="0.15">
      <c r="A695" s="1">
        <v>81</v>
      </c>
      <c r="B695" s="10" t="s">
        <v>185</v>
      </c>
      <c r="C695" s="11">
        <v>2020</v>
      </c>
      <c r="D695" s="12">
        <v>13265</v>
      </c>
      <c r="E695" s="12">
        <v>13145</v>
      </c>
      <c r="F695" s="12">
        <v>120</v>
      </c>
      <c r="H695" s="12">
        <v>6105</v>
      </c>
      <c r="L695" s="13">
        <v>2.1531531529999999</v>
      </c>
    </row>
    <row r="696" spans="1:12" x14ac:dyDescent="0.15">
      <c r="A696" s="1">
        <v>83</v>
      </c>
      <c r="B696" s="10" t="s">
        <v>186</v>
      </c>
      <c r="C696" s="11">
        <v>2020</v>
      </c>
      <c r="D696" s="12">
        <v>25888</v>
      </c>
      <c r="E696" s="12">
        <v>25628</v>
      </c>
      <c r="F696" s="12">
        <v>260</v>
      </c>
      <c r="H696" s="12">
        <v>12302</v>
      </c>
      <c r="L696" s="13">
        <v>2.083238498</v>
      </c>
    </row>
    <row r="697" spans="1:12" x14ac:dyDescent="0.15">
      <c r="A697" s="1">
        <v>85</v>
      </c>
      <c r="B697" s="10" t="s">
        <v>187</v>
      </c>
      <c r="C697" s="11">
        <v>2020</v>
      </c>
      <c r="D697" s="12">
        <v>42810</v>
      </c>
      <c r="E697" s="12">
        <v>42126</v>
      </c>
      <c r="F697" s="12">
        <v>684</v>
      </c>
      <c r="H697" s="12">
        <v>19029</v>
      </c>
      <c r="L697" s="13">
        <v>2.2137789689999998</v>
      </c>
    </row>
    <row r="698" spans="1:12" x14ac:dyDescent="0.15">
      <c r="A698" s="1">
        <v>87</v>
      </c>
      <c r="B698" s="10" t="s">
        <v>188</v>
      </c>
      <c r="C698" s="11">
        <v>2020</v>
      </c>
      <c r="D698" s="12">
        <v>29078</v>
      </c>
      <c r="E698" s="12">
        <v>28610</v>
      </c>
      <c r="F698" s="12">
        <v>468</v>
      </c>
      <c r="H698" s="12">
        <v>11514</v>
      </c>
      <c r="L698" s="13">
        <v>2.484801112</v>
      </c>
    </row>
    <row r="699" spans="1:12" x14ac:dyDescent="0.15">
      <c r="A699" s="1">
        <v>89</v>
      </c>
      <c r="B699" s="10" t="s">
        <v>189</v>
      </c>
      <c r="C699" s="11">
        <v>2020</v>
      </c>
      <c r="D699" s="12">
        <v>18668</v>
      </c>
      <c r="E699" s="12">
        <v>18262</v>
      </c>
      <c r="F699" s="12">
        <v>406</v>
      </c>
      <c r="H699" s="12">
        <v>8720</v>
      </c>
      <c r="L699" s="13">
        <v>2.0942660549999998</v>
      </c>
    </row>
    <row r="700" spans="1:12" x14ac:dyDescent="0.15">
      <c r="A700" s="1">
        <v>91</v>
      </c>
      <c r="B700" s="10" t="s">
        <v>190</v>
      </c>
      <c r="C700" s="11">
        <v>2020</v>
      </c>
      <c r="D700" s="12">
        <v>4876</v>
      </c>
      <c r="E700" s="12">
        <v>4876</v>
      </c>
      <c r="F700" s="12">
        <v>0</v>
      </c>
      <c r="H700" s="12">
        <v>3326</v>
      </c>
      <c r="L700" s="13">
        <v>1.466025256</v>
      </c>
    </row>
    <row r="701" spans="1:12" x14ac:dyDescent="0.15">
      <c r="A701" s="1">
        <v>93</v>
      </c>
      <c r="B701" s="10" t="s">
        <v>191</v>
      </c>
      <c r="C701" s="11">
        <v>2020</v>
      </c>
      <c r="D701" s="12">
        <v>17416</v>
      </c>
      <c r="E701" s="12">
        <v>17390</v>
      </c>
      <c r="F701" s="12">
        <v>26</v>
      </c>
      <c r="H701" s="12">
        <v>14154</v>
      </c>
      <c r="L701" s="13">
        <v>1.2286279499999999</v>
      </c>
    </row>
    <row r="702" spans="1:12" x14ac:dyDescent="0.15">
      <c r="A702" s="1">
        <v>95</v>
      </c>
      <c r="B702" s="10" t="s">
        <v>192</v>
      </c>
      <c r="C702" s="11">
        <v>2020</v>
      </c>
      <c r="D702" s="12">
        <v>4523</v>
      </c>
      <c r="E702" s="12">
        <v>4453</v>
      </c>
      <c r="F702" s="12">
        <v>70</v>
      </c>
      <c r="H702" s="12">
        <v>2026</v>
      </c>
      <c r="L702" s="13">
        <v>2.1979269499999998</v>
      </c>
    </row>
    <row r="703" spans="1:12" x14ac:dyDescent="0.15">
      <c r="A703" s="1">
        <v>97</v>
      </c>
      <c r="B703" s="10" t="s">
        <v>193</v>
      </c>
      <c r="C703" s="11">
        <v>2020</v>
      </c>
      <c r="D703" s="12">
        <v>17355</v>
      </c>
      <c r="E703" s="12">
        <v>17308</v>
      </c>
      <c r="F703" s="12">
        <v>47</v>
      </c>
      <c r="H703" s="12">
        <v>13260</v>
      </c>
      <c r="L703" s="13">
        <v>1.3052790350000001</v>
      </c>
    </row>
    <row r="704" spans="1:12" x14ac:dyDescent="0.15">
      <c r="A704" s="1">
        <v>99</v>
      </c>
      <c r="B704" s="10" t="s">
        <v>194</v>
      </c>
      <c r="C704" s="11">
        <v>2020</v>
      </c>
      <c r="D704" s="12">
        <v>12012</v>
      </c>
      <c r="E704" s="12">
        <v>11651</v>
      </c>
      <c r="F704" s="12">
        <v>361</v>
      </c>
      <c r="H704" s="12">
        <v>5438</v>
      </c>
      <c r="L704" s="13">
        <v>2.1425156310000002</v>
      </c>
    </row>
    <row r="705" spans="1:12" x14ac:dyDescent="0.15">
      <c r="A705" s="1">
        <v>101</v>
      </c>
      <c r="B705" s="10" t="s">
        <v>195</v>
      </c>
      <c r="C705" s="11">
        <v>2020</v>
      </c>
      <c r="D705" s="12">
        <v>168311</v>
      </c>
      <c r="E705" s="12">
        <v>164967</v>
      </c>
      <c r="F705" s="12">
        <v>3344</v>
      </c>
      <c r="H705" s="12">
        <v>72144</v>
      </c>
      <c r="L705" s="13">
        <v>2.2866350629999999</v>
      </c>
    </row>
    <row r="706" spans="1:12" x14ac:dyDescent="0.15">
      <c r="A706" s="1">
        <v>103</v>
      </c>
      <c r="B706" s="10" t="s">
        <v>196</v>
      </c>
      <c r="C706" s="11">
        <v>2020</v>
      </c>
      <c r="D706" s="12">
        <v>6521</v>
      </c>
      <c r="E706" s="12">
        <v>6301</v>
      </c>
      <c r="F706" s="12">
        <v>220</v>
      </c>
      <c r="H706" s="12">
        <v>3279</v>
      </c>
      <c r="L706" s="13">
        <v>1.921622446</v>
      </c>
    </row>
    <row r="707" spans="1:12" x14ac:dyDescent="0.15">
      <c r="A707" s="1">
        <v>105</v>
      </c>
      <c r="B707" s="10" t="s">
        <v>197</v>
      </c>
      <c r="C707" s="11">
        <v>2020</v>
      </c>
      <c r="D707" s="12">
        <v>11536</v>
      </c>
      <c r="E707" s="12">
        <v>11402</v>
      </c>
      <c r="F707" s="12">
        <v>134</v>
      </c>
      <c r="H707" s="12">
        <v>6533</v>
      </c>
      <c r="L707" s="13">
        <v>1.7452931270000001</v>
      </c>
    </row>
    <row r="708" spans="1:12" x14ac:dyDescent="0.15">
      <c r="A708" s="1">
        <v>107</v>
      </c>
      <c r="B708" s="10" t="s">
        <v>198</v>
      </c>
      <c r="C708" s="11">
        <v>2020</v>
      </c>
      <c r="D708" s="12">
        <v>24834</v>
      </c>
      <c r="E708" s="12">
        <v>24483</v>
      </c>
      <c r="F708" s="12">
        <v>351</v>
      </c>
      <c r="H708" s="12">
        <v>16572</v>
      </c>
      <c r="L708" s="13">
        <v>1.47737147</v>
      </c>
    </row>
    <row r="709" spans="1:12" x14ac:dyDescent="0.15">
      <c r="A709" s="1">
        <v>109</v>
      </c>
      <c r="B709" s="10" t="s">
        <v>199</v>
      </c>
      <c r="C709" s="11">
        <v>2020</v>
      </c>
      <c r="D709" s="12">
        <v>6390</v>
      </c>
      <c r="E709" s="12">
        <v>6374</v>
      </c>
      <c r="F709" s="12">
        <v>16</v>
      </c>
      <c r="H709" s="12">
        <v>3760</v>
      </c>
      <c r="L709" s="13">
        <v>1.695212766</v>
      </c>
    </row>
    <row r="710" spans="1:12" x14ac:dyDescent="0.15">
      <c r="A710" s="1">
        <v>111</v>
      </c>
      <c r="B710" s="10" t="s">
        <v>200</v>
      </c>
      <c r="C710" s="11">
        <v>2020</v>
      </c>
      <c r="D710" s="12">
        <v>711</v>
      </c>
      <c r="E710" s="12">
        <v>711</v>
      </c>
      <c r="F710" s="12">
        <v>0</v>
      </c>
      <c r="H710" s="12">
        <v>781</v>
      </c>
      <c r="L710" s="13">
        <v>0.91037131900000001</v>
      </c>
    </row>
    <row r="711" spans="1:12" x14ac:dyDescent="0.15">
      <c r="A711" s="1">
        <v>113</v>
      </c>
      <c r="B711" s="10" t="s">
        <v>201</v>
      </c>
      <c r="C711" s="11">
        <v>2020</v>
      </c>
      <c r="D711" s="12">
        <v>8055</v>
      </c>
      <c r="E711" s="12">
        <v>8050</v>
      </c>
      <c r="F711" s="12">
        <v>5</v>
      </c>
      <c r="H711" s="12">
        <v>6564</v>
      </c>
      <c r="L711" s="13">
        <v>1.2263863500000001</v>
      </c>
    </row>
    <row r="712" spans="1:12" x14ac:dyDescent="0.15">
      <c r="A712" s="1">
        <v>115</v>
      </c>
      <c r="B712" s="10" t="s">
        <v>202</v>
      </c>
      <c r="C712" s="11">
        <v>2020</v>
      </c>
      <c r="D712" s="12">
        <v>2391</v>
      </c>
      <c r="E712" s="12">
        <v>2352</v>
      </c>
      <c r="F712" s="12">
        <v>39</v>
      </c>
      <c r="H712" s="12">
        <v>1343</v>
      </c>
      <c r="L712" s="13">
        <v>1.751303053</v>
      </c>
    </row>
    <row r="713" spans="1:12" x14ac:dyDescent="0.15">
      <c r="A713" s="1">
        <v>117</v>
      </c>
      <c r="B713" s="10" t="s">
        <v>203</v>
      </c>
      <c r="C713" s="11">
        <v>2020</v>
      </c>
      <c r="D713" s="12">
        <v>30996</v>
      </c>
      <c r="E713" s="12">
        <v>30417</v>
      </c>
      <c r="F713" s="12">
        <v>579</v>
      </c>
      <c r="H713" s="12">
        <v>31416</v>
      </c>
      <c r="L713" s="13">
        <v>0.96820091699999999</v>
      </c>
    </row>
    <row r="714" spans="1:12" x14ac:dyDescent="0.15">
      <c r="A714" s="1">
        <v>119</v>
      </c>
      <c r="B714" s="10" t="s">
        <v>204</v>
      </c>
      <c r="C714" s="11">
        <v>2020</v>
      </c>
      <c r="D714" s="12">
        <v>24745</v>
      </c>
      <c r="E714" s="12">
        <v>24581</v>
      </c>
      <c r="F714" s="12">
        <v>164</v>
      </c>
      <c r="H714" s="12">
        <v>13346</v>
      </c>
      <c r="L714" s="13">
        <v>1.8418252660000001</v>
      </c>
    </row>
    <row r="715" spans="1:12" x14ac:dyDescent="0.15">
      <c r="A715" s="1">
        <v>121</v>
      </c>
      <c r="B715" s="10" t="s">
        <v>205</v>
      </c>
      <c r="C715" s="11">
        <v>2020</v>
      </c>
      <c r="D715" s="12">
        <v>4811</v>
      </c>
      <c r="E715" s="12">
        <v>4645</v>
      </c>
      <c r="F715" s="12">
        <v>166</v>
      </c>
      <c r="H715" s="12">
        <v>2278</v>
      </c>
      <c r="L715" s="13">
        <v>2.039069359</v>
      </c>
    </row>
    <row r="716" spans="1:12" x14ac:dyDescent="0.15">
      <c r="A716" s="1">
        <v>123</v>
      </c>
      <c r="B716" s="10" t="s">
        <v>206</v>
      </c>
      <c r="C716" s="11">
        <v>2020</v>
      </c>
      <c r="D716" s="12">
        <v>331423</v>
      </c>
      <c r="E716" s="12">
        <v>326233</v>
      </c>
      <c r="F716" s="12">
        <v>5190</v>
      </c>
      <c r="H716" s="12">
        <v>120949</v>
      </c>
      <c r="L716" s="13">
        <v>2.6972773650000001</v>
      </c>
    </row>
    <row r="717" spans="1:12" x14ac:dyDescent="0.15">
      <c r="A717" s="1">
        <v>125</v>
      </c>
      <c r="B717" s="10" t="s">
        <v>207</v>
      </c>
      <c r="C717" s="11">
        <v>2020</v>
      </c>
      <c r="D717" s="12">
        <v>9977</v>
      </c>
      <c r="E717" s="12">
        <v>9759</v>
      </c>
      <c r="F717" s="12">
        <v>218</v>
      </c>
      <c r="H717" s="12">
        <v>4315</v>
      </c>
      <c r="L717" s="13">
        <v>2.261645423</v>
      </c>
    </row>
    <row r="718" spans="1:12" x14ac:dyDescent="0.15">
      <c r="A718" s="1">
        <v>0</v>
      </c>
      <c r="B718" s="10" t="s">
        <v>143</v>
      </c>
      <c r="C718" s="11">
        <v>2021</v>
      </c>
      <c r="D718" s="12">
        <v>5811026</v>
      </c>
      <c r="E718" s="12">
        <v>5696338</v>
      </c>
      <c r="F718" s="12">
        <v>114688</v>
      </c>
      <c r="H718" s="12">
        <v>2542505</v>
      </c>
      <c r="L718" s="13">
        <v>2.2404431850000002</v>
      </c>
    </row>
    <row r="719" spans="1:12" x14ac:dyDescent="0.15">
      <c r="A719" s="1">
        <v>1</v>
      </c>
      <c r="B719" s="10" t="s">
        <v>144</v>
      </c>
      <c r="C719" s="11">
        <v>2021</v>
      </c>
      <c r="D719" s="12">
        <v>523417</v>
      </c>
      <c r="E719" s="12">
        <v>518896</v>
      </c>
      <c r="F719" s="12">
        <v>4521</v>
      </c>
      <c r="H719" s="12">
        <v>191198</v>
      </c>
      <c r="L719" s="13">
        <v>2.7139196019999998</v>
      </c>
    </row>
    <row r="720" spans="1:12" x14ac:dyDescent="0.15">
      <c r="A720" s="1">
        <v>3</v>
      </c>
      <c r="B720" s="10" t="s">
        <v>145</v>
      </c>
      <c r="C720" s="11">
        <v>2021</v>
      </c>
      <c r="D720" s="12">
        <v>16574</v>
      </c>
      <c r="E720" s="12">
        <v>15590</v>
      </c>
      <c r="F720" s="12">
        <v>984</v>
      </c>
      <c r="H720" s="12">
        <v>7137</v>
      </c>
      <c r="L720" s="13">
        <v>2.1843912009999999</v>
      </c>
    </row>
    <row r="721" spans="1:12" x14ac:dyDescent="0.15">
      <c r="A721" s="1">
        <v>5</v>
      </c>
      <c r="B721" s="10" t="s">
        <v>146</v>
      </c>
      <c r="C721" s="11">
        <v>2021</v>
      </c>
      <c r="D721" s="12">
        <v>656722</v>
      </c>
      <c r="E721" s="12">
        <v>651475</v>
      </c>
      <c r="F721" s="12">
        <v>5247</v>
      </c>
      <c r="H721" s="12">
        <v>266515</v>
      </c>
      <c r="L721" s="13">
        <v>2.4444215150000002</v>
      </c>
    </row>
    <row r="722" spans="1:12" x14ac:dyDescent="0.15">
      <c r="A722" s="1">
        <v>7</v>
      </c>
      <c r="B722" s="10" t="s">
        <v>147</v>
      </c>
      <c r="C722" s="11">
        <v>2021</v>
      </c>
      <c r="D722" s="12">
        <v>13812</v>
      </c>
      <c r="E722" s="12">
        <v>13720</v>
      </c>
      <c r="F722" s="12">
        <v>92</v>
      </c>
      <c r="H722" s="12">
        <v>9687</v>
      </c>
      <c r="L722" s="13">
        <v>1.4163311649999999</v>
      </c>
    </row>
    <row r="723" spans="1:12" x14ac:dyDescent="0.15">
      <c r="A723" s="1">
        <v>9</v>
      </c>
      <c r="B723" s="10" t="s">
        <v>148</v>
      </c>
      <c r="C723" s="11">
        <v>2021</v>
      </c>
      <c r="D723" s="12">
        <v>3491</v>
      </c>
      <c r="E723" s="12">
        <v>3443</v>
      </c>
      <c r="F723" s="12">
        <v>48</v>
      </c>
      <c r="H723" s="12">
        <v>1977</v>
      </c>
      <c r="L723" s="13">
        <v>1.7415275670000001</v>
      </c>
    </row>
    <row r="724" spans="1:12" x14ac:dyDescent="0.15">
      <c r="A724" s="1">
        <v>11</v>
      </c>
      <c r="B724" s="10" t="s">
        <v>149</v>
      </c>
      <c r="C724" s="11">
        <v>2021</v>
      </c>
      <c r="D724" s="12">
        <v>5334</v>
      </c>
      <c r="E724" s="12">
        <v>4166</v>
      </c>
      <c r="F724" s="12">
        <v>1168</v>
      </c>
      <c r="H724" s="12">
        <v>2143</v>
      </c>
      <c r="L724" s="13">
        <v>1.944003733</v>
      </c>
    </row>
    <row r="725" spans="1:12" x14ac:dyDescent="0.15">
      <c r="A725" s="1">
        <v>13</v>
      </c>
      <c r="B725" s="10" t="s">
        <v>150</v>
      </c>
      <c r="C725" s="11">
        <v>2021</v>
      </c>
      <c r="D725" s="12">
        <v>327080</v>
      </c>
      <c r="E725" s="12">
        <v>315126</v>
      </c>
      <c r="F725" s="12">
        <v>11954</v>
      </c>
      <c r="H725" s="12">
        <v>143362</v>
      </c>
      <c r="L725" s="13">
        <v>2.1981138659999999</v>
      </c>
    </row>
    <row r="726" spans="1:12" x14ac:dyDescent="0.15">
      <c r="A726" s="1">
        <v>14</v>
      </c>
      <c r="B726" s="10" t="s">
        <v>151</v>
      </c>
      <c r="C726" s="11">
        <v>2021</v>
      </c>
      <c r="D726" s="12">
        <v>75415</v>
      </c>
      <c r="E726" s="12">
        <v>74984</v>
      </c>
      <c r="F726" s="12">
        <v>431</v>
      </c>
      <c r="H726" s="12">
        <v>32231</v>
      </c>
      <c r="L726" s="13">
        <v>2.3264558960000001</v>
      </c>
    </row>
    <row r="727" spans="1:12" x14ac:dyDescent="0.15">
      <c r="A727" s="1">
        <v>15</v>
      </c>
      <c r="B727" s="10" t="s">
        <v>152</v>
      </c>
      <c r="C727" s="11">
        <v>2021</v>
      </c>
      <c r="D727" s="12">
        <v>19737</v>
      </c>
      <c r="E727" s="12">
        <v>18809</v>
      </c>
      <c r="F727" s="12">
        <v>928</v>
      </c>
      <c r="H727" s="12">
        <v>11322</v>
      </c>
      <c r="L727" s="13">
        <v>1.661278926</v>
      </c>
    </row>
    <row r="728" spans="1:12" x14ac:dyDescent="0.15">
      <c r="A728" s="1">
        <v>17</v>
      </c>
      <c r="B728" s="10" t="s">
        <v>153</v>
      </c>
      <c r="C728" s="11">
        <v>2021</v>
      </c>
      <c r="D728" s="12">
        <v>1716</v>
      </c>
      <c r="E728" s="12">
        <v>1690</v>
      </c>
      <c r="F728" s="12">
        <v>26</v>
      </c>
      <c r="H728" s="12">
        <v>933</v>
      </c>
      <c r="L728" s="13">
        <v>1.8113611999999999</v>
      </c>
    </row>
    <row r="729" spans="1:12" x14ac:dyDescent="0.15">
      <c r="A729" s="1">
        <v>19</v>
      </c>
      <c r="B729" s="10" t="s">
        <v>154</v>
      </c>
      <c r="C729" s="11">
        <v>2021</v>
      </c>
      <c r="D729" s="12">
        <v>9457</v>
      </c>
      <c r="E729" s="12">
        <v>9375</v>
      </c>
      <c r="F729" s="12">
        <v>82</v>
      </c>
      <c r="H729" s="12">
        <v>5771</v>
      </c>
      <c r="L729" s="13">
        <v>1.624501819</v>
      </c>
    </row>
    <row r="730" spans="1:12" x14ac:dyDescent="0.15">
      <c r="A730" s="1">
        <v>21</v>
      </c>
      <c r="B730" s="10" t="s">
        <v>155</v>
      </c>
      <c r="C730" s="11">
        <v>2021</v>
      </c>
      <c r="D730" s="12">
        <v>7586</v>
      </c>
      <c r="E730" s="12">
        <v>7535</v>
      </c>
      <c r="F730" s="12">
        <v>51</v>
      </c>
      <c r="H730" s="12">
        <v>4062</v>
      </c>
      <c r="L730" s="13">
        <v>1.8549975379999999</v>
      </c>
    </row>
    <row r="731" spans="1:12" x14ac:dyDescent="0.15">
      <c r="A731" s="1">
        <v>23</v>
      </c>
      <c r="B731" s="10" t="s">
        <v>156</v>
      </c>
      <c r="C731" s="11">
        <v>2021</v>
      </c>
      <c r="D731" s="12">
        <v>3617</v>
      </c>
      <c r="E731" s="12">
        <v>3605</v>
      </c>
      <c r="F731" s="12">
        <v>12</v>
      </c>
      <c r="H731" s="12">
        <v>2424</v>
      </c>
      <c r="L731" s="13">
        <v>1.4872112209999999</v>
      </c>
    </row>
    <row r="732" spans="1:12" x14ac:dyDescent="0.15">
      <c r="A732" s="1">
        <v>25</v>
      </c>
      <c r="B732" s="10" t="s">
        <v>157</v>
      </c>
      <c r="C732" s="11">
        <v>2021</v>
      </c>
      <c r="D732" s="12">
        <v>5744</v>
      </c>
      <c r="E732" s="12">
        <v>3143</v>
      </c>
      <c r="F732" s="12">
        <v>2601</v>
      </c>
      <c r="H732" s="12">
        <v>1521</v>
      </c>
      <c r="L732" s="13">
        <v>2.0664036819999998</v>
      </c>
    </row>
    <row r="733" spans="1:12" x14ac:dyDescent="0.15">
      <c r="A733" s="1">
        <v>27</v>
      </c>
      <c r="B733" s="10" t="s">
        <v>158</v>
      </c>
      <c r="C733" s="11">
        <v>2021</v>
      </c>
      <c r="D733" s="12">
        <v>5064</v>
      </c>
      <c r="E733" s="12">
        <v>5061</v>
      </c>
      <c r="F733" s="12">
        <v>3</v>
      </c>
      <c r="H733" s="12">
        <v>4326</v>
      </c>
      <c r="L733" s="13">
        <v>1.169902913</v>
      </c>
    </row>
    <row r="734" spans="1:12" x14ac:dyDescent="0.15">
      <c r="A734" s="1">
        <v>29</v>
      </c>
      <c r="B734" s="10" t="s">
        <v>159</v>
      </c>
      <c r="C734" s="11">
        <v>2021</v>
      </c>
      <c r="D734" s="12">
        <v>31386</v>
      </c>
      <c r="E734" s="12">
        <v>30916</v>
      </c>
      <c r="F734" s="12">
        <v>470</v>
      </c>
      <c r="H734" s="12">
        <v>14860</v>
      </c>
      <c r="L734" s="13">
        <v>2.0804845219999999</v>
      </c>
    </row>
    <row r="735" spans="1:12" x14ac:dyDescent="0.15">
      <c r="A735" s="1">
        <v>31</v>
      </c>
      <c r="B735" s="10" t="s">
        <v>160</v>
      </c>
      <c r="C735" s="11">
        <v>2021</v>
      </c>
      <c r="D735" s="12">
        <v>711375</v>
      </c>
      <c r="E735" s="12">
        <v>697456</v>
      </c>
      <c r="F735" s="12">
        <v>13919</v>
      </c>
      <c r="H735" s="12">
        <v>352130</v>
      </c>
      <c r="L735" s="13">
        <v>1.9806775910000001</v>
      </c>
    </row>
    <row r="736" spans="1:12" x14ac:dyDescent="0.15">
      <c r="A736" s="1">
        <v>33</v>
      </c>
      <c r="B736" s="10" t="s">
        <v>161</v>
      </c>
      <c r="C736" s="11">
        <v>2021</v>
      </c>
      <c r="D736" s="12">
        <v>2121</v>
      </c>
      <c r="E736" s="12">
        <v>2121</v>
      </c>
      <c r="F736" s="12">
        <v>0</v>
      </c>
      <c r="H736" s="12">
        <v>1337</v>
      </c>
      <c r="L736" s="13">
        <v>1.586387435</v>
      </c>
    </row>
    <row r="737" spans="1:12" x14ac:dyDescent="0.15">
      <c r="A737" s="1">
        <v>35</v>
      </c>
      <c r="B737" s="10" t="s">
        <v>162</v>
      </c>
      <c r="C737" s="11">
        <v>2021</v>
      </c>
      <c r="D737" s="12">
        <v>369758</v>
      </c>
      <c r="E737" s="12">
        <v>368151</v>
      </c>
      <c r="F737" s="12">
        <v>1607</v>
      </c>
      <c r="H737" s="12">
        <v>140356</v>
      </c>
      <c r="L737" s="13">
        <v>2.6229801359999998</v>
      </c>
    </row>
    <row r="738" spans="1:12" x14ac:dyDescent="0.15">
      <c r="A738" s="1">
        <v>37</v>
      </c>
      <c r="B738" s="10" t="s">
        <v>163</v>
      </c>
      <c r="C738" s="11">
        <v>2021</v>
      </c>
      <c r="D738" s="12">
        <v>55785</v>
      </c>
      <c r="E738" s="12">
        <v>55688</v>
      </c>
      <c r="F738" s="12">
        <v>97</v>
      </c>
      <c r="H738" s="12">
        <v>33694</v>
      </c>
      <c r="L738" s="13">
        <v>1.6527571670000001</v>
      </c>
    </row>
    <row r="739" spans="1:12" x14ac:dyDescent="0.15">
      <c r="A739" s="1">
        <v>39</v>
      </c>
      <c r="B739" s="10" t="s">
        <v>164</v>
      </c>
      <c r="C739" s="11">
        <v>2021</v>
      </c>
      <c r="D739" s="12">
        <v>27144</v>
      </c>
      <c r="E739" s="12">
        <v>27082</v>
      </c>
      <c r="F739" s="12">
        <v>62</v>
      </c>
      <c r="H739" s="12">
        <v>10145</v>
      </c>
      <c r="L739" s="13">
        <v>2.6694923610000001</v>
      </c>
    </row>
    <row r="740" spans="1:12" x14ac:dyDescent="0.15">
      <c r="A740" s="1">
        <v>41</v>
      </c>
      <c r="B740" s="10" t="s">
        <v>165</v>
      </c>
      <c r="C740" s="11">
        <v>2021</v>
      </c>
      <c r="D740" s="12">
        <v>737202</v>
      </c>
      <c r="E740" s="12">
        <v>718092</v>
      </c>
      <c r="F740" s="12">
        <v>19110</v>
      </c>
      <c r="H740" s="12">
        <v>295128</v>
      </c>
      <c r="L740" s="13">
        <v>2.4331544279999999</v>
      </c>
    </row>
    <row r="741" spans="1:12" x14ac:dyDescent="0.15">
      <c r="A741" s="1">
        <v>43</v>
      </c>
      <c r="B741" s="10" t="s">
        <v>166</v>
      </c>
      <c r="C741" s="11">
        <v>2021</v>
      </c>
      <c r="D741" s="12">
        <v>49249</v>
      </c>
      <c r="E741" s="12">
        <v>41707</v>
      </c>
      <c r="F741" s="12">
        <v>7542</v>
      </c>
      <c r="H741" s="12">
        <v>20408</v>
      </c>
      <c r="L741" s="13">
        <v>2.0436593489999999</v>
      </c>
    </row>
    <row r="742" spans="1:12" x14ac:dyDescent="0.15">
      <c r="A742" s="1">
        <v>45</v>
      </c>
      <c r="B742" s="10" t="s">
        <v>167</v>
      </c>
      <c r="C742" s="11">
        <v>2021</v>
      </c>
      <c r="D742" s="12">
        <v>62164</v>
      </c>
      <c r="E742" s="12">
        <v>61254</v>
      </c>
      <c r="F742" s="12">
        <v>910</v>
      </c>
      <c r="H742" s="12">
        <v>24500</v>
      </c>
      <c r="L742" s="13">
        <v>2.5001632649999999</v>
      </c>
    </row>
    <row r="743" spans="1:12" x14ac:dyDescent="0.15">
      <c r="A743" s="1">
        <v>47</v>
      </c>
      <c r="B743" s="10" t="s">
        <v>168</v>
      </c>
      <c r="C743" s="11">
        <v>2021</v>
      </c>
      <c r="D743" s="12">
        <v>5894</v>
      </c>
      <c r="E743" s="12">
        <v>5846</v>
      </c>
      <c r="F743" s="12">
        <v>48</v>
      </c>
      <c r="H743" s="12">
        <v>3543</v>
      </c>
      <c r="L743" s="13">
        <v>1.650014112</v>
      </c>
    </row>
    <row r="744" spans="1:12" x14ac:dyDescent="0.15">
      <c r="A744" s="1">
        <v>49</v>
      </c>
      <c r="B744" s="10" t="s">
        <v>169</v>
      </c>
      <c r="C744" s="11">
        <v>2021</v>
      </c>
      <c r="D744" s="12">
        <v>15860</v>
      </c>
      <c r="E744" s="12">
        <v>15648</v>
      </c>
      <c r="F744" s="12">
        <v>212</v>
      </c>
      <c r="H744" s="12">
        <v>16627</v>
      </c>
      <c r="L744" s="13">
        <v>0.941119865</v>
      </c>
    </row>
    <row r="745" spans="1:12" x14ac:dyDescent="0.15">
      <c r="A745" s="1">
        <v>51</v>
      </c>
      <c r="B745" s="10" t="s">
        <v>170</v>
      </c>
      <c r="C745" s="11">
        <v>2021</v>
      </c>
      <c r="D745" s="12">
        <v>17313</v>
      </c>
      <c r="E745" s="12">
        <v>16316</v>
      </c>
      <c r="F745" s="12">
        <v>997</v>
      </c>
      <c r="H745" s="12">
        <v>12421</v>
      </c>
      <c r="L745" s="13">
        <v>1.3135818370000001</v>
      </c>
    </row>
    <row r="746" spans="1:12" x14ac:dyDescent="0.15">
      <c r="A746" s="1">
        <v>53</v>
      </c>
      <c r="B746" s="10" t="s">
        <v>171</v>
      </c>
      <c r="C746" s="11">
        <v>2021</v>
      </c>
      <c r="D746" s="12">
        <v>778</v>
      </c>
      <c r="E746" s="12">
        <v>778</v>
      </c>
      <c r="F746" s="12">
        <v>0</v>
      </c>
      <c r="H746" s="12">
        <v>1347</v>
      </c>
      <c r="L746" s="13">
        <v>0.577579807</v>
      </c>
    </row>
    <row r="747" spans="1:12" x14ac:dyDescent="0.15">
      <c r="A747" s="1">
        <v>55</v>
      </c>
      <c r="B747" s="10" t="s">
        <v>172</v>
      </c>
      <c r="C747" s="11">
        <v>2021</v>
      </c>
      <c r="D747" s="12">
        <v>6948</v>
      </c>
      <c r="E747" s="12">
        <v>6842</v>
      </c>
      <c r="F747" s="12">
        <v>106</v>
      </c>
      <c r="H747" s="12">
        <v>4702</v>
      </c>
      <c r="L747" s="13">
        <v>1.4551254790000001</v>
      </c>
    </row>
    <row r="748" spans="1:12" x14ac:dyDescent="0.15">
      <c r="A748" s="1">
        <v>57</v>
      </c>
      <c r="B748" s="10" t="s">
        <v>173</v>
      </c>
      <c r="C748" s="11">
        <v>2021</v>
      </c>
      <c r="D748" s="12">
        <v>1358</v>
      </c>
      <c r="E748" s="12">
        <v>1356</v>
      </c>
      <c r="F748" s="12">
        <v>2</v>
      </c>
      <c r="H748" s="12">
        <v>1195</v>
      </c>
      <c r="L748" s="13">
        <v>1.134728033</v>
      </c>
    </row>
    <row r="749" spans="1:12" x14ac:dyDescent="0.15">
      <c r="A749" s="1">
        <v>59</v>
      </c>
      <c r="B749" s="10" t="s">
        <v>174</v>
      </c>
      <c r="C749" s="11">
        <v>2021</v>
      </c>
      <c r="D749" s="12">
        <v>580726</v>
      </c>
      <c r="E749" s="12">
        <v>571625</v>
      </c>
      <c r="F749" s="12">
        <v>9101</v>
      </c>
      <c r="H749" s="12">
        <v>251462</v>
      </c>
      <c r="L749" s="13">
        <v>2.2732062900000001</v>
      </c>
    </row>
    <row r="750" spans="1:12" x14ac:dyDescent="0.15">
      <c r="A750" s="1">
        <v>61</v>
      </c>
      <c r="B750" s="10" t="s">
        <v>175</v>
      </c>
      <c r="C750" s="11">
        <v>2021</v>
      </c>
      <c r="D750" s="12">
        <v>1453</v>
      </c>
      <c r="E750" s="12">
        <v>1424</v>
      </c>
      <c r="F750" s="12">
        <v>29</v>
      </c>
      <c r="H750" s="12">
        <v>742</v>
      </c>
      <c r="L750" s="13">
        <v>1.919137466</v>
      </c>
    </row>
    <row r="751" spans="1:12" x14ac:dyDescent="0.15">
      <c r="A751" s="1">
        <v>63</v>
      </c>
      <c r="B751" s="10" t="s">
        <v>176</v>
      </c>
      <c r="C751" s="11">
        <v>2021</v>
      </c>
      <c r="D751" s="12">
        <v>6929</v>
      </c>
      <c r="E751" s="12">
        <v>6838</v>
      </c>
      <c r="F751" s="12">
        <v>91</v>
      </c>
      <c r="H751" s="12">
        <v>3422</v>
      </c>
      <c r="L751" s="13">
        <v>1.998246639</v>
      </c>
    </row>
    <row r="752" spans="1:12" x14ac:dyDescent="0.15">
      <c r="A752" s="1">
        <v>65</v>
      </c>
      <c r="B752" s="10" t="s">
        <v>177</v>
      </c>
      <c r="C752" s="11">
        <v>2021</v>
      </c>
      <c r="D752" s="12">
        <v>7399</v>
      </c>
      <c r="E752" s="12">
        <v>7309</v>
      </c>
      <c r="F752" s="12">
        <v>90</v>
      </c>
      <c r="H752" s="12">
        <v>4348</v>
      </c>
      <c r="L752" s="13">
        <v>1.6810027599999999</v>
      </c>
    </row>
    <row r="753" spans="1:12" x14ac:dyDescent="0.15">
      <c r="A753" s="1">
        <v>67</v>
      </c>
      <c r="B753" s="10" t="s">
        <v>178</v>
      </c>
      <c r="C753" s="11">
        <v>2021</v>
      </c>
      <c r="D753" s="12">
        <v>56171</v>
      </c>
      <c r="E753" s="12">
        <v>54621</v>
      </c>
      <c r="F753" s="12">
        <v>1550</v>
      </c>
      <c r="H753" s="12">
        <v>28533</v>
      </c>
      <c r="L753" s="13">
        <v>1.9143097469999999</v>
      </c>
    </row>
    <row r="754" spans="1:12" x14ac:dyDescent="0.15">
      <c r="A754" s="1">
        <v>69</v>
      </c>
      <c r="B754" s="10" t="s">
        <v>179</v>
      </c>
      <c r="C754" s="11">
        <v>2021</v>
      </c>
      <c r="D754" s="12">
        <v>362774</v>
      </c>
      <c r="E754" s="12">
        <v>351596</v>
      </c>
      <c r="F754" s="12">
        <v>11178</v>
      </c>
      <c r="H754" s="12">
        <v>162284</v>
      </c>
      <c r="L754" s="13">
        <v>2.1665475340000002</v>
      </c>
    </row>
    <row r="755" spans="1:12" x14ac:dyDescent="0.15">
      <c r="A755" s="1">
        <v>71</v>
      </c>
      <c r="B755" s="10" t="s">
        <v>180</v>
      </c>
      <c r="C755" s="11">
        <v>2021</v>
      </c>
      <c r="D755" s="12">
        <v>14330</v>
      </c>
      <c r="E755" s="12">
        <v>13931</v>
      </c>
      <c r="F755" s="12">
        <v>399</v>
      </c>
      <c r="H755" s="12">
        <v>8114</v>
      </c>
      <c r="L755" s="13">
        <v>1.716909046</v>
      </c>
    </row>
    <row r="756" spans="1:12" x14ac:dyDescent="0.15">
      <c r="A756" s="1">
        <v>73</v>
      </c>
      <c r="B756" s="10" t="s">
        <v>181</v>
      </c>
      <c r="C756" s="11">
        <v>2021</v>
      </c>
      <c r="D756" s="12">
        <v>5470</v>
      </c>
      <c r="E756" s="12">
        <v>4696</v>
      </c>
      <c r="F756" s="12">
        <v>774</v>
      </c>
      <c r="H756" s="12">
        <v>2374</v>
      </c>
      <c r="L756" s="13">
        <v>1.9780960400000001</v>
      </c>
    </row>
    <row r="757" spans="1:12" x14ac:dyDescent="0.15">
      <c r="A757" s="1">
        <v>75</v>
      </c>
      <c r="B757" s="10" t="s">
        <v>182</v>
      </c>
      <c r="C757" s="11">
        <v>2021</v>
      </c>
      <c r="D757" s="12">
        <v>21089</v>
      </c>
      <c r="E757" s="12">
        <v>18415</v>
      </c>
      <c r="F757" s="12">
        <v>2674</v>
      </c>
      <c r="H757" s="12">
        <v>8687</v>
      </c>
      <c r="L757" s="13">
        <v>2.1198342349999999</v>
      </c>
    </row>
    <row r="758" spans="1:12" x14ac:dyDescent="0.15">
      <c r="A758" s="1">
        <v>77</v>
      </c>
      <c r="B758" s="10" t="s">
        <v>183</v>
      </c>
      <c r="C758" s="11">
        <v>2021</v>
      </c>
      <c r="D758" s="12">
        <v>157432</v>
      </c>
      <c r="E758" s="12">
        <v>153559</v>
      </c>
      <c r="F758" s="12">
        <v>3873</v>
      </c>
      <c r="H758" s="12">
        <v>68720</v>
      </c>
      <c r="L758" s="13">
        <v>2.234560536</v>
      </c>
    </row>
    <row r="759" spans="1:12" x14ac:dyDescent="0.15">
      <c r="A759" s="1">
        <v>79</v>
      </c>
      <c r="B759" s="10" t="s">
        <v>184</v>
      </c>
      <c r="C759" s="11">
        <v>2021</v>
      </c>
      <c r="D759" s="12">
        <v>926</v>
      </c>
      <c r="E759" s="12">
        <v>926</v>
      </c>
      <c r="F759" s="12">
        <v>0</v>
      </c>
      <c r="H759" s="12">
        <v>1290</v>
      </c>
      <c r="L759" s="13">
        <v>0.717829457</v>
      </c>
    </row>
    <row r="760" spans="1:12" x14ac:dyDescent="0.15">
      <c r="A760" s="1">
        <v>81</v>
      </c>
      <c r="B760" s="10" t="s">
        <v>185</v>
      </c>
      <c r="C760" s="11">
        <v>2021</v>
      </c>
      <c r="D760" s="12">
        <v>13161</v>
      </c>
      <c r="E760" s="12">
        <v>13051</v>
      </c>
      <c r="F760" s="12">
        <v>110</v>
      </c>
      <c r="H760" s="12">
        <v>6119</v>
      </c>
      <c r="L760" s="13">
        <v>2.132864847</v>
      </c>
    </row>
    <row r="761" spans="1:12" x14ac:dyDescent="0.15">
      <c r="A761" s="1">
        <v>83</v>
      </c>
      <c r="B761" s="10" t="s">
        <v>186</v>
      </c>
      <c r="C761" s="11">
        <v>2021</v>
      </c>
      <c r="D761" s="12">
        <v>26248</v>
      </c>
      <c r="E761" s="12">
        <v>25994</v>
      </c>
      <c r="F761" s="12">
        <v>254</v>
      </c>
      <c r="H761" s="12">
        <v>12328</v>
      </c>
      <c r="L761" s="13">
        <v>2.1085334200000001</v>
      </c>
    </row>
    <row r="762" spans="1:12" x14ac:dyDescent="0.15">
      <c r="A762" s="1">
        <v>85</v>
      </c>
      <c r="B762" s="10" t="s">
        <v>187</v>
      </c>
      <c r="C762" s="11">
        <v>2021</v>
      </c>
      <c r="D762" s="12">
        <v>43234</v>
      </c>
      <c r="E762" s="12">
        <v>42540</v>
      </c>
      <c r="F762" s="12">
        <v>694</v>
      </c>
      <c r="H762" s="12">
        <v>19330</v>
      </c>
      <c r="L762" s="13">
        <v>2.2007242630000001</v>
      </c>
    </row>
    <row r="763" spans="1:12" x14ac:dyDescent="0.15">
      <c r="A763" s="1">
        <v>87</v>
      </c>
      <c r="B763" s="10" t="s">
        <v>188</v>
      </c>
      <c r="C763" s="11">
        <v>2021</v>
      </c>
      <c r="D763" s="12">
        <v>29011</v>
      </c>
      <c r="E763" s="12">
        <v>28594</v>
      </c>
      <c r="F763" s="12">
        <v>417</v>
      </c>
      <c r="H763" s="12">
        <v>11639</v>
      </c>
      <c r="L763" s="13">
        <v>2.4567402700000001</v>
      </c>
    </row>
    <row r="764" spans="1:12" x14ac:dyDescent="0.15">
      <c r="A764" s="1">
        <v>89</v>
      </c>
      <c r="B764" s="10" t="s">
        <v>189</v>
      </c>
      <c r="C764" s="11">
        <v>2021</v>
      </c>
      <c r="D764" s="12">
        <v>18523</v>
      </c>
      <c r="E764" s="12">
        <v>18180</v>
      </c>
      <c r="F764" s="12">
        <v>343</v>
      </c>
      <c r="H764" s="12">
        <v>8723</v>
      </c>
      <c r="L764" s="13">
        <v>2.0841453630000002</v>
      </c>
    </row>
    <row r="765" spans="1:12" x14ac:dyDescent="0.15">
      <c r="A765" s="1">
        <v>91</v>
      </c>
      <c r="B765" s="10" t="s">
        <v>190</v>
      </c>
      <c r="C765" s="11">
        <v>2021</v>
      </c>
      <c r="D765" s="12">
        <v>5051</v>
      </c>
      <c r="E765" s="12">
        <v>5051</v>
      </c>
      <c r="F765" s="12">
        <v>0</v>
      </c>
      <c r="H765" s="12">
        <v>3391</v>
      </c>
      <c r="L765" s="13">
        <v>1.4895311120000001</v>
      </c>
    </row>
    <row r="766" spans="1:12" x14ac:dyDescent="0.15">
      <c r="A766" s="1">
        <v>93</v>
      </c>
      <c r="B766" s="10" t="s">
        <v>191</v>
      </c>
      <c r="C766" s="11">
        <v>2021</v>
      </c>
      <c r="D766" s="12">
        <v>17735</v>
      </c>
      <c r="E766" s="12">
        <v>17709</v>
      </c>
      <c r="F766" s="12">
        <v>26</v>
      </c>
      <c r="H766" s="12">
        <v>14327</v>
      </c>
      <c r="L766" s="13">
        <v>1.2360577930000001</v>
      </c>
    </row>
    <row r="767" spans="1:12" x14ac:dyDescent="0.15">
      <c r="A767" s="1">
        <v>95</v>
      </c>
      <c r="B767" s="10" t="s">
        <v>192</v>
      </c>
      <c r="C767" s="11">
        <v>2021</v>
      </c>
      <c r="D767" s="12">
        <v>4498</v>
      </c>
      <c r="E767" s="12">
        <v>4439</v>
      </c>
      <c r="F767" s="12">
        <v>59</v>
      </c>
      <c r="H767" s="12">
        <v>2029</v>
      </c>
      <c r="L767" s="13">
        <v>2.18777723</v>
      </c>
    </row>
    <row r="768" spans="1:12" x14ac:dyDescent="0.15">
      <c r="A768" s="1">
        <v>97</v>
      </c>
      <c r="B768" s="10" t="s">
        <v>193</v>
      </c>
      <c r="C768" s="11">
        <v>2021</v>
      </c>
      <c r="D768" s="12">
        <v>17336</v>
      </c>
      <c r="E768" s="12">
        <v>17289</v>
      </c>
      <c r="F768" s="12">
        <v>47</v>
      </c>
      <c r="H768" s="12">
        <v>13315</v>
      </c>
      <c r="L768" s="13">
        <v>1.2984603830000001</v>
      </c>
    </row>
    <row r="769" spans="1:12" x14ac:dyDescent="0.15">
      <c r="A769" s="1">
        <v>99</v>
      </c>
      <c r="B769" s="10" t="s">
        <v>194</v>
      </c>
      <c r="C769" s="11">
        <v>2021</v>
      </c>
      <c r="D769" s="12">
        <v>11985</v>
      </c>
      <c r="E769" s="12">
        <v>11644</v>
      </c>
      <c r="F769" s="12">
        <v>341</v>
      </c>
      <c r="H769" s="12">
        <v>5466</v>
      </c>
      <c r="L769" s="13">
        <v>2.130259788</v>
      </c>
    </row>
    <row r="770" spans="1:12" x14ac:dyDescent="0.15">
      <c r="A770" s="1">
        <v>101</v>
      </c>
      <c r="B770" s="10" t="s">
        <v>195</v>
      </c>
      <c r="C770" s="11">
        <v>2021</v>
      </c>
      <c r="D770" s="12">
        <v>169272</v>
      </c>
      <c r="E770" s="12">
        <v>166035</v>
      </c>
      <c r="F770" s="12">
        <v>3237</v>
      </c>
      <c r="H770" s="12">
        <v>73047</v>
      </c>
      <c r="L770" s="13">
        <v>2.2729886239999999</v>
      </c>
    </row>
    <row r="771" spans="1:12" x14ac:dyDescent="0.15">
      <c r="A771" s="1">
        <v>103</v>
      </c>
      <c r="B771" s="10" t="s">
        <v>196</v>
      </c>
      <c r="C771" s="11">
        <v>2021</v>
      </c>
      <c r="D771" s="12">
        <v>6443</v>
      </c>
      <c r="E771" s="12">
        <v>6258</v>
      </c>
      <c r="F771" s="12">
        <v>185</v>
      </c>
      <c r="H771" s="12">
        <v>3284</v>
      </c>
      <c r="L771" s="13">
        <v>1.905602923</v>
      </c>
    </row>
    <row r="772" spans="1:12" x14ac:dyDescent="0.15">
      <c r="A772" s="1">
        <v>105</v>
      </c>
      <c r="B772" s="10" t="s">
        <v>197</v>
      </c>
      <c r="C772" s="11">
        <v>2021</v>
      </c>
      <c r="D772" s="12">
        <v>11404</v>
      </c>
      <c r="E772" s="12">
        <v>11280</v>
      </c>
      <c r="F772" s="12">
        <v>124</v>
      </c>
      <c r="H772" s="12">
        <v>6563</v>
      </c>
      <c r="L772" s="13">
        <v>1.7187261920000001</v>
      </c>
    </row>
    <row r="773" spans="1:12" x14ac:dyDescent="0.15">
      <c r="A773" s="1">
        <v>107</v>
      </c>
      <c r="B773" s="10" t="s">
        <v>198</v>
      </c>
      <c r="C773" s="11">
        <v>2021</v>
      </c>
      <c r="D773" s="12">
        <v>25061</v>
      </c>
      <c r="E773" s="12">
        <v>24779</v>
      </c>
      <c r="F773" s="12">
        <v>282</v>
      </c>
      <c r="H773" s="12">
        <v>16824</v>
      </c>
      <c r="L773" s="13">
        <v>1.472836424</v>
      </c>
    </row>
    <row r="774" spans="1:12" x14ac:dyDescent="0.15">
      <c r="A774" s="1">
        <v>109</v>
      </c>
      <c r="B774" s="10" t="s">
        <v>199</v>
      </c>
      <c r="C774" s="11">
        <v>2021</v>
      </c>
      <c r="D774" s="12">
        <v>6507</v>
      </c>
      <c r="E774" s="12">
        <v>6491</v>
      </c>
      <c r="F774" s="12">
        <v>16</v>
      </c>
      <c r="H774" s="12">
        <v>3814</v>
      </c>
      <c r="L774" s="13">
        <v>1.701887782</v>
      </c>
    </row>
    <row r="775" spans="1:12" x14ac:dyDescent="0.15">
      <c r="A775" s="1">
        <v>111</v>
      </c>
      <c r="B775" s="10" t="s">
        <v>200</v>
      </c>
      <c r="C775" s="11">
        <v>2021</v>
      </c>
      <c r="D775" s="12">
        <v>741</v>
      </c>
      <c r="E775" s="12">
        <v>741</v>
      </c>
      <c r="F775" s="12">
        <v>0</v>
      </c>
      <c r="H775" s="12">
        <v>788</v>
      </c>
      <c r="L775" s="13">
        <v>0.94035533000000004</v>
      </c>
    </row>
    <row r="776" spans="1:12" x14ac:dyDescent="0.15">
      <c r="A776" s="1">
        <v>113</v>
      </c>
      <c r="B776" s="10" t="s">
        <v>201</v>
      </c>
      <c r="C776" s="11">
        <v>2021</v>
      </c>
      <c r="D776" s="12">
        <v>8078</v>
      </c>
      <c r="E776" s="12">
        <v>8073</v>
      </c>
      <c r="F776" s="12">
        <v>5</v>
      </c>
      <c r="H776" s="12">
        <v>6595</v>
      </c>
      <c r="L776" s="13">
        <v>1.2241091740000001</v>
      </c>
    </row>
    <row r="777" spans="1:12" x14ac:dyDescent="0.15">
      <c r="A777" s="1">
        <v>115</v>
      </c>
      <c r="B777" s="10" t="s">
        <v>202</v>
      </c>
      <c r="C777" s="11">
        <v>2021</v>
      </c>
      <c r="D777" s="12">
        <v>2330</v>
      </c>
      <c r="E777" s="12">
        <v>2293</v>
      </c>
      <c r="F777" s="12">
        <v>37</v>
      </c>
      <c r="H777" s="12">
        <v>1343</v>
      </c>
      <c r="L777" s="13">
        <v>1.707371556</v>
      </c>
    </row>
    <row r="778" spans="1:12" x14ac:dyDescent="0.15">
      <c r="A778" s="1">
        <v>117</v>
      </c>
      <c r="B778" s="10" t="s">
        <v>203</v>
      </c>
      <c r="C778" s="11">
        <v>2021</v>
      </c>
      <c r="D778" s="12">
        <v>30994</v>
      </c>
      <c r="E778" s="12">
        <v>30415</v>
      </c>
      <c r="F778" s="12">
        <v>579</v>
      </c>
      <c r="H778" s="12">
        <v>31737</v>
      </c>
      <c r="L778" s="13">
        <v>0.95834514900000001</v>
      </c>
    </row>
    <row r="779" spans="1:12" x14ac:dyDescent="0.15">
      <c r="A779" s="1">
        <v>119</v>
      </c>
      <c r="B779" s="10" t="s">
        <v>204</v>
      </c>
      <c r="C779" s="11">
        <v>2021</v>
      </c>
      <c r="D779" s="12">
        <v>24947</v>
      </c>
      <c r="E779" s="12">
        <v>24784</v>
      </c>
      <c r="F779" s="12">
        <v>163</v>
      </c>
      <c r="H779" s="12">
        <v>13509</v>
      </c>
      <c r="L779" s="13">
        <v>1.834628766</v>
      </c>
    </row>
    <row r="780" spans="1:12" x14ac:dyDescent="0.15">
      <c r="A780" s="1">
        <v>121</v>
      </c>
      <c r="B780" s="10" t="s">
        <v>205</v>
      </c>
      <c r="C780" s="11">
        <v>2021</v>
      </c>
      <c r="D780" s="12">
        <v>4870</v>
      </c>
      <c r="E780" s="12">
        <v>4705</v>
      </c>
      <c r="F780" s="12">
        <v>165</v>
      </c>
      <c r="H780" s="12">
        <v>2287</v>
      </c>
      <c r="L780" s="13">
        <v>2.0572802800000001</v>
      </c>
    </row>
    <row r="781" spans="1:12" x14ac:dyDescent="0.15">
      <c r="A781" s="1">
        <v>123</v>
      </c>
      <c r="B781" s="10" t="s">
        <v>206</v>
      </c>
      <c r="C781" s="11">
        <v>2021</v>
      </c>
      <c r="D781" s="12">
        <v>339865</v>
      </c>
      <c r="E781" s="12">
        <v>335432</v>
      </c>
      <c r="F781" s="12">
        <v>4433</v>
      </c>
      <c r="H781" s="12">
        <v>124749</v>
      </c>
      <c r="L781" s="13">
        <v>2.6888552209999999</v>
      </c>
    </row>
    <row r="782" spans="1:12" x14ac:dyDescent="0.15">
      <c r="A782" s="1">
        <v>125</v>
      </c>
      <c r="B782" s="10" t="s">
        <v>207</v>
      </c>
      <c r="C782" s="11">
        <v>2021</v>
      </c>
      <c r="D782" s="12">
        <v>9932</v>
      </c>
      <c r="E782" s="12">
        <v>9750</v>
      </c>
      <c r="F782" s="12">
        <v>182</v>
      </c>
      <c r="H782" s="12">
        <v>4320</v>
      </c>
      <c r="L782" s="13">
        <v>2.2569444440000002</v>
      </c>
    </row>
    <row r="783" spans="1:12" x14ac:dyDescent="0.15">
      <c r="A783" s="1">
        <v>0</v>
      </c>
      <c r="B783" s="10" t="s">
        <v>143</v>
      </c>
      <c r="C783" s="11">
        <v>2022</v>
      </c>
      <c r="D783" s="12">
        <v>5838736</v>
      </c>
      <c r="E783" s="12">
        <v>5715606</v>
      </c>
      <c r="F783" s="12">
        <v>123130</v>
      </c>
      <c r="H783" s="12">
        <v>2598686</v>
      </c>
      <c r="L783" s="13">
        <v>2.1994215540000002</v>
      </c>
    </row>
    <row r="784" spans="1:12" x14ac:dyDescent="0.15">
      <c r="A784" s="1">
        <v>1</v>
      </c>
      <c r="B784" s="10" t="s">
        <v>144</v>
      </c>
      <c r="C784" s="11">
        <v>2022</v>
      </c>
      <c r="D784" s="12">
        <v>527501</v>
      </c>
      <c r="E784" s="12">
        <v>522937</v>
      </c>
      <c r="F784" s="12">
        <v>4564</v>
      </c>
      <c r="H784" s="12">
        <v>196741</v>
      </c>
      <c r="L784" s="13">
        <v>2.6579970620000002</v>
      </c>
    </row>
    <row r="785" spans="1:12" x14ac:dyDescent="0.15">
      <c r="A785" s="1">
        <v>3</v>
      </c>
      <c r="B785" s="10" t="s">
        <v>145</v>
      </c>
      <c r="C785" s="11">
        <v>2022</v>
      </c>
      <c r="D785" s="12">
        <v>16575</v>
      </c>
      <c r="E785" s="12">
        <v>15609</v>
      </c>
      <c r="F785" s="12">
        <v>966</v>
      </c>
      <c r="H785" s="12">
        <v>7250</v>
      </c>
      <c r="L785" s="13">
        <v>2.1529655170000002</v>
      </c>
    </row>
    <row r="786" spans="1:12" x14ac:dyDescent="0.15">
      <c r="A786" s="1">
        <v>5</v>
      </c>
      <c r="B786" s="10" t="s">
        <v>146</v>
      </c>
      <c r="C786" s="11">
        <v>2022</v>
      </c>
      <c r="D786" s="12">
        <v>656015</v>
      </c>
      <c r="E786" s="12">
        <v>650714</v>
      </c>
      <c r="F786" s="12">
        <v>5301</v>
      </c>
      <c r="H786" s="12">
        <v>270939</v>
      </c>
      <c r="L786" s="13">
        <v>2.4016992749999999</v>
      </c>
    </row>
    <row r="787" spans="1:12" x14ac:dyDescent="0.15">
      <c r="A787" s="1">
        <v>7</v>
      </c>
      <c r="B787" s="10" t="s">
        <v>147</v>
      </c>
      <c r="C787" s="11">
        <v>2022</v>
      </c>
      <c r="D787" s="12">
        <v>13986</v>
      </c>
      <c r="E787" s="12">
        <v>13898</v>
      </c>
      <c r="F787" s="12">
        <v>88</v>
      </c>
      <c r="H787" s="12">
        <v>9879</v>
      </c>
      <c r="L787" s="13">
        <v>1.406822553</v>
      </c>
    </row>
    <row r="788" spans="1:12" x14ac:dyDescent="0.15">
      <c r="A788" s="1">
        <v>9</v>
      </c>
      <c r="B788" s="10" t="s">
        <v>148</v>
      </c>
      <c r="C788" s="11">
        <v>2022</v>
      </c>
      <c r="D788" s="12">
        <v>3431</v>
      </c>
      <c r="E788" s="12">
        <v>3383</v>
      </c>
      <c r="F788" s="12">
        <v>48</v>
      </c>
      <c r="H788" s="12">
        <v>1981</v>
      </c>
      <c r="L788" s="13">
        <v>1.707723372</v>
      </c>
    </row>
    <row r="789" spans="1:12" x14ac:dyDescent="0.15">
      <c r="A789" s="1">
        <v>11</v>
      </c>
      <c r="B789" s="10" t="s">
        <v>149</v>
      </c>
      <c r="C789" s="11">
        <v>2022</v>
      </c>
      <c r="D789" s="12">
        <v>5400</v>
      </c>
      <c r="E789" s="12">
        <v>4105</v>
      </c>
      <c r="F789" s="12">
        <v>1295</v>
      </c>
      <c r="H789" s="12">
        <v>2171</v>
      </c>
      <c r="L789" s="13">
        <v>1.890833717</v>
      </c>
    </row>
    <row r="790" spans="1:12" x14ac:dyDescent="0.15">
      <c r="A790" s="1">
        <v>13</v>
      </c>
      <c r="B790" s="10" t="s">
        <v>150</v>
      </c>
      <c r="C790" s="11">
        <v>2022</v>
      </c>
      <c r="D790" s="12">
        <v>327424</v>
      </c>
      <c r="E790" s="12">
        <v>313031</v>
      </c>
      <c r="F790" s="12">
        <v>14393</v>
      </c>
      <c r="H790" s="12">
        <v>144094</v>
      </c>
      <c r="L790" s="13">
        <v>2.1724082889999998</v>
      </c>
    </row>
    <row r="791" spans="1:12" x14ac:dyDescent="0.15">
      <c r="A791" s="1">
        <v>14</v>
      </c>
      <c r="B791" s="10" t="s">
        <v>151</v>
      </c>
      <c r="C791" s="11">
        <v>2022</v>
      </c>
      <c r="D791" s="12">
        <v>76155</v>
      </c>
      <c r="E791" s="12">
        <v>75704</v>
      </c>
      <c r="F791" s="12">
        <v>451</v>
      </c>
      <c r="H791" s="12">
        <v>33645</v>
      </c>
      <c r="L791" s="13">
        <v>2.2500817359999998</v>
      </c>
    </row>
    <row r="792" spans="1:12" x14ac:dyDescent="0.15">
      <c r="A792" s="1">
        <v>15</v>
      </c>
      <c r="B792" s="10" t="s">
        <v>152</v>
      </c>
      <c r="C792" s="11">
        <v>2022</v>
      </c>
      <c r="D792" s="12">
        <v>20261</v>
      </c>
      <c r="E792" s="12">
        <v>19071</v>
      </c>
      <c r="F792" s="12">
        <v>1190</v>
      </c>
      <c r="H792" s="12">
        <v>11903</v>
      </c>
      <c r="L792" s="13">
        <v>1.602201126</v>
      </c>
    </row>
    <row r="793" spans="1:12" x14ac:dyDescent="0.15">
      <c r="A793" s="1">
        <v>17</v>
      </c>
      <c r="B793" s="10" t="s">
        <v>153</v>
      </c>
      <c r="C793" s="11">
        <v>2022</v>
      </c>
      <c r="D793" s="12">
        <v>1722</v>
      </c>
      <c r="E793" s="12">
        <v>1698</v>
      </c>
      <c r="F793" s="12">
        <v>24</v>
      </c>
      <c r="H793" s="12">
        <v>945</v>
      </c>
      <c r="L793" s="13">
        <v>1.7968253970000001</v>
      </c>
    </row>
    <row r="794" spans="1:12" x14ac:dyDescent="0.15">
      <c r="A794" s="1">
        <v>19</v>
      </c>
      <c r="B794" s="10" t="s">
        <v>154</v>
      </c>
      <c r="C794" s="11">
        <v>2022</v>
      </c>
      <c r="D794" s="12">
        <v>9366</v>
      </c>
      <c r="E794" s="12">
        <v>9284</v>
      </c>
      <c r="F794" s="12">
        <v>82</v>
      </c>
      <c r="H794" s="12">
        <v>5868</v>
      </c>
      <c r="L794" s="13">
        <v>1.582140423</v>
      </c>
    </row>
    <row r="795" spans="1:12" x14ac:dyDescent="0.15">
      <c r="A795" s="1">
        <v>21</v>
      </c>
      <c r="B795" s="10" t="s">
        <v>155</v>
      </c>
      <c r="C795" s="11">
        <v>2022</v>
      </c>
      <c r="D795" s="12">
        <v>7572</v>
      </c>
      <c r="E795" s="12">
        <v>7524</v>
      </c>
      <c r="F795" s="12">
        <v>48</v>
      </c>
      <c r="H795" s="12">
        <v>4119</v>
      </c>
      <c r="L795" s="13">
        <v>1.8266569560000001</v>
      </c>
    </row>
    <row r="796" spans="1:12" x14ac:dyDescent="0.15">
      <c r="A796" s="1">
        <v>23</v>
      </c>
      <c r="B796" s="10" t="s">
        <v>156</v>
      </c>
      <c r="C796" s="11">
        <v>2022</v>
      </c>
      <c r="D796" s="12">
        <v>3614</v>
      </c>
      <c r="E796" s="12">
        <v>3602</v>
      </c>
      <c r="F796" s="12">
        <v>12</v>
      </c>
      <c r="H796" s="12">
        <v>2424</v>
      </c>
      <c r="L796" s="13">
        <v>1.4859735970000001</v>
      </c>
    </row>
    <row r="797" spans="1:12" x14ac:dyDescent="0.15">
      <c r="A797" s="1">
        <v>25</v>
      </c>
      <c r="B797" s="10" t="s">
        <v>157</v>
      </c>
      <c r="C797" s="11">
        <v>2022</v>
      </c>
      <c r="D797" s="12">
        <v>5620</v>
      </c>
      <c r="E797" s="12">
        <v>3116</v>
      </c>
      <c r="F797" s="12">
        <v>2504</v>
      </c>
      <c r="H797" s="12">
        <v>1535</v>
      </c>
      <c r="L797" s="13">
        <v>2.0299674269999999</v>
      </c>
    </row>
    <row r="798" spans="1:12" x14ac:dyDescent="0.15">
      <c r="A798" s="1">
        <v>27</v>
      </c>
      <c r="B798" s="10" t="s">
        <v>158</v>
      </c>
      <c r="C798" s="11">
        <v>2022</v>
      </c>
      <c r="D798" s="12">
        <v>5338</v>
      </c>
      <c r="E798" s="12">
        <v>5335</v>
      </c>
      <c r="F798" s="12">
        <v>3</v>
      </c>
      <c r="H798" s="12">
        <v>4470</v>
      </c>
      <c r="L798" s="13">
        <v>1.193512304</v>
      </c>
    </row>
    <row r="799" spans="1:12" x14ac:dyDescent="0.15">
      <c r="A799" s="1">
        <v>29</v>
      </c>
      <c r="B799" s="10" t="s">
        <v>159</v>
      </c>
      <c r="C799" s="11">
        <v>2022</v>
      </c>
      <c r="D799" s="12">
        <v>31581</v>
      </c>
      <c r="E799" s="12">
        <v>31086</v>
      </c>
      <c r="F799" s="12">
        <v>495</v>
      </c>
      <c r="H799" s="12">
        <v>15081</v>
      </c>
      <c r="L799" s="13">
        <v>2.061269147</v>
      </c>
    </row>
    <row r="800" spans="1:12" x14ac:dyDescent="0.15">
      <c r="A800" s="1">
        <v>31</v>
      </c>
      <c r="B800" s="10" t="s">
        <v>160</v>
      </c>
      <c r="C800" s="11">
        <v>2022</v>
      </c>
      <c r="D800" s="12">
        <v>712637</v>
      </c>
      <c r="E800" s="12">
        <v>697243</v>
      </c>
      <c r="F800" s="12">
        <v>15394</v>
      </c>
      <c r="H800" s="12">
        <v>360938</v>
      </c>
      <c r="L800" s="13">
        <v>1.931752822</v>
      </c>
    </row>
    <row r="801" spans="1:12" x14ac:dyDescent="0.15">
      <c r="A801" s="1">
        <v>33</v>
      </c>
      <c r="B801" s="10" t="s">
        <v>161</v>
      </c>
      <c r="C801" s="11">
        <v>2022</v>
      </c>
      <c r="D801" s="12">
        <v>2203</v>
      </c>
      <c r="E801" s="12">
        <v>2203</v>
      </c>
      <c r="F801" s="12">
        <v>0</v>
      </c>
      <c r="H801" s="12">
        <v>1357</v>
      </c>
      <c r="L801" s="13">
        <v>1.6234340460000001</v>
      </c>
    </row>
    <row r="802" spans="1:12" x14ac:dyDescent="0.15">
      <c r="A802" s="1">
        <v>35</v>
      </c>
      <c r="B802" s="10" t="s">
        <v>162</v>
      </c>
      <c r="C802" s="11">
        <v>2022</v>
      </c>
      <c r="D802" s="12">
        <v>376026</v>
      </c>
      <c r="E802" s="12">
        <v>374404</v>
      </c>
      <c r="F802" s="12">
        <v>1622</v>
      </c>
      <c r="H802" s="12">
        <v>145974</v>
      </c>
      <c r="L802" s="13">
        <v>2.5648677160000002</v>
      </c>
    </row>
    <row r="803" spans="1:12" x14ac:dyDescent="0.15">
      <c r="A803" s="1">
        <v>37</v>
      </c>
      <c r="B803" s="10" t="s">
        <v>163</v>
      </c>
      <c r="C803" s="11">
        <v>2022</v>
      </c>
      <c r="D803" s="12">
        <v>55291</v>
      </c>
      <c r="E803" s="12">
        <v>55190</v>
      </c>
      <c r="F803" s="12">
        <v>101</v>
      </c>
      <c r="H803" s="12">
        <v>34333</v>
      </c>
      <c r="L803" s="13">
        <v>1.607491335</v>
      </c>
    </row>
    <row r="804" spans="1:12" x14ac:dyDescent="0.15">
      <c r="A804" s="1">
        <v>39</v>
      </c>
      <c r="B804" s="10" t="s">
        <v>164</v>
      </c>
      <c r="C804" s="11">
        <v>2022</v>
      </c>
      <c r="D804" s="12">
        <v>27821</v>
      </c>
      <c r="E804" s="12">
        <v>27762</v>
      </c>
      <c r="F804" s="12">
        <v>59</v>
      </c>
      <c r="H804" s="12">
        <v>10555</v>
      </c>
      <c r="L804" s="13">
        <v>2.6302226430000002</v>
      </c>
    </row>
    <row r="805" spans="1:12" x14ac:dyDescent="0.15">
      <c r="A805" s="1">
        <v>41</v>
      </c>
      <c r="B805" s="10" t="s">
        <v>165</v>
      </c>
      <c r="C805" s="11">
        <v>2022</v>
      </c>
      <c r="D805" s="12">
        <v>740552</v>
      </c>
      <c r="E805" s="12">
        <v>720084</v>
      </c>
      <c r="F805" s="12">
        <v>20468</v>
      </c>
      <c r="H805" s="12">
        <v>304114</v>
      </c>
      <c r="L805" s="13">
        <v>2.3678094399999998</v>
      </c>
    </row>
    <row r="806" spans="1:12" x14ac:dyDescent="0.15">
      <c r="A806" s="1">
        <v>43</v>
      </c>
      <c r="B806" s="10" t="s">
        <v>166</v>
      </c>
      <c r="C806" s="11">
        <v>2022</v>
      </c>
      <c r="D806" s="12">
        <v>49570</v>
      </c>
      <c r="E806" s="12">
        <v>41601</v>
      </c>
      <c r="F806" s="12">
        <v>7969</v>
      </c>
      <c r="H806" s="12">
        <v>20610</v>
      </c>
      <c r="L806" s="13">
        <v>2.0184861719999998</v>
      </c>
    </row>
    <row r="807" spans="1:12" x14ac:dyDescent="0.15">
      <c r="A807" s="1">
        <v>45</v>
      </c>
      <c r="B807" s="10" t="s">
        <v>167</v>
      </c>
      <c r="C807" s="11">
        <v>2022</v>
      </c>
      <c r="D807" s="12">
        <v>62254</v>
      </c>
      <c r="E807" s="12">
        <v>61221</v>
      </c>
      <c r="F807" s="12">
        <v>1033</v>
      </c>
      <c r="H807" s="12">
        <v>25068</v>
      </c>
      <c r="L807" s="13">
        <v>2.4421972240000001</v>
      </c>
    </row>
    <row r="808" spans="1:12" x14ac:dyDescent="0.15">
      <c r="A808" s="1">
        <v>47</v>
      </c>
      <c r="B808" s="10" t="s">
        <v>168</v>
      </c>
      <c r="C808" s="11">
        <v>2022</v>
      </c>
      <c r="D808" s="12">
        <v>5895</v>
      </c>
      <c r="E808" s="12">
        <v>5847</v>
      </c>
      <c r="F808" s="12">
        <v>48</v>
      </c>
      <c r="H808" s="12">
        <v>3564</v>
      </c>
      <c r="L808" s="13">
        <v>1.6405723910000001</v>
      </c>
    </row>
    <row r="809" spans="1:12" x14ac:dyDescent="0.15">
      <c r="A809" s="1">
        <v>49</v>
      </c>
      <c r="B809" s="10" t="s">
        <v>169</v>
      </c>
      <c r="C809" s="11">
        <v>2022</v>
      </c>
      <c r="D809" s="12">
        <v>15748</v>
      </c>
      <c r="E809" s="12">
        <v>15536</v>
      </c>
      <c r="F809" s="12">
        <v>212</v>
      </c>
      <c r="H809" s="12">
        <v>17285</v>
      </c>
      <c r="L809" s="13">
        <v>0.89881400099999997</v>
      </c>
    </row>
    <row r="810" spans="1:12" x14ac:dyDescent="0.15">
      <c r="A810" s="1">
        <v>51</v>
      </c>
      <c r="B810" s="10" t="s">
        <v>170</v>
      </c>
      <c r="C810" s="11">
        <v>2022</v>
      </c>
      <c r="D810" s="12">
        <v>17269</v>
      </c>
      <c r="E810" s="12">
        <v>16212</v>
      </c>
      <c r="F810" s="12">
        <v>1057</v>
      </c>
      <c r="H810" s="12">
        <v>12619</v>
      </c>
      <c r="L810" s="13">
        <v>1.284729376</v>
      </c>
    </row>
    <row r="811" spans="1:12" x14ac:dyDescent="0.15">
      <c r="A811" s="1">
        <v>53</v>
      </c>
      <c r="B811" s="10" t="s">
        <v>171</v>
      </c>
      <c r="C811" s="11">
        <v>2022</v>
      </c>
      <c r="D811" s="12">
        <v>779</v>
      </c>
      <c r="E811" s="12">
        <v>779</v>
      </c>
      <c r="F811" s="12">
        <v>0</v>
      </c>
      <c r="H811" s="12">
        <v>1358</v>
      </c>
      <c r="L811" s="13">
        <v>0.57363770300000005</v>
      </c>
    </row>
    <row r="812" spans="1:12" x14ac:dyDescent="0.15">
      <c r="A812" s="1">
        <v>55</v>
      </c>
      <c r="B812" s="10" t="s">
        <v>172</v>
      </c>
      <c r="C812" s="11">
        <v>2022</v>
      </c>
      <c r="D812" s="12">
        <v>7104</v>
      </c>
      <c r="E812" s="12">
        <v>7001</v>
      </c>
      <c r="F812" s="12">
        <v>103</v>
      </c>
      <c r="H812" s="12">
        <v>4747</v>
      </c>
      <c r="L812" s="13">
        <v>1.4748262059999999</v>
      </c>
    </row>
    <row r="813" spans="1:12" x14ac:dyDescent="0.15">
      <c r="A813" s="1">
        <v>57</v>
      </c>
      <c r="B813" s="10" t="s">
        <v>173</v>
      </c>
      <c r="C813" s="11">
        <v>2022</v>
      </c>
      <c r="D813" s="12">
        <v>1314</v>
      </c>
      <c r="E813" s="12">
        <v>1312</v>
      </c>
      <c r="F813" s="12">
        <v>2</v>
      </c>
      <c r="H813" s="12">
        <v>1199</v>
      </c>
      <c r="L813" s="13">
        <v>1.0942452039999999</v>
      </c>
    </row>
    <row r="814" spans="1:12" x14ac:dyDescent="0.15">
      <c r="A814" s="1">
        <v>59</v>
      </c>
      <c r="B814" s="10" t="s">
        <v>174</v>
      </c>
      <c r="C814" s="11">
        <v>2022</v>
      </c>
      <c r="D814" s="12">
        <v>575936</v>
      </c>
      <c r="E814" s="12">
        <v>566554</v>
      </c>
      <c r="F814" s="12">
        <v>9382</v>
      </c>
      <c r="H814" s="12">
        <v>254441</v>
      </c>
      <c r="L814" s="13">
        <v>2.2266615839999999</v>
      </c>
    </row>
    <row r="815" spans="1:12" x14ac:dyDescent="0.15">
      <c r="A815" s="1">
        <v>61</v>
      </c>
      <c r="B815" s="10" t="s">
        <v>175</v>
      </c>
      <c r="C815" s="11">
        <v>2022</v>
      </c>
      <c r="D815" s="12">
        <v>1428</v>
      </c>
      <c r="E815" s="12">
        <v>1399</v>
      </c>
      <c r="F815" s="12">
        <v>29</v>
      </c>
      <c r="H815" s="12">
        <v>748</v>
      </c>
      <c r="L815" s="13">
        <v>1.870320856</v>
      </c>
    </row>
    <row r="816" spans="1:12" x14ac:dyDescent="0.15">
      <c r="A816" s="1">
        <v>63</v>
      </c>
      <c r="B816" s="10" t="s">
        <v>176</v>
      </c>
      <c r="C816" s="11">
        <v>2022</v>
      </c>
      <c r="D816" s="12">
        <v>6974</v>
      </c>
      <c r="E816" s="12">
        <v>6881</v>
      </c>
      <c r="F816" s="12">
        <v>93</v>
      </c>
      <c r="H816" s="12">
        <v>3428</v>
      </c>
      <c r="L816" s="13">
        <v>2.0072928819999998</v>
      </c>
    </row>
    <row r="817" spans="1:12" x14ac:dyDescent="0.15">
      <c r="A817" s="1">
        <v>65</v>
      </c>
      <c r="B817" s="10" t="s">
        <v>177</v>
      </c>
      <c r="C817" s="11">
        <v>2022</v>
      </c>
      <c r="D817" s="12">
        <v>7342</v>
      </c>
      <c r="E817" s="12">
        <v>7229</v>
      </c>
      <c r="F817" s="12">
        <v>113</v>
      </c>
      <c r="H817" s="12">
        <v>4452</v>
      </c>
      <c r="L817" s="13">
        <v>1.6237645999999999</v>
      </c>
    </row>
    <row r="818" spans="1:12" x14ac:dyDescent="0.15">
      <c r="A818" s="1">
        <v>67</v>
      </c>
      <c r="B818" s="10" t="s">
        <v>178</v>
      </c>
      <c r="C818" s="11">
        <v>2022</v>
      </c>
      <c r="D818" s="12">
        <v>56557</v>
      </c>
      <c r="E818" s="12">
        <v>54645</v>
      </c>
      <c r="F818" s="12">
        <v>1912</v>
      </c>
      <c r="H818" s="12">
        <v>28946</v>
      </c>
      <c r="L818" s="13">
        <v>1.887825606</v>
      </c>
    </row>
    <row r="819" spans="1:12" x14ac:dyDescent="0.15">
      <c r="A819" s="1">
        <v>69</v>
      </c>
      <c r="B819" s="10" t="s">
        <v>179</v>
      </c>
      <c r="C819" s="11">
        <v>2022</v>
      </c>
      <c r="D819" s="12">
        <v>366843</v>
      </c>
      <c r="E819" s="12">
        <v>354725</v>
      </c>
      <c r="F819" s="12">
        <v>12118</v>
      </c>
      <c r="H819" s="12">
        <v>165658</v>
      </c>
      <c r="L819" s="13">
        <v>2.141309203</v>
      </c>
    </row>
    <row r="820" spans="1:12" x14ac:dyDescent="0.15">
      <c r="A820" s="1">
        <v>71</v>
      </c>
      <c r="B820" s="10" t="s">
        <v>180</v>
      </c>
      <c r="C820" s="11">
        <v>2022</v>
      </c>
      <c r="D820" s="12">
        <v>14297</v>
      </c>
      <c r="E820" s="12">
        <v>13904</v>
      </c>
      <c r="F820" s="12">
        <v>393</v>
      </c>
      <c r="H820" s="12">
        <v>8155</v>
      </c>
      <c r="L820" s="13">
        <v>1.7049662779999999</v>
      </c>
    </row>
    <row r="821" spans="1:12" x14ac:dyDescent="0.15">
      <c r="A821" s="1">
        <v>73</v>
      </c>
      <c r="B821" s="10" t="s">
        <v>181</v>
      </c>
      <c r="C821" s="11">
        <v>2022</v>
      </c>
      <c r="D821" s="12">
        <v>5513</v>
      </c>
      <c r="E821" s="12">
        <v>4671</v>
      </c>
      <c r="F821" s="12">
        <v>842</v>
      </c>
      <c r="H821" s="12">
        <v>2386</v>
      </c>
      <c r="L821" s="13">
        <v>1.95766974</v>
      </c>
    </row>
    <row r="822" spans="1:12" x14ac:dyDescent="0.15">
      <c r="A822" s="1">
        <v>75</v>
      </c>
      <c r="B822" s="10" t="s">
        <v>182</v>
      </c>
      <c r="C822" s="11">
        <v>2022</v>
      </c>
      <c r="D822" s="12">
        <v>20809</v>
      </c>
      <c r="E822" s="12">
        <v>18116</v>
      </c>
      <c r="F822" s="12">
        <v>2693</v>
      </c>
      <c r="H822" s="12">
        <v>8708</v>
      </c>
      <c r="L822" s="13">
        <v>2.080385852</v>
      </c>
    </row>
    <row r="823" spans="1:12" x14ac:dyDescent="0.15">
      <c r="A823" s="1">
        <v>77</v>
      </c>
      <c r="B823" s="10" t="s">
        <v>183</v>
      </c>
      <c r="C823" s="11">
        <v>2022</v>
      </c>
      <c r="D823" s="12">
        <v>158534</v>
      </c>
      <c r="E823" s="12">
        <v>154405</v>
      </c>
      <c r="F823" s="12">
        <v>4129</v>
      </c>
      <c r="H823" s="12">
        <v>70017</v>
      </c>
      <c r="L823" s="13">
        <v>2.2052501539999998</v>
      </c>
    </row>
    <row r="824" spans="1:12" x14ac:dyDescent="0.15">
      <c r="A824" s="1">
        <v>79</v>
      </c>
      <c r="B824" s="10" t="s">
        <v>184</v>
      </c>
      <c r="C824" s="11">
        <v>2022</v>
      </c>
      <c r="D824" s="12">
        <v>924</v>
      </c>
      <c r="E824" s="12">
        <v>924</v>
      </c>
      <c r="F824" s="12">
        <v>0</v>
      </c>
      <c r="H824" s="12">
        <v>1298</v>
      </c>
      <c r="L824" s="13">
        <v>0.71186440699999998</v>
      </c>
    </row>
    <row r="825" spans="1:12" x14ac:dyDescent="0.15">
      <c r="A825" s="1">
        <v>81</v>
      </c>
      <c r="B825" s="10" t="s">
        <v>185</v>
      </c>
      <c r="C825" s="11">
        <v>2022</v>
      </c>
      <c r="D825" s="12">
        <v>13166</v>
      </c>
      <c r="E825" s="12">
        <v>13056</v>
      </c>
      <c r="F825" s="12">
        <v>110</v>
      </c>
      <c r="H825" s="12">
        <v>6139</v>
      </c>
      <c r="L825" s="13">
        <v>2.126730738</v>
      </c>
    </row>
    <row r="826" spans="1:12" x14ac:dyDescent="0.15">
      <c r="A826" s="1">
        <v>83</v>
      </c>
      <c r="B826" s="10" t="s">
        <v>186</v>
      </c>
      <c r="C826" s="11">
        <v>2022</v>
      </c>
      <c r="D826" s="12">
        <v>26464</v>
      </c>
      <c r="E826" s="12">
        <v>26213</v>
      </c>
      <c r="F826" s="12">
        <v>251</v>
      </c>
      <c r="H826" s="12">
        <v>12348</v>
      </c>
      <c r="L826" s="13">
        <v>2.1228539030000002</v>
      </c>
    </row>
    <row r="827" spans="1:12" x14ac:dyDescent="0.15">
      <c r="A827" s="1">
        <v>85</v>
      </c>
      <c r="B827" s="10" t="s">
        <v>187</v>
      </c>
      <c r="C827" s="11">
        <v>2022</v>
      </c>
      <c r="D827" s="12">
        <v>43799</v>
      </c>
      <c r="E827" s="12">
        <v>43111</v>
      </c>
      <c r="F827" s="12">
        <v>688</v>
      </c>
      <c r="H827" s="12">
        <v>19734</v>
      </c>
      <c r="L827" s="13">
        <v>2.1846052500000002</v>
      </c>
    </row>
    <row r="828" spans="1:12" x14ac:dyDescent="0.15">
      <c r="A828" s="1">
        <v>87</v>
      </c>
      <c r="B828" s="10" t="s">
        <v>188</v>
      </c>
      <c r="C828" s="11">
        <v>2022</v>
      </c>
      <c r="D828" s="12">
        <v>29296</v>
      </c>
      <c r="E828" s="12">
        <v>28880</v>
      </c>
      <c r="F828" s="12">
        <v>416</v>
      </c>
      <c r="H828" s="12">
        <v>11857</v>
      </c>
      <c r="L828" s="13">
        <v>2.4356919960000001</v>
      </c>
    </row>
    <row r="829" spans="1:12" x14ac:dyDescent="0.15">
      <c r="A829" s="1">
        <v>89</v>
      </c>
      <c r="B829" s="10" t="s">
        <v>189</v>
      </c>
      <c r="C829" s="11">
        <v>2022</v>
      </c>
      <c r="D829" s="12">
        <v>18294</v>
      </c>
      <c r="E829" s="12">
        <v>17975</v>
      </c>
      <c r="F829" s="12">
        <v>319</v>
      </c>
      <c r="H829" s="12">
        <v>8738</v>
      </c>
      <c r="L829" s="13">
        <v>2.0571068889999999</v>
      </c>
    </row>
    <row r="830" spans="1:12" x14ac:dyDescent="0.15">
      <c r="A830" s="1">
        <v>91</v>
      </c>
      <c r="B830" s="10" t="s">
        <v>190</v>
      </c>
      <c r="C830" s="11">
        <v>2022</v>
      </c>
      <c r="D830" s="12">
        <v>5088</v>
      </c>
      <c r="E830" s="12">
        <v>5088</v>
      </c>
      <c r="F830" s="12">
        <v>0</v>
      </c>
      <c r="H830" s="12">
        <v>3511</v>
      </c>
      <c r="L830" s="13">
        <v>1.4491597839999999</v>
      </c>
    </row>
    <row r="831" spans="1:12" x14ac:dyDescent="0.15">
      <c r="A831" s="1">
        <v>93</v>
      </c>
      <c r="B831" s="10" t="s">
        <v>191</v>
      </c>
      <c r="C831" s="11">
        <v>2022</v>
      </c>
      <c r="D831" s="12">
        <v>17900</v>
      </c>
      <c r="E831" s="12">
        <v>17874</v>
      </c>
      <c r="F831" s="12">
        <v>26</v>
      </c>
      <c r="H831" s="12">
        <v>14518</v>
      </c>
      <c r="L831" s="13">
        <v>1.231161317</v>
      </c>
    </row>
    <row r="832" spans="1:12" x14ac:dyDescent="0.15">
      <c r="A832" s="1">
        <v>95</v>
      </c>
      <c r="B832" s="10" t="s">
        <v>192</v>
      </c>
      <c r="C832" s="11">
        <v>2022</v>
      </c>
      <c r="D832" s="12">
        <v>4435</v>
      </c>
      <c r="E832" s="12">
        <v>4377</v>
      </c>
      <c r="F832" s="12">
        <v>58</v>
      </c>
      <c r="H832" s="12">
        <v>2037</v>
      </c>
      <c r="L832" s="13">
        <v>2.1487481590000002</v>
      </c>
    </row>
    <row r="833" spans="1:12" x14ac:dyDescent="0.15">
      <c r="A833" s="1">
        <v>97</v>
      </c>
      <c r="B833" s="10" t="s">
        <v>193</v>
      </c>
      <c r="C833" s="11">
        <v>2022</v>
      </c>
      <c r="D833" s="12">
        <v>16856</v>
      </c>
      <c r="E833" s="12">
        <v>16809</v>
      </c>
      <c r="F833" s="12">
        <v>47</v>
      </c>
      <c r="H833" s="12">
        <v>13504</v>
      </c>
      <c r="L833" s="13">
        <v>1.2447422990000001</v>
      </c>
    </row>
    <row r="834" spans="1:12" x14ac:dyDescent="0.15">
      <c r="A834" s="1">
        <v>99</v>
      </c>
      <c r="B834" s="10" t="s">
        <v>194</v>
      </c>
      <c r="C834" s="11">
        <v>2022</v>
      </c>
      <c r="D834" s="12">
        <v>11850</v>
      </c>
      <c r="E834" s="12">
        <v>11523</v>
      </c>
      <c r="F834" s="12">
        <v>327</v>
      </c>
      <c r="H834" s="12">
        <v>5474</v>
      </c>
      <c r="L834" s="13">
        <v>2.1050420170000002</v>
      </c>
    </row>
    <row r="835" spans="1:12" x14ac:dyDescent="0.15">
      <c r="A835" s="1">
        <v>101</v>
      </c>
      <c r="B835" s="10" t="s">
        <v>195</v>
      </c>
      <c r="C835" s="11">
        <v>2022</v>
      </c>
      <c r="D835" s="12">
        <v>169383</v>
      </c>
      <c r="E835" s="12">
        <v>165925</v>
      </c>
      <c r="F835" s="12">
        <v>3458</v>
      </c>
      <c r="H835" s="12">
        <v>73971</v>
      </c>
      <c r="L835" s="13">
        <v>2.2431087860000001</v>
      </c>
    </row>
    <row r="836" spans="1:12" x14ac:dyDescent="0.15">
      <c r="A836" s="1">
        <v>103</v>
      </c>
      <c r="B836" s="10" t="s">
        <v>196</v>
      </c>
      <c r="C836" s="11">
        <v>2022</v>
      </c>
      <c r="D836" s="12">
        <v>6558</v>
      </c>
      <c r="E836" s="12">
        <v>6352</v>
      </c>
      <c r="F836" s="12">
        <v>206</v>
      </c>
      <c r="H836" s="12">
        <v>3296</v>
      </c>
      <c r="L836" s="13">
        <v>1.9271844659999999</v>
      </c>
    </row>
    <row r="837" spans="1:12" x14ac:dyDescent="0.15">
      <c r="A837" s="1">
        <v>105</v>
      </c>
      <c r="B837" s="10" t="s">
        <v>197</v>
      </c>
      <c r="C837" s="11">
        <v>2022</v>
      </c>
      <c r="D837" s="12">
        <v>11336</v>
      </c>
      <c r="E837" s="12">
        <v>11229</v>
      </c>
      <c r="F837" s="12">
        <v>107</v>
      </c>
      <c r="H837" s="12">
        <v>6606</v>
      </c>
      <c r="L837" s="13">
        <v>1.6998183469999999</v>
      </c>
    </row>
    <row r="838" spans="1:12" x14ac:dyDescent="0.15">
      <c r="A838" s="1">
        <v>107</v>
      </c>
      <c r="B838" s="10" t="s">
        <v>198</v>
      </c>
      <c r="C838" s="11">
        <v>2022</v>
      </c>
      <c r="D838" s="12">
        <v>25027</v>
      </c>
      <c r="E838" s="12">
        <v>24687</v>
      </c>
      <c r="F838" s="12">
        <v>340</v>
      </c>
      <c r="H838" s="12">
        <v>17102</v>
      </c>
      <c r="L838" s="13">
        <v>1.4435153780000001</v>
      </c>
    </row>
    <row r="839" spans="1:12" x14ac:dyDescent="0.15">
      <c r="A839" s="1">
        <v>109</v>
      </c>
      <c r="B839" s="10" t="s">
        <v>199</v>
      </c>
      <c r="C839" s="11">
        <v>2022</v>
      </c>
      <c r="D839" s="12">
        <v>6616</v>
      </c>
      <c r="E839" s="12">
        <v>6600</v>
      </c>
      <c r="F839" s="12">
        <v>16</v>
      </c>
      <c r="H839" s="12">
        <v>3914</v>
      </c>
      <c r="L839" s="13">
        <v>1.686254471</v>
      </c>
    </row>
    <row r="840" spans="1:12" x14ac:dyDescent="0.15">
      <c r="A840" s="1">
        <v>111</v>
      </c>
      <c r="B840" s="10" t="s">
        <v>200</v>
      </c>
      <c r="C840" s="11">
        <v>2022</v>
      </c>
      <c r="D840" s="12">
        <v>801</v>
      </c>
      <c r="E840" s="12">
        <v>801</v>
      </c>
      <c r="F840" s="12">
        <v>0</v>
      </c>
      <c r="H840" s="12">
        <v>805</v>
      </c>
      <c r="L840" s="13">
        <v>0.99503105599999997</v>
      </c>
    </row>
    <row r="841" spans="1:12" x14ac:dyDescent="0.15">
      <c r="A841" s="1">
        <v>113</v>
      </c>
      <c r="B841" s="10" t="s">
        <v>201</v>
      </c>
      <c r="C841" s="11">
        <v>2022</v>
      </c>
      <c r="D841" s="12">
        <v>7993</v>
      </c>
      <c r="E841" s="12">
        <v>7988</v>
      </c>
      <c r="F841" s="12">
        <v>5</v>
      </c>
      <c r="H841" s="12">
        <v>6711</v>
      </c>
      <c r="L841" s="13">
        <v>1.1902846069999999</v>
      </c>
    </row>
    <row r="842" spans="1:12" x14ac:dyDescent="0.15">
      <c r="A842" s="1">
        <v>115</v>
      </c>
      <c r="B842" s="10" t="s">
        <v>202</v>
      </c>
      <c r="C842" s="11">
        <v>2022</v>
      </c>
      <c r="D842" s="12">
        <v>2297</v>
      </c>
      <c r="E842" s="12">
        <v>2265</v>
      </c>
      <c r="F842" s="12">
        <v>32</v>
      </c>
      <c r="H842" s="12">
        <v>1343</v>
      </c>
      <c r="L842" s="13">
        <v>1.68652271</v>
      </c>
    </row>
    <row r="843" spans="1:12" x14ac:dyDescent="0.15">
      <c r="A843" s="1">
        <v>117</v>
      </c>
      <c r="B843" s="10" t="s">
        <v>203</v>
      </c>
      <c r="C843" s="11">
        <v>2022</v>
      </c>
      <c r="D843" s="12">
        <v>30583</v>
      </c>
      <c r="E843" s="12">
        <v>30004</v>
      </c>
      <c r="F843" s="12">
        <v>579</v>
      </c>
      <c r="H843" s="12">
        <v>32147</v>
      </c>
      <c r="L843" s="13">
        <v>0.93333748100000002</v>
      </c>
    </row>
    <row r="844" spans="1:12" x14ac:dyDescent="0.15">
      <c r="A844" s="1">
        <v>119</v>
      </c>
      <c r="B844" s="10" t="s">
        <v>204</v>
      </c>
      <c r="C844" s="11">
        <v>2022</v>
      </c>
      <c r="D844" s="12">
        <v>24852</v>
      </c>
      <c r="E844" s="12">
        <v>24688</v>
      </c>
      <c r="F844" s="12">
        <v>164</v>
      </c>
      <c r="H844" s="12">
        <v>13657</v>
      </c>
      <c r="L844" s="13">
        <v>1.807717654</v>
      </c>
    </row>
    <row r="845" spans="1:12" x14ac:dyDescent="0.15">
      <c r="A845" s="1">
        <v>121</v>
      </c>
      <c r="B845" s="10" t="s">
        <v>205</v>
      </c>
      <c r="C845" s="11">
        <v>2022</v>
      </c>
      <c r="D845" s="12">
        <v>4835</v>
      </c>
      <c r="E845" s="12">
        <v>4671</v>
      </c>
      <c r="F845" s="12">
        <v>164</v>
      </c>
      <c r="H845" s="12">
        <v>2289</v>
      </c>
      <c r="L845" s="13">
        <v>2.040629096</v>
      </c>
    </row>
    <row r="846" spans="1:12" x14ac:dyDescent="0.15">
      <c r="A846" s="1">
        <v>123</v>
      </c>
      <c r="B846" s="10" t="s">
        <v>206</v>
      </c>
      <c r="C846" s="11">
        <v>2022</v>
      </c>
      <c r="D846" s="12">
        <v>350206</v>
      </c>
      <c r="E846" s="12">
        <v>345788</v>
      </c>
      <c r="F846" s="12">
        <v>4418</v>
      </c>
      <c r="H846" s="12">
        <v>129656</v>
      </c>
      <c r="L846" s="13">
        <v>2.6669648920000002</v>
      </c>
    </row>
    <row r="847" spans="1:12" x14ac:dyDescent="0.15">
      <c r="A847" s="1">
        <v>125</v>
      </c>
      <c r="B847" s="10" t="s">
        <v>207</v>
      </c>
      <c r="C847" s="11">
        <v>2022</v>
      </c>
      <c r="D847" s="12">
        <v>9920</v>
      </c>
      <c r="E847" s="12">
        <v>9757</v>
      </c>
      <c r="F847" s="12">
        <v>163</v>
      </c>
      <c r="H847" s="12">
        <v>4326</v>
      </c>
      <c r="L847" s="13">
        <v>2.25543227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AE17-AEA5-0543-A953-EE8E086EBA6F}">
  <dimension ref="A1:AB1531"/>
  <sheetViews>
    <sheetView tabSelected="1" topLeftCell="A1484" workbookViewId="0">
      <selection activeCell="D1531" sqref="D1531"/>
    </sheetView>
  </sheetViews>
  <sheetFormatPr baseColWidth="10" defaultRowHeight="16" x14ac:dyDescent="0.2"/>
  <sheetData>
    <row r="1" spans="1:28" x14ac:dyDescent="0.2">
      <c r="A1" s="62" t="s">
        <v>311</v>
      </c>
      <c r="B1" s="62" t="s">
        <v>312</v>
      </c>
      <c r="C1" s="62" t="s">
        <v>313</v>
      </c>
      <c r="D1" s="62" t="s">
        <v>314</v>
      </c>
      <c r="E1" s="63">
        <v>2001</v>
      </c>
      <c r="F1" s="63">
        <v>2002</v>
      </c>
      <c r="G1" s="63">
        <v>2003</v>
      </c>
      <c r="H1" s="63">
        <v>2004</v>
      </c>
      <c r="I1" s="63">
        <v>2005</v>
      </c>
      <c r="J1" s="63">
        <v>2006</v>
      </c>
      <c r="K1" s="63">
        <v>2007</v>
      </c>
      <c r="L1" s="63">
        <v>2008</v>
      </c>
      <c r="M1" s="63">
        <v>2009</v>
      </c>
      <c r="N1" s="63">
        <v>2010</v>
      </c>
      <c r="O1" s="63">
        <v>2011</v>
      </c>
      <c r="P1" s="63">
        <v>2012</v>
      </c>
      <c r="Q1" s="63">
        <v>2013</v>
      </c>
      <c r="R1" s="63">
        <v>2014</v>
      </c>
      <c r="S1" s="63">
        <v>2015</v>
      </c>
      <c r="T1" s="63">
        <v>2016</v>
      </c>
      <c r="U1" s="63">
        <v>2017</v>
      </c>
      <c r="V1" s="63">
        <v>2018</v>
      </c>
      <c r="W1" s="63">
        <v>2019</v>
      </c>
      <c r="X1" s="63">
        <v>2020</v>
      </c>
      <c r="Y1" s="63">
        <v>2021</v>
      </c>
      <c r="Z1" s="63">
        <v>2022</v>
      </c>
      <c r="AA1" s="63">
        <v>2023</v>
      </c>
      <c r="AB1" s="63">
        <v>2024</v>
      </c>
    </row>
    <row r="2" spans="1:28" x14ac:dyDescent="0.2">
      <c r="A2" s="62">
        <v>1</v>
      </c>
      <c r="B2" s="62" t="s">
        <v>315</v>
      </c>
      <c r="C2" s="62">
        <v>1</v>
      </c>
      <c r="D2" s="62" t="s">
        <v>316</v>
      </c>
      <c r="E2" s="63">
        <v>2723</v>
      </c>
      <c r="F2" s="63">
        <v>2758</v>
      </c>
      <c r="G2" s="63">
        <v>2634</v>
      </c>
      <c r="H2" s="63">
        <v>2486</v>
      </c>
      <c r="I2" s="63">
        <v>2679</v>
      </c>
      <c r="J2" s="63">
        <v>2616</v>
      </c>
      <c r="K2" s="63">
        <v>2500</v>
      </c>
      <c r="L2" s="63">
        <v>1391</v>
      </c>
      <c r="M2" s="63">
        <v>1695</v>
      </c>
      <c r="N2" s="63">
        <v>1735</v>
      </c>
      <c r="O2" s="63">
        <v>1528</v>
      </c>
      <c r="P2" s="63">
        <v>1499</v>
      </c>
      <c r="Q2" s="63">
        <v>1339</v>
      </c>
      <c r="R2" s="63">
        <v>1344</v>
      </c>
      <c r="S2" s="63">
        <v>1347</v>
      </c>
      <c r="T2" s="63">
        <v>1360</v>
      </c>
      <c r="U2" s="63">
        <v>1111</v>
      </c>
      <c r="V2" s="63">
        <v>1786</v>
      </c>
      <c r="W2" s="63">
        <v>3083</v>
      </c>
      <c r="X2" s="63">
        <v>3203</v>
      </c>
      <c r="Y2" s="63">
        <v>3280</v>
      </c>
      <c r="Z2" s="63">
        <v>3370</v>
      </c>
      <c r="AA2" s="63">
        <v>3648</v>
      </c>
      <c r="AB2" s="63">
        <v>3599</v>
      </c>
    </row>
    <row r="3" spans="1:28" x14ac:dyDescent="0.2">
      <c r="A3" s="62">
        <v>1</v>
      </c>
      <c r="B3" s="62" t="s">
        <v>315</v>
      </c>
      <c r="C3" s="62">
        <v>10</v>
      </c>
      <c r="D3" s="62" t="s">
        <v>317</v>
      </c>
      <c r="E3" s="63">
        <v>164490</v>
      </c>
      <c r="F3" s="63">
        <v>163253</v>
      </c>
      <c r="G3" s="63">
        <v>160332</v>
      </c>
      <c r="H3" s="63">
        <v>163150</v>
      </c>
      <c r="I3" s="63">
        <v>170840</v>
      </c>
      <c r="J3" s="63">
        <v>176566</v>
      </c>
      <c r="K3" s="63">
        <v>179703</v>
      </c>
      <c r="L3" s="63">
        <v>179782</v>
      </c>
      <c r="M3" s="63">
        <v>175616</v>
      </c>
      <c r="N3" s="63">
        <v>174023</v>
      </c>
      <c r="O3" s="63">
        <v>181505</v>
      </c>
      <c r="P3" s="63">
        <v>186874</v>
      </c>
      <c r="Q3" s="63">
        <v>201504</v>
      </c>
      <c r="R3" s="63">
        <v>213091</v>
      </c>
      <c r="S3" s="63">
        <v>222880</v>
      </c>
      <c r="T3" s="63">
        <v>231243</v>
      </c>
      <c r="U3" s="63">
        <v>239873</v>
      </c>
      <c r="V3" s="63">
        <v>249861</v>
      </c>
      <c r="W3" s="63">
        <v>264853</v>
      </c>
      <c r="X3" s="63">
        <v>260951</v>
      </c>
      <c r="Y3" s="63">
        <v>270414</v>
      </c>
      <c r="Z3" s="63">
        <v>282653</v>
      </c>
      <c r="AA3" s="63">
        <v>291184</v>
      </c>
      <c r="AB3" s="63">
        <v>296280</v>
      </c>
    </row>
    <row r="4" spans="1:28" x14ac:dyDescent="0.2">
      <c r="A4" s="62">
        <v>1</v>
      </c>
      <c r="B4" s="62" t="s">
        <v>315</v>
      </c>
      <c r="C4" s="62">
        <v>11</v>
      </c>
      <c r="D4" s="62" t="s">
        <v>318</v>
      </c>
      <c r="E4" s="63">
        <v>1421</v>
      </c>
      <c r="F4" s="63">
        <v>1332</v>
      </c>
      <c r="G4" s="63">
        <v>1224</v>
      </c>
      <c r="H4" s="63">
        <v>1078</v>
      </c>
      <c r="I4" s="63">
        <v>1234</v>
      </c>
      <c r="J4" s="63">
        <v>1122</v>
      </c>
      <c r="K4" s="63">
        <v>1112</v>
      </c>
      <c r="L4" s="63">
        <v>1272</v>
      </c>
      <c r="M4" s="63">
        <v>1224</v>
      </c>
      <c r="N4" s="63">
        <v>1075</v>
      </c>
      <c r="O4" s="63">
        <v>1068</v>
      </c>
      <c r="P4" s="63">
        <v>1144</v>
      </c>
      <c r="Q4" s="63">
        <v>1158</v>
      </c>
      <c r="R4" s="63">
        <v>1231</v>
      </c>
      <c r="S4" s="63">
        <v>1107</v>
      </c>
      <c r="T4" s="63">
        <v>1263</v>
      </c>
      <c r="U4" s="63">
        <v>1485</v>
      </c>
      <c r="V4" s="63">
        <v>1561</v>
      </c>
      <c r="W4" s="63">
        <v>1767</v>
      </c>
      <c r="X4" s="63">
        <v>1497</v>
      </c>
      <c r="Y4" s="63">
        <v>1361</v>
      </c>
      <c r="Z4" s="63">
        <v>1259</v>
      </c>
      <c r="AA4" s="63">
        <v>1058</v>
      </c>
      <c r="AB4" s="63">
        <v>1006</v>
      </c>
    </row>
    <row r="5" spans="1:28" x14ac:dyDescent="0.2">
      <c r="A5" s="62">
        <v>1</v>
      </c>
      <c r="B5" s="62" t="s">
        <v>315</v>
      </c>
      <c r="C5" s="62">
        <v>2</v>
      </c>
      <c r="D5" s="62" t="s">
        <v>319</v>
      </c>
      <c r="E5" s="63">
        <v>1805</v>
      </c>
      <c r="F5" s="63">
        <v>1832</v>
      </c>
      <c r="G5" s="63">
        <v>1792</v>
      </c>
      <c r="H5" s="63">
        <v>1759</v>
      </c>
      <c r="I5" s="63">
        <v>1799</v>
      </c>
      <c r="J5" s="63">
        <v>1727</v>
      </c>
      <c r="K5" s="63">
        <v>1718</v>
      </c>
      <c r="L5" s="63">
        <v>2027</v>
      </c>
      <c r="M5" s="63">
        <v>3310</v>
      </c>
      <c r="N5" s="63">
        <v>3457</v>
      </c>
      <c r="O5" s="63">
        <v>7795</v>
      </c>
      <c r="P5" s="63">
        <v>7875</v>
      </c>
      <c r="Q5" s="63">
        <v>14753</v>
      </c>
      <c r="R5" s="63">
        <v>15215</v>
      </c>
      <c r="S5" s="63">
        <v>15712</v>
      </c>
      <c r="T5" s="63">
        <v>16335</v>
      </c>
      <c r="U5" s="63">
        <v>17491</v>
      </c>
      <c r="V5" s="63">
        <v>18135</v>
      </c>
      <c r="W5" s="63">
        <v>20112</v>
      </c>
      <c r="X5" s="63">
        <v>20645</v>
      </c>
      <c r="Y5" s="63">
        <v>21409</v>
      </c>
      <c r="Z5" s="63">
        <v>22985</v>
      </c>
      <c r="AA5" s="63">
        <v>24177</v>
      </c>
      <c r="AB5" s="63">
        <v>25303</v>
      </c>
    </row>
    <row r="6" spans="1:28" x14ac:dyDescent="0.2">
      <c r="A6" s="62">
        <v>1</v>
      </c>
      <c r="B6" s="62" t="s">
        <v>315</v>
      </c>
      <c r="C6" s="62">
        <v>21</v>
      </c>
      <c r="D6" s="62" t="s">
        <v>320</v>
      </c>
      <c r="E6" s="63">
        <v>313</v>
      </c>
      <c r="F6" s="63">
        <v>291</v>
      </c>
      <c r="G6" s="63">
        <v>254</v>
      </c>
      <c r="H6" s="63">
        <v>230</v>
      </c>
      <c r="I6" s="63">
        <v>352</v>
      </c>
      <c r="J6" s="63">
        <v>360</v>
      </c>
      <c r="K6" s="63">
        <v>357</v>
      </c>
      <c r="L6" s="63">
        <v>344</v>
      </c>
      <c r="M6" s="63">
        <v>356</v>
      </c>
      <c r="N6" s="63">
        <v>405</v>
      </c>
      <c r="O6" s="63">
        <v>501</v>
      </c>
      <c r="P6" s="63">
        <v>480</v>
      </c>
      <c r="Q6" s="63">
        <v>726</v>
      </c>
      <c r="R6" s="63">
        <v>878</v>
      </c>
      <c r="S6" s="63">
        <v>738</v>
      </c>
      <c r="T6" s="63">
        <v>714</v>
      </c>
      <c r="U6" s="63">
        <v>706</v>
      </c>
      <c r="V6" s="63">
        <v>716</v>
      </c>
      <c r="W6" s="63">
        <v>1444</v>
      </c>
      <c r="X6" s="63">
        <v>1012</v>
      </c>
      <c r="Y6" s="63">
        <v>1080</v>
      </c>
      <c r="Z6" s="63">
        <v>1106</v>
      </c>
      <c r="AA6" s="63">
        <v>1099</v>
      </c>
      <c r="AB6" s="63">
        <v>1122</v>
      </c>
    </row>
    <row r="7" spans="1:28" x14ac:dyDescent="0.2">
      <c r="A7" s="62">
        <v>1</v>
      </c>
      <c r="B7" s="62" t="s">
        <v>315</v>
      </c>
      <c r="C7" s="62">
        <v>22</v>
      </c>
      <c r="D7" s="62" t="s">
        <v>321</v>
      </c>
      <c r="E7" s="63">
        <v>754</v>
      </c>
      <c r="F7" s="63">
        <v>754</v>
      </c>
      <c r="G7" s="63">
        <v>756</v>
      </c>
      <c r="H7" s="63">
        <v>769</v>
      </c>
      <c r="I7" s="63">
        <v>934</v>
      </c>
      <c r="J7" s="63">
        <v>643</v>
      </c>
      <c r="K7" s="62"/>
      <c r="L7" s="63">
        <v>713</v>
      </c>
      <c r="M7" s="63">
        <v>674</v>
      </c>
      <c r="N7" s="63">
        <v>660</v>
      </c>
      <c r="O7" s="63">
        <v>614</v>
      </c>
      <c r="P7" s="63">
        <v>607</v>
      </c>
      <c r="Q7" s="63">
        <v>605</v>
      </c>
      <c r="R7" s="63">
        <v>673</v>
      </c>
      <c r="S7" s="63">
        <v>655</v>
      </c>
      <c r="T7" s="63">
        <v>641</v>
      </c>
      <c r="U7" s="63">
        <v>638</v>
      </c>
      <c r="V7" s="63">
        <v>633</v>
      </c>
      <c r="W7" s="63">
        <v>638</v>
      </c>
      <c r="X7" s="63">
        <v>636</v>
      </c>
      <c r="Y7" s="63">
        <v>652</v>
      </c>
      <c r="Z7" s="63">
        <v>696</v>
      </c>
      <c r="AA7" s="63">
        <v>801</v>
      </c>
      <c r="AB7" s="63">
        <v>791</v>
      </c>
    </row>
    <row r="8" spans="1:28" x14ac:dyDescent="0.2">
      <c r="A8" s="62">
        <v>1</v>
      </c>
      <c r="B8" s="62" t="s">
        <v>315</v>
      </c>
      <c r="C8" s="62">
        <v>23</v>
      </c>
      <c r="D8" s="62" t="s">
        <v>322</v>
      </c>
      <c r="E8" s="63">
        <v>23217</v>
      </c>
      <c r="F8" s="63">
        <v>22490</v>
      </c>
      <c r="G8" s="63">
        <v>20593</v>
      </c>
      <c r="H8" s="63">
        <v>20811</v>
      </c>
      <c r="I8" s="63">
        <v>21650</v>
      </c>
      <c r="J8" s="63">
        <v>22442</v>
      </c>
      <c r="K8" s="63">
        <v>21392</v>
      </c>
      <c r="L8" s="63">
        <v>20563</v>
      </c>
      <c r="M8" s="63">
        <v>18905</v>
      </c>
      <c r="N8" s="63">
        <v>17694</v>
      </c>
      <c r="O8" s="63">
        <v>17953</v>
      </c>
      <c r="P8" s="63">
        <v>18831</v>
      </c>
      <c r="Q8" s="63">
        <v>21625</v>
      </c>
      <c r="R8" s="63">
        <v>24433</v>
      </c>
      <c r="S8" s="63">
        <v>25415</v>
      </c>
      <c r="T8" s="63">
        <v>27550</v>
      </c>
      <c r="U8" s="63">
        <v>28091</v>
      </c>
      <c r="V8" s="63">
        <v>29518</v>
      </c>
      <c r="W8" s="63">
        <v>30360</v>
      </c>
      <c r="X8" s="63">
        <v>30755</v>
      </c>
      <c r="Y8" s="63">
        <v>30624</v>
      </c>
      <c r="Z8" s="63">
        <v>31466</v>
      </c>
      <c r="AA8" s="63">
        <v>33311</v>
      </c>
      <c r="AB8" s="63">
        <v>34133</v>
      </c>
    </row>
    <row r="9" spans="1:28" x14ac:dyDescent="0.2">
      <c r="A9" s="62">
        <v>1</v>
      </c>
      <c r="B9" s="62" t="s">
        <v>315</v>
      </c>
      <c r="C9" s="62">
        <v>3</v>
      </c>
      <c r="D9" s="62" t="s">
        <v>323</v>
      </c>
      <c r="E9" s="63">
        <v>13520</v>
      </c>
      <c r="F9" s="63">
        <v>14558</v>
      </c>
      <c r="G9" s="63">
        <v>14937</v>
      </c>
      <c r="H9" s="63">
        <v>15351</v>
      </c>
      <c r="I9" s="63">
        <v>15789</v>
      </c>
      <c r="J9" s="63">
        <v>16344</v>
      </c>
      <c r="K9" s="63">
        <v>16556</v>
      </c>
      <c r="L9" s="63">
        <v>16817</v>
      </c>
      <c r="M9" s="63">
        <v>17077</v>
      </c>
      <c r="N9" s="63">
        <v>16947</v>
      </c>
      <c r="O9" s="63">
        <v>16735</v>
      </c>
      <c r="P9" s="63">
        <v>17098</v>
      </c>
      <c r="Q9" s="63">
        <v>17515</v>
      </c>
      <c r="R9" s="63">
        <v>17812</v>
      </c>
      <c r="S9" s="63">
        <v>18244</v>
      </c>
      <c r="T9" s="63">
        <v>18574</v>
      </c>
      <c r="U9" s="63">
        <v>18745</v>
      </c>
      <c r="V9" s="63">
        <v>19333</v>
      </c>
      <c r="W9" s="63">
        <v>20064</v>
      </c>
      <c r="X9" s="63">
        <v>19300</v>
      </c>
      <c r="Y9" s="63">
        <v>19610</v>
      </c>
      <c r="Z9" s="63">
        <v>20274</v>
      </c>
      <c r="AA9" s="63">
        <v>21811</v>
      </c>
      <c r="AB9" s="63">
        <v>22322</v>
      </c>
    </row>
    <row r="10" spans="1:28" x14ac:dyDescent="0.2">
      <c r="A10" s="62">
        <v>1</v>
      </c>
      <c r="B10" s="62" t="s">
        <v>315</v>
      </c>
      <c r="C10" s="62" t="s">
        <v>324</v>
      </c>
      <c r="D10" s="62" t="s">
        <v>325</v>
      </c>
      <c r="E10" s="63">
        <v>15912</v>
      </c>
      <c r="F10" s="63">
        <v>15023</v>
      </c>
      <c r="G10" s="63">
        <v>13576</v>
      </c>
      <c r="H10" s="63">
        <v>13732</v>
      </c>
      <c r="I10" s="63">
        <v>14398</v>
      </c>
      <c r="J10" s="63">
        <v>14575</v>
      </c>
      <c r="K10" s="63">
        <v>13927</v>
      </c>
      <c r="L10" s="63">
        <v>12913</v>
      </c>
      <c r="M10" s="63">
        <v>11212</v>
      </c>
      <c r="N10" s="63">
        <v>11146</v>
      </c>
      <c r="O10" s="63">
        <v>11870</v>
      </c>
      <c r="P10" s="63">
        <v>12262</v>
      </c>
      <c r="Q10" s="63">
        <v>12477</v>
      </c>
      <c r="R10" s="63">
        <v>13658</v>
      </c>
      <c r="S10" s="63">
        <v>14252</v>
      </c>
      <c r="T10" s="63">
        <v>14143</v>
      </c>
      <c r="U10" s="63">
        <v>13990</v>
      </c>
      <c r="V10" s="63">
        <v>14340</v>
      </c>
      <c r="W10" s="63">
        <v>14937</v>
      </c>
      <c r="X10" s="63">
        <v>14733</v>
      </c>
      <c r="Y10" s="63">
        <v>15047</v>
      </c>
      <c r="Z10" s="63">
        <v>15297</v>
      </c>
      <c r="AA10" s="63">
        <v>14670</v>
      </c>
      <c r="AB10" s="63">
        <v>14035</v>
      </c>
    </row>
    <row r="11" spans="1:28" x14ac:dyDescent="0.2">
      <c r="A11" s="62">
        <v>1</v>
      </c>
      <c r="B11" s="62" t="s">
        <v>315</v>
      </c>
      <c r="C11" s="62">
        <v>42</v>
      </c>
      <c r="D11" s="62" t="s">
        <v>326</v>
      </c>
      <c r="E11" s="63">
        <v>14033</v>
      </c>
      <c r="F11" s="63">
        <v>13687</v>
      </c>
      <c r="G11" s="63">
        <v>13314</v>
      </c>
      <c r="H11" s="63">
        <v>13571</v>
      </c>
      <c r="I11" s="63">
        <v>13992</v>
      </c>
      <c r="J11" s="63">
        <v>14750</v>
      </c>
      <c r="K11" s="63">
        <v>15298</v>
      </c>
      <c r="L11" s="63">
        <v>15178</v>
      </c>
      <c r="M11" s="63">
        <v>13811</v>
      </c>
      <c r="N11" s="63">
        <v>13604</v>
      </c>
      <c r="O11" s="63">
        <v>13823</v>
      </c>
      <c r="P11" s="63">
        <v>14053</v>
      </c>
      <c r="Q11" s="63">
        <v>14923</v>
      </c>
      <c r="R11" s="63">
        <v>15570</v>
      </c>
      <c r="S11" s="63">
        <v>16681</v>
      </c>
      <c r="T11" s="63">
        <v>16851</v>
      </c>
      <c r="U11" s="63">
        <v>17170</v>
      </c>
      <c r="V11" s="63">
        <v>17684</v>
      </c>
      <c r="W11" s="63">
        <v>17355</v>
      </c>
      <c r="X11" s="63">
        <v>17127</v>
      </c>
      <c r="Y11" s="63">
        <v>17330</v>
      </c>
      <c r="Z11" s="63">
        <v>18222</v>
      </c>
      <c r="AA11" s="63">
        <v>18602</v>
      </c>
      <c r="AB11" s="63">
        <v>18858</v>
      </c>
    </row>
    <row r="12" spans="1:28" x14ac:dyDescent="0.2">
      <c r="A12" s="62">
        <v>1</v>
      </c>
      <c r="B12" s="62" t="s">
        <v>315</v>
      </c>
      <c r="C12" s="62" t="s">
        <v>327</v>
      </c>
      <c r="D12" s="62" t="s">
        <v>328</v>
      </c>
      <c r="E12" s="63">
        <v>18363</v>
      </c>
      <c r="F12" s="63">
        <v>17833</v>
      </c>
      <c r="G12" s="63">
        <v>17382</v>
      </c>
      <c r="H12" s="63">
        <v>17291</v>
      </c>
      <c r="I12" s="63">
        <v>18254</v>
      </c>
      <c r="J12" s="63">
        <v>18531</v>
      </c>
      <c r="K12" s="63">
        <v>19280</v>
      </c>
      <c r="L12" s="63">
        <v>19424</v>
      </c>
      <c r="M12" s="63">
        <v>18807</v>
      </c>
      <c r="N12" s="63">
        <v>18927</v>
      </c>
      <c r="O12" s="63">
        <v>19320</v>
      </c>
      <c r="P12" s="63">
        <v>20001</v>
      </c>
      <c r="Q12" s="63">
        <v>20533</v>
      </c>
      <c r="R12" s="63">
        <v>21658</v>
      </c>
      <c r="S12" s="63">
        <v>22638</v>
      </c>
      <c r="T12" s="63">
        <v>23061</v>
      </c>
      <c r="U12" s="63">
        <v>22960</v>
      </c>
      <c r="V12" s="63">
        <v>23271</v>
      </c>
      <c r="W12" s="63">
        <v>23649</v>
      </c>
      <c r="X12" s="63">
        <v>23242</v>
      </c>
      <c r="Y12" s="63">
        <v>24036</v>
      </c>
      <c r="Z12" s="63">
        <v>23526</v>
      </c>
      <c r="AA12" s="63">
        <v>24364</v>
      </c>
      <c r="AB12" s="63">
        <v>24880</v>
      </c>
    </row>
    <row r="13" spans="1:28" x14ac:dyDescent="0.2">
      <c r="A13" s="62">
        <v>1</v>
      </c>
      <c r="B13" s="62" t="s">
        <v>315</v>
      </c>
      <c r="C13" s="62" t="s">
        <v>329</v>
      </c>
      <c r="D13" s="62" t="s">
        <v>330</v>
      </c>
      <c r="E13" s="63">
        <v>15025</v>
      </c>
      <c r="F13" s="63">
        <v>14961</v>
      </c>
      <c r="G13" s="63">
        <v>14669</v>
      </c>
      <c r="H13" s="63">
        <v>14711</v>
      </c>
      <c r="I13" s="63">
        <v>15084</v>
      </c>
      <c r="J13" s="63">
        <v>15027</v>
      </c>
      <c r="K13" s="63">
        <v>15302</v>
      </c>
      <c r="L13" s="63">
        <v>15292</v>
      </c>
      <c r="M13" s="63">
        <v>14545</v>
      </c>
      <c r="N13" s="63">
        <v>14165</v>
      </c>
      <c r="O13" s="63">
        <v>14470</v>
      </c>
      <c r="P13" s="63">
        <v>14622</v>
      </c>
      <c r="Q13" s="63">
        <v>15270</v>
      </c>
      <c r="R13" s="63">
        <v>16012</v>
      </c>
      <c r="S13" s="63">
        <v>17185</v>
      </c>
      <c r="T13" s="63">
        <v>18442</v>
      </c>
      <c r="U13" s="63">
        <v>20737</v>
      </c>
      <c r="V13" s="63">
        <v>24721</v>
      </c>
      <c r="W13" s="63">
        <v>28440</v>
      </c>
      <c r="X13" s="63">
        <v>33126</v>
      </c>
      <c r="Y13" s="63">
        <v>34033</v>
      </c>
      <c r="Z13" s="63">
        <v>35689</v>
      </c>
      <c r="AA13" s="63">
        <v>34912</v>
      </c>
      <c r="AB13" s="63">
        <v>35618</v>
      </c>
    </row>
    <row r="14" spans="1:28" x14ac:dyDescent="0.2">
      <c r="A14" s="62">
        <v>1</v>
      </c>
      <c r="B14" s="62" t="s">
        <v>315</v>
      </c>
      <c r="C14" s="62">
        <v>51</v>
      </c>
      <c r="D14" s="62" t="s">
        <v>331</v>
      </c>
      <c r="E14" s="63">
        <v>2798</v>
      </c>
      <c r="F14" s="63">
        <v>2212</v>
      </c>
      <c r="G14" s="63">
        <v>2139</v>
      </c>
      <c r="H14" s="63">
        <v>2032</v>
      </c>
      <c r="I14" s="63">
        <v>2278</v>
      </c>
      <c r="J14" s="63">
        <v>2414</v>
      </c>
      <c r="K14" s="63">
        <v>2488</v>
      </c>
      <c r="L14" s="63">
        <v>2536</v>
      </c>
      <c r="M14" s="63">
        <v>2521</v>
      </c>
      <c r="N14" s="63">
        <v>2302</v>
      </c>
      <c r="O14" s="63">
        <v>2810</v>
      </c>
      <c r="P14" s="63">
        <v>2675</v>
      </c>
      <c r="Q14" s="63">
        <v>2800</v>
      </c>
      <c r="R14" s="63">
        <v>2863</v>
      </c>
      <c r="S14" s="63">
        <v>2903</v>
      </c>
      <c r="T14" s="63">
        <v>3059</v>
      </c>
      <c r="U14" s="63">
        <v>3164</v>
      </c>
      <c r="V14" s="63">
        <v>2913</v>
      </c>
      <c r="W14" s="63">
        <v>2938</v>
      </c>
      <c r="X14" s="63">
        <v>2552</v>
      </c>
      <c r="Y14" s="63">
        <v>2815</v>
      </c>
      <c r="Z14" s="63">
        <v>2939</v>
      </c>
      <c r="AA14" s="63">
        <v>2895</v>
      </c>
      <c r="AB14" s="63">
        <v>2802</v>
      </c>
    </row>
    <row r="15" spans="1:28" x14ac:dyDescent="0.2">
      <c r="A15" s="62">
        <v>1</v>
      </c>
      <c r="B15" s="62" t="s">
        <v>315</v>
      </c>
      <c r="C15" s="62">
        <v>52</v>
      </c>
      <c r="D15" s="62" t="s">
        <v>332</v>
      </c>
      <c r="E15" s="63">
        <v>3551</v>
      </c>
      <c r="F15" s="63">
        <v>3694</v>
      </c>
      <c r="G15" s="63">
        <v>4042</v>
      </c>
      <c r="H15" s="63">
        <v>4061</v>
      </c>
      <c r="I15" s="63">
        <v>3718</v>
      </c>
      <c r="J15" s="63">
        <v>3887</v>
      </c>
      <c r="K15" s="63">
        <v>3823</v>
      </c>
      <c r="L15" s="63">
        <v>3657</v>
      </c>
      <c r="M15" s="63">
        <v>3551</v>
      </c>
      <c r="N15" s="63">
        <v>3351</v>
      </c>
      <c r="O15" s="63">
        <v>3418</v>
      </c>
      <c r="P15" s="63">
        <v>3525</v>
      </c>
      <c r="Q15" s="63">
        <v>3651</v>
      </c>
      <c r="R15" s="63">
        <v>3772</v>
      </c>
      <c r="S15" s="63">
        <v>3848</v>
      </c>
      <c r="T15" s="63">
        <v>3921</v>
      </c>
      <c r="U15" s="63">
        <v>4195</v>
      </c>
      <c r="V15" s="63">
        <v>4235</v>
      </c>
      <c r="W15" s="63">
        <v>4134</v>
      </c>
      <c r="X15" s="63">
        <v>4082</v>
      </c>
      <c r="Y15" s="63">
        <v>4146</v>
      </c>
      <c r="Z15" s="63">
        <v>4290</v>
      </c>
      <c r="AA15" s="63">
        <v>4553</v>
      </c>
      <c r="AB15" s="63">
        <v>4073</v>
      </c>
    </row>
    <row r="16" spans="1:28" x14ac:dyDescent="0.2">
      <c r="A16" s="62">
        <v>1</v>
      </c>
      <c r="B16" s="62" t="s">
        <v>315</v>
      </c>
      <c r="C16" s="62">
        <v>53</v>
      </c>
      <c r="D16" s="62" t="s">
        <v>333</v>
      </c>
      <c r="E16" s="63">
        <v>4290</v>
      </c>
      <c r="F16" s="63">
        <v>4349</v>
      </c>
      <c r="G16" s="63">
        <v>4676</v>
      </c>
      <c r="H16" s="63">
        <v>4940</v>
      </c>
      <c r="I16" s="63">
        <v>5240</v>
      </c>
      <c r="J16" s="63">
        <v>5137</v>
      </c>
      <c r="K16" s="63">
        <v>5142</v>
      </c>
      <c r="L16" s="63">
        <v>4935</v>
      </c>
      <c r="M16" s="63">
        <v>4943</v>
      </c>
      <c r="N16" s="63">
        <v>4761</v>
      </c>
      <c r="O16" s="63">
        <v>4772</v>
      </c>
      <c r="P16" s="63">
        <v>4939</v>
      </c>
      <c r="Q16" s="63">
        <v>5186</v>
      </c>
      <c r="R16" s="63">
        <v>5300</v>
      </c>
      <c r="S16" s="63">
        <v>5697</v>
      </c>
      <c r="T16" s="63">
        <v>5965</v>
      </c>
      <c r="U16" s="63">
        <v>6097</v>
      </c>
      <c r="V16" s="63">
        <v>6325</v>
      </c>
      <c r="W16" s="63">
        <v>6463</v>
      </c>
      <c r="X16" s="63">
        <v>6283</v>
      </c>
      <c r="Y16" s="63">
        <v>6652</v>
      </c>
      <c r="Z16" s="63">
        <v>6776</v>
      </c>
      <c r="AA16" s="63">
        <v>6779</v>
      </c>
      <c r="AB16" s="63">
        <v>7087</v>
      </c>
    </row>
    <row r="17" spans="1:28" x14ac:dyDescent="0.2">
      <c r="A17" s="62">
        <v>1</v>
      </c>
      <c r="B17" s="62" t="s">
        <v>315</v>
      </c>
      <c r="C17" s="62">
        <v>54</v>
      </c>
      <c r="D17" s="62" t="s">
        <v>334</v>
      </c>
      <c r="E17" s="63">
        <v>5897</v>
      </c>
      <c r="F17" s="63">
        <v>5768</v>
      </c>
      <c r="G17" s="63">
        <v>6053</v>
      </c>
      <c r="H17" s="63">
        <v>6097</v>
      </c>
      <c r="I17" s="63">
        <v>6681</v>
      </c>
      <c r="J17" s="63">
        <v>6870</v>
      </c>
      <c r="K17" s="63">
        <v>7271</v>
      </c>
      <c r="L17" s="63">
        <v>7818</v>
      </c>
      <c r="M17" s="63">
        <v>7985</v>
      </c>
      <c r="N17" s="63">
        <v>8167</v>
      </c>
      <c r="O17" s="63">
        <v>8347</v>
      </c>
      <c r="P17" s="63">
        <v>8722</v>
      </c>
      <c r="Q17" s="63">
        <v>8481</v>
      </c>
      <c r="R17" s="63">
        <v>8988</v>
      </c>
      <c r="S17" s="63">
        <v>9785</v>
      </c>
      <c r="T17" s="63">
        <v>10160</v>
      </c>
      <c r="U17" s="63">
        <v>10798</v>
      </c>
      <c r="V17" s="63">
        <v>11056</v>
      </c>
      <c r="W17" s="63">
        <v>11462</v>
      </c>
      <c r="X17" s="63">
        <v>11530</v>
      </c>
      <c r="Y17" s="63">
        <v>12539</v>
      </c>
      <c r="Z17" s="63">
        <v>13551</v>
      </c>
      <c r="AA17" s="63">
        <v>14019</v>
      </c>
      <c r="AB17" s="63">
        <v>14744</v>
      </c>
    </row>
    <row r="18" spans="1:28" x14ac:dyDescent="0.2">
      <c r="A18" s="62">
        <v>1</v>
      </c>
      <c r="B18" s="62" t="s">
        <v>315</v>
      </c>
      <c r="C18" s="62">
        <v>55</v>
      </c>
      <c r="D18" s="62" t="s">
        <v>335</v>
      </c>
      <c r="E18" s="63">
        <v>954</v>
      </c>
      <c r="F18" s="63">
        <v>974</v>
      </c>
      <c r="G18" s="63">
        <v>1032</v>
      </c>
      <c r="H18" s="63">
        <v>1177</v>
      </c>
      <c r="I18" s="63">
        <v>1395</v>
      </c>
      <c r="J18" s="63">
        <v>1568</v>
      </c>
      <c r="K18" s="63">
        <v>1353</v>
      </c>
      <c r="L18" s="63">
        <v>1263</v>
      </c>
      <c r="M18" s="63">
        <v>1576</v>
      </c>
      <c r="N18" s="63">
        <v>1639</v>
      </c>
      <c r="O18" s="63">
        <v>1275</v>
      </c>
      <c r="P18" s="63">
        <v>1243</v>
      </c>
      <c r="Q18" s="63">
        <v>1318</v>
      </c>
      <c r="R18" s="63">
        <v>1370</v>
      </c>
      <c r="S18" s="63">
        <v>1476</v>
      </c>
      <c r="T18" s="63">
        <v>1686</v>
      </c>
      <c r="U18" s="63">
        <v>1738</v>
      </c>
      <c r="V18" s="63">
        <v>1732</v>
      </c>
      <c r="W18" s="63">
        <v>1710</v>
      </c>
      <c r="X18" s="63">
        <v>1787</v>
      </c>
      <c r="Y18" s="63">
        <v>1957</v>
      </c>
      <c r="Z18" s="63">
        <v>1731</v>
      </c>
      <c r="AA18" s="63">
        <v>1718</v>
      </c>
      <c r="AB18" s="63">
        <v>1847</v>
      </c>
    </row>
    <row r="19" spans="1:28" x14ac:dyDescent="0.2">
      <c r="A19" s="62">
        <v>1</v>
      </c>
      <c r="B19" s="62" t="s">
        <v>315</v>
      </c>
      <c r="C19" s="62">
        <v>56</v>
      </c>
      <c r="D19" s="62" t="s">
        <v>336</v>
      </c>
      <c r="E19" s="63">
        <v>9994</v>
      </c>
      <c r="F19" s="63">
        <v>10349</v>
      </c>
      <c r="G19" s="63">
        <v>10450</v>
      </c>
      <c r="H19" s="63">
        <v>10715</v>
      </c>
      <c r="I19" s="63">
        <v>11208</v>
      </c>
      <c r="J19" s="63">
        <v>12631</v>
      </c>
      <c r="K19" s="63">
        <v>13492</v>
      </c>
      <c r="L19" s="63">
        <v>12727</v>
      </c>
      <c r="M19" s="63">
        <v>11986</v>
      </c>
      <c r="N19" s="63">
        <v>12261</v>
      </c>
      <c r="O19" s="63">
        <v>12868</v>
      </c>
      <c r="P19" s="63">
        <v>13552</v>
      </c>
      <c r="Q19" s="63">
        <v>13343</v>
      </c>
      <c r="R19" s="63">
        <v>14251</v>
      </c>
      <c r="S19" s="63">
        <v>15420</v>
      </c>
      <c r="T19" s="63">
        <v>16011</v>
      </c>
      <c r="U19" s="63">
        <v>17190</v>
      </c>
      <c r="V19" s="63">
        <v>17666</v>
      </c>
      <c r="W19" s="63">
        <v>18996</v>
      </c>
      <c r="X19" s="63">
        <v>18401</v>
      </c>
      <c r="Y19" s="63">
        <v>19329</v>
      </c>
      <c r="Z19" s="63">
        <v>20965</v>
      </c>
      <c r="AA19" s="63">
        <v>21502</v>
      </c>
      <c r="AB19" s="63">
        <v>21406</v>
      </c>
    </row>
    <row r="20" spans="1:28" x14ac:dyDescent="0.2">
      <c r="A20" s="62">
        <v>1</v>
      </c>
      <c r="B20" s="62" t="s">
        <v>315</v>
      </c>
      <c r="C20" s="62">
        <v>61</v>
      </c>
      <c r="D20" s="62" t="s">
        <v>337</v>
      </c>
      <c r="E20" s="63">
        <v>921</v>
      </c>
      <c r="F20" s="63">
        <v>1043</v>
      </c>
      <c r="G20" s="63">
        <v>1332</v>
      </c>
      <c r="H20" s="63">
        <v>1590</v>
      </c>
      <c r="I20" s="63">
        <v>1942</v>
      </c>
      <c r="J20" s="63">
        <v>2118</v>
      </c>
      <c r="K20" s="63">
        <v>2207</v>
      </c>
      <c r="L20" s="63">
        <v>2190</v>
      </c>
      <c r="M20" s="63">
        <v>2405</v>
      </c>
      <c r="N20" s="63">
        <v>2345</v>
      </c>
      <c r="O20" s="63">
        <v>2029</v>
      </c>
      <c r="P20" s="63">
        <v>1990</v>
      </c>
      <c r="Q20" s="63">
        <v>1785</v>
      </c>
      <c r="R20" s="63">
        <v>2157</v>
      </c>
      <c r="S20" s="63">
        <v>1959</v>
      </c>
      <c r="T20" s="63">
        <v>1776</v>
      </c>
      <c r="U20" s="63">
        <v>1835</v>
      </c>
      <c r="V20" s="63">
        <v>1877</v>
      </c>
      <c r="W20" s="63">
        <v>1980</v>
      </c>
      <c r="X20" s="63">
        <v>1741</v>
      </c>
      <c r="Y20" s="63">
        <v>1896</v>
      </c>
      <c r="Z20" s="63">
        <v>2128</v>
      </c>
      <c r="AA20" s="63">
        <v>2187</v>
      </c>
      <c r="AB20" s="63">
        <v>2256</v>
      </c>
    </row>
    <row r="21" spans="1:28" x14ac:dyDescent="0.2">
      <c r="A21" s="62">
        <v>1</v>
      </c>
      <c r="B21" s="62" t="s">
        <v>315</v>
      </c>
      <c r="C21" s="62">
        <v>62</v>
      </c>
      <c r="D21" s="62" t="s">
        <v>338</v>
      </c>
      <c r="E21" s="63">
        <v>9847</v>
      </c>
      <c r="F21" s="63">
        <v>9929</v>
      </c>
      <c r="G21" s="63">
        <v>10280</v>
      </c>
      <c r="H21" s="63">
        <v>10525</v>
      </c>
      <c r="I21" s="63">
        <v>11123</v>
      </c>
      <c r="J21" s="63">
        <v>11863</v>
      </c>
      <c r="K21" s="63">
        <v>13121</v>
      </c>
      <c r="L21" s="63">
        <v>15418</v>
      </c>
      <c r="M21" s="63">
        <v>16057</v>
      </c>
      <c r="N21" s="63">
        <v>16615</v>
      </c>
      <c r="O21" s="63">
        <v>16828</v>
      </c>
      <c r="P21" s="63">
        <v>17731</v>
      </c>
      <c r="Q21" s="63">
        <v>18515</v>
      </c>
      <c r="R21" s="63">
        <v>19035</v>
      </c>
      <c r="S21" s="63">
        <v>19785</v>
      </c>
      <c r="T21" s="63">
        <v>20631</v>
      </c>
      <c r="U21" s="63">
        <v>21292</v>
      </c>
      <c r="V21" s="63">
        <v>21896</v>
      </c>
      <c r="W21" s="63">
        <v>22674</v>
      </c>
      <c r="X21" s="63">
        <v>20442</v>
      </c>
      <c r="Y21" s="63">
        <v>21092</v>
      </c>
      <c r="Z21" s="63">
        <v>21827</v>
      </c>
      <c r="AA21" s="63">
        <v>23291</v>
      </c>
      <c r="AB21" s="63">
        <v>24443</v>
      </c>
    </row>
    <row r="22" spans="1:28" x14ac:dyDescent="0.2">
      <c r="A22" s="62">
        <v>1</v>
      </c>
      <c r="B22" s="62" t="s">
        <v>315</v>
      </c>
      <c r="C22" s="62">
        <v>71</v>
      </c>
      <c r="D22" s="62" t="s">
        <v>339</v>
      </c>
      <c r="E22" s="63">
        <v>1487</v>
      </c>
      <c r="F22" s="63">
        <v>1589</v>
      </c>
      <c r="G22" s="63">
        <v>1561</v>
      </c>
      <c r="H22" s="63">
        <v>1653</v>
      </c>
      <c r="I22" s="63">
        <v>1824</v>
      </c>
      <c r="J22" s="63">
        <v>1883</v>
      </c>
      <c r="K22" s="63">
        <v>2084</v>
      </c>
      <c r="L22" s="63">
        <v>2057</v>
      </c>
      <c r="M22" s="63">
        <v>2003</v>
      </c>
      <c r="N22" s="63">
        <v>2077</v>
      </c>
      <c r="O22" s="63">
        <v>2099</v>
      </c>
      <c r="P22" s="63">
        <v>2274</v>
      </c>
      <c r="Q22" s="63">
        <v>2591</v>
      </c>
      <c r="R22" s="63">
        <v>2675</v>
      </c>
      <c r="S22" s="63">
        <v>2721</v>
      </c>
      <c r="T22" s="63">
        <v>2938</v>
      </c>
      <c r="U22" s="63">
        <v>3238</v>
      </c>
      <c r="V22" s="63">
        <v>3444</v>
      </c>
      <c r="W22" s="63">
        <v>4073</v>
      </c>
      <c r="X22" s="63">
        <v>3236</v>
      </c>
      <c r="Y22" s="63">
        <v>3676</v>
      </c>
      <c r="Z22" s="63">
        <v>4075</v>
      </c>
      <c r="AA22" s="63">
        <v>4642</v>
      </c>
      <c r="AB22" s="63">
        <v>4787</v>
      </c>
    </row>
    <row r="23" spans="1:28" x14ac:dyDescent="0.2">
      <c r="A23" s="62">
        <v>1</v>
      </c>
      <c r="B23" s="62" t="s">
        <v>315</v>
      </c>
      <c r="C23" s="62">
        <v>72</v>
      </c>
      <c r="D23" s="62" t="s">
        <v>340</v>
      </c>
      <c r="E23" s="63">
        <v>10624</v>
      </c>
      <c r="F23" s="63">
        <v>10734</v>
      </c>
      <c r="G23" s="63">
        <v>10373</v>
      </c>
      <c r="H23" s="63">
        <v>10765</v>
      </c>
      <c r="I23" s="63">
        <v>11190</v>
      </c>
      <c r="J23" s="63">
        <v>11793</v>
      </c>
      <c r="K23" s="63">
        <v>12221</v>
      </c>
      <c r="L23" s="63">
        <v>12841</v>
      </c>
      <c r="M23" s="63">
        <v>12598</v>
      </c>
      <c r="N23" s="63">
        <v>12310</v>
      </c>
      <c r="O23" s="63">
        <v>12581</v>
      </c>
      <c r="P23" s="63">
        <v>12862</v>
      </c>
      <c r="Q23" s="63">
        <v>13747</v>
      </c>
      <c r="R23" s="63">
        <v>14542</v>
      </c>
      <c r="S23" s="63">
        <v>15249</v>
      </c>
      <c r="T23" s="63">
        <v>16013</v>
      </c>
      <c r="U23" s="63">
        <v>16746</v>
      </c>
      <c r="V23" s="63">
        <v>17264</v>
      </c>
      <c r="W23" s="63">
        <v>18717</v>
      </c>
      <c r="X23" s="63">
        <v>16318</v>
      </c>
      <c r="Y23" s="63">
        <v>17802</v>
      </c>
      <c r="Z23" s="63">
        <v>19666</v>
      </c>
      <c r="AA23" s="63">
        <v>19860</v>
      </c>
      <c r="AB23" s="63">
        <v>19651</v>
      </c>
    </row>
    <row r="24" spans="1:28" x14ac:dyDescent="0.2">
      <c r="A24" s="62">
        <v>1</v>
      </c>
      <c r="B24" s="62" t="s">
        <v>315</v>
      </c>
      <c r="C24" s="62">
        <v>81</v>
      </c>
      <c r="D24" s="62" t="s">
        <v>341</v>
      </c>
      <c r="E24" s="63">
        <v>6926</v>
      </c>
      <c r="F24" s="63">
        <v>6986</v>
      </c>
      <c r="G24" s="63">
        <v>7150</v>
      </c>
      <c r="H24" s="63">
        <v>7665</v>
      </c>
      <c r="I24" s="63">
        <v>8060</v>
      </c>
      <c r="J24" s="63">
        <v>8239</v>
      </c>
      <c r="K24" s="63">
        <v>8357</v>
      </c>
      <c r="L24" s="63">
        <v>8379</v>
      </c>
      <c r="M24" s="63">
        <v>8353</v>
      </c>
      <c r="N24" s="63">
        <v>8361</v>
      </c>
      <c r="O24" s="63">
        <v>8788</v>
      </c>
      <c r="P24" s="63">
        <v>8865</v>
      </c>
      <c r="Q24" s="63">
        <v>9136</v>
      </c>
      <c r="R24" s="63">
        <v>9604</v>
      </c>
      <c r="S24" s="63">
        <v>10025</v>
      </c>
      <c r="T24" s="63">
        <v>10112</v>
      </c>
      <c r="U24" s="63">
        <v>10430</v>
      </c>
      <c r="V24" s="63">
        <v>9730</v>
      </c>
      <c r="W24" s="63">
        <v>9829</v>
      </c>
      <c r="X24" s="63">
        <v>9278</v>
      </c>
      <c r="Y24" s="63">
        <v>9993</v>
      </c>
      <c r="Z24" s="63">
        <v>10763</v>
      </c>
      <c r="AA24" s="63">
        <v>11226</v>
      </c>
      <c r="AB24" s="63">
        <v>11480</v>
      </c>
    </row>
    <row r="25" spans="1:28" x14ac:dyDescent="0.2">
      <c r="A25" s="62">
        <v>1</v>
      </c>
      <c r="B25" s="62" t="s">
        <v>315</v>
      </c>
      <c r="C25" s="62">
        <v>99</v>
      </c>
      <c r="D25" s="62" t="s">
        <v>342</v>
      </c>
      <c r="E25" s="63">
        <v>1</v>
      </c>
      <c r="F25" s="63">
        <v>0</v>
      </c>
      <c r="G25" s="63">
        <v>3</v>
      </c>
      <c r="H25" s="63">
        <v>1</v>
      </c>
      <c r="I25" s="63">
        <v>10</v>
      </c>
      <c r="J25" s="63">
        <v>16</v>
      </c>
      <c r="K25" s="62"/>
      <c r="L25" s="63">
        <v>18</v>
      </c>
      <c r="M25" s="63">
        <v>8</v>
      </c>
      <c r="N25" s="63">
        <v>9</v>
      </c>
      <c r="O25" s="63">
        <v>2</v>
      </c>
      <c r="P25" s="63">
        <v>11</v>
      </c>
      <c r="Q25" s="63">
        <v>16</v>
      </c>
      <c r="R25" s="63">
        <v>37</v>
      </c>
      <c r="S25" s="63">
        <v>28</v>
      </c>
      <c r="T25" s="63">
        <v>26</v>
      </c>
      <c r="U25" s="63">
        <v>16</v>
      </c>
      <c r="V25" s="63">
        <v>13</v>
      </c>
      <c r="W25" s="63">
        <v>16</v>
      </c>
      <c r="X25" s="63">
        <v>15</v>
      </c>
      <c r="Y25" s="63">
        <v>47</v>
      </c>
      <c r="Z25" s="63">
        <v>43</v>
      </c>
      <c r="AA25" s="63">
        <v>51</v>
      </c>
      <c r="AB25" s="63">
        <v>27</v>
      </c>
    </row>
    <row r="26" spans="1:28" x14ac:dyDescent="0.2">
      <c r="A26" s="62">
        <v>3</v>
      </c>
      <c r="B26" s="62" t="s">
        <v>343</v>
      </c>
      <c r="C26" s="62">
        <v>1</v>
      </c>
      <c r="D26" s="62" t="s">
        <v>316</v>
      </c>
      <c r="E26" s="63">
        <v>157</v>
      </c>
      <c r="F26" s="63">
        <v>166</v>
      </c>
      <c r="G26" s="63">
        <v>167</v>
      </c>
      <c r="H26" s="63">
        <v>161</v>
      </c>
      <c r="I26" s="63">
        <v>162</v>
      </c>
      <c r="J26" s="63">
        <v>165</v>
      </c>
      <c r="K26" s="63">
        <v>163</v>
      </c>
      <c r="L26" s="63">
        <v>167</v>
      </c>
      <c r="M26" s="63">
        <v>171</v>
      </c>
      <c r="N26" s="63">
        <v>181</v>
      </c>
      <c r="O26" s="63">
        <v>173</v>
      </c>
      <c r="P26" s="63">
        <v>168</v>
      </c>
      <c r="Q26" s="63">
        <v>154</v>
      </c>
      <c r="R26" s="63">
        <v>140</v>
      </c>
      <c r="S26" s="63">
        <v>144</v>
      </c>
      <c r="T26" s="63">
        <v>142</v>
      </c>
      <c r="U26" s="63">
        <v>139</v>
      </c>
      <c r="V26" s="63">
        <v>134</v>
      </c>
      <c r="W26" s="63">
        <v>132</v>
      </c>
      <c r="X26" s="63">
        <v>139</v>
      </c>
      <c r="Y26" s="63">
        <v>137</v>
      </c>
      <c r="Z26" s="63">
        <v>129</v>
      </c>
      <c r="AA26" s="63">
        <v>129</v>
      </c>
      <c r="AB26" s="63">
        <v>131</v>
      </c>
    </row>
    <row r="27" spans="1:28" x14ac:dyDescent="0.2">
      <c r="A27" s="62">
        <v>3</v>
      </c>
      <c r="B27" s="62" t="s">
        <v>343</v>
      </c>
      <c r="C27" s="62">
        <v>10</v>
      </c>
      <c r="D27" s="62" t="s">
        <v>317</v>
      </c>
      <c r="E27" s="63">
        <v>8398</v>
      </c>
      <c r="F27" s="63">
        <v>8492</v>
      </c>
      <c r="G27" s="63">
        <v>8653</v>
      </c>
      <c r="H27" s="63">
        <v>8663</v>
      </c>
      <c r="I27" s="63">
        <v>8697</v>
      </c>
      <c r="J27" s="63">
        <v>8756</v>
      </c>
      <c r="K27" s="63">
        <v>8805</v>
      </c>
      <c r="L27" s="63">
        <v>8868</v>
      </c>
      <c r="M27" s="63">
        <v>8800</v>
      </c>
      <c r="N27" s="63">
        <v>8911</v>
      </c>
      <c r="O27" s="63">
        <v>8845</v>
      </c>
      <c r="P27" s="63">
        <v>8617</v>
      </c>
      <c r="Q27" s="63">
        <v>8551</v>
      </c>
      <c r="R27" s="63">
        <v>8584</v>
      </c>
      <c r="S27" s="63">
        <v>8905</v>
      </c>
      <c r="T27" s="63">
        <v>9169</v>
      </c>
      <c r="U27" s="63">
        <v>9349</v>
      </c>
      <c r="V27" s="63">
        <v>9430</v>
      </c>
      <c r="W27" s="63">
        <v>9544</v>
      </c>
      <c r="X27" s="63">
        <v>9137</v>
      </c>
      <c r="Y27" s="63">
        <v>9376</v>
      </c>
      <c r="Z27" s="63">
        <v>9630</v>
      </c>
      <c r="AA27" s="63">
        <v>9461</v>
      </c>
      <c r="AB27" s="63">
        <v>9394</v>
      </c>
    </row>
    <row r="28" spans="1:28" x14ac:dyDescent="0.2">
      <c r="A28" s="62">
        <v>3</v>
      </c>
      <c r="B28" s="62" t="s">
        <v>343</v>
      </c>
      <c r="C28" s="62">
        <v>11</v>
      </c>
      <c r="D28" s="62" t="s">
        <v>318</v>
      </c>
      <c r="E28" s="63">
        <v>447</v>
      </c>
      <c r="F28" s="63">
        <v>439</v>
      </c>
      <c r="G28" s="63">
        <v>454</v>
      </c>
      <c r="H28" s="63">
        <v>482</v>
      </c>
      <c r="I28" s="63">
        <v>484</v>
      </c>
      <c r="J28" s="63">
        <v>494</v>
      </c>
      <c r="K28" s="63">
        <v>463</v>
      </c>
      <c r="L28" s="63">
        <v>468</v>
      </c>
      <c r="M28" s="63">
        <v>475</v>
      </c>
      <c r="N28" s="63">
        <v>490</v>
      </c>
      <c r="O28" s="63">
        <v>501</v>
      </c>
      <c r="P28" s="63">
        <v>352</v>
      </c>
      <c r="Q28" s="63">
        <v>286</v>
      </c>
      <c r="R28" s="63">
        <v>270</v>
      </c>
      <c r="S28" s="63">
        <v>369</v>
      </c>
      <c r="T28" s="63">
        <v>417</v>
      </c>
      <c r="U28" s="63">
        <v>457</v>
      </c>
      <c r="V28" s="63">
        <v>508</v>
      </c>
      <c r="W28" s="63">
        <v>475</v>
      </c>
      <c r="X28" s="63">
        <v>421</v>
      </c>
      <c r="Y28" s="63">
        <v>406</v>
      </c>
      <c r="Z28" s="63">
        <v>344</v>
      </c>
      <c r="AA28" s="63">
        <v>278</v>
      </c>
      <c r="AB28" s="63">
        <v>313</v>
      </c>
    </row>
    <row r="29" spans="1:28" x14ac:dyDescent="0.2">
      <c r="A29" s="62">
        <v>3</v>
      </c>
      <c r="B29" s="62" t="s">
        <v>343</v>
      </c>
      <c r="C29" s="62">
        <v>2</v>
      </c>
      <c r="D29" s="62" t="s">
        <v>319</v>
      </c>
      <c r="E29" s="63">
        <v>687</v>
      </c>
      <c r="F29" s="63">
        <v>697</v>
      </c>
      <c r="G29" s="63">
        <v>723</v>
      </c>
      <c r="H29" s="63">
        <v>753</v>
      </c>
      <c r="I29" s="63">
        <v>814</v>
      </c>
      <c r="J29" s="63">
        <v>809</v>
      </c>
      <c r="K29" s="63">
        <v>815</v>
      </c>
      <c r="L29" s="63">
        <v>847</v>
      </c>
      <c r="M29" s="63">
        <v>815</v>
      </c>
      <c r="N29" s="63">
        <v>838</v>
      </c>
      <c r="O29" s="63">
        <v>853</v>
      </c>
      <c r="P29" s="63">
        <v>861</v>
      </c>
      <c r="Q29" s="63">
        <v>878</v>
      </c>
      <c r="R29" s="63">
        <v>869</v>
      </c>
      <c r="S29" s="63">
        <v>859</v>
      </c>
      <c r="T29" s="63">
        <v>844</v>
      </c>
      <c r="U29" s="63">
        <v>884</v>
      </c>
      <c r="V29" s="63">
        <v>874</v>
      </c>
      <c r="W29" s="63">
        <v>849</v>
      </c>
      <c r="X29" s="63">
        <v>830</v>
      </c>
      <c r="Y29" s="63">
        <v>821</v>
      </c>
      <c r="Z29" s="63">
        <v>825</v>
      </c>
      <c r="AA29" s="63">
        <v>845</v>
      </c>
      <c r="AB29" s="63">
        <v>857</v>
      </c>
    </row>
    <row r="30" spans="1:28" x14ac:dyDescent="0.2">
      <c r="A30" s="62">
        <v>3</v>
      </c>
      <c r="B30" s="62" t="s">
        <v>343</v>
      </c>
      <c r="C30" s="62">
        <v>21</v>
      </c>
      <c r="D30" s="62" t="s">
        <v>320</v>
      </c>
      <c r="E30" s="63">
        <v>88</v>
      </c>
      <c r="F30" s="63">
        <v>62</v>
      </c>
      <c r="G30" s="63">
        <v>66</v>
      </c>
      <c r="H30" s="63">
        <v>67</v>
      </c>
      <c r="I30" s="63">
        <v>65</v>
      </c>
      <c r="J30" s="63">
        <v>56</v>
      </c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3">
        <v>33</v>
      </c>
      <c r="W30" s="63">
        <v>35</v>
      </c>
      <c r="X30" s="62"/>
      <c r="Y30" s="62"/>
      <c r="Z30" s="63">
        <v>14</v>
      </c>
      <c r="AA30" s="63">
        <v>14</v>
      </c>
      <c r="AB30" s="62"/>
    </row>
    <row r="31" spans="1:28" x14ac:dyDescent="0.2">
      <c r="A31" s="62">
        <v>3</v>
      </c>
      <c r="B31" s="62" t="s">
        <v>343</v>
      </c>
      <c r="C31" s="62">
        <v>22</v>
      </c>
      <c r="D31" s="62" t="s">
        <v>321</v>
      </c>
      <c r="E31" s="62"/>
      <c r="F31" s="62"/>
      <c r="G31" s="62"/>
      <c r="H31" s="62"/>
      <c r="I31" s="62"/>
      <c r="J31" s="62"/>
      <c r="K31" s="62"/>
      <c r="L31" s="62"/>
      <c r="M31" s="63">
        <v>59</v>
      </c>
      <c r="N31" s="63">
        <v>57</v>
      </c>
      <c r="O31" s="63">
        <v>78</v>
      </c>
      <c r="P31" s="63">
        <v>77</v>
      </c>
      <c r="Q31" s="63">
        <v>73</v>
      </c>
      <c r="R31" s="63">
        <v>82</v>
      </c>
      <c r="S31" s="63">
        <v>95</v>
      </c>
      <c r="T31" s="63">
        <v>86</v>
      </c>
      <c r="U31" s="63">
        <v>55</v>
      </c>
      <c r="V31" s="62"/>
      <c r="W31" s="62"/>
      <c r="X31" s="62"/>
      <c r="Y31" s="63">
        <v>61</v>
      </c>
      <c r="Z31" s="63">
        <v>68</v>
      </c>
      <c r="AA31" s="63">
        <v>73</v>
      </c>
      <c r="AB31" s="63">
        <v>83</v>
      </c>
    </row>
    <row r="32" spans="1:28" x14ac:dyDescent="0.2">
      <c r="A32" s="62">
        <v>3</v>
      </c>
      <c r="B32" s="62" t="s">
        <v>343</v>
      </c>
      <c r="C32" s="62">
        <v>23</v>
      </c>
      <c r="D32" s="62" t="s">
        <v>322</v>
      </c>
      <c r="E32" s="63">
        <v>584</v>
      </c>
      <c r="F32" s="63">
        <v>587</v>
      </c>
      <c r="G32" s="63">
        <v>622</v>
      </c>
      <c r="H32" s="63">
        <v>557</v>
      </c>
      <c r="I32" s="63">
        <v>547</v>
      </c>
      <c r="J32" s="63">
        <v>512</v>
      </c>
      <c r="K32" s="63">
        <v>590</v>
      </c>
      <c r="L32" s="63">
        <v>618</v>
      </c>
      <c r="M32" s="63">
        <v>509</v>
      </c>
      <c r="N32" s="63">
        <v>558</v>
      </c>
      <c r="O32" s="63">
        <v>509</v>
      </c>
      <c r="P32" s="63">
        <v>469</v>
      </c>
      <c r="Q32" s="63">
        <v>470</v>
      </c>
      <c r="R32" s="63">
        <v>423</v>
      </c>
      <c r="S32" s="63">
        <v>447</v>
      </c>
      <c r="T32" s="63">
        <v>495</v>
      </c>
      <c r="U32" s="63">
        <v>496</v>
      </c>
      <c r="V32" s="63">
        <v>536</v>
      </c>
      <c r="W32" s="63">
        <v>540</v>
      </c>
      <c r="X32" s="63">
        <v>537</v>
      </c>
      <c r="Y32" s="63">
        <v>507</v>
      </c>
      <c r="Z32" s="63">
        <v>500</v>
      </c>
      <c r="AA32" s="63">
        <v>552</v>
      </c>
      <c r="AB32" s="63">
        <v>610</v>
      </c>
    </row>
    <row r="33" spans="1:28" x14ac:dyDescent="0.2">
      <c r="A33" s="62">
        <v>3</v>
      </c>
      <c r="B33" s="62" t="s">
        <v>343</v>
      </c>
      <c r="C33" s="62">
        <v>3</v>
      </c>
      <c r="D33" s="62" t="s">
        <v>323</v>
      </c>
      <c r="E33" s="63">
        <v>993</v>
      </c>
      <c r="F33" s="63">
        <v>977</v>
      </c>
      <c r="G33" s="63">
        <v>1002</v>
      </c>
      <c r="H33" s="63">
        <v>1021</v>
      </c>
      <c r="I33" s="63">
        <v>1007</v>
      </c>
      <c r="J33" s="63">
        <v>992</v>
      </c>
      <c r="K33" s="63">
        <v>973</v>
      </c>
      <c r="L33" s="63">
        <v>981</v>
      </c>
      <c r="M33" s="63">
        <v>974</v>
      </c>
      <c r="N33" s="63">
        <v>973</v>
      </c>
      <c r="O33" s="63">
        <v>950</v>
      </c>
      <c r="P33" s="63">
        <v>944</v>
      </c>
      <c r="Q33" s="63">
        <v>945</v>
      </c>
      <c r="R33" s="63">
        <v>962</v>
      </c>
      <c r="S33" s="63">
        <v>973</v>
      </c>
      <c r="T33" s="63">
        <v>991</v>
      </c>
      <c r="U33" s="63">
        <v>1011</v>
      </c>
      <c r="V33" s="63">
        <v>1010</v>
      </c>
      <c r="W33" s="63">
        <v>988</v>
      </c>
      <c r="X33" s="63">
        <v>928</v>
      </c>
      <c r="Y33" s="63">
        <v>910</v>
      </c>
      <c r="Z33" s="63">
        <v>941</v>
      </c>
      <c r="AA33" s="63">
        <v>992</v>
      </c>
      <c r="AB33" s="63">
        <v>974</v>
      </c>
    </row>
    <row r="34" spans="1:28" x14ac:dyDescent="0.2">
      <c r="A34" s="62">
        <v>3</v>
      </c>
      <c r="B34" s="62" t="s">
        <v>343</v>
      </c>
      <c r="C34" s="62" t="s">
        <v>324</v>
      </c>
      <c r="D34" s="62" t="s">
        <v>325</v>
      </c>
      <c r="E34" s="63">
        <v>118</v>
      </c>
      <c r="F34" s="63">
        <v>119</v>
      </c>
      <c r="G34" s="63">
        <v>119</v>
      </c>
      <c r="H34" s="63">
        <v>140</v>
      </c>
      <c r="I34" s="63">
        <v>141</v>
      </c>
      <c r="J34" s="63">
        <v>147</v>
      </c>
      <c r="K34" s="63">
        <v>135</v>
      </c>
      <c r="L34" s="63">
        <v>124</v>
      </c>
      <c r="M34" s="63">
        <v>137</v>
      </c>
      <c r="N34" s="63">
        <v>119</v>
      </c>
      <c r="O34" s="63">
        <v>147</v>
      </c>
      <c r="P34" s="63">
        <v>151</v>
      </c>
      <c r="Q34" s="63">
        <v>148</v>
      </c>
      <c r="R34" s="63">
        <v>152</v>
      </c>
      <c r="S34" s="63">
        <v>147</v>
      </c>
      <c r="T34" s="63">
        <v>133</v>
      </c>
      <c r="U34" s="63">
        <v>138</v>
      </c>
      <c r="V34" s="63">
        <v>139</v>
      </c>
      <c r="W34" s="63">
        <v>142</v>
      </c>
      <c r="X34" s="63">
        <v>144</v>
      </c>
      <c r="Y34" s="63">
        <v>172</v>
      </c>
      <c r="Z34" s="63">
        <v>166</v>
      </c>
      <c r="AA34" s="63">
        <v>153</v>
      </c>
      <c r="AB34" s="63">
        <v>142</v>
      </c>
    </row>
    <row r="35" spans="1:28" x14ac:dyDescent="0.2">
      <c r="A35" s="62">
        <v>3</v>
      </c>
      <c r="B35" s="62" t="s">
        <v>343</v>
      </c>
      <c r="C35" s="62">
        <v>42</v>
      </c>
      <c r="D35" s="62" t="s">
        <v>326</v>
      </c>
      <c r="E35" s="63">
        <v>230</v>
      </c>
      <c r="F35" s="63">
        <v>221</v>
      </c>
      <c r="G35" s="63">
        <v>219</v>
      </c>
      <c r="H35" s="63">
        <v>219</v>
      </c>
      <c r="I35" s="63">
        <v>222</v>
      </c>
      <c r="J35" s="63">
        <v>224</v>
      </c>
      <c r="K35" s="63">
        <v>223</v>
      </c>
      <c r="L35" s="63">
        <v>224</v>
      </c>
      <c r="M35" s="63">
        <v>192</v>
      </c>
      <c r="N35" s="63">
        <v>204</v>
      </c>
      <c r="O35" s="63">
        <v>193</v>
      </c>
      <c r="P35" s="63">
        <v>199</v>
      </c>
      <c r="Q35" s="63">
        <v>201</v>
      </c>
      <c r="R35" s="63">
        <v>190</v>
      </c>
      <c r="S35" s="63">
        <v>215</v>
      </c>
      <c r="T35" s="63">
        <v>202</v>
      </c>
      <c r="U35" s="63">
        <v>193</v>
      </c>
      <c r="V35" s="63">
        <v>182</v>
      </c>
      <c r="W35" s="63">
        <v>180</v>
      </c>
      <c r="X35" s="63">
        <v>167</v>
      </c>
      <c r="Y35" s="63">
        <v>169</v>
      </c>
      <c r="Z35" s="63">
        <v>167</v>
      </c>
      <c r="AA35" s="63">
        <v>158</v>
      </c>
      <c r="AB35" s="63">
        <v>167</v>
      </c>
    </row>
    <row r="36" spans="1:28" x14ac:dyDescent="0.2">
      <c r="A36" s="62">
        <v>3</v>
      </c>
      <c r="B36" s="62" t="s">
        <v>343</v>
      </c>
      <c r="C36" s="62" t="s">
        <v>327</v>
      </c>
      <c r="D36" s="62" t="s">
        <v>328</v>
      </c>
      <c r="E36" s="63">
        <v>1348</v>
      </c>
      <c r="F36" s="63">
        <v>1332</v>
      </c>
      <c r="G36" s="63">
        <v>1233</v>
      </c>
      <c r="H36" s="63">
        <v>1206</v>
      </c>
      <c r="I36" s="63">
        <v>1221</v>
      </c>
      <c r="J36" s="63">
        <v>1186</v>
      </c>
      <c r="K36" s="63">
        <v>1219</v>
      </c>
      <c r="L36" s="63">
        <v>1214</v>
      </c>
      <c r="M36" s="63">
        <v>1233</v>
      </c>
      <c r="N36" s="63">
        <v>1216</v>
      </c>
      <c r="O36" s="63">
        <v>1200</v>
      </c>
      <c r="P36" s="63">
        <v>1174</v>
      </c>
      <c r="Q36" s="63">
        <v>1149</v>
      </c>
      <c r="R36" s="63">
        <v>1166</v>
      </c>
      <c r="S36" s="63">
        <v>1187</v>
      </c>
      <c r="T36" s="63">
        <v>1241</v>
      </c>
      <c r="U36" s="63">
        <v>1242</v>
      </c>
      <c r="V36" s="63">
        <v>1240</v>
      </c>
      <c r="W36" s="63">
        <v>1188</v>
      </c>
      <c r="X36" s="63">
        <v>1165</v>
      </c>
      <c r="Y36" s="63">
        <v>1141</v>
      </c>
      <c r="Z36" s="63">
        <v>1135</v>
      </c>
      <c r="AA36" s="63">
        <v>1175</v>
      </c>
      <c r="AB36" s="63">
        <v>1182</v>
      </c>
    </row>
    <row r="37" spans="1:28" x14ac:dyDescent="0.2">
      <c r="A37" s="62">
        <v>3</v>
      </c>
      <c r="B37" s="62" t="s">
        <v>343</v>
      </c>
      <c r="C37" s="62" t="s">
        <v>329</v>
      </c>
      <c r="D37" s="62" t="s">
        <v>330</v>
      </c>
      <c r="E37" s="63">
        <v>183</v>
      </c>
      <c r="F37" s="63">
        <v>182</v>
      </c>
      <c r="G37" s="63">
        <v>186</v>
      </c>
      <c r="H37" s="63">
        <v>184</v>
      </c>
      <c r="I37" s="63">
        <v>187</v>
      </c>
      <c r="J37" s="63">
        <v>198</v>
      </c>
      <c r="K37" s="63">
        <v>197</v>
      </c>
      <c r="L37" s="63">
        <v>214</v>
      </c>
      <c r="M37" s="63">
        <v>197</v>
      </c>
      <c r="N37" s="63">
        <v>200</v>
      </c>
      <c r="O37" s="63">
        <v>232</v>
      </c>
      <c r="P37" s="63">
        <v>239</v>
      </c>
      <c r="Q37" s="63">
        <v>230</v>
      </c>
      <c r="R37" s="63">
        <v>254</v>
      </c>
      <c r="S37" s="63">
        <v>261</v>
      </c>
      <c r="T37" s="63">
        <v>245</v>
      </c>
      <c r="U37" s="63">
        <v>248</v>
      </c>
      <c r="V37" s="63">
        <v>237</v>
      </c>
      <c r="W37" s="63">
        <v>251</v>
      </c>
      <c r="X37" s="63">
        <v>283</v>
      </c>
      <c r="Y37" s="63">
        <v>306</v>
      </c>
      <c r="Z37" s="63">
        <v>301</v>
      </c>
      <c r="AA37" s="63">
        <v>266</v>
      </c>
      <c r="AB37" s="63">
        <v>234</v>
      </c>
    </row>
    <row r="38" spans="1:28" x14ac:dyDescent="0.2">
      <c r="A38" s="62">
        <v>3</v>
      </c>
      <c r="B38" s="62" t="s">
        <v>343</v>
      </c>
      <c r="C38" s="62">
        <v>51</v>
      </c>
      <c r="D38" s="62" t="s">
        <v>331</v>
      </c>
      <c r="E38" s="63">
        <v>131</v>
      </c>
      <c r="F38" s="63">
        <v>129</v>
      </c>
      <c r="G38" s="63">
        <v>120</v>
      </c>
      <c r="H38" s="63">
        <v>133</v>
      </c>
      <c r="I38" s="63">
        <v>135</v>
      </c>
      <c r="J38" s="63">
        <v>141</v>
      </c>
      <c r="K38" s="63">
        <v>131</v>
      </c>
      <c r="L38" s="63">
        <v>118</v>
      </c>
      <c r="M38" s="63">
        <v>120</v>
      </c>
      <c r="N38" s="63">
        <v>111</v>
      </c>
      <c r="O38" s="63">
        <v>104</v>
      </c>
      <c r="P38" s="63">
        <v>101</v>
      </c>
      <c r="Q38" s="63">
        <v>95</v>
      </c>
      <c r="R38" s="63">
        <v>95</v>
      </c>
      <c r="S38" s="63">
        <v>95</v>
      </c>
      <c r="T38" s="63">
        <v>96</v>
      </c>
      <c r="U38" s="63">
        <v>99</v>
      </c>
      <c r="V38" s="63">
        <v>91</v>
      </c>
      <c r="W38" s="63">
        <v>85</v>
      </c>
      <c r="X38" s="63">
        <v>67</v>
      </c>
      <c r="Y38" s="63">
        <v>73</v>
      </c>
      <c r="Z38" s="63">
        <v>76</v>
      </c>
      <c r="AA38" s="63">
        <v>65</v>
      </c>
      <c r="AB38" s="63">
        <v>54</v>
      </c>
    </row>
    <row r="39" spans="1:28" x14ac:dyDescent="0.2">
      <c r="A39" s="62">
        <v>3</v>
      </c>
      <c r="B39" s="62" t="s">
        <v>343</v>
      </c>
      <c r="C39" s="62">
        <v>52</v>
      </c>
      <c r="D39" s="62" t="s">
        <v>332</v>
      </c>
      <c r="E39" s="63">
        <v>251</v>
      </c>
      <c r="F39" s="63">
        <v>261</v>
      </c>
      <c r="G39" s="63">
        <v>260</v>
      </c>
      <c r="H39" s="63">
        <v>277</v>
      </c>
      <c r="I39" s="63">
        <v>316</v>
      </c>
      <c r="J39" s="63">
        <v>326</v>
      </c>
      <c r="K39" s="63">
        <v>329</v>
      </c>
      <c r="L39" s="63">
        <v>322</v>
      </c>
      <c r="M39" s="63">
        <v>317</v>
      </c>
      <c r="N39" s="63">
        <v>309</v>
      </c>
      <c r="O39" s="63">
        <v>289</v>
      </c>
      <c r="P39" s="63">
        <v>297</v>
      </c>
      <c r="Q39" s="63">
        <v>319</v>
      </c>
      <c r="R39" s="63">
        <v>326</v>
      </c>
      <c r="S39" s="63">
        <v>337</v>
      </c>
      <c r="T39" s="63">
        <v>339</v>
      </c>
      <c r="U39" s="63">
        <v>338</v>
      </c>
      <c r="V39" s="63">
        <v>339</v>
      </c>
      <c r="W39" s="63">
        <v>339</v>
      </c>
      <c r="X39" s="63">
        <v>375</v>
      </c>
      <c r="Y39" s="63">
        <v>465</v>
      </c>
      <c r="Z39" s="63">
        <v>761</v>
      </c>
      <c r="AA39" s="63">
        <v>489</v>
      </c>
      <c r="AB39" s="63">
        <v>289</v>
      </c>
    </row>
    <row r="40" spans="1:28" x14ac:dyDescent="0.2">
      <c r="A40" s="62">
        <v>3</v>
      </c>
      <c r="B40" s="62" t="s">
        <v>343</v>
      </c>
      <c r="C40" s="62">
        <v>53</v>
      </c>
      <c r="D40" s="62" t="s">
        <v>333</v>
      </c>
      <c r="E40" s="63">
        <v>205</v>
      </c>
      <c r="F40" s="63">
        <v>220</v>
      </c>
      <c r="G40" s="63">
        <v>231</v>
      </c>
      <c r="H40" s="63">
        <v>236</v>
      </c>
      <c r="I40" s="63">
        <v>241</v>
      </c>
      <c r="J40" s="63">
        <v>221</v>
      </c>
      <c r="K40" s="63">
        <v>212</v>
      </c>
      <c r="L40" s="63">
        <v>172</v>
      </c>
      <c r="M40" s="63">
        <v>222</v>
      </c>
      <c r="N40" s="63">
        <v>239</v>
      </c>
      <c r="O40" s="63">
        <v>227</v>
      </c>
      <c r="P40" s="63">
        <v>229</v>
      </c>
      <c r="Q40" s="63">
        <v>241</v>
      </c>
      <c r="R40" s="63">
        <v>226</v>
      </c>
      <c r="S40" s="63">
        <v>231</v>
      </c>
      <c r="T40" s="63">
        <v>239</v>
      </c>
      <c r="U40" s="63">
        <v>238</v>
      </c>
      <c r="V40" s="63">
        <v>238</v>
      </c>
      <c r="W40" s="63">
        <v>247</v>
      </c>
      <c r="X40" s="63">
        <v>243</v>
      </c>
      <c r="Y40" s="63">
        <v>266</v>
      </c>
      <c r="Z40" s="63">
        <v>253</v>
      </c>
      <c r="AA40" s="63">
        <v>253</v>
      </c>
      <c r="AB40" s="63">
        <v>243</v>
      </c>
    </row>
    <row r="41" spans="1:28" x14ac:dyDescent="0.2">
      <c r="A41" s="62">
        <v>3</v>
      </c>
      <c r="B41" s="62" t="s">
        <v>343</v>
      </c>
      <c r="C41" s="62">
        <v>54</v>
      </c>
      <c r="D41" s="62" t="s">
        <v>334</v>
      </c>
      <c r="E41" s="63">
        <v>232</v>
      </c>
      <c r="F41" s="63">
        <v>227</v>
      </c>
      <c r="G41" s="63">
        <v>278</v>
      </c>
      <c r="H41" s="63">
        <v>272</v>
      </c>
      <c r="I41" s="63">
        <v>293</v>
      </c>
      <c r="J41" s="63">
        <v>284</v>
      </c>
      <c r="K41" s="63">
        <v>306</v>
      </c>
      <c r="L41" s="63">
        <v>302</v>
      </c>
      <c r="M41" s="63">
        <v>312</v>
      </c>
      <c r="N41" s="63">
        <v>286</v>
      </c>
      <c r="O41" s="63">
        <v>300</v>
      </c>
      <c r="P41" s="63">
        <v>294</v>
      </c>
      <c r="Q41" s="63">
        <v>270</v>
      </c>
      <c r="R41" s="63">
        <v>278</v>
      </c>
      <c r="S41" s="63">
        <v>275</v>
      </c>
      <c r="T41" s="63">
        <v>281</v>
      </c>
      <c r="U41" s="63">
        <v>285</v>
      </c>
      <c r="V41" s="63">
        <v>292</v>
      </c>
      <c r="W41" s="63">
        <v>297</v>
      </c>
      <c r="X41" s="63">
        <v>292</v>
      </c>
      <c r="Y41" s="63">
        <v>304</v>
      </c>
      <c r="Z41" s="63">
        <v>341</v>
      </c>
      <c r="AA41" s="63">
        <v>342</v>
      </c>
      <c r="AB41" s="63">
        <v>344</v>
      </c>
    </row>
    <row r="42" spans="1:28" x14ac:dyDescent="0.2">
      <c r="A42" s="62">
        <v>3</v>
      </c>
      <c r="B42" s="62" t="s">
        <v>343</v>
      </c>
      <c r="C42" s="62">
        <v>55</v>
      </c>
      <c r="D42" s="62" t="s">
        <v>335</v>
      </c>
      <c r="E42" s="63">
        <v>99</v>
      </c>
      <c r="F42" s="63">
        <v>100</v>
      </c>
      <c r="G42" s="63">
        <v>88</v>
      </c>
      <c r="H42" s="63">
        <v>97</v>
      </c>
      <c r="I42" s="63">
        <v>99</v>
      </c>
      <c r="J42" s="63">
        <v>107</v>
      </c>
      <c r="K42" s="63">
        <v>108</v>
      </c>
      <c r="L42" s="63">
        <v>112</v>
      </c>
      <c r="M42" s="63">
        <v>113</v>
      </c>
      <c r="N42" s="63">
        <v>109</v>
      </c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</row>
    <row r="43" spans="1:28" x14ac:dyDescent="0.2">
      <c r="A43" s="62">
        <v>3</v>
      </c>
      <c r="B43" s="62" t="s">
        <v>343</v>
      </c>
      <c r="C43" s="62">
        <v>56</v>
      </c>
      <c r="D43" s="62" t="s">
        <v>336</v>
      </c>
      <c r="E43" s="63">
        <v>108</v>
      </c>
      <c r="F43" s="63">
        <v>115</v>
      </c>
      <c r="G43" s="63">
        <v>97</v>
      </c>
      <c r="H43" s="63">
        <v>94</v>
      </c>
      <c r="I43" s="63">
        <v>103</v>
      </c>
      <c r="J43" s="63">
        <v>103</v>
      </c>
      <c r="K43" s="63">
        <v>114</v>
      </c>
      <c r="L43" s="63">
        <v>103</v>
      </c>
      <c r="M43" s="63">
        <v>116</v>
      </c>
      <c r="N43" s="63">
        <v>118</v>
      </c>
      <c r="O43" s="63">
        <v>151</v>
      </c>
      <c r="P43" s="63">
        <v>129</v>
      </c>
      <c r="Q43" s="63">
        <v>140</v>
      </c>
      <c r="R43" s="63">
        <v>153</v>
      </c>
      <c r="S43" s="63">
        <v>171</v>
      </c>
      <c r="T43" s="63">
        <v>183</v>
      </c>
      <c r="U43" s="63">
        <v>196</v>
      </c>
      <c r="V43" s="63">
        <v>184</v>
      </c>
      <c r="W43" s="63">
        <v>212</v>
      </c>
      <c r="X43" s="63">
        <v>203</v>
      </c>
      <c r="Y43" s="63">
        <v>255</v>
      </c>
      <c r="Z43" s="63">
        <v>237</v>
      </c>
      <c r="AA43" s="63">
        <v>192</v>
      </c>
      <c r="AB43" s="63">
        <v>195</v>
      </c>
    </row>
    <row r="44" spans="1:28" x14ac:dyDescent="0.2">
      <c r="A44" s="62">
        <v>3</v>
      </c>
      <c r="B44" s="62" t="s">
        <v>343</v>
      </c>
      <c r="C44" s="62">
        <v>61</v>
      </c>
      <c r="D44" s="62" t="s">
        <v>337</v>
      </c>
      <c r="E44" s="63">
        <v>40</v>
      </c>
      <c r="F44" s="63">
        <v>45</v>
      </c>
      <c r="G44" s="62"/>
      <c r="H44" s="62"/>
      <c r="I44" s="62"/>
      <c r="J44" s="62"/>
      <c r="K44" s="63">
        <v>57</v>
      </c>
      <c r="L44" s="63">
        <v>52</v>
      </c>
      <c r="M44" s="62"/>
      <c r="N44" s="62"/>
      <c r="O44" s="63">
        <v>51</v>
      </c>
      <c r="P44" s="63">
        <v>50</v>
      </c>
      <c r="Q44" s="63">
        <v>64</v>
      </c>
      <c r="R44" s="63">
        <v>62</v>
      </c>
      <c r="S44" s="63">
        <v>77</v>
      </c>
      <c r="T44" s="63">
        <v>96</v>
      </c>
      <c r="U44" s="63">
        <v>80</v>
      </c>
      <c r="V44" s="63">
        <v>76</v>
      </c>
      <c r="W44" s="63">
        <v>72</v>
      </c>
      <c r="X44" s="63">
        <v>65</v>
      </c>
      <c r="Y44" s="63">
        <v>79</v>
      </c>
      <c r="Z44" s="63">
        <v>80</v>
      </c>
      <c r="AA44" s="63">
        <v>80</v>
      </c>
      <c r="AB44" s="63">
        <v>109</v>
      </c>
    </row>
    <row r="45" spans="1:28" x14ac:dyDescent="0.2">
      <c r="A45" s="62">
        <v>3</v>
      </c>
      <c r="B45" s="62" t="s">
        <v>343</v>
      </c>
      <c r="C45" s="62">
        <v>62</v>
      </c>
      <c r="D45" s="62" t="s">
        <v>338</v>
      </c>
      <c r="E45" s="63">
        <v>1290</v>
      </c>
      <c r="F45" s="63">
        <v>1332</v>
      </c>
      <c r="G45" s="63">
        <v>1343</v>
      </c>
      <c r="H45" s="63">
        <v>1357</v>
      </c>
      <c r="I45" s="63">
        <v>1343</v>
      </c>
      <c r="J45" s="63">
        <v>1358</v>
      </c>
      <c r="K45" s="63">
        <v>1375</v>
      </c>
      <c r="L45" s="63">
        <v>1423</v>
      </c>
      <c r="M45" s="63">
        <v>1476</v>
      </c>
      <c r="N45" s="63">
        <v>1514</v>
      </c>
      <c r="O45" s="63">
        <v>1464</v>
      </c>
      <c r="P45" s="63">
        <v>1459</v>
      </c>
      <c r="Q45" s="63">
        <v>1474</v>
      </c>
      <c r="R45" s="63">
        <v>1511</v>
      </c>
      <c r="S45" s="63">
        <v>1630</v>
      </c>
      <c r="T45" s="63">
        <v>1669</v>
      </c>
      <c r="U45" s="63">
        <v>1698</v>
      </c>
      <c r="V45" s="63">
        <v>1825</v>
      </c>
      <c r="W45" s="63">
        <v>1945</v>
      </c>
      <c r="X45" s="63">
        <v>1871</v>
      </c>
      <c r="Y45" s="63">
        <v>1852</v>
      </c>
      <c r="Z45" s="63">
        <v>1777</v>
      </c>
      <c r="AA45" s="63">
        <v>1798</v>
      </c>
      <c r="AB45" s="63">
        <v>1870</v>
      </c>
    </row>
    <row r="46" spans="1:28" x14ac:dyDescent="0.2">
      <c r="A46" s="62">
        <v>3</v>
      </c>
      <c r="B46" s="62" t="s">
        <v>343</v>
      </c>
      <c r="C46" s="62">
        <v>71</v>
      </c>
      <c r="D46" s="62" t="s">
        <v>339</v>
      </c>
      <c r="E46" s="63">
        <v>118</v>
      </c>
      <c r="F46" s="63">
        <v>138</v>
      </c>
      <c r="G46" s="63">
        <v>133</v>
      </c>
      <c r="H46" s="63">
        <v>118</v>
      </c>
      <c r="I46" s="63">
        <v>120</v>
      </c>
      <c r="J46" s="63">
        <v>124</v>
      </c>
      <c r="K46" s="63">
        <v>119</v>
      </c>
      <c r="L46" s="63">
        <v>105</v>
      </c>
      <c r="M46" s="63">
        <v>96</v>
      </c>
      <c r="N46" s="63">
        <v>95</v>
      </c>
      <c r="O46" s="63">
        <v>103</v>
      </c>
      <c r="P46" s="63">
        <v>98</v>
      </c>
      <c r="Q46" s="63">
        <v>84</v>
      </c>
      <c r="R46" s="63">
        <v>106</v>
      </c>
      <c r="S46" s="63">
        <v>114</v>
      </c>
      <c r="T46" s="63">
        <v>109</v>
      </c>
      <c r="U46" s="63">
        <v>103</v>
      </c>
      <c r="V46" s="63">
        <v>89</v>
      </c>
      <c r="W46" s="63">
        <v>85</v>
      </c>
      <c r="X46" s="63">
        <v>60</v>
      </c>
      <c r="Y46" s="63">
        <v>67</v>
      </c>
      <c r="Z46" s="63">
        <v>76</v>
      </c>
      <c r="AA46" s="63">
        <v>94</v>
      </c>
      <c r="AB46" s="63">
        <v>86</v>
      </c>
    </row>
    <row r="47" spans="1:28" x14ac:dyDescent="0.2">
      <c r="A47" s="62">
        <v>3</v>
      </c>
      <c r="B47" s="62" t="s">
        <v>343</v>
      </c>
      <c r="C47" s="62">
        <v>72</v>
      </c>
      <c r="D47" s="62" t="s">
        <v>340</v>
      </c>
      <c r="E47" s="63">
        <v>700</v>
      </c>
      <c r="F47" s="63">
        <v>733</v>
      </c>
      <c r="G47" s="63">
        <v>880</v>
      </c>
      <c r="H47" s="63">
        <v>838</v>
      </c>
      <c r="I47" s="63">
        <v>763</v>
      </c>
      <c r="J47" s="63">
        <v>834</v>
      </c>
      <c r="K47" s="63">
        <v>815</v>
      </c>
      <c r="L47" s="63">
        <v>833</v>
      </c>
      <c r="M47" s="63">
        <v>820</v>
      </c>
      <c r="N47" s="63">
        <v>833</v>
      </c>
      <c r="O47" s="63">
        <v>828</v>
      </c>
      <c r="P47" s="63">
        <v>837</v>
      </c>
      <c r="Q47" s="63">
        <v>835</v>
      </c>
      <c r="R47" s="63">
        <v>820</v>
      </c>
      <c r="S47" s="63">
        <v>814</v>
      </c>
      <c r="T47" s="63">
        <v>873</v>
      </c>
      <c r="U47" s="63">
        <v>905</v>
      </c>
      <c r="V47" s="63">
        <v>909</v>
      </c>
      <c r="W47" s="63">
        <v>962</v>
      </c>
      <c r="X47" s="63">
        <v>802</v>
      </c>
      <c r="Y47" s="63">
        <v>895</v>
      </c>
      <c r="Z47" s="63">
        <v>953</v>
      </c>
      <c r="AA47" s="63">
        <v>1030</v>
      </c>
      <c r="AB47" s="63">
        <v>994</v>
      </c>
    </row>
    <row r="48" spans="1:28" x14ac:dyDescent="0.2">
      <c r="A48" s="62">
        <v>3</v>
      </c>
      <c r="B48" s="62" t="s">
        <v>343</v>
      </c>
      <c r="C48" s="62">
        <v>81</v>
      </c>
      <c r="D48" s="62" t="s">
        <v>341</v>
      </c>
      <c r="E48" s="63">
        <v>334</v>
      </c>
      <c r="F48" s="63">
        <v>342</v>
      </c>
      <c r="G48" s="63">
        <v>337</v>
      </c>
      <c r="H48" s="63">
        <v>354</v>
      </c>
      <c r="I48" s="63">
        <v>341</v>
      </c>
      <c r="J48" s="63">
        <v>364</v>
      </c>
      <c r="K48" s="63">
        <v>358</v>
      </c>
      <c r="L48" s="63">
        <v>349</v>
      </c>
      <c r="M48" s="63">
        <v>341</v>
      </c>
      <c r="N48" s="63">
        <v>350</v>
      </c>
      <c r="O48" s="63">
        <v>322</v>
      </c>
      <c r="P48" s="63">
        <v>324</v>
      </c>
      <c r="Q48" s="63">
        <v>318</v>
      </c>
      <c r="R48" s="63">
        <v>319</v>
      </c>
      <c r="S48" s="63">
        <v>321</v>
      </c>
      <c r="T48" s="63">
        <v>349</v>
      </c>
      <c r="U48" s="63">
        <v>395</v>
      </c>
      <c r="V48" s="63">
        <v>329</v>
      </c>
      <c r="W48" s="63">
        <v>352</v>
      </c>
      <c r="X48" s="63">
        <v>313</v>
      </c>
      <c r="Y48" s="63">
        <v>314</v>
      </c>
      <c r="Z48" s="63">
        <v>336</v>
      </c>
      <c r="AA48" s="63">
        <v>333</v>
      </c>
      <c r="AB48" s="63">
        <v>363</v>
      </c>
    </row>
    <row r="49" spans="1:28" x14ac:dyDescent="0.2">
      <c r="A49" s="62">
        <v>3</v>
      </c>
      <c r="B49" s="62" t="s">
        <v>343</v>
      </c>
      <c r="C49" s="62">
        <v>99</v>
      </c>
      <c r="D49" s="62" t="s">
        <v>342</v>
      </c>
      <c r="E49" s="62"/>
      <c r="F49" s="62"/>
      <c r="G49" s="62"/>
      <c r="H49" s="62"/>
      <c r="I49" s="62"/>
      <c r="J49" s="62"/>
      <c r="K49" s="62"/>
      <c r="L49" s="63">
        <v>0</v>
      </c>
      <c r="M49" s="62"/>
      <c r="N49" s="62"/>
      <c r="O49" s="62"/>
      <c r="P49" s="63">
        <v>0</v>
      </c>
      <c r="Q49" s="62"/>
      <c r="R49" s="63">
        <v>0</v>
      </c>
      <c r="S49" s="62"/>
      <c r="T49" s="62"/>
      <c r="U49" s="62"/>
      <c r="V49" s="62"/>
      <c r="W49" s="62"/>
      <c r="X49" s="62"/>
      <c r="Y49" s="63">
        <v>0</v>
      </c>
      <c r="Z49" s="62"/>
      <c r="AA49" s="62"/>
      <c r="AB49" s="63">
        <v>2</v>
      </c>
    </row>
    <row r="50" spans="1:28" x14ac:dyDescent="0.2">
      <c r="A50" s="62">
        <v>5</v>
      </c>
      <c r="B50" s="62" t="s">
        <v>344</v>
      </c>
      <c r="C50" s="62">
        <v>1</v>
      </c>
      <c r="D50" s="62" t="s">
        <v>316</v>
      </c>
      <c r="E50" s="63">
        <v>2564</v>
      </c>
      <c r="F50" s="63">
        <v>2639</v>
      </c>
      <c r="G50" s="63">
        <v>2627</v>
      </c>
      <c r="H50" s="63">
        <v>2844</v>
      </c>
      <c r="I50" s="63">
        <v>2827</v>
      </c>
      <c r="J50" s="63">
        <v>2853</v>
      </c>
      <c r="K50" s="63">
        <v>2942</v>
      </c>
      <c r="L50" s="63">
        <v>3068</v>
      </c>
      <c r="M50" s="63">
        <v>3128</v>
      </c>
      <c r="N50" s="63">
        <v>3281</v>
      </c>
      <c r="O50" s="63">
        <v>3165</v>
      </c>
      <c r="P50" s="63">
        <v>3261</v>
      </c>
      <c r="Q50" s="63">
        <v>3298</v>
      </c>
      <c r="R50" s="63">
        <v>3399</v>
      </c>
      <c r="S50" s="63">
        <v>3367</v>
      </c>
      <c r="T50" s="63">
        <v>3369</v>
      </c>
      <c r="U50" s="63">
        <v>3180</v>
      </c>
      <c r="V50" s="63">
        <v>3352</v>
      </c>
      <c r="W50" s="63">
        <v>3226</v>
      </c>
      <c r="X50" s="63">
        <v>3269</v>
      </c>
      <c r="Y50" s="63">
        <v>3114</v>
      </c>
      <c r="Z50" s="63">
        <v>3036</v>
      </c>
      <c r="AA50" s="63">
        <v>3236</v>
      </c>
      <c r="AB50" s="63">
        <v>3334</v>
      </c>
    </row>
    <row r="51" spans="1:28" x14ac:dyDescent="0.2">
      <c r="A51" s="62">
        <v>5</v>
      </c>
      <c r="B51" s="62" t="s">
        <v>344</v>
      </c>
      <c r="C51" s="62">
        <v>10</v>
      </c>
      <c r="D51" s="62" t="s">
        <v>317</v>
      </c>
      <c r="E51" s="63">
        <v>324102</v>
      </c>
      <c r="F51" s="63">
        <v>315864</v>
      </c>
      <c r="G51" s="63">
        <v>311185</v>
      </c>
      <c r="H51" s="63">
        <v>311230</v>
      </c>
      <c r="I51" s="63">
        <v>315315</v>
      </c>
      <c r="J51" s="63">
        <v>321576</v>
      </c>
      <c r="K51" s="63">
        <v>328363</v>
      </c>
      <c r="L51" s="63">
        <v>327910</v>
      </c>
      <c r="M51" s="63">
        <v>317776</v>
      </c>
      <c r="N51" s="63">
        <v>317636</v>
      </c>
      <c r="O51" s="63">
        <v>325719</v>
      </c>
      <c r="P51" s="63">
        <v>334909</v>
      </c>
      <c r="Q51" s="63">
        <v>346585</v>
      </c>
      <c r="R51" s="63">
        <v>358718</v>
      </c>
      <c r="S51" s="63">
        <v>371496</v>
      </c>
      <c r="T51" s="63">
        <v>378531</v>
      </c>
      <c r="U51" s="63">
        <v>387917</v>
      </c>
      <c r="V51" s="63">
        <v>394406</v>
      </c>
      <c r="W51" s="63">
        <v>398781</v>
      </c>
      <c r="X51" s="63">
        <v>383519</v>
      </c>
      <c r="Y51" s="63">
        <v>394606</v>
      </c>
      <c r="Z51" s="63">
        <v>404197</v>
      </c>
      <c r="AA51" s="63">
        <v>411054</v>
      </c>
      <c r="AB51" s="63">
        <v>410680</v>
      </c>
    </row>
    <row r="52" spans="1:28" x14ac:dyDescent="0.2">
      <c r="A52" s="62">
        <v>5</v>
      </c>
      <c r="B52" s="62" t="s">
        <v>344</v>
      </c>
      <c r="C52" s="62">
        <v>11</v>
      </c>
      <c r="D52" s="62" t="s">
        <v>318</v>
      </c>
      <c r="E52" s="63">
        <v>211</v>
      </c>
      <c r="F52" s="63">
        <v>121</v>
      </c>
      <c r="G52" s="63">
        <v>208</v>
      </c>
      <c r="H52" s="63">
        <v>211</v>
      </c>
      <c r="I52" s="63">
        <v>212</v>
      </c>
      <c r="J52" s="63">
        <v>223</v>
      </c>
      <c r="K52" s="63">
        <v>200</v>
      </c>
      <c r="L52" s="63">
        <v>201</v>
      </c>
      <c r="M52" s="63">
        <v>198</v>
      </c>
      <c r="N52" s="63">
        <v>211</v>
      </c>
      <c r="O52" s="63">
        <v>193</v>
      </c>
      <c r="P52" s="63">
        <v>192</v>
      </c>
      <c r="Q52" s="63">
        <v>208</v>
      </c>
      <c r="R52" s="63">
        <v>183</v>
      </c>
      <c r="S52" s="63">
        <v>206</v>
      </c>
      <c r="T52" s="63">
        <v>203</v>
      </c>
      <c r="U52" s="63">
        <v>254</v>
      </c>
      <c r="V52" s="63">
        <v>265</v>
      </c>
      <c r="W52" s="63">
        <v>315</v>
      </c>
      <c r="X52" s="63">
        <v>345</v>
      </c>
      <c r="Y52" s="63">
        <v>365</v>
      </c>
      <c r="Z52" s="63">
        <v>312</v>
      </c>
      <c r="AA52" s="63">
        <v>285</v>
      </c>
      <c r="AB52" s="63">
        <v>315</v>
      </c>
    </row>
    <row r="53" spans="1:28" x14ac:dyDescent="0.2">
      <c r="A53" s="62">
        <v>5</v>
      </c>
      <c r="B53" s="62" t="s">
        <v>344</v>
      </c>
      <c r="C53" s="62">
        <v>2</v>
      </c>
      <c r="D53" s="62" t="s">
        <v>319</v>
      </c>
      <c r="E53" s="63">
        <v>3336</v>
      </c>
      <c r="F53" s="63">
        <v>3467</v>
      </c>
      <c r="G53" s="63">
        <v>3667</v>
      </c>
      <c r="H53" s="63">
        <v>3658</v>
      </c>
      <c r="I53" s="63">
        <v>3681</v>
      </c>
      <c r="J53" s="63">
        <v>3752</v>
      </c>
      <c r="K53" s="63">
        <v>3795</v>
      </c>
      <c r="L53" s="63">
        <v>3973</v>
      </c>
      <c r="M53" s="63">
        <v>4097</v>
      </c>
      <c r="N53" s="63">
        <v>4249</v>
      </c>
      <c r="O53" s="63">
        <v>4453</v>
      </c>
      <c r="P53" s="63">
        <v>4700</v>
      </c>
      <c r="Q53" s="63">
        <v>4843</v>
      </c>
      <c r="R53" s="63">
        <v>4606</v>
      </c>
      <c r="S53" s="63">
        <v>4686</v>
      </c>
      <c r="T53" s="63">
        <v>4733</v>
      </c>
      <c r="U53" s="63">
        <v>4848</v>
      </c>
      <c r="V53" s="63">
        <v>4830</v>
      </c>
      <c r="W53" s="63">
        <v>4875</v>
      </c>
      <c r="X53" s="63">
        <v>4955</v>
      </c>
      <c r="Y53" s="63">
        <v>5034</v>
      </c>
      <c r="Z53" s="63">
        <v>5182</v>
      </c>
      <c r="AA53" s="63">
        <v>5328</v>
      </c>
      <c r="AB53" s="63">
        <v>5351</v>
      </c>
    </row>
    <row r="54" spans="1:28" x14ac:dyDescent="0.2">
      <c r="A54" s="62">
        <v>5</v>
      </c>
      <c r="B54" s="62" t="s">
        <v>344</v>
      </c>
      <c r="C54" s="62">
        <v>21</v>
      </c>
      <c r="D54" s="62" t="s">
        <v>320</v>
      </c>
      <c r="E54" s="63">
        <v>1384</v>
      </c>
      <c r="F54" s="63">
        <v>1335</v>
      </c>
      <c r="G54" s="63">
        <v>1334</v>
      </c>
      <c r="H54" s="63">
        <v>1263</v>
      </c>
      <c r="I54" s="63">
        <v>1293</v>
      </c>
      <c r="J54" s="63">
        <v>1364</v>
      </c>
      <c r="K54" s="63">
        <v>1429</v>
      </c>
      <c r="L54" s="63">
        <v>1776</v>
      </c>
      <c r="M54" s="63">
        <v>1770</v>
      </c>
      <c r="N54" s="63">
        <v>1914</v>
      </c>
      <c r="O54" s="63">
        <v>2143</v>
      </c>
      <c r="P54" s="63">
        <v>2227</v>
      </c>
      <c r="Q54" s="63">
        <v>1639</v>
      </c>
      <c r="R54" s="63">
        <v>1744</v>
      </c>
      <c r="S54" s="63">
        <v>1672</v>
      </c>
      <c r="T54" s="63">
        <v>1384</v>
      </c>
      <c r="U54" s="63">
        <v>1279</v>
      </c>
      <c r="V54" s="63">
        <v>1262</v>
      </c>
      <c r="W54" s="63">
        <v>1131</v>
      </c>
      <c r="X54" s="63">
        <v>1031</v>
      </c>
      <c r="Y54" s="63">
        <v>915</v>
      </c>
      <c r="Z54" s="63">
        <v>970</v>
      </c>
      <c r="AA54" s="63">
        <v>950</v>
      </c>
      <c r="AB54" s="63">
        <v>972</v>
      </c>
    </row>
    <row r="55" spans="1:28" x14ac:dyDescent="0.2">
      <c r="A55" s="62">
        <v>5</v>
      </c>
      <c r="B55" s="62" t="s">
        <v>344</v>
      </c>
      <c r="C55" s="62">
        <v>22</v>
      </c>
      <c r="D55" s="62" t="s">
        <v>321</v>
      </c>
      <c r="E55" s="63">
        <v>347</v>
      </c>
      <c r="F55" s="63">
        <v>336</v>
      </c>
      <c r="G55" s="63">
        <v>400</v>
      </c>
      <c r="H55" s="63">
        <v>417</v>
      </c>
      <c r="I55" s="63">
        <v>257</v>
      </c>
      <c r="J55" s="63">
        <v>218</v>
      </c>
      <c r="K55" s="63">
        <v>245</v>
      </c>
      <c r="L55" s="63">
        <v>256</v>
      </c>
      <c r="M55" s="63">
        <v>258</v>
      </c>
      <c r="N55" s="63">
        <v>251</v>
      </c>
      <c r="O55" s="63">
        <v>194</v>
      </c>
      <c r="P55" s="63">
        <v>204</v>
      </c>
      <c r="Q55" s="63">
        <v>179</v>
      </c>
      <c r="R55" s="63">
        <v>202</v>
      </c>
      <c r="S55" s="63">
        <v>200</v>
      </c>
      <c r="T55" s="63">
        <v>203</v>
      </c>
      <c r="U55" s="63">
        <v>191</v>
      </c>
      <c r="V55" s="63">
        <v>201</v>
      </c>
      <c r="W55" s="63">
        <v>227</v>
      </c>
      <c r="X55" s="63">
        <v>198</v>
      </c>
      <c r="Y55" s="63">
        <v>238</v>
      </c>
      <c r="Z55" s="63">
        <v>236</v>
      </c>
      <c r="AA55" s="63">
        <v>200</v>
      </c>
      <c r="AB55" s="63">
        <v>170</v>
      </c>
    </row>
    <row r="56" spans="1:28" x14ac:dyDescent="0.2">
      <c r="A56" s="62">
        <v>5</v>
      </c>
      <c r="B56" s="62" t="s">
        <v>344</v>
      </c>
      <c r="C56" s="62">
        <v>23</v>
      </c>
      <c r="D56" s="62" t="s">
        <v>322</v>
      </c>
      <c r="E56" s="63">
        <v>26573</v>
      </c>
      <c r="F56" s="63">
        <v>24577</v>
      </c>
      <c r="G56" s="63">
        <v>23395</v>
      </c>
      <c r="H56" s="63">
        <v>22419</v>
      </c>
      <c r="I56" s="63">
        <v>24286</v>
      </c>
      <c r="J56" s="63">
        <v>25130</v>
      </c>
      <c r="K56" s="63">
        <v>24792</v>
      </c>
      <c r="L56" s="63">
        <v>23798</v>
      </c>
      <c r="M56" s="63">
        <v>20094</v>
      </c>
      <c r="N56" s="63">
        <v>18329</v>
      </c>
      <c r="O56" s="63">
        <v>17764</v>
      </c>
      <c r="P56" s="63">
        <v>18783</v>
      </c>
      <c r="Q56" s="63">
        <v>20762</v>
      </c>
      <c r="R56" s="63">
        <v>22986</v>
      </c>
      <c r="S56" s="63">
        <v>24185</v>
      </c>
      <c r="T56" s="63">
        <v>25521</v>
      </c>
      <c r="U56" s="63">
        <v>27112</v>
      </c>
      <c r="V56" s="63">
        <v>28460</v>
      </c>
      <c r="W56" s="63">
        <v>29122</v>
      </c>
      <c r="X56" s="63">
        <v>29707</v>
      </c>
      <c r="Y56" s="63">
        <v>29595</v>
      </c>
      <c r="Z56" s="63">
        <v>30180</v>
      </c>
      <c r="AA56" s="63">
        <v>30727</v>
      </c>
      <c r="AB56" s="63">
        <v>31081</v>
      </c>
    </row>
    <row r="57" spans="1:28" x14ac:dyDescent="0.2">
      <c r="A57" s="62">
        <v>5</v>
      </c>
      <c r="B57" s="62" t="s">
        <v>344</v>
      </c>
      <c r="C57" s="62">
        <v>3</v>
      </c>
      <c r="D57" s="62" t="s">
        <v>323</v>
      </c>
      <c r="E57" s="63">
        <v>23705</v>
      </c>
      <c r="F57" s="63">
        <v>24545</v>
      </c>
      <c r="G57" s="63">
        <v>24882</v>
      </c>
      <c r="H57" s="63">
        <v>24685</v>
      </c>
      <c r="I57" s="63">
        <v>25075</v>
      </c>
      <c r="J57" s="63">
        <v>25529</v>
      </c>
      <c r="K57" s="63">
        <v>26025</v>
      </c>
      <c r="L57" s="63">
        <v>26635</v>
      </c>
      <c r="M57" s="63">
        <v>27263</v>
      </c>
      <c r="N57" s="63">
        <v>27058</v>
      </c>
      <c r="O57" s="63">
        <v>27249</v>
      </c>
      <c r="P57" s="63">
        <v>27234</v>
      </c>
      <c r="Q57" s="63">
        <v>27611</v>
      </c>
      <c r="R57" s="63">
        <v>27923</v>
      </c>
      <c r="S57" s="63">
        <v>28326</v>
      </c>
      <c r="T57" s="63">
        <v>28575</v>
      </c>
      <c r="U57" s="63">
        <v>28555</v>
      </c>
      <c r="V57" s="63">
        <v>28566</v>
      </c>
      <c r="W57" s="63">
        <v>29153</v>
      </c>
      <c r="X57" s="63">
        <v>27441</v>
      </c>
      <c r="Y57" s="63">
        <v>28015</v>
      </c>
      <c r="Z57" s="63">
        <v>28425</v>
      </c>
      <c r="AA57" s="63">
        <v>29399</v>
      </c>
      <c r="AB57" s="63">
        <v>30404</v>
      </c>
    </row>
    <row r="58" spans="1:28" x14ac:dyDescent="0.2">
      <c r="A58" s="62">
        <v>5</v>
      </c>
      <c r="B58" s="62" t="s">
        <v>344</v>
      </c>
      <c r="C58" s="62" t="s">
        <v>324</v>
      </c>
      <c r="D58" s="62" t="s">
        <v>325</v>
      </c>
      <c r="E58" s="63">
        <v>11268</v>
      </c>
      <c r="F58" s="63">
        <v>10250</v>
      </c>
      <c r="G58" s="63">
        <v>9370</v>
      </c>
      <c r="H58" s="63">
        <v>10052</v>
      </c>
      <c r="I58" s="63">
        <v>9561</v>
      </c>
      <c r="J58" s="63">
        <v>9829</v>
      </c>
      <c r="K58" s="63">
        <v>9756</v>
      </c>
      <c r="L58" s="63">
        <v>8826</v>
      </c>
      <c r="M58" s="63">
        <v>7806</v>
      </c>
      <c r="N58" s="63">
        <v>7622</v>
      </c>
      <c r="O58" s="63">
        <v>7923</v>
      </c>
      <c r="P58" s="63">
        <v>8211</v>
      </c>
      <c r="Q58" s="63">
        <v>8201</v>
      </c>
      <c r="R58" s="63">
        <v>8453</v>
      </c>
      <c r="S58" s="63">
        <v>8670</v>
      </c>
      <c r="T58" s="63">
        <v>8750</v>
      </c>
      <c r="U58" s="63">
        <v>8479</v>
      </c>
      <c r="V58" s="63">
        <v>8799</v>
      </c>
      <c r="W58" s="63">
        <v>9032</v>
      </c>
      <c r="X58" s="63">
        <v>8877</v>
      </c>
      <c r="Y58" s="63">
        <v>9306</v>
      </c>
      <c r="Z58" s="63">
        <v>9908</v>
      </c>
      <c r="AA58" s="63">
        <v>9485</v>
      </c>
      <c r="AB58" s="63">
        <v>9060</v>
      </c>
    </row>
    <row r="59" spans="1:28" x14ac:dyDescent="0.2">
      <c r="A59" s="62">
        <v>5</v>
      </c>
      <c r="B59" s="62" t="s">
        <v>344</v>
      </c>
      <c r="C59" s="62">
        <v>42</v>
      </c>
      <c r="D59" s="62" t="s">
        <v>326</v>
      </c>
      <c r="E59" s="63">
        <v>17544</v>
      </c>
      <c r="F59" s="63">
        <v>15933</v>
      </c>
      <c r="G59" s="63">
        <v>14876</v>
      </c>
      <c r="H59" s="63">
        <v>14094</v>
      </c>
      <c r="I59" s="63">
        <v>13972</v>
      </c>
      <c r="J59" s="63">
        <v>14174</v>
      </c>
      <c r="K59" s="63">
        <v>14383</v>
      </c>
      <c r="L59" s="63">
        <v>14563</v>
      </c>
      <c r="M59" s="63">
        <v>13681</v>
      </c>
      <c r="N59" s="63">
        <v>13776</v>
      </c>
      <c r="O59" s="63">
        <v>14069</v>
      </c>
      <c r="P59" s="63">
        <v>14397</v>
      </c>
      <c r="Q59" s="63">
        <v>14445</v>
      </c>
      <c r="R59" s="63">
        <v>14729</v>
      </c>
      <c r="S59" s="63">
        <v>14988</v>
      </c>
      <c r="T59" s="63">
        <v>15606</v>
      </c>
      <c r="U59" s="63">
        <v>15772</v>
      </c>
      <c r="V59" s="63">
        <v>15494</v>
      </c>
      <c r="W59" s="63">
        <v>15710</v>
      </c>
      <c r="X59" s="63">
        <v>15427</v>
      </c>
      <c r="Y59" s="63">
        <v>15257</v>
      </c>
      <c r="Z59" s="63">
        <v>15467</v>
      </c>
      <c r="AA59" s="63">
        <v>15589</v>
      </c>
      <c r="AB59" s="63">
        <v>15579</v>
      </c>
    </row>
    <row r="60" spans="1:28" x14ac:dyDescent="0.2">
      <c r="A60" s="62">
        <v>5</v>
      </c>
      <c r="B60" s="62" t="s">
        <v>344</v>
      </c>
      <c r="C60" s="62" t="s">
        <v>327</v>
      </c>
      <c r="D60" s="62" t="s">
        <v>328</v>
      </c>
      <c r="E60" s="63">
        <v>35406</v>
      </c>
      <c r="F60" s="63">
        <v>35318</v>
      </c>
      <c r="G60" s="63">
        <v>34433</v>
      </c>
      <c r="H60" s="63">
        <v>34215</v>
      </c>
      <c r="I60" s="63">
        <v>34962</v>
      </c>
      <c r="J60" s="63">
        <v>34609</v>
      </c>
      <c r="K60" s="63">
        <v>35159</v>
      </c>
      <c r="L60" s="63">
        <v>34284</v>
      </c>
      <c r="M60" s="63">
        <v>33179</v>
      </c>
      <c r="N60" s="63">
        <v>33380</v>
      </c>
      <c r="O60" s="63">
        <v>33732</v>
      </c>
      <c r="P60" s="63">
        <v>34456</v>
      </c>
      <c r="Q60" s="63">
        <v>35935</v>
      </c>
      <c r="R60" s="63">
        <v>37058</v>
      </c>
      <c r="S60" s="63">
        <v>38515</v>
      </c>
      <c r="T60" s="63">
        <v>38632</v>
      </c>
      <c r="U60" s="63">
        <v>39087</v>
      </c>
      <c r="V60" s="63">
        <v>38191</v>
      </c>
      <c r="W60" s="63">
        <v>37532</v>
      </c>
      <c r="X60" s="63">
        <v>36199</v>
      </c>
      <c r="Y60" s="63">
        <v>37574</v>
      </c>
      <c r="Z60" s="63">
        <v>36912</v>
      </c>
      <c r="AA60" s="63">
        <v>36826</v>
      </c>
      <c r="AB60" s="63">
        <v>36469</v>
      </c>
    </row>
    <row r="61" spans="1:28" x14ac:dyDescent="0.2">
      <c r="A61" s="62">
        <v>5</v>
      </c>
      <c r="B61" s="62" t="s">
        <v>344</v>
      </c>
      <c r="C61" s="62" t="s">
        <v>329</v>
      </c>
      <c r="D61" s="62" t="s">
        <v>330</v>
      </c>
      <c r="E61" s="63">
        <v>4528</v>
      </c>
      <c r="F61" s="63">
        <v>4820</v>
      </c>
      <c r="G61" s="63">
        <v>5124</v>
      </c>
      <c r="H61" s="63">
        <v>5115</v>
      </c>
      <c r="I61" s="63">
        <v>4800</v>
      </c>
      <c r="J61" s="63">
        <v>5281</v>
      </c>
      <c r="K61" s="63">
        <v>5706</v>
      </c>
      <c r="L61" s="63">
        <v>5273</v>
      </c>
      <c r="M61" s="63">
        <v>4936</v>
      </c>
      <c r="N61" s="63">
        <v>4739</v>
      </c>
      <c r="O61" s="63">
        <v>5091</v>
      </c>
      <c r="P61" s="63">
        <v>5440</v>
      </c>
      <c r="Q61" s="63">
        <v>5805</v>
      </c>
      <c r="R61" s="63">
        <v>6796</v>
      </c>
      <c r="S61" s="63">
        <v>8061</v>
      </c>
      <c r="T61" s="63">
        <v>9820</v>
      </c>
      <c r="U61" s="63">
        <v>11413</v>
      </c>
      <c r="V61" s="63">
        <v>13634</v>
      </c>
      <c r="W61" s="63">
        <v>15167</v>
      </c>
      <c r="X61" s="63">
        <v>16331</v>
      </c>
      <c r="Y61" s="63">
        <v>17292</v>
      </c>
      <c r="Z61" s="63">
        <v>18352</v>
      </c>
      <c r="AA61" s="63">
        <v>19191</v>
      </c>
      <c r="AB61" s="63">
        <v>19817</v>
      </c>
    </row>
    <row r="62" spans="1:28" x14ac:dyDescent="0.2">
      <c r="A62" s="62">
        <v>5</v>
      </c>
      <c r="B62" s="62" t="s">
        <v>344</v>
      </c>
      <c r="C62" s="62">
        <v>51</v>
      </c>
      <c r="D62" s="62" t="s">
        <v>331</v>
      </c>
      <c r="E62" s="63">
        <v>27971</v>
      </c>
      <c r="F62" s="63">
        <v>24222</v>
      </c>
      <c r="G62" s="63">
        <v>20826</v>
      </c>
      <c r="H62" s="63">
        <v>18748</v>
      </c>
      <c r="I62" s="63">
        <v>17103</v>
      </c>
      <c r="J62" s="63">
        <v>17122</v>
      </c>
      <c r="K62" s="63">
        <v>17699</v>
      </c>
      <c r="L62" s="63">
        <v>18461</v>
      </c>
      <c r="M62" s="63">
        <v>18364</v>
      </c>
      <c r="N62" s="63">
        <v>18379</v>
      </c>
      <c r="O62" s="63">
        <v>19391</v>
      </c>
      <c r="P62" s="63">
        <v>18784</v>
      </c>
      <c r="Q62" s="63">
        <v>18582</v>
      </c>
      <c r="R62" s="63">
        <v>18903</v>
      </c>
      <c r="S62" s="63">
        <v>18359</v>
      </c>
      <c r="T62" s="63">
        <v>18238</v>
      </c>
      <c r="U62" s="63">
        <v>18620</v>
      </c>
      <c r="V62" s="63">
        <v>18718</v>
      </c>
      <c r="W62" s="63">
        <v>19675</v>
      </c>
      <c r="X62" s="63">
        <v>19671</v>
      </c>
      <c r="Y62" s="63">
        <v>19054</v>
      </c>
      <c r="Z62" s="63">
        <v>18265</v>
      </c>
      <c r="AA62" s="63">
        <v>17896</v>
      </c>
      <c r="AB62" s="63">
        <v>16197</v>
      </c>
    </row>
    <row r="63" spans="1:28" x14ac:dyDescent="0.2">
      <c r="A63" s="62">
        <v>5</v>
      </c>
      <c r="B63" s="62" t="s">
        <v>344</v>
      </c>
      <c r="C63" s="62">
        <v>52</v>
      </c>
      <c r="D63" s="62" t="s">
        <v>332</v>
      </c>
      <c r="E63" s="63">
        <v>26822</v>
      </c>
      <c r="F63" s="63">
        <v>27669</v>
      </c>
      <c r="G63" s="63">
        <v>29278</v>
      </c>
      <c r="H63" s="63">
        <v>29998</v>
      </c>
      <c r="I63" s="63">
        <v>31372</v>
      </c>
      <c r="J63" s="63">
        <v>31415</v>
      </c>
      <c r="K63" s="63">
        <v>30218</v>
      </c>
      <c r="L63" s="63">
        <v>28088</v>
      </c>
      <c r="M63" s="63">
        <v>26977</v>
      </c>
      <c r="N63" s="63">
        <v>26696</v>
      </c>
      <c r="O63" s="63">
        <v>26930</v>
      </c>
      <c r="P63" s="63">
        <v>27535</v>
      </c>
      <c r="Q63" s="63">
        <v>28171</v>
      </c>
      <c r="R63" s="63">
        <v>28106</v>
      </c>
      <c r="S63" s="63">
        <v>29677</v>
      </c>
      <c r="T63" s="63">
        <v>30704</v>
      </c>
      <c r="U63" s="63">
        <v>31273</v>
      </c>
      <c r="V63" s="63">
        <v>31145</v>
      </c>
      <c r="W63" s="63">
        <v>27912</v>
      </c>
      <c r="X63" s="63">
        <v>27841</v>
      </c>
      <c r="Y63" s="63">
        <v>27697</v>
      </c>
      <c r="Z63" s="63">
        <v>27291</v>
      </c>
      <c r="AA63" s="63">
        <v>26026</v>
      </c>
      <c r="AB63" s="63">
        <v>23887</v>
      </c>
    </row>
    <row r="64" spans="1:28" x14ac:dyDescent="0.2">
      <c r="A64" s="62">
        <v>5</v>
      </c>
      <c r="B64" s="62" t="s">
        <v>344</v>
      </c>
      <c r="C64" s="62">
        <v>53</v>
      </c>
      <c r="D64" s="62" t="s">
        <v>333</v>
      </c>
      <c r="E64" s="63">
        <v>12016</v>
      </c>
      <c r="F64" s="63">
        <v>12310</v>
      </c>
      <c r="G64" s="63">
        <v>12723</v>
      </c>
      <c r="H64" s="63">
        <v>13182</v>
      </c>
      <c r="I64" s="63">
        <v>13249</v>
      </c>
      <c r="J64" s="63">
        <v>12976</v>
      </c>
      <c r="K64" s="63">
        <v>12698</v>
      </c>
      <c r="L64" s="63">
        <v>11749</v>
      </c>
      <c r="M64" s="63">
        <v>11923</v>
      </c>
      <c r="N64" s="63">
        <v>11595</v>
      </c>
      <c r="O64" s="63">
        <v>11664</v>
      </c>
      <c r="P64" s="63">
        <v>11802</v>
      </c>
      <c r="Q64" s="63">
        <v>11954</v>
      </c>
      <c r="R64" s="63">
        <v>12283</v>
      </c>
      <c r="S64" s="63">
        <v>12796</v>
      </c>
      <c r="T64" s="63">
        <v>13028</v>
      </c>
      <c r="U64" s="63">
        <v>13262</v>
      </c>
      <c r="V64" s="63">
        <v>13629</v>
      </c>
      <c r="W64" s="63">
        <v>13789</v>
      </c>
      <c r="X64" s="63">
        <v>13572</v>
      </c>
      <c r="Y64" s="63">
        <v>14220</v>
      </c>
      <c r="Z64" s="63">
        <v>14417</v>
      </c>
      <c r="AA64" s="63">
        <v>13905</v>
      </c>
      <c r="AB64" s="63">
        <v>14323</v>
      </c>
    </row>
    <row r="65" spans="1:28" x14ac:dyDescent="0.2">
      <c r="A65" s="62">
        <v>5</v>
      </c>
      <c r="B65" s="62" t="s">
        <v>344</v>
      </c>
      <c r="C65" s="62">
        <v>54</v>
      </c>
      <c r="D65" s="62" t="s">
        <v>334</v>
      </c>
      <c r="E65" s="63">
        <v>33486</v>
      </c>
      <c r="F65" s="63">
        <v>31496</v>
      </c>
      <c r="G65" s="63">
        <v>30418</v>
      </c>
      <c r="H65" s="63">
        <v>31514</v>
      </c>
      <c r="I65" s="63">
        <v>32578</v>
      </c>
      <c r="J65" s="63">
        <v>32658</v>
      </c>
      <c r="K65" s="63">
        <v>34029</v>
      </c>
      <c r="L65" s="63">
        <v>34473</v>
      </c>
      <c r="M65" s="63">
        <v>33658</v>
      </c>
      <c r="N65" s="63">
        <v>33735</v>
      </c>
      <c r="O65" s="63">
        <v>34334</v>
      </c>
      <c r="P65" s="63">
        <v>35570</v>
      </c>
      <c r="Q65" s="63">
        <v>36468</v>
      </c>
      <c r="R65" s="63">
        <v>38130</v>
      </c>
      <c r="S65" s="63">
        <v>39528</v>
      </c>
      <c r="T65" s="63">
        <v>40748</v>
      </c>
      <c r="U65" s="63">
        <v>41320</v>
      </c>
      <c r="V65" s="63">
        <v>42936</v>
      </c>
      <c r="W65" s="63">
        <v>44435</v>
      </c>
      <c r="X65" s="63">
        <v>44414</v>
      </c>
      <c r="Y65" s="63">
        <v>45615</v>
      </c>
      <c r="Z65" s="63">
        <v>47929</v>
      </c>
      <c r="AA65" s="63">
        <v>50371</v>
      </c>
      <c r="AB65" s="63">
        <v>49933</v>
      </c>
    </row>
    <row r="66" spans="1:28" x14ac:dyDescent="0.2">
      <c r="A66" s="62">
        <v>5</v>
      </c>
      <c r="B66" s="62" t="s">
        <v>344</v>
      </c>
      <c r="C66" s="62">
        <v>55</v>
      </c>
      <c r="D66" s="62" t="s">
        <v>335</v>
      </c>
      <c r="E66" s="63">
        <v>5136</v>
      </c>
      <c r="F66" s="63">
        <v>5764</v>
      </c>
      <c r="G66" s="63">
        <v>6018</v>
      </c>
      <c r="H66" s="63">
        <v>4505</v>
      </c>
      <c r="I66" s="63">
        <v>4294</v>
      </c>
      <c r="J66" s="63">
        <v>4851</v>
      </c>
      <c r="K66" s="62"/>
      <c r="L66" s="63">
        <v>6139</v>
      </c>
      <c r="M66" s="63">
        <v>6044</v>
      </c>
      <c r="N66" s="63">
        <v>5860</v>
      </c>
      <c r="O66" s="63">
        <v>6485</v>
      </c>
      <c r="P66" s="63">
        <v>7009</v>
      </c>
      <c r="Q66" s="63">
        <v>8222</v>
      </c>
      <c r="R66" s="63">
        <v>8080</v>
      </c>
      <c r="S66" s="63">
        <v>8119</v>
      </c>
      <c r="T66" s="63">
        <v>7283</v>
      </c>
      <c r="U66" s="63">
        <v>8649</v>
      </c>
      <c r="V66" s="63">
        <v>8757</v>
      </c>
      <c r="W66" s="63">
        <v>9044</v>
      </c>
      <c r="X66" s="63">
        <v>8672</v>
      </c>
      <c r="Y66" s="63">
        <v>8126</v>
      </c>
      <c r="Z66" s="63">
        <v>8372</v>
      </c>
      <c r="AA66" s="63">
        <v>9112</v>
      </c>
      <c r="AB66" s="63">
        <v>9028</v>
      </c>
    </row>
    <row r="67" spans="1:28" x14ac:dyDescent="0.2">
      <c r="A67" s="62">
        <v>5</v>
      </c>
      <c r="B67" s="62" t="s">
        <v>344</v>
      </c>
      <c r="C67" s="62">
        <v>56</v>
      </c>
      <c r="D67" s="62" t="s">
        <v>336</v>
      </c>
      <c r="E67" s="63">
        <v>24155</v>
      </c>
      <c r="F67" s="63">
        <v>22227</v>
      </c>
      <c r="G67" s="63">
        <v>21825</v>
      </c>
      <c r="H67" s="63">
        <v>22916</v>
      </c>
      <c r="I67" s="63">
        <v>24094</v>
      </c>
      <c r="J67" s="63">
        <v>25518</v>
      </c>
      <c r="K67" s="63">
        <v>28330</v>
      </c>
      <c r="L67" s="63">
        <v>28386</v>
      </c>
      <c r="M67" s="63">
        <v>26533</v>
      </c>
      <c r="N67" s="63">
        <v>26593</v>
      </c>
      <c r="O67" s="63">
        <v>27684</v>
      </c>
      <c r="P67" s="63">
        <v>29493</v>
      </c>
      <c r="Q67" s="63">
        <v>30761</v>
      </c>
      <c r="R67" s="63">
        <v>31360</v>
      </c>
      <c r="S67" s="63">
        <v>32064</v>
      </c>
      <c r="T67" s="63">
        <v>30472</v>
      </c>
      <c r="U67" s="63">
        <v>31353</v>
      </c>
      <c r="V67" s="63">
        <v>32135</v>
      </c>
      <c r="W67" s="63">
        <v>32601</v>
      </c>
      <c r="X67" s="63">
        <v>28605</v>
      </c>
      <c r="Y67" s="63">
        <v>29979</v>
      </c>
      <c r="Z67" s="63">
        <v>30138</v>
      </c>
      <c r="AA67" s="63">
        <v>28901</v>
      </c>
      <c r="AB67" s="63">
        <v>28262</v>
      </c>
    </row>
    <row r="68" spans="1:28" x14ac:dyDescent="0.2">
      <c r="A68" s="62">
        <v>5</v>
      </c>
      <c r="B68" s="62" t="s">
        <v>344</v>
      </c>
      <c r="C68" s="62">
        <v>61</v>
      </c>
      <c r="D68" s="62" t="s">
        <v>337</v>
      </c>
      <c r="E68" s="63">
        <v>3513</v>
      </c>
      <c r="F68" s="63">
        <v>3361</v>
      </c>
      <c r="G68" s="63">
        <v>3384</v>
      </c>
      <c r="H68" s="63">
        <v>3502</v>
      </c>
      <c r="I68" s="63">
        <v>3674</v>
      </c>
      <c r="J68" s="63">
        <v>3967</v>
      </c>
      <c r="K68" s="63">
        <v>4147</v>
      </c>
      <c r="L68" s="63">
        <v>4342</v>
      </c>
      <c r="M68" s="63">
        <v>4447</v>
      </c>
      <c r="N68" s="63">
        <v>4712</v>
      </c>
      <c r="O68" s="63">
        <v>5018</v>
      </c>
      <c r="P68" s="63">
        <v>5074</v>
      </c>
      <c r="Q68" s="63">
        <v>5051</v>
      </c>
      <c r="R68" s="63">
        <v>5290</v>
      </c>
      <c r="S68" s="63">
        <v>5427</v>
      </c>
      <c r="T68" s="63">
        <v>5503</v>
      </c>
      <c r="U68" s="63">
        <v>5490</v>
      </c>
      <c r="V68" s="63">
        <v>5657</v>
      </c>
      <c r="W68" s="63">
        <v>5765</v>
      </c>
      <c r="X68" s="63">
        <v>5274</v>
      </c>
      <c r="Y68" s="63">
        <v>5865</v>
      </c>
      <c r="Z68" s="63">
        <v>6785</v>
      </c>
      <c r="AA68" s="63">
        <v>7209</v>
      </c>
      <c r="AB68" s="63">
        <v>7288</v>
      </c>
    </row>
    <row r="69" spans="1:28" x14ac:dyDescent="0.2">
      <c r="A69" s="62">
        <v>5</v>
      </c>
      <c r="B69" s="62" t="s">
        <v>344</v>
      </c>
      <c r="C69" s="62">
        <v>62</v>
      </c>
      <c r="D69" s="62" t="s">
        <v>338</v>
      </c>
      <c r="E69" s="63">
        <v>26100</v>
      </c>
      <c r="F69" s="63">
        <v>27694</v>
      </c>
      <c r="G69" s="63">
        <v>28584</v>
      </c>
      <c r="H69" s="63">
        <v>29317</v>
      </c>
      <c r="I69" s="63">
        <v>30102</v>
      </c>
      <c r="J69" s="63">
        <v>31108</v>
      </c>
      <c r="K69" s="63">
        <v>32093</v>
      </c>
      <c r="L69" s="63">
        <v>33871</v>
      </c>
      <c r="M69" s="63">
        <v>34695</v>
      </c>
      <c r="N69" s="63">
        <v>35556</v>
      </c>
      <c r="O69" s="63">
        <v>36767</v>
      </c>
      <c r="P69" s="63">
        <v>37392</v>
      </c>
      <c r="Q69" s="63">
        <v>39832</v>
      </c>
      <c r="R69" s="63">
        <v>41815</v>
      </c>
      <c r="S69" s="63">
        <v>44603</v>
      </c>
      <c r="T69" s="63">
        <v>46313</v>
      </c>
      <c r="U69" s="63">
        <v>45985</v>
      </c>
      <c r="V69" s="63">
        <v>47275</v>
      </c>
      <c r="W69" s="63">
        <v>48568</v>
      </c>
      <c r="X69" s="63">
        <v>47683</v>
      </c>
      <c r="Y69" s="63">
        <v>49807</v>
      </c>
      <c r="Z69" s="63">
        <v>50822</v>
      </c>
      <c r="AA69" s="63">
        <v>53622</v>
      </c>
      <c r="AB69" s="63">
        <v>56482</v>
      </c>
    </row>
    <row r="70" spans="1:28" x14ac:dyDescent="0.2">
      <c r="A70" s="62">
        <v>5</v>
      </c>
      <c r="B70" s="62" t="s">
        <v>344</v>
      </c>
      <c r="C70" s="62">
        <v>71</v>
      </c>
      <c r="D70" s="62" t="s">
        <v>339</v>
      </c>
      <c r="E70" s="63">
        <v>5089</v>
      </c>
      <c r="F70" s="63">
        <v>5345</v>
      </c>
      <c r="G70" s="63">
        <v>5225</v>
      </c>
      <c r="H70" s="63">
        <v>5432</v>
      </c>
      <c r="I70" s="63">
        <v>5136</v>
      </c>
      <c r="J70" s="63">
        <v>5144</v>
      </c>
      <c r="K70" s="63">
        <v>5442</v>
      </c>
      <c r="L70" s="63">
        <v>5221</v>
      </c>
      <c r="M70" s="63">
        <v>5465</v>
      </c>
      <c r="N70" s="63">
        <v>5479</v>
      </c>
      <c r="O70" s="63">
        <v>5853</v>
      </c>
      <c r="P70" s="63">
        <v>6328</v>
      </c>
      <c r="Q70" s="63">
        <v>6475</v>
      </c>
      <c r="R70" s="63">
        <v>6832</v>
      </c>
      <c r="S70" s="63">
        <v>6805</v>
      </c>
      <c r="T70" s="63">
        <v>7113</v>
      </c>
      <c r="U70" s="63">
        <v>7864</v>
      </c>
      <c r="V70" s="63">
        <v>8235</v>
      </c>
      <c r="W70" s="63">
        <v>8434</v>
      </c>
      <c r="X70" s="63">
        <v>6678</v>
      </c>
      <c r="Y70" s="63">
        <v>7542</v>
      </c>
      <c r="Z70" s="63">
        <v>8366</v>
      </c>
      <c r="AA70" s="63">
        <v>9276</v>
      </c>
      <c r="AB70" s="63">
        <v>9685</v>
      </c>
    </row>
    <row r="71" spans="1:28" x14ac:dyDescent="0.2">
      <c r="A71" s="62">
        <v>5</v>
      </c>
      <c r="B71" s="62" t="s">
        <v>344</v>
      </c>
      <c r="C71" s="62">
        <v>72</v>
      </c>
      <c r="D71" s="62" t="s">
        <v>340</v>
      </c>
      <c r="E71" s="63">
        <v>20812</v>
      </c>
      <c r="F71" s="63">
        <v>20181</v>
      </c>
      <c r="G71" s="63">
        <v>20386</v>
      </c>
      <c r="H71" s="63">
        <v>20560</v>
      </c>
      <c r="I71" s="63">
        <v>20410</v>
      </c>
      <c r="J71" s="63">
        <v>21293</v>
      </c>
      <c r="K71" s="63">
        <v>21230</v>
      </c>
      <c r="L71" s="63">
        <v>21644</v>
      </c>
      <c r="M71" s="63">
        <v>20468</v>
      </c>
      <c r="N71" s="63">
        <v>20926</v>
      </c>
      <c r="O71" s="63">
        <v>21830</v>
      </c>
      <c r="P71" s="63">
        <v>22756</v>
      </c>
      <c r="Q71" s="63">
        <v>23453</v>
      </c>
      <c r="R71" s="63">
        <v>24683</v>
      </c>
      <c r="S71" s="63">
        <v>26081</v>
      </c>
      <c r="T71" s="63">
        <v>26754</v>
      </c>
      <c r="U71" s="63">
        <v>27636</v>
      </c>
      <c r="V71" s="63">
        <v>27789</v>
      </c>
      <c r="W71" s="63">
        <v>27934</v>
      </c>
      <c r="X71" s="63">
        <v>22952</v>
      </c>
      <c r="Y71" s="63">
        <v>25365</v>
      </c>
      <c r="Z71" s="63">
        <v>27703</v>
      </c>
      <c r="AA71" s="63">
        <v>27887</v>
      </c>
      <c r="AB71" s="63">
        <v>27230</v>
      </c>
    </row>
    <row r="72" spans="1:28" x14ac:dyDescent="0.2">
      <c r="A72" s="62">
        <v>5</v>
      </c>
      <c r="B72" s="62" t="s">
        <v>344</v>
      </c>
      <c r="C72" s="62">
        <v>81</v>
      </c>
      <c r="D72" s="62" t="s">
        <v>341</v>
      </c>
      <c r="E72" s="63">
        <v>12121</v>
      </c>
      <c r="F72" s="63">
        <v>12148</v>
      </c>
      <c r="G72" s="63">
        <v>12200</v>
      </c>
      <c r="H72" s="63">
        <v>12553</v>
      </c>
      <c r="I72" s="63">
        <v>12344</v>
      </c>
      <c r="J72" s="63">
        <v>12517</v>
      </c>
      <c r="K72" s="63">
        <v>12605</v>
      </c>
      <c r="L72" s="63">
        <v>12857</v>
      </c>
      <c r="M72" s="63">
        <v>12762</v>
      </c>
      <c r="N72" s="63">
        <v>13269</v>
      </c>
      <c r="O72" s="63">
        <v>13767</v>
      </c>
      <c r="P72" s="63">
        <v>14010</v>
      </c>
      <c r="Q72" s="63">
        <v>14650</v>
      </c>
      <c r="R72" s="63">
        <v>15099</v>
      </c>
      <c r="S72" s="63">
        <v>15129</v>
      </c>
      <c r="T72" s="63">
        <v>15529</v>
      </c>
      <c r="U72" s="63">
        <v>16271</v>
      </c>
      <c r="V72" s="63">
        <v>15034</v>
      </c>
      <c r="W72" s="63">
        <v>15087</v>
      </c>
      <c r="X72" s="63">
        <v>14345</v>
      </c>
      <c r="Y72" s="63">
        <v>14579</v>
      </c>
      <c r="Z72" s="63">
        <v>15055</v>
      </c>
      <c r="AA72" s="63">
        <v>15542</v>
      </c>
      <c r="AB72" s="63">
        <v>15742</v>
      </c>
    </row>
    <row r="73" spans="1:28" x14ac:dyDescent="0.2">
      <c r="A73" s="62">
        <v>5</v>
      </c>
      <c r="B73" s="62" t="s">
        <v>344</v>
      </c>
      <c r="C73" s="62">
        <v>92</v>
      </c>
      <c r="D73" s="64" t="s">
        <v>345</v>
      </c>
      <c r="E73" s="65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</row>
    <row r="74" spans="1:28" x14ac:dyDescent="0.2">
      <c r="A74" s="62">
        <v>5</v>
      </c>
      <c r="B74" s="62" t="s">
        <v>344</v>
      </c>
      <c r="C74" s="62">
        <v>99</v>
      </c>
      <c r="D74" s="62" t="s">
        <v>342</v>
      </c>
      <c r="E74" s="63">
        <v>6</v>
      </c>
      <c r="F74" s="63">
        <v>4</v>
      </c>
      <c r="G74" s="63">
        <v>2</v>
      </c>
      <c r="H74" s="63">
        <v>19</v>
      </c>
      <c r="I74" s="63">
        <v>25</v>
      </c>
      <c r="J74" s="63">
        <v>34</v>
      </c>
      <c r="K74" s="62"/>
      <c r="L74" s="63">
        <v>15</v>
      </c>
      <c r="M74" s="63">
        <v>19</v>
      </c>
      <c r="N74" s="63">
        <v>17</v>
      </c>
      <c r="O74" s="63">
        <v>9</v>
      </c>
      <c r="P74" s="63">
        <v>41</v>
      </c>
      <c r="Q74" s="63">
        <v>29</v>
      </c>
      <c r="R74" s="63">
        <v>51</v>
      </c>
      <c r="S74" s="63">
        <v>22</v>
      </c>
      <c r="T74" s="63">
        <v>40</v>
      </c>
      <c r="U74" s="63">
        <v>13</v>
      </c>
      <c r="V74" s="63">
        <v>34</v>
      </c>
      <c r="W74" s="63">
        <v>36</v>
      </c>
      <c r="X74" s="63">
        <v>21</v>
      </c>
      <c r="Y74" s="63">
        <v>43</v>
      </c>
      <c r="Z74" s="63">
        <v>65</v>
      </c>
      <c r="AA74" s="63">
        <v>80</v>
      </c>
      <c r="AB74" s="63">
        <v>61</v>
      </c>
    </row>
    <row r="75" spans="1:28" x14ac:dyDescent="0.2">
      <c r="A75" s="62">
        <v>7</v>
      </c>
      <c r="B75" s="62" t="s">
        <v>346</v>
      </c>
      <c r="C75" s="62">
        <v>1</v>
      </c>
      <c r="D75" s="62" t="s">
        <v>316</v>
      </c>
      <c r="E75" s="63">
        <v>59</v>
      </c>
      <c r="F75" s="63">
        <v>65</v>
      </c>
      <c r="G75" s="63">
        <v>68</v>
      </c>
      <c r="H75" s="63">
        <v>64</v>
      </c>
      <c r="I75" s="63">
        <v>62</v>
      </c>
      <c r="J75" s="63">
        <v>61</v>
      </c>
      <c r="K75" s="63">
        <v>60</v>
      </c>
      <c r="L75" s="63">
        <v>61</v>
      </c>
      <c r="M75" s="63">
        <v>62</v>
      </c>
      <c r="N75" s="63">
        <v>68</v>
      </c>
      <c r="O75" s="63">
        <v>55</v>
      </c>
      <c r="P75" s="63">
        <v>49</v>
      </c>
      <c r="Q75" s="63">
        <v>47</v>
      </c>
      <c r="R75" s="63">
        <v>46</v>
      </c>
      <c r="S75" s="63">
        <v>45</v>
      </c>
      <c r="T75" s="63">
        <v>47</v>
      </c>
      <c r="U75" s="63">
        <v>43</v>
      </c>
      <c r="V75" s="63">
        <v>45</v>
      </c>
      <c r="W75" s="63">
        <v>53</v>
      </c>
      <c r="X75" s="63">
        <v>60</v>
      </c>
      <c r="Y75" s="63">
        <v>54</v>
      </c>
      <c r="Z75" s="63">
        <v>55</v>
      </c>
      <c r="AA75" s="63">
        <v>62</v>
      </c>
      <c r="AB75" s="63">
        <v>63</v>
      </c>
    </row>
    <row r="76" spans="1:28" x14ac:dyDescent="0.2">
      <c r="A76" s="62">
        <v>7</v>
      </c>
      <c r="B76" s="62" t="s">
        <v>346</v>
      </c>
      <c r="C76" s="62">
        <v>10</v>
      </c>
      <c r="D76" s="62" t="s">
        <v>317</v>
      </c>
      <c r="E76" s="63">
        <v>4833</v>
      </c>
      <c r="F76" s="63">
        <v>5035</v>
      </c>
      <c r="G76" s="63">
        <v>4982</v>
      </c>
      <c r="H76" s="63">
        <v>5159</v>
      </c>
      <c r="I76" s="63">
        <v>5642</v>
      </c>
      <c r="J76" s="63">
        <v>5842</v>
      </c>
      <c r="K76" s="63">
        <v>5925</v>
      </c>
      <c r="L76" s="63">
        <v>5711</v>
      </c>
      <c r="M76" s="63">
        <v>5287</v>
      </c>
      <c r="N76" s="63">
        <v>5146</v>
      </c>
      <c r="O76" s="63">
        <v>5099</v>
      </c>
      <c r="P76" s="63">
        <v>5228</v>
      </c>
      <c r="Q76" s="63">
        <v>5310</v>
      </c>
      <c r="R76" s="63">
        <v>5441</v>
      </c>
      <c r="S76" s="63">
        <v>5777</v>
      </c>
      <c r="T76" s="63">
        <v>6023</v>
      </c>
      <c r="U76" s="63">
        <v>6136</v>
      </c>
      <c r="V76" s="63">
        <v>6309</v>
      </c>
      <c r="W76" s="63">
        <v>6391</v>
      </c>
      <c r="X76" s="63">
        <v>6407</v>
      </c>
      <c r="Y76" s="63">
        <v>6663</v>
      </c>
      <c r="Z76" s="63">
        <v>6747</v>
      </c>
      <c r="AA76" s="63">
        <v>6940</v>
      </c>
      <c r="AB76" s="63">
        <v>7298</v>
      </c>
    </row>
    <row r="77" spans="1:28" x14ac:dyDescent="0.2">
      <c r="A77" s="62">
        <v>7</v>
      </c>
      <c r="B77" s="62" t="s">
        <v>346</v>
      </c>
      <c r="C77" s="62">
        <v>11</v>
      </c>
      <c r="D77" s="62" t="s">
        <v>318</v>
      </c>
      <c r="E77" s="63">
        <v>93</v>
      </c>
      <c r="F77" s="63">
        <v>100</v>
      </c>
      <c r="G77" s="63">
        <v>68</v>
      </c>
      <c r="H77" s="63">
        <v>72</v>
      </c>
      <c r="I77" s="63">
        <v>70</v>
      </c>
      <c r="J77" s="63">
        <v>72</v>
      </c>
      <c r="K77" s="63">
        <v>73</v>
      </c>
      <c r="L77" s="63">
        <v>63</v>
      </c>
      <c r="M77" s="63">
        <v>68</v>
      </c>
      <c r="N77" s="63">
        <v>56</v>
      </c>
      <c r="O77" s="63">
        <v>66</v>
      </c>
      <c r="P77" s="63">
        <v>70</v>
      </c>
      <c r="Q77" s="63">
        <v>76</v>
      </c>
      <c r="R77" s="63">
        <v>71</v>
      </c>
      <c r="S77" s="63">
        <v>70</v>
      </c>
      <c r="T77" s="63">
        <v>73</v>
      </c>
      <c r="U77" s="63">
        <v>83</v>
      </c>
      <c r="V77" s="63">
        <v>108</v>
      </c>
      <c r="W77" s="63">
        <v>118</v>
      </c>
      <c r="X77" s="63">
        <v>120</v>
      </c>
      <c r="Y77" s="63">
        <v>124</v>
      </c>
      <c r="Z77" s="63">
        <v>133</v>
      </c>
      <c r="AA77" s="63">
        <v>125</v>
      </c>
      <c r="AB77" s="63">
        <v>86</v>
      </c>
    </row>
    <row r="78" spans="1:28" x14ac:dyDescent="0.2">
      <c r="A78" s="62">
        <v>7</v>
      </c>
      <c r="B78" s="62" t="s">
        <v>346</v>
      </c>
      <c r="C78" s="62">
        <v>2</v>
      </c>
      <c r="D78" s="62" t="s">
        <v>319</v>
      </c>
      <c r="E78" s="63">
        <v>38</v>
      </c>
      <c r="F78" s="63">
        <v>37</v>
      </c>
      <c r="G78" s="63">
        <v>38</v>
      </c>
      <c r="H78" s="63">
        <v>40</v>
      </c>
      <c r="I78" s="63">
        <v>42</v>
      </c>
      <c r="J78" s="63">
        <v>36</v>
      </c>
      <c r="K78" s="63">
        <v>38</v>
      </c>
      <c r="L78" s="63">
        <v>44</v>
      </c>
      <c r="M78" s="63">
        <v>48</v>
      </c>
      <c r="N78" s="63">
        <v>53</v>
      </c>
      <c r="O78" s="63">
        <v>57</v>
      </c>
      <c r="P78" s="63">
        <v>54</v>
      </c>
      <c r="Q78" s="63">
        <v>52</v>
      </c>
      <c r="R78" s="63">
        <v>55</v>
      </c>
      <c r="S78" s="63">
        <v>55</v>
      </c>
      <c r="T78" s="63">
        <v>56</v>
      </c>
      <c r="U78" s="63">
        <v>55</v>
      </c>
      <c r="V78" s="63">
        <v>53</v>
      </c>
      <c r="W78" s="63">
        <v>52</v>
      </c>
      <c r="X78" s="63">
        <v>57</v>
      </c>
      <c r="Y78" s="63">
        <v>52</v>
      </c>
      <c r="Z78" s="63">
        <v>48</v>
      </c>
      <c r="AA78" s="63">
        <v>53</v>
      </c>
      <c r="AB78" s="63">
        <v>54</v>
      </c>
    </row>
    <row r="79" spans="1:28" x14ac:dyDescent="0.2">
      <c r="A79" s="62">
        <v>7</v>
      </c>
      <c r="B79" s="62" t="s">
        <v>346</v>
      </c>
      <c r="C79" s="62">
        <v>21</v>
      </c>
      <c r="D79" s="62" t="s">
        <v>320</v>
      </c>
      <c r="E79" s="63">
        <v>29</v>
      </c>
      <c r="F79" s="62"/>
      <c r="G79" s="63">
        <v>26</v>
      </c>
      <c r="H79" s="63">
        <v>27</v>
      </c>
      <c r="I79" s="63">
        <v>54</v>
      </c>
      <c r="J79" s="63">
        <v>50</v>
      </c>
      <c r="K79" s="63">
        <v>65</v>
      </c>
      <c r="L79" s="63">
        <v>75</v>
      </c>
      <c r="M79" s="63">
        <v>64</v>
      </c>
      <c r="N79" s="63">
        <v>56</v>
      </c>
      <c r="O79" s="63">
        <v>63</v>
      </c>
      <c r="P79" s="63">
        <v>51</v>
      </c>
      <c r="Q79" s="63">
        <v>44</v>
      </c>
      <c r="R79" s="63">
        <v>51</v>
      </c>
      <c r="S79" s="63">
        <v>44</v>
      </c>
      <c r="T79" s="63">
        <v>41</v>
      </c>
      <c r="U79" s="63">
        <v>43</v>
      </c>
      <c r="V79" s="63">
        <v>43</v>
      </c>
      <c r="W79" s="63">
        <v>36</v>
      </c>
      <c r="X79" s="63">
        <v>29</v>
      </c>
      <c r="Y79" s="63">
        <v>30</v>
      </c>
      <c r="Z79" s="63">
        <v>36</v>
      </c>
      <c r="AA79" s="63">
        <v>35</v>
      </c>
      <c r="AB79" s="63">
        <v>28</v>
      </c>
    </row>
    <row r="80" spans="1:28" x14ac:dyDescent="0.2">
      <c r="A80" s="62">
        <v>7</v>
      </c>
      <c r="B80" s="62" t="s">
        <v>346</v>
      </c>
      <c r="C80" s="62">
        <v>22</v>
      </c>
      <c r="D80" s="62" t="s">
        <v>321</v>
      </c>
      <c r="E80" s="62"/>
      <c r="F80" s="63">
        <v>29</v>
      </c>
      <c r="G80" s="63">
        <v>30</v>
      </c>
      <c r="H80" s="63">
        <v>26</v>
      </c>
      <c r="I80" s="63">
        <v>26</v>
      </c>
      <c r="J80" s="63">
        <v>29</v>
      </c>
      <c r="K80" s="63">
        <v>28</v>
      </c>
      <c r="L80" s="63">
        <v>32</v>
      </c>
      <c r="M80" s="63">
        <v>33</v>
      </c>
      <c r="N80" s="63">
        <v>29</v>
      </c>
      <c r="O80" s="63">
        <v>29</v>
      </c>
      <c r="P80" s="63">
        <v>31</v>
      </c>
      <c r="Q80" s="63">
        <v>29</v>
      </c>
      <c r="R80" s="63">
        <v>30</v>
      </c>
      <c r="S80" s="63">
        <v>30</v>
      </c>
      <c r="T80" s="63">
        <v>30</v>
      </c>
      <c r="U80" s="62"/>
      <c r="V80" s="63">
        <v>30</v>
      </c>
      <c r="W80" s="62"/>
      <c r="X80" s="63">
        <v>24</v>
      </c>
      <c r="Y80" s="63">
        <v>26</v>
      </c>
      <c r="Z80" s="62"/>
      <c r="AA80" s="62"/>
      <c r="AB80" s="62"/>
    </row>
    <row r="81" spans="1:28" x14ac:dyDescent="0.2">
      <c r="A81" s="62">
        <v>7</v>
      </c>
      <c r="B81" s="62" t="s">
        <v>346</v>
      </c>
      <c r="C81" s="62">
        <v>23</v>
      </c>
      <c r="D81" s="62" t="s">
        <v>322</v>
      </c>
      <c r="E81" s="63">
        <v>908</v>
      </c>
      <c r="F81" s="63">
        <v>932</v>
      </c>
      <c r="G81" s="63">
        <v>899</v>
      </c>
      <c r="H81" s="63">
        <v>929</v>
      </c>
      <c r="I81" s="63">
        <v>1008</v>
      </c>
      <c r="J81" s="63">
        <v>1085</v>
      </c>
      <c r="K81" s="63">
        <v>1032</v>
      </c>
      <c r="L81" s="63">
        <v>908</v>
      </c>
      <c r="M81" s="63">
        <v>759</v>
      </c>
      <c r="N81" s="63">
        <v>673</v>
      </c>
      <c r="O81" s="63">
        <v>651</v>
      </c>
      <c r="P81" s="63">
        <v>661</v>
      </c>
      <c r="Q81" s="63">
        <v>650</v>
      </c>
      <c r="R81" s="63">
        <v>654</v>
      </c>
      <c r="S81" s="63">
        <v>675</v>
      </c>
      <c r="T81" s="63">
        <v>705</v>
      </c>
      <c r="U81" s="63">
        <v>712</v>
      </c>
      <c r="V81" s="63">
        <v>778</v>
      </c>
      <c r="W81" s="63">
        <v>810</v>
      </c>
      <c r="X81" s="63">
        <v>846</v>
      </c>
      <c r="Y81" s="63">
        <v>875</v>
      </c>
      <c r="Z81" s="63">
        <v>875</v>
      </c>
      <c r="AA81" s="63">
        <v>945</v>
      </c>
      <c r="AB81" s="63">
        <v>1219</v>
      </c>
    </row>
    <row r="82" spans="1:28" x14ac:dyDescent="0.2">
      <c r="A82" s="62">
        <v>7</v>
      </c>
      <c r="B82" s="62" t="s">
        <v>346</v>
      </c>
      <c r="C82" s="62">
        <v>3</v>
      </c>
      <c r="D82" s="62" t="s">
        <v>323</v>
      </c>
      <c r="E82" s="63">
        <v>490</v>
      </c>
      <c r="F82" s="63">
        <v>513</v>
      </c>
      <c r="G82" s="63">
        <v>521</v>
      </c>
      <c r="H82" s="63">
        <v>506</v>
      </c>
      <c r="I82" s="63">
        <v>509</v>
      </c>
      <c r="J82" s="63">
        <v>535</v>
      </c>
      <c r="K82" s="63">
        <v>539</v>
      </c>
      <c r="L82" s="63">
        <v>551</v>
      </c>
      <c r="M82" s="63">
        <v>559</v>
      </c>
      <c r="N82" s="63">
        <v>572</v>
      </c>
      <c r="O82" s="63">
        <v>568</v>
      </c>
      <c r="P82" s="63">
        <v>591</v>
      </c>
      <c r="Q82" s="63">
        <v>611</v>
      </c>
      <c r="R82" s="63">
        <v>636</v>
      </c>
      <c r="S82" s="63">
        <v>659</v>
      </c>
      <c r="T82" s="63">
        <v>705</v>
      </c>
      <c r="U82" s="63">
        <v>740</v>
      </c>
      <c r="V82" s="63">
        <v>789</v>
      </c>
      <c r="W82" s="63">
        <v>806</v>
      </c>
      <c r="X82" s="63">
        <v>796</v>
      </c>
      <c r="Y82" s="63">
        <v>782</v>
      </c>
      <c r="Z82" s="63">
        <v>771</v>
      </c>
      <c r="AA82" s="63">
        <v>790</v>
      </c>
      <c r="AB82" s="63">
        <v>828</v>
      </c>
    </row>
    <row r="83" spans="1:28" x14ac:dyDescent="0.2">
      <c r="A83" s="62">
        <v>7</v>
      </c>
      <c r="B83" s="62" t="s">
        <v>346</v>
      </c>
      <c r="C83" s="62" t="s">
        <v>324</v>
      </c>
      <c r="D83" s="62" t="s">
        <v>325</v>
      </c>
      <c r="E83" s="63">
        <v>61</v>
      </c>
      <c r="F83" s="63">
        <v>46</v>
      </c>
      <c r="G83" s="63">
        <v>53</v>
      </c>
      <c r="H83" s="63">
        <v>72</v>
      </c>
      <c r="I83" s="63">
        <v>92</v>
      </c>
      <c r="J83" s="63">
        <v>101</v>
      </c>
      <c r="K83" s="63">
        <v>94</v>
      </c>
      <c r="L83" s="63">
        <v>98</v>
      </c>
      <c r="M83" s="63">
        <v>88</v>
      </c>
      <c r="N83" s="63">
        <v>89</v>
      </c>
      <c r="O83" s="63">
        <v>108</v>
      </c>
      <c r="P83" s="63">
        <v>112</v>
      </c>
      <c r="Q83" s="63">
        <v>118</v>
      </c>
      <c r="R83" s="63">
        <v>130</v>
      </c>
      <c r="S83" s="63">
        <v>152</v>
      </c>
      <c r="T83" s="63">
        <v>185</v>
      </c>
      <c r="U83" s="63">
        <v>160</v>
      </c>
      <c r="V83" s="63">
        <v>144</v>
      </c>
      <c r="W83" s="63">
        <v>131</v>
      </c>
      <c r="X83" s="63">
        <v>130</v>
      </c>
      <c r="Y83" s="63">
        <v>128</v>
      </c>
      <c r="Z83" s="63">
        <v>126</v>
      </c>
      <c r="AA83" s="63">
        <v>95</v>
      </c>
      <c r="AB83" s="63">
        <v>91</v>
      </c>
    </row>
    <row r="84" spans="1:28" x14ac:dyDescent="0.2">
      <c r="A84" s="62">
        <v>7</v>
      </c>
      <c r="B84" s="62" t="s">
        <v>346</v>
      </c>
      <c r="C84" s="62">
        <v>42</v>
      </c>
      <c r="D84" s="62" t="s">
        <v>326</v>
      </c>
      <c r="E84" s="63">
        <v>68</v>
      </c>
      <c r="F84" s="63">
        <v>61</v>
      </c>
      <c r="G84" s="63">
        <v>55</v>
      </c>
      <c r="H84" s="63">
        <v>48</v>
      </c>
      <c r="I84" s="63">
        <v>59</v>
      </c>
      <c r="J84" s="63">
        <v>66</v>
      </c>
      <c r="K84" s="63">
        <v>64</v>
      </c>
      <c r="L84" s="63">
        <v>67</v>
      </c>
      <c r="M84" s="63">
        <v>56</v>
      </c>
      <c r="N84" s="63">
        <v>61</v>
      </c>
      <c r="O84" s="63">
        <v>55</v>
      </c>
      <c r="P84" s="63">
        <v>58</v>
      </c>
      <c r="Q84" s="63">
        <v>50</v>
      </c>
      <c r="R84" s="63">
        <v>45</v>
      </c>
      <c r="S84" s="63">
        <v>37</v>
      </c>
      <c r="T84" s="63">
        <v>45</v>
      </c>
      <c r="U84" s="63">
        <v>44</v>
      </c>
      <c r="V84" s="63">
        <v>48</v>
      </c>
      <c r="W84" s="63">
        <v>46</v>
      </c>
      <c r="X84" s="63">
        <v>48</v>
      </c>
      <c r="Y84" s="63">
        <v>40</v>
      </c>
      <c r="Z84" s="63">
        <v>52</v>
      </c>
      <c r="AA84" s="63">
        <v>56</v>
      </c>
      <c r="AB84" s="63">
        <v>75</v>
      </c>
    </row>
    <row r="85" spans="1:28" x14ac:dyDescent="0.2">
      <c r="A85" s="62">
        <v>7</v>
      </c>
      <c r="B85" s="62" t="s">
        <v>346</v>
      </c>
      <c r="C85" s="62" t="s">
        <v>327</v>
      </c>
      <c r="D85" s="62" t="s">
        <v>328</v>
      </c>
      <c r="E85" s="63">
        <v>688</v>
      </c>
      <c r="F85" s="63">
        <v>705</v>
      </c>
      <c r="G85" s="63">
        <v>703</v>
      </c>
      <c r="H85" s="63">
        <v>736</v>
      </c>
      <c r="I85" s="63">
        <v>822</v>
      </c>
      <c r="J85" s="63">
        <v>830</v>
      </c>
      <c r="K85" s="63">
        <v>862</v>
      </c>
      <c r="L85" s="63">
        <v>829</v>
      </c>
      <c r="M85" s="63">
        <v>764</v>
      </c>
      <c r="N85" s="63">
        <v>708</v>
      </c>
      <c r="O85" s="63">
        <v>683</v>
      </c>
      <c r="P85" s="63">
        <v>703</v>
      </c>
      <c r="Q85" s="63">
        <v>703</v>
      </c>
      <c r="R85" s="63">
        <v>712</v>
      </c>
      <c r="S85" s="63">
        <v>867</v>
      </c>
      <c r="T85" s="63">
        <v>911</v>
      </c>
      <c r="U85" s="63">
        <v>911</v>
      </c>
      <c r="V85" s="63">
        <v>880</v>
      </c>
      <c r="W85" s="63">
        <v>873</v>
      </c>
      <c r="X85" s="63">
        <v>909</v>
      </c>
      <c r="Y85" s="63">
        <v>916</v>
      </c>
      <c r="Z85" s="63">
        <v>937</v>
      </c>
      <c r="AA85" s="63">
        <v>950</v>
      </c>
      <c r="AB85" s="63">
        <v>917</v>
      </c>
    </row>
    <row r="86" spans="1:28" x14ac:dyDescent="0.2">
      <c r="A86" s="62">
        <v>7</v>
      </c>
      <c r="B86" s="62" t="s">
        <v>346</v>
      </c>
      <c r="C86" s="62" t="s">
        <v>329</v>
      </c>
      <c r="D86" s="62" t="s">
        <v>330</v>
      </c>
      <c r="E86" s="63">
        <v>30</v>
      </c>
      <c r="F86" s="63">
        <v>52</v>
      </c>
      <c r="G86" s="63">
        <v>56</v>
      </c>
      <c r="H86" s="63">
        <v>56</v>
      </c>
      <c r="I86" s="63">
        <v>48</v>
      </c>
      <c r="J86" s="63">
        <v>47</v>
      </c>
      <c r="K86" s="63">
        <v>43</v>
      </c>
      <c r="L86" s="63">
        <v>43</v>
      </c>
      <c r="M86" s="63">
        <v>41</v>
      </c>
      <c r="N86" s="63">
        <v>38</v>
      </c>
      <c r="O86" s="63">
        <v>39</v>
      </c>
      <c r="P86" s="63">
        <v>43</v>
      </c>
      <c r="Q86" s="63">
        <v>51</v>
      </c>
      <c r="R86" s="63">
        <v>68</v>
      </c>
      <c r="S86" s="63">
        <v>56</v>
      </c>
      <c r="T86" s="63">
        <v>61</v>
      </c>
      <c r="U86" s="63">
        <v>59</v>
      </c>
      <c r="V86" s="63">
        <v>59</v>
      </c>
      <c r="W86" s="63">
        <v>58</v>
      </c>
      <c r="X86" s="63">
        <v>66</v>
      </c>
      <c r="Y86" s="63">
        <v>81</v>
      </c>
      <c r="Z86" s="63">
        <v>74</v>
      </c>
      <c r="AA86" s="63">
        <v>75</v>
      </c>
      <c r="AB86" s="63">
        <v>72</v>
      </c>
    </row>
    <row r="87" spans="1:28" x14ac:dyDescent="0.2">
      <c r="A87" s="62">
        <v>7</v>
      </c>
      <c r="B87" s="62" t="s">
        <v>346</v>
      </c>
      <c r="C87" s="62">
        <v>51</v>
      </c>
      <c r="D87" s="62" t="s">
        <v>331</v>
      </c>
      <c r="E87" s="63">
        <v>67</v>
      </c>
      <c r="F87" s="63">
        <v>71</v>
      </c>
      <c r="G87" s="63">
        <v>53</v>
      </c>
      <c r="H87" s="63">
        <v>65</v>
      </c>
      <c r="I87" s="63">
        <v>84</v>
      </c>
      <c r="J87" s="63">
        <v>87</v>
      </c>
      <c r="K87" s="63">
        <v>63</v>
      </c>
      <c r="L87" s="63">
        <v>89</v>
      </c>
      <c r="M87" s="63">
        <v>90</v>
      </c>
      <c r="N87" s="63">
        <v>83</v>
      </c>
      <c r="O87" s="63">
        <v>78</v>
      </c>
      <c r="P87" s="63">
        <v>78</v>
      </c>
      <c r="Q87" s="63">
        <v>78</v>
      </c>
      <c r="R87" s="63">
        <v>70</v>
      </c>
      <c r="S87" s="63">
        <v>72</v>
      </c>
      <c r="T87" s="63">
        <v>70</v>
      </c>
      <c r="U87" s="63">
        <v>54</v>
      </c>
      <c r="V87" s="63">
        <v>52</v>
      </c>
      <c r="W87" s="63">
        <v>49</v>
      </c>
      <c r="X87" s="63">
        <v>43</v>
      </c>
      <c r="Y87" s="63">
        <v>46</v>
      </c>
      <c r="Z87" s="63">
        <v>54</v>
      </c>
      <c r="AA87" s="63">
        <v>71</v>
      </c>
      <c r="AB87" s="63">
        <v>53</v>
      </c>
    </row>
    <row r="88" spans="1:28" x14ac:dyDescent="0.2">
      <c r="A88" s="62">
        <v>7</v>
      </c>
      <c r="B88" s="62" t="s">
        <v>346</v>
      </c>
      <c r="C88" s="62">
        <v>52</v>
      </c>
      <c r="D88" s="62" t="s">
        <v>332</v>
      </c>
      <c r="E88" s="63">
        <v>136</v>
      </c>
      <c r="F88" s="63">
        <v>151</v>
      </c>
      <c r="G88" s="63">
        <v>144</v>
      </c>
      <c r="H88" s="63">
        <v>146</v>
      </c>
      <c r="I88" s="63">
        <v>178</v>
      </c>
      <c r="J88" s="63">
        <v>174</v>
      </c>
      <c r="K88" s="63">
        <v>164</v>
      </c>
      <c r="L88" s="63">
        <v>156</v>
      </c>
      <c r="M88" s="63">
        <v>132</v>
      </c>
      <c r="N88" s="63">
        <v>119</v>
      </c>
      <c r="O88" s="63">
        <v>116</v>
      </c>
      <c r="P88" s="63">
        <v>89</v>
      </c>
      <c r="Q88" s="63">
        <v>85</v>
      </c>
      <c r="R88" s="63">
        <v>112</v>
      </c>
      <c r="S88" s="63">
        <v>129</v>
      </c>
      <c r="T88" s="63">
        <v>126</v>
      </c>
      <c r="U88" s="63">
        <v>135</v>
      </c>
      <c r="V88" s="63">
        <v>134</v>
      </c>
      <c r="W88" s="63">
        <v>139</v>
      </c>
      <c r="X88" s="63">
        <v>151</v>
      </c>
      <c r="Y88" s="63">
        <v>146</v>
      </c>
      <c r="Z88" s="63">
        <v>143</v>
      </c>
      <c r="AA88" s="63">
        <v>133</v>
      </c>
      <c r="AB88" s="63">
        <v>140</v>
      </c>
    </row>
    <row r="89" spans="1:28" x14ac:dyDescent="0.2">
      <c r="A89" s="62">
        <v>7</v>
      </c>
      <c r="B89" s="62" t="s">
        <v>346</v>
      </c>
      <c r="C89" s="62">
        <v>53</v>
      </c>
      <c r="D89" s="62" t="s">
        <v>333</v>
      </c>
      <c r="E89" s="63">
        <v>357</v>
      </c>
      <c r="F89" s="63">
        <v>372</v>
      </c>
      <c r="G89" s="63">
        <v>376</v>
      </c>
      <c r="H89" s="63">
        <v>406</v>
      </c>
      <c r="I89" s="63">
        <v>498</v>
      </c>
      <c r="J89" s="63">
        <v>496</v>
      </c>
      <c r="K89" s="63">
        <v>481</v>
      </c>
      <c r="L89" s="63">
        <v>437</v>
      </c>
      <c r="M89" s="63">
        <v>398</v>
      </c>
      <c r="N89" s="63">
        <v>383</v>
      </c>
      <c r="O89" s="63">
        <v>375</v>
      </c>
      <c r="P89" s="63">
        <v>395</v>
      </c>
      <c r="Q89" s="63">
        <v>414</v>
      </c>
      <c r="R89" s="63">
        <v>428</v>
      </c>
      <c r="S89" s="63">
        <v>444</v>
      </c>
      <c r="T89" s="63">
        <v>457</v>
      </c>
      <c r="U89" s="63">
        <v>469</v>
      </c>
      <c r="V89" s="63">
        <v>465</v>
      </c>
      <c r="W89" s="63">
        <v>448</v>
      </c>
      <c r="X89" s="63">
        <v>458</v>
      </c>
      <c r="Y89" s="63">
        <v>473</v>
      </c>
      <c r="Z89" s="63">
        <v>469</v>
      </c>
      <c r="AA89" s="63">
        <v>490</v>
      </c>
      <c r="AB89" s="63">
        <v>507</v>
      </c>
    </row>
    <row r="90" spans="1:28" x14ac:dyDescent="0.2">
      <c r="A90" s="62">
        <v>7</v>
      </c>
      <c r="B90" s="62" t="s">
        <v>346</v>
      </c>
      <c r="C90" s="62">
        <v>54</v>
      </c>
      <c r="D90" s="62" t="s">
        <v>334</v>
      </c>
      <c r="E90" s="63">
        <v>229</v>
      </c>
      <c r="F90" s="63">
        <v>253</v>
      </c>
      <c r="G90" s="63">
        <v>263</v>
      </c>
      <c r="H90" s="63">
        <v>270</v>
      </c>
      <c r="I90" s="63">
        <v>296</v>
      </c>
      <c r="J90" s="63">
        <v>339</v>
      </c>
      <c r="K90" s="63">
        <v>357</v>
      </c>
      <c r="L90" s="63">
        <v>363</v>
      </c>
      <c r="M90" s="63">
        <v>352</v>
      </c>
      <c r="N90" s="63">
        <v>350</v>
      </c>
      <c r="O90" s="63">
        <v>356</v>
      </c>
      <c r="P90" s="63">
        <v>373</v>
      </c>
      <c r="Q90" s="63">
        <v>351</v>
      </c>
      <c r="R90" s="63">
        <v>368</v>
      </c>
      <c r="S90" s="63">
        <v>369</v>
      </c>
      <c r="T90" s="63">
        <v>354</v>
      </c>
      <c r="U90" s="63">
        <v>376</v>
      </c>
      <c r="V90" s="63">
        <v>410</v>
      </c>
      <c r="W90" s="63">
        <v>410</v>
      </c>
      <c r="X90" s="63">
        <v>440</v>
      </c>
      <c r="Y90" s="63">
        <v>422</v>
      </c>
      <c r="Z90" s="63">
        <v>413</v>
      </c>
      <c r="AA90" s="63">
        <v>393</v>
      </c>
      <c r="AB90" s="63">
        <v>435</v>
      </c>
    </row>
    <row r="91" spans="1:28" x14ac:dyDescent="0.2">
      <c r="A91" s="62">
        <v>7</v>
      </c>
      <c r="B91" s="62" t="s">
        <v>346</v>
      </c>
      <c r="C91" s="62">
        <v>55</v>
      </c>
      <c r="D91" s="64" t="s">
        <v>335</v>
      </c>
      <c r="E91" s="65"/>
      <c r="F91" s="65"/>
      <c r="G91" s="63">
        <v>1</v>
      </c>
      <c r="H91" s="63">
        <v>1</v>
      </c>
      <c r="I91" s="62"/>
      <c r="J91" s="63">
        <v>0</v>
      </c>
      <c r="K91" s="63">
        <v>1</v>
      </c>
      <c r="L91" s="62"/>
      <c r="M91" s="62"/>
      <c r="N91" s="63">
        <v>5</v>
      </c>
      <c r="O91" s="63">
        <v>6</v>
      </c>
      <c r="P91" s="63">
        <v>8</v>
      </c>
      <c r="Q91" s="63">
        <v>8</v>
      </c>
      <c r="R91" s="63">
        <v>5</v>
      </c>
      <c r="S91" s="63">
        <v>4</v>
      </c>
      <c r="T91" s="63">
        <v>11</v>
      </c>
      <c r="U91" s="62"/>
      <c r="V91" s="63">
        <v>4</v>
      </c>
      <c r="W91" s="62"/>
      <c r="X91" s="63">
        <v>5</v>
      </c>
      <c r="Y91" s="63">
        <v>20</v>
      </c>
      <c r="Z91" s="63">
        <v>24</v>
      </c>
      <c r="AA91" s="63">
        <v>34</v>
      </c>
      <c r="AB91" s="63">
        <v>30</v>
      </c>
    </row>
    <row r="92" spans="1:28" x14ac:dyDescent="0.2">
      <c r="A92" s="62">
        <v>7</v>
      </c>
      <c r="B92" s="62" t="s">
        <v>346</v>
      </c>
      <c r="C92" s="62">
        <v>56</v>
      </c>
      <c r="D92" s="62" t="s">
        <v>336</v>
      </c>
      <c r="E92" s="63">
        <v>142</v>
      </c>
      <c r="F92" s="63">
        <v>156</v>
      </c>
      <c r="G92" s="63">
        <v>170</v>
      </c>
      <c r="H92" s="63">
        <v>178</v>
      </c>
      <c r="I92" s="63">
        <v>194</v>
      </c>
      <c r="J92" s="63">
        <v>197</v>
      </c>
      <c r="K92" s="63">
        <v>220</v>
      </c>
      <c r="L92" s="63">
        <v>241</v>
      </c>
      <c r="M92" s="63">
        <v>223</v>
      </c>
      <c r="N92" s="63">
        <v>213</v>
      </c>
      <c r="O92" s="63">
        <v>222</v>
      </c>
      <c r="P92" s="63">
        <v>225</v>
      </c>
      <c r="Q92" s="63">
        <v>210</v>
      </c>
      <c r="R92" s="63">
        <v>215</v>
      </c>
      <c r="S92" s="63">
        <v>238</v>
      </c>
      <c r="T92" s="63">
        <v>233</v>
      </c>
      <c r="U92" s="63">
        <v>267</v>
      </c>
      <c r="V92" s="63">
        <v>327</v>
      </c>
      <c r="W92" s="63">
        <v>345</v>
      </c>
      <c r="X92" s="63">
        <v>340</v>
      </c>
      <c r="Y92" s="63">
        <v>366</v>
      </c>
      <c r="Z92" s="63">
        <v>373</v>
      </c>
      <c r="AA92" s="63">
        <v>346</v>
      </c>
      <c r="AB92" s="63">
        <v>342</v>
      </c>
    </row>
    <row r="93" spans="1:28" x14ac:dyDescent="0.2">
      <c r="A93" s="62">
        <v>7</v>
      </c>
      <c r="B93" s="62" t="s">
        <v>346</v>
      </c>
      <c r="C93" s="62">
        <v>61</v>
      </c>
      <c r="D93" s="62" t="s">
        <v>337</v>
      </c>
      <c r="E93" s="63">
        <v>83</v>
      </c>
      <c r="F93" s="63">
        <v>88</v>
      </c>
      <c r="G93" s="63">
        <v>98</v>
      </c>
      <c r="H93" s="63">
        <v>103</v>
      </c>
      <c r="I93" s="63">
        <v>58</v>
      </c>
      <c r="J93" s="63">
        <v>71</v>
      </c>
      <c r="K93" s="63">
        <v>68</v>
      </c>
      <c r="L93" s="63">
        <v>51</v>
      </c>
      <c r="M93" s="63">
        <v>39</v>
      </c>
      <c r="N93" s="63">
        <v>42</v>
      </c>
      <c r="O93" s="63">
        <v>48</v>
      </c>
      <c r="P93" s="63">
        <v>52</v>
      </c>
      <c r="Q93" s="63">
        <v>48</v>
      </c>
      <c r="R93" s="63">
        <v>59</v>
      </c>
      <c r="S93" s="63">
        <v>63</v>
      </c>
      <c r="T93" s="63">
        <v>56</v>
      </c>
      <c r="U93" s="63">
        <v>50</v>
      </c>
      <c r="V93" s="63">
        <v>57</v>
      </c>
      <c r="W93" s="63">
        <v>67</v>
      </c>
      <c r="X93" s="63">
        <v>62</v>
      </c>
      <c r="Y93" s="63">
        <v>72</v>
      </c>
      <c r="Z93" s="63">
        <v>86</v>
      </c>
      <c r="AA93" s="63">
        <v>98</v>
      </c>
      <c r="AB93" s="63">
        <v>59</v>
      </c>
    </row>
    <row r="94" spans="1:28" x14ac:dyDescent="0.2">
      <c r="A94" s="62">
        <v>7</v>
      </c>
      <c r="B94" s="62" t="s">
        <v>346</v>
      </c>
      <c r="C94" s="62">
        <v>62</v>
      </c>
      <c r="D94" s="62" t="s">
        <v>338</v>
      </c>
      <c r="E94" s="63">
        <v>214</v>
      </c>
      <c r="F94" s="63">
        <v>232</v>
      </c>
      <c r="G94" s="63">
        <v>253</v>
      </c>
      <c r="H94" s="63">
        <v>250</v>
      </c>
      <c r="I94" s="63">
        <v>244</v>
      </c>
      <c r="J94" s="63">
        <v>276</v>
      </c>
      <c r="K94" s="63">
        <v>295</v>
      </c>
      <c r="L94" s="63">
        <v>277</v>
      </c>
      <c r="M94" s="63">
        <v>269</v>
      </c>
      <c r="N94" s="63">
        <v>274</v>
      </c>
      <c r="O94" s="63">
        <v>286</v>
      </c>
      <c r="P94" s="63">
        <v>328</v>
      </c>
      <c r="Q94" s="63">
        <v>347</v>
      </c>
      <c r="R94" s="63">
        <v>391</v>
      </c>
      <c r="S94" s="63">
        <v>445</v>
      </c>
      <c r="T94" s="63">
        <v>441</v>
      </c>
      <c r="U94" s="63">
        <v>437</v>
      </c>
      <c r="V94" s="63">
        <v>487</v>
      </c>
      <c r="W94" s="63">
        <v>525</v>
      </c>
      <c r="X94" s="63">
        <v>514</v>
      </c>
      <c r="Y94" s="63">
        <v>504</v>
      </c>
      <c r="Z94" s="63">
        <v>502</v>
      </c>
      <c r="AA94" s="63">
        <v>523</v>
      </c>
      <c r="AB94" s="63">
        <v>560</v>
      </c>
    </row>
    <row r="95" spans="1:28" x14ac:dyDescent="0.2">
      <c r="A95" s="62">
        <v>7</v>
      </c>
      <c r="B95" s="62" t="s">
        <v>346</v>
      </c>
      <c r="C95" s="62">
        <v>71</v>
      </c>
      <c r="D95" s="62" t="s">
        <v>339</v>
      </c>
      <c r="E95" s="63">
        <v>116</v>
      </c>
      <c r="F95" s="63">
        <v>114</v>
      </c>
      <c r="G95" s="63">
        <v>128</v>
      </c>
      <c r="H95" s="63">
        <v>158</v>
      </c>
      <c r="I95" s="63">
        <v>240</v>
      </c>
      <c r="J95" s="63">
        <v>144</v>
      </c>
      <c r="K95" s="63">
        <v>152</v>
      </c>
      <c r="L95" s="63">
        <v>147</v>
      </c>
      <c r="M95" s="63">
        <v>127</v>
      </c>
      <c r="N95" s="63">
        <v>133</v>
      </c>
      <c r="O95" s="63">
        <v>155</v>
      </c>
      <c r="P95" s="63">
        <v>158</v>
      </c>
      <c r="Q95" s="63">
        <v>137</v>
      </c>
      <c r="R95" s="63">
        <v>149</v>
      </c>
      <c r="S95" s="63">
        <v>137</v>
      </c>
      <c r="T95" s="63">
        <v>148</v>
      </c>
      <c r="U95" s="63">
        <v>143</v>
      </c>
      <c r="V95" s="63">
        <v>147</v>
      </c>
      <c r="W95" s="63">
        <v>163</v>
      </c>
      <c r="X95" s="63">
        <v>157</v>
      </c>
      <c r="Y95" s="63">
        <v>179</v>
      </c>
      <c r="Z95" s="63">
        <v>191</v>
      </c>
      <c r="AA95" s="63">
        <v>223</v>
      </c>
      <c r="AB95" s="63">
        <v>197</v>
      </c>
    </row>
    <row r="96" spans="1:28" x14ac:dyDescent="0.2">
      <c r="A96" s="62">
        <v>7</v>
      </c>
      <c r="B96" s="62" t="s">
        <v>346</v>
      </c>
      <c r="C96" s="62">
        <v>72</v>
      </c>
      <c r="D96" s="62" t="s">
        <v>340</v>
      </c>
      <c r="E96" s="63">
        <v>640</v>
      </c>
      <c r="F96" s="63">
        <v>648</v>
      </c>
      <c r="G96" s="63">
        <v>609</v>
      </c>
      <c r="H96" s="63">
        <v>599</v>
      </c>
      <c r="I96" s="63">
        <v>651</v>
      </c>
      <c r="J96" s="63">
        <v>725</v>
      </c>
      <c r="K96" s="63">
        <v>766</v>
      </c>
      <c r="L96" s="63">
        <v>766</v>
      </c>
      <c r="M96" s="63">
        <v>691</v>
      </c>
      <c r="N96" s="63">
        <v>700</v>
      </c>
      <c r="O96" s="63">
        <v>686</v>
      </c>
      <c r="P96" s="63">
        <v>664</v>
      </c>
      <c r="Q96" s="63">
        <v>760</v>
      </c>
      <c r="R96" s="63">
        <v>727</v>
      </c>
      <c r="S96" s="63">
        <v>746</v>
      </c>
      <c r="T96" s="63">
        <v>784</v>
      </c>
      <c r="U96" s="63">
        <v>826</v>
      </c>
      <c r="V96" s="63">
        <v>859</v>
      </c>
      <c r="W96" s="63">
        <v>840</v>
      </c>
      <c r="X96" s="63">
        <v>806</v>
      </c>
      <c r="Y96" s="63">
        <v>944</v>
      </c>
      <c r="Z96" s="63">
        <v>981</v>
      </c>
      <c r="AA96" s="63">
        <v>1014</v>
      </c>
      <c r="AB96" s="63">
        <v>1094</v>
      </c>
    </row>
    <row r="97" spans="1:28" x14ac:dyDescent="0.2">
      <c r="A97" s="62">
        <v>7</v>
      </c>
      <c r="B97" s="62" t="s">
        <v>346</v>
      </c>
      <c r="C97" s="62">
        <v>81</v>
      </c>
      <c r="D97" s="62" t="s">
        <v>341</v>
      </c>
      <c r="E97" s="63">
        <v>306</v>
      </c>
      <c r="F97" s="63">
        <v>337</v>
      </c>
      <c r="G97" s="63">
        <v>331</v>
      </c>
      <c r="H97" s="63">
        <v>351</v>
      </c>
      <c r="I97" s="63">
        <v>398</v>
      </c>
      <c r="J97" s="63">
        <v>413</v>
      </c>
      <c r="K97" s="63">
        <v>431</v>
      </c>
      <c r="L97" s="63">
        <v>400</v>
      </c>
      <c r="M97" s="63">
        <v>410</v>
      </c>
      <c r="N97" s="63">
        <v>426</v>
      </c>
      <c r="O97" s="63">
        <v>388</v>
      </c>
      <c r="P97" s="63">
        <v>398</v>
      </c>
      <c r="Q97" s="63">
        <v>399</v>
      </c>
      <c r="R97" s="63">
        <v>407</v>
      </c>
      <c r="S97" s="63">
        <v>429</v>
      </c>
      <c r="T97" s="63">
        <v>474</v>
      </c>
      <c r="U97" s="63">
        <v>485</v>
      </c>
      <c r="V97" s="63">
        <v>380</v>
      </c>
      <c r="W97" s="63">
        <v>373</v>
      </c>
      <c r="X97" s="63">
        <v>335</v>
      </c>
      <c r="Y97" s="63">
        <v>373</v>
      </c>
      <c r="Z97" s="63">
        <v>372</v>
      </c>
      <c r="AA97" s="63">
        <v>398</v>
      </c>
      <c r="AB97" s="63">
        <v>414</v>
      </c>
    </row>
    <row r="98" spans="1:28" x14ac:dyDescent="0.2">
      <c r="A98" s="62">
        <v>7</v>
      </c>
      <c r="B98" s="62" t="s">
        <v>346</v>
      </c>
      <c r="C98" s="62">
        <v>99</v>
      </c>
      <c r="D98" s="62" t="s">
        <v>342</v>
      </c>
      <c r="E98" s="62"/>
      <c r="F98" s="62"/>
      <c r="G98" s="63">
        <v>0</v>
      </c>
      <c r="H98" s="62"/>
      <c r="I98" s="62"/>
      <c r="J98" s="62"/>
      <c r="K98" s="62"/>
      <c r="L98" s="62"/>
      <c r="M98" s="62"/>
      <c r="N98" s="63">
        <v>0</v>
      </c>
      <c r="O98" s="63">
        <v>0</v>
      </c>
      <c r="P98" s="63">
        <v>0</v>
      </c>
      <c r="Q98" s="63">
        <v>1</v>
      </c>
      <c r="R98" s="63">
        <v>0</v>
      </c>
      <c r="S98" s="62"/>
      <c r="T98" s="62"/>
      <c r="U98" s="62"/>
      <c r="V98" s="62"/>
      <c r="W98" s="62"/>
      <c r="X98" s="62"/>
      <c r="Y98" s="62"/>
      <c r="Z98" s="62"/>
      <c r="AA98" s="62"/>
      <c r="AB98" s="62"/>
    </row>
    <row r="99" spans="1:28" x14ac:dyDescent="0.2">
      <c r="A99" s="62">
        <v>9</v>
      </c>
      <c r="B99" s="62" t="s">
        <v>347</v>
      </c>
      <c r="C99" s="62">
        <v>1</v>
      </c>
      <c r="D99" s="62" t="s">
        <v>316</v>
      </c>
      <c r="E99" s="63">
        <v>46</v>
      </c>
      <c r="F99" s="63">
        <v>44</v>
      </c>
      <c r="G99" s="63">
        <v>46</v>
      </c>
      <c r="H99" s="63">
        <v>46</v>
      </c>
      <c r="I99" s="63">
        <v>44</v>
      </c>
      <c r="J99" s="63">
        <v>44</v>
      </c>
      <c r="K99" s="63">
        <v>41</v>
      </c>
      <c r="L99" s="63">
        <v>42</v>
      </c>
      <c r="M99" s="63">
        <v>42</v>
      </c>
      <c r="N99" s="63">
        <v>44</v>
      </c>
      <c r="O99" s="63">
        <v>38</v>
      </c>
      <c r="P99" s="63">
        <v>37</v>
      </c>
      <c r="Q99" s="63">
        <v>37</v>
      </c>
      <c r="R99" s="63">
        <v>36</v>
      </c>
      <c r="S99" s="63">
        <v>35</v>
      </c>
      <c r="T99" s="63">
        <v>34</v>
      </c>
      <c r="U99" s="63">
        <v>35</v>
      </c>
      <c r="V99" s="63">
        <v>35</v>
      </c>
      <c r="W99" s="63">
        <v>34</v>
      </c>
      <c r="X99" s="63">
        <v>34</v>
      </c>
      <c r="Y99" s="63">
        <v>34</v>
      </c>
      <c r="Z99" s="63">
        <v>32</v>
      </c>
      <c r="AA99" s="63">
        <v>32</v>
      </c>
      <c r="AB99" s="63">
        <v>32</v>
      </c>
    </row>
    <row r="100" spans="1:28" x14ac:dyDescent="0.2">
      <c r="A100" s="62">
        <v>9</v>
      </c>
      <c r="B100" s="62" t="s">
        <v>347</v>
      </c>
      <c r="C100" s="62">
        <v>10</v>
      </c>
      <c r="D100" s="62" t="s">
        <v>317</v>
      </c>
      <c r="E100" s="63">
        <v>1690</v>
      </c>
      <c r="F100" s="63">
        <v>1628</v>
      </c>
      <c r="G100" s="63">
        <v>1618</v>
      </c>
      <c r="H100" s="63">
        <v>1566</v>
      </c>
      <c r="I100" s="63">
        <v>1591</v>
      </c>
      <c r="J100" s="63">
        <v>1591</v>
      </c>
      <c r="K100" s="63">
        <v>1582</v>
      </c>
      <c r="L100" s="63">
        <v>1594</v>
      </c>
      <c r="M100" s="63">
        <v>1561</v>
      </c>
      <c r="N100" s="63">
        <v>1553</v>
      </c>
      <c r="O100" s="63">
        <v>1538</v>
      </c>
      <c r="P100" s="63">
        <v>1494</v>
      </c>
      <c r="Q100" s="63">
        <v>1470</v>
      </c>
      <c r="R100" s="63">
        <v>1469</v>
      </c>
      <c r="S100" s="63">
        <v>1456</v>
      </c>
      <c r="T100" s="63">
        <v>1453</v>
      </c>
      <c r="U100" s="63">
        <v>1437</v>
      </c>
      <c r="V100" s="63">
        <v>1437</v>
      </c>
      <c r="W100" s="63">
        <v>1460</v>
      </c>
      <c r="X100" s="63">
        <v>1450</v>
      </c>
      <c r="Y100" s="63">
        <v>1465</v>
      </c>
      <c r="Z100" s="63">
        <v>1543</v>
      </c>
      <c r="AA100" s="63">
        <v>1541</v>
      </c>
      <c r="AB100" s="63">
        <v>1582</v>
      </c>
    </row>
    <row r="101" spans="1:28" x14ac:dyDescent="0.2">
      <c r="A101" s="62">
        <v>9</v>
      </c>
      <c r="B101" s="62" t="s">
        <v>347</v>
      </c>
      <c r="C101" s="62">
        <v>11</v>
      </c>
      <c r="D101" s="62" t="s">
        <v>318</v>
      </c>
      <c r="E101" s="63">
        <v>54</v>
      </c>
      <c r="F101" s="63">
        <v>60</v>
      </c>
      <c r="G101" s="63">
        <v>65</v>
      </c>
      <c r="H101" s="63">
        <v>57</v>
      </c>
      <c r="I101" s="63">
        <v>67</v>
      </c>
      <c r="J101" s="63">
        <v>119</v>
      </c>
      <c r="K101" s="63">
        <v>104</v>
      </c>
      <c r="L101" s="63">
        <v>115</v>
      </c>
      <c r="M101" s="63">
        <v>85</v>
      </c>
      <c r="N101" s="63">
        <v>65</v>
      </c>
      <c r="O101" s="63">
        <v>73</v>
      </c>
      <c r="P101" s="63">
        <v>77</v>
      </c>
      <c r="Q101" s="63">
        <v>75</v>
      </c>
      <c r="R101" s="63">
        <v>66</v>
      </c>
      <c r="S101" s="63">
        <v>71</v>
      </c>
      <c r="T101" s="63">
        <v>71</v>
      </c>
      <c r="U101" s="63">
        <v>97</v>
      </c>
      <c r="V101" s="63">
        <v>99</v>
      </c>
      <c r="W101" s="63">
        <v>118</v>
      </c>
      <c r="X101" s="63">
        <v>119</v>
      </c>
      <c r="Y101" s="63">
        <v>128</v>
      </c>
      <c r="Z101" s="63">
        <v>184</v>
      </c>
      <c r="AA101" s="63">
        <v>161</v>
      </c>
      <c r="AB101" s="63">
        <v>108</v>
      </c>
    </row>
    <row r="102" spans="1:28" x14ac:dyDescent="0.2">
      <c r="A102" s="62">
        <v>9</v>
      </c>
      <c r="B102" s="62" t="s">
        <v>347</v>
      </c>
      <c r="C102" s="62">
        <v>2</v>
      </c>
      <c r="D102" s="62" t="s">
        <v>319</v>
      </c>
      <c r="E102" s="63">
        <v>8</v>
      </c>
      <c r="F102" s="62"/>
      <c r="G102" s="63">
        <v>4</v>
      </c>
      <c r="H102" s="63">
        <v>4</v>
      </c>
      <c r="I102" s="63">
        <v>5</v>
      </c>
      <c r="J102" s="62"/>
      <c r="K102" s="63">
        <v>3</v>
      </c>
      <c r="L102" s="63">
        <v>6</v>
      </c>
      <c r="M102" s="63">
        <v>6</v>
      </c>
      <c r="N102" s="63">
        <v>7</v>
      </c>
      <c r="O102" s="63">
        <v>13</v>
      </c>
      <c r="P102" s="63">
        <v>12</v>
      </c>
      <c r="Q102" s="63">
        <v>11</v>
      </c>
      <c r="R102" s="63">
        <v>11</v>
      </c>
      <c r="S102" s="63">
        <v>11</v>
      </c>
      <c r="T102" s="63">
        <v>11</v>
      </c>
      <c r="U102" s="63">
        <v>11</v>
      </c>
      <c r="V102" s="63">
        <v>12</v>
      </c>
      <c r="W102" s="63">
        <v>12</v>
      </c>
      <c r="X102" s="63">
        <v>12</v>
      </c>
      <c r="Y102" s="63">
        <v>11</v>
      </c>
      <c r="Z102" s="63">
        <v>12</v>
      </c>
      <c r="AA102" s="63">
        <v>11</v>
      </c>
      <c r="AB102" s="63">
        <v>11</v>
      </c>
    </row>
    <row r="103" spans="1:28" x14ac:dyDescent="0.2">
      <c r="A103" s="62">
        <v>9</v>
      </c>
      <c r="B103" s="62" t="s">
        <v>347</v>
      </c>
      <c r="C103" s="62">
        <v>21</v>
      </c>
      <c r="D103" s="64" t="s">
        <v>320</v>
      </c>
      <c r="E103" s="65"/>
      <c r="F103" s="65"/>
      <c r="G103" s="65"/>
      <c r="H103" s="63">
        <v>8</v>
      </c>
      <c r="I103" s="63">
        <v>14</v>
      </c>
      <c r="J103" s="63">
        <v>12</v>
      </c>
      <c r="K103" s="63">
        <v>16</v>
      </c>
      <c r="L103" s="63">
        <v>20</v>
      </c>
      <c r="M103" s="63">
        <v>17</v>
      </c>
      <c r="N103" s="63">
        <v>17</v>
      </c>
      <c r="O103" s="63">
        <v>15</v>
      </c>
      <c r="P103" s="63">
        <v>20</v>
      </c>
      <c r="Q103" s="63">
        <v>21</v>
      </c>
      <c r="R103" s="63">
        <v>20</v>
      </c>
      <c r="S103" s="63">
        <v>13</v>
      </c>
      <c r="T103" s="63">
        <v>15</v>
      </c>
      <c r="U103" s="63">
        <v>10</v>
      </c>
      <c r="V103" s="63">
        <v>9</v>
      </c>
      <c r="W103" s="63">
        <v>6</v>
      </c>
      <c r="X103" s="63">
        <v>5</v>
      </c>
      <c r="Y103" s="62"/>
      <c r="Z103" s="63">
        <v>8</v>
      </c>
      <c r="AA103" s="63">
        <v>11</v>
      </c>
      <c r="AB103" s="63">
        <v>5</v>
      </c>
    </row>
    <row r="104" spans="1:28" x14ac:dyDescent="0.2">
      <c r="A104" s="62">
        <v>9</v>
      </c>
      <c r="B104" s="62" t="s">
        <v>347</v>
      </c>
      <c r="C104" s="62">
        <v>22</v>
      </c>
      <c r="D104" s="62" t="s">
        <v>321</v>
      </c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</row>
    <row r="105" spans="1:28" x14ac:dyDescent="0.2">
      <c r="A105" s="62">
        <v>9</v>
      </c>
      <c r="B105" s="62" t="s">
        <v>347</v>
      </c>
      <c r="C105" s="62">
        <v>23</v>
      </c>
      <c r="D105" s="62" t="s">
        <v>322</v>
      </c>
      <c r="E105" s="63">
        <v>79</v>
      </c>
      <c r="F105" s="63">
        <v>86</v>
      </c>
      <c r="G105" s="63">
        <v>80</v>
      </c>
      <c r="H105" s="63">
        <v>68</v>
      </c>
      <c r="I105" s="63">
        <v>67</v>
      </c>
      <c r="J105" s="63">
        <v>59</v>
      </c>
      <c r="K105" s="63">
        <v>74</v>
      </c>
      <c r="L105" s="63">
        <v>67</v>
      </c>
      <c r="M105" s="63">
        <v>58</v>
      </c>
      <c r="N105" s="63">
        <v>56</v>
      </c>
      <c r="O105" s="63">
        <v>57</v>
      </c>
      <c r="P105" s="63">
        <v>65</v>
      </c>
      <c r="Q105" s="63">
        <v>80</v>
      </c>
      <c r="R105" s="63">
        <v>73</v>
      </c>
      <c r="S105" s="63">
        <v>78</v>
      </c>
      <c r="T105" s="63">
        <v>84</v>
      </c>
      <c r="U105" s="63">
        <v>85</v>
      </c>
      <c r="V105" s="63">
        <v>63</v>
      </c>
      <c r="W105" s="63">
        <v>63</v>
      </c>
      <c r="X105" s="63">
        <v>70</v>
      </c>
      <c r="Y105" s="63">
        <v>67</v>
      </c>
      <c r="Z105" s="63">
        <v>70</v>
      </c>
      <c r="AA105" s="63">
        <v>92</v>
      </c>
      <c r="AB105" s="63">
        <v>148</v>
      </c>
    </row>
    <row r="106" spans="1:28" x14ac:dyDescent="0.2">
      <c r="A106" s="62">
        <v>9</v>
      </c>
      <c r="B106" s="62" t="s">
        <v>347</v>
      </c>
      <c r="C106" s="62">
        <v>3</v>
      </c>
      <c r="D106" s="62" t="s">
        <v>323</v>
      </c>
      <c r="E106" s="63">
        <v>679</v>
      </c>
      <c r="F106" s="63">
        <v>673</v>
      </c>
      <c r="G106" s="63">
        <v>694</v>
      </c>
      <c r="H106" s="63">
        <v>675</v>
      </c>
      <c r="I106" s="63">
        <v>665</v>
      </c>
      <c r="J106" s="63">
        <v>672</v>
      </c>
      <c r="K106" s="63">
        <v>671</v>
      </c>
      <c r="L106" s="63">
        <v>671</v>
      </c>
      <c r="M106" s="63">
        <v>695</v>
      </c>
      <c r="N106" s="63">
        <v>714</v>
      </c>
      <c r="O106" s="63">
        <v>699</v>
      </c>
      <c r="P106" s="63">
        <v>664</v>
      </c>
      <c r="Q106" s="63">
        <v>625</v>
      </c>
      <c r="R106" s="63">
        <v>633</v>
      </c>
      <c r="S106" s="63">
        <v>632</v>
      </c>
      <c r="T106" s="63">
        <v>644</v>
      </c>
      <c r="U106" s="63">
        <v>618</v>
      </c>
      <c r="V106" s="63">
        <v>613</v>
      </c>
      <c r="W106" s="63">
        <v>614</v>
      </c>
      <c r="X106" s="63">
        <v>609</v>
      </c>
      <c r="Y106" s="63">
        <v>597</v>
      </c>
      <c r="Z106" s="63">
        <v>579</v>
      </c>
      <c r="AA106" s="63">
        <v>595</v>
      </c>
      <c r="AB106" s="63">
        <v>591</v>
      </c>
    </row>
    <row r="107" spans="1:28" x14ac:dyDescent="0.2">
      <c r="A107" s="62">
        <v>9</v>
      </c>
      <c r="B107" s="62" t="s">
        <v>347</v>
      </c>
      <c r="C107" s="62" t="s">
        <v>324</v>
      </c>
      <c r="D107" s="64" t="s">
        <v>325</v>
      </c>
      <c r="E107" s="65"/>
      <c r="F107" s="62"/>
      <c r="G107" s="63">
        <v>34</v>
      </c>
      <c r="H107" s="62"/>
      <c r="I107" s="63">
        <v>45</v>
      </c>
      <c r="J107" s="63">
        <v>38</v>
      </c>
      <c r="K107" s="62"/>
      <c r="L107" s="63">
        <v>22</v>
      </c>
      <c r="M107" s="63">
        <v>20</v>
      </c>
      <c r="N107" s="62"/>
      <c r="O107" s="62"/>
      <c r="P107" s="63">
        <v>23</v>
      </c>
      <c r="Q107" s="63">
        <v>24</v>
      </c>
      <c r="R107" s="62"/>
      <c r="S107" s="63">
        <v>12</v>
      </c>
      <c r="T107" s="63">
        <v>10</v>
      </c>
      <c r="U107" s="63">
        <v>8</v>
      </c>
      <c r="V107" s="63">
        <v>6</v>
      </c>
      <c r="W107" s="63">
        <v>8</v>
      </c>
      <c r="X107" s="63">
        <v>8</v>
      </c>
      <c r="Y107" s="63">
        <v>7</v>
      </c>
      <c r="Z107" s="63">
        <v>6</v>
      </c>
      <c r="AA107" s="63">
        <v>6</v>
      </c>
      <c r="AB107" s="63">
        <v>6</v>
      </c>
    </row>
    <row r="108" spans="1:28" x14ac:dyDescent="0.2">
      <c r="A108" s="62">
        <v>9</v>
      </c>
      <c r="B108" s="62" t="s">
        <v>347</v>
      </c>
      <c r="C108" s="62">
        <v>42</v>
      </c>
      <c r="D108" s="62" t="s">
        <v>326</v>
      </c>
      <c r="E108" s="63">
        <v>58</v>
      </c>
      <c r="F108" s="63">
        <v>39</v>
      </c>
      <c r="G108" s="63">
        <v>34</v>
      </c>
      <c r="H108" s="63">
        <v>29</v>
      </c>
      <c r="I108" s="63">
        <v>32</v>
      </c>
      <c r="J108" s="63">
        <v>40</v>
      </c>
      <c r="K108" s="63">
        <v>32</v>
      </c>
      <c r="L108" s="63">
        <v>30</v>
      </c>
      <c r="M108" s="63">
        <v>36</v>
      </c>
      <c r="N108" s="63">
        <v>36</v>
      </c>
      <c r="O108" s="63">
        <v>51</v>
      </c>
      <c r="P108" s="63">
        <v>54</v>
      </c>
      <c r="Q108" s="63">
        <v>57</v>
      </c>
      <c r="R108" s="63">
        <v>54</v>
      </c>
      <c r="S108" s="63">
        <v>53</v>
      </c>
      <c r="T108" s="63">
        <v>54</v>
      </c>
      <c r="U108" s="63">
        <v>51</v>
      </c>
      <c r="V108" s="63">
        <v>51</v>
      </c>
      <c r="W108" s="63">
        <v>62</v>
      </c>
      <c r="X108" s="63">
        <v>57</v>
      </c>
      <c r="Y108" s="63">
        <v>60</v>
      </c>
      <c r="Z108" s="63">
        <v>63</v>
      </c>
      <c r="AA108" s="63">
        <v>51</v>
      </c>
      <c r="AB108" s="63">
        <v>46</v>
      </c>
    </row>
    <row r="109" spans="1:28" x14ac:dyDescent="0.2">
      <c r="A109" s="62">
        <v>9</v>
      </c>
      <c r="B109" s="62" t="s">
        <v>347</v>
      </c>
      <c r="C109" s="62" t="s">
        <v>327</v>
      </c>
      <c r="D109" s="62" t="s">
        <v>328</v>
      </c>
      <c r="E109" s="63">
        <v>194</v>
      </c>
      <c r="F109" s="63">
        <v>180</v>
      </c>
      <c r="G109" s="63">
        <v>181</v>
      </c>
      <c r="H109" s="63">
        <v>180</v>
      </c>
      <c r="I109" s="63">
        <v>182</v>
      </c>
      <c r="J109" s="63">
        <v>171</v>
      </c>
      <c r="K109" s="63">
        <v>169</v>
      </c>
      <c r="L109" s="63">
        <v>182</v>
      </c>
      <c r="M109" s="63">
        <v>164</v>
      </c>
      <c r="N109" s="63">
        <v>166</v>
      </c>
      <c r="O109" s="63">
        <v>159</v>
      </c>
      <c r="P109" s="63">
        <v>166</v>
      </c>
      <c r="Q109" s="63">
        <v>157</v>
      </c>
      <c r="R109" s="63">
        <v>159</v>
      </c>
      <c r="S109" s="63">
        <v>153</v>
      </c>
      <c r="T109" s="63">
        <v>153</v>
      </c>
      <c r="U109" s="63">
        <v>142</v>
      </c>
      <c r="V109" s="63">
        <v>158</v>
      </c>
      <c r="W109" s="63">
        <v>153</v>
      </c>
      <c r="X109" s="63">
        <v>166</v>
      </c>
      <c r="Y109" s="63">
        <v>174</v>
      </c>
      <c r="Z109" s="63">
        <v>176</v>
      </c>
      <c r="AA109" s="63">
        <v>179</v>
      </c>
      <c r="AB109" s="63">
        <v>181</v>
      </c>
    </row>
    <row r="110" spans="1:28" x14ac:dyDescent="0.2">
      <c r="A110" s="62">
        <v>9</v>
      </c>
      <c r="B110" s="62" t="s">
        <v>347</v>
      </c>
      <c r="C110" s="62" t="s">
        <v>329</v>
      </c>
      <c r="D110" s="62" t="s">
        <v>330</v>
      </c>
      <c r="E110" s="63">
        <v>75</v>
      </c>
      <c r="F110" s="63">
        <v>69</v>
      </c>
      <c r="G110" s="63">
        <v>57</v>
      </c>
      <c r="H110" s="63">
        <v>50</v>
      </c>
      <c r="I110" s="63">
        <v>53</v>
      </c>
      <c r="J110" s="63">
        <v>52</v>
      </c>
      <c r="K110" s="63">
        <v>66</v>
      </c>
      <c r="L110" s="63">
        <v>71</v>
      </c>
      <c r="M110" s="63">
        <v>74</v>
      </c>
      <c r="N110" s="63">
        <v>64</v>
      </c>
      <c r="O110" s="63">
        <v>70</v>
      </c>
      <c r="P110" s="63">
        <v>69</v>
      </c>
      <c r="Q110" s="63">
        <v>64</v>
      </c>
      <c r="R110" s="63">
        <v>69</v>
      </c>
      <c r="S110" s="63">
        <v>63</v>
      </c>
      <c r="T110" s="63">
        <v>56</v>
      </c>
      <c r="U110" s="63">
        <v>58</v>
      </c>
      <c r="V110" s="63">
        <v>59</v>
      </c>
      <c r="W110" s="63">
        <v>61</v>
      </c>
      <c r="X110" s="63">
        <v>63</v>
      </c>
      <c r="Y110" s="63">
        <v>71</v>
      </c>
      <c r="Z110" s="63">
        <v>66</v>
      </c>
      <c r="AA110" s="63">
        <v>60</v>
      </c>
      <c r="AB110" s="63">
        <v>65</v>
      </c>
    </row>
    <row r="111" spans="1:28" x14ac:dyDescent="0.2">
      <c r="A111" s="62">
        <v>9</v>
      </c>
      <c r="B111" s="62" t="s">
        <v>347</v>
      </c>
      <c r="C111" s="62">
        <v>51</v>
      </c>
      <c r="D111" s="62" t="s">
        <v>331</v>
      </c>
      <c r="E111" s="63">
        <v>17</v>
      </c>
      <c r="F111" s="63">
        <v>15</v>
      </c>
      <c r="G111" s="63">
        <v>13</v>
      </c>
      <c r="H111" s="63">
        <v>9</v>
      </c>
      <c r="I111" s="63">
        <v>14</v>
      </c>
      <c r="J111" s="63">
        <v>10</v>
      </c>
      <c r="K111" s="63">
        <v>9</v>
      </c>
      <c r="L111" s="62"/>
      <c r="M111" s="62"/>
      <c r="N111" s="62"/>
      <c r="O111" s="62"/>
      <c r="P111" s="62"/>
      <c r="Q111" s="62"/>
      <c r="R111" s="62"/>
      <c r="S111" s="62"/>
      <c r="T111" s="63">
        <v>5</v>
      </c>
      <c r="U111" s="63">
        <v>9</v>
      </c>
      <c r="V111" s="63">
        <v>10</v>
      </c>
      <c r="W111" s="62"/>
      <c r="X111" s="63">
        <v>16</v>
      </c>
      <c r="Y111" s="62"/>
      <c r="Z111" s="62"/>
      <c r="AA111" s="62"/>
      <c r="AB111" s="62"/>
    </row>
    <row r="112" spans="1:28" x14ac:dyDescent="0.2">
      <c r="A112" s="62">
        <v>9</v>
      </c>
      <c r="B112" s="62" t="s">
        <v>347</v>
      </c>
      <c r="C112" s="62">
        <v>52</v>
      </c>
      <c r="D112" s="62" t="s">
        <v>332</v>
      </c>
      <c r="E112" s="63">
        <v>50</v>
      </c>
      <c r="F112" s="63">
        <v>37</v>
      </c>
      <c r="G112" s="63">
        <v>48</v>
      </c>
      <c r="H112" s="63">
        <v>39</v>
      </c>
      <c r="I112" s="63">
        <v>56</v>
      </c>
      <c r="J112" s="63">
        <v>55</v>
      </c>
      <c r="K112" s="63">
        <v>59</v>
      </c>
      <c r="L112" s="63">
        <v>62</v>
      </c>
      <c r="M112" s="63">
        <v>48</v>
      </c>
      <c r="N112" s="63">
        <v>56</v>
      </c>
      <c r="O112" s="63">
        <v>57</v>
      </c>
      <c r="P112" s="63">
        <v>54</v>
      </c>
      <c r="Q112" s="63">
        <v>60</v>
      </c>
      <c r="R112" s="63">
        <v>47</v>
      </c>
      <c r="S112" s="63">
        <v>52</v>
      </c>
      <c r="T112" s="63">
        <v>53</v>
      </c>
      <c r="U112" s="63">
        <v>51</v>
      </c>
      <c r="V112" s="63">
        <v>48</v>
      </c>
      <c r="W112" s="63">
        <v>49</v>
      </c>
      <c r="X112" s="63">
        <v>43</v>
      </c>
      <c r="Y112" s="63">
        <v>42</v>
      </c>
      <c r="Z112" s="63">
        <v>40</v>
      </c>
      <c r="AA112" s="63">
        <v>42</v>
      </c>
      <c r="AB112" s="63">
        <v>45</v>
      </c>
    </row>
    <row r="113" spans="1:28" x14ac:dyDescent="0.2">
      <c r="A113" s="62">
        <v>9</v>
      </c>
      <c r="B113" s="62" t="s">
        <v>347</v>
      </c>
      <c r="C113" s="62">
        <v>53</v>
      </c>
      <c r="D113" s="62" t="s">
        <v>333</v>
      </c>
      <c r="E113" s="63">
        <v>25</v>
      </c>
      <c r="F113" s="63">
        <v>26</v>
      </c>
      <c r="G113" s="63">
        <v>17</v>
      </c>
      <c r="H113" s="63">
        <v>16</v>
      </c>
      <c r="I113" s="63">
        <v>15</v>
      </c>
      <c r="J113" s="63">
        <v>15</v>
      </c>
      <c r="K113" s="63">
        <v>11</v>
      </c>
      <c r="L113" s="63">
        <v>1</v>
      </c>
      <c r="M113" s="63">
        <v>14</v>
      </c>
      <c r="N113" s="63">
        <v>15</v>
      </c>
      <c r="O113" s="63">
        <v>20</v>
      </c>
      <c r="P113" s="63">
        <v>13</v>
      </c>
      <c r="Q113" s="63">
        <v>13</v>
      </c>
      <c r="R113" s="63">
        <v>14</v>
      </c>
      <c r="S113" s="63">
        <v>16</v>
      </c>
      <c r="T113" s="63">
        <v>20</v>
      </c>
      <c r="U113" s="63">
        <v>23</v>
      </c>
      <c r="V113" s="63">
        <v>24</v>
      </c>
      <c r="W113" s="63">
        <v>25</v>
      </c>
      <c r="X113" s="63">
        <v>24</v>
      </c>
      <c r="Y113" s="63">
        <v>26</v>
      </c>
      <c r="Z113" s="63">
        <v>28</v>
      </c>
      <c r="AA113" s="63">
        <v>0</v>
      </c>
      <c r="AB113" s="62"/>
    </row>
    <row r="114" spans="1:28" x14ac:dyDescent="0.2">
      <c r="A114" s="62">
        <v>9</v>
      </c>
      <c r="B114" s="62" t="s">
        <v>347</v>
      </c>
      <c r="C114" s="62">
        <v>54</v>
      </c>
      <c r="D114" s="62" t="s">
        <v>334</v>
      </c>
      <c r="E114" s="63">
        <v>47</v>
      </c>
      <c r="F114" s="63">
        <v>35</v>
      </c>
      <c r="G114" s="63">
        <v>39</v>
      </c>
      <c r="H114" s="63">
        <v>40</v>
      </c>
      <c r="I114" s="63">
        <v>42</v>
      </c>
      <c r="J114" s="63">
        <v>44</v>
      </c>
      <c r="K114" s="63">
        <v>44</v>
      </c>
      <c r="L114" s="63">
        <v>43</v>
      </c>
      <c r="M114" s="63">
        <v>45</v>
      </c>
      <c r="N114" s="63">
        <v>45</v>
      </c>
      <c r="O114" s="63">
        <v>46</v>
      </c>
      <c r="P114" s="63">
        <v>33</v>
      </c>
      <c r="Q114" s="63">
        <v>33</v>
      </c>
      <c r="R114" s="63">
        <v>33</v>
      </c>
      <c r="S114" s="63">
        <v>33</v>
      </c>
      <c r="T114" s="63">
        <v>33</v>
      </c>
      <c r="U114" s="63">
        <v>38</v>
      </c>
      <c r="V114" s="63">
        <v>48</v>
      </c>
      <c r="W114" s="63">
        <v>44</v>
      </c>
      <c r="X114" s="63">
        <v>33</v>
      </c>
      <c r="Y114" s="63">
        <v>35</v>
      </c>
      <c r="Z114" s="63">
        <v>32</v>
      </c>
      <c r="AA114" s="63">
        <v>36</v>
      </c>
      <c r="AB114" s="63">
        <v>46</v>
      </c>
    </row>
    <row r="115" spans="1:28" x14ac:dyDescent="0.2">
      <c r="A115" s="62">
        <v>9</v>
      </c>
      <c r="B115" s="62" t="s">
        <v>347</v>
      </c>
      <c r="C115" s="62">
        <v>55</v>
      </c>
      <c r="D115" s="62" t="s">
        <v>335</v>
      </c>
      <c r="E115" s="63">
        <v>1</v>
      </c>
      <c r="F115" s="63">
        <v>1</v>
      </c>
      <c r="G115" s="63">
        <v>1</v>
      </c>
      <c r="H115" s="63">
        <v>1</v>
      </c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3">
        <v>0</v>
      </c>
      <c r="AB115" s="63">
        <v>0</v>
      </c>
    </row>
    <row r="116" spans="1:28" x14ac:dyDescent="0.2">
      <c r="A116" s="62">
        <v>9</v>
      </c>
      <c r="B116" s="62" t="s">
        <v>347</v>
      </c>
      <c r="C116" s="62">
        <v>56</v>
      </c>
      <c r="D116" s="62" t="s">
        <v>336</v>
      </c>
      <c r="E116" s="63">
        <v>21</v>
      </c>
      <c r="F116" s="63">
        <v>21</v>
      </c>
      <c r="G116" s="63">
        <v>23</v>
      </c>
      <c r="H116" s="63">
        <v>26</v>
      </c>
      <c r="I116" s="63">
        <v>29</v>
      </c>
      <c r="J116" s="63">
        <v>22</v>
      </c>
      <c r="K116" s="63">
        <v>31</v>
      </c>
      <c r="L116" s="63">
        <v>28</v>
      </c>
      <c r="M116" s="63">
        <v>28</v>
      </c>
      <c r="N116" s="63">
        <v>33</v>
      </c>
      <c r="O116" s="63">
        <v>23</v>
      </c>
      <c r="P116" s="63">
        <v>25</v>
      </c>
      <c r="Q116" s="63">
        <v>22</v>
      </c>
      <c r="R116" s="63">
        <v>30</v>
      </c>
      <c r="S116" s="63">
        <v>25</v>
      </c>
      <c r="T116" s="63">
        <v>24</v>
      </c>
      <c r="U116" s="63">
        <v>25</v>
      </c>
      <c r="V116" s="63">
        <v>21</v>
      </c>
      <c r="W116" s="63">
        <v>28</v>
      </c>
      <c r="X116" s="63">
        <v>25</v>
      </c>
      <c r="Y116" s="63">
        <v>32</v>
      </c>
      <c r="Z116" s="63">
        <v>40</v>
      </c>
      <c r="AA116" s="63">
        <v>47</v>
      </c>
      <c r="AB116" s="63">
        <v>61</v>
      </c>
    </row>
    <row r="117" spans="1:28" x14ac:dyDescent="0.2">
      <c r="A117" s="62">
        <v>9</v>
      </c>
      <c r="B117" s="62" t="s">
        <v>347</v>
      </c>
      <c r="C117" s="62">
        <v>61</v>
      </c>
      <c r="D117" s="64" t="s">
        <v>337</v>
      </c>
      <c r="E117" s="65"/>
      <c r="F117" s="62"/>
      <c r="G117" s="62"/>
      <c r="H117" s="62"/>
      <c r="I117" s="63">
        <v>10</v>
      </c>
      <c r="J117" s="63">
        <v>12</v>
      </c>
      <c r="K117" s="63">
        <v>10</v>
      </c>
      <c r="L117" s="63">
        <v>8</v>
      </c>
      <c r="M117" s="63">
        <v>7</v>
      </c>
      <c r="N117" s="63">
        <v>5</v>
      </c>
      <c r="O117" s="62"/>
      <c r="P117" s="62"/>
      <c r="Q117" s="63">
        <v>0</v>
      </c>
      <c r="R117" s="63">
        <v>0</v>
      </c>
      <c r="S117" s="63">
        <v>6</v>
      </c>
      <c r="T117" s="62"/>
      <c r="U117" s="62"/>
      <c r="V117" s="62"/>
      <c r="W117" s="63">
        <v>7</v>
      </c>
      <c r="X117" s="63">
        <v>4</v>
      </c>
      <c r="Y117" s="63">
        <v>10</v>
      </c>
      <c r="Z117" s="63">
        <v>6</v>
      </c>
      <c r="AA117" s="63">
        <v>6</v>
      </c>
      <c r="AB117" s="63">
        <v>6</v>
      </c>
    </row>
    <row r="118" spans="1:28" x14ac:dyDescent="0.2">
      <c r="A118" s="62">
        <v>9</v>
      </c>
      <c r="B118" s="62" t="s">
        <v>347</v>
      </c>
      <c r="C118" s="62">
        <v>62</v>
      </c>
      <c r="D118" s="62" t="s">
        <v>338</v>
      </c>
      <c r="E118" s="63">
        <v>47</v>
      </c>
      <c r="F118" s="63">
        <v>62</v>
      </c>
      <c r="G118" s="63">
        <v>49</v>
      </c>
      <c r="H118" s="63">
        <v>58</v>
      </c>
      <c r="I118" s="63">
        <v>47</v>
      </c>
      <c r="J118" s="63">
        <v>46</v>
      </c>
      <c r="K118" s="63">
        <v>46</v>
      </c>
      <c r="L118" s="63">
        <v>42</v>
      </c>
      <c r="M118" s="63">
        <v>39</v>
      </c>
      <c r="N118" s="63">
        <v>40</v>
      </c>
      <c r="O118" s="63">
        <v>36</v>
      </c>
      <c r="P118" s="63">
        <v>40</v>
      </c>
      <c r="Q118" s="63">
        <v>40</v>
      </c>
      <c r="R118" s="63">
        <v>44</v>
      </c>
      <c r="S118" s="63">
        <v>41</v>
      </c>
      <c r="T118" s="63">
        <v>37</v>
      </c>
      <c r="U118" s="63">
        <v>38</v>
      </c>
      <c r="V118" s="63">
        <v>46</v>
      </c>
      <c r="W118" s="63">
        <v>37</v>
      </c>
      <c r="X118" s="63">
        <v>48</v>
      </c>
      <c r="Y118" s="63">
        <v>53</v>
      </c>
      <c r="Z118" s="63">
        <v>70</v>
      </c>
      <c r="AA118" s="63">
        <v>70</v>
      </c>
      <c r="AB118" s="63">
        <v>70</v>
      </c>
    </row>
    <row r="119" spans="1:28" x14ac:dyDescent="0.2">
      <c r="A119" s="62">
        <v>9</v>
      </c>
      <c r="B119" s="62" t="s">
        <v>347</v>
      </c>
      <c r="C119" s="62">
        <v>71</v>
      </c>
      <c r="D119" s="64" t="s">
        <v>339</v>
      </c>
      <c r="E119" s="65"/>
      <c r="F119" s="63">
        <v>0</v>
      </c>
      <c r="G119" s="63">
        <v>1</v>
      </c>
      <c r="H119" s="62"/>
      <c r="I119" s="63">
        <v>10</v>
      </c>
      <c r="J119" s="63">
        <v>7</v>
      </c>
      <c r="K119" s="62"/>
      <c r="L119" s="63">
        <v>9</v>
      </c>
      <c r="M119" s="62"/>
      <c r="N119" s="63">
        <v>10</v>
      </c>
      <c r="O119" s="63">
        <v>8</v>
      </c>
      <c r="P119" s="63">
        <v>9</v>
      </c>
      <c r="Q119" s="63">
        <v>9</v>
      </c>
      <c r="R119" s="63">
        <v>9</v>
      </c>
      <c r="S119" s="63">
        <v>10</v>
      </c>
      <c r="T119" s="63">
        <v>8</v>
      </c>
      <c r="U119" s="63">
        <v>9</v>
      </c>
      <c r="V119" s="63">
        <v>11</v>
      </c>
      <c r="W119" s="63">
        <v>12</v>
      </c>
      <c r="X119" s="63">
        <v>10</v>
      </c>
      <c r="Y119" s="63">
        <v>14</v>
      </c>
      <c r="Z119" s="63">
        <v>11</v>
      </c>
      <c r="AA119" s="63">
        <v>12</v>
      </c>
      <c r="AB119" s="63">
        <v>13</v>
      </c>
    </row>
    <row r="120" spans="1:28" x14ac:dyDescent="0.2">
      <c r="A120" s="62">
        <v>9</v>
      </c>
      <c r="B120" s="62" t="s">
        <v>347</v>
      </c>
      <c r="C120" s="62">
        <v>72</v>
      </c>
      <c r="D120" s="62" t="s">
        <v>340</v>
      </c>
      <c r="E120" s="63">
        <v>99</v>
      </c>
      <c r="F120" s="63">
        <v>103</v>
      </c>
      <c r="G120" s="63">
        <v>78</v>
      </c>
      <c r="H120" s="63">
        <v>66</v>
      </c>
      <c r="I120" s="63">
        <v>73</v>
      </c>
      <c r="J120" s="63">
        <v>70</v>
      </c>
      <c r="K120" s="63">
        <v>61</v>
      </c>
      <c r="L120" s="63">
        <v>52</v>
      </c>
      <c r="M120" s="63">
        <v>46</v>
      </c>
      <c r="N120" s="63">
        <v>33</v>
      </c>
      <c r="O120" s="63">
        <v>36</v>
      </c>
      <c r="P120" s="63">
        <v>34</v>
      </c>
      <c r="Q120" s="63">
        <v>34</v>
      </c>
      <c r="R120" s="63">
        <v>46</v>
      </c>
      <c r="S120" s="63">
        <v>46</v>
      </c>
      <c r="T120" s="63">
        <v>46</v>
      </c>
      <c r="U120" s="63">
        <v>32</v>
      </c>
      <c r="V120" s="63">
        <v>32</v>
      </c>
      <c r="W120" s="63">
        <v>30</v>
      </c>
      <c r="X120" s="63">
        <v>23</v>
      </c>
      <c r="Y120" s="63">
        <v>22</v>
      </c>
      <c r="Z120" s="63">
        <v>31</v>
      </c>
      <c r="AA120" s="63">
        <v>50</v>
      </c>
      <c r="AB120" s="63">
        <v>54</v>
      </c>
    </row>
    <row r="121" spans="1:28" x14ac:dyDescent="0.2">
      <c r="A121" s="62">
        <v>9</v>
      </c>
      <c r="B121" s="62" t="s">
        <v>347</v>
      </c>
      <c r="C121" s="62">
        <v>81</v>
      </c>
      <c r="D121" s="62" t="s">
        <v>341</v>
      </c>
      <c r="E121" s="63">
        <v>114</v>
      </c>
      <c r="F121" s="63">
        <v>87</v>
      </c>
      <c r="G121" s="63">
        <v>93</v>
      </c>
      <c r="H121" s="63">
        <v>102</v>
      </c>
      <c r="I121" s="63">
        <v>99</v>
      </c>
      <c r="J121" s="63">
        <v>80</v>
      </c>
      <c r="K121" s="63">
        <v>79</v>
      </c>
      <c r="L121" s="63">
        <v>84</v>
      </c>
      <c r="M121" s="63">
        <v>90</v>
      </c>
      <c r="N121" s="63">
        <v>96</v>
      </c>
      <c r="O121" s="63">
        <v>88</v>
      </c>
      <c r="P121" s="63">
        <v>75</v>
      </c>
      <c r="Q121" s="63">
        <v>84</v>
      </c>
      <c r="R121" s="63">
        <v>79</v>
      </c>
      <c r="S121" s="63">
        <v>83</v>
      </c>
      <c r="T121" s="63">
        <v>73</v>
      </c>
      <c r="U121" s="63">
        <v>72</v>
      </c>
      <c r="V121" s="63">
        <v>69</v>
      </c>
      <c r="W121" s="63">
        <v>63</v>
      </c>
      <c r="X121" s="63">
        <v>60</v>
      </c>
      <c r="Y121" s="63">
        <v>57</v>
      </c>
      <c r="Z121" s="63">
        <v>67</v>
      </c>
      <c r="AA121" s="63">
        <v>57</v>
      </c>
      <c r="AB121" s="63">
        <v>75</v>
      </c>
    </row>
    <row r="122" spans="1:28" x14ac:dyDescent="0.2">
      <c r="A122" s="62">
        <v>9</v>
      </c>
      <c r="B122" s="62" t="s">
        <v>347</v>
      </c>
      <c r="C122" s="62">
        <v>99</v>
      </c>
      <c r="D122" s="62" t="s">
        <v>342</v>
      </c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3">
        <v>0</v>
      </c>
      <c r="Z122" s="62"/>
      <c r="AA122" s="63">
        <v>0</v>
      </c>
      <c r="AB122" s="63">
        <v>0</v>
      </c>
    </row>
    <row r="123" spans="1:28" x14ac:dyDescent="0.2">
      <c r="A123" s="62">
        <v>11</v>
      </c>
      <c r="B123" s="62" t="s">
        <v>348</v>
      </c>
      <c r="C123" s="62">
        <v>1</v>
      </c>
      <c r="D123" s="62" t="s">
        <v>316</v>
      </c>
      <c r="E123" s="63">
        <v>356</v>
      </c>
      <c r="F123" s="63">
        <v>47</v>
      </c>
      <c r="G123" s="63">
        <v>34</v>
      </c>
      <c r="H123" s="63">
        <v>47</v>
      </c>
      <c r="I123" s="63">
        <v>51</v>
      </c>
      <c r="J123" s="63">
        <v>52</v>
      </c>
      <c r="K123" s="63">
        <v>49</v>
      </c>
      <c r="L123" s="63">
        <v>53</v>
      </c>
      <c r="M123" s="63">
        <v>58</v>
      </c>
      <c r="N123" s="63">
        <v>71</v>
      </c>
      <c r="O123" s="63">
        <v>46</v>
      </c>
      <c r="P123" s="63">
        <v>45</v>
      </c>
      <c r="Q123" s="63">
        <v>41</v>
      </c>
      <c r="R123" s="63">
        <v>40</v>
      </c>
      <c r="S123" s="63">
        <v>37</v>
      </c>
      <c r="T123" s="63">
        <v>38</v>
      </c>
      <c r="U123" s="63">
        <v>35</v>
      </c>
      <c r="V123" s="63">
        <v>36</v>
      </c>
      <c r="W123" s="63">
        <v>33</v>
      </c>
      <c r="X123" s="63">
        <v>35</v>
      </c>
      <c r="Y123" s="63">
        <v>33</v>
      </c>
      <c r="Z123" s="63">
        <v>33</v>
      </c>
      <c r="AA123" s="63">
        <v>33</v>
      </c>
      <c r="AB123" s="63">
        <v>30</v>
      </c>
    </row>
    <row r="124" spans="1:28" x14ac:dyDescent="0.2">
      <c r="A124" s="62">
        <v>11</v>
      </c>
      <c r="B124" s="62" t="s">
        <v>348</v>
      </c>
      <c r="C124" s="62">
        <v>10</v>
      </c>
      <c r="D124" s="62" t="s">
        <v>317</v>
      </c>
      <c r="E124" s="63">
        <v>1706</v>
      </c>
      <c r="F124" s="63">
        <v>1506</v>
      </c>
      <c r="G124" s="63">
        <v>1542</v>
      </c>
      <c r="H124" s="63">
        <v>1450</v>
      </c>
      <c r="I124" s="63">
        <v>1464</v>
      </c>
      <c r="J124" s="63">
        <v>1435</v>
      </c>
      <c r="K124" s="63">
        <v>1459</v>
      </c>
      <c r="L124" s="63">
        <v>1519</v>
      </c>
      <c r="M124" s="63">
        <v>1532</v>
      </c>
      <c r="N124" s="63">
        <v>1539</v>
      </c>
      <c r="O124" s="63">
        <v>1462</v>
      </c>
      <c r="P124" s="63">
        <v>1271</v>
      </c>
      <c r="Q124" s="63">
        <v>1353</v>
      </c>
      <c r="R124" s="63">
        <v>1381</v>
      </c>
      <c r="S124" s="63">
        <v>1392</v>
      </c>
      <c r="T124" s="63">
        <v>1432</v>
      </c>
      <c r="U124" s="63">
        <v>1342</v>
      </c>
      <c r="V124" s="63">
        <v>1313</v>
      </c>
      <c r="W124" s="63">
        <v>1350</v>
      </c>
      <c r="X124" s="63">
        <v>1324</v>
      </c>
      <c r="Y124" s="63">
        <v>1328</v>
      </c>
      <c r="Z124" s="63">
        <v>1360</v>
      </c>
      <c r="AA124" s="63">
        <v>1456</v>
      </c>
      <c r="AB124" s="63">
        <v>1576</v>
      </c>
    </row>
    <row r="125" spans="1:28" x14ac:dyDescent="0.2">
      <c r="A125" s="62">
        <v>11</v>
      </c>
      <c r="B125" s="62" t="s">
        <v>348</v>
      </c>
      <c r="C125" s="62">
        <v>11</v>
      </c>
      <c r="D125" s="62" t="s">
        <v>318</v>
      </c>
      <c r="E125" s="63">
        <v>51</v>
      </c>
      <c r="F125" s="63">
        <v>51</v>
      </c>
      <c r="G125" s="63">
        <v>57</v>
      </c>
      <c r="H125" s="63">
        <v>41</v>
      </c>
      <c r="I125" s="63">
        <v>40</v>
      </c>
      <c r="J125" s="63">
        <v>40</v>
      </c>
      <c r="K125" s="63">
        <v>44</v>
      </c>
      <c r="L125" s="63">
        <v>45</v>
      </c>
      <c r="M125" s="63">
        <v>40</v>
      </c>
      <c r="N125" s="63">
        <v>38</v>
      </c>
      <c r="O125" s="63">
        <v>54</v>
      </c>
      <c r="P125" s="63">
        <v>56</v>
      </c>
      <c r="Q125" s="63">
        <v>165</v>
      </c>
      <c r="R125" s="63">
        <v>178</v>
      </c>
      <c r="S125" s="63">
        <v>178</v>
      </c>
      <c r="T125" s="63">
        <v>183</v>
      </c>
      <c r="U125" s="63">
        <v>104</v>
      </c>
      <c r="V125" s="63">
        <v>81</v>
      </c>
      <c r="W125" s="63">
        <v>118</v>
      </c>
      <c r="X125" s="63">
        <v>102</v>
      </c>
      <c r="Y125" s="63">
        <v>102</v>
      </c>
      <c r="Z125" s="63">
        <v>100</v>
      </c>
      <c r="AA125" s="63">
        <v>74</v>
      </c>
      <c r="AB125" s="63">
        <v>66</v>
      </c>
    </row>
    <row r="126" spans="1:28" x14ac:dyDescent="0.2">
      <c r="A126" s="62">
        <v>11</v>
      </c>
      <c r="B126" s="62" t="s">
        <v>348</v>
      </c>
      <c r="C126" s="62">
        <v>2</v>
      </c>
      <c r="D126" s="62" t="s">
        <v>319</v>
      </c>
      <c r="E126" s="63">
        <v>43</v>
      </c>
      <c r="F126" s="62"/>
      <c r="G126" s="63">
        <v>214</v>
      </c>
      <c r="H126" s="62"/>
      <c r="I126" s="62"/>
      <c r="J126" s="62"/>
      <c r="K126" s="62"/>
      <c r="L126" s="62"/>
      <c r="M126" s="62"/>
      <c r="N126" s="62"/>
      <c r="O126" s="62"/>
      <c r="P126" s="63">
        <v>45</v>
      </c>
      <c r="Q126" s="63">
        <v>40</v>
      </c>
      <c r="R126" s="63">
        <v>30</v>
      </c>
      <c r="S126" s="63">
        <v>31</v>
      </c>
      <c r="T126" s="63">
        <v>32</v>
      </c>
      <c r="U126" s="63">
        <v>31</v>
      </c>
      <c r="V126" s="63">
        <v>30</v>
      </c>
      <c r="W126" s="63">
        <v>26</v>
      </c>
      <c r="X126" s="63">
        <v>27</v>
      </c>
      <c r="Y126" s="63">
        <v>27</v>
      </c>
      <c r="Z126" s="63">
        <v>29</v>
      </c>
      <c r="AA126" s="63">
        <v>25</v>
      </c>
      <c r="AB126" s="63">
        <v>26</v>
      </c>
    </row>
    <row r="127" spans="1:28" x14ac:dyDescent="0.2">
      <c r="A127" s="62">
        <v>11</v>
      </c>
      <c r="B127" s="62" t="s">
        <v>348</v>
      </c>
      <c r="C127" s="62">
        <v>21</v>
      </c>
      <c r="D127" s="64" t="s">
        <v>320</v>
      </c>
      <c r="E127" s="65"/>
      <c r="F127" s="65"/>
      <c r="G127" s="65"/>
      <c r="H127" s="62"/>
      <c r="I127" s="62"/>
      <c r="J127" s="63">
        <v>5</v>
      </c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3">
        <v>0</v>
      </c>
      <c r="Z127" s="63">
        <v>0</v>
      </c>
      <c r="AA127" s="62"/>
      <c r="AB127" s="62"/>
    </row>
    <row r="128" spans="1:28" x14ac:dyDescent="0.2">
      <c r="A128" s="62">
        <v>11</v>
      </c>
      <c r="B128" s="62" t="s">
        <v>348</v>
      </c>
      <c r="C128" s="62">
        <v>22</v>
      </c>
      <c r="D128" s="62" t="s">
        <v>321</v>
      </c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3">
        <v>21</v>
      </c>
      <c r="U128" s="63">
        <v>21</v>
      </c>
      <c r="V128" s="63">
        <v>21</v>
      </c>
      <c r="W128" s="62"/>
      <c r="X128" s="63">
        <v>29</v>
      </c>
      <c r="Y128" s="63">
        <v>32</v>
      </c>
      <c r="Z128" s="63">
        <v>29</v>
      </c>
      <c r="AA128" s="63">
        <v>26</v>
      </c>
      <c r="AB128" s="63">
        <v>25</v>
      </c>
    </row>
    <row r="129" spans="1:28" x14ac:dyDescent="0.2">
      <c r="A129" s="62">
        <v>11</v>
      </c>
      <c r="B129" s="62" t="s">
        <v>348</v>
      </c>
      <c r="C129" s="62">
        <v>23</v>
      </c>
      <c r="D129" s="62" t="s">
        <v>322</v>
      </c>
      <c r="E129" s="63">
        <v>53</v>
      </c>
      <c r="F129" s="63">
        <v>47</v>
      </c>
      <c r="G129" s="63">
        <v>53</v>
      </c>
      <c r="H129" s="63">
        <v>52</v>
      </c>
      <c r="I129" s="63">
        <v>30</v>
      </c>
      <c r="J129" s="63">
        <v>19</v>
      </c>
      <c r="K129" s="63">
        <v>48</v>
      </c>
      <c r="L129" s="63">
        <v>28</v>
      </c>
      <c r="M129" s="63">
        <v>41</v>
      </c>
      <c r="N129" s="63">
        <v>42</v>
      </c>
      <c r="O129" s="63">
        <v>36</v>
      </c>
      <c r="P129" s="63">
        <v>41</v>
      </c>
      <c r="Q129" s="63">
        <v>46</v>
      </c>
      <c r="R129" s="63">
        <v>44</v>
      </c>
      <c r="S129" s="63">
        <v>46</v>
      </c>
      <c r="T129" s="63">
        <v>44</v>
      </c>
      <c r="U129" s="63">
        <v>47</v>
      </c>
      <c r="V129" s="63">
        <v>46</v>
      </c>
      <c r="W129" s="63">
        <v>60</v>
      </c>
      <c r="X129" s="63">
        <v>44</v>
      </c>
      <c r="Y129" s="63">
        <v>49</v>
      </c>
      <c r="Z129" s="63">
        <v>55</v>
      </c>
      <c r="AA129" s="63">
        <v>43</v>
      </c>
      <c r="AB129" s="63">
        <v>99</v>
      </c>
    </row>
    <row r="130" spans="1:28" x14ac:dyDescent="0.2">
      <c r="A130" s="62">
        <v>11</v>
      </c>
      <c r="B130" s="62" t="s">
        <v>348</v>
      </c>
      <c r="C130" s="62">
        <v>3</v>
      </c>
      <c r="D130" s="62" t="s">
        <v>323</v>
      </c>
      <c r="E130" s="63">
        <v>475</v>
      </c>
      <c r="F130" s="63">
        <v>459</v>
      </c>
      <c r="G130" s="63">
        <v>461</v>
      </c>
      <c r="H130" s="63">
        <v>430</v>
      </c>
      <c r="I130" s="63">
        <v>452</v>
      </c>
      <c r="J130" s="63">
        <v>449</v>
      </c>
      <c r="K130" s="63">
        <v>442</v>
      </c>
      <c r="L130" s="63">
        <v>470</v>
      </c>
      <c r="M130" s="63">
        <v>451</v>
      </c>
      <c r="N130" s="63">
        <v>448</v>
      </c>
      <c r="O130" s="63">
        <v>436</v>
      </c>
      <c r="P130" s="63">
        <v>396</v>
      </c>
      <c r="Q130" s="63">
        <v>398</v>
      </c>
      <c r="R130" s="63">
        <v>423</v>
      </c>
      <c r="S130" s="63">
        <v>414</v>
      </c>
      <c r="T130" s="63">
        <v>415</v>
      </c>
      <c r="U130" s="63">
        <v>418</v>
      </c>
      <c r="V130" s="63">
        <v>410</v>
      </c>
      <c r="W130" s="63">
        <v>404</v>
      </c>
      <c r="X130" s="63">
        <v>409</v>
      </c>
      <c r="Y130" s="63">
        <v>414</v>
      </c>
      <c r="Z130" s="63">
        <v>459</v>
      </c>
      <c r="AA130" s="63">
        <v>452</v>
      </c>
      <c r="AB130" s="63">
        <v>463</v>
      </c>
    </row>
    <row r="131" spans="1:28" x14ac:dyDescent="0.2">
      <c r="A131" s="62">
        <v>11</v>
      </c>
      <c r="B131" s="62" t="s">
        <v>348</v>
      </c>
      <c r="C131" s="62" t="s">
        <v>324</v>
      </c>
      <c r="D131" s="62" t="s">
        <v>325</v>
      </c>
      <c r="E131" s="63">
        <v>10</v>
      </c>
      <c r="F131" s="63">
        <v>11</v>
      </c>
      <c r="G131" s="63">
        <v>10</v>
      </c>
      <c r="H131" s="63">
        <v>3</v>
      </c>
      <c r="I131" s="63">
        <v>8</v>
      </c>
      <c r="J131" s="63">
        <v>10</v>
      </c>
      <c r="K131" s="62"/>
      <c r="L131" s="62"/>
      <c r="M131" s="62"/>
      <c r="N131" s="63">
        <v>6</v>
      </c>
      <c r="O131" s="63">
        <v>0</v>
      </c>
      <c r="P131" s="63">
        <v>1</v>
      </c>
      <c r="Q131" s="63">
        <v>1</v>
      </c>
      <c r="R131" s="63">
        <v>1</v>
      </c>
      <c r="S131" s="63">
        <v>1</v>
      </c>
      <c r="T131" s="63">
        <v>4</v>
      </c>
      <c r="U131" s="63">
        <v>5</v>
      </c>
      <c r="V131" s="63">
        <v>5</v>
      </c>
      <c r="W131" s="62"/>
      <c r="X131" s="63">
        <v>7</v>
      </c>
      <c r="Y131" s="63">
        <v>8</v>
      </c>
      <c r="Z131" s="63">
        <v>7</v>
      </c>
      <c r="AA131" s="63">
        <v>71</v>
      </c>
      <c r="AB131" s="63">
        <v>64</v>
      </c>
    </row>
    <row r="132" spans="1:28" x14ac:dyDescent="0.2">
      <c r="A132" s="62">
        <v>11</v>
      </c>
      <c r="B132" s="62" t="s">
        <v>348</v>
      </c>
      <c r="C132" s="62">
        <v>42</v>
      </c>
      <c r="D132" s="62" t="s">
        <v>326</v>
      </c>
      <c r="E132" s="63">
        <v>17</v>
      </c>
      <c r="F132" s="63">
        <v>14</v>
      </c>
      <c r="G132" s="63">
        <v>12</v>
      </c>
      <c r="H132" s="63">
        <v>10</v>
      </c>
      <c r="I132" s="62"/>
      <c r="J132" s="63">
        <v>17</v>
      </c>
      <c r="K132" s="63">
        <v>14</v>
      </c>
      <c r="L132" s="63">
        <v>13</v>
      </c>
      <c r="M132" s="63">
        <v>14</v>
      </c>
      <c r="N132" s="63">
        <v>16</v>
      </c>
      <c r="O132" s="63">
        <v>15</v>
      </c>
      <c r="P132" s="62"/>
      <c r="Q132" s="62"/>
      <c r="R132" s="62"/>
      <c r="S132" s="62"/>
      <c r="T132" s="62"/>
      <c r="U132" s="62"/>
      <c r="V132" s="63">
        <v>6</v>
      </c>
      <c r="W132" s="62"/>
      <c r="X132" s="62"/>
      <c r="Y132" s="63">
        <v>9</v>
      </c>
      <c r="Z132" s="63">
        <v>23</v>
      </c>
      <c r="AA132" s="63">
        <v>11</v>
      </c>
      <c r="AB132" s="63">
        <v>12</v>
      </c>
    </row>
    <row r="133" spans="1:28" x14ac:dyDescent="0.2">
      <c r="A133" s="62">
        <v>11</v>
      </c>
      <c r="B133" s="62" t="s">
        <v>348</v>
      </c>
      <c r="C133" s="62" t="s">
        <v>327</v>
      </c>
      <c r="D133" s="62" t="s">
        <v>328</v>
      </c>
      <c r="E133" s="63">
        <v>119</v>
      </c>
      <c r="F133" s="63">
        <v>112</v>
      </c>
      <c r="G133" s="63">
        <v>110</v>
      </c>
      <c r="H133" s="63">
        <v>91</v>
      </c>
      <c r="I133" s="63">
        <v>111</v>
      </c>
      <c r="J133" s="63">
        <v>110</v>
      </c>
      <c r="K133" s="63">
        <v>106</v>
      </c>
      <c r="L133" s="63">
        <v>112</v>
      </c>
      <c r="M133" s="63">
        <v>101</v>
      </c>
      <c r="N133" s="63">
        <v>97</v>
      </c>
      <c r="O133" s="63">
        <v>98</v>
      </c>
      <c r="P133" s="63">
        <v>100</v>
      </c>
      <c r="Q133" s="63">
        <v>105</v>
      </c>
      <c r="R133" s="63">
        <v>102</v>
      </c>
      <c r="S133" s="63">
        <v>99</v>
      </c>
      <c r="T133" s="63">
        <v>99</v>
      </c>
      <c r="U133" s="63">
        <v>91</v>
      </c>
      <c r="V133" s="63">
        <v>100</v>
      </c>
      <c r="W133" s="63">
        <v>101</v>
      </c>
      <c r="X133" s="63">
        <v>97</v>
      </c>
      <c r="Y133" s="63">
        <v>106</v>
      </c>
      <c r="Z133" s="63">
        <v>102</v>
      </c>
      <c r="AA133" s="63">
        <v>87</v>
      </c>
      <c r="AB133" s="63">
        <v>97</v>
      </c>
    </row>
    <row r="134" spans="1:28" x14ac:dyDescent="0.2">
      <c r="A134" s="62">
        <v>11</v>
      </c>
      <c r="B134" s="62" t="s">
        <v>348</v>
      </c>
      <c r="C134" s="62" t="s">
        <v>329</v>
      </c>
      <c r="D134" s="62" t="s">
        <v>330</v>
      </c>
      <c r="E134" s="63">
        <v>28</v>
      </c>
      <c r="F134" s="63">
        <v>23</v>
      </c>
      <c r="G134" s="63">
        <v>17</v>
      </c>
      <c r="H134" s="63">
        <v>21</v>
      </c>
      <c r="I134" s="63">
        <v>27</v>
      </c>
      <c r="J134" s="63">
        <v>23</v>
      </c>
      <c r="K134" s="63">
        <v>20</v>
      </c>
      <c r="L134" s="63">
        <v>19</v>
      </c>
      <c r="M134" s="63">
        <v>17</v>
      </c>
      <c r="N134" s="63">
        <v>20</v>
      </c>
      <c r="O134" s="63">
        <v>16</v>
      </c>
      <c r="P134" s="63">
        <v>23</v>
      </c>
      <c r="Q134" s="63">
        <v>19</v>
      </c>
      <c r="R134" s="63">
        <v>19</v>
      </c>
      <c r="S134" s="63">
        <v>23</v>
      </c>
      <c r="T134" s="63">
        <v>26</v>
      </c>
      <c r="U134" s="63">
        <v>19</v>
      </c>
      <c r="V134" s="63">
        <v>21</v>
      </c>
      <c r="W134" s="63">
        <v>20</v>
      </c>
      <c r="X134" s="63">
        <v>19</v>
      </c>
      <c r="Y134" s="63">
        <v>19</v>
      </c>
      <c r="Z134" s="63">
        <v>15</v>
      </c>
      <c r="AA134" s="63">
        <v>40</v>
      </c>
      <c r="AB134" s="63">
        <v>96</v>
      </c>
    </row>
    <row r="135" spans="1:28" x14ac:dyDescent="0.2">
      <c r="A135" s="62">
        <v>11</v>
      </c>
      <c r="B135" s="62" t="s">
        <v>348</v>
      </c>
      <c r="C135" s="62">
        <v>51</v>
      </c>
      <c r="D135" s="62" t="s">
        <v>331</v>
      </c>
      <c r="E135" s="62"/>
      <c r="F135" s="62"/>
      <c r="G135" s="62"/>
      <c r="H135" s="62"/>
      <c r="I135" s="63">
        <v>5</v>
      </c>
      <c r="J135" s="62"/>
      <c r="K135" s="63">
        <v>0</v>
      </c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3">
        <v>6</v>
      </c>
      <c r="AB135" s="62"/>
    </row>
    <row r="136" spans="1:28" x14ac:dyDescent="0.2">
      <c r="A136" s="62">
        <v>11</v>
      </c>
      <c r="B136" s="62" t="s">
        <v>348</v>
      </c>
      <c r="C136" s="62">
        <v>52</v>
      </c>
      <c r="D136" s="62" t="s">
        <v>332</v>
      </c>
      <c r="E136" s="63">
        <v>62</v>
      </c>
      <c r="F136" s="63">
        <v>68</v>
      </c>
      <c r="G136" s="63">
        <v>72</v>
      </c>
      <c r="H136" s="63">
        <v>48</v>
      </c>
      <c r="I136" s="63">
        <v>49</v>
      </c>
      <c r="J136" s="63">
        <v>53</v>
      </c>
      <c r="K136" s="62"/>
      <c r="L136" s="63">
        <v>46</v>
      </c>
      <c r="M136" s="63">
        <v>44</v>
      </c>
      <c r="N136" s="63">
        <v>44</v>
      </c>
      <c r="O136" s="63">
        <v>52</v>
      </c>
      <c r="P136" s="63">
        <v>45</v>
      </c>
      <c r="Q136" s="63">
        <v>55</v>
      </c>
      <c r="R136" s="63">
        <v>57</v>
      </c>
      <c r="S136" s="63">
        <v>62</v>
      </c>
      <c r="T136" s="63">
        <v>56</v>
      </c>
      <c r="U136" s="63">
        <v>43</v>
      </c>
      <c r="V136" s="63">
        <v>46</v>
      </c>
      <c r="W136" s="63">
        <v>50</v>
      </c>
      <c r="X136" s="63">
        <v>51</v>
      </c>
      <c r="Y136" s="63">
        <v>50</v>
      </c>
      <c r="Z136" s="63">
        <v>50</v>
      </c>
      <c r="AA136" s="63">
        <v>52</v>
      </c>
      <c r="AB136" s="63">
        <v>57</v>
      </c>
    </row>
    <row r="137" spans="1:28" x14ac:dyDescent="0.2">
      <c r="A137" s="62">
        <v>11</v>
      </c>
      <c r="B137" s="62" t="s">
        <v>348</v>
      </c>
      <c r="C137" s="62">
        <v>53</v>
      </c>
      <c r="D137" s="62" t="s">
        <v>333</v>
      </c>
      <c r="E137" s="63">
        <v>12</v>
      </c>
      <c r="F137" s="63">
        <v>15</v>
      </c>
      <c r="G137" s="63">
        <v>19</v>
      </c>
      <c r="H137" s="63">
        <v>18</v>
      </c>
      <c r="I137" s="63">
        <v>17</v>
      </c>
      <c r="J137" s="63">
        <v>20</v>
      </c>
      <c r="K137" s="63">
        <v>18</v>
      </c>
      <c r="L137" s="63">
        <v>18</v>
      </c>
      <c r="M137" s="63">
        <v>17</v>
      </c>
      <c r="N137" s="63">
        <v>15</v>
      </c>
      <c r="O137" s="63">
        <v>15</v>
      </c>
      <c r="P137" s="63">
        <v>13</v>
      </c>
      <c r="Q137" s="63">
        <v>14</v>
      </c>
      <c r="R137" s="63">
        <v>13</v>
      </c>
      <c r="S137" s="63">
        <v>11</v>
      </c>
      <c r="T137" s="63">
        <v>10</v>
      </c>
      <c r="U137" s="63">
        <v>14</v>
      </c>
      <c r="V137" s="63">
        <v>14</v>
      </c>
      <c r="W137" s="63">
        <v>16</v>
      </c>
      <c r="X137" s="63">
        <v>15</v>
      </c>
      <c r="Y137" s="63">
        <v>14</v>
      </c>
      <c r="Z137" s="63">
        <v>14</v>
      </c>
      <c r="AA137" s="63">
        <v>35</v>
      </c>
      <c r="AB137" s="63">
        <v>29</v>
      </c>
    </row>
    <row r="138" spans="1:28" x14ac:dyDescent="0.2">
      <c r="A138" s="62">
        <v>11</v>
      </c>
      <c r="B138" s="62" t="s">
        <v>348</v>
      </c>
      <c r="C138" s="62">
        <v>54</v>
      </c>
      <c r="D138" s="62" t="s">
        <v>334</v>
      </c>
      <c r="E138" s="63">
        <v>21</v>
      </c>
      <c r="F138" s="62"/>
      <c r="G138" s="63">
        <v>21</v>
      </c>
      <c r="H138" s="63">
        <v>3</v>
      </c>
      <c r="I138" s="63">
        <v>3</v>
      </c>
      <c r="J138" s="63">
        <v>3</v>
      </c>
      <c r="K138" s="63">
        <v>10</v>
      </c>
      <c r="L138" s="63">
        <v>13</v>
      </c>
      <c r="M138" s="63">
        <v>15</v>
      </c>
      <c r="N138" s="63">
        <v>20</v>
      </c>
      <c r="O138" s="63">
        <v>24</v>
      </c>
      <c r="P138" s="63">
        <v>22</v>
      </c>
      <c r="Q138" s="63">
        <v>21</v>
      </c>
      <c r="R138" s="63">
        <v>21</v>
      </c>
      <c r="S138" s="63">
        <v>21</v>
      </c>
      <c r="T138" s="63">
        <v>22</v>
      </c>
      <c r="U138" s="63">
        <v>21</v>
      </c>
      <c r="V138" s="63">
        <v>27</v>
      </c>
      <c r="W138" s="63">
        <v>20</v>
      </c>
      <c r="X138" s="63">
        <v>16</v>
      </c>
      <c r="Y138" s="63">
        <v>21</v>
      </c>
      <c r="Z138" s="63">
        <v>24</v>
      </c>
      <c r="AA138" s="63">
        <v>10</v>
      </c>
      <c r="AB138" s="63">
        <v>65</v>
      </c>
    </row>
    <row r="139" spans="1:28" x14ac:dyDescent="0.2">
      <c r="A139" s="62">
        <v>11</v>
      </c>
      <c r="B139" s="62" t="s">
        <v>348</v>
      </c>
      <c r="C139" s="62">
        <v>55</v>
      </c>
      <c r="D139" s="64" t="s">
        <v>335</v>
      </c>
      <c r="E139" s="65"/>
      <c r="F139" s="65"/>
      <c r="G139" s="65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3">
        <v>0</v>
      </c>
    </row>
    <row r="140" spans="1:28" x14ac:dyDescent="0.2">
      <c r="A140" s="62">
        <v>11</v>
      </c>
      <c r="B140" s="62" t="s">
        <v>348</v>
      </c>
      <c r="C140" s="62">
        <v>56</v>
      </c>
      <c r="D140" s="64" t="s">
        <v>336</v>
      </c>
      <c r="E140" s="65"/>
      <c r="F140" s="65"/>
      <c r="G140" s="65"/>
      <c r="H140" s="65"/>
      <c r="I140" s="65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3">
        <v>287</v>
      </c>
      <c r="AB140" s="63">
        <v>272</v>
      </c>
    </row>
    <row r="141" spans="1:28" x14ac:dyDescent="0.2">
      <c r="A141" s="62">
        <v>11</v>
      </c>
      <c r="B141" s="62" t="s">
        <v>348</v>
      </c>
      <c r="C141" s="62">
        <v>61</v>
      </c>
      <c r="D141" s="64" t="s">
        <v>337</v>
      </c>
      <c r="E141" s="65"/>
      <c r="F141" s="62"/>
      <c r="G141" s="62"/>
      <c r="H141" s="62"/>
      <c r="I141" s="62"/>
      <c r="J141" s="63">
        <v>4</v>
      </c>
      <c r="K141" s="62"/>
      <c r="L141" s="63">
        <v>5</v>
      </c>
      <c r="M141" s="63">
        <v>7</v>
      </c>
      <c r="N141" s="63">
        <v>8</v>
      </c>
      <c r="O141" s="62"/>
      <c r="P141" s="62"/>
      <c r="Q141" s="62"/>
      <c r="R141" s="62"/>
      <c r="S141" s="63">
        <v>8</v>
      </c>
      <c r="T141" s="62"/>
      <c r="U141" s="63">
        <v>9</v>
      </c>
      <c r="V141" s="63">
        <v>7</v>
      </c>
      <c r="W141" s="63">
        <v>10</v>
      </c>
      <c r="X141" s="63">
        <v>11</v>
      </c>
      <c r="Y141" s="63">
        <v>13</v>
      </c>
      <c r="Z141" s="63">
        <v>8</v>
      </c>
      <c r="AA141" s="63">
        <v>16</v>
      </c>
      <c r="AB141" s="62"/>
    </row>
    <row r="142" spans="1:28" x14ac:dyDescent="0.2">
      <c r="A142" s="62">
        <v>11</v>
      </c>
      <c r="B142" s="62" t="s">
        <v>348</v>
      </c>
      <c r="C142" s="62">
        <v>62</v>
      </c>
      <c r="D142" s="62" t="s">
        <v>338</v>
      </c>
      <c r="E142" s="63">
        <v>55</v>
      </c>
      <c r="F142" s="63">
        <v>40</v>
      </c>
      <c r="G142" s="63">
        <v>47</v>
      </c>
      <c r="H142" s="63">
        <v>46</v>
      </c>
      <c r="I142" s="63">
        <v>52</v>
      </c>
      <c r="J142" s="63">
        <v>58</v>
      </c>
      <c r="K142" s="63">
        <v>54</v>
      </c>
      <c r="L142" s="63">
        <v>59</v>
      </c>
      <c r="M142" s="63">
        <v>67</v>
      </c>
      <c r="N142" s="63">
        <v>59</v>
      </c>
      <c r="O142" s="63">
        <v>58</v>
      </c>
      <c r="P142" s="63">
        <v>60</v>
      </c>
      <c r="Q142" s="63">
        <v>61</v>
      </c>
      <c r="R142" s="63">
        <v>59</v>
      </c>
      <c r="S142" s="63">
        <v>60</v>
      </c>
      <c r="T142" s="63">
        <v>62</v>
      </c>
      <c r="U142" s="63">
        <v>62</v>
      </c>
      <c r="V142" s="63">
        <v>70</v>
      </c>
      <c r="W142" s="63">
        <v>64</v>
      </c>
      <c r="X142" s="63">
        <v>63</v>
      </c>
      <c r="Y142" s="63">
        <v>67</v>
      </c>
      <c r="Z142" s="63">
        <v>70</v>
      </c>
      <c r="AA142" s="63">
        <v>71</v>
      </c>
      <c r="AB142" s="63">
        <v>73</v>
      </c>
    </row>
    <row r="143" spans="1:28" x14ac:dyDescent="0.2">
      <c r="A143" s="62">
        <v>11</v>
      </c>
      <c r="B143" s="62" t="s">
        <v>348</v>
      </c>
      <c r="C143" s="62">
        <v>71</v>
      </c>
      <c r="D143" s="64" t="s">
        <v>339</v>
      </c>
      <c r="E143" s="65"/>
      <c r="F143" s="65"/>
      <c r="G143" s="62"/>
      <c r="H143" s="62"/>
      <c r="I143" s="63">
        <v>6</v>
      </c>
      <c r="J143" s="63">
        <v>8</v>
      </c>
      <c r="K143" s="63">
        <v>9</v>
      </c>
      <c r="L143" s="63">
        <v>11</v>
      </c>
      <c r="M143" s="63">
        <v>8</v>
      </c>
      <c r="N143" s="63">
        <v>10</v>
      </c>
      <c r="O143" s="63">
        <v>10</v>
      </c>
      <c r="P143" s="63">
        <v>10</v>
      </c>
      <c r="Q143" s="63">
        <v>10</v>
      </c>
      <c r="R143" s="63">
        <v>14</v>
      </c>
      <c r="S143" s="63">
        <v>13</v>
      </c>
      <c r="T143" s="63">
        <v>21</v>
      </c>
      <c r="U143" s="63">
        <v>20</v>
      </c>
      <c r="V143" s="63">
        <v>30</v>
      </c>
      <c r="W143" s="63">
        <v>39</v>
      </c>
      <c r="X143" s="63">
        <v>26</v>
      </c>
      <c r="Y143" s="63">
        <v>30</v>
      </c>
      <c r="Z143" s="63">
        <v>12</v>
      </c>
      <c r="AA143" s="63">
        <v>12</v>
      </c>
      <c r="AB143" s="63">
        <v>15</v>
      </c>
    </row>
    <row r="144" spans="1:28" x14ac:dyDescent="0.2">
      <c r="A144" s="62">
        <v>11</v>
      </c>
      <c r="B144" s="62" t="s">
        <v>348</v>
      </c>
      <c r="C144" s="62">
        <v>72</v>
      </c>
      <c r="D144" s="62" t="s">
        <v>340</v>
      </c>
      <c r="E144" s="63">
        <v>81</v>
      </c>
      <c r="F144" s="63">
        <v>81</v>
      </c>
      <c r="G144" s="63">
        <v>91</v>
      </c>
      <c r="H144" s="63">
        <v>82</v>
      </c>
      <c r="I144" s="63">
        <v>88</v>
      </c>
      <c r="J144" s="63">
        <v>74</v>
      </c>
      <c r="K144" s="63">
        <v>83</v>
      </c>
      <c r="L144" s="63">
        <v>77</v>
      </c>
      <c r="M144" s="63">
        <v>70</v>
      </c>
      <c r="N144" s="63">
        <v>68</v>
      </c>
      <c r="O144" s="63">
        <v>63</v>
      </c>
      <c r="P144" s="63">
        <v>56</v>
      </c>
      <c r="Q144" s="63">
        <v>58</v>
      </c>
      <c r="R144" s="63">
        <v>56</v>
      </c>
      <c r="S144" s="63">
        <v>70</v>
      </c>
      <c r="T144" s="63">
        <v>65</v>
      </c>
      <c r="U144" s="63">
        <v>66</v>
      </c>
      <c r="V144" s="63">
        <v>61</v>
      </c>
      <c r="W144" s="63">
        <v>56</v>
      </c>
      <c r="X144" s="63">
        <v>55</v>
      </c>
      <c r="Y144" s="63">
        <v>62</v>
      </c>
      <c r="Z144" s="63">
        <v>59</v>
      </c>
      <c r="AA144" s="63">
        <v>55</v>
      </c>
      <c r="AB144" s="63">
        <v>56</v>
      </c>
    </row>
    <row r="145" spans="1:28" x14ac:dyDescent="0.2">
      <c r="A145" s="62">
        <v>11</v>
      </c>
      <c r="B145" s="62" t="s">
        <v>348</v>
      </c>
      <c r="C145" s="62">
        <v>81</v>
      </c>
      <c r="D145" s="62" t="s">
        <v>341</v>
      </c>
      <c r="E145" s="63">
        <v>80</v>
      </c>
      <c r="F145" s="63">
        <v>72</v>
      </c>
      <c r="G145" s="63">
        <v>65</v>
      </c>
      <c r="H145" s="63">
        <v>70</v>
      </c>
      <c r="I145" s="63">
        <v>63</v>
      </c>
      <c r="J145" s="63">
        <v>54</v>
      </c>
      <c r="K145" s="63">
        <v>54</v>
      </c>
      <c r="L145" s="63">
        <v>47</v>
      </c>
      <c r="M145" s="63">
        <v>45</v>
      </c>
      <c r="N145" s="63">
        <v>46</v>
      </c>
      <c r="O145" s="63">
        <v>48</v>
      </c>
      <c r="P145" s="63">
        <v>45</v>
      </c>
      <c r="Q145" s="63">
        <v>36</v>
      </c>
      <c r="R145" s="63">
        <v>40</v>
      </c>
      <c r="S145" s="63">
        <v>35</v>
      </c>
      <c r="T145" s="63">
        <v>47</v>
      </c>
      <c r="U145" s="63">
        <v>57</v>
      </c>
      <c r="V145" s="63">
        <v>37</v>
      </c>
      <c r="W145" s="63">
        <v>38</v>
      </c>
      <c r="X145" s="63">
        <v>41</v>
      </c>
      <c r="Y145" s="63">
        <v>43</v>
      </c>
      <c r="Z145" s="63">
        <v>39</v>
      </c>
      <c r="AA145" s="63">
        <v>38</v>
      </c>
      <c r="AB145" s="63">
        <v>19</v>
      </c>
    </row>
    <row r="146" spans="1:28" x14ac:dyDescent="0.2">
      <c r="A146" s="62">
        <v>11</v>
      </c>
      <c r="B146" s="62" t="s">
        <v>348</v>
      </c>
      <c r="C146" s="62">
        <v>99</v>
      </c>
      <c r="D146" s="62" t="s">
        <v>342</v>
      </c>
      <c r="E146" s="63">
        <v>0</v>
      </c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3">
        <v>0</v>
      </c>
    </row>
    <row r="147" spans="1:28" x14ac:dyDescent="0.2">
      <c r="A147" s="62">
        <v>13</v>
      </c>
      <c r="B147" s="62" t="s">
        <v>349</v>
      </c>
      <c r="C147" s="62">
        <v>1</v>
      </c>
      <c r="D147" s="62" t="s">
        <v>316</v>
      </c>
      <c r="E147" s="63">
        <v>2653</v>
      </c>
      <c r="F147" s="63">
        <v>2648</v>
      </c>
      <c r="G147" s="63">
        <v>2633</v>
      </c>
      <c r="H147" s="63">
        <v>2555</v>
      </c>
      <c r="I147" s="63">
        <v>2411</v>
      </c>
      <c r="J147" s="63">
        <v>2347</v>
      </c>
      <c r="K147" s="63">
        <v>2300</v>
      </c>
      <c r="L147" s="63">
        <v>2275</v>
      </c>
      <c r="M147" s="63">
        <v>2293</v>
      </c>
      <c r="N147" s="63">
        <v>2318</v>
      </c>
      <c r="O147" s="63">
        <v>2134</v>
      </c>
      <c r="P147" s="63">
        <v>2049</v>
      </c>
      <c r="Q147" s="63">
        <v>1983</v>
      </c>
      <c r="R147" s="63">
        <v>1966</v>
      </c>
      <c r="S147" s="63">
        <v>1983</v>
      </c>
      <c r="T147" s="63">
        <v>2052</v>
      </c>
      <c r="U147" s="63">
        <v>2059</v>
      </c>
      <c r="V147" s="63">
        <v>2004</v>
      </c>
      <c r="W147" s="63">
        <v>2011</v>
      </c>
      <c r="X147" s="63">
        <v>2152</v>
      </c>
      <c r="Y147" s="63">
        <v>2008</v>
      </c>
      <c r="Z147" s="63">
        <v>1973</v>
      </c>
      <c r="AA147" s="63">
        <v>2042</v>
      </c>
      <c r="AB147" s="63">
        <v>2170</v>
      </c>
    </row>
    <row r="148" spans="1:28" x14ac:dyDescent="0.2">
      <c r="A148" s="62">
        <v>13</v>
      </c>
      <c r="B148" s="62" t="s">
        <v>349</v>
      </c>
      <c r="C148" s="62">
        <v>10</v>
      </c>
      <c r="D148" s="62" t="s">
        <v>317</v>
      </c>
      <c r="E148" s="63">
        <v>214628</v>
      </c>
      <c r="F148" s="63">
        <v>185160</v>
      </c>
      <c r="G148" s="63">
        <v>180536</v>
      </c>
      <c r="H148" s="63">
        <v>183289</v>
      </c>
      <c r="I148" s="63">
        <v>186985</v>
      </c>
      <c r="J148" s="63">
        <v>189577</v>
      </c>
      <c r="K148" s="63">
        <v>193597</v>
      </c>
      <c r="L148" s="63">
        <v>195147</v>
      </c>
      <c r="M148" s="63">
        <v>186348</v>
      </c>
      <c r="N148" s="63">
        <v>186356</v>
      </c>
      <c r="O148" s="63">
        <v>190891</v>
      </c>
      <c r="P148" s="63">
        <v>195477</v>
      </c>
      <c r="Q148" s="63">
        <v>200231</v>
      </c>
      <c r="R148" s="63">
        <v>206790</v>
      </c>
      <c r="S148" s="63">
        <v>211381</v>
      </c>
      <c r="T148" s="63">
        <v>215835</v>
      </c>
      <c r="U148" s="63">
        <v>219898</v>
      </c>
      <c r="V148" s="63">
        <v>224314</v>
      </c>
      <c r="W148" s="63">
        <v>229892</v>
      </c>
      <c r="X148" s="63">
        <v>218320</v>
      </c>
      <c r="Y148" s="63">
        <v>226382</v>
      </c>
      <c r="Z148" s="63">
        <v>233542</v>
      </c>
      <c r="AA148" s="63">
        <v>236012</v>
      </c>
      <c r="AB148" s="63">
        <v>233935</v>
      </c>
    </row>
    <row r="149" spans="1:28" x14ac:dyDescent="0.2">
      <c r="A149" s="62">
        <v>13</v>
      </c>
      <c r="B149" s="62" t="s">
        <v>349</v>
      </c>
      <c r="C149" s="62">
        <v>11</v>
      </c>
      <c r="D149" s="62" t="s">
        <v>318</v>
      </c>
      <c r="E149" s="63">
        <v>436</v>
      </c>
      <c r="F149" s="63">
        <v>553</v>
      </c>
      <c r="G149" s="63">
        <v>497</v>
      </c>
      <c r="H149" s="63">
        <v>313</v>
      </c>
      <c r="I149" s="63">
        <v>461</v>
      </c>
      <c r="J149" s="63">
        <v>488</v>
      </c>
      <c r="K149" s="63">
        <v>516</v>
      </c>
      <c r="L149" s="63">
        <v>516</v>
      </c>
      <c r="M149" s="63">
        <v>506</v>
      </c>
      <c r="N149" s="63">
        <v>558</v>
      </c>
      <c r="O149" s="63">
        <v>585</v>
      </c>
      <c r="P149" s="63">
        <v>572</v>
      </c>
      <c r="Q149" s="63">
        <v>586</v>
      </c>
      <c r="R149" s="63">
        <v>589</v>
      </c>
      <c r="S149" s="63">
        <v>660</v>
      </c>
      <c r="T149" s="63">
        <v>689</v>
      </c>
      <c r="U149" s="63">
        <v>754</v>
      </c>
      <c r="V149" s="63">
        <v>825</v>
      </c>
      <c r="W149" s="63">
        <v>794</v>
      </c>
      <c r="X149" s="63">
        <v>819</v>
      </c>
      <c r="Y149" s="63">
        <v>861</v>
      </c>
      <c r="Z149" s="63">
        <v>905</v>
      </c>
      <c r="AA149" s="63">
        <v>830</v>
      </c>
      <c r="AB149" s="63">
        <v>855</v>
      </c>
    </row>
    <row r="150" spans="1:28" x14ac:dyDescent="0.2">
      <c r="A150" s="62">
        <v>13</v>
      </c>
      <c r="B150" s="62" t="s">
        <v>349</v>
      </c>
      <c r="C150" s="62">
        <v>2</v>
      </c>
      <c r="D150" s="64" t="s">
        <v>319</v>
      </c>
      <c r="E150" s="65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3">
        <v>10731</v>
      </c>
      <c r="V150" s="62"/>
      <c r="W150" s="63">
        <v>11499</v>
      </c>
      <c r="X150" s="62"/>
      <c r="Y150" s="63">
        <v>10973</v>
      </c>
      <c r="Z150" s="63">
        <v>11198</v>
      </c>
      <c r="AA150" s="62"/>
      <c r="AB150" s="63">
        <v>11562</v>
      </c>
    </row>
    <row r="151" spans="1:28" x14ac:dyDescent="0.2">
      <c r="A151" s="62">
        <v>13</v>
      </c>
      <c r="B151" s="62" t="s">
        <v>349</v>
      </c>
      <c r="C151" s="62">
        <v>21</v>
      </c>
      <c r="D151" s="62" t="s">
        <v>320</v>
      </c>
      <c r="E151" s="63">
        <v>514</v>
      </c>
      <c r="F151" s="63">
        <v>462</v>
      </c>
      <c r="G151" s="63">
        <v>515</v>
      </c>
      <c r="H151" s="63">
        <v>590</v>
      </c>
      <c r="I151" s="63">
        <v>747</v>
      </c>
      <c r="J151" s="63">
        <v>900</v>
      </c>
      <c r="K151" s="63">
        <v>1153</v>
      </c>
      <c r="L151" s="63">
        <v>1115</v>
      </c>
      <c r="M151" s="63">
        <v>718</v>
      </c>
      <c r="N151" s="63">
        <v>789</v>
      </c>
      <c r="O151" s="63">
        <v>508</v>
      </c>
      <c r="P151" s="63">
        <v>505</v>
      </c>
      <c r="Q151" s="63">
        <v>467</v>
      </c>
      <c r="R151" s="63">
        <v>529</v>
      </c>
      <c r="S151" s="63">
        <v>511</v>
      </c>
      <c r="T151" s="63">
        <v>438</v>
      </c>
      <c r="U151" s="63">
        <v>393</v>
      </c>
      <c r="V151" s="63">
        <v>391</v>
      </c>
      <c r="W151" s="63">
        <v>378</v>
      </c>
      <c r="X151" s="63">
        <v>347</v>
      </c>
      <c r="Y151" s="63">
        <v>412</v>
      </c>
      <c r="Z151" s="63">
        <v>398</v>
      </c>
      <c r="AA151" s="63">
        <v>357</v>
      </c>
      <c r="AB151" s="63">
        <v>420</v>
      </c>
    </row>
    <row r="152" spans="1:28" x14ac:dyDescent="0.2">
      <c r="A152" s="62">
        <v>13</v>
      </c>
      <c r="B152" s="62" t="s">
        <v>349</v>
      </c>
      <c r="C152" s="62">
        <v>22</v>
      </c>
      <c r="D152" s="62" t="s">
        <v>321</v>
      </c>
      <c r="E152" s="63">
        <v>248</v>
      </c>
      <c r="F152" s="63">
        <v>268</v>
      </c>
      <c r="G152" s="63">
        <v>293</v>
      </c>
      <c r="H152" s="63">
        <v>282</v>
      </c>
      <c r="I152" s="63">
        <v>260</v>
      </c>
      <c r="J152" s="63">
        <v>255</v>
      </c>
      <c r="K152" s="63">
        <v>262</v>
      </c>
      <c r="L152" s="63">
        <v>265</v>
      </c>
      <c r="M152" s="63">
        <v>266</v>
      </c>
      <c r="N152" s="63">
        <v>281</v>
      </c>
      <c r="O152" s="63">
        <v>255</v>
      </c>
      <c r="P152" s="63">
        <v>254</v>
      </c>
      <c r="Q152" s="63">
        <v>247</v>
      </c>
      <c r="R152" s="63">
        <v>266</v>
      </c>
      <c r="S152" s="63">
        <v>273</v>
      </c>
      <c r="T152" s="63">
        <v>274</v>
      </c>
      <c r="U152" s="63">
        <v>255</v>
      </c>
      <c r="V152" s="63">
        <v>220</v>
      </c>
      <c r="W152" s="63">
        <v>265</v>
      </c>
      <c r="X152" s="63">
        <v>272</v>
      </c>
      <c r="Y152" s="63">
        <v>281</v>
      </c>
      <c r="Z152" s="63">
        <v>346</v>
      </c>
      <c r="AA152" s="63">
        <v>456</v>
      </c>
      <c r="AB152" s="63">
        <v>510</v>
      </c>
    </row>
    <row r="153" spans="1:28" x14ac:dyDescent="0.2">
      <c r="A153" s="62">
        <v>13</v>
      </c>
      <c r="B153" s="62" t="s">
        <v>349</v>
      </c>
      <c r="C153" s="62">
        <v>23</v>
      </c>
      <c r="D153" s="62" t="s">
        <v>322</v>
      </c>
      <c r="E153" s="63">
        <v>10925</v>
      </c>
      <c r="F153" s="63">
        <v>9609</v>
      </c>
      <c r="G153" s="63">
        <v>8884</v>
      </c>
      <c r="H153" s="63">
        <v>8890</v>
      </c>
      <c r="I153" s="63">
        <v>8774</v>
      </c>
      <c r="J153" s="63">
        <v>8332</v>
      </c>
      <c r="K153" s="63">
        <v>8463</v>
      </c>
      <c r="L153" s="63">
        <v>8248</v>
      </c>
      <c r="M153" s="63">
        <v>7074</v>
      </c>
      <c r="N153" s="63">
        <v>6524</v>
      </c>
      <c r="O153" s="63">
        <v>6328</v>
      </c>
      <c r="P153" s="63">
        <v>6389</v>
      </c>
      <c r="Q153" s="63">
        <v>6777</v>
      </c>
      <c r="R153" s="63">
        <v>7395</v>
      </c>
      <c r="S153" s="63">
        <v>7686</v>
      </c>
      <c r="T153" s="63">
        <v>7866</v>
      </c>
      <c r="U153" s="63">
        <v>8198</v>
      </c>
      <c r="V153" s="63">
        <v>8441</v>
      </c>
      <c r="W153" s="63">
        <v>8508</v>
      </c>
      <c r="X153" s="63">
        <v>8136</v>
      </c>
      <c r="Y153" s="63">
        <v>8027</v>
      </c>
      <c r="Z153" s="63">
        <v>8000</v>
      </c>
      <c r="AA153" s="63">
        <v>8228</v>
      </c>
      <c r="AB153" s="63">
        <v>7896</v>
      </c>
    </row>
    <row r="154" spans="1:28" x14ac:dyDescent="0.2">
      <c r="A154" s="62">
        <v>13</v>
      </c>
      <c r="B154" s="62" t="s">
        <v>349</v>
      </c>
      <c r="C154" s="62">
        <v>3</v>
      </c>
      <c r="D154" s="62" t="s">
        <v>323</v>
      </c>
      <c r="E154" s="63">
        <v>13150</v>
      </c>
      <c r="F154" s="63">
        <v>12980</v>
      </c>
      <c r="G154" s="63">
        <v>12886</v>
      </c>
      <c r="H154" s="63">
        <v>12977</v>
      </c>
      <c r="I154" s="63">
        <v>13418</v>
      </c>
      <c r="J154" s="63">
        <v>13924</v>
      </c>
      <c r="K154" s="63">
        <v>14258</v>
      </c>
      <c r="L154" s="63">
        <v>14756</v>
      </c>
      <c r="M154" s="63">
        <v>14887</v>
      </c>
      <c r="N154" s="63">
        <v>15104</v>
      </c>
      <c r="O154" s="63">
        <v>15068</v>
      </c>
      <c r="P154" s="63">
        <v>15220</v>
      </c>
      <c r="Q154" s="63">
        <v>15234</v>
      </c>
      <c r="R154" s="63">
        <v>15441</v>
      </c>
      <c r="S154" s="63">
        <v>15634</v>
      </c>
      <c r="T154" s="63">
        <v>16199</v>
      </c>
      <c r="U154" s="63">
        <v>16302</v>
      </c>
      <c r="V154" s="63">
        <v>16554</v>
      </c>
      <c r="W154" s="63">
        <v>16724</v>
      </c>
      <c r="X154" s="63">
        <v>15619</v>
      </c>
      <c r="Y154" s="63">
        <v>15738</v>
      </c>
      <c r="Z154" s="63">
        <v>16149</v>
      </c>
      <c r="AA154" s="63">
        <v>16837</v>
      </c>
      <c r="AB154" s="63">
        <v>17267</v>
      </c>
    </row>
    <row r="155" spans="1:28" x14ac:dyDescent="0.2">
      <c r="A155" s="62">
        <v>13</v>
      </c>
      <c r="B155" s="62" t="s">
        <v>349</v>
      </c>
      <c r="C155" s="62" t="s">
        <v>324</v>
      </c>
      <c r="D155" s="62" t="s">
        <v>325</v>
      </c>
      <c r="E155" s="63">
        <v>29318</v>
      </c>
      <c r="F155" s="63">
        <v>22947</v>
      </c>
      <c r="G155" s="63">
        <v>20570</v>
      </c>
      <c r="H155" s="63">
        <v>19595</v>
      </c>
      <c r="I155" s="63">
        <v>19430</v>
      </c>
      <c r="J155" s="63">
        <v>19190</v>
      </c>
      <c r="K155" s="63">
        <v>18461</v>
      </c>
      <c r="L155" s="63">
        <v>18524</v>
      </c>
      <c r="M155" s="63">
        <v>15958</v>
      </c>
      <c r="N155" s="63">
        <v>15871</v>
      </c>
      <c r="O155" s="63">
        <v>16558</v>
      </c>
      <c r="P155" s="63">
        <v>17247</v>
      </c>
      <c r="Q155" s="63">
        <v>17811</v>
      </c>
      <c r="R155" s="63">
        <v>18205</v>
      </c>
      <c r="S155" s="63">
        <v>18284</v>
      </c>
      <c r="T155" s="63">
        <v>18282</v>
      </c>
      <c r="U155" s="63">
        <v>19148</v>
      </c>
      <c r="V155" s="63">
        <v>19784</v>
      </c>
      <c r="W155" s="63">
        <v>20469</v>
      </c>
      <c r="X155" s="63">
        <v>20662</v>
      </c>
      <c r="Y155" s="63">
        <v>21658</v>
      </c>
      <c r="Z155" s="63">
        <v>22546</v>
      </c>
      <c r="AA155" s="63">
        <v>21663</v>
      </c>
      <c r="AB155" s="63">
        <v>21473</v>
      </c>
    </row>
    <row r="156" spans="1:28" x14ac:dyDescent="0.2">
      <c r="A156" s="62">
        <v>13</v>
      </c>
      <c r="B156" s="62" t="s">
        <v>349</v>
      </c>
      <c r="C156" s="62">
        <v>42</v>
      </c>
      <c r="D156" s="62" t="s">
        <v>326</v>
      </c>
      <c r="E156" s="63">
        <v>6416</v>
      </c>
      <c r="F156" s="63">
        <v>5557</v>
      </c>
      <c r="G156" s="63">
        <v>5395</v>
      </c>
      <c r="H156" s="63">
        <v>5409</v>
      </c>
      <c r="I156" s="63">
        <v>5739</v>
      </c>
      <c r="J156" s="63">
        <v>6059</v>
      </c>
      <c r="K156" s="63">
        <v>5985</v>
      </c>
      <c r="L156" s="63">
        <v>5871</v>
      </c>
      <c r="M156" s="63">
        <v>5449</v>
      </c>
      <c r="N156" s="63">
        <v>5431</v>
      </c>
      <c r="O156" s="63">
        <v>5657</v>
      </c>
      <c r="P156" s="63">
        <v>5837</v>
      </c>
      <c r="Q156" s="63">
        <v>6069</v>
      </c>
      <c r="R156" s="63">
        <v>6098</v>
      </c>
      <c r="S156" s="63">
        <v>6263</v>
      </c>
      <c r="T156" s="63">
        <v>6670</v>
      </c>
      <c r="U156" s="63">
        <v>6836</v>
      </c>
      <c r="V156" s="63">
        <v>7029</v>
      </c>
      <c r="W156" s="63">
        <v>7234</v>
      </c>
      <c r="X156" s="63">
        <v>6959</v>
      </c>
      <c r="Y156" s="63">
        <v>7198</v>
      </c>
      <c r="Z156" s="63">
        <v>7745</v>
      </c>
      <c r="AA156" s="63">
        <v>7918</v>
      </c>
      <c r="AB156" s="63">
        <v>8158</v>
      </c>
    </row>
    <row r="157" spans="1:28" x14ac:dyDescent="0.2">
      <c r="A157" s="62">
        <v>13</v>
      </c>
      <c r="B157" s="62" t="s">
        <v>349</v>
      </c>
      <c r="C157" s="62" t="s">
        <v>327</v>
      </c>
      <c r="D157" s="62" t="s">
        <v>328</v>
      </c>
      <c r="E157" s="63">
        <v>23246</v>
      </c>
      <c r="F157" s="63">
        <v>18560</v>
      </c>
      <c r="G157" s="63">
        <v>17966</v>
      </c>
      <c r="H157" s="63">
        <v>17993</v>
      </c>
      <c r="I157" s="63">
        <v>18189</v>
      </c>
      <c r="J157" s="63">
        <v>18216</v>
      </c>
      <c r="K157" s="63">
        <v>18664</v>
      </c>
      <c r="L157" s="63">
        <v>18467</v>
      </c>
      <c r="M157" s="63">
        <v>17466</v>
      </c>
      <c r="N157" s="63">
        <v>17139</v>
      </c>
      <c r="O157" s="63">
        <v>17517</v>
      </c>
      <c r="P157" s="63">
        <v>17961</v>
      </c>
      <c r="Q157" s="63">
        <v>18161</v>
      </c>
      <c r="R157" s="63">
        <v>18575</v>
      </c>
      <c r="S157" s="63">
        <v>19072</v>
      </c>
      <c r="T157" s="63">
        <v>19519</v>
      </c>
      <c r="U157" s="63">
        <v>19585</v>
      </c>
      <c r="V157" s="63">
        <v>19688</v>
      </c>
      <c r="W157" s="63">
        <v>19534</v>
      </c>
      <c r="X157" s="63">
        <v>18678</v>
      </c>
      <c r="Y157" s="63">
        <v>19289</v>
      </c>
      <c r="Z157" s="63">
        <v>18610</v>
      </c>
      <c r="AA157" s="63">
        <v>18727</v>
      </c>
      <c r="AB157" s="63">
        <v>18488</v>
      </c>
    </row>
    <row r="158" spans="1:28" x14ac:dyDescent="0.2">
      <c r="A158" s="62">
        <v>13</v>
      </c>
      <c r="B158" s="62" t="s">
        <v>349</v>
      </c>
      <c r="C158" s="62" t="s">
        <v>329</v>
      </c>
      <c r="D158" s="62" t="s">
        <v>330</v>
      </c>
      <c r="E158" s="63">
        <v>2112</v>
      </c>
      <c r="F158" s="63">
        <v>2004</v>
      </c>
      <c r="G158" s="63">
        <v>2022</v>
      </c>
      <c r="H158" s="63">
        <v>1779</v>
      </c>
      <c r="I158" s="63">
        <v>1642</v>
      </c>
      <c r="J158" s="63">
        <v>1567</v>
      </c>
      <c r="K158" s="63">
        <v>1632</v>
      </c>
      <c r="L158" s="63">
        <v>1596</v>
      </c>
      <c r="M158" s="63">
        <v>1430</v>
      </c>
      <c r="N158" s="63">
        <v>1512</v>
      </c>
      <c r="O158" s="63">
        <v>1563</v>
      </c>
      <c r="P158" s="63">
        <v>1625</v>
      </c>
      <c r="Q158" s="63">
        <v>1712</v>
      </c>
      <c r="R158" s="63">
        <v>1834</v>
      </c>
      <c r="S158" s="63">
        <v>2151</v>
      </c>
      <c r="T158" s="63">
        <v>2518</v>
      </c>
      <c r="U158" s="63">
        <v>2737</v>
      </c>
      <c r="V158" s="63">
        <v>3178</v>
      </c>
      <c r="W158" s="63">
        <v>3430</v>
      </c>
      <c r="X158" s="63">
        <v>3843</v>
      </c>
      <c r="Y158" s="63">
        <v>4003</v>
      </c>
      <c r="Z158" s="63">
        <v>3730</v>
      </c>
      <c r="AA158" s="63">
        <v>3701</v>
      </c>
      <c r="AB158" s="63">
        <v>3670</v>
      </c>
    </row>
    <row r="159" spans="1:28" x14ac:dyDescent="0.2">
      <c r="A159" s="62">
        <v>13</v>
      </c>
      <c r="B159" s="62" t="s">
        <v>349</v>
      </c>
      <c r="C159" s="62">
        <v>51</v>
      </c>
      <c r="D159" s="62" t="s">
        <v>331</v>
      </c>
      <c r="E159" s="63">
        <v>15148</v>
      </c>
      <c r="F159" s="63">
        <v>11440</v>
      </c>
      <c r="G159" s="63">
        <v>10582</v>
      </c>
      <c r="H159" s="63">
        <v>10119</v>
      </c>
      <c r="I159" s="63">
        <v>9637</v>
      </c>
      <c r="J159" s="63">
        <v>9435</v>
      </c>
      <c r="K159" s="63">
        <v>9997</v>
      </c>
      <c r="L159" s="63">
        <v>9946</v>
      </c>
      <c r="M159" s="63">
        <v>9557</v>
      </c>
      <c r="N159" s="63">
        <v>9472</v>
      </c>
      <c r="O159" s="63">
        <v>9519</v>
      </c>
      <c r="P159" s="63">
        <v>9538</v>
      </c>
      <c r="Q159" s="63">
        <v>9185</v>
      </c>
      <c r="R159" s="63">
        <v>9162</v>
      </c>
      <c r="S159" s="63">
        <v>8991</v>
      </c>
      <c r="T159" s="63">
        <v>8830</v>
      </c>
      <c r="U159" s="63">
        <v>8906</v>
      </c>
      <c r="V159" s="63">
        <v>9104</v>
      </c>
      <c r="W159" s="63">
        <v>9352</v>
      </c>
      <c r="X159" s="63">
        <v>9251</v>
      </c>
      <c r="Y159" s="63">
        <v>9806</v>
      </c>
      <c r="Z159" s="63">
        <v>10162</v>
      </c>
      <c r="AA159" s="63">
        <v>9344</v>
      </c>
      <c r="AB159" s="63">
        <v>9205</v>
      </c>
    </row>
    <row r="160" spans="1:28" x14ac:dyDescent="0.2">
      <c r="A160" s="62">
        <v>13</v>
      </c>
      <c r="B160" s="62" t="s">
        <v>349</v>
      </c>
      <c r="C160" s="62">
        <v>52</v>
      </c>
      <c r="D160" s="62" t="s">
        <v>332</v>
      </c>
      <c r="E160" s="63">
        <v>6010</v>
      </c>
      <c r="F160" s="63">
        <v>5319</v>
      </c>
      <c r="G160" s="63">
        <v>5389</v>
      </c>
      <c r="H160" s="63">
        <v>5735</v>
      </c>
      <c r="I160" s="63">
        <v>5679</v>
      </c>
      <c r="J160" s="63">
        <v>5782</v>
      </c>
      <c r="K160" s="63">
        <v>5985</v>
      </c>
      <c r="L160" s="63">
        <v>6126</v>
      </c>
      <c r="M160" s="63">
        <v>5965</v>
      </c>
      <c r="N160" s="63">
        <v>5795</v>
      </c>
      <c r="O160" s="63">
        <v>5690</v>
      </c>
      <c r="P160" s="63">
        <v>5658</v>
      </c>
      <c r="Q160" s="63">
        <v>5803</v>
      </c>
      <c r="R160" s="63">
        <v>5747</v>
      </c>
      <c r="S160" s="63">
        <v>5370</v>
      </c>
      <c r="T160" s="63">
        <v>4953</v>
      </c>
      <c r="U160" s="63">
        <v>5005</v>
      </c>
      <c r="V160" s="63">
        <v>4980</v>
      </c>
      <c r="W160" s="63">
        <v>5061</v>
      </c>
      <c r="X160" s="63">
        <v>5059</v>
      </c>
      <c r="Y160" s="63">
        <v>5134</v>
      </c>
      <c r="Z160" s="63">
        <v>5240</v>
      </c>
      <c r="AA160" s="63">
        <v>5040</v>
      </c>
      <c r="AB160" s="63">
        <v>4848</v>
      </c>
    </row>
    <row r="161" spans="1:28" x14ac:dyDescent="0.2">
      <c r="A161" s="62">
        <v>13</v>
      </c>
      <c r="B161" s="62" t="s">
        <v>349</v>
      </c>
      <c r="C161" s="62">
        <v>53</v>
      </c>
      <c r="D161" s="62" t="s">
        <v>333</v>
      </c>
      <c r="E161" s="63">
        <v>6902</v>
      </c>
      <c r="F161" s="63">
        <v>6513</v>
      </c>
      <c r="G161" s="63">
        <v>6738</v>
      </c>
      <c r="H161" s="63">
        <v>6796</v>
      </c>
      <c r="I161" s="63">
        <v>7075</v>
      </c>
      <c r="J161" s="63">
        <v>6725</v>
      </c>
      <c r="K161" s="63">
        <v>6791</v>
      </c>
      <c r="L161" s="63">
        <v>6412</v>
      </c>
      <c r="M161" s="63">
        <v>6671</v>
      </c>
      <c r="N161" s="63">
        <v>6494</v>
      </c>
      <c r="O161" s="63">
        <v>6567</v>
      </c>
      <c r="P161" s="63">
        <v>6655</v>
      </c>
      <c r="Q161" s="63">
        <v>6941</v>
      </c>
      <c r="R161" s="63">
        <v>7289</v>
      </c>
      <c r="S161" s="63">
        <v>7566</v>
      </c>
      <c r="T161" s="63">
        <v>7794</v>
      </c>
      <c r="U161" s="63">
        <v>8019</v>
      </c>
      <c r="V161" s="63">
        <v>7962</v>
      </c>
      <c r="W161" s="63">
        <v>8090</v>
      </c>
      <c r="X161" s="63">
        <v>7883</v>
      </c>
      <c r="Y161" s="63">
        <v>8156</v>
      </c>
      <c r="Z161" s="63">
        <v>7985</v>
      </c>
      <c r="AA161" s="63">
        <v>7908</v>
      </c>
      <c r="AB161" s="63">
        <v>7382</v>
      </c>
    </row>
    <row r="162" spans="1:28" x14ac:dyDescent="0.2">
      <c r="A162" s="62">
        <v>13</v>
      </c>
      <c r="B162" s="62" t="s">
        <v>349</v>
      </c>
      <c r="C162" s="62">
        <v>54</v>
      </c>
      <c r="D162" s="62" t="s">
        <v>334</v>
      </c>
      <c r="E162" s="63">
        <v>30065</v>
      </c>
      <c r="F162" s="63">
        <v>25099</v>
      </c>
      <c r="G162" s="63">
        <v>25514</v>
      </c>
      <c r="H162" s="63">
        <v>27186</v>
      </c>
      <c r="I162" s="63">
        <v>28061</v>
      </c>
      <c r="J162" s="63">
        <v>30456</v>
      </c>
      <c r="K162" s="63">
        <v>31131</v>
      </c>
      <c r="L162" s="63">
        <v>31630</v>
      </c>
      <c r="M162" s="63">
        <v>30347</v>
      </c>
      <c r="N162" s="63">
        <v>30281</v>
      </c>
      <c r="O162" s="63">
        <v>31483</v>
      </c>
      <c r="P162" s="63">
        <v>32583</v>
      </c>
      <c r="Q162" s="63">
        <v>33576</v>
      </c>
      <c r="R162" s="63">
        <v>35332</v>
      </c>
      <c r="S162" s="63">
        <v>36209</v>
      </c>
      <c r="T162" s="63">
        <v>37107</v>
      </c>
      <c r="U162" s="63">
        <v>37671</v>
      </c>
      <c r="V162" s="63">
        <v>38845</v>
      </c>
      <c r="W162" s="63">
        <v>40711</v>
      </c>
      <c r="X162" s="63">
        <v>40231</v>
      </c>
      <c r="Y162" s="63">
        <v>41835</v>
      </c>
      <c r="Z162" s="63">
        <v>44698</v>
      </c>
      <c r="AA162" s="63">
        <v>45807</v>
      </c>
      <c r="AB162" s="63">
        <v>44622</v>
      </c>
    </row>
    <row r="163" spans="1:28" x14ac:dyDescent="0.2">
      <c r="A163" s="62">
        <v>13</v>
      </c>
      <c r="B163" s="62" t="s">
        <v>349</v>
      </c>
      <c r="C163" s="62">
        <v>55</v>
      </c>
      <c r="D163" s="62" t="s">
        <v>335</v>
      </c>
      <c r="E163" s="63">
        <v>1381</v>
      </c>
      <c r="F163" s="63">
        <v>615</v>
      </c>
      <c r="G163" s="63">
        <v>715</v>
      </c>
      <c r="H163" s="63">
        <v>1174</v>
      </c>
      <c r="I163" s="63">
        <v>1540</v>
      </c>
      <c r="J163" s="63">
        <v>1475</v>
      </c>
      <c r="K163" s="62"/>
      <c r="L163" s="63">
        <v>1329</v>
      </c>
      <c r="M163" s="63">
        <v>992</v>
      </c>
      <c r="N163" s="63">
        <v>923</v>
      </c>
      <c r="O163" s="63">
        <v>936</v>
      </c>
      <c r="P163" s="63">
        <v>1029</v>
      </c>
      <c r="Q163" s="63">
        <v>1068</v>
      </c>
      <c r="R163" s="63">
        <v>1065</v>
      </c>
      <c r="S163" s="63">
        <v>1075</v>
      </c>
      <c r="T163" s="63">
        <v>1206</v>
      </c>
      <c r="U163" s="63">
        <v>1443</v>
      </c>
      <c r="V163" s="63">
        <v>1558</v>
      </c>
      <c r="W163" s="63">
        <v>1523</v>
      </c>
      <c r="X163" s="63">
        <v>1585</v>
      </c>
      <c r="Y163" s="63">
        <v>1809</v>
      </c>
      <c r="Z163" s="63">
        <v>1869</v>
      </c>
      <c r="AA163" s="63">
        <v>1897</v>
      </c>
      <c r="AB163" s="63">
        <v>1850</v>
      </c>
    </row>
    <row r="164" spans="1:28" x14ac:dyDescent="0.2">
      <c r="A164" s="62">
        <v>13</v>
      </c>
      <c r="B164" s="62" t="s">
        <v>349</v>
      </c>
      <c r="C164" s="62">
        <v>56</v>
      </c>
      <c r="D164" s="62" t="s">
        <v>336</v>
      </c>
      <c r="E164" s="63">
        <v>10195</v>
      </c>
      <c r="F164" s="63">
        <v>8824</v>
      </c>
      <c r="G164" s="63">
        <v>8253</v>
      </c>
      <c r="H164" s="63">
        <v>8272</v>
      </c>
      <c r="I164" s="63">
        <v>8367</v>
      </c>
      <c r="J164" s="63">
        <v>8324</v>
      </c>
      <c r="K164" s="63">
        <v>8554</v>
      </c>
      <c r="L164" s="63">
        <v>8722</v>
      </c>
      <c r="M164" s="63">
        <v>7588</v>
      </c>
      <c r="N164" s="63">
        <v>7797</v>
      </c>
      <c r="O164" s="63">
        <v>8554</v>
      </c>
      <c r="P164" s="63">
        <v>8742</v>
      </c>
      <c r="Q164" s="63">
        <v>8930</v>
      </c>
      <c r="R164" s="63">
        <v>9232</v>
      </c>
      <c r="S164" s="63">
        <v>9015</v>
      </c>
      <c r="T164" s="63">
        <v>8792</v>
      </c>
      <c r="U164" s="63">
        <v>7952</v>
      </c>
      <c r="V164" s="63">
        <v>8489</v>
      </c>
      <c r="W164" s="63">
        <v>8781</v>
      </c>
      <c r="X164" s="63">
        <v>8429</v>
      </c>
      <c r="Y164" s="63">
        <v>8458</v>
      </c>
      <c r="Z164" s="63">
        <v>8426</v>
      </c>
      <c r="AA164" s="63">
        <v>7863</v>
      </c>
      <c r="AB164" s="63">
        <v>7576</v>
      </c>
    </row>
    <row r="165" spans="1:28" x14ac:dyDescent="0.2">
      <c r="A165" s="62">
        <v>13</v>
      </c>
      <c r="B165" s="62" t="s">
        <v>349</v>
      </c>
      <c r="C165" s="62">
        <v>61</v>
      </c>
      <c r="D165" s="62" t="s">
        <v>337</v>
      </c>
      <c r="E165" s="63">
        <v>2972</v>
      </c>
      <c r="F165" s="63">
        <v>2733</v>
      </c>
      <c r="G165" s="63">
        <v>2756</v>
      </c>
      <c r="H165" s="63">
        <v>2980</v>
      </c>
      <c r="I165" s="63">
        <v>3048</v>
      </c>
      <c r="J165" s="63">
        <v>3102</v>
      </c>
      <c r="K165" s="63">
        <v>3262</v>
      </c>
      <c r="L165" s="63">
        <v>3530</v>
      </c>
      <c r="M165" s="63">
        <v>3314</v>
      </c>
      <c r="N165" s="63">
        <v>3250</v>
      </c>
      <c r="O165" s="63">
        <v>3333</v>
      </c>
      <c r="P165" s="63">
        <v>3559</v>
      </c>
      <c r="Q165" s="63">
        <v>3692</v>
      </c>
      <c r="R165" s="63">
        <v>4079</v>
      </c>
      <c r="S165" s="63">
        <v>4278</v>
      </c>
      <c r="T165" s="63">
        <v>4380</v>
      </c>
      <c r="U165" s="63">
        <v>4540</v>
      </c>
      <c r="V165" s="63">
        <v>4817</v>
      </c>
      <c r="W165" s="63">
        <v>5386</v>
      </c>
      <c r="X165" s="63">
        <v>4837</v>
      </c>
      <c r="Y165" s="63">
        <v>5140</v>
      </c>
      <c r="Z165" s="63">
        <v>5415</v>
      </c>
      <c r="AA165" s="63">
        <v>5696</v>
      </c>
      <c r="AB165" s="63">
        <v>5749</v>
      </c>
    </row>
    <row r="166" spans="1:28" x14ac:dyDescent="0.2">
      <c r="A166" s="62">
        <v>13</v>
      </c>
      <c r="B166" s="62" t="s">
        <v>349</v>
      </c>
      <c r="C166" s="62">
        <v>62</v>
      </c>
      <c r="D166" s="62" t="s">
        <v>338</v>
      </c>
      <c r="E166" s="63">
        <v>15968</v>
      </c>
      <c r="F166" s="63">
        <v>16025</v>
      </c>
      <c r="G166" s="63">
        <v>16420</v>
      </c>
      <c r="H166" s="63">
        <v>17209</v>
      </c>
      <c r="I166" s="63">
        <v>18431</v>
      </c>
      <c r="J166" s="63">
        <v>18754</v>
      </c>
      <c r="K166" s="63">
        <v>19419</v>
      </c>
      <c r="L166" s="63">
        <v>19977</v>
      </c>
      <c r="M166" s="63">
        <v>20427</v>
      </c>
      <c r="N166" s="63">
        <v>20544</v>
      </c>
      <c r="O166" s="63">
        <v>21251</v>
      </c>
      <c r="P166" s="63">
        <v>21872</v>
      </c>
      <c r="Q166" s="63">
        <v>22569</v>
      </c>
      <c r="R166" s="63">
        <v>23148</v>
      </c>
      <c r="S166" s="63">
        <v>24069</v>
      </c>
      <c r="T166" s="63">
        <v>24565</v>
      </c>
      <c r="U166" s="63">
        <v>25445</v>
      </c>
      <c r="V166" s="63">
        <v>26153</v>
      </c>
      <c r="W166" s="63">
        <v>26614</v>
      </c>
      <c r="X166" s="63">
        <v>25200</v>
      </c>
      <c r="Y166" s="63">
        <v>25764</v>
      </c>
      <c r="Z166" s="63">
        <v>25558</v>
      </c>
      <c r="AA166" s="63">
        <v>26689</v>
      </c>
      <c r="AB166" s="63">
        <v>27109</v>
      </c>
    </row>
    <row r="167" spans="1:28" x14ac:dyDescent="0.2">
      <c r="A167" s="62">
        <v>13</v>
      </c>
      <c r="B167" s="62" t="s">
        <v>349</v>
      </c>
      <c r="C167" s="62">
        <v>71</v>
      </c>
      <c r="D167" s="62" t="s">
        <v>339</v>
      </c>
      <c r="E167" s="63">
        <v>4269</v>
      </c>
      <c r="F167" s="63">
        <v>4241</v>
      </c>
      <c r="G167" s="63">
        <v>4225</v>
      </c>
      <c r="H167" s="63">
        <v>4628</v>
      </c>
      <c r="I167" s="63">
        <v>4727</v>
      </c>
      <c r="J167" s="63">
        <v>4825</v>
      </c>
      <c r="K167" s="63">
        <v>5065</v>
      </c>
      <c r="L167" s="63">
        <v>5278</v>
      </c>
      <c r="M167" s="63">
        <v>5217</v>
      </c>
      <c r="N167" s="63">
        <v>5385</v>
      </c>
      <c r="O167" s="63">
        <v>5474</v>
      </c>
      <c r="P167" s="63">
        <v>5536</v>
      </c>
      <c r="Q167" s="63">
        <v>5621</v>
      </c>
      <c r="R167" s="63">
        <v>5917</v>
      </c>
      <c r="S167" s="63">
        <v>6103</v>
      </c>
      <c r="T167" s="63">
        <v>6309</v>
      </c>
      <c r="U167" s="63">
        <v>6509</v>
      </c>
      <c r="V167" s="63">
        <v>6726</v>
      </c>
      <c r="W167" s="63">
        <v>7015</v>
      </c>
      <c r="X167" s="63">
        <v>5552</v>
      </c>
      <c r="Y167" s="63">
        <v>6090</v>
      </c>
      <c r="Z167" s="63">
        <v>6755</v>
      </c>
      <c r="AA167" s="63">
        <v>7598</v>
      </c>
      <c r="AB167" s="63">
        <v>7265</v>
      </c>
    </row>
    <row r="168" spans="1:28" x14ac:dyDescent="0.2">
      <c r="A168" s="62">
        <v>13</v>
      </c>
      <c r="B168" s="62" t="s">
        <v>349</v>
      </c>
      <c r="C168" s="62">
        <v>72</v>
      </c>
      <c r="D168" s="62" t="s">
        <v>340</v>
      </c>
      <c r="E168" s="63">
        <v>16561</v>
      </c>
      <c r="F168" s="63">
        <v>13713</v>
      </c>
      <c r="G168" s="63">
        <v>13207</v>
      </c>
      <c r="H168" s="63">
        <v>13464</v>
      </c>
      <c r="I168" s="63">
        <v>14181</v>
      </c>
      <c r="J168" s="63">
        <v>14388</v>
      </c>
      <c r="K168" s="63">
        <v>14884</v>
      </c>
      <c r="L168" s="63">
        <v>14955</v>
      </c>
      <c r="M168" s="63">
        <v>14328</v>
      </c>
      <c r="N168" s="63">
        <v>14558</v>
      </c>
      <c r="O168" s="63">
        <v>15267</v>
      </c>
      <c r="P168" s="63">
        <v>15808</v>
      </c>
      <c r="Q168" s="63">
        <v>16172</v>
      </c>
      <c r="R168" s="63">
        <v>16690</v>
      </c>
      <c r="S168" s="63">
        <v>17342</v>
      </c>
      <c r="T168" s="63">
        <v>18143</v>
      </c>
      <c r="U168" s="63">
        <v>18412</v>
      </c>
      <c r="V168" s="63">
        <v>18770</v>
      </c>
      <c r="W168" s="63">
        <v>18591</v>
      </c>
      <c r="X168" s="63">
        <v>13984</v>
      </c>
      <c r="Y168" s="63">
        <v>16007</v>
      </c>
      <c r="Z168" s="63">
        <v>17796</v>
      </c>
      <c r="AA168" s="63">
        <v>17920</v>
      </c>
      <c r="AB168" s="63">
        <v>17321</v>
      </c>
    </row>
    <row r="169" spans="1:28" x14ac:dyDescent="0.2">
      <c r="A169" s="62">
        <v>13</v>
      </c>
      <c r="B169" s="62" t="s">
        <v>349</v>
      </c>
      <c r="C169" s="62">
        <v>81</v>
      </c>
      <c r="D169" s="62" t="s">
        <v>341</v>
      </c>
      <c r="E169" s="63">
        <v>7638</v>
      </c>
      <c r="F169" s="63">
        <v>7145</v>
      </c>
      <c r="G169" s="63">
        <v>7184</v>
      </c>
      <c r="H169" s="63">
        <v>7136</v>
      </c>
      <c r="I169" s="63">
        <v>7046</v>
      </c>
      <c r="J169" s="63">
        <v>6855</v>
      </c>
      <c r="K169" s="63">
        <v>7004</v>
      </c>
      <c r="L169" s="63">
        <v>7183</v>
      </c>
      <c r="M169" s="63">
        <v>7223</v>
      </c>
      <c r="N169" s="63">
        <v>7469</v>
      </c>
      <c r="O169" s="63">
        <v>7636</v>
      </c>
      <c r="P169" s="63">
        <v>7604</v>
      </c>
      <c r="Q169" s="63">
        <v>8009</v>
      </c>
      <c r="R169" s="63">
        <v>8307</v>
      </c>
      <c r="S169" s="63">
        <v>8379</v>
      </c>
      <c r="T169" s="63">
        <v>8793</v>
      </c>
      <c r="U169" s="63">
        <v>8977</v>
      </c>
      <c r="V169" s="63">
        <v>8186</v>
      </c>
      <c r="W169" s="63">
        <v>7895</v>
      </c>
      <c r="X169" s="63">
        <v>7275</v>
      </c>
      <c r="Y169" s="63">
        <v>7687</v>
      </c>
      <c r="Z169" s="63">
        <v>7987</v>
      </c>
      <c r="AA169" s="63">
        <v>8236</v>
      </c>
      <c r="AB169" s="63">
        <v>8483</v>
      </c>
    </row>
    <row r="170" spans="1:28" x14ac:dyDescent="0.2">
      <c r="A170" s="62">
        <v>13</v>
      </c>
      <c r="B170" s="62" t="s">
        <v>349</v>
      </c>
      <c r="C170" s="62">
        <v>99</v>
      </c>
      <c r="D170" s="62" t="s">
        <v>342</v>
      </c>
      <c r="E170" s="62"/>
      <c r="F170" s="62"/>
      <c r="G170" s="62"/>
      <c r="H170" s="62"/>
      <c r="I170" s="62"/>
      <c r="J170" s="62"/>
      <c r="K170" s="63">
        <v>3</v>
      </c>
      <c r="L170" s="62"/>
      <c r="M170" s="62"/>
      <c r="N170" s="62"/>
      <c r="O170" s="62"/>
      <c r="P170" s="62"/>
      <c r="Q170" s="62"/>
      <c r="R170" s="62"/>
      <c r="S170" s="62"/>
      <c r="T170" s="62"/>
      <c r="U170" s="63">
        <v>13</v>
      </c>
      <c r="V170" s="62"/>
      <c r="W170" s="63">
        <v>17</v>
      </c>
      <c r="X170" s="62"/>
      <c r="Y170" s="63">
        <v>39</v>
      </c>
      <c r="Z170" s="63">
        <v>40</v>
      </c>
      <c r="AA170" s="62"/>
      <c r="AB170" s="63">
        <v>46</v>
      </c>
    </row>
    <row r="171" spans="1:28" x14ac:dyDescent="0.2">
      <c r="A171" s="62">
        <v>14</v>
      </c>
      <c r="B171" s="62" t="s">
        <v>350</v>
      </c>
      <c r="C171" s="62">
        <v>1</v>
      </c>
      <c r="D171" s="64" t="s">
        <v>316</v>
      </c>
      <c r="E171" s="65"/>
      <c r="F171" s="62"/>
      <c r="G171" s="63">
        <v>0</v>
      </c>
      <c r="H171" s="63">
        <v>9</v>
      </c>
      <c r="I171" s="63">
        <v>113</v>
      </c>
      <c r="J171" s="63">
        <v>109</v>
      </c>
      <c r="K171" s="62"/>
      <c r="L171" s="63">
        <v>154</v>
      </c>
      <c r="M171" s="63">
        <v>151</v>
      </c>
      <c r="N171" s="63">
        <v>164</v>
      </c>
      <c r="O171" s="63">
        <v>139</v>
      </c>
      <c r="P171" s="63">
        <v>139</v>
      </c>
      <c r="Q171" s="63">
        <v>136</v>
      </c>
      <c r="R171" s="63">
        <v>137</v>
      </c>
      <c r="S171" s="63">
        <v>164</v>
      </c>
      <c r="T171" s="63">
        <v>161</v>
      </c>
      <c r="U171" s="63">
        <v>169</v>
      </c>
      <c r="V171" s="63">
        <v>170</v>
      </c>
      <c r="W171" s="63">
        <v>169</v>
      </c>
      <c r="X171" s="63">
        <v>177</v>
      </c>
      <c r="Y171" s="63">
        <v>166</v>
      </c>
      <c r="Z171" s="63">
        <v>153</v>
      </c>
      <c r="AA171" s="63">
        <v>170</v>
      </c>
      <c r="AB171" s="63">
        <v>188</v>
      </c>
    </row>
    <row r="172" spans="1:28" x14ac:dyDescent="0.2">
      <c r="A172" s="62">
        <v>14</v>
      </c>
      <c r="B172" s="62" t="s">
        <v>350</v>
      </c>
      <c r="C172" s="62">
        <v>10</v>
      </c>
      <c r="D172" s="64" t="s">
        <v>317</v>
      </c>
      <c r="E172" s="65"/>
      <c r="F172" s="63">
        <v>28722</v>
      </c>
      <c r="G172" s="63">
        <v>29411</v>
      </c>
      <c r="H172" s="63">
        <v>31532</v>
      </c>
      <c r="I172" s="63">
        <v>32615</v>
      </c>
      <c r="J172" s="63">
        <v>33871</v>
      </c>
      <c r="K172" s="63">
        <v>34639</v>
      </c>
      <c r="L172" s="63">
        <v>34627</v>
      </c>
      <c r="M172" s="63">
        <v>34165</v>
      </c>
      <c r="N172" s="63">
        <v>34305</v>
      </c>
      <c r="O172" s="63">
        <v>35216</v>
      </c>
      <c r="P172" s="63">
        <v>36677</v>
      </c>
      <c r="Q172" s="63">
        <v>38936</v>
      </c>
      <c r="R172" s="63">
        <v>39850</v>
      </c>
      <c r="S172" s="63">
        <v>41382</v>
      </c>
      <c r="T172" s="63">
        <v>42900</v>
      </c>
      <c r="U172" s="63">
        <v>43993</v>
      </c>
      <c r="V172" s="63">
        <v>46063</v>
      </c>
      <c r="W172" s="63">
        <v>47263</v>
      </c>
      <c r="X172" s="63">
        <v>45367</v>
      </c>
      <c r="Y172" s="63">
        <v>46675</v>
      </c>
      <c r="Z172" s="63">
        <v>49525</v>
      </c>
      <c r="AA172" s="63">
        <v>51712</v>
      </c>
      <c r="AB172" s="63">
        <v>51184</v>
      </c>
    </row>
    <row r="173" spans="1:28" x14ac:dyDescent="0.2">
      <c r="A173" s="62">
        <v>14</v>
      </c>
      <c r="B173" s="62" t="s">
        <v>350</v>
      </c>
      <c r="C173" s="62">
        <v>11</v>
      </c>
      <c r="D173" s="64" t="s">
        <v>318</v>
      </c>
      <c r="E173" s="65"/>
      <c r="F173" s="65"/>
      <c r="G173" s="63">
        <v>1</v>
      </c>
      <c r="H173" s="63">
        <v>0</v>
      </c>
      <c r="I173" s="63">
        <v>9</v>
      </c>
      <c r="J173" s="63">
        <v>12</v>
      </c>
      <c r="K173" s="63">
        <v>9</v>
      </c>
      <c r="L173" s="63">
        <v>10</v>
      </c>
      <c r="M173" s="63">
        <v>11</v>
      </c>
      <c r="N173" s="63">
        <v>13</v>
      </c>
      <c r="O173" s="63">
        <v>13</v>
      </c>
      <c r="P173" s="63">
        <v>7</v>
      </c>
      <c r="Q173" s="63">
        <v>14</v>
      </c>
      <c r="R173" s="63">
        <v>18</v>
      </c>
      <c r="S173" s="63">
        <v>19</v>
      </c>
      <c r="T173" s="63">
        <v>20</v>
      </c>
      <c r="U173" s="63">
        <v>20</v>
      </c>
      <c r="V173" s="63">
        <v>20</v>
      </c>
      <c r="W173" s="63">
        <v>18</v>
      </c>
      <c r="X173" s="63">
        <v>17</v>
      </c>
      <c r="Y173" s="63">
        <v>21</v>
      </c>
      <c r="Z173" s="63">
        <v>14</v>
      </c>
      <c r="AA173" s="63">
        <v>10</v>
      </c>
      <c r="AB173" s="63">
        <v>6</v>
      </c>
    </row>
    <row r="174" spans="1:28" x14ac:dyDescent="0.2">
      <c r="A174" s="62">
        <v>14</v>
      </c>
      <c r="B174" s="62" t="s">
        <v>350</v>
      </c>
      <c r="C174" s="62">
        <v>2</v>
      </c>
      <c r="D174" s="64" t="s">
        <v>319</v>
      </c>
      <c r="E174" s="65"/>
      <c r="F174" s="63">
        <v>47</v>
      </c>
      <c r="G174" s="63">
        <v>50</v>
      </c>
      <c r="H174" s="63">
        <v>46</v>
      </c>
      <c r="I174" s="63">
        <v>46</v>
      </c>
      <c r="J174" s="63">
        <v>43</v>
      </c>
      <c r="K174" s="63">
        <v>43</v>
      </c>
      <c r="L174" s="63">
        <v>44</v>
      </c>
      <c r="M174" s="63">
        <v>38</v>
      </c>
      <c r="N174" s="63">
        <v>40</v>
      </c>
      <c r="O174" s="63">
        <v>35</v>
      </c>
      <c r="P174" s="63">
        <v>34</v>
      </c>
      <c r="Q174" s="63">
        <v>33</v>
      </c>
      <c r="R174" s="63">
        <v>43</v>
      </c>
      <c r="S174" s="63">
        <v>65</v>
      </c>
      <c r="T174" s="63">
        <v>76</v>
      </c>
      <c r="U174" s="63">
        <v>91</v>
      </c>
      <c r="V174" s="63">
        <v>115</v>
      </c>
      <c r="W174" s="63">
        <v>148</v>
      </c>
      <c r="X174" s="63">
        <v>169</v>
      </c>
      <c r="Y174" s="63">
        <v>184</v>
      </c>
      <c r="Z174" s="63">
        <v>185</v>
      </c>
      <c r="AA174" s="63">
        <v>191</v>
      </c>
      <c r="AB174" s="63">
        <v>190</v>
      </c>
    </row>
    <row r="175" spans="1:28" x14ac:dyDescent="0.2">
      <c r="A175" s="62">
        <v>14</v>
      </c>
      <c r="B175" s="62" t="s">
        <v>350</v>
      </c>
      <c r="C175" s="62">
        <v>21</v>
      </c>
      <c r="D175" s="64" t="s">
        <v>320</v>
      </c>
      <c r="E175" s="65"/>
      <c r="F175" s="63">
        <v>7</v>
      </c>
      <c r="G175" s="62"/>
      <c r="H175" s="63">
        <v>6</v>
      </c>
      <c r="I175" s="63">
        <v>41</v>
      </c>
      <c r="J175" s="63">
        <v>52</v>
      </c>
      <c r="K175" s="63">
        <v>37</v>
      </c>
      <c r="L175" s="63">
        <v>8</v>
      </c>
      <c r="M175" s="63">
        <v>54</v>
      </c>
      <c r="N175" s="63">
        <v>54</v>
      </c>
      <c r="O175" s="63">
        <v>54</v>
      </c>
      <c r="P175" s="63">
        <v>71</v>
      </c>
      <c r="Q175" s="63">
        <v>85</v>
      </c>
      <c r="R175" s="63">
        <v>97</v>
      </c>
      <c r="S175" s="63">
        <v>95</v>
      </c>
      <c r="T175" s="63">
        <v>86</v>
      </c>
      <c r="U175" s="63">
        <v>86</v>
      </c>
      <c r="V175" s="63">
        <v>106</v>
      </c>
      <c r="W175" s="63">
        <v>119</v>
      </c>
      <c r="X175" s="63">
        <v>101</v>
      </c>
      <c r="Y175" s="63">
        <v>107</v>
      </c>
      <c r="Z175" s="63">
        <v>74</v>
      </c>
      <c r="AA175" s="63">
        <v>38</v>
      </c>
      <c r="AB175" s="63">
        <v>36</v>
      </c>
    </row>
    <row r="176" spans="1:28" x14ac:dyDescent="0.2">
      <c r="A176" s="62">
        <v>14</v>
      </c>
      <c r="B176" s="62" t="s">
        <v>350</v>
      </c>
      <c r="C176" s="62">
        <v>22</v>
      </c>
      <c r="D176" s="62" t="s">
        <v>321</v>
      </c>
      <c r="E176" s="62"/>
      <c r="F176" s="62"/>
      <c r="G176" s="63">
        <v>1</v>
      </c>
      <c r="H176" s="62"/>
      <c r="I176" s="63">
        <v>3</v>
      </c>
      <c r="J176" s="63">
        <v>0</v>
      </c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3">
        <v>4</v>
      </c>
      <c r="AA176" s="63">
        <v>4</v>
      </c>
      <c r="AB176" s="63">
        <v>4</v>
      </c>
    </row>
    <row r="177" spans="1:28" x14ac:dyDescent="0.2">
      <c r="A177" s="62">
        <v>14</v>
      </c>
      <c r="B177" s="62" t="s">
        <v>350</v>
      </c>
      <c r="C177" s="62">
        <v>23</v>
      </c>
      <c r="D177" s="62" t="s">
        <v>322</v>
      </c>
      <c r="E177" s="62"/>
      <c r="F177" s="63">
        <v>1628</v>
      </c>
      <c r="G177" s="63">
        <v>1422</v>
      </c>
      <c r="H177" s="63">
        <v>1399</v>
      </c>
      <c r="I177" s="63">
        <v>1591</v>
      </c>
      <c r="J177" s="63">
        <v>1683</v>
      </c>
      <c r="K177" s="63">
        <v>1604</v>
      </c>
      <c r="L177" s="63">
        <v>1784</v>
      </c>
      <c r="M177" s="63">
        <v>1665</v>
      </c>
      <c r="N177" s="63">
        <v>1753</v>
      </c>
      <c r="O177" s="63">
        <v>1535</v>
      </c>
      <c r="P177" s="63">
        <v>1604</v>
      </c>
      <c r="Q177" s="63">
        <v>1698</v>
      </c>
      <c r="R177" s="63">
        <v>1786</v>
      </c>
      <c r="S177" s="63">
        <v>1784</v>
      </c>
      <c r="T177" s="63">
        <v>1919</v>
      </c>
      <c r="U177" s="63">
        <v>2030</v>
      </c>
      <c r="V177" s="63">
        <v>2560</v>
      </c>
      <c r="W177" s="63">
        <v>2824</v>
      </c>
      <c r="X177" s="63">
        <v>2671</v>
      </c>
      <c r="Y177" s="63">
        <v>2419</v>
      </c>
      <c r="Z177" s="63">
        <v>2378</v>
      </c>
      <c r="AA177" s="63">
        <v>2479</v>
      </c>
      <c r="AB177" s="63">
        <v>2106</v>
      </c>
    </row>
    <row r="178" spans="1:28" x14ac:dyDescent="0.2">
      <c r="A178" s="62">
        <v>14</v>
      </c>
      <c r="B178" s="62" t="s">
        <v>350</v>
      </c>
      <c r="C178" s="62">
        <v>3</v>
      </c>
      <c r="D178" s="64" t="s">
        <v>323</v>
      </c>
      <c r="E178" s="65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3">
        <v>1337</v>
      </c>
      <c r="AA178" s="63">
        <v>1441</v>
      </c>
      <c r="AB178" s="63">
        <v>1521</v>
      </c>
    </row>
    <row r="179" spans="1:28" x14ac:dyDescent="0.2">
      <c r="A179" s="62">
        <v>14</v>
      </c>
      <c r="B179" s="62" t="s">
        <v>350</v>
      </c>
      <c r="C179" s="62" t="s">
        <v>324</v>
      </c>
      <c r="D179" s="64" t="s">
        <v>325</v>
      </c>
      <c r="E179" s="65"/>
      <c r="F179" s="63">
        <v>3926</v>
      </c>
      <c r="G179" s="63">
        <v>4028</v>
      </c>
      <c r="H179" s="63">
        <v>4423</v>
      </c>
      <c r="I179" s="63">
        <v>4477</v>
      </c>
      <c r="J179" s="63">
        <v>4783</v>
      </c>
      <c r="K179" s="63">
        <v>4688</v>
      </c>
      <c r="L179" s="63">
        <v>4627</v>
      </c>
      <c r="M179" s="63">
        <v>5181</v>
      </c>
      <c r="N179" s="63">
        <v>4765</v>
      </c>
      <c r="O179" s="63">
        <v>4859</v>
      </c>
      <c r="P179" s="63">
        <v>4949</v>
      </c>
      <c r="Q179" s="63">
        <v>4969</v>
      </c>
      <c r="R179" s="63">
        <v>4912</v>
      </c>
      <c r="S179" s="63">
        <v>5024</v>
      </c>
      <c r="T179" s="63">
        <v>5158</v>
      </c>
      <c r="U179" s="63">
        <v>5057</v>
      </c>
      <c r="V179" s="63">
        <v>4783</v>
      </c>
      <c r="W179" s="63">
        <v>4519</v>
      </c>
      <c r="X179" s="63">
        <v>4249</v>
      </c>
      <c r="Y179" s="63">
        <v>4274</v>
      </c>
      <c r="Z179" s="63">
        <v>4648</v>
      </c>
      <c r="AA179" s="63">
        <v>4389</v>
      </c>
      <c r="AB179" s="63">
        <v>3940</v>
      </c>
    </row>
    <row r="180" spans="1:28" x14ac:dyDescent="0.2">
      <c r="A180" s="62">
        <v>14</v>
      </c>
      <c r="B180" s="62" t="s">
        <v>350</v>
      </c>
      <c r="C180" s="62">
        <v>42</v>
      </c>
      <c r="D180" s="64" t="s">
        <v>326</v>
      </c>
      <c r="E180" s="65"/>
      <c r="F180" s="63">
        <v>685</v>
      </c>
      <c r="G180" s="63">
        <v>672</v>
      </c>
      <c r="H180" s="63">
        <v>659</v>
      </c>
      <c r="I180" s="63">
        <v>776</v>
      </c>
      <c r="J180" s="63">
        <v>868</v>
      </c>
      <c r="K180" s="63">
        <v>1036</v>
      </c>
      <c r="L180" s="63">
        <v>951</v>
      </c>
      <c r="M180" s="63">
        <v>1035</v>
      </c>
      <c r="N180" s="63">
        <v>1157</v>
      </c>
      <c r="O180" s="63">
        <v>1427</v>
      </c>
      <c r="P180" s="63">
        <v>1339</v>
      </c>
      <c r="Q180" s="63">
        <v>1289</v>
      </c>
      <c r="R180" s="63">
        <v>1312</v>
      </c>
      <c r="S180" s="63">
        <v>1408</v>
      </c>
      <c r="T180" s="63">
        <v>1552</v>
      </c>
      <c r="U180" s="63">
        <v>1643</v>
      </c>
      <c r="V180" s="63">
        <v>1495</v>
      </c>
      <c r="W180" s="63">
        <v>1430</v>
      </c>
      <c r="X180" s="63">
        <v>1525</v>
      </c>
      <c r="Y180" s="63">
        <v>1560</v>
      </c>
      <c r="Z180" s="63">
        <v>1883</v>
      </c>
      <c r="AA180" s="63">
        <v>2010</v>
      </c>
      <c r="AB180" s="63">
        <v>1915</v>
      </c>
    </row>
    <row r="181" spans="1:28" x14ac:dyDescent="0.2">
      <c r="A181" s="62">
        <v>14</v>
      </c>
      <c r="B181" s="62" t="s">
        <v>350</v>
      </c>
      <c r="C181" s="62" t="s">
        <v>327</v>
      </c>
      <c r="D181" s="62" t="s">
        <v>328</v>
      </c>
      <c r="E181" s="62"/>
      <c r="F181" s="63">
        <v>4988</v>
      </c>
      <c r="G181" s="63">
        <v>5076</v>
      </c>
      <c r="H181" s="63">
        <v>5530</v>
      </c>
      <c r="I181" s="63">
        <v>5605</v>
      </c>
      <c r="J181" s="63">
        <v>5738</v>
      </c>
      <c r="K181" s="63">
        <v>5676</v>
      </c>
      <c r="L181" s="63">
        <v>5393</v>
      </c>
      <c r="M181" s="63">
        <v>5130</v>
      </c>
      <c r="N181" s="63">
        <v>5392</v>
      </c>
      <c r="O181" s="63">
        <v>5501</v>
      </c>
      <c r="P181" s="63">
        <v>5217</v>
      </c>
      <c r="Q181" s="63">
        <v>5134</v>
      </c>
      <c r="R181" s="63">
        <v>5085</v>
      </c>
      <c r="S181" s="63">
        <v>5091</v>
      </c>
      <c r="T181" s="63">
        <v>5107</v>
      </c>
      <c r="U181" s="63">
        <v>5239</v>
      </c>
      <c r="V181" s="63">
        <v>5215</v>
      </c>
      <c r="W181" s="63">
        <v>5078</v>
      </c>
      <c r="X181" s="63">
        <v>4495</v>
      </c>
      <c r="Y181" s="63">
        <v>4555</v>
      </c>
      <c r="Z181" s="63">
        <v>4491</v>
      </c>
      <c r="AA181" s="63">
        <v>4758</v>
      </c>
      <c r="AB181" s="63">
        <v>4538</v>
      </c>
    </row>
    <row r="182" spans="1:28" x14ac:dyDescent="0.2">
      <c r="A182" s="62">
        <v>14</v>
      </c>
      <c r="B182" s="62" t="s">
        <v>350</v>
      </c>
      <c r="C182" s="62" t="s">
        <v>329</v>
      </c>
      <c r="D182" s="64" t="s">
        <v>330</v>
      </c>
      <c r="E182" s="65"/>
      <c r="F182" s="63">
        <v>299</v>
      </c>
      <c r="G182" s="63">
        <v>262</v>
      </c>
      <c r="H182" s="63">
        <v>223</v>
      </c>
      <c r="I182" s="63">
        <v>269</v>
      </c>
      <c r="J182" s="63">
        <v>262</v>
      </c>
      <c r="K182" s="63">
        <v>277</v>
      </c>
      <c r="L182" s="63">
        <v>260</v>
      </c>
      <c r="M182" s="63">
        <v>202</v>
      </c>
      <c r="N182" s="63">
        <v>155</v>
      </c>
      <c r="O182" s="63">
        <v>174</v>
      </c>
      <c r="P182" s="63">
        <v>170</v>
      </c>
      <c r="Q182" s="63">
        <v>190</v>
      </c>
      <c r="R182" s="63">
        <v>296</v>
      </c>
      <c r="S182" s="63">
        <v>442</v>
      </c>
      <c r="T182" s="63">
        <v>557</v>
      </c>
      <c r="U182" s="63">
        <v>657</v>
      </c>
      <c r="V182" s="63">
        <v>700</v>
      </c>
      <c r="W182" s="63">
        <v>849</v>
      </c>
      <c r="X182" s="63">
        <v>967</v>
      </c>
      <c r="Y182" s="63">
        <v>1034</v>
      </c>
      <c r="Z182" s="63">
        <v>1150</v>
      </c>
      <c r="AA182" s="63">
        <v>2418</v>
      </c>
      <c r="AB182" s="63">
        <v>3723</v>
      </c>
    </row>
    <row r="183" spans="1:28" x14ac:dyDescent="0.2">
      <c r="A183" s="62">
        <v>14</v>
      </c>
      <c r="B183" s="62" t="s">
        <v>350</v>
      </c>
      <c r="C183" s="62">
        <v>51</v>
      </c>
      <c r="D183" s="62" t="s">
        <v>331</v>
      </c>
      <c r="E183" s="62"/>
      <c r="F183" s="63">
        <v>2986</v>
      </c>
      <c r="G183" s="63">
        <v>2869</v>
      </c>
      <c r="H183" s="63">
        <v>3307</v>
      </c>
      <c r="I183" s="63">
        <v>2989</v>
      </c>
      <c r="J183" s="63">
        <v>2889</v>
      </c>
      <c r="K183" s="63">
        <v>2937</v>
      </c>
      <c r="L183" s="63">
        <v>3017</v>
      </c>
      <c r="M183" s="63">
        <v>2729</v>
      </c>
      <c r="N183" s="63">
        <v>2752</v>
      </c>
      <c r="O183" s="63">
        <v>2957</v>
      </c>
      <c r="P183" s="63">
        <v>3085</v>
      </c>
      <c r="Q183" s="63">
        <v>3650</v>
      </c>
      <c r="R183" s="63">
        <v>3699</v>
      </c>
      <c r="S183" s="63">
        <v>3952</v>
      </c>
      <c r="T183" s="63">
        <v>4153</v>
      </c>
      <c r="U183" s="63">
        <v>4231</v>
      </c>
      <c r="V183" s="63">
        <v>4754</v>
      </c>
      <c r="W183" s="63">
        <v>4998</v>
      </c>
      <c r="X183" s="63">
        <v>5109</v>
      </c>
      <c r="Y183" s="63">
        <v>4991</v>
      </c>
      <c r="Z183" s="63">
        <v>5333</v>
      </c>
      <c r="AA183" s="63">
        <v>5329</v>
      </c>
      <c r="AB183" s="63">
        <v>3938</v>
      </c>
    </row>
    <row r="184" spans="1:28" x14ac:dyDescent="0.2">
      <c r="A184" s="62">
        <v>14</v>
      </c>
      <c r="B184" s="62" t="s">
        <v>350</v>
      </c>
      <c r="C184" s="62">
        <v>52</v>
      </c>
      <c r="D184" s="64" t="s">
        <v>332</v>
      </c>
      <c r="E184" s="65"/>
      <c r="F184" s="63">
        <v>959</v>
      </c>
      <c r="G184" s="63">
        <v>983</v>
      </c>
      <c r="H184" s="63">
        <v>1004</v>
      </c>
      <c r="I184" s="63">
        <v>1104</v>
      </c>
      <c r="J184" s="63">
        <v>1175</v>
      </c>
      <c r="K184" s="63">
        <v>1246</v>
      </c>
      <c r="L184" s="63">
        <v>1144</v>
      </c>
      <c r="M184" s="63">
        <v>1065</v>
      </c>
      <c r="N184" s="63">
        <v>1045</v>
      </c>
      <c r="O184" s="63">
        <v>1039</v>
      </c>
      <c r="P184" s="63">
        <v>1079</v>
      </c>
      <c r="Q184" s="63">
        <v>1148</v>
      </c>
      <c r="R184" s="63">
        <v>1155</v>
      </c>
      <c r="S184" s="63">
        <v>1656</v>
      </c>
      <c r="T184" s="63">
        <v>1915</v>
      </c>
      <c r="U184" s="63">
        <v>1830</v>
      </c>
      <c r="V184" s="63">
        <v>1844</v>
      </c>
      <c r="W184" s="63">
        <v>1866</v>
      </c>
      <c r="X184" s="63">
        <v>1801</v>
      </c>
      <c r="Y184" s="63">
        <v>1711</v>
      </c>
      <c r="Z184" s="63">
        <v>2027</v>
      </c>
      <c r="AA184" s="63">
        <v>1981</v>
      </c>
      <c r="AB184" s="63">
        <v>1898</v>
      </c>
    </row>
    <row r="185" spans="1:28" x14ac:dyDescent="0.2">
      <c r="A185" s="62">
        <v>14</v>
      </c>
      <c r="B185" s="62" t="s">
        <v>350</v>
      </c>
      <c r="C185" s="62">
        <v>53</v>
      </c>
      <c r="D185" s="64" t="s">
        <v>333</v>
      </c>
      <c r="E185" s="65"/>
      <c r="F185" s="63">
        <v>704</v>
      </c>
      <c r="G185" s="63">
        <v>799</v>
      </c>
      <c r="H185" s="63">
        <v>926</v>
      </c>
      <c r="I185" s="63">
        <v>1029</v>
      </c>
      <c r="J185" s="63">
        <v>1116</v>
      </c>
      <c r="K185" s="63">
        <v>1162</v>
      </c>
      <c r="L185" s="63">
        <v>1156</v>
      </c>
      <c r="M185" s="63">
        <v>1098</v>
      </c>
      <c r="N185" s="63">
        <v>1036</v>
      </c>
      <c r="O185" s="63">
        <v>1050</v>
      </c>
      <c r="P185" s="63">
        <v>1016</v>
      </c>
      <c r="Q185" s="63">
        <v>1067</v>
      </c>
      <c r="R185" s="63">
        <v>1119</v>
      </c>
      <c r="S185" s="63">
        <v>1211</v>
      </c>
      <c r="T185" s="63">
        <v>1026</v>
      </c>
      <c r="U185" s="63">
        <v>1101</v>
      </c>
      <c r="V185" s="63">
        <v>1115</v>
      </c>
      <c r="W185" s="63">
        <v>1154</v>
      </c>
      <c r="X185" s="63">
        <v>1142</v>
      </c>
      <c r="Y185" s="63">
        <v>1216</v>
      </c>
      <c r="Z185" s="63">
        <v>1274</v>
      </c>
      <c r="AA185" s="63">
        <v>1244</v>
      </c>
      <c r="AB185" s="63">
        <v>1297</v>
      </c>
    </row>
    <row r="186" spans="1:28" x14ac:dyDescent="0.2">
      <c r="A186" s="62">
        <v>14</v>
      </c>
      <c r="B186" s="62" t="s">
        <v>350</v>
      </c>
      <c r="C186" s="62">
        <v>54</v>
      </c>
      <c r="D186" s="64" t="s">
        <v>334</v>
      </c>
      <c r="E186" s="65"/>
      <c r="F186" s="63">
        <v>4591</v>
      </c>
      <c r="G186" s="63">
        <v>4372</v>
      </c>
      <c r="H186" s="63">
        <v>4493</v>
      </c>
      <c r="I186" s="63">
        <v>4619</v>
      </c>
      <c r="J186" s="63">
        <v>4793</v>
      </c>
      <c r="K186" s="63">
        <v>5098</v>
      </c>
      <c r="L186" s="63">
        <v>5511</v>
      </c>
      <c r="M186" s="63">
        <v>5236</v>
      </c>
      <c r="N186" s="63">
        <v>5057</v>
      </c>
      <c r="O186" s="63">
        <v>5446</v>
      </c>
      <c r="P186" s="63">
        <v>6125</v>
      </c>
      <c r="Q186" s="63">
        <v>7238</v>
      </c>
      <c r="R186" s="63">
        <v>7242</v>
      </c>
      <c r="S186" s="63">
        <v>6744</v>
      </c>
      <c r="T186" s="63">
        <v>6658</v>
      </c>
      <c r="U186" s="63">
        <v>6674</v>
      </c>
      <c r="V186" s="63">
        <v>6887</v>
      </c>
      <c r="W186" s="63">
        <v>6948</v>
      </c>
      <c r="X186" s="63">
        <v>6783</v>
      </c>
      <c r="Y186" s="63">
        <v>7214</v>
      </c>
      <c r="Z186" s="63">
        <v>7872</v>
      </c>
      <c r="AA186" s="63">
        <v>8125</v>
      </c>
      <c r="AB186" s="63">
        <v>8039</v>
      </c>
    </row>
    <row r="187" spans="1:28" x14ac:dyDescent="0.2">
      <c r="A187" s="62">
        <v>14</v>
      </c>
      <c r="B187" s="62" t="s">
        <v>350</v>
      </c>
      <c r="C187" s="62">
        <v>55</v>
      </c>
      <c r="D187" s="64" t="s">
        <v>335</v>
      </c>
      <c r="E187" s="65"/>
      <c r="F187" s="63">
        <v>1018</v>
      </c>
      <c r="G187" s="63">
        <v>1250</v>
      </c>
      <c r="H187" s="63">
        <v>1346</v>
      </c>
      <c r="I187" s="63">
        <v>1495</v>
      </c>
      <c r="J187" s="63">
        <v>1846</v>
      </c>
      <c r="K187" s="63">
        <v>2048</v>
      </c>
      <c r="L187" s="63">
        <v>1894</v>
      </c>
      <c r="M187" s="63">
        <v>1582</v>
      </c>
      <c r="N187" s="63">
        <v>1641</v>
      </c>
      <c r="O187" s="63">
        <v>1939</v>
      </c>
      <c r="P187" s="63">
        <v>2231</v>
      </c>
      <c r="Q187" s="63">
        <v>2256</v>
      </c>
      <c r="R187" s="63">
        <v>2342</v>
      </c>
      <c r="S187" s="63">
        <v>2382</v>
      </c>
      <c r="T187" s="63">
        <v>2587</v>
      </c>
      <c r="U187" s="63">
        <v>2535</v>
      </c>
      <c r="V187" s="63">
        <v>3339</v>
      </c>
      <c r="W187" s="63">
        <v>3730</v>
      </c>
      <c r="X187" s="63">
        <v>3771</v>
      </c>
      <c r="Y187" s="63">
        <v>3924</v>
      </c>
      <c r="Z187" s="63">
        <v>3891</v>
      </c>
      <c r="AA187" s="63">
        <v>3671</v>
      </c>
      <c r="AB187" s="63">
        <v>3717</v>
      </c>
    </row>
    <row r="188" spans="1:28" x14ac:dyDescent="0.2">
      <c r="A188" s="62">
        <v>14</v>
      </c>
      <c r="B188" s="62" t="s">
        <v>350</v>
      </c>
      <c r="C188" s="62">
        <v>56</v>
      </c>
      <c r="D188" s="64" t="s">
        <v>336</v>
      </c>
      <c r="E188" s="65"/>
      <c r="F188" s="63">
        <v>842</v>
      </c>
      <c r="G188" s="63">
        <v>922</v>
      </c>
      <c r="H188" s="63">
        <v>1102</v>
      </c>
      <c r="I188" s="63">
        <v>1207</v>
      </c>
      <c r="J188" s="63">
        <v>1187</v>
      </c>
      <c r="K188" s="63">
        <v>1180</v>
      </c>
      <c r="L188" s="63">
        <v>1183</v>
      </c>
      <c r="M188" s="63">
        <v>1361</v>
      </c>
      <c r="N188" s="63">
        <v>1535</v>
      </c>
      <c r="O188" s="63">
        <v>1122</v>
      </c>
      <c r="P188" s="63">
        <v>1328</v>
      </c>
      <c r="Q188" s="63">
        <v>1469</v>
      </c>
      <c r="R188" s="63">
        <v>1667</v>
      </c>
      <c r="S188" s="63">
        <v>1760</v>
      </c>
      <c r="T188" s="63">
        <v>1948</v>
      </c>
      <c r="U188" s="63">
        <v>2003</v>
      </c>
      <c r="V188" s="63">
        <v>2047</v>
      </c>
      <c r="W188" s="63">
        <v>2051</v>
      </c>
      <c r="X188" s="63">
        <v>2066</v>
      </c>
      <c r="Y188" s="63">
        <v>2185</v>
      </c>
      <c r="Z188" s="63">
        <v>2076</v>
      </c>
      <c r="AA188" s="63">
        <v>2085</v>
      </c>
      <c r="AB188" s="63">
        <v>2200</v>
      </c>
    </row>
    <row r="189" spans="1:28" x14ac:dyDescent="0.2">
      <c r="A189" s="62">
        <v>14</v>
      </c>
      <c r="B189" s="62" t="s">
        <v>350</v>
      </c>
      <c r="C189" s="62">
        <v>61</v>
      </c>
      <c r="D189" s="64" t="s">
        <v>337</v>
      </c>
      <c r="E189" s="65"/>
      <c r="F189" s="63">
        <v>211</v>
      </c>
      <c r="G189" s="63">
        <v>263</v>
      </c>
      <c r="H189" s="63">
        <v>267</v>
      </c>
      <c r="I189" s="63">
        <v>297</v>
      </c>
      <c r="J189" s="63">
        <v>307</v>
      </c>
      <c r="K189" s="63">
        <v>406</v>
      </c>
      <c r="L189" s="63">
        <v>380</v>
      </c>
      <c r="M189" s="63">
        <v>396</v>
      </c>
      <c r="N189" s="63">
        <v>458</v>
      </c>
      <c r="O189" s="63">
        <v>527</v>
      </c>
      <c r="P189" s="63">
        <v>562</v>
      </c>
      <c r="Q189" s="63">
        <v>606</v>
      </c>
      <c r="R189" s="63">
        <v>681</v>
      </c>
      <c r="S189" s="63">
        <v>622</v>
      </c>
      <c r="T189" s="63">
        <v>681</v>
      </c>
      <c r="U189" s="63">
        <v>713</v>
      </c>
      <c r="V189" s="63">
        <v>708</v>
      </c>
      <c r="W189" s="63">
        <v>731</v>
      </c>
      <c r="X189" s="63">
        <v>597</v>
      </c>
      <c r="Y189" s="63">
        <v>702</v>
      </c>
      <c r="Z189" s="63">
        <v>746</v>
      </c>
      <c r="AA189" s="63">
        <v>805</v>
      </c>
      <c r="AB189" s="63">
        <v>894</v>
      </c>
    </row>
    <row r="190" spans="1:28" x14ac:dyDescent="0.2">
      <c r="A190" s="62">
        <v>14</v>
      </c>
      <c r="B190" s="62" t="s">
        <v>350</v>
      </c>
      <c r="C190" s="62">
        <v>62</v>
      </c>
      <c r="D190" s="64" t="s">
        <v>338</v>
      </c>
      <c r="E190" s="65"/>
      <c r="F190" s="63">
        <v>880</v>
      </c>
      <c r="G190" s="63">
        <v>983</v>
      </c>
      <c r="H190" s="63">
        <v>1082</v>
      </c>
      <c r="I190" s="63">
        <v>1130</v>
      </c>
      <c r="J190" s="63">
        <v>1177</v>
      </c>
      <c r="K190" s="63">
        <v>1275</v>
      </c>
      <c r="L190" s="63">
        <v>1385</v>
      </c>
      <c r="M190" s="63">
        <v>1620</v>
      </c>
      <c r="N190" s="63">
        <v>1720</v>
      </c>
      <c r="O190" s="63">
        <v>1744</v>
      </c>
      <c r="P190" s="63">
        <v>1850</v>
      </c>
      <c r="Q190" s="63">
        <v>2004</v>
      </c>
      <c r="R190" s="63">
        <v>2128</v>
      </c>
      <c r="S190" s="63">
        <v>2373</v>
      </c>
      <c r="T190" s="63">
        <v>2416</v>
      </c>
      <c r="U190" s="63">
        <v>2860</v>
      </c>
      <c r="V190" s="63">
        <v>3206</v>
      </c>
      <c r="W190" s="63">
        <v>3324</v>
      </c>
      <c r="X190" s="63">
        <v>3612</v>
      </c>
      <c r="Y190" s="63">
        <v>4013</v>
      </c>
      <c r="Z190" s="63">
        <v>4240</v>
      </c>
      <c r="AA190" s="63">
        <v>4431</v>
      </c>
      <c r="AB190" s="63">
        <v>4750</v>
      </c>
    </row>
    <row r="191" spans="1:28" x14ac:dyDescent="0.2">
      <c r="A191" s="62">
        <v>14</v>
      </c>
      <c r="B191" s="62" t="s">
        <v>350</v>
      </c>
      <c r="C191" s="62">
        <v>71</v>
      </c>
      <c r="D191" s="64" t="s">
        <v>339</v>
      </c>
      <c r="E191" s="65"/>
      <c r="F191" s="63">
        <v>267</v>
      </c>
      <c r="G191" s="63">
        <v>315</v>
      </c>
      <c r="H191" s="63">
        <v>521</v>
      </c>
      <c r="I191" s="63">
        <v>540</v>
      </c>
      <c r="J191" s="63">
        <v>551</v>
      </c>
      <c r="K191" s="63">
        <v>618</v>
      </c>
      <c r="L191" s="63">
        <v>681</v>
      </c>
      <c r="M191" s="63">
        <v>653</v>
      </c>
      <c r="N191" s="63">
        <v>591</v>
      </c>
      <c r="O191" s="63">
        <v>550</v>
      </c>
      <c r="P191" s="63">
        <v>628</v>
      </c>
      <c r="Q191" s="63">
        <v>692</v>
      </c>
      <c r="R191" s="63">
        <v>756</v>
      </c>
      <c r="S191" s="63">
        <v>776</v>
      </c>
      <c r="T191" s="63">
        <v>800</v>
      </c>
      <c r="U191" s="63">
        <v>803</v>
      </c>
      <c r="V191" s="63">
        <v>879</v>
      </c>
      <c r="W191" s="63">
        <v>946</v>
      </c>
      <c r="X191" s="63">
        <v>760</v>
      </c>
      <c r="Y191" s="63">
        <v>884</v>
      </c>
      <c r="Z191" s="63">
        <v>1005</v>
      </c>
      <c r="AA191" s="63">
        <v>1083</v>
      </c>
      <c r="AB191" s="63">
        <v>1304</v>
      </c>
    </row>
    <row r="192" spans="1:28" x14ac:dyDescent="0.2">
      <c r="A192" s="62">
        <v>14</v>
      </c>
      <c r="B192" s="62" t="s">
        <v>350</v>
      </c>
      <c r="C192" s="62">
        <v>72</v>
      </c>
      <c r="D192" s="64" t="s">
        <v>340</v>
      </c>
      <c r="E192" s="65"/>
      <c r="F192" s="63">
        <v>3001</v>
      </c>
      <c r="G192" s="63">
        <v>3217</v>
      </c>
      <c r="H192" s="63">
        <v>3123</v>
      </c>
      <c r="I192" s="63">
        <v>3181</v>
      </c>
      <c r="J192" s="63">
        <v>3270</v>
      </c>
      <c r="K192" s="63">
        <v>3205</v>
      </c>
      <c r="L192" s="63">
        <v>2987</v>
      </c>
      <c r="M192" s="63">
        <v>2915</v>
      </c>
      <c r="N192" s="63">
        <v>2940</v>
      </c>
      <c r="O192" s="63">
        <v>2954</v>
      </c>
      <c r="P192" s="63">
        <v>3075</v>
      </c>
      <c r="Q192" s="63">
        <v>3076</v>
      </c>
      <c r="R192" s="63">
        <v>3085</v>
      </c>
      <c r="S192" s="63">
        <v>3346</v>
      </c>
      <c r="T192" s="63">
        <v>3447</v>
      </c>
      <c r="U192" s="63">
        <v>3474</v>
      </c>
      <c r="V192" s="63">
        <v>3441</v>
      </c>
      <c r="W192" s="63">
        <v>3603</v>
      </c>
      <c r="X192" s="63">
        <v>2886</v>
      </c>
      <c r="Y192" s="63">
        <v>3023</v>
      </c>
      <c r="Z192" s="63">
        <v>3391</v>
      </c>
      <c r="AA192" s="63">
        <v>3595</v>
      </c>
      <c r="AB192" s="63">
        <v>3577</v>
      </c>
    </row>
    <row r="193" spans="1:28" x14ac:dyDescent="0.2">
      <c r="A193" s="62">
        <v>14</v>
      </c>
      <c r="B193" s="62" t="s">
        <v>350</v>
      </c>
      <c r="C193" s="62">
        <v>81</v>
      </c>
      <c r="D193" s="64" t="s">
        <v>341</v>
      </c>
      <c r="E193" s="65"/>
      <c r="F193" s="63">
        <v>848</v>
      </c>
      <c r="G193" s="63">
        <v>1049</v>
      </c>
      <c r="H193" s="63">
        <v>1064</v>
      </c>
      <c r="I193" s="63">
        <v>1108</v>
      </c>
      <c r="J193" s="63">
        <v>996</v>
      </c>
      <c r="K193" s="63">
        <v>947</v>
      </c>
      <c r="L193" s="63">
        <v>946</v>
      </c>
      <c r="M193" s="63">
        <v>1003</v>
      </c>
      <c r="N193" s="63">
        <v>1004</v>
      </c>
      <c r="O193" s="63">
        <v>1094</v>
      </c>
      <c r="P193" s="63">
        <v>1074</v>
      </c>
      <c r="Q193" s="63">
        <v>1066</v>
      </c>
      <c r="R193" s="63">
        <v>1163</v>
      </c>
      <c r="S193" s="63">
        <v>1234</v>
      </c>
      <c r="T193" s="63">
        <v>1304</v>
      </c>
      <c r="U193" s="63">
        <v>1373</v>
      </c>
      <c r="V193" s="63">
        <v>1240</v>
      </c>
      <c r="W193" s="63">
        <v>1306</v>
      </c>
      <c r="X193" s="63">
        <v>1213</v>
      </c>
      <c r="Y193" s="63">
        <v>1206</v>
      </c>
      <c r="Z193" s="63">
        <v>1318</v>
      </c>
      <c r="AA193" s="63">
        <v>1423</v>
      </c>
      <c r="AB193" s="63">
        <v>1389</v>
      </c>
    </row>
    <row r="194" spans="1:28" x14ac:dyDescent="0.2">
      <c r="A194" s="62">
        <v>14</v>
      </c>
      <c r="B194" s="62" t="s">
        <v>350</v>
      </c>
      <c r="C194" s="62">
        <v>99</v>
      </c>
      <c r="D194" s="62" t="s">
        <v>342</v>
      </c>
      <c r="E194" s="62"/>
      <c r="F194" s="63">
        <v>1</v>
      </c>
      <c r="G194" s="63">
        <v>1</v>
      </c>
      <c r="H194" s="63">
        <v>0</v>
      </c>
      <c r="I194" s="62"/>
      <c r="J194" s="62"/>
      <c r="K194" s="63">
        <v>1</v>
      </c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3">
        <v>7</v>
      </c>
      <c r="W194" s="62"/>
      <c r="X194" s="62"/>
      <c r="Y194" s="63">
        <v>16</v>
      </c>
      <c r="Z194" s="63">
        <v>25</v>
      </c>
      <c r="AA194" s="63">
        <v>21</v>
      </c>
      <c r="AB194" s="63">
        <v>5</v>
      </c>
    </row>
    <row r="195" spans="1:28" x14ac:dyDescent="0.2">
      <c r="A195" s="62">
        <v>15</v>
      </c>
      <c r="B195" s="62" t="s">
        <v>351</v>
      </c>
      <c r="C195" s="62">
        <v>1</v>
      </c>
      <c r="D195" s="62" t="s">
        <v>316</v>
      </c>
      <c r="E195" s="63">
        <v>102</v>
      </c>
      <c r="F195" s="63">
        <v>108</v>
      </c>
      <c r="G195" s="63">
        <v>104</v>
      </c>
      <c r="H195" s="63">
        <v>98</v>
      </c>
      <c r="I195" s="63">
        <v>106</v>
      </c>
      <c r="J195" s="63">
        <v>101</v>
      </c>
      <c r="K195" s="63">
        <v>96</v>
      </c>
      <c r="L195" s="63">
        <v>97</v>
      </c>
      <c r="M195" s="63">
        <v>96</v>
      </c>
      <c r="N195" s="63">
        <v>106</v>
      </c>
      <c r="O195" s="63">
        <v>87</v>
      </c>
      <c r="P195" s="63">
        <v>81</v>
      </c>
      <c r="Q195" s="63">
        <v>83</v>
      </c>
      <c r="R195" s="63">
        <v>79</v>
      </c>
      <c r="S195" s="63">
        <v>76</v>
      </c>
      <c r="T195" s="63">
        <v>71</v>
      </c>
      <c r="U195" s="63">
        <v>69</v>
      </c>
      <c r="V195" s="63">
        <v>66</v>
      </c>
      <c r="W195" s="63">
        <v>68</v>
      </c>
      <c r="X195" s="63">
        <v>76</v>
      </c>
      <c r="Y195" s="63">
        <v>66</v>
      </c>
      <c r="Z195" s="63">
        <v>70</v>
      </c>
      <c r="AA195" s="63">
        <v>82</v>
      </c>
      <c r="AB195" s="63">
        <v>81</v>
      </c>
    </row>
    <row r="196" spans="1:28" x14ac:dyDescent="0.2">
      <c r="A196" s="62">
        <v>15</v>
      </c>
      <c r="B196" s="62" t="s">
        <v>351</v>
      </c>
      <c r="C196" s="62">
        <v>10</v>
      </c>
      <c r="D196" s="62" t="s">
        <v>317</v>
      </c>
      <c r="E196" s="63">
        <v>8136</v>
      </c>
      <c r="F196" s="63">
        <v>8180</v>
      </c>
      <c r="G196" s="63">
        <v>8206</v>
      </c>
      <c r="H196" s="63">
        <v>8392</v>
      </c>
      <c r="I196" s="63">
        <v>8491</v>
      </c>
      <c r="J196" s="63">
        <v>8554</v>
      </c>
      <c r="K196" s="63">
        <v>8832</v>
      </c>
      <c r="L196" s="63">
        <v>8826</v>
      </c>
      <c r="M196" s="63">
        <v>8678</v>
      </c>
      <c r="N196" s="63">
        <v>8487</v>
      </c>
      <c r="O196" s="63">
        <v>8639</v>
      </c>
      <c r="P196" s="63">
        <v>8789</v>
      </c>
      <c r="Q196" s="63">
        <v>8912</v>
      </c>
      <c r="R196" s="63">
        <v>9251</v>
      </c>
      <c r="S196" s="63">
        <v>9628</v>
      </c>
      <c r="T196" s="63">
        <v>9965</v>
      </c>
      <c r="U196" s="63">
        <v>10333</v>
      </c>
      <c r="V196" s="63">
        <v>10707</v>
      </c>
      <c r="W196" s="63">
        <v>11003</v>
      </c>
      <c r="X196" s="63">
        <v>10632</v>
      </c>
      <c r="Y196" s="63">
        <v>11315</v>
      </c>
      <c r="Z196" s="63">
        <v>11788</v>
      </c>
      <c r="AA196" s="63">
        <v>12729</v>
      </c>
      <c r="AB196" s="63">
        <v>12776</v>
      </c>
    </row>
    <row r="197" spans="1:28" x14ac:dyDescent="0.2">
      <c r="A197" s="62">
        <v>15</v>
      </c>
      <c r="B197" s="62" t="s">
        <v>351</v>
      </c>
      <c r="C197" s="62">
        <v>11</v>
      </c>
      <c r="D197" s="62" t="s">
        <v>318</v>
      </c>
      <c r="E197" s="63">
        <v>101</v>
      </c>
      <c r="F197" s="63">
        <v>89</v>
      </c>
      <c r="G197" s="63">
        <v>93</v>
      </c>
      <c r="H197" s="63">
        <v>87</v>
      </c>
      <c r="I197" s="63">
        <v>95</v>
      </c>
      <c r="J197" s="63">
        <v>101</v>
      </c>
      <c r="K197" s="63">
        <v>104</v>
      </c>
      <c r="L197" s="63">
        <v>94</v>
      </c>
      <c r="M197" s="63">
        <v>94</v>
      </c>
      <c r="N197" s="63">
        <v>94</v>
      </c>
      <c r="O197" s="63">
        <v>86</v>
      </c>
      <c r="P197" s="63">
        <v>96</v>
      </c>
      <c r="Q197" s="63">
        <v>97</v>
      </c>
      <c r="R197" s="63">
        <v>91</v>
      </c>
      <c r="S197" s="63">
        <v>81</v>
      </c>
      <c r="T197" s="63">
        <v>97</v>
      </c>
      <c r="U197" s="63">
        <v>104</v>
      </c>
      <c r="V197" s="63">
        <v>93</v>
      </c>
      <c r="W197" s="63">
        <v>100</v>
      </c>
      <c r="X197" s="63">
        <v>98</v>
      </c>
      <c r="Y197" s="63">
        <v>100</v>
      </c>
      <c r="Z197" s="63">
        <v>97</v>
      </c>
      <c r="AA197" s="63">
        <v>105</v>
      </c>
      <c r="AB197" s="63">
        <v>113</v>
      </c>
    </row>
    <row r="198" spans="1:28" x14ac:dyDescent="0.2">
      <c r="A198" s="62">
        <v>15</v>
      </c>
      <c r="B198" s="62" t="s">
        <v>351</v>
      </c>
      <c r="C198" s="62">
        <v>2</v>
      </c>
      <c r="D198" s="62" t="s">
        <v>319</v>
      </c>
      <c r="E198" s="63">
        <v>469</v>
      </c>
      <c r="F198" s="63">
        <v>464</v>
      </c>
      <c r="G198" s="63">
        <v>437</v>
      </c>
      <c r="H198" s="63">
        <v>424</v>
      </c>
      <c r="I198" s="63">
        <v>440</v>
      </c>
      <c r="J198" s="63">
        <v>437</v>
      </c>
      <c r="K198" s="63">
        <v>467</v>
      </c>
      <c r="L198" s="63">
        <v>486</v>
      </c>
      <c r="M198" s="63">
        <v>500</v>
      </c>
      <c r="N198" s="63">
        <v>487</v>
      </c>
      <c r="O198" s="63">
        <v>489</v>
      </c>
      <c r="P198" s="63">
        <v>466</v>
      </c>
      <c r="Q198" s="63">
        <v>453</v>
      </c>
      <c r="R198" s="63">
        <v>474</v>
      </c>
      <c r="S198" s="63">
        <v>483</v>
      </c>
      <c r="T198" s="63">
        <v>478</v>
      </c>
      <c r="U198" s="63">
        <v>463</v>
      </c>
      <c r="V198" s="63">
        <v>450</v>
      </c>
      <c r="W198" s="63">
        <v>436</v>
      </c>
      <c r="X198" s="63">
        <v>439</v>
      </c>
      <c r="Y198" s="63">
        <v>417</v>
      </c>
      <c r="Z198" s="63">
        <v>379</v>
      </c>
      <c r="AA198" s="63">
        <v>412</v>
      </c>
      <c r="AB198" s="63">
        <v>436</v>
      </c>
    </row>
    <row r="199" spans="1:28" x14ac:dyDescent="0.2">
      <c r="A199" s="62">
        <v>15</v>
      </c>
      <c r="B199" s="62" t="s">
        <v>351</v>
      </c>
      <c r="C199" s="62">
        <v>21</v>
      </c>
      <c r="D199" s="64" t="s">
        <v>320</v>
      </c>
      <c r="E199" s="65"/>
      <c r="F199" s="65"/>
      <c r="G199" s="65"/>
      <c r="H199" s="62"/>
      <c r="I199" s="63">
        <v>24</v>
      </c>
      <c r="J199" s="62"/>
      <c r="K199" s="62"/>
      <c r="L199" s="63">
        <v>13</v>
      </c>
      <c r="M199" s="63">
        <v>16</v>
      </c>
      <c r="N199" s="63">
        <v>13</v>
      </c>
      <c r="O199" s="63">
        <v>16</v>
      </c>
      <c r="P199" s="63">
        <v>19</v>
      </c>
      <c r="Q199" s="63">
        <v>25</v>
      </c>
      <c r="R199" s="63">
        <v>17</v>
      </c>
      <c r="S199" s="62"/>
      <c r="T199" s="63">
        <v>19</v>
      </c>
      <c r="U199" s="63">
        <v>33</v>
      </c>
      <c r="V199" s="63">
        <v>36</v>
      </c>
      <c r="W199" s="63">
        <v>36</v>
      </c>
      <c r="X199" s="63">
        <v>26</v>
      </c>
      <c r="Y199" s="63">
        <v>20</v>
      </c>
      <c r="Z199" s="63">
        <v>21</v>
      </c>
      <c r="AA199" s="63">
        <v>23</v>
      </c>
      <c r="AB199" s="63">
        <v>22</v>
      </c>
    </row>
    <row r="200" spans="1:28" x14ac:dyDescent="0.2">
      <c r="A200" s="62">
        <v>15</v>
      </c>
      <c r="B200" s="62" t="s">
        <v>351</v>
      </c>
      <c r="C200" s="62">
        <v>22</v>
      </c>
      <c r="D200" s="62" t="s">
        <v>321</v>
      </c>
      <c r="E200" s="63">
        <v>41</v>
      </c>
      <c r="F200" s="63">
        <v>39</v>
      </c>
      <c r="G200" s="63">
        <v>38</v>
      </c>
      <c r="H200" s="63">
        <v>38</v>
      </c>
      <c r="I200" s="63">
        <v>41</v>
      </c>
      <c r="J200" s="63">
        <v>42</v>
      </c>
      <c r="K200" s="63">
        <v>43</v>
      </c>
      <c r="L200" s="63">
        <v>46</v>
      </c>
      <c r="M200" s="63">
        <v>47</v>
      </c>
      <c r="N200" s="63">
        <v>49</v>
      </c>
      <c r="O200" s="63">
        <v>50</v>
      </c>
      <c r="P200" s="63">
        <v>47</v>
      </c>
      <c r="Q200" s="63">
        <v>48</v>
      </c>
      <c r="R200" s="63">
        <v>50</v>
      </c>
      <c r="S200" s="63">
        <v>53</v>
      </c>
      <c r="T200" s="63">
        <v>52</v>
      </c>
      <c r="U200" s="63">
        <v>52</v>
      </c>
      <c r="V200" s="63">
        <v>53</v>
      </c>
      <c r="W200" s="63">
        <v>54</v>
      </c>
      <c r="X200" s="63">
        <v>55</v>
      </c>
      <c r="Y200" s="63">
        <v>57</v>
      </c>
      <c r="Z200" s="63">
        <v>64</v>
      </c>
      <c r="AA200" s="63">
        <v>64</v>
      </c>
      <c r="AB200" s="63">
        <v>61</v>
      </c>
    </row>
    <row r="201" spans="1:28" x14ac:dyDescent="0.2">
      <c r="A201" s="62">
        <v>15</v>
      </c>
      <c r="B201" s="62" t="s">
        <v>351</v>
      </c>
      <c r="C201" s="62">
        <v>23</v>
      </c>
      <c r="D201" s="62" t="s">
        <v>322</v>
      </c>
      <c r="E201" s="63">
        <v>969</v>
      </c>
      <c r="F201" s="63">
        <v>968</v>
      </c>
      <c r="G201" s="63">
        <v>978</v>
      </c>
      <c r="H201" s="63">
        <v>966</v>
      </c>
      <c r="I201" s="63">
        <v>946</v>
      </c>
      <c r="J201" s="63">
        <v>971</v>
      </c>
      <c r="K201" s="63">
        <v>1051</v>
      </c>
      <c r="L201" s="63">
        <v>1035</v>
      </c>
      <c r="M201" s="63">
        <v>893</v>
      </c>
      <c r="N201" s="63">
        <v>805</v>
      </c>
      <c r="O201" s="63">
        <v>825</v>
      </c>
      <c r="P201" s="63">
        <v>834</v>
      </c>
      <c r="Q201" s="63">
        <v>840</v>
      </c>
      <c r="R201" s="63">
        <v>854</v>
      </c>
      <c r="S201" s="63">
        <v>903</v>
      </c>
      <c r="T201" s="63">
        <v>952</v>
      </c>
      <c r="U201" s="63">
        <v>1016</v>
      </c>
      <c r="V201" s="63">
        <v>1053</v>
      </c>
      <c r="W201" s="63">
        <v>1071</v>
      </c>
      <c r="X201" s="63">
        <v>1152</v>
      </c>
      <c r="Y201" s="63">
        <v>1147</v>
      </c>
      <c r="Z201" s="63">
        <v>1130</v>
      </c>
      <c r="AA201" s="63">
        <v>1140</v>
      </c>
      <c r="AB201" s="63">
        <v>1175</v>
      </c>
    </row>
    <row r="202" spans="1:28" x14ac:dyDescent="0.2">
      <c r="A202" s="62">
        <v>15</v>
      </c>
      <c r="B202" s="62" t="s">
        <v>351</v>
      </c>
      <c r="C202" s="62">
        <v>3</v>
      </c>
      <c r="D202" s="62" t="s">
        <v>323</v>
      </c>
      <c r="E202" s="63">
        <v>1022</v>
      </c>
      <c r="F202" s="63">
        <v>1014</v>
      </c>
      <c r="G202" s="63">
        <v>1008</v>
      </c>
      <c r="H202" s="63">
        <v>1034</v>
      </c>
      <c r="I202" s="63">
        <v>1056</v>
      </c>
      <c r="J202" s="63">
        <v>1046</v>
      </c>
      <c r="K202" s="63">
        <v>1078</v>
      </c>
      <c r="L202" s="63">
        <v>1078</v>
      </c>
      <c r="M202" s="63">
        <v>1092</v>
      </c>
      <c r="N202" s="63">
        <v>1110</v>
      </c>
      <c r="O202" s="63">
        <v>1120</v>
      </c>
      <c r="P202" s="63">
        <v>1161</v>
      </c>
      <c r="Q202" s="63">
        <v>1207</v>
      </c>
      <c r="R202" s="63">
        <v>1257</v>
      </c>
      <c r="S202" s="63">
        <v>1317</v>
      </c>
      <c r="T202" s="63">
        <v>1381</v>
      </c>
      <c r="U202" s="63">
        <v>1442</v>
      </c>
      <c r="V202" s="63">
        <v>1512</v>
      </c>
      <c r="W202" s="63">
        <v>1555</v>
      </c>
      <c r="X202" s="63">
        <v>1605</v>
      </c>
      <c r="Y202" s="63">
        <v>1668</v>
      </c>
      <c r="Z202" s="63">
        <v>1726</v>
      </c>
      <c r="AA202" s="63">
        <v>1852</v>
      </c>
      <c r="AB202" s="63">
        <v>1949</v>
      </c>
    </row>
    <row r="203" spans="1:28" x14ac:dyDescent="0.2">
      <c r="A203" s="62">
        <v>15</v>
      </c>
      <c r="B203" s="62" t="s">
        <v>351</v>
      </c>
      <c r="C203" s="62" t="s">
        <v>324</v>
      </c>
      <c r="D203" s="62" t="s">
        <v>325</v>
      </c>
      <c r="E203" s="63">
        <v>277</v>
      </c>
      <c r="F203" s="63">
        <v>257</v>
      </c>
      <c r="G203" s="63">
        <v>229</v>
      </c>
      <c r="H203" s="63">
        <v>213</v>
      </c>
      <c r="I203" s="63">
        <v>163</v>
      </c>
      <c r="J203" s="63">
        <v>161</v>
      </c>
      <c r="K203" s="63">
        <v>172</v>
      </c>
      <c r="L203" s="63">
        <v>184</v>
      </c>
      <c r="M203" s="63">
        <v>205</v>
      </c>
      <c r="N203" s="63">
        <v>194</v>
      </c>
      <c r="O203" s="63">
        <v>194</v>
      </c>
      <c r="P203" s="63">
        <v>241</v>
      </c>
      <c r="Q203" s="63">
        <v>274</v>
      </c>
      <c r="R203" s="63">
        <v>278</v>
      </c>
      <c r="S203" s="63">
        <v>284</v>
      </c>
      <c r="T203" s="63">
        <v>282</v>
      </c>
      <c r="U203" s="63">
        <v>277</v>
      </c>
      <c r="V203" s="63">
        <v>283</v>
      </c>
      <c r="W203" s="63">
        <v>252</v>
      </c>
      <c r="X203" s="63">
        <v>244</v>
      </c>
      <c r="Y203" s="63">
        <v>259</v>
      </c>
      <c r="Z203" s="63">
        <v>408</v>
      </c>
      <c r="AA203" s="63">
        <v>381</v>
      </c>
      <c r="AB203" s="63">
        <v>348</v>
      </c>
    </row>
    <row r="204" spans="1:28" x14ac:dyDescent="0.2">
      <c r="A204" s="62">
        <v>15</v>
      </c>
      <c r="B204" s="62" t="s">
        <v>351</v>
      </c>
      <c r="C204" s="62">
        <v>42</v>
      </c>
      <c r="D204" s="62" t="s">
        <v>326</v>
      </c>
      <c r="E204" s="63">
        <v>178</v>
      </c>
      <c r="F204" s="63">
        <v>186</v>
      </c>
      <c r="G204" s="63">
        <v>190</v>
      </c>
      <c r="H204" s="63">
        <v>198</v>
      </c>
      <c r="I204" s="63">
        <v>192</v>
      </c>
      <c r="J204" s="63">
        <v>187</v>
      </c>
      <c r="K204" s="63">
        <v>209</v>
      </c>
      <c r="L204" s="63">
        <v>209</v>
      </c>
      <c r="M204" s="63">
        <v>184</v>
      </c>
      <c r="N204" s="63">
        <v>179</v>
      </c>
      <c r="O204" s="63">
        <v>220</v>
      </c>
      <c r="P204" s="63">
        <v>238</v>
      </c>
      <c r="Q204" s="63">
        <v>257</v>
      </c>
      <c r="R204" s="63">
        <v>254</v>
      </c>
      <c r="S204" s="63">
        <v>269</v>
      </c>
      <c r="T204" s="63">
        <v>293</v>
      </c>
      <c r="U204" s="63">
        <v>278</v>
      </c>
      <c r="V204" s="63">
        <v>301</v>
      </c>
      <c r="W204" s="63">
        <v>294</v>
      </c>
      <c r="X204" s="63">
        <v>274</v>
      </c>
      <c r="Y204" s="63">
        <v>295</v>
      </c>
      <c r="Z204" s="63">
        <v>283</v>
      </c>
      <c r="AA204" s="63">
        <v>282</v>
      </c>
      <c r="AB204" s="63">
        <v>284</v>
      </c>
    </row>
    <row r="205" spans="1:28" x14ac:dyDescent="0.2">
      <c r="A205" s="62">
        <v>15</v>
      </c>
      <c r="B205" s="62" t="s">
        <v>351</v>
      </c>
      <c r="C205" s="62" t="s">
        <v>327</v>
      </c>
      <c r="D205" s="62" t="s">
        <v>328</v>
      </c>
      <c r="E205" s="63">
        <v>1112</v>
      </c>
      <c r="F205" s="63">
        <v>1173</v>
      </c>
      <c r="G205" s="63">
        <v>1175</v>
      </c>
      <c r="H205" s="63">
        <v>1198</v>
      </c>
      <c r="I205" s="63">
        <v>1241</v>
      </c>
      <c r="J205" s="63">
        <v>1219</v>
      </c>
      <c r="K205" s="63">
        <v>1225</v>
      </c>
      <c r="L205" s="63">
        <v>1233</v>
      </c>
      <c r="M205" s="63">
        <v>1218</v>
      </c>
      <c r="N205" s="63">
        <v>1197</v>
      </c>
      <c r="O205" s="63">
        <v>1190</v>
      </c>
      <c r="P205" s="63">
        <v>1151</v>
      </c>
      <c r="Q205" s="63">
        <v>1145</v>
      </c>
      <c r="R205" s="63">
        <v>1171</v>
      </c>
      <c r="S205" s="63">
        <v>1217</v>
      </c>
      <c r="T205" s="63">
        <v>1280</v>
      </c>
      <c r="U205" s="63">
        <v>1333</v>
      </c>
      <c r="V205" s="63">
        <v>1357</v>
      </c>
      <c r="W205" s="63">
        <v>1391</v>
      </c>
      <c r="X205" s="63">
        <v>1389</v>
      </c>
      <c r="Y205" s="63">
        <v>1474</v>
      </c>
      <c r="Z205" s="63">
        <v>1556</v>
      </c>
      <c r="AA205" s="63">
        <v>1580</v>
      </c>
      <c r="AB205" s="63">
        <v>1585</v>
      </c>
    </row>
    <row r="206" spans="1:28" x14ac:dyDescent="0.2">
      <c r="A206" s="62">
        <v>15</v>
      </c>
      <c r="B206" s="62" t="s">
        <v>351</v>
      </c>
      <c r="C206" s="62" t="s">
        <v>329</v>
      </c>
      <c r="D206" s="62" t="s">
        <v>330</v>
      </c>
      <c r="E206" s="63">
        <v>77</v>
      </c>
      <c r="F206" s="63">
        <v>79</v>
      </c>
      <c r="G206" s="63">
        <v>90</v>
      </c>
      <c r="H206" s="63">
        <v>90</v>
      </c>
      <c r="I206" s="63">
        <v>97</v>
      </c>
      <c r="J206" s="63">
        <v>106</v>
      </c>
      <c r="K206" s="63">
        <v>111</v>
      </c>
      <c r="L206" s="63">
        <v>105</v>
      </c>
      <c r="M206" s="63">
        <v>99</v>
      </c>
      <c r="N206" s="63">
        <v>99</v>
      </c>
      <c r="O206" s="63">
        <v>92</v>
      </c>
      <c r="P206" s="63">
        <v>88</v>
      </c>
      <c r="Q206" s="63">
        <v>91</v>
      </c>
      <c r="R206" s="63">
        <v>118</v>
      </c>
      <c r="S206" s="63">
        <v>118</v>
      </c>
      <c r="T206" s="63">
        <v>126</v>
      </c>
      <c r="U206" s="63">
        <v>124</v>
      </c>
      <c r="V206" s="63">
        <v>136</v>
      </c>
      <c r="W206" s="63">
        <v>147</v>
      </c>
      <c r="X206" s="63">
        <v>122</v>
      </c>
      <c r="Y206" s="63">
        <v>138</v>
      </c>
      <c r="Z206" s="63">
        <v>135</v>
      </c>
      <c r="AA206" s="63">
        <v>127</v>
      </c>
      <c r="AB206" s="63">
        <v>124</v>
      </c>
    </row>
    <row r="207" spans="1:28" x14ac:dyDescent="0.2">
      <c r="A207" s="62">
        <v>15</v>
      </c>
      <c r="B207" s="62" t="s">
        <v>351</v>
      </c>
      <c r="C207" s="62">
        <v>51</v>
      </c>
      <c r="D207" s="62" t="s">
        <v>331</v>
      </c>
      <c r="E207" s="63">
        <v>102</v>
      </c>
      <c r="F207" s="63">
        <v>100</v>
      </c>
      <c r="G207" s="63">
        <v>101</v>
      </c>
      <c r="H207" s="63">
        <v>99</v>
      </c>
      <c r="I207" s="63">
        <v>126</v>
      </c>
      <c r="J207" s="63">
        <v>115</v>
      </c>
      <c r="K207" s="63">
        <v>112</v>
      </c>
      <c r="L207" s="63">
        <v>110</v>
      </c>
      <c r="M207" s="63">
        <v>118</v>
      </c>
      <c r="N207" s="63">
        <v>84</v>
      </c>
      <c r="O207" s="63">
        <v>107</v>
      </c>
      <c r="P207" s="63">
        <v>110</v>
      </c>
      <c r="Q207" s="63">
        <v>110</v>
      </c>
      <c r="R207" s="63">
        <v>107</v>
      </c>
      <c r="S207" s="63">
        <v>113</v>
      </c>
      <c r="T207" s="63">
        <v>114</v>
      </c>
      <c r="U207" s="63">
        <v>119</v>
      </c>
      <c r="V207" s="63">
        <v>120</v>
      </c>
      <c r="W207" s="63">
        <v>116</v>
      </c>
      <c r="X207" s="63">
        <v>105</v>
      </c>
      <c r="Y207" s="63">
        <v>113</v>
      </c>
      <c r="Z207" s="63">
        <v>116</v>
      </c>
      <c r="AA207" s="63">
        <v>131</v>
      </c>
      <c r="AB207" s="63">
        <v>117</v>
      </c>
    </row>
    <row r="208" spans="1:28" x14ac:dyDescent="0.2">
      <c r="A208" s="62">
        <v>15</v>
      </c>
      <c r="B208" s="62" t="s">
        <v>351</v>
      </c>
      <c r="C208" s="62">
        <v>52</v>
      </c>
      <c r="D208" s="62" t="s">
        <v>332</v>
      </c>
      <c r="E208" s="63">
        <v>265</v>
      </c>
      <c r="F208" s="63">
        <v>282</v>
      </c>
      <c r="G208" s="63">
        <v>308</v>
      </c>
      <c r="H208" s="63">
        <v>308</v>
      </c>
      <c r="I208" s="63">
        <v>320</v>
      </c>
      <c r="J208" s="63">
        <v>324</v>
      </c>
      <c r="K208" s="63">
        <v>293</v>
      </c>
      <c r="L208" s="63">
        <v>277</v>
      </c>
      <c r="M208" s="63">
        <v>282</v>
      </c>
      <c r="N208" s="63">
        <v>276</v>
      </c>
      <c r="O208" s="63">
        <v>288</v>
      </c>
      <c r="P208" s="63">
        <v>283</v>
      </c>
      <c r="Q208" s="63">
        <v>287</v>
      </c>
      <c r="R208" s="63">
        <v>291</v>
      </c>
      <c r="S208" s="63">
        <v>252</v>
      </c>
      <c r="T208" s="63">
        <v>252</v>
      </c>
      <c r="U208" s="63">
        <v>249</v>
      </c>
      <c r="V208" s="63">
        <v>243</v>
      </c>
      <c r="W208" s="63">
        <v>246</v>
      </c>
      <c r="X208" s="63">
        <v>250</v>
      </c>
      <c r="Y208" s="63">
        <v>265</v>
      </c>
      <c r="Z208" s="63">
        <v>261</v>
      </c>
      <c r="AA208" s="63">
        <v>263</v>
      </c>
      <c r="AB208" s="63">
        <v>262</v>
      </c>
    </row>
    <row r="209" spans="1:28" x14ac:dyDescent="0.2">
      <c r="A209" s="62">
        <v>15</v>
      </c>
      <c r="B209" s="62" t="s">
        <v>351</v>
      </c>
      <c r="C209" s="62">
        <v>53</v>
      </c>
      <c r="D209" s="62" t="s">
        <v>333</v>
      </c>
      <c r="E209" s="63">
        <v>336</v>
      </c>
      <c r="F209" s="63">
        <v>358</v>
      </c>
      <c r="G209" s="63">
        <v>363</v>
      </c>
      <c r="H209" s="63">
        <v>379</v>
      </c>
      <c r="I209" s="63">
        <v>419</v>
      </c>
      <c r="J209" s="63">
        <v>375</v>
      </c>
      <c r="K209" s="63">
        <v>379</v>
      </c>
      <c r="L209" s="63">
        <v>356</v>
      </c>
      <c r="M209" s="63">
        <v>418</v>
      </c>
      <c r="N209" s="63">
        <v>397</v>
      </c>
      <c r="O209" s="63">
        <v>408</v>
      </c>
      <c r="P209" s="63">
        <v>404</v>
      </c>
      <c r="Q209" s="63">
        <v>394</v>
      </c>
      <c r="R209" s="63">
        <v>400</v>
      </c>
      <c r="S209" s="63">
        <v>416</v>
      </c>
      <c r="T209" s="63">
        <v>432</v>
      </c>
      <c r="U209" s="63">
        <v>457</v>
      </c>
      <c r="V209" s="63">
        <v>500</v>
      </c>
      <c r="W209" s="63">
        <v>530</v>
      </c>
      <c r="X209" s="63">
        <v>576</v>
      </c>
      <c r="Y209" s="63">
        <v>611</v>
      </c>
      <c r="Z209" s="63">
        <v>667</v>
      </c>
      <c r="AA209" s="63">
        <v>728</v>
      </c>
      <c r="AB209" s="63">
        <v>648</v>
      </c>
    </row>
    <row r="210" spans="1:28" x14ac:dyDescent="0.2">
      <c r="A210" s="62">
        <v>15</v>
      </c>
      <c r="B210" s="62" t="s">
        <v>351</v>
      </c>
      <c r="C210" s="62">
        <v>54</v>
      </c>
      <c r="D210" s="62" t="s">
        <v>334</v>
      </c>
      <c r="E210" s="63">
        <v>426</v>
      </c>
      <c r="F210" s="63">
        <v>421</v>
      </c>
      <c r="G210" s="63">
        <v>408</v>
      </c>
      <c r="H210" s="63">
        <v>450</v>
      </c>
      <c r="I210" s="63">
        <v>468</v>
      </c>
      <c r="J210" s="63">
        <v>499</v>
      </c>
      <c r="K210" s="63">
        <v>535</v>
      </c>
      <c r="L210" s="63">
        <v>544</v>
      </c>
      <c r="M210" s="63">
        <v>515</v>
      </c>
      <c r="N210" s="63">
        <v>493</v>
      </c>
      <c r="O210" s="63">
        <v>508</v>
      </c>
      <c r="P210" s="63">
        <v>531</v>
      </c>
      <c r="Q210" s="63">
        <v>531</v>
      </c>
      <c r="R210" s="63">
        <v>599</v>
      </c>
      <c r="S210" s="63">
        <v>621</v>
      </c>
      <c r="T210" s="63">
        <v>610</v>
      </c>
      <c r="U210" s="63">
        <v>601</v>
      </c>
      <c r="V210" s="63">
        <v>654</v>
      </c>
      <c r="W210" s="63">
        <v>715</v>
      </c>
      <c r="X210" s="63">
        <v>724</v>
      </c>
      <c r="Y210" s="63">
        <v>764</v>
      </c>
      <c r="Z210" s="63">
        <v>887</v>
      </c>
      <c r="AA210" s="63">
        <v>952</v>
      </c>
      <c r="AB210" s="63">
        <v>1052</v>
      </c>
    </row>
    <row r="211" spans="1:28" x14ac:dyDescent="0.2">
      <c r="A211" s="62">
        <v>15</v>
      </c>
      <c r="B211" s="62" t="s">
        <v>351</v>
      </c>
      <c r="C211" s="62">
        <v>55</v>
      </c>
      <c r="D211" s="64" t="s">
        <v>335</v>
      </c>
      <c r="E211" s="65"/>
      <c r="F211" s="65"/>
      <c r="G211" s="65"/>
      <c r="H211" s="62"/>
      <c r="I211" s="63">
        <v>1</v>
      </c>
      <c r="J211" s="62"/>
      <c r="K211" s="62"/>
      <c r="L211" s="63">
        <v>1</v>
      </c>
      <c r="M211" s="63">
        <v>1</v>
      </c>
      <c r="N211" s="63">
        <v>1</v>
      </c>
      <c r="O211" s="62"/>
      <c r="P211" s="62"/>
      <c r="Q211" s="62"/>
      <c r="R211" s="63">
        <v>0</v>
      </c>
      <c r="S211" s="62"/>
      <c r="T211" s="63">
        <v>4</v>
      </c>
      <c r="U211" s="63">
        <v>6</v>
      </c>
      <c r="V211" s="63">
        <v>3</v>
      </c>
      <c r="W211" s="63">
        <v>4</v>
      </c>
      <c r="X211" s="63">
        <v>5</v>
      </c>
      <c r="Y211" s="63">
        <v>6</v>
      </c>
      <c r="Z211" s="63">
        <v>28</v>
      </c>
      <c r="AA211" s="63">
        <v>30</v>
      </c>
      <c r="AB211" s="63">
        <v>31</v>
      </c>
    </row>
    <row r="212" spans="1:28" x14ac:dyDescent="0.2">
      <c r="A212" s="62">
        <v>15</v>
      </c>
      <c r="B212" s="62" t="s">
        <v>351</v>
      </c>
      <c r="C212" s="62">
        <v>56</v>
      </c>
      <c r="D212" s="62" t="s">
        <v>336</v>
      </c>
      <c r="E212" s="63">
        <v>120</v>
      </c>
      <c r="F212" s="63">
        <v>133</v>
      </c>
      <c r="G212" s="63">
        <v>149</v>
      </c>
      <c r="H212" s="63">
        <v>161</v>
      </c>
      <c r="I212" s="63">
        <v>160</v>
      </c>
      <c r="J212" s="63">
        <v>165</v>
      </c>
      <c r="K212" s="63">
        <v>193</v>
      </c>
      <c r="L212" s="63">
        <v>189</v>
      </c>
      <c r="M212" s="63">
        <v>189</v>
      </c>
      <c r="N212" s="63">
        <v>168</v>
      </c>
      <c r="O212" s="63">
        <v>156</v>
      </c>
      <c r="P212" s="63">
        <v>171</v>
      </c>
      <c r="Q212" s="63">
        <v>184</v>
      </c>
      <c r="R212" s="63">
        <v>193</v>
      </c>
      <c r="S212" s="63">
        <v>201</v>
      </c>
      <c r="T212" s="63">
        <v>215</v>
      </c>
      <c r="U212" s="63">
        <v>235</v>
      </c>
      <c r="V212" s="63">
        <v>297</v>
      </c>
      <c r="W212" s="63">
        <v>326</v>
      </c>
      <c r="X212" s="63">
        <v>340</v>
      </c>
      <c r="Y212" s="63">
        <v>354</v>
      </c>
      <c r="Z212" s="63">
        <v>365</v>
      </c>
      <c r="AA212" s="63">
        <v>673</v>
      </c>
      <c r="AB212" s="63">
        <v>745</v>
      </c>
    </row>
    <row r="213" spans="1:28" x14ac:dyDescent="0.2">
      <c r="A213" s="62">
        <v>15</v>
      </c>
      <c r="B213" s="62" t="s">
        <v>351</v>
      </c>
      <c r="C213" s="62">
        <v>61</v>
      </c>
      <c r="D213" s="62" t="s">
        <v>337</v>
      </c>
      <c r="E213" s="63">
        <v>36</v>
      </c>
      <c r="F213" s="63">
        <v>41</v>
      </c>
      <c r="G213" s="63">
        <v>39</v>
      </c>
      <c r="H213" s="63">
        <v>64</v>
      </c>
      <c r="I213" s="63">
        <v>73</v>
      </c>
      <c r="J213" s="63">
        <v>57</v>
      </c>
      <c r="K213" s="63">
        <v>65</v>
      </c>
      <c r="L213" s="63">
        <v>81</v>
      </c>
      <c r="M213" s="63">
        <v>78</v>
      </c>
      <c r="N213" s="63">
        <v>88</v>
      </c>
      <c r="O213" s="63">
        <v>86</v>
      </c>
      <c r="P213" s="63">
        <v>100</v>
      </c>
      <c r="Q213" s="63">
        <v>109</v>
      </c>
      <c r="R213" s="63">
        <v>106</v>
      </c>
      <c r="S213" s="63">
        <v>95</v>
      </c>
      <c r="T213" s="63">
        <v>108</v>
      </c>
      <c r="U213" s="63">
        <v>113</v>
      </c>
      <c r="V213" s="63">
        <v>134</v>
      </c>
      <c r="W213" s="63">
        <v>175</v>
      </c>
      <c r="X213" s="63">
        <v>178</v>
      </c>
      <c r="Y213" s="63">
        <v>213</v>
      </c>
      <c r="Z213" s="63">
        <v>202</v>
      </c>
      <c r="AA213" s="63">
        <v>257</v>
      </c>
      <c r="AB213" s="63">
        <v>244</v>
      </c>
    </row>
    <row r="214" spans="1:28" x14ac:dyDescent="0.2">
      <c r="A214" s="62">
        <v>15</v>
      </c>
      <c r="B214" s="62" t="s">
        <v>351</v>
      </c>
      <c r="C214" s="62">
        <v>62</v>
      </c>
      <c r="D214" s="62" t="s">
        <v>338</v>
      </c>
      <c r="E214" s="63">
        <v>392</v>
      </c>
      <c r="F214" s="63">
        <v>427</v>
      </c>
      <c r="G214" s="63">
        <v>433</v>
      </c>
      <c r="H214" s="63">
        <v>500</v>
      </c>
      <c r="I214" s="63">
        <v>504</v>
      </c>
      <c r="J214" s="63">
        <v>530</v>
      </c>
      <c r="K214" s="63">
        <v>530</v>
      </c>
      <c r="L214" s="63">
        <v>533</v>
      </c>
      <c r="M214" s="63">
        <v>540</v>
      </c>
      <c r="N214" s="63">
        <v>555</v>
      </c>
      <c r="O214" s="63">
        <v>547</v>
      </c>
      <c r="P214" s="63">
        <v>566</v>
      </c>
      <c r="Q214" s="63">
        <v>568</v>
      </c>
      <c r="R214" s="63">
        <v>592</v>
      </c>
      <c r="S214" s="63">
        <v>630</v>
      </c>
      <c r="T214" s="63">
        <v>633</v>
      </c>
      <c r="U214" s="63">
        <v>649</v>
      </c>
      <c r="V214" s="63">
        <v>672</v>
      </c>
      <c r="W214" s="63">
        <v>638</v>
      </c>
      <c r="X214" s="63">
        <v>616</v>
      </c>
      <c r="Y214" s="63">
        <v>611</v>
      </c>
      <c r="Z214" s="63">
        <v>586</v>
      </c>
      <c r="AA214" s="63">
        <v>616</v>
      </c>
      <c r="AB214" s="63">
        <v>526</v>
      </c>
    </row>
    <row r="215" spans="1:28" x14ac:dyDescent="0.2">
      <c r="A215" s="62">
        <v>15</v>
      </c>
      <c r="B215" s="62" t="s">
        <v>351</v>
      </c>
      <c r="C215" s="62">
        <v>71</v>
      </c>
      <c r="D215" s="62" t="s">
        <v>339</v>
      </c>
      <c r="E215" s="63">
        <v>459</v>
      </c>
      <c r="F215" s="63">
        <v>412</v>
      </c>
      <c r="G215" s="63">
        <v>435</v>
      </c>
      <c r="H215" s="63">
        <v>465</v>
      </c>
      <c r="I215" s="63">
        <v>514</v>
      </c>
      <c r="J215" s="63">
        <v>521</v>
      </c>
      <c r="K215" s="63">
        <v>550</v>
      </c>
      <c r="L215" s="63">
        <v>548</v>
      </c>
      <c r="M215" s="63">
        <v>535</v>
      </c>
      <c r="N215" s="63">
        <v>547</v>
      </c>
      <c r="O215" s="63">
        <v>552</v>
      </c>
      <c r="P215" s="63">
        <v>530</v>
      </c>
      <c r="Q215" s="63">
        <v>540</v>
      </c>
      <c r="R215" s="63">
        <v>631</v>
      </c>
      <c r="S215" s="63">
        <v>666</v>
      </c>
      <c r="T215" s="63">
        <v>707</v>
      </c>
      <c r="U215" s="63">
        <v>710</v>
      </c>
      <c r="V215" s="63">
        <v>750</v>
      </c>
      <c r="W215" s="63">
        <v>794</v>
      </c>
      <c r="X215" s="63">
        <v>525</v>
      </c>
      <c r="Y215" s="63">
        <v>659</v>
      </c>
      <c r="Z215" s="63">
        <v>703</v>
      </c>
      <c r="AA215" s="63">
        <v>818</v>
      </c>
      <c r="AB215" s="63">
        <v>813</v>
      </c>
    </row>
    <row r="216" spans="1:28" x14ac:dyDescent="0.2">
      <c r="A216" s="62">
        <v>15</v>
      </c>
      <c r="B216" s="62" t="s">
        <v>351</v>
      </c>
      <c r="C216" s="62">
        <v>72</v>
      </c>
      <c r="D216" s="62" t="s">
        <v>340</v>
      </c>
      <c r="E216" s="63">
        <v>1183</v>
      </c>
      <c r="F216" s="63">
        <v>1136</v>
      </c>
      <c r="G216" s="63">
        <v>1150</v>
      </c>
      <c r="H216" s="63">
        <v>1115</v>
      </c>
      <c r="I216" s="63">
        <v>1132</v>
      </c>
      <c r="J216" s="63">
        <v>1173</v>
      </c>
      <c r="K216" s="63">
        <v>1175</v>
      </c>
      <c r="L216" s="63">
        <v>1183</v>
      </c>
      <c r="M216" s="63">
        <v>1147</v>
      </c>
      <c r="N216" s="63">
        <v>1111</v>
      </c>
      <c r="O216" s="63">
        <v>1187</v>
      </c>
      <c r="P216" s="63">
        <v>1237</v>
      </c>
      <c r="Q216" s="63">
        <v>1234</v>
      </c>
      <c r="R216" s="63">
        <v>1263</v>
      </c>
      <c r="S216" s="63">
        <v>1337</v>
      </c>
      <c r="T216" s="63">
        <v>1388</v>
      </c>
      <c r="U216" s="63">
        <v>1506</v>
      </c>
      <c r="V216" s="63">
        <v>1562</v>
      </c>
      <c r="W216" s="63">
        <v>1605</v>
      </c>
      <c r="X216" s="63">
        <v>1391</v>
      </c>
      <c r="Y216" s="63">
        <v>1620</v>
      </c>
      <c r="Z216" s="63">
        <v>1622</v>
      </c>
      <c r="AA216" s="63">
        <v>1737</v>
      </c>
      <c r="AB216" s="63">
        <v>1665</v>
      </c>
    </row>
    <row r="217" spans="1:28" x14ac:dyDescent="0.2">
      <c r="A217" s="62">
        <v>15</v>
      </c>
      <c r="B217" s="62" t="s">
        <v>351</v>
      </c>
      <c r="C217" s="62">
        <v>81</v>
      </c>
      <c r="D217" s="62" t="s">
        <v>341</v>
      </c>
      <c r="E217" s="63">
        <v>430</v>
      </c>
      <c r="F217" s="63">
        <v>452</v>
      </c>
      <c r="G217" s="63">
        <v>436</v>
      </c>
      <c r="H217" s="63">
        <v>453</v>
      </c>
      <c r="I217" s="63">
        <v>365</v>
      </c>
      <c r="J217" s="63">
        <v>386</v>
      </c>
      <c r="K217" s="63">
        <v>410</v>
      </c>
      <c r="L217" s="63">
        <v>405</v>
      </c>
      <c r="M217" s="63">
        <v>399</v>
      </c>
      <c r="N217" s="63">
        <v>407</v>
      </c>
      <c r="O217" s="63">
        <v>419</v>
      </c>
      <c r="P217" s="63">
        <v>418</v>
      </c>
      <c r="Q217" s="63">
        <v>421</v>
      </c>
      <c r="R217" s="63">
        <v>409</v>
      </c>
      <c r="S217" s="63">
        <v>462</v>
      </c>
      <c r="T217" s="63">
        <v>459</v>
      </c>
      <c r="U217" s="63">
        <v>485</v>
      </c>
      <c r="V217" s="63">
        <v>422</v>
      </c>
      <c r="W217" s="63">
        <v>439</v>
      </c>
      <c r="X217" s="63">
        <v>430</v>
      </c>
      <c r="Y217" s="63">
        <v>444</v>
      </c>
      <c r="Z217" s="63">
        <v>468</v>
      </c>
      <c r="AA217" s="63">
        <v>459</v>
      </c>
      <c r="AB217" s="63">
        <v>481</v>
      </c>
    </row>
    <row r="218" spans="1:28" x14ac:dyDescent="0.2">
      <c r="A218" s="62">
        <v>15</v>
      </c>
      <c r="B218" s="62" t="s">
        <v>351</v>
      </c>
      <c r="C218" s="62">
        <v>99</v>
      </c>
      <c r="D218" s="62" t="s">
        <v>342</v>
      </c>
      <c r="E218" s="62"/>
      <c r="F218" s="62"/>
      <c r="G218" s="63">
        <v>0</v>
      </c>
      <c r="H218" s="62"/>
      <c r="I218" s="62"/>
      <c r="J218" s="62"/>
      <c r="K218" s="62"/>
      <c r="L218" s="63">
        <v>1</v>
      </c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3">
        <v>0</v>
      </c>
      <c r="Z218" s="63">
        <v>4</v>
      </c>
      <c r="AA218" s="63">
        <v>5</v>
      </c>
      <c r="AB218" s="63">
        <v>3</v>
      </c>
    </row>
    <row r="219" spans="1:28" x14ac:dyDescent="0.2">
      <c r="A219" s="62">
        <v>17</v>
      </c>
      <c r="B219" s="62" t="s">
        <v>352</v>
      </c>
      <c r="C219" s="62">
        <v>1</v>
      </c>
      <c r="D219" s="62" t="s">
        <v>316</v>
      </c>
      <c r="E219" s="63">
        <v>20</v>
      </c>
      <c r="F219" s="63">
        <v>20</v>
      </c>
      <c r="G219" s="63">
        <v>20</v>
      </c>
      <c r="H219" s="63">
        <v>19</v>
      </c>
      <c r="I219" s="63">
        <v>18</v>
      </c>
      <c r="J219" s="63">
        <v>18</v>
      </c>
      <c r="K219" s="63">
        <v>17</v>
      </c>
      <c r="L219" s="63">
        <v>17</v>
      </c>
      <c r="M219" s="63">
        <v>16</v>
      </c>
      <c r="N219" s="63">
        <v>16</v>
      </c>
      <c r="O219" s="63">
        <v>12</v>
      </c>
      <c r="P219" s="63">
        <v>12</v>
      </c>
      <c r="Q219" s="63">
        <v>12</v>
      </c>
      <c r="R219" s="63">
        <v>12</v>
      </c>
      <c r="S219" s="63">
        <v>11</v>
      </c>
      <c r="T219" s="63">
        <v>13</v>
      </c>
      <c r="U219" s="63">
        <v>12</v>
      </c>
      <c r="V219" s="63">
        <v>12</v>
      </c>
      <c r="W219" s="63">
        <v>11</v>
      </c>
      <c r="X219" s="63">
        <v>13</v>
      </c>
      <c r="Y219" s="63">
        <v>12</v>
      </c>
      <c r="Z219" s="63">
        <v>14</v>
      </c>
      <c r="AA219" s="63">
        <v>11</v>
      </c>
      <c r="AB219" s="63">
        <v>12</v>
      </c>
    </row>
    <row r="220" spans="1:28" x14ac:dyDescent="0.2">
      <c r="A220" s="62">
        <v>17</v>
      </c>
      <c r="B220" s="62" t="s">
        <v>352</v>
      </c>
      <c r="C220" s="62">
        <v>10</v>
      </c>
      <c r="D220" s="62" t="s">
        <v>317</v>
      </c>
      <c r="E220" s="63">
        <v>961</v>
      </c>
      <c r="F220" s="63">
        <v>949</v>
      </c>
      <c r="G220" s="63">
        <v>942</v>
      </c>
      <c r="H220" s="63">
        <v>945</v>
      </c>
      <c r="I220" s="63">
        <v>978</v>
      </c>
      <c r="J220" s="63">
        <v>943</v>
      </c>
      <c r="K220" s="63">
        <v>967</v>
      </c>
      <c r="L220" s="63">
        <v>935</v>
      </c>
      <c r="M220" s="63">
        <v>919</v>
      </c>
      <c r="N220" s="63">
        <v>959</v>
      </c>
      <c r="O220" s="63">
        <v>953</v>
      </c>
      <c r="P220" s="63">
        <v>912</v>
      </c>
      <c r="Q220" s="63">
        <v>913</v>
      </c>
      <c r="R220" s="63">
        <v>891</v>
      </c>
      <c r="S220" s="63">
        <v>890</v>
      </c>
      <c r="T220" s="63">
        <v>888</v>
      </c>
      <c r="U220" s="63">
        <v>897</v>
      </c>
      <c r="V220" s="63">
        <v>895</v>
      </c>
      <c r="W220" s="63">
        <v>919</v>
      </c>
      <c r="X220" s="63">
        <v>916</v>
      </c>
      <c r="Y220" s="63">
        <v>926</v>
      </c>
      <c r="Z220" s="63">
        <v>924</v>
      </c>
      <c r="AA220" s="63">
        <v>959</v>
      </c>
      <c r="AB220" s="63">
        <v>980</v>
      </c>
    </row>
    <row r="221" spans="1:28" x14ac:dyDescent="0.2">
      <c r="A221" s="62">
        <v>17</v>
      </c>
      <c r="B221" s="62" t="s">
        <v>352</v>
      </c>
      <c r="C221" s="62">
        <v>11</v>
      </c>
      <c r="D221" s="62" t="s">
        <v>318</v>
      </c>
      <c r="E221" s="63">
        <v>25</v>
      </c>
      <c r="F221" s="63">
        <v>28</v>
      </c>
      <c r="G221" s="63">
        <v>15</v>
      </c>
      <c r="H221" s="63">
        <v>20</v>
      </c>
      <c r="I221" s="63">
        <v>21</v>
      </c>
      <c r="J221" s="63">
        <v>22</v>
      </c>
      <c r="K221" s="63">
        <v>13</v>
      </c>
      <c r="L221" s="63">
        <v>28</v>
      </c>
      <c r="M221" s="63">
        <v>24</v>
      </c>
      <c r="N221" s="63">
        <v>40</v>
      </c>
      <c r="O221" s="63">
        <v>43</v>
      </c>
      <c r="P221" s="63">
        <v>44</v>
      </c>
      <c r="Q221" s="63">
        <v>50</v>
      </c>
      <c r="R221" s="63">
        <v>50</v>
      </c>
      <c r="S221" s="63">
        <v>54</v>
      </c>
      <c r="T221" s="63">
        <v>51</v>
      </c>
      <c r="U221" s="63">
        <v>55</v>
      </c>
      <c r="V221" s="63">
        <v>62</v>
      </c>
      <c r="W221" s="63">
        <v>74</v>
      </c>
      <c r="X221" s="63">
        <v>82</v>
      </c>
      <c r="Y221" s="63">
        <v>79</v>
      </c>
      <c r="Z221" s="63">
        <v>80</v>
      </c>
      <c r="AA221" s="63">
        <v>92</v>
      </c>
      <c r="AB221" s="63">
        <v>101</v>
      </c>
    </row>
    <row r="222" spans="1:28" x14ac:dyDescent="0.2">
      <c r="A222" s="62">
        <v>17</v>
      </c>
      <c r="B222" s="62" t="s">
        <v>352</v>
      </c>
      <c r="C222" s="62">
        <v>2</v>
      </c>
      <c r="D222" s="64" t="s">
        <v>319</v>
      </c>
      <c r="E222" s="65"/>
      <c r="F222" s="62"/>
      <c r="G222" s="62"/>
      <c r="H222" s="63">
        <v>8</v>
      </c>
      <c r="I222" s="62"/>
      <c r="J222" s="62"/>
      <c r="K222" s="62"/>
      <c r="L222" s="62"/>
      <c r="M222" s="63">
        <v>9</v>
      </c>
      <c r="N222" s="63">
        <v>9</v>
      </c>
      <c r="O222" s="63">
        <v>9</v>
      </c>
      <c r="P222" s="63">
        <v>8</v>
      </c>
      <c r="Q222" s="63">
        <v>8</v>
      </c>
      <c r="R222" s="63">
        <v>8</v>
      </c>
      <c r="S222" s="62"/>
      <c r="T222" s="62"/>
      <c r="U222" s="62"/>
      <c r="V222" s="62"/>
      <c r="W222" s="62"/>
      <c r="X222" s="62"/>
      <c r="Y222" s="63">
        <v>9</v>
      </c>
      <c r="Z222" s="63">
        <v>12</v>
      </c>
      <c r="AA222" s="63">
        <v>11</v>
      </c>
      <c r="AB222" s="63">
        <v>11</v>
      </c>
    </row>
    <row r="223" spans="1:28" x14ac:dyDescent="0.2">
      <c r="A223" s="62">
        <v>17</v>
      </c>
      <c r="B223" s="62" t="s">
        <v>352</v>
      </c>
      <c r="C223" s="62">
        <v>21</v>
      </c>
      <c r="D223" s="62" t="s">
        <v>320</v>
      </c>
      <c r="E223" s="63">
        <v>84</v>
      </c>
      <c r="F223" s="63">
        <v>80</v>
      </c>
      <c r="G223" s="63">
        <v>88</v>
      </c>
      <c r="H223" s="63">
        <v>131</v>
      </c>
      <c r="I223" s="63">
        <v>154</v>
      </c>
      <c r="J223" s="63">
        <v>106</v>
      </c>
      <c r="K223" s="63">
        <v>116</v>
      </c>
      <c r="L223" s="63">
        <v>137</v>
      </c>
      <c r="M223" s="63">
        <v>87</v>
      </c>
      <c r="N223" s="63">
        <v>106</v>
      </c>
      <c r="O223" s="63">
        <v>122</v>
      </c>
      <c r="P223" s="63">
        <v>102</v>
      </c>
      <c r="Q223" s="63">
        <v>120</v>
      </c>
      <c r="R223" s="63">
        <v>108</v>
      </c>
      <c r="S223" s="63">
        <v>84</v>
      </c>
      <c r="T223" s="63">
        <v>62</v>
      </c>
      <c r="U223" s="63">
        <v>64</v>
      </c>
      <c r="V223" s="63">
        <v>70</v>
      </c>
      <c r="W223" s="63">
        <v>89</v>
      </c>
      <c r="X223" s="63">
        <v>85</v>
      </c>
      <c r="Y223" s="63">
        <v>81</v>
      </c>
      <c r="Z223" s="63">
        <v>67</v>
      </c>
      <c r="AA223" s="63">
        <v>85</v>
      </c>
      <c r="AB223" s="63">
        <v>91</v>
      </c>
    </row>
    <row r="224" spans="1:28" x14ac:dyDescent="0.2">
      <c r="A224" s="62">
        <v>17</v>
      </c>
      <c r="B224" s="62" t="s">
        <v>352</v>
      </c>
      <c r="C224" s="62">
        <v>22</v>
      </c>
      <c r="D224" s="62" t="s">
        <v>321</v>
      </c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3">
        <v>19</v>
      </c>
      <c r="AA224" s="63">
        <v>25</v>
      </c>
      <c r="AB224" s="63">
        <v>27</v>
      </c>
    </row>
    <row r="225" spans="1:28" x14ac:dyDescent="0.2">
      <c r="A225" s="62">
        <v>17</v>
      </c>
      <c r="B225" s="62" t="s">
        <v>352</v>
      </c>
      <c r="C225" s="62">
        <v>23</v>
      </c>
      <c r="D225" s="62" t="s">
        <v>322</v>
      </c>
      <c r="E225" s="63">
        <v>49</v>
      </c>
      <c r="F225" s="63">
        <v>43</v>
      </c>
      <c r="G225" s="63">
        <v>32</v>
      </c>
      <c r="H225" s="63">
        <v>22</v>
      </c>
      <c r="I225" s="63">
        <v>17</v>
      </c>
      <c r="J225" s="63">
        <v>23</v>
      </c>
      <c r="K225" s="63">
        <v>30</v>
      </c>
      <c r="L225" s="63">
        <v>24</v>
      </c>
      <c r="M225" s="63">
        <v>33</v>
      </c>
      <c r="N225" s="63">
        <v>39</v>
      </c>
      <c r="O225" s="63">
        <v>38</v>
      </c>
      <c r="P225" s="63">
        <v>37</v>
      </c>
      <c r="Q225" s="63">
        <v>29</v>
      </c>
      <c r="R225" s="63">
        <v>29</v>
      </c>
      <c r="S225" s="63">
        <v>24</v>
      </c>
      <c r="T225" s="63">
        <v>30</v>
      </c>
      <c r="U225" s="63">
        <v>38</v>
      </c>
      <c r="V225" s="63">
        <v>31</v>
      </c>
      <c r="W225" s="63">
        <v>35</v>
      </c>
      <c r="X225" s="63">
        <v>43</v>
      </c>
      <c r="Y225" s="63">
        <v>50</v>
      </c>
      <c r="Z225" s="63">
        <v>37</v>
      </c>
      <c r="AA225" s="63">
        <v>26</v>
      </c>
      <c r="AB225" s="63">
        <v>30</v>
      </c>
    </row>
    <row r="226" spans="1:28" x14ac:dyDescent="0.2">
      <c r="A226" s="62">
        <v>17</v>
      </c>
      <c r="B226" s="62" t="s">
        <v>352</v>
      </c>
      <c r="C226" s="62">
        <v>3</v>
      </c>
      <c r="D226" s="62" t="s">
        <v>323</v>
      </c>
      <c r="E226" s="63">
        <v>283</v>
      </c>
      <c r="F226" s="63">
        <v>285</v>
      </c>
      <c r="G226" s="63">
        <v>294</v>
      </c>
      <c r="H226" s="63">
        <v>285</v>
      </c>
      <c r="I226" s="63">
        <v>282</v>
      </c>
      <c r="J226" s="63">
        <v>285</v>
      </c>
      <c r="K226" s="63">
        <v>284</v>
      </c>
      <c r="L226" s="63">
        <v>297</v>
      </c>
      <c r="M226" s="63">
        <v>301</v>
      </c>
      <c r="N226" s="63">
        <v>300</v>
      </c>
      <c r="O226" s="63">
        <v>292</v>
      </c>
      <c r="P226" s="63">
        <v>269</v>
      </c>
      <c r="Q226" s="63">
        <v>261</v>
      </c>
      <c r="R226" s="63">
        <v>260</v>
      </c>
      <c r="S226" s="63">
        <v>263</v>
      </c>
      <c r="T226" s="63">
        <v>273</v>
      </c>
      <c r="U226" s="63">
        <v>274</v>
      </c>
      <c r="V226" s="63">
        <v>266</v>
      </c>
      <c r="W226" s="63">
        <v>261</v>
      </c>
      <c r="X226" s="63">
        <v>259</v>
      </c>
      <c r="Y226" s="63">
        <v>251</v>
      </c>
      <c r="Z226" s="63">
        <v>251</v>
      </c>
      <c r="AA226" s="63">
        <v>264</v>
      </c>
      <c r="AB226" s="63">
        <v>275</v>
      </c>
    </row>
    <row r="227" spans="1:28" x14ac:dyDescent="0.2">
      <c r="A227" s="62">
        <v>17</v>
      </c>
      <c r="B227" s="62" t="s">
        <v>352</v>
      </c>
      <c r="C227" s="62" t="s">
        <v>324</v>
      </c>
      <c r="D227" s="64" t="s">
        <v>325</v>
      </c>
      <c r="E227" s="65"/>
      <c r="F227" s="62"/>
      <c r="G227" s="62"/>
      <c r="H227" s="62"/>
      <c r="I227" s="63">
        <v>23</v>
      </c>
      <c r="J227" s="62"/>
      <c r="K227" s="62"/>
      <c r="L227" s="62"/>
      <c r="M227" s="63">
        <v>17</v>
      </c>
      <c r="N227" s="62"/>
      <c r="O227" s="62"/>
      <c r="P227" s="62"/>
      <c r="Q227" s="62"/>
      <c r="R227" s="62"/>
      <c r="S227" s="63">
        <v>34</v>
      </c>
      <c r="T227" s="62"/>
      <c r="U227" s="62"/>
      <c r="V227" s="63">
        <v>21</v>
      </c>
      <c r="W227" s="63">
        <v>22</v>
      </c>
      <c r="X227" s="63">
        <v>25</v>
      </c>
      <c r="Y227" s="62"/>
      <c r="Z227" s="62"/>
      <c r="AA227" s="62"/>
      <c r="AB227" s="62"/>
    </row>
    <row r="228" spans="1:28" x14ac:dyDescent="0.2">
      <c r="A228" s="62">
        <v>17</v>
      </c>
      <c r="B228" s="62" t="s">
        <v>352</v>
      </c>
      <c r="C228" s="62">
        <v>42</v>
      </c>
      <c r="D228" s="62" t="s">
        <v>326</v>
      </c>
      <c r="E228" s="63">
        <v>76</v>
      </c>
      <c r="F228" s="63">
        <v>79</v>
      </c>
      <c r="G228" s="63">
        <v>75</v>
      </c>
      <c r="H228" s="63">
        <v>76</v>
      </c>
      <c r="I228" s="63">
        <v>100</v>
      </c>
      <c r="J228" s="63">
        <v>108</v>
      </c>
      <c r="K228" s="63">
        <v>119</v>
      </c>
      <c r="L228" s="63">
        <v>50</v>
      </c>
      <c r="M228" s="63">
        <v>53</v>
      </c>
      <c r="N228" s="63">
        <v>55</v>
      </c>
      <c r="O228" s="63">
        <v>55</v>
      </c>
      <c r="P228" s="63">
        <v>47</v>
      </c>
      <c r="Q228" s="63">
        <v>40</v>
      </c>
      <c r="R228" s="63">
        <v>40</v>
      </c>
      <c r="S228" s="63">
        <v>42</v>
      </c>
      <c r="T228" s="63">
        <v>54</v>
      </c>
      <c r="U228" s="63">
        <v>57</v>
      </c>
      <c r="V228" s="63">
        <v>56</v>
      </c>
      <c r="W228" s="63">
        <v>55</v>
      </c>
      <c r="X228" s="63">
        <v>52</v>
      </c>
      <c r="Y228" s="63">
        <v>47</v>
      </c>
      <c r="Z228" s="63">
        <v>45</v>
      </c>
      <c r="AA228" s="63">
        <v>41</v>
      </c>
      <c r="AB228" s="63">
        <v>36</v>
      </c>
    </row>
    <row r="229" spans="1:28" x14ac:dyDescent="0.2">
      <c r="A229" s="62">
        <v>17</v>
      </c>
      <c r="B229" s="62" t="s">
        <v>352</v>
      </c>
      <c r="C229" s="62" t="s">
        <v>327</v>
      </c>
      <c r="D229" s="62" t="s">
        <v>328</v>
      </c>
      <c r="E229" s="63">
        <v>92</v>
      </c>
      <c r="F229" s="63">
        <v>93</v>
      </c>
      <c r="G229" s="63">
        <v>93</v>
      </c>
      <c r="H229" s="63">
        <v>80</v>
      </c>
      <c r="I229" s="63">
        <v>86</v>
      </c>
      <c r="J229" s="63">
        <v>84</v>
      </c>
      <c r="K229" s="63">
        <v>90</v>
      </c>
      <c r="L229" s="63">
        <v>82</v>
      </c>
      <c r="M229" s="63">
        <v>79</v>
      </c>
      <c r="N229" s="63">
        <v>87</v>
      </c>
      <c r="O229" s="63">
        <v>84</v>
      </c>
      <c r="P229" s="63">
        <v>92</v>
      </c>
      <c r="Q229" s="63">
        <v>91</v>
      </c>
      <c r="R229" s="63">
        <v>90</v>
      </c>
      <c r="S229" s="63">
        <v>88</v>
      </c>
      <c r="T229" s="63">
        <v>93</v>
      </c>
      <c r="U229" s="63">
        <v>78</v>
      </c>
      <c r="V229" s="63">
        <v>77</v>
      </c>
      <c r="W229" s="63">
        <v>59</v>
      </c>
      <c r="X229" s="63">
        <v>58</v>
      </c>
      <c r="Y229" s="63">
        <v>66</v>
      </c>
      <c r="Z229" s="63">
        <v>54</v>
      </c>
      <c r="AA229" s="63">
        <v>82</v>
      </c>
      <c r="AB229" s="63">
        <v>87</v>
      </c>
    </row>
    <row r="230" spans="1:28" x14ac:dyDescent="0.2">
      <c r="A230" s="62">
        <v>17</v>
      </c>
      <c r="B230" s="62" t="s">
        <v>352</v>
      </c>
      <c r="C230" s="62" t="s">
        <v>329</v>
      </c>
      <c r="D230" s="62" t="s">
        <v>330</v>
      </c>
      <c r="E230" s="63">
        <v>23</v>
      </c>
      <c r="F230" s="62"/>
      <c r="G230" s="63">
        <v>23</v>
      </c>
      <c r="H230" s="63">
        <v>25</v>
      </c>
      <c r="I230" s="63">
        <v>22</v>
      </c>
      <c r="J230" s="63">
        <v>26</v>
      </c>
      <c r="K230" s="63">
        <v>23</v>
      </c>
      <c r="L230" s="63">
        <v>30</v>
      </c>
      <c r="M230" s="63">
        <v>27</v>
      </c>
      <c r="N230" s="63">
        <v>28</v>
      </c>
      <c r="O230" s="63">
        <v>37</v>
      </c>
      <c r="P230" s="63">
        <v>37</v>
      </c>
      <c r="Q230" s="63">
        <v>47</v>
      </c>
      <c r="R230" s="63">
        <v>51</v>
      </c>
      <c r="S230" s="63">
        <v>41</v>
      </c>
      <c r="T230" s="63">
        <v>36</v>
      </c>
      <c r="U230" s="63">
        <v>35</v>
      </c>
      <c r="V230" s="63">
        <v>33</v>
      </c>
      <c r="W230" s="63">
        <v>35</v>
      </c>
      <c r="X230" s="63">
        <v>33</v>
      </c>
      <c r="Y230" s="63">
        <v>36</v>
      </c>
      <c r="Z230" s="63">
        <v>35</v>
      </c>
      <c r="AA230" s="63">
        <v>37</v>
      </c>
      <c r="AB230" s="63">
        <v>38</v>
      </c>
    </row>
    <row r="231" spans="1:28" x14ac:dyDescent="0.2">
      <c r="A231" s="62">
        <v>17</v>
      </c>
      <c r="B231" s="62" t="s">
        <v>352</v>
      </c>
      <c r="C231" s="62">
        <v>51</v>
      </c>
      <c r="D231" s="62" t="s">
        <v>331</v>
      </c>
      <c r="E231" s="62"/>
      <c r="F231" s="63">
        <v>10</v>
      </c>
      <c r="G231" s="63">
        <v>6</v>
      </c>
      <c r="H231" s="62"/>
      <c r="I231" s="62"/>
      <c r="J231" s="63">
        <v>10</v>
      </c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3">
        <v>12</v>
      </c>
      <c r="AA231" s="63">
        <v>13</v>
      </c>
      <c r="AB231" s="62"/>
    </row>
    <row r="232" spans="1:28" x14ac:dyDescent="0.2">
      <c r="A232" s="62">
        <v>17</v>
      </c>
      <c r="B232" s="62" t="s">
        <v>352</v>
      </c>
      <c r="C232" s="62">
        <v>52</v>
      </c>
      <c r="D232" s="62" t="s">
        <v>332</v>
      </c>
      <c r="E232" s="63">
        <v>66</v>
      </c>
      <c r="F232" s="63">
        <v>65</v>
      </c>
      <c r="G232" s="63">
        <v>56</v>
      </c>
      <c r="H232" s="63">
        <v>57</v>
      </c>
      <c r="I232" s="63">
        <v>67</v>
      </c>
      <c r="J232" s="63">
        <v>64</v>
      </c>
      <c r="K232" s="62"/>
      <c r="L232" s="63">
        <v>72</v>
      </c>
      <c r="M232" s="63">
        <v>75</v>
      </c>
      <c r="N232" s="63">
        <v>74</v>
      </c>
      <c r="O232" s="63">
        <v>70</v>
      </c>
      <c r="P232" s="63">
        <v>81</v>
      </c>
      <c r="Q232" s="63">
        <v>59</v>
      </c>
      <c r="R232" s="63">
        <v>64</v>
      </c>
      <c r="S232" s="63">
        <v>66</v>
      </c>
      <c r="T232" s="63">
        <v>72</v>
      </c>
      <c r="U232" s="63">
        <v>77</v>
      </c>
      <c r="V232" s="63">
        <v>76</v>
      </c>
      <c r="W232" s="63">
        <v>74</v>
      </c>
      <c r="X232" s="63">
        <v>78</v>
      </c>
      <c r="Y232" s="63">
        <v>84</v>
      </c>
      <c r="Z232" s="63">
        <v>87</v>
      </c>
      <c r="AA232" s="63">
        <v>86</v>
      </c>
      <c r="AB232" s="63">
        <v>81</v>
      </c>
    </row>
    <row r="233" spans="1:28" x14ac:dyDescent="0.2">
      <c r="A233" s="62">
        <v>17</v>
      </c>
      <c r="B233" s="62" t="s">
        <v>352</v>
      </c>
      <c r="C233" s="62">
        <v>53</v>
      </c>
      <c r="D233" s="62" t="s">
        <v>333</v>
      </c>
      <c r="E233" s="63">
        <v>10</v>
      </c>
      <c r="F233" s="62"/>
      <c r="G233" s="63">
        <v>0</v>
      </c>
      <c r="H233" s="63">
        <v>11</v>
      </c>
      <c r="I233" s="63">
        <v>19</v>
      </c>
      <c r="J233" s="63">
        <v>14</v>
      </c>
      <c r="K233" s="63">
        <v>19</v>
      </c>
      <c r="L233" s="63">
        <v>15</v>
      </c>
      <c r="M233" s="63">
        <v>20</v>
      </c>
      <c r="N233" s="63">
        <v>26</v>
      </c>
      <c r="O233" s="63">
        <v>22</v>
      </c>
      <c r="P233" s="63">
        <v>19</v>
      </c>
      <c r="Q233" s="63">
        <v>19</v>
      </c>
      <c r="R233" s="63">
        <v>15</v>
      </c>
      <c r="S233" s="63">
        <v>15</v>
      </c>
      <c r="T233" s="63">
        <v>14</v>
      </c>
      <c r="U233" s="63">
        <v>16</v>
      </c>
      <c r="V233" s="63">
        <v>18</v>
      </c>
      <c r="W233" s="63">
        <v>19</v>
      </c>
      <c r="X233" s="63">
        <v>24</v>
      </c>
      <c r="Y233" s="63">
        <v>23</v>
      </c>
      <c r="Z233" s="63">
        <v>36</v>
      </c>
      <c r="AA233" s="63">
        <v>49</v>
      </c>
      <c r="AB233" s="63">
        <v>49</v>
      </c>
    </row>
    <row r="234" spans="1:28" x14ac:dyDescent="0.2">
      <c r="A234" s="62">
        <v>17</v>
      </c>
      <c r="B234" s="62" t="s">
        <v>352</v>
      </c>
      <c r="C234" s="62">
        <v>54</v>
      </c>
      <c r="D234" s="62" t="s">
        <v>334</v>
      </c>
      <c r="E234" s="63">
        <v>0</v>
      </c>
      <c r="F234" s="63">
        <v>14</v>
      </c>
      <c r="G234" s="63">
        <v>14</v>
      </c>
      <c r="H234" s="63">
        <v>12</v>
      </c>
      <c r="I234" s="63">
        <v>13</v>
      </c>
      <c r="J234" s="63">
        <v>16</v>
      </c>
      <c r="K234" s="63">
        <v>16</v>
      </c>
      <c r="L234" s="63">
        <v>8</v>
      </c>
      <c r="M234" s="63">
        <v>18</v>
      </c>
      <c r="N234" s="63">
        <v>16</v>
      </c>
      <c r="O234" s="63">
        <v>15</v>
      </c>
      <c r="P234" s="63">
        <v>15</v>
      </c>
      <c r="Q234" s="63">
        <v>16</v>
      </c>
      <c r="R234" s="63">
        <v>13</v>
      </c>
      <c r="S234" s="63">
        <v>12</v>
      </c>
      <c r="T234" s="63">
        <v>16</v>
      </c>
      <c r="U234" s="63">
        <v>17</v>
      </c>
      <c r="V234" s="63">
        <v>16</v>
      </c>
      <c r="W234" s="63">
        <v>23</v>
      </c>
      <c r="X234" s="63">
        <v>24</v>
      </c>
      <c r="Y234" s="63">
        <v>14</v>
      </c>
      <c r="Z234" s="63">
        <v>26</v>
      </c>
      <c r="AA234" s="63">
        <v>30</v>
      </c>
      <c r="AB234" s="63">
        <v>23</v>
      </c>
    </row>
    <row r="235" spans="1:28" x14ac:dyDescent="0.2">
      <c r="A235" s="62">
        <v>17</v>
      </c>
      <c r="B235" s="62" t="s">
        <v>352</v>
      </c>
      <c r="C235" s="62">
        <v>55</v>
      </c>
      <c r="D235" s="64" t="s">
        <v>335</v>
      </c>
      <c r="E235" s="65"/>
      <c r="F235" s="65"/>
      <c r="G235" s="65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</row>
    <row r="236" spans="1:28" x14ac:dyDescent="0.2">
      <c r="A236" s="62">
        <v>17</v>
      </c>
      <c r="B236" s="62" t="s">
        <v>352</v>
      </c>
      <c r="C236" s="62">
        <v>56</v>
      </c>
      <c r="D236" s="64" t="s">
        <v>336</v>
      </c>
      <c r="E236" s="65"/>
      <c r="F236" s="63">
        <v>17</v>
      </c>
      <c r="G236" s="63">
        <v>22</v>
      </c>
      <c r="H236" s="63">
        <v>22</v>
      </c>
      <c r="I236" s="63">
        <v>22</v>
      </c>
      <c r="J236" s="63">
        <v>19</v>
      </c>
      <c r="K236" s="63">
        <v>23</v>
      </c>
      <c r="L236" s="63">
        <v>20</v>
      </c>
      <c r="M236" s="63">
        <v>19</v>
      </c>
      <c r="N236" s="63">
        <v>20</v>
      </c>
      <c r="O236" s="63">
        <v>22</v>
      </c>
      <c r="P236" s="63">
        <v>21</v>
      </c>
      <c r="Q236" s="63">
        <v>27</v>
      </c>
      <c r="R236" s="63">
        <v>25</v>
      </c>
      <c r="S236" s="63">
        <v>29</v>
      </c>
      <c r="T236" s="63">
        <v>21</v>
      </c>
      <c r="U236" s="63">
        <v>19</v>
      </c>
      <c r="V236" s="63">
        <v>19</v>
      </c>
      <c r="W236" s="63">
        <v>24</v>
      </c>
      <c r="X236" s="63">
        <v>20</v>
      </c>
      <c r="Y236" s="63">
        <v>28</v>
      </c>
      <c r="Z236" s="63">
        <v>26</v>
      </c>
      <c r="AA236" s="63">
        <v>30</v>
      </c>
      <c r="AB236" s="63">
        <v>35</v>
      </c>
    </row>
    <row r="237" spans="1:28" x14ac:dyDescent="0.2">
      <c r="A237" s="62">
        <v>17</v>
      </c>
      <c r="B237" s="62" t="s">
        <v>352</v>
      </c>
      <c r="C237" s="62">
        <v>61</v>
      </c>
      <c r="D237" s="64" t="s">
        <v>337</v>
      </c>
      <c r="E237" s="65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3">
        <v>4</v>
      </c>
      <c r="Y237" s="62"/>
      <c r="Z237" s="62"/>
      <c r="AA237" s="62"/>
      <c r="AB237" s="63">
        <v>0</v>
      </c>
    </row>
    <row r="238" spans="1:28" x14ac:dyDescent="0.2">
      <c r="A238" s="62">
        <v>17</v>
      </c>
      <c r="B238" s="62" t="s">
        <v>352</v>
      </c>
      <c r="C238" s="62">
        <v>62</v>
      </c>
      <c r="D238" s="62" t="s">
        <v>338</v>
      </c>
      <c r="E238" s="63">
        <v>18</v>
      </c>
      <c r="F238" s="62"/>
      <c r="G238" s="63">
        <v>20</v>
      </c>
      <c r="H238" s="62"/>
      <c r="I238" s="63">
        <v>9</v>
      </c>
      <c r="J238" s="63">
        <v>11</v>
      </c>
      <c r="K238" s="62"/>
      <c r="L238" s="63">
        <v>10</v>
      </c>
      <c r="M238" s="63">
        <v>8</v>
      </c>
      <c r="N238" s="63">
        <v>10</v>
      </c>
      <c r="O238" s="62"/>
      <c r="P238" s="63">
        <v>7</v>
      </c>
      <c r="Q238" s="63">
        <v>8</v>
      </c>
      <c r="R238" s="63">
        <v>11</v>
      </c>
      <c r="S238" s="63">
        <v>18</v>
      </c>
      <c r="T238" s="63">
        <v>25</v>
      </c>
      <c r="U238" s="63">
        <v>23</v>
      </c>
      <c r="V238" s="63">
        <v>29</v>
      </c>
      <c r="W238" s="63">
        <v>33</v>
      </c>
      <c r="X238" s="63">
        <v>30</v>
      </c>
      <c r="Y238" s="63">
        <v>30</v>
      </c>
      <c r="Z238" s="63">
        <v>28</v>
      </c>
      <c r="AA238" s="63">
        <v>17</v>
      </c>
      <c r="AB238" s="63">
        <v>2</v>
      </c>
    </row>
    <row r="239" spans="1:28" x14ac:dyDescent="0.2">
      <c r="A239" s="62">
        <v>17</v>
      </c>
      <c r="B239" s="62" t="s">
        <v>352</v>
      </c>
      <c r="C239" s="62">
        <v>71</v>
      </c>
      <c r="D239" s="64" t="s">
        <v>339</v>
      </c>
      <c r="E239" s="65"/>
      <c r="F239" s="63">
        <v>16</v>
      </c>
      <c r="G239" s="62"/>
      <c r="H239" s="62"/>
      <c r="I239" s="63">
        <v>4</v>
      </c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3">
        <v>5</v>
      </c>
      <c r="U239" s="62"/>
      <c r="V239" s="63">
        <v>6</v>
      </c>
      <c r="W239" s="63">
        <v>4</v>
      </c>
      <c r="X239" s="62"/>
      <c r="Y239" s="62"/>
      <c r="Z239" s="62"/>
      <c r="AA239" s="62"/>
      <c r="AB239" s="62"/>
    </row>
    <row r="240" spans="1:28" x14ac:dyDescent="0.2">
      <c r="A240" s="62">
        <v>17</v>
      </c>
      <c r="B240" s="62" t="s">
        <v>352</v>
      </c>
      <c r="C240" s="62">
        <v>72</v>
      </c>
      <c r="D240" s="62" t="s">
        <v>340</v>
      </c>
      <c r="E240" s="63">
        <v>32</v>
      </c>
      <c r="F240" s="63">
        <v>33</v>
      </c>
      <c r="G240" s="63">
        <v>39</v>
      </c>
      <c r="H240" s="63">
        <v>25</v>
      </c>
      <c r="I240" s="63">
        <v>31</v>
      </c>
      <c r="J240" s="63">
        <v>28</v>
      </c>
      <c r="K240" s="63">
        <v>20</v>
      </c>
      <c r="L240" s="63">
        <v>32</v>
      </c>
      <c r="M240" s="63">
        <v>48</v>
      </c>
      <c r="N240" s="63">
        <v>49</v>
      </c>
      <c r="O240" s="63">
        <v>29</v>
      </c>
      <c r="P240" s="63">
        <v>30</v>
      </c>
      <c r="Q240" s="63">
        <v>32</v>
      </c>
      <c r="R240" s="63">
        <v>35</v>
      </c>
      <c r="S240" s="63">
        <v>33</v>
      </c>
      <c r="T240" s="63">
        <v>28</v>
      </c>
      <c r="U240" s="63">
        <v>31</v>
      </c>
      <c r="V240" s="63">
        <v>29</v>
      </c>
      <c r="W240" s="63">
        <v>26</v>
      </c>
      <c r="X240" s="63">
        <v>15</v>
      </c>
      <c r="Y240" s="63">
        <v>17</v>
      </c>
      <c r="Z240" s="63">
        <v>17</v>
      </c>
      <c r="AA240" s="63">
        <v>14</v>
      </c>
      <c r="AB240" s="63">
        <v>23</v>
      </c>
    </row>
    <row r="241" spans="1:28" x14ac:dyDescent="0.2">
      <c r="A241" s="62">
        <v>17</v>
      </c>
      <c r="B241" s="62" t="s">
        <v>352</v>
      </c>
      <c r="C241" s="62">
        <v>81</v>
      </c>
      <c r="D241" s="62" t="s">
        <v>341</v>
      </c>
      <c r="E241" s="63">
        <v>70</v>
      </c>
      <c r="F241" s="63">
        <v>59</v>
      </c>
      <c r="G241" s="63">
        <v>47</v>
      </c>
      <c r="H241" s="63">
        <v>45</v>
      </c>
      <c r="I241" s="63">
        <v>43</v>
      </c>
      <c r="J241" s="63">
        <v>44</v>
      </c>
      <c r="K241" s="63">
        <v>43</v>
      </c>
      <c r="L241" s="63">
        <v>39</v>
      </c>
      <c r="M241" s="63">
        <v>37</v>
      </c>
      <c r="N241" s="63">
        <v>34</v>
      </c>
      <c r="O241" s="63">
        <v>36</v>
      </c>
      <c r="P241" s="63">
        <v>33</v>
      </c>
      <c r="Q241" s="63">
        <v>26</v>
      </c>
      <c r="R241" s="63">
        <v>27</v>
      </c>
      <c r="S241" s="63">
        <v>28</v>
      </c>
      <c r="T241" s="63">
        <v>27</v>
      </c>
      <c r="U241" s="63">
        <v>34</v>
      </c>
      <c r="V241" s="63">
        <v>25</v>
      </c>
      <c r="W241" s="63">
        <v>24</v>
      </c>
      <c r="X241" s="63">
        <v>17</v>
      </c>
      <c r="Y241" s="63">
        <v>22</v>
      </c>
      <c r="Z241" s="63">
        <v>20</v>
      </c>
      <c r="AA241" s="63">
        <v>13</v>
      </c>
      <c r="AB241" s="63">
        <v>20</v>
      </c>
    </row>
    <row r="242" spans="1:28" x14ac:dyDescent="0.2">
      <c r="A242" s="62">
        <v>17</v>
      </c>
      <c r="B242" s="62" t="s">
        <v>352</v>
      </c>
      <c r="C242" s="62">
        <v>99</v>
      </c>
      <c r="D242" s="62" t="s">
        <v>342</v>
      </c>
      <c r="E242" s="62"/>
      <c r="F242" s="62"/>
      <c r="G242" s="62"/>
      <c r="H242" s="62"/>
      <c r="I242" s="62"/>
      <c r="J242" s="62"/>
      <c r="K242" s="63">
        <v>0</v>
      </c>
      <c r="L242" s="62"/>
      <c r="M242" s="62"/>
      <c r="N242" s="62"/>
      <c r="O242" s="62"/>
      <c r="P242" s="62"/>
      <c r="Q242" s="62"/>
      <c r="R242" s="63">
        <v>0</v>
      </c>
      <c r="S242" s="62"/>
      <c r="T242" s="62"/>
      <c r="U242" s="62"/>
      <c r="V242" s="62"/>
      <c r="W242" s="62"/>
      <c r="X242" s="62"/>
      <c r="Y242" s="62"/>
      <c r="Z242" s="63">
        <v>0</v>
      </c>
      <c r="AA242" s="62"/>
      <c r="AB242" s="63">
        <v>0</v>
      </c>
    </row>
    <row r="243" spans="1:28" x14ac:dyDescent="0.2">
      <c r="A243" s="62">
        <v>19</v>
      </c>
      <c r="B243" s="62" t="s">
        <v>353</v>
      </c>
      <c r="C243" s="62">
        <v>1</v>
      </c>
      <c r="D243" s="62" t="s">
        <v>316</v>
      </c>
      <c r="E243" s="63">
        <v>47</v>
      </c>
      <c r="F243" s="63">
        <v>47</v>
      </c>
      <c r="G243" s="63">
        <v>47</v>
      </c>
      <c r="H243" s="63">
        <v>47</v>
      </c>
      <c r="I243" s="63">
        <v>48</v>
      </c>
      <c r="J243" s="63">
        <v>46</v>
      </c>
      <c r="K243" s="63">
        <v>45</v>
      </c>
      <c r="L243" s="63">
        <v>44</v>
      </c>
      <c r="M243" s="63">
        <v>47</v>
      </c>
      <c r="N243" s="63">
        <v>55</v>
      </c>
      <c r="O243" s="63">
        <v>43</v>
      </c>
      <c r="P243" s="63">
        <v>38</v>
      </c>
      <c r="Q243" s="63">
        <v>36</v>
      </c>
      <c r="R243" s="63">
        <v>37</v>
      </c>
      <c r="S243" s="63">
        <v>33</v>
      </c>
      <c r="T243" s="63">
        <v>32</v>
      </c>
      <c r="U243" s="63">
        <v>32</v>
      </c>
      <c r="V243" s="63">
        <v>32</v>
      </c>
      <c r="W243" s="63">
        <v>34</v>
      </c>
      <c r="X243" s="63">
        <v>45</v>
      </c>
      <c r="Y243" s="63">
        <v>38</v>
      </c>
      <c r="Z243" s="63">
        <v>37</v>
      </c>
      <c r="AA243" s="63">
        <v>39</v>
      </c>
      <c r="AB243" s="63">
        <v>34</v>
      </c>
    </row>
    <row r="244" spans="1:28" x14ac:dyDescent="0.2">
      <c r="A244" s="62">
        <v>19</v>
      </c>
      <c r="B244" s="62" t="s">
        <v>353</v>
      </c>
      <c r="C244" s="62">
        <v>10</v>
      </c>
      <c r="D244" s="62" t="s">
        <v>317</v>
      </c>
      <c r="E244" s="63">
        <v>3775</v>
      </c>
      <c r="F244" s="63">
        <v>3943</v>
      </c>
      <c r="G244" s="63">
        <v>3992</v>
      </c>
      <c r="H244" s="63">
        <v>4028</v>
      </c>
      <c r="I244" s="63">
        <v>4075</v>
      </c>
      <c r="J244" s="63">
        <v>4249</v>
      </c>
      <c r="K244" s="63">
        <v>4399</v>
      </c>
      <c r="L244" s="63">
        <v>4439</v>
      </c>
      <c r="M244" s="63">
        <v>4242</v>
      </c>
      <c r="N244" s="63">
        <v>4167</v>
      </c>
      <c r="O244" s="63">
        <v>4199</v>
      </c>
      <c r="P244" s="63">
        <v>4129</v>
      </c>
      <c r="Q244" s="63">
        <v>4116</v>
      </c>
      <c r="R244" s="63">
        <v>4110</v>
      </c>
      <c r="S244" s="63">
        <v>4047</v>
      </c>
      <c r="T244" s="63">
        <v>3874</v>
      </c>
      <c r="U244" s="63">
        <v>4005</v>
      </c>
      <c r="V244" s="63">
        <v>4139</v>
      </c>
      <c r="W244" s="63">
        <v>4330</v>
      </c>
      <c r="X244" s="63">
        <v>3900</v>
      </c>
      <c r="Y244" s="63">
        <v>4092</v>
      </c>
      <c r="Z244" s="63">
        <v>4374</v>
      </c>
      <c r="AA244" s="63">
        <v>4478</v>
      </c>
      <c r="AB244" s="63">
        <v>4379</v>
      </c>
    </row>
    <row r="245" spans="1:28" x14ac:dyDescent="0.2">
      <c r="A245" s="62">
        <v>19</v>
      </c>
      <c r="B245" s="62" t="s">
        <v>353</v>
      </c>
      <c r="C245" s="62">
        <v>11</v>
      </c>
      <c r="D245" s="64" t="s">
        <v>318</v>
      </c>
      <c r="E245" s="65"/>
      <c r="F245" s="65"/>
      <c r="G245" s="62"/>
      <c r="H245" s="62"/>
      <c r="I245" s="63">
        <v>16</v>
      </c>
      <c r="J245" s="63">
        <v>15</v>
      </c>
      <c r="K245" s="63">
        <v>12</v>
      </c>
      <c r="L245" s="63">
        <v>8</v>
      </c>
      <c r="M245" s="63">
        <v>6</v>
      </c>
      <c r="N245" s="62"/>
      <c r="O245" s="62"/>
      <c r="P245" s="62"/>
      <c r="Q245" s="62"/>
      <c r="R245" s="62"/>
      <c r="S245" s="63">
        <v>15</v>
      </c>
      <c r="T245" s="62"/>
      <c r="U245" s="62"/>
      <c r="V245" s="63">
        <v>16</v>
      </c>
      <c r="W245" s="63">
        <v>31</v>
      </c>
      <c r="X245" s="63">
        <v>38</v>
      </c>
      <c r="Y245" s="63">
        <v>38</v>
      </c>
      <c r="Z245" s="63">
        <v>47</v>
      </c>
      <c r="AA245" s="63">
        <v>44</v>
      </c>
      <c r="AB245" s="62"/>
    </row>
    <row r="246" spans="1:28" x14ac:dyDescent="0.2">
      <c r="A246" s="62">
        <v>19</v>
      </c>
      <c r="B246" s="62" t="s">
        <v>353</v>
      </c>
      <c r="C246" s="62">
        <v>2</v>
      </c>
      <c r="D246" s="62" t="s">
        <v>319</v>
      </c>
      <c r="E246" s="63">
        <v>118</v>
      </c>
      <c r="F246" s="63">
        <v>126</v>
      </c>
      <c r="G246" s="63">
        <v>125</v>
      </c>
      <c r="H246" s="63">
        <v>128</v>
      </c>
      <c r="I246" s="63">
        <v>122</v>
      </c>
      <c r="J246" s="63">
        <v>122</v>
      </c>
      <c r="K246" s="63">
        <v>118</v>
      </c>
      <c r="L246" s="63">
        <v>117</v>
      </c>
      <c r="M246" s="63">
        <v>115</v>
      </c>
      <c r="N246" s="63">
        <v>108</v>
      </c>
      <c r="O246" s="63">
        <v>120</v>
      </c>
      <c r="P246" s="63">
        <v>119</v>
      </c>
      <c r="Q246" s="63">
        <v>109</v>
      </c>
      <c r="R246" s="63">
        <v>108</v>
      </c>
      <c r="S246" s="63">
        <v>106</v>
      </c>
      <c r="T246" s="63">
        <v>102</v>
      </c>
      <c r="U246" s="63">
        <v>85</v>
      </c>
      <c r="V246" s="63">
        <v>53</v>
      </c>
      <c r="W246" s="63">
        <v>53</v>
      </c>
      <c r="X246" s="63">
        <v>53</v>
      </c>
      <c r="Y246" s="63">
        <v>50</v>
      </c>
      <c r="Z246" s="63">
        <v>49</v>
      </c>
      <c r="AA246" s="63">
        <v>53</v>
      </c>
      <c r="AB246" s="63">
        <v>56</v>
      </c>
    </row>
    <row r="247" spans="1:28" x14ac:dyDescent="0.2">
      <c r="A247" s="62">
        <v>19</v>
      </c>
      <c r="B247" s="62" t="s">
        <v>353</v>
      </c>
      <c r="C247" s="62">
        <v>21</v>
      </c>
      <c r="D247" s="64" t="s">
        <v>320</v>
      </c>
      <c r="E247" s="65"/>
      <c r="F247" s="65"/>
      <c r="G247" s="65"/>
      <c r="H247" s="62"/>
      <c r="I247" s="62"/>
      <c r="J247" s="62"/>
      <c r="K247" s="62"/>
      <c r="L247" s="62"/>
      <c r="M247" s="62"/>
      <c r="N247" s="62"/>
      <c r="O247" s="63">
        <v>741</v>
      </c>
      <c r="P247" s="62"/>
      <c r="Q247" s="62"/>
      <c r="R247" s="62"/>
      <c r="S247" s="62"/>
      <c r="T247" s="62"/>
      <c r="U247" s="62"/>
      <c r="V247" s="63">
        <v>468</v>
      </c>
      <c r="W247" s="63">
        <v>512</v>
      </c>
      <c r="X247" s="63">
        <v>479</v>
      </c>
      <c r="Y247" s="63">
        <v>453</v>
      </c>
      <c r="Z247" s="63">
        <v>471</v>
      </c>
      <c r="AA247" s="63">
        <v>489</v>
      </c>
      <c r="AB247" s="63">
        <v>507</v>
      </c>
    </row>
    <row r="248" spans="1:28" x14ac:dyDescent="0.2">
      <c r="A248" s="62">
        <v>19</v>
      </c>
      <c r="B248" s="62" t="s">
        <v>353</v>
      </c>
      <c r="C248" s="62">
        <v>22</v>
      </c>
      <c r="D248" s="62" t="s">
        <v>321</v>
      </c>
      <c r="E248" s="62"/>
      <c r="F248" s="63">
        <v>31</v>
      </c>
      <c r="G248" s="63">
        <v>28</v>
      </c>
      <c r="H248" s="63">
        <v>22</v>
      </c>
      <c r="I248" s="63">
        <v>24</v>
      </c>
      <c r="J248" s="63">
        <v>26</v>
      </c>
      <c r="K248" s="62"/>
      <c r="L248" s="62"/>
      <c r="M248" s="62"/>
      <c r="N248" s="62"/>
      <c r="O248" s="62"/>
      <c r="P248" s="63">
        <v>26</v>
      </c>
      <c r="Q248" s="63">
        <v>24</v>
      </c>
      <c r="R248" s="63">
        <v>20</v>
      </c>
      <c r="S248" s="63">
        <v>17</v>
      </c>
      <c r="T248" s="63">
        <v>19</v>
      </c>
      <c r="U248" s="63">
        <v>22</v>
      </c>
      <c r="V248" s="63">
        <v>19</v>
      </c>
      <c r="W248" s="63">
        <v>20</v>
      </c>
      <c r="X248" s="62"/>
      <c r="Y248" s="63">
        <v>20</v>
      </c>
      <c r="Z248" s="63">
        <v>22</v>
      </c>
      <c r="AA248" s="63">
        <v>22</v>
      </c>
      <c r="AB248" s="63">
        <v>25</v>
      </c>
    </row>
    <row r="249" spans="1:28" x14ac:dyDescent="0.2">
      <c r="A249" s="62">
        <v>19</v>
      </c>
      <c r="B249" s="62" t="s">
        <v>353</v>
      </c>
      <c r="C249" s="62">
        <v>23</v>
      </c>
      <c r="D249" s="62" t="s">
        <v>322</v>
      </c>
      <c r="E249" s="63">
        <v>350</v>
      </c>
      <c r="F249" s="63">
        <v>362</v>
      </c>
      <c r="G249" s="63">
        <v>377</v>
      </c>
      <c r="H249" s="63">
        <v>360</v>
      </c>
      <c r="I249" s="63">
        <v>361</v>
      </c>
      <c r="J249" s="63">
        <v>401</v>
      </c>
      <c r="K249" s="63">
        <v>424</v>
      </c>
      <c r="L249" s="63">
        <v>424</v>
      </c>
      <c r="M249" s="63">
        <v>300</v>
      </c>
      <c r="N249" s="63">
        <v>280</v>
      </c>
      <c r="O249" s="63">
        <v>239</v>
      </c>
      <c r="P249" s="63">
        <v>212</v>
      </c>
      <c r="Q249" s="63">
        <v>292</v>
      </c>
      <c r="R249" s="63">
        <v>267</v>
      </c>
      <c r="S249" s="63">
        <v>229</v>
      </c>
      <c r="T249" s="63">
        <v>225</v>
      </c>
      <c r="U249" s="63">
        <v>225</v>
      </c>
      <c r="V249" s="63">
        <v>252</v>
      </c>
      <c r="W249" s="63">
        <v>272</v>
      </c>
      <c r="X249" s="63">
        <v>261</v>
      </c>
      <c r="Y249" s="63">
        <v>239</v>
      </c>
      <c r="Z249" s="63">
        <v>227</v>
      </c>
      <c r="AA249" s="63">
        <v>200</v>
      </c>
      <c r="AB249" s="63">
        <v>209</v>
      </c>
    </row>
    <row r="250" spans="1:28" x14ac:dyDescent="0.2">
      <c r="A250" s="62">
        <v>19</v>
      </c>
      <c r="B250" s="62" t="s">
        <v>353</v>
      </c>
      <c r="C250" s="62">
        <v>3</v>
      </c>
      <c r="D250" s="62" t="s">
        <v>323</v>
      </c>
      <c r="E250" s="63">
        <v>480</v>
      </c>
      <c r="F250" s="63">
        <v>490</v>
      </c>
      <c r="G250" s="63">
        <v>505</v>
      </c>
      <c r="H250" s="63">
        <v>488</v>
      </c>
      <c r="I250" s="63">
        <v>474</v>
      </c>
      <c r="J250" s="63">
        <v>468</v>
      </c>
      <c r="K250" s="63">
        <v>470</v>
      </c>
      <c r="L250" s="63">
        <v>505</v>
      </c>
      <c r="M250" s="63">
        <v>516</v>
      </c>
      <c r="N250" s="63">
        <v>525</v>
      </c>
      <c r="O250" s="63">
        <v>521</v>
      </c>
      <c r="P250" s="63">
        <v>522</v>
      </c>
      <c r="Q250" s="63">
        <v>533</v>
      </c>
      <c r="R250" s="63">
        <v>536</v>
      </c>
      <c r="S250" s="63">
        <v>526</v>
      </c>
      <c r="T250" s="63">
        <v>536</v>
      </c>
      <c r="U250" s="63">
        <v>518</v>
      </c>
      <c r="V250" s="63">
        <v>522</v>
      </c>
      <c r="W250" s="63">
        <v>505</v>
      </c>
      <c r="X250" s="63">
        <v>502</v>
      </c>
      <c r="Y250" s="63">
        <v>502</v>
      </c>
      <c r="Z250" s="63">
        <v>499</v>
      </c>
      <c r="AA250" s="63">
        <v>523</v>
      </c>
      <c r="AB250" s="63">
        <v>516</v>
      </c>
    </row>
    <row r="251" spans="1:28" x14ac:dyDescent="0.2">
      <c r="A251" s="62">
        <v>19</v>
      </c>
      <c r="B251" s="62" t="s">
        <v>353</v>
      </c>
      <c r="C251" s="62" t="s">
        <v>324</v>
      </c>
      <c r="D251" s="62" t="s">
        <v>325</v>
      </c>
      <c r="E251" s="63">
        <v>75</v>
      </c>
      <c r="F251" s="63">
        <v>58</v>
      </c>
      <c r="G251" s="63">
        <v>66</v>
      </c>
      <c r="H251" s="63">
        <v>70</v>
      </c>
      <c r="I251" s="63">
        <v>62</v>
      </c>
      <c r="J251" s="63">
        <v>58</v>
      </c>
      <c r="K251" s="63">
        <v>60</v>
      </c>
      <c r="L251" s="63">
        <v>61</v>
      </c>
      <c r="M251" s="63">
        <v>67</v>
      </c>
      <c r="N251" s="63">
        <v>60</v>
      </c>
      <c r="O251" s="63">
        <v>56</v>
      </c>
      <c r="P251" s="63">
        <v>47</v>
      </c>
      <c r="Q251" s="63">
        <v>49</v>
      </c>
      <c r="R251" s="63">
        <v>53</v>
      </c>
      <c r="S251" s="63">
        <v>73</v>
      </c>
      <c r="T251" s="63">
        <v>54</v>
      </c>
      <c r="U251" s="63">
        <v>55</v>
      </c>
      <c r="V251" s="63">
        <v>58</v>
      </c>
      <c r="W251" s="63">
        <v>67</v>
      </c>
      <c r="X251" s="63">
        <v>90</v>
      </c>
      <c r="Y251" s="63">
        <v>162</v>
      </c>
      <c r="Z251" s="63">
        <v>158</v>
      </c>
      <c r="AA251" s="63">
        <v>152</v>
      </c>
      <c r="AB251" s="63">
        <v>129</v>
      </c>
    </row>
    <row r="252" spans="1:28" x14ac:dyDescent="0.2">
      <c r="A252" s="62">
        <v>19</v>
      </c>
      <c r="B252" s="62" t="s">
        <v>353</v>
      </c>
      <c r="C252" s="62">
        <v>42</v>
      </c>
      <c r="D252" s="62" t="s">
        <v>326</v>
      </c>
      <c r="E252" s="63">
        <v>103</v>
      </c>
      <c r="F252" s="63">
        <v>87</v>
      </c>
      <c r="G252" s="63">
        <v>82</v>
      </c>
      <c r="H252" s="63">
        <v>87</v>
      </c>
      <c r="I252" s="63">
        <v>59</v>
      </c>
      <c r="J252" s="63">
        <v>55</v>
      </c>
      <c r="K252" s="63">
        <v>60</v>
      </c>
      <c r="L252" s="63">
        <v>57</v>
      </c>
      <c r="M252" s="63">
        <v>64</v>
      </c>
      <c r="N252" s="63">
        <v>65</v>
      </c>
      <c r="O252" s="63">
        <v>66</v>
      </c>
      <c r="P252" s="63">
        <v>69</v>
      </c>
      <c r="Q252" s="63">
        <v>60</v>
      </c>
      <c r="R252" s="63">
        <v>30</v>
      </c>
      <c r="S252" s="63">
        <v>54</v>
      </c>
      <c r="T252" s="63">
        <v>55</v>
      </c>
      <c r="U252" s="63">
        <v>62</v>
      </c>
      <c r="V252" s="63">
        <v>74</v>
      </c>
      <c r="W252" s="63">
        <v>76</v>
      </c>
      <c r="X252" s="63">
        <v>71</v>
      </c>
      <c r="Y252" s="63">
        <v>73</v>
      </c>
      <c r="Z252" s="63">
        <v>154</v>
      </c>
      <c r="AA252" s="63">
        <v>143</v>
      </c>
      <c r="AB252" s="63">
        <v>119</v>
      </c>
    </row>
    <row r="253" spans="1:28" x14ac:dyDescent="0.2">
      <c r="A253" s="62">
        <v>19</v>
      </c>
      <c r="B253" s="62" t="s">
        <v>353</v>
      </c>
      <c r="C253" s="62" t="s">
        <v>327</v>
      </c>
      <c r="D253" s="62" t="s">
        <v>328</v>
      </c>
      <c r="E253" s="63">
        <v>339</v>
      </c>
      <c r="F253" s="63">
        <v>342</v>
      </c>
      <c r="G253" s="63">
        <v>334</v>
      </c>
      <c r="H253" s="63">
        <v>361</v>
      </c>
      <c r="I253" s="63">
        <v>361</v>
      </c>
      <c r="J253" s="63">
        <v>352</v>
      </c>
      <c r="K253" s="63">
        <v>374</v>
      </c>
      <c r="L253" s="63">
        <v>353</v>
      </c>
      <c r="M253" s="63">
        <v>327</v>
      </c>
      <c r="N253" s="63">
        <v>319</v>
      </c>
      <c r="O253" s="63">
        <v>287</v>
      </c>
      <c r="P253" s="63">
        <v>282</v>
      </c>
      <c r="Q253" s="63">
        <v>291</v>
      </c>
      <c r="R253" s="63">
        <v>306</v>
      </c>
      <c r="S253" s="63">
        <v>307</v>
      </c>
      <c r="T253" s="63">
        <v>314</v>
      </c>
      <c r="U253" s="63">
        <v>333</v>
      </c>
      <c r="V253" s="63">
        <v>331</v>
      </c>
      <c r="W253" s="63">
        <v>320</v>
      </c>
      <c r="X253" s="63">
        <v>303</v>
      </c>
      <c r="Y253" s="63">
        <v>309</v>
      </c>
      <c r="Z253" s="63">
        <v>337</v>
      </c>
      <c r="AA253" s="63">
        <v>342</v>
      </c>
      <c r="AB253" s="63">
        <v>344</v>
      </c>
    </row>
    <row r="254" spans="1:28" x14ac:dyDescent="0.2">
      <c r="A254" s="62">
        <v>19</v>
      </c>
      <c r="B254" s="62" t="s">
        <v>353</v>
      </c>
      <c r="C254" s="62" t="s">
        <v>329</v>
      </c>
      <c r="D254" s="62" t="s">
        <v>330</v>
      </c>
      <c r="E254" s="63">
        <v>57</v>
      </c>
      <c r="F254" s="63">
        <v>35</v>
      </c>
      <c r="G254" s="63">
        <v>40</v>
      </c>
      <c r="H254" s="63">
        <v>42</v>
      </c>
      <c r="I254" s="63">
        <v>41</v>
      </c>
      <c r="J254" s="63">
        <v>39</v>
      </c>
      <c r="K254" s="63">
        <v>44</v>
      </c>
      <c r="L254" s="63">
        <v>44</v>
      </c>
      <c r="M254" s="63">
        <v>48</v>
      </c>
      <c r="N254" s="63">
        <v>58</v>
      </c>
      <c r="O254" s="63">
        <v>65</v>
      </c>
      <c r="P254" s="63">
        <v>64</v>
      </c>
      <c r="Q254" s="63">
        <v>62</v>
      </c>
      <c r="R254" s="63">
        <v>67</v>
      </c>
      <c r="S254" s="63">
        <v>71</v>
      </c>
      <c r="T254" s="63">
        <v>97</v>
      </c>
      <c r="U254" s="63">
        <v>95</v>
      </c>
      <c r="V254" s="63">
        <v>103</v>
      </c>
      <c r="W254" s="63">
        <v>131</v>
      </c>
      <c r="X254" s="63">
        <v>86</v>
      </c>
      <c r="Y254" s="63">
        <v>95</v>
      </c>
      <c r="Z254" s="63">
        <v>97</v>
      </c>
      <c r="AA254" s="63">
        <v>116</v>
      </c>
      <c r="AB254" s="63">
        <v>103</v>
      </c>
    </row>
    <row r="255" spans="1:28" x14ac:dyDescent="0.2">
      <c r="A255" s="62">
        <v>19</v>
      </c>
      <c r="B255" s="62" t="s">
        <v>353</v>
      </c>
      <c r="C255" s="62">
        <v>51</v>
      </c>
      <c r="D255" s="62" t="s">
        <v>331</v>
      </c>
      <c r="E255" s="63">
        <v>72</v>
      </c>
      <c r="F255" s="63">
        <v>74</v>
      </c>
      <c r="G255" s="63">
        <v>73</v>
      </c>
      <c r="H255" s="63">
        <v>37</v>
      </c>
      <c r="I255" s="63">
        <v>62</v>
      </c>
      <c r="J255" s="63">
        <v>67</v>
      </c>
      <c r="K255" s="63">
        <v>66</v>
      </c>
      <c r="L255" s="63">
        <v>61</v>
      </c>
      <c r="M255" s="63">
        <v>56</v>
      </c>
      <c r="N255" s="63">
        <v>53</v>
      </c>
      <c r="O255" s="63">
        <v>53</v>
      </c>
      <c r="P255" s="63">
        <v>49</v>
      </c>
      <c r="Q255" s="62"/>
      <c r="R255" s="62"/>
      <c r="S255" s="63">
        <v>41</v>
      </c>
      <c r="T255" s="63">
        <v>23</v>
      </c>
      <c r="U255" s="63">
        <v>21</v>
      </c>
      <c r="V255" s="63">
        <v>24</v>
      </c>
      <c r="W255" s="63">
        <v>18</v>
      </c>
      <c r="X255" s="63">
        <v>32</v>
      </c>
      <c r="Y255" s="63">
        <v>41</v>
      </c>
      <c r="Z255" s="63">
        <v>35</v>
      </c>
      <c r="AA255" s="63">
        <v>30</v>
      </c>
      <c r="AB255" s="63">
        <v>28</v>
      </c>
    </row>
    <row r="256" spans="1:28" x14ac:dyDescent="0.2">
      <c r="A256" s="62">
        <v>19</v>
      </c>
      <c r="B256" s="62" t="s">
        <v>353</v>
      </c>
      <c r="C256" s="62">
        <v>52</v>
      </c>
      <c r="D256" s="62" t="s">
        <v>332</v>
      </c>
      <c r="E256" s="63">
        <v>74</v>
      </c>
      <c r="F256" s="63">
        <v>81</v>
      </c>
      <c r="G256" s="63">
        <v>82</v>
      </c>
      <c r="H256" s="63">
        <v>76</v>
      </c>
      <c r="I256" s="63">
        <v>68</v>
      </c>
      <c r="J256" s="63">
        <v>62</v>
      </c>
      <c r="K256" s="63">
        <v>64</v>
      </c>
      <c r="L256" s="63">
        <v>56</v>
      </c>
      <c r="M256" s="63">
        <v>32</v>
      </c>
      <c r="N256" s="63">
        <v>57</v>
      </c>
      <c r="O256" s="63">
        <v>51</v>
      </c>
      <c r="P256" s="63">
        <v>45</v>
      </c>
      <c r="Q256" s="63">
        <v>40</v>
      </c>
      <c r="R256" s="63">
        <v>41</v>
      </c>
      <c r="S256" s="63">
        <v>46</v>
      </c>
      <c r="T256" s="63">
        <v>39</v>
      </c>
      <c r="U256" s="63">
        <v>41</v>
      </c>
      <c r="V256" s="63">
        <v>41</v>
      </c>
      <c r="W256" s="63">
        <v>37</v>
      </c>
      <c r="X256" s="63">
        <v>37</v>
      </c>
      <c r="Y256" s="63">
        <v>36</v>
      </c>
      <c r="Z256" s="63">
        <v>40</v>
      </c>
      <c r="AA256" s="63">
        <v>27</v>
      </c>
      <c r="AB256" s="63">
        <v>51</v>
      </c>
    </row>
    <row r="257" spans="1:28" x14ac:dyDescent="0.2">
      <c r="A257" s="62">
        <v>19</v>
      </c>
      <c r="B257" s="62" t="s">
        <v>353</v>
      </c>
      <c r="C257" s="62">
        <v>53</v>
      </c>
      <c r="D257" s="62" t="s">
        <v>333</v>
      </c>
      <c r="E257" s="63">
        <v>114</v>
      </c>
      <c r="F257" s="63">
        <v>120</v>
      </c>
      <c r="G257" s="63">
        <v>136</v>
      </c>
      <c r="H257" s="63">
        <v>164</v>
      </c>
      <c r="I257" s="63">
        <v>184</v>
      </c>
      <c r="J257" s="63">
        <v>190</v>
      </c>
      <c r="K257" s="63">
        <v>167</v>
      </c>
      <c r="L257" s="63">
        <v>148</v>
      </c>
      <c r="M257" s="63">
        <v>144</v>
      </c>
      <c r="N257" s="63">
        <v>123</v>
      </c>
      <c r="O257" s="63">
        <v>133</v>
      </c>
      <c r="P257" s="63">
        <v>140</v>
      </c>
      <c r="Q257" s="63">
        <v>138</v>
      </c>
      <c r="R257" s="63">
        <v>144</v>
      </c>
      <c r="S257" s="63">
        <v>146</v>
      </c>
      <c r="T257" s="63">
        <v>153</v>
      </c>
      <c r="U257" s="63">
        <v>157</v>
      </c>
      <c r="V257" s="63">
        <v>158</v>
      </c>
      <c r="W257" s="63">
        <v>151</v>
      </c>
      <c r="X257" s="63">
        <v>145</v>
      </c>
      <c r="Y257" s="63">
        <v>150</v>
      </c>
      <c r="Z257" s="63">
        <v>167</v>
      </c>
      <c r="AA257" s="63">
        <v>254</v>
      </c>
      <c r="AB257" s="63">
        <v>210</v>
      </c>
    </row>
    <row r="258" spans="1:28" x14ac:dyDescent="0.2">
      <c r="A258" s="62">
        <v>19</v>
      </c>
      <c r="B258" s="62" t="s">
        <v>353</v>
      </c>
      <c r="C258" s="62">
        <v>54</v>
      </c>
      <c r="D258" s="62" t="s">
        <v>334</v>
      </c>
      <c r="E258" s="63">
        <v>273</v>
      </c>
      <c r="F258" s="63">
        <v>291</v>
      </c>
      <c r="G258" s="63">
        <v>285</v>
      </c>
      <c r="H258" s="63">
        <v>296</v>
      </c>
      <c r="I258" s="63">
        <v>299</v>
      </c>
      <c r="J258" s="63">
        <v>314</v>
      </c>
      <c r="K258" s="63">
        <v>294</v>
      </c>
      <c r="L258" s="63">
        <v>307</v>
      </c>
      <c r="M258" s="63">
        <v>306</v>
      </c>
      <c r="N258" s="63">
        <v>291</v>
      </c>
      <c r="O258" s="63">
        <v>296</v>
      </c>
      <c r="P258" s="63">
        <v>291</v>
      </c>
      <c r="Q258" s="63">
        <v>276</v>
      </c>
      <c r="R258" s="63">
        <v>270</v>
      </c>
      <c r="S258" s="63">
        <v>263</v>
      </c>
      <c r="T258" s="63">
        <v>251</v>
      </c>
      <c r="U258" s="63">
        <v>263</v>
      </c>
      <c r="V258" s="63">
        <v>281</v>
      </c>
      <c r="W258" s="63">
        <v>296</v>
      </c>
      <c r="X258" s="63">
        <v>288</v>
      </c>
      <c r="Y258" s="63">
        <v>298</v>
      </c>
      <c r="Z258" s="63">
        <v>295</v>
      </c>
      <c r="AA258" s="63">
        <v>345</v>
      </c>
      <c r="AB258" s="63">
        <v>384</v>
      </c>
    </row>
    <row r="259" spans="1:28" x14ac:dyDescent="0.2">
      <c r="A259" s="62">
        <v>19</v>
      </c>
      <c r="B259" s="62" t="s">
        <v>353</v>
      </c>
      <c r="C259" s="62">
        <v>55</v>
      </c>
      <c r="D259" s="62" t="s">
        <v>335</v>
      </c>
      <c r="E259" s="63">
        <v>0</v>
      </c>
      <c r="F259" s="63">
        <v>0</v>
      </c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3">
        <v>15</v>
      </c>
      <c r="U259" s="63">
        <v>18</v>
      </c>
      <c r="V259" s="63">
        <v>21</v>
      </c>
      <c r="W259" s="63">
        <v>20</v>
      </c>
      <c r="X259" s="62"/>
      <c r="Y259" s="63">
        <v>15</v>
      </c>
      <c r="Z259" s="63">
        <v>27</v>
      </c>
      <c r="AA259" s="63">
        <v>32</v>
      </c>
      <c r="AB259" s="63">
        <v>33</v>
      </c>
    </row>
    <row r="260" spans="1:28" x14ac:dyDescent="0.2">
      <c r="A260" s="62">
        <v>19</v>
      </c>
      <c r="B260" s="62" t="s">
        <v>353</v>
      </c>
      <c r="C260" s="62">
        <v>56</v>
      </c>
      <c r="D260" s="62" t="s">
        <v>336</v>
      </c>
      <c r="E260" s="63">
        <v>70</v>
      </c>
      <c r="F260" s="63">
        <v>83</v>
      </c>
      <c r="G260" s="63">
        <v>71</v>
      </c>
      <c r="H260" s="63">
        <v>84</v>
      </c>
      <c r="I260" s="63">
        <v>85</v>
      </c>
      <c r="J260" s="63">
        <v>96</v>
      </c>
      <c r="K260" s="63">
        <v>140</v>
      </c>
      <c r="L260" s="63">
        <v>120</v>
      </c>
      <c r="M260" s="63">
        <v>115</v>
      </c>
      <c r="N260" s="63">
        <v>110</v>
      </c>
      <c r="O260" s="63">
        <v>118</v>
      </c>
      <c r="P260" s="63">
        <v>112</v>
      </c>
      <c r="Q260" s="63">
        <v>108</v>
      </c>
      <c r="R260" s="63">
        <v>86</v>
      </c>
      <c r="S260" s="63">
        <v>107</v>
      </c>
      <c r="T260" s="63">
        <v>117</v>
      </c>
      <c r="U260" s="63">
        <v>116</v>
      </c>
      <c r="V260" s="63">
        <v>140</v>
      </c>
      <c r="W260" s="63">
        <v>163</v>
      </c>
      <c r="X260" s="63">
        <v>147</v>
      </c>
      <c r="Y260" s="63">
        <v>166</v>
      </c>
      <c r="Z260" s="63">
        <v>170</v>
      </c>
      <c r="AA260" s="63">
        <v>133</v>
      </c>
      <c r="AB260" s="63">
        <v>123</v>
      </c>
    </row>
    <row r="261" spans="1:28" x14ac:dyDescent="0.2">
      <c r="A261" s="62">
        <v>19</v>
      </c>
      <c r="B261" s="62" t="s">
        <v>353</v>
      </c>
      <c r="C261" s="62">
        <v>61</v>
      </c>
      <c r="D261" s="62" t="s">
        <v>337</v>
      </c>
      <c r="E261" s="63">
        <v>84</v>
      </c>
      <c r="F261" s="62"/>
      <c r="G261" s="63">
        <v>83</v>
      </c>
      <c r="H261" s="63">
        <v>57</v>
      </c>
      <c r="I261" s="63">
        <v>30</v>
      </c>
      <c r="J261" s="63">
        <v>38</v>
      </c>
      <c r="K261" s="63">
        <v>49</v>
      </c>
      <c r="L261" s="63">
        <v>29</v>
      </c>
      <c r="M261" s="63">
        <v>37</v>
      </c>
      <c r="N261" s="63">
        <v>37</v>
      </c>
      <c r="O261" s="63">
        <v>33</v>
      </c>
      <c r="P261" s="63">
        <v>33</v>
      </c>
      <c r="Q261" s="63">
        <v>49</v>
      </c>
      <c r="R261" s="63">
        <v>54</v>
      </c>
      <c r="S261" s="63">
        <v>49</v>
      </c>
      <c r="T261" s="63">
        <v>42</v>
      </c>
      <c r="U261" s="63">
        <v>58</v>
      </c>
      <c r="V261" s="63">
        <v>56</v>
      </c>
      <c r="W261" s="63">
        <v>63</v>
      </c>
      <c r="X261" s="63">
        <v>58</v>
      </c>
      <c r="Y261" s="63">
        <v>60</v>
      </c>
      <c r="Z261" s="63">
        <v>71</v>
      </c>
      <c r="AA261" s="63">
        <v>62</v>
      </c>
      <c r="AB261" s="63">
        <v>53</v>
      </c>
    </row>
    <row r="262" spans="1:28" x14ac:dyDescent="0.2">
      <c r="A262" s="62">
        <v>19</v>
      </c>
      <c r="B262" s="62" t="s">
        <v>353</v>
      </c>
      <c r="C262" s="62">
        <v>62</v>
      </c>
      <c r="D262" s="62" t="s">
        <v>338</v>
      </c>
      <c r="E262" s="63">
        <v>111</v>
      </c>
      <c r="F262" s="63">
        <v>125</v>
      </c>
      <c r="G262" s="63">
        <v>131</v>
      </c>
      <c r="H262" s="63">
        <v>133</v>
      </c>
      <c r="I262" s="63">
        <v>154</v>
      </c>
      <c r="J262" s="63">
        <v>133</v>
      </c>
      <c r="K262" s="63">
        <v>149</v>
      </c>
      <c r="L262" s="63">
        <v>126</v>
      </c>
      <c r="M262" s="63">
        <v>130</v>
      </c>
      <c r="N262" s="63">
        <v>113</v>
      </c>
      <c r="O262" s="63">
        <v>94</v>
      </c>
      <c r="P262" s="63">
        <v>102</v>
      </c>
      <c r="Q262" s="63">
        <v>103</v>
      </c>
      <c r="R262" s="63">
        <v>129</v>
      </c>
      <c r="S262" s="63">
        <v>122</v>
      </c>
      <c r="T262" s="63">
        <v>126</v>
      </c>
      <c r="U262" s="63">
        <v>123</v>
      </c>
      <c r="V262" s="63">
        <v>127</v>
      </c>
      <c r="W262" s="63">
        <v>110</v>
      </c>
      <c r="X262" s="63">
        <v>106</v>
      </c>
      <c r="Y262" s="63">
        <v>106</v>
      </c>
      <c r="Z262" s="63">
        <v>117</v>
      </c>
      <c r="AA262" s="63">
        <v>117</v>
      </c>
      <c r="AB262" s="63">
        <v>117</v>
      </c>
    </row>
    <row r="263" spans="1:28" x14ac:dyDescent="0.2">
      <c r="A263" s="62">
        <v>19</v>
      </c>
      <c r="B263" s="62" t="s">
        <v>353</v>
      </c>
      <c r="C263" s="62">
        <v>71</v>
      </c>
      <c r="D263" s="62" t="s">
        <v>339</v>
      </c>
      <c r="E263" s="63">
        <v>300</v>
      </c>
      <c r="F263" s="63">
        <v>277</v>
      </c>
      <c r="G263" s="63">
        <v>297</v>
      </c>
      <c r="H263" s="63">
        <v>268</v>
      </c>
      <c r="I263" s="63">
        <v>282</v>
      </c>
      <c r="J263" s="63">
        <v>328</v>
      </c>
      <c r="K263" s="63">
        <v>358</v>
      </c>
      <c r="L263" s="63">
        <v>415</v>
      </c>
      <c r="M263" s="63">
        <v>424</v>
      </c>
      <c r="N263" s="63">
        <v>410</v>
      </c>
      <c r="O263" s="63">
        <v>428</v>
      </c>
      <c r="P263" s="63">
        <v>393</v>
      </c>
      <c r="Q263" s="63">
        <v>348</v>
      </c>
      <c r="R263" s="63">
        <v>386</v>
      </c>
      <c r="S263" s="63">
        <v>380</v>
      </c>
      <c r="T263" s="63">
        <v>403</v>
      </c>
      <c r="U263" s="63">
        <v>460</v>
      </c>
      <c r="V263" s="63">
        <v>484</v>
      </c>
      <c r="W263" s="63">
        <v>520</v>
      </c>
      <c r="X263" s="63">
        <v>416</v>
      </c>
      <c r="Y263" s="63">
        <v>468</v>
      </c>
      <c r="Z263" s="63">
        <v>508</v>
      </c>
      <c r="AA263" s="63">
        <v>558</v>
      </c>
      <c r="AB263" s="63">
        <v>536</v>
      </c>
    </row>
    <row r="264" spans="1:28" x14ac:dyDescent="0.2">
      <c r="A264" s="62">
        <v>19</v>
      </c>
      <c r="B264" s="62" t="s">
        <v>353</v>
      </c>
      <c r="C264" s="62">
        <v>72</v>
      </c>
      <c r="D264" s="62" t="s">
        <v>340</v>
      </c>
      <c r="E264" s="63">
        <v>469</v>
      </c>
      <c r="F264" s="63">
        <v>494</v>
      </c>
      <c r="G264" s="63">
        <v>527</v>
      </c>
      <c r="H264" s="63">
        <v>511</v>
      </c>
      <c r="I264" s="63">
        <v>533</v>
      </c>
      <c r="J264" s="63">
        <v>586</v>
      </c>
      <c r="K264" s="63">
        <v>583</v>
      </c>
      <c r="L264" s="63">
        <v>569</v>
      </c>
      <c r="M264" s="63">
        <v>586</v>
      </c>
      <c r="N264" s="63">
        <v>596</v>
      </c>
      <c r="O264" s="63">
        <v>618</v>
      </c>
      <c r="P264" s="63">
        <v>666</v>
      </c>
      <c r="Q264" s="63">
        <v>648</v>
      </c>
      <c r="R264" s="63">
        <v>616</v>
      </c>
      <c r="S264" s="63">
        <v>604</v>
      </c>
      <c r="T264" s="63">
        <v>676</v>
      </c>
      <c r="U264" s="63">
        <v>709</v>
      </c>
      <c r="V264" s="63">
        <v>713</v>
      </c>
      <c r="W264" s="63">
        <v>759</v>
      </c>
      <c r="X264" s="63">
        <v>549</v>
      </c>
      <c r="Y264" s="63">
        <v>609</v>
      </c>
      <c r="Z264" s="63">
        <v>673</v>
      </c>
      <c r="AA264" s="63">
        <v>669</v>
      </c>
      <c r="AB264" s="63">
        <v>663</v>
      </c>
    </row>
    <row r="265" spans="1:28" x14ac:dyDescent="0.2">
      <c r="A265" s="62">
        <v>19</v>
      </c>
      <c r="B265" s="62" t="s">
        <v>353</v>
      </c>
      <c r="C265" s="62">
        <v>81</v>
      </c>
      <c r="D265" s="62" t="s">
        <v>341</v>
      </c>
      <c r="E265" s="63">
        <v>207</v>
      </c>
      <c r="F265" s="63">
        <v>229</v>
      </c>
      <c r="G265" s="63">
        <v>227</v>
      </c>
      <c r="H265" s="63">
        <v>242</v>
      </c>
      <c r="I265" s="63">
        <v>224</v>
      </c>
      <c r="J265" s="63">
        <v>218</v>
      </c>
      <c r="K265" s="63">
        <v>211</v>
      </c>
      <c r="L265" s="63">
        <v>231</v>
      </c>
      <c r="M265" s="63">
        <v>213</v>
      </c>
      <c r="N265" s="63">
        <v>192</v>
      </c>
      <c r="O265" s="63">
        <v>192</v>
      </c>
      <c r="P265" s="63">
        <v>186</v>
      </c>
      <c r="Q265" s="63">
        <v>176</v>
      </c>
      <c r="R265" s="63">
        <v>179</v>
      </c>
      <c r="S265" s="63">
        <v>198</v>
      </c>
      <c r="T265" s="63">
        <v>195</v>
      </c>
      <c r="U265" s="63">
        <v>196</v>
      </c>
      <c r="V265" s="63">
        <v>158</v>
      </c>
      <c r="W265" s="63">
        <v>161</v>
      </c>
      <c r="X265" s="63">
        <v>143</v>
      </c>
      <c r="Y265" s="63">
        <v>154</v>
      </c>
      <c r="Z265" s="63">
        <v>163</v>
      </c>
      <c r="AA265" s="63">
        <v>116</v>
      </c>
      <c r="AB265" s="63">
        <v>101</v>
      </c>
    </row>
    <row r="266" spans="1:28" x14ac:dyDescent="0.2">
      <c r="A266" s="62">
        <v>19</v>
      </c>
      <c r="B266" s="62" t="s">
        <v>353</v>
      </c>
      <c r="C266" s="62">
        <v>99</v>
      </c>
      <c r="D266" s="62" t="s">
        <v>342</v>
      </c>
      <c r="E266" s="62"/>
      <c r="F266" s="62"/>
      <c r="G266" s="62"/>
      <c r="H266" s="62"/>
      <c r="I266" s="62"/>
      <c r="J266" s="63">
        <v>0</v>
      </c>
      <c r="K266" s="62"/>
      <c r="L266" s="63">
        <v>0</v>
      </c>
      <c r="M266" s="63">
        <v>0</v>
      </c>
      <c r="N266" s="62"/>
      <c r="O266" s="62"/>
      <c r="P266" s="62"/>
      <c r="Q266" s="62"/>
      <c r="R266" s="63">
        <v>0</v>
      </c>
      <c r="S266" s="62"/>
      <c r="T266" s="62"/>
      <c r="U266" s="62"/>
      <c r="V266" s="62"/>
      <c r="W266" s="62"/>
      <c r="X266" s="62"/>
      <c r="Y266" s="62"/>
      <c r="Z266" s="63">
        <v>0</v>
      </c>
      <c r="AA266" s="63">
        <v>1</v>
      </c>
      <c r="AB266" s="62"/>
    </row>
    <row r="267" spans="1:28" x14ac:dyDescent="0.2">
      <c r="A267" s="62">
        <v>21</v>
      </c>
      <c r="B267" s="62" t="s">
        <v>354</v>
      </c>
      <c r="C267" s="62">
        <v>1</v>
      </c>
      <c r="D267" s="62" t="s">
        <v>316</v>
      </c>
      <c r="E267" s="63">
        <v>52</v>
      </c>
      <c r="F267" s="63">
        <v>52</v>
      </c>
      <c r="G267" s="63">
        <v>51</v>
      </c>
      <c r="H267" s="63">
        <v>57</v>
      </c>
      <c r="I267" s="63">
        <v>59</v>
      </c>
      <c r="J267" s="63">
        <v>57</v>
      </c>
      <c r="K267" s="63">
        <v>61</v>
      </c>
      <c r="L267" s="63">
        <v>60</v>
      </c>
      <c r="M267" s="63">
        <v>59</v>
      </c>
      <c r="N267" s="63">
        <v>59</v>
      </c>
      <c r="O267" s="63">
        <v>51</v>
      </c>
      <c r="P267" s="63">
        <v>48</v>
      </c>
      <c r="Q267" s="63">
        <v>47</v>
      </c>
      <c r="R267" s="63">
        <v>43</v>
      </c>
      <c r="S267" s="63">
        <v>42</v>
      </c>
      <c r="T267" s="63">
        <v>42</v>
      </c>
      <c r="U267" s="63">
        <v>44</v>
      </c>
      <c r="V267" s="63">
        <v>43</v>
      </c>
      <c r="W267" s="63">
        <v>42</v>
      </c>
      <c r="X267" s="63">
        <v>49</v>
      </c>
      <c r="Y267" s="63">
        <v>38</v>
      </c>
      <c r="Z267" s="63">
        <v>39</v>
      </c>
      <c r="AA267" s="63">
        <v>41</v>
      </c>
      <c r="AB267" s="63">
        <v>40</v>
      </c>
    </row>
    <row r="268" spans="1:28" x14ac:dyDescent="0.2">
      <c r="A268" s="62">
        <v>21</v>
      </c>
      <c r="B268" s="62" t="s">
        <v>354</v>
      </c>
      <c r="C268" s="62">
        <v>10</v>
      </c>
      <c r="D268" s="62" t="s">
        <v>317</v>
      </c>
      <c r="E268" s="63">
        <v>2045</v>
      </c>
      <c r="F268" s="63">
        <v>1982</v>
      </c>
      <c r="G268" s="63">
        <v>2038</v>
      </c>
      <c r="H268" s="63">
        <v>1969</v>
      </c>
      <c r="I268" s="63">
        <v>1967</v>
      </c>
      <c r="J268" s="63">
        <v>1933</v>
      </c>
      <c r="K268" s="63">
        <v>1993</v>
      </c>
      <c r="L268" s="63">
        <v>1898</v>
      </c>
      <c r="M268" s="63">
        <v>1893</v>
      </c>
      <c r="N268" s="63">
        <v>1921</v>
      </c>
      <c r="O268" s="63">
        <v>1888</v>
      </c>
      <c r="P268" s="63">
        <v>1967</v>
      </c>
      <c r="Q268" s="63">
        <v>1989</v>
      </c>
      <c r="R268" s="63">
        <v>1999</v>
      </c>
      <c r="S268" s="63">
        <v>2033</v>
      </c>
      <c r="T268" s="63">
        <v>2090</v>
      </c>
      <c r="U268" s="63">
        <v>2145</v>
      </c>
      <c r="V268" s="63">
        <v>2153</v>
      </c>
      <c r="W268" s="63">
        <v>2193</v>
      </c>
      <c r="X268" s="63">
        <v>2207</v>
      </c>
      <c r="Y268" s="63">
        <v>2246</v>
      </c>
      <c r="Z268" s="63">
        <v>2301</v>
      </c>
      <c r="AA268" s="63">
        <v>2364</v>
      </c>
      <c r="AB268" s="63">
        <v>2369</v>
      </c>
    </row>
    <row r="269" spans="1:28" x14ac:dyDescent="0.2">
      <c r="A269" s="62">
        <v>21</v>
      </c>
      <c r="B269" s="62" t="s">
        <v>354</v>
      </c>
      <c r="C269" s="62">
        <v>11</v>
      </c>
      <c r="D269" s="62" t="s">
        <v>318</v>
      </c>
      <c r="E269" s="63">
        <v>139</v>
      </c>
      <c r="F269" s="63">
        <v>112</v>
      </c>
      <c r="G269" s="63">
        <v>115</v>
      </c>
      <c r="H269" s="63">
        <v>116</v>
      </c>
      <c r="I269" s="63">
        <v>100</v>
      </c>
      <c r="J269" s="63">
        <v>94</v>
      </c>
      <c r="K269" s="63">
        <v>81</v>
      </c>
      <c r="L269" s="63">
        <v>55</v>
      </c>
      <c r="M269" s="63">
        <v>78</v>
      </c>
      <c r="N269" s="63">
        <v>95</v>
      </c>
      <c r="O269" s="63">
        <v>85</v>
      </c>
      <c r="P269" s="63">
        <v>90</v>
      </c>
      <c r="Q269" s="63">
        <v>97</v>
      </c>
      <c r="R269" s="63">
        <v>124</v>
      </c>
      <c r="S269" s="63">
        <v>117</v>
      </c>
      <c r="T269" s="63">
        <v>130</v>
      </c>
      <c r="U269" s="63">
        <v>153</v>
      </c>
      <c r="V269" s="63">
        <v>152</v>
      </c>
      <c r="W269" s="63">
        <v>155</v>
      </c>
      <c r="X269" s="63">
        <v>145</v>
      </c>
      <c r="Y269" s="63">
        <v>129</v>
      </c>
      <c r="Z269" s="63">
        <v>135</v>
      </c>
      <c r="AA269" s="63">
        <v>153</v>
      </c>
      <c r="AB269" s="63">
        <v>143</v>
      </c>
    </row>
    <row r="270" spans="1:28" x14ac:dyDescent="0.2">
      <c r="A270" s="62">
        <v>21</v>
      </c>
      <c r="B270" s="62" t="s">
        <v>354</v>
      </c>
      <c r="C270" s="62">
        <v>2</v>
      </c>
      <c r="D270" s="64" t="s">
        <v>319</v>
      </c>
      <c r="E270" s="65"/>
      <c r="F270" s="62"/>
      <c r="G270" s="62"/>
      <c r="H270" s="62"/>
      <c r="I270" s="63">
        <v>9</v>
      </c>
      <c r="J270" s="63">
        <v>9</v>
      </c>
      <c r="K270" s="62"/>
      <c r="L270" s="63">
        <v>13</v>
      </c>
      <c r="M270" s="62"/>
      <c r="N270" s="63">
        <v>12</v>
      </c>
      <c r="O270" s="63">
        <v>15</v>
      </c>
      <c r="P270" s="63">
        <v>15</v>
      </c>
      <c r="Q270" s="63">
        <v>16</v>
      </c>
      <c r="R270" s="63">
        <v>17</v>
      </c>
      <c r="S270" s="63">
        <v>16</v>
      </c>
      <c r="T270" s="63">
        <v>16</v>
      </c>
      <c r="U270" s="63">
        <v>14</v>
      </c>
      <c r="V270" s="63">
        <v>15</v>
      </c>
      <c r="W270" s="62"/>
      <c r="X270" s="63">
        <v>15</v>
      </c>
      <c r="Y270" s="62"/>
      <c r="Z270" s="63">
        <v>13</v>
      </c>
      <c r="AA270" s="63">
        <v>12</v>
      </c>
      <c r="AB270" s="63">
        <v>12</v>
      </c>
    </row>
    <row r="271" spans="1:28" x14ac:dyDescent="0.2">
      <c r="A271" s="62">
        <v>21</v>
      </c>
      <c r="B271" s="62" t="s">
        <v>354</v>
      </c>
      <c r="C271" s="62">
        <v>21</v>
      </c>
      <c r="D271" s="62" t="s">
        <v>320</v>
      </c>
      <c r="E271" s="63">
        <v>72</v>
      </c>
      <c r="F271" s="63">
        <v>79</v>
      </c>
      <c r="G271" s="63">
        <v>77</v>
      </c>
      <c r="H271" s="63">
        <v>66</v>
      </c>
      <c r="I271" s="63">
        <v>58</v>
      </c>
      <c r="J271" s="63">
        <v>48</v>
      </c>
      <c r="K271" s="63">
        <v>33</v>
      </c>
      <c r="L271" s="63">
        <v>29</v>
      </c>
      <c r="M271" s="63">
        <v>25</v>
      </c>
      <c r="N271" s="62"/>
      <c r="O271" s="63">
        <v>20</v>
      </c>
      <c r="P271" s="62"/>
      <c r="Q271" s="62"/>
      <c r="R271" s="62"/>
      <c r="S271" s="63">
        <v>28</v>
      </c>
      <c r="T271" s="63">
        <v>26</v>
      </c>
      <c r="U271" s="63">
        <v>34</v>
      </c>
      <c r="V271" s="63">
        <v>34</v>
      </c>
      <c r="W271" s="63">
        <v>34</v>
      </c>
      <c r="X271" s="63">
        <v>30</v>
      </c>
      <c r="Y271" s="63">
        <v>31</v>
      </c>
      <c r="Z271" s="63">
        <v>30</v>
      </c>
      <c r="AA271" s="63">
        <v>25</v>
      </c>
      <c r="AB271" s="63">
        <v>28</v>
      </c>
    </row>
    <row r="272" spans="1:28" x14ac:dyDescent="0.2">
      <c r="A272" s="62">
        <v>21</v>
      </c>
      <c r="B272" s="62" t="s">
        <v>354</v>
      </c>
      <c r="C272" s="62">
        <v>23</v>
      </c>
      <c r="D272" s="62" t="s">
        <v>322</v>
      </c>
      <c r="E272" s="63">
        <v>161</v>
      </c>
      <c r="F272" s="63">
        <v>177</v>
      </c>
      <c r="G272" s="63">
        <v>181</v>
      </c>
      <c r="H272" s="63">
        <v>184</v>
      </c>
      <c r="I272" s="63">
        <v>202</v>
      </c>
      <c r="J272" s="63">
        <v>182</v>
      </c>
      <c r="K272" s="63">
        <v>201</v>
      </c>
      <c r="L272" s="63">
        <v>186</v>
      </c>
      <c r="M272" s="63">
        <v>197</v>
      </c>
      <c r="N272" s="63">
        <v>190</v>
      </c>
      <c r="O272" s="63">
        <v>172</v>
      </c>
      <c r="P272" s="63">
        <v>172</v>
      </c>
      <c r="Q272" s="63">
        <v>196</v>
      </c>
      <c r="R272" s="63">
        <v>174</v>
      </c>
      <c r="S272" s="63">
        <v>172</v>
      </c>
      <c r="T272" s="63">
        <v>172</v>
      </c>
      <c r="U272" s="63">
        <v>188</v>
      </c>
      <c r="V272" s="63">
        <v>213</v>
      </c>
      <c r="W272" s="63">
        <v>232</v>
      </c>
      <c r="X272" s="63">
        <v>256</v>
      </c>
      <c r="Y272" s="63">
        <v>278</v>
      </c>
      <c r="Z272" s="63">
        <v>297</v>
      </c>
      <c r="AA272" s="63">
        <v>290</v>
      </c>
      <c r="AB272" s="63">
        <v>296</v>
      </c>
    </row>
    <row r="273" spans="1:28" x14ac:dyDescent="0.2">
      <c r="A273" s="62">
        <v>21</v>
      </c>
      <c r="B273" s="62" t="s">
        <v>354</v>
      </c>
      <c r="C273" s="62">
        <v>3</v>
      </c>
      <c r="D273" s="62" t="s">
        <v>323</v>
      </c>
      <c r="E273" s="63">
        <v>537</v>
      </c>
      <c r="F273" s="63">
        <v>543</v>
      </c>
      <c r="G273" s="63">
        <v>562</v>
      </c>
      <c r="H273" s="63">
        <v>541</v>
      </c>
      <c r="I273" s="63">
        <v>535</v>
      </c>
      <c r="J273" s="63">
        <v>547</v>
      </c>
      <c r="K273" s="63">
        <v>539</v>
      </c>
      <c r="L273" s="63">
        <v>538</v>
      </c>
      <c r="M273" s="63">
        <v>538</v>
      </c>
      <c r="N273" s="63">
        <v>509</v>
      </c>
      <c r="O273" s="63">
        <v>504</v>
      </c>
      <c r="P273" s="63">
        <v>511</v>
      </c>
      <c r="Q273" s="63">
        <v>517</v>
      </c>
      <c r="R273" s="63">
        <v>501</v>
      </c>
      <c r="S273" s="63">
        <v>522</v>
      </c>
      <c r="T273" s="63">
        <v>519</v>
      </c>
      <c r="U273" s="63">
        <v>515</v>
      </c>
      <c r="V273" s="63">
        <v>497</v>
      </c>
      <c r="W273" s="63">
        <v>490</v>
      </c>
      <c r="X273" s="63">
        <v>470</v>
      </c>
      <c r="Y273" s="63">
        <v>460</v>
      </c>
      <c r="Z273" s="63">
        <v>478</v>
      </c>
      <c r="AA273" s="63">
        <v>501</v>
      </c>
      <c r="AB273" s="63">
        <v>507</v>
      </c>
    </row>
    <row r="274" spans="1:28" x14ac:dyDescent="0.2">
      <c r="A274" s="62">
        <v>21</v>
      </c>
      <c r="B274" s="62" t="s">
        <v>354</v>
      </c>
      <c r="C274" s="62" t="s">
        <v>324</v>
      </c>
      <c r="D274" s="62" t="s">
        <v>325</v>
      </c>
      <c r="E274" s="63">
        <v>59</v>
      </c>
      <c r="F274" s="63">
        <v>54</v>
      </c>
      <c r="G274" s="63">
        <v>49</v>
      </c>
      <c r="H274" s="63">
        <v>45</v>
      </c>
      <c r="I274" s="63">
        <v>42</v>
      </c>
      <c r="J274" s="63">
        <v>43</v>
      </c>
      <c r="K274" s="63">
        <v>46</v>
      </c>
      <c r="L274" s="63">
        <v>47</v>
      </c>
      <c r="M274" s="63">
        <v>41</v>
      </c>
      <c r="N274" s="63">
        <v>43</v>
      </c>
      <c r="O274" s="63">
        <v>29</v>
      </c>
      <c r="P274" s="63">
        <v>47</v>
      </c>
      <c r="Q274" s="63">
        <v>49</v>
      </c>
      <c r="R274" s="63">
        <v>50</v>
      </c>
      <c r="S274" s="63">
        <v>53</v>
      </c>
      <c r="T274" s="63">
        <v>55</v>
      </c>
      <c r="U274" s="63">
        <v>54</v>
      </c>
      <c r="V274" s="63">
        <v>62</v>
      </c>
      <c r="W274" s="63">
        <v>56</v>
      </c>
      <c r="X274" s="63">
        <v>59</v>
      </c>
      <c r="Y274" s="63">
        <v>60</v>
      </c>
      <c r="Z274" s="63">
        <v>65</v>
      </c>
      <c r="AA274" s="63">
        <v>69</v>
      </c>
      <c r="AB274" s="63">
        <v>60</v>
      </c>
    </row>
    <row r="275" spans="1:28" x14ac:dyDescent="0.2">
      <c r="A275" s="62">
        <v>21</v>
      </c>
      <c r="B275" s="62" t="s">
        <v>354</v>
      </c>
      <c r="C275" s="62">
        <v>42</v>
      </c>
      <c r="D275" s="62" t="s">
        <v>326</v>
      </c>
      <c r="E275" s="63">
        <v>25</v>
      </c>
      <c r="F275" s="63">
        <v>26</v>
      </c>
      <c r="G275" s="63">
        <v>21</v>
      </c>
      <c r="H275" s="63">
        <v>20</v>
      </c>
      <c r="I275" s="63">
        <v>23</v>
      </c>
      <c r="J275" s="63">
        <v>21</v>
      </c>
      <c r="K275" s="63">
        <v>27</v>
      </c>
      <c r="L275" s="63">
        <v>45</v>
      </c>
      <c r="M275" s="63">
        <v>43</v>
      </c>
      <c r="N275" s="63">
        <v>45</v>
      </c>
      <c r="O275" s="63">
        <v>50</v>
      </c>
      <c r="P275" s="63">
        <v>57</v>
      </c>
      <c r="Q275" s="63">
        <v>47</v>
      </c>
      <c r="R275" s="63">
        <v>51</v>
      </c>
      <c r="S275" s="63">
        <v>86</v>
      </c>
      <c r="T275" s="63">
        <v>96</v>
      </c>
      <c r="U275" s="63">
        <v>82</v>
      </c>
      <c r="V275" s="63">
        <v>78</v>
      </c>
      <c r="W275" s="63">
        <v>80</v>
      </c>
      <c r="X275" s="63">
        <v>81</v>
      </c>
      <c r="Y275" s="63">
        <v>82</v>
      </c>
      <c r="Z275" s="63">
        <v>85</v>
      </c>
      <c r="AA275" s="63">
        <v>81</v>
      </c>
      <c r="AB275" s="63">
        <v>79</v>
      </c>
    </row>
    <row r="276" spans="1:28" x14ac:dyDescent="0.2">
      <c r="A276" s="62">
        <v>21</v>
      </c>
      <c r="B276" s="62" t="s">
        <v>354</v>
      </c>
      <c r="C276" s="62" t="s">
        <v>327</v>
      </c>
      <c r="D276" s="62" t="s">
        <v>328</v>
      </c>
      <c r="E276" s="63">
        <v>226</v>
      </c>
      <c r="F276" s="63">
        <v>217</v>
      </c>
      <c r="G276" s="63">
        <v>222</v>
      </c>
      <c r="H276" s="63">
        <v>227</v>
      </c>
      <c r="I276" s="63">
        <v>230</v>
      </c>
      <c r="J276" s="63">
        <v>231</v>
      </c>
      <c r="K276" s="63">
        <v>230</v>
      </c>
      <c r="L276" s="63">
        <v>215</v>
      </c>
      <c r="M276" s="63">
        <v>228</v>
      </c>
      <c r="N276" s="63">
        <v>245</v>
      </c>
      <c r="O276" s="63">
        <v>247</v>
      </c>
      <c r="P276" s="63">
        <v>248</v>
      </c>
      <c r="Q276" s="63">
        <v>224</v>
      </c>
      <c r="R276" s="63">
        <v>223</v>
      </c>
      <c r="S276" s="63">
        <v>225</v>
      </c>
      <c r="T276" s="63">
        <v>237</v>
      </c>
      <c r="U276" s="63">
        <v>240</v>
      </c>
      <c r="V276" s="63">
        <v>235</v>
      </c>
      <c r="W276" s="63">
        <v>226</v>
      </c>
      <c r="X276" s="63">
        <v>248</v>
      </c>
      <c r="Y276" s="63">
        <v>271</v>
      </c>
      <c r="Z276" s="63">
        <v>274</v>
      </c>
      <c r="AA276" s="63">
        <v>289</v>
      </c>
      <c r="AB276" s="63">
        <v>291</v>
      </c>
    </row>
    <row r="277" spans="1:28" x14ac:dyDescent="0.2">
      <c r="A277" s="62">
        <v>21</v>
      </c>
      <c r="B277" s="62" t="s">
        <v>354</v>
      </c>
      <c r="C277" s="62" t="s">
        <v>329</v>
      </c>
      <c r="D277" s="62" t="s">
        <v>330</v>
      </c>
      <c r="E277" s="63">
        <v>86</v>
      </c>
      <c r="F277" s="63">
        <v>86</v>
      </c>
      <c r="G277" s="63">
        <v>78</v>
      </c>
      <c r="H277" s="63">
        <v>86</v>
      </c>
      <c r="I277" s="63">
        <v>91</v>
      </c>
      <c r="J277" s="63">
        <v>93</v>
      </c>
      <c r="K277" s="63">
        <v>107</v>
      </c>
      <c r="L277" s="63">
        <v>97</v>
      </c>
      <c r="M277" s="63">
        <v>98</v>
      </c>
      <c r="N277" s="63">
        <v>94</v>
      </c>
      <c r="O277" s="63">
        <v>92</v>
      </c>
      <c r="P277" s="63">
        <v>88</v>
      </c>
      <c r="Q277" s="63">
        <v>95</v>
      </c>
      <c r="R277" s="63">
        <v>97</v>
      </c>
      <c r="S277" s="63">
        <v>95</v>
      </c>
      <c r="T277" s="63">
        <v>86</v>
      </c>
      <c r="U277" s="63">
        <v>98</v>
      </c>
      <c r="V277" s="63">
        <v>95</v>
      </c>
      <c r="W277" s="63">
        <v>112</v>
      </c>
      <c r="X277" s="63">
        <v>107</v>
      </c>
      <c r="Y277" s="63">
        <v>101</v>
      </c>
      <c r="Z277" s="63">
        <v>101</v>
      </c>
      <c r="AA277" s="63">
        <v>108</v>
      </c>
      <c r="AB277" s="63">
        <v>117</v>
      </c>
    </row>
    <row r="278" spans="1:28" x14ac:dyDescent="0.2">
      <c r="A278" s="62">
        <v>21</v>
      </c>
      <c r="B278" s="62" t="s">
        <v>354</v>
      </c>
      <c r="C278" s="62">
        <v>51</v>
      </c>
      <c r="D278" s="62" t="s">
        <v>331</v>
      </c>
      <c r="E278" s="62"/>
      <c r="F278" s="62"/>
      <c r="G278" s="62"/>
      <c r="H278" s="62"/>
      <c r="I278" s="63">
        <v>9</v>
      </c>
      <c r="J278" s="63">
        <v>9</v>
      </c>
      <c r="K278" s="62"/>
      <c r="L278" s="63">
        <v>9</v>
      </c>
      <c r="M278" s="62"/>
      <c r="N278" s="62"/>
      <c r="O278" s="63">
        <v>13</v>
      </c>
      <c r="P278" s="63">
        <v>11</v>
      </c>
      <c r="Q278" s="63">
        <v>9</v>
      </c>
      <c r="R278" s="62"/>
      <c r="S278" s="62"/>
      <c r="T278" s="63">
        <v>7</v>
      </c>
      <c r="U278" s="63">
        <v>8</v>
      </c>
      <c r="V278" s="63">
        <v>6</v>
      </c>
      <c r="W278" s="63">
        <v>8</v>
      </c>
      <c r="X278" s="63">
        <v>9</v>
      </c>
      <c r="Y278" s="63">
        <v>6</v>
      </c>
      <c r="Z278" s="63">
        <v>5</v>
      </c>
      <c r="AA278" s="63">
        <v>5</v>
      </c>
      <c r="AB278" s="63">
        <v>3</v>
      </c>
    </row>
    <row r="279" spans="1:28" x14ac:dyDescent="0.2">
      <c r="A279" s="62">
        <v>21</v>
      </c>
      <c r="B279" s="62" t="s">
        <v>354</v>
      </c>
      <c r="C279" s="62">
        <v>52</v>
      </c>
      <c r="D279" s="62" t="s">
        <v>332</v>
      </c>
      <c r="E279" s="63">
        <v>61</v>
      </c>
      <c r="F279" s="63">
        <v>47</v>
      </c>
      <c r="G279" s="63">
        <v>53</v>
      </c>
      <c r="H279" s="63">
        <v>33</v>
      </c>
      <c r="I279" s="63">
        <v>44</v>
      </c>
      <c r="J279" s="63">
        <v>44</v>
      </c>
      <c r="K279" s="63">
        <v>46</v>
      </c>
      <c r="L279" s="63">
        <v>46</v>
      </c>
      <c r="M279" s="63">
        <v>42</v>
      </c>
      <c r="N279" s="63">
        <v>42</v>
      </c>
      <c r="O279" s="63">
        <v>41</v>
      </c>
      <c r="P279" s="63">
        <v>35</v>
      </c>
      <c r="Q279" s="63">
        <v>37</v>
      </c>
      <c r="R279" s="63">
        <v>40</v>
      </c>
      <c r="S279" s="63">
        <v>36</v>
      </c>
      <c r="T279" s="63">
        <v>33</v>
      </c>
      <c r="U279" s="63">
        <v>28</v>
      </c>
      <c r="V279" s="63">
        <v>36</v>
      </c>
      <c r="W279" s="63">
        <v>31</v>
      </c>
      <c r="X279" s="63">
        <v>29</v>
      </c>
      <c r="Y279" s="63">
        <v>35</v>
      </c>
      <c r="Z279" s="63">
        <v>34</v>
      </c>
      <c r="AA279" s="63">
        <v>35</v>
      </c>
      <c r="AB279" s="63">
        <v>33</v>
      </c>
    </row>
    <row r="280" spans="1:28" x14ac:dyDescent="0.2">
      <c r="A280" s="62">
        <v>21</v>
      </c>
      <c r="B280" s="62" t="s">
        <v>354</v>
      </c>
      <c r="C280" s="62">
        <v>53</v>
      </c>
      <c r="D280" s="62" t="s">
        <v>333</v>
      </c>
      <c r="E280" s="63">
        <v>17</v>
      </c>
      <c r="F280" s="63">
        <v>18</v>
      </c>
      <c r="G280" s="63">
        <v>30</v>
      </c>
      <c r="H280" s="63">
        <v>24</v>
      </c>
      <c r="I280" s="63">
        <v>23</v>
      </c>
      <c r="J280" s="63">
        <v>22</v>
      </c>
      <c r="K280" s="63">
        <v>20</v>
      </c>
      <c r="L280" s="63">
        <v>22</v>
      </c>
      <c r="M280" s="63">
        <v>21</v>
      </c>
      <c r="N280" s="63">
        <v>23</v>
      </c>
      <c r="O280" s="63">
        <v>25</v>
      </c>
      <c r="P280" s="63">
        <v>30</v>
      </c>
      <c r="Q280" s="63">
        <v>28</v>
      </c>
      <c r="R280" s="63">
        <v>32</v>
      </c>
      <c r="S280" s="63">
        <v>32</v>
      </c>
      <c r="T280" s="63">
        <v>35</v>
      </c>
      <c r="U280" s="63">
        <v>35</v>
      </c>
      <c r="V280" s="63">
        <v>34</v>
      </c>
      <c r="W280" s="63">
        <v>41</v>
      </c>
      <c r="X280" s="63">
        <v>36</v>
      </c>
      <c r="Y280" s="63">
        <v>42</v>
      </c>
      <c r="Z280" s="63">
        <v>42</v>
      </c>
      <c r="AA280" s="63">
        <v>35</v>
      </c>
      <c r="AB280" s="63">
        <v>43</v>
      </c>
    </row>
    <row r="281" spans="1:28" x14ac:dyDescent="0.2">
      <c r="A281" s="62">
        <v>21</v>
      </c>
      <c r="B281" s="62" t="s">
        <v>354</v>
      </c>
      <c r="C281" s="62">
        <v>54</v>
      </c>
      <c r="D281" s="62" t="s">
        <v>334</v>
      </c>
      <c r="E281" s="63">
        <v>55</v>
      </c>
      <c r="F281" s="63">
        <v>45</v>
      </c>
      <c r="G281" s="63">
        <v>55</v>
      </c>
      <c r="H281" s="63">
        <v>48</v>
      </c>
      <c r="I281" s="63">
        <v>51</v>
      </c>
      <c r="J281" s="63">
        <v>52</v>
      </c>
      <c r="K281" s="63">
        <v>67</v>
      </c>
      <c r="L281" s="63">
        <v>69</v>
      </c>
      <c r="M281" s="63">
        <v>56</v>
      </c>
      <c r="N281" s="63">
        <v>65</v>
      </c>
      <c r="O281" s="63">
        <v>72</v>
      </c>
      <c r="P281" s="63">
        <v>72</v>
      </c>
      <c r="Q281" s="63">
        <v>69</v>
      </c>
      <c r="R281" s="63">
        <v>74</v>
      </c>
      <c r="S281" s="63">
        <v>63</v>
      </c>
      <c r="T281" s="63">
        <v>61</v>
      </c>
      <c r="U281" s="63">
        <v>60</v>
      </c>
      <c r="V281" s="63">
        <v>58</v>
      </c>
      <c r="W281" s="63">
        <v>67</v>
      </c>
      <c r="X281" s="63">
        <v>67</v>
      </c>
      <c r="Y281" s="63">
        <v>83</v>
      </c>
      <c r="Z281" s="63">
        <v>110</v>
      </c>
      <c r="AA281" s="63">
        <v>98</v>
      </c>
      <c r="AB281" s="63">
        <v>96</v>
      </c>
    </row>
    <row r="282" spans="1:28" x14ac:dyDescent="0.2">
      <c r="A282" s="62">
        <v>21</v>
      </c>
      <c r="B282" s="62" t="s">
        <v>354</v>
      </c>
      <c r="C282" s="62">
        <v>55</v>
      </c>
      <c r="D282" s="64" t="s">
        <v>335</v>
      </c>
      <c r="E282" s="65"/>
      <c r="F282" s="65"/>
      <c r="G282" s="65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3">
        <v>1</v>
      </c>
      <c r="S282" s="62"/>
      <c r="T282" s="62"/>
      <c r="U282" s="62"/>
      <c r="V282" s="63">
        <v>1</v>
      </c>
      <c r="W282" s="62"/>
      <c r="X282" s="63">
        <v>0</v>
      </c>
      <c r="Y282" s="63">
        <v>0</v>
      </c>
      <c r="Z282" s="63">
        <v>0</v>
      </c>
      <c r="AA282" s="63">
        <v>0</v>
      </c>
      <c r="AB282" s="63">
        <v>0</v>
      </c>
    </row>
    <row r="283" spans="1:28" x14ac:dyDescent="0.2">
      <c r="A283" s="62">
        <v>21</v>
      </c>
      <c r="B283" s="62" t="s">
        <v>354</v>
      </c>
      <c r="C283" s="62">
        <v>56</v>
      </c>
      <c r="D283" s="62" t="s">
        <v>336</v>
      </c>
      <c r="E283" s="63">
        <v>39</v>
      </c>
      <c r="F283" s="63">
        <v>36</v>
      </c>
      <c r="G283" s="63">
        <v>40</v>
      </c>
      <c r="H283" s="63">
        <v>31</v>
      </c>
      <c r="I283" s="63">
        <v>33</v>
      </c>
      <c r="J283" s="63">
        <v>36</v>
      </c>
      <c r="K283" s="63">
        <v>54</v>
      </c>
      <c r="L283" s="63">
        <v>53</v>
      </c>
      <c r="M283" s="63">
        <v>48</v>
      </c>
      <c r="N283" s="63">
        <v>41</v>
      </c>
      <c r="O283" s="63">
        <v>38</v>
      </c>
      <c r="P283" s="63">
        <v>40</v>
      </c>
      <c r="Q283" s="63">
        <v>42</v>
      </c>
      <c r="R283" s="63">
        <v>41</v>
      </c>
      <c r="S283" s="63">
        <v>52</v>
      </c>
      <c r="T283" s="63">
        <v>56</v>
      </c>
      <c r="U283" s="63">
        <v>59</v>
      </c>
      <c r="V283" s="63">
        <v>78</v>
      </c>
      <c r="W283" s="63">
        <v>68</v>
      </c>
      <c r="X283" s="63">
        <v>74</v>
      </c>
      <c r="Y283" s="63">
        <v>74</v>
      </c>
      <c r="Z283" s="63">
        <v>57</v>
      </c>
      <c r="AA283" s="63">
        <v>89</v>
      </c>
      <c r="AB283" s="63">
        <v>84</v>
      </c>
    </row>
    <row r="284" spans="1:28" x14ac:dyDescent="0.2">
      <c r="A284" s="62">
        <v>21</v>
      </c>
      <c r="B284" s="62" t="s">
        <v>354</v>
      </c>
      <c r="C284" s="62">
        <v>61</v>
      </c>
      <c r="D284" s="62" t="s">
        <v>337</v>
      </c>
      <c r="E284" s="63">
        <v>24</v>
      </c>
      <c r="F284" s="62"/>
      <c r="G284" s="63">
        <v>12</v>
      </c>
      <c r="H284" s="63">
        <v>17</v>
      </c>
      <c r="I284" s="63">
        <v>23</v>
      </c>
      <c r="J284" s="63">
        <v>16</v>
      </c>
      <c r="K284" s="63">
        <v>20</v>
      </c>
      <c r="L284" s="63">
        <v>23</v>
      </c>
      <c r="M284" s="62"/>
      <c r="N284" s="63">
        <v>17</v>
      </c>
      <c r="O284" s="63">
        <v>18</v>
      </c>
      <c r="P284" s="62"/>
      <c r="Q284" s="63">
        <v>14</v>
      </c>
      <c r="R284" s="63">
        <v>13</v>
      </c>
      <c r="S284" s="63">
        <v>17</v>
      </c>
      <c r="T284" s="62"/>
      <c r="U284" s="63">
        <v>13</v>
      </c>
      <c r="V284" s="63">
        <v>13</v>
      </c>
      <c r="W284" s="63">
        <v>20</v>
      </c>
      <c r="X284" s="63">
        <v>18</v>
      </c>
      <c r="Y284" s="63">
        <v>20</v>
      </c>
      <c r="Z284" s="63">
        <v>16</v>
      </c>
      <c r="AA284" s="63">
        <v>16</v>
      </c>
      <c r="AB284" s="63">
        <v>16</v>
      </c>
    </row>
    <row r="285" spans="1:28" x14ac:dyDescent="0.2">
      <c r="A285" s="62">
        <v>21</v>
      </c>
      <c r="B285" s="62" t="s">
        <v>354</v>
      </c>
      <c r="C285" s="62">
        <v>62</v>
      </c>
      <c r="D285" s="62" t="s">
        <v>338</v>
      </c>
      <c r="E285" s="63">
        <v>271</v>
      </c>
      <c r="F285" s="63">
        <v>256</v>
      </c>
      <c r="G285" s="63">
        <v>268</v>
      </c>
      <c r="H285" s="63">
        <v>230</v>
      </c>
      <c r="I285" s="63">
        <v>208</v>
      </c>
      <c r="J285" s="63">
        <v>209</v>
      </c>
      <c r="K285" s="63">
        <v>221</v>
      </c>
      <c r="L285" s="63">
        <v>189</v>
      </c>
      <c r="M285" s="63">
        <v>177</v>
      </c>
      <c r="N285" s="63">
        <v>196</v>
      </c>
      <c r="O285" s="63">
        <v>227</v>
      </c>
      <c r="P285" s="63">
        <v>227</v>
      </c>
      <c r="Q285" s="63">
        <v>228</v>
      </c>
      <c r="R285" s="63">
        <v>237</v>
      </c>
      <c r="S285" s="63">
        <v>232</v>
      </c>
      <c r="T285" s="63">
        <v>229</v>
      </c>
      <c r="U285" s="63">
        <v>225</v>
      </c>
      <c r="V285" s="63">
        <v>252</v>
      </c>
      <c r="W285" s="63">
        <v>260</v>
      </c>
      <c r="X285" s="63">
        <v>257</v>
      </c>
      <c r="Y285" s="63">
        <v>240</v>
      </c>
      <c r="Z285" s="63">
        <v>249</v>
      </c>
      <c r="AA285" s="63">
        <v>262</v>
      </c>
      <c r="AB285" s="63">
        <v>283</v>
      </c>
    </row>
    <row r="286" spans="1:28" x14ac:dyDescent="0.2">
      <c r="A286" s="62">
        <v>21</v>
      </c>
      <c r="B286" s="62" t="s">
        <v>354</v>
      </c>
      <c r="C286" s="62">
        <v>71</v>
      </c>
      <c r="D286" s="62" t="s">
        <v>339</v>
      </c>
      <c r="E286" s="63">
        <v>11</v>
      </c>
      <c r="F286" s="63">
        <v>14</v>
      </c>
      <c r="G286" s="63">
        <v>15</v>
      </c>
      <c r="H286" s="63">
        <v>17</v>
      </c>
      <c r="I286" s="63">
        <v>14</v>
      </c>
      <c r="J286" s="63">
        <v>14</v>
      </c>
      <c r="K286" s="63">
        <v>15</v>
      </c>
      <c r="L286" s="63">
        <v>15</v>
      </c>
      <c r="M286" s="63">
        <v>17</v>
      </c>
      <c r="N286" s="63">
        <v>20</v>
      </c>
      <c r="O286" s="63">
        <v>16</v>
      </c>
      <c r="P286" s="63">
        <v>23</v>
      </c>
      <c r="Q286" s="63">
        <v>24</v>
      </c>
      <c r="R286" s="63">
        <v>21</v>
      </c>
      <c r="S286" s="63">
        <v>16</v>
      </c>
      <c r="T286" s="63">
        <v>23</v>
      </c>
      <c r="U286" s="63">
        <v>22</v>
      </c>
      <c r="V286" s="63">
        <v>22</v>
      </c>
      <c r="W286" s="63">
        <v>24</v>
      </c>
      <c r="X286" s="63">
        <v>21</v>
      </c>
      <c r="Y286" s="63">
        <v>28</v>
      </c>
      <c r="Z286" s="63">
        <v>24</v>
      </c>
      <c r="AA286" s="63">
        <v>24</v>
      </c>
      <c r="AB286" s="63">
        <v>24</v>
      </c>
    </row>
    <row r="287" spans="1:28" x14ac:dyDescent="0.2">
      <c r="A287" s="62">
        <v>21</v>
      </c>
      <c r="B287" s="62" t="s">
        <v>354</v>
      </c>
      <c r="C287" s="62">
        <v>72</v>
      </c>
      <c r="D287" s="62" t="s">
        <v>340</v>
      </c>
      <c r="E287" s="63">
        <v>77</v>
      </c>
      <c r="F287" s="63">
        <v>94</v>
      </c>
      <c r="G287" s="63">
        <v>92</v>
      </c>
      <c r="H287" s="63">
        <v>89</v>
      </c>
      <c r="I287" s="63">
        <v>97</v>
      </c>
      <c r="J287" s="63">
        <v>82</v>
      </c>
      <c r="K287" s="63">
        <v>85</v>
      </c>
      <c r="L287" s="63">
        <v>81</v>
      </c>
      <c r="M287" s="63">
        <v>80</v>
      </c>
      <c r="N287" s="63">
        <v>78</v>
      </c>
      <c r="O287" s="63">
        <v>69</v>
      </c>
      <c r="P287" s="63">
        <v>115</v>
      </c>
      <c r="Q287" s="63">
        <v>107</v>
      </c>
      <c r="R287" s="63">
        <v>104</v>
      </c>
      <c r="S287" s="63">
        <v>103</v>
      </c>
      <c r="T287" s="63">
        <v>118</v>
      </c>
      <c r="U287" s="63">
        <v>128</v>
      </c>
      <c r="V287" s="63">
        <v>122</v>
      </c>
      <c r="W287" s="63">
        <v>117</v>
      </c>
      <c r="X287" s="63">
        <v>116</v>
      </c>
      <c r="Y287" s="63">
        <v>135</v>
      </c>
      <c r="Z287" s="63">
        <v>133</v>
      </c>
      <c r="AA287" s="63">
        <v>122</v>
      </c>
      <c r="AB287" s="63">
        <v>108</v>
      </c>
    </row>
    <row r="288" spans="1:28" x14ac:dyDescent="0.2">
      <c r="A288" s="62">
        <v>21</v>
      </c>
      <c r="B288" s="62" t="s">
        <v>354</v>
      </c>
      <c r="C288" s="62">
        <v>81</v>
      </c>
      <c r="D288" s="62" t="s">
        <v>341</v>
      </c>
      <c r="E288" s="63">
        <v>102</v>
      </c>
      <c r="F288" s="63">
        <v>94</v>
      </c>
      <c r="G288" s="63">
        <v>97</v>
      </c>
      <c r="H288" s="63">
        <v>104</v>
      </c>
      <c r="I288" s="63">
        <v>108</v>
      </c>
      <c r="J288" s="63">
        <v>115</v>
      </c>
      <c r="K288" s="63">
        <v>111</v>
      </c>
      <c r="L288" s="63">
        <v>97</v>
      </c>
      <c r="M288" s="63">
        <v>107</v>
      </c>
      <c r="N288" s="63">
        <v>111</v>
      </c>
      <c r="O288" s="63">
        <v>95</v>
      </c>
      <c r="P288" s="63">
        <v>103</v>
      </c>
      <c r="Q288" s="63">
        <v>112</v>
      </c>
      <c r="R288" s="63">
        <v>109</v>
      </c>
      <c r="S288" s="63">
        <v>105</v>
      </c>
      <c r="T288" s="63">
        <v>117</v>
      </c>
      <c r="U288" s="63">
        <v>131</v>
      </c>
      <c r="V288" s="63">
        <v>100</v>
      </c>
      <c r="W288" s="63">
        <v>105</v>
      </c>
      <c r="X288" s="63">
        <v>108</v>
      </c>
      <c r="Y288" s="63">
        <v>109</v>
      </c>
      <c r="Z288" s="63">
        <v>105</v>
      </c>
      <c r="AA288" s="63">
        <v>98</v>
      </c>
      <c r="AB288" s="63">
        <v>99</v>
      </c>
    </row>
    <row r="289" spans="1:28" x14ac:dyDescent="0.2">
      <c r="A289" s="62">
        <v>21</v>
      </c>
      <c r="B289" s="62" t="s">
        <v>354</v>
      </c>
      <c r="C289" s="62">
        <v>99</v>
      </c>
      <c r="D289" s="62" t="s">
        <v>342</v>
      </c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3">
        <v>0</v>
      </c>
      <c r="R289" s="62"/>
      <c r="S289" s="62"/>
      <c r="T289" s="62"/>
      <c r="U289" s="62"/>
      <c r="V289" s="63">
        <v>1</v>
      </c>
      <c r="W289" s="63">
        <v>1</v>
      </c>
      <c r="X289" s="63">
        <v>0</v>
      </c>
      <c r="Y289" s="62"/>
      <c r="Z289" s="62"/>
      <c r="AA289" s="63">
        <v>0</v>
      </c>
      <c r="AB289" s="63">
        <v>0</v>
      </c>
    </row>
    <row r="290" spans="1:28" x14ac:dyDescent="0.2">
      <c r="A290" s="62">
        <v>23</v>
      </c>
      <c r="B290" s="62" t="s">
        <v>355</v>
      </c>
      <c r="C290" s="62">
        <v>1</v>
      </c>
      <c r="D290" s="62" t="s">
        <v>316</v>
      </c>
      <c r="E290" s="63">
        <v>17</v>
      </c>
      <c r="F290" s="63">
        <v>18</v>
      </c>
      <c r="G290" s="63">
        <v>17</v>
      </c>
      <c r="H290" s="63">
        <v>15</v>
      </c>
      <c r="I290" s="63">
        <v>14</v>
      </c>
      <c r="J290" s="63">
        <v>13</v>
      </c>
      <c r="K290" s="63">
        <v>13</v>
      </c>
      <c r="L290" s="63">
        <v>12</v>
      </c>
      <c r="M290" s="63">
        <v>13</v>
      </c>
      <c r="N290" s="63">
        <v>16</v>
      </c>
      <c r="O290" s="63">
        <v>10</v>
      </c>
      <c r="P290" s="63">
        <v>11</v>
      </c>
      <c r="Q290" s="63">
        <v>10</v>
      </c>
      <c r="R290" s="63">
        <v>9</v>
      </c>
      <c r="S290" s="63">
        <v>8</v>
      </c>
      <c r="T290" s="63">
        <v>10</v>
      </c>
      <c r="U290" s="63">
        <v>9</v>
      </c>
      <c r="V290" s="63">
        <v>10</v>
      </c>
      <c r="W290" s="63">
        <v>10</v>
      </c>
      <c r="X290" s="63">
        <v>11</v>
      </c>
      <c r="Y290" s="63">
        <v>8</v>
      </c>
      <c r="Z290" s="63">
        <v>7</v>
      </c>
      <c r="AA290" s="63">
        <v>7</v>
      </c>
      <c r="AB290" s="63">
        <v>7</v>
      </c>
    </row>
    <row r="291" spans="1:28" x14ac:dyDescent="0.2">
      <c r="A291" s="62">
        <v>23</v>
      </c>
      <c r="B291" s="62" t="s">
        <v>355</v>
      </c>
      <c r="C291" s="62">
        <v>10</v>
      </c>
      <c r="D291" s="62" t="s">
        <v>317</v>
      </c>
      <c r="E291" s="63">
        <v>1038</v>
      </c>
      <c r="F291" s="63">
        <v>1016</v>
      </c>
      <c r="G291" s="63">
        <v>1030</v>
      </c>
      <c r="H291" s="63">
        <v>1073</v>
      </c>
      <c r="I291" s="63">
        <v>1003</v>
      </c>
      <c r="J291" s="63">
        <v>989</v>
      </c>
      <c r="K291" s="63">
        <v>1011</v>
      </c>
      <c r="L291" s="63">
        <v>988</v>
      </c>
      <c r="M291" s="63">
        <v>954</v>
      </c>
      <c r="N291" s="63">
        <v>983</v>
      </c>
      <c r="O291" s="63">
        <v>990</v>
      </c>
      <c r="P291" s="63">
        <v>1034</v>
      </c>
      <c r="Q291" s="63">
        <v>1042</v>
      </c>
      <c r="R291" s="63">
        <v>1059</v>
      </c>
      <c r="S291" s="63">
        <v>1087</v>
      </c>
      <c r="T291" s="63">
        <v>1136</v>
      </c>
      <c r="U291" s="63">
        <v>1185</v>
      </c>
      <c r="V291" s="63">
        <v>1207</v>
      </c>
      <c r="W291" s="63">
        <v>1274</v>
      </c>
      <c r="X291" s="63">
        <v>1241</v>
      </c>
      <c r="Y291" s="63">
        <v>1262</v>
      </c>
      <c r="Z291" s="63">
        <v>1268</v>
      </c>
      <c r="AA291" s="63">
        <v>1323</v>
      </c>
      <c r="AB291" s="63">
        <v>1413</v>
      </c>
    </row>
    <row r="292" spans="1:28" x14ac:dyDescent="0.2">
      <c r="A292" s="62">
        <v>23</v>
      </c>
      <c r="B292" s="62" t="s">
        <v>355</v>
      </c>
      <c r="C292" s="62">
        <v>11</v>
      </c>
      <c r="D292" s="62" t="s">
        <v>318</v>
      </c>
      <c r="E292" s="63">
        <v>162</v>
      </c>
      <c r="F292" s="63">
        <v>142</v>
      </c>
      <c r="G292" s="63">
        <v>158</v>
      </c>
      <c r="H292" s="63">
        <v>176</v>
      </c>
      <c r="I292" s="63">
        <v>145</v>
      </c>
      <c r="J292" s="63">
        <v>123</v>
      </c>
      <c r="K292" s="63">
        <v>138</v>
      </c>
      <c r="L292" s="63">
        <v>130</v>
      </c>
      <c r="M292" s="63">
        <v>123</v>
      </c>
      <c r="N292" s="63">
        <v>125</v>
      </c>
      <c r="O292" s="63">
        <v>132</v>
      </c>
      <c r="P292" s="63">
        <v>146</v>
      </c>
      <c r="Q292" s="63">
        <v>129</v>
      </c>
      <c r="R292" s="63">
        <v>111</v>
      </c>
      <c r="S292" s="63">
        <v>104</v>
      </c>
      <c r="T292" s="63">
        <v>123</v>
      </c>
      <c r="U292" s="63">
        <v>116</v>
      </c>
      <c r="V292" s="63">
        <v>136</v>
      </c>
      <c r="W292" s="63">
        <v>144</v>
      </c>
      <c r="X292" s="63">
        <v>156</v>
      </c>
      <c r="Y292" s="63">
        <v>134</v>
      </c>
      <c r="Z292" s="63">
        <v>141</v>
      </c>
      <c r="AA292" s="63">
        <v>131</v>
      </c>
      <c r="AB292" s="63">
        <v>148</v>
      </c>
    </row>
    <row r="293" spans="1:28" x14ac:dyDescent="0.2">
      <c r="A293" s="62">
        <v>23</v>
      </c>
      <c r="B293" s="62" t="s">
        <v>355</v>
      </c>
      <c r="C293" s="62">
        <v>2</v>
      </c>
      <c r="D293" s="62" t="s">
        <v>319</v>
      </c>
      <c r="E293" s="63">
        <v>8</v>
      </c>
      <c r="F293" s="63">
        <v>8</v>
      </c>
      <c r="G293" s="63">
        <v>9</v>
      </c>
      <c r="H293" s="63">
        <v>11</v>
      </c>
      <c r="I293" s="63">
        <v>12</v>
      </c>
      <c r="J293" s="63">
        <v>11</v>
      </c>
      <c r="K293" s="63">
        <v>13</v>
      </c>
      <c r="L293" s="63">
        <v>12</v>
      </c>
      <c r="M293" s="63">
        <v>13</v>
      </c>
      <c r="N293" s="63">
        <v>13</v>
      </c>
      <c r="O293" s="63">
        <v>11</v>
      </c>
      <c r="P293" s="63">
        <v>11</v>
      </c>
      <c r="Q293" s="63">
        <v>11</v>
      </c>
      <c r="R293" s="63">
        <v>11</v>
      </c>
      <c r="S293" s="63">
        <v>14</v>
      </c>
      <c r="T293" s="63">
        <v>24</v>
      </c>
      <c r="U293" s="63">
        <v>22</v>
      </c>
      <c r="V293" s="63">
        <v>20</v>
      </c>
      <c r="W293" s="63">
        <v>21</v>
      </c>
      <c r="X293" s="63">
        <v>22</v>
      </c>
      <c r="Y293" s="63">
        <v>27</v>
      </c>
      <c r="Z293" s="63">
        <v>16</v>
      </c>
      <c r="AA293" s="63">
        <v>17</v>
      </c>
      <c r="AB293" s="63">
        <v>15</v>
      </c>
    </row>
    <row r="294" spans="1:28" x14ac:dyDescent="0.2">
      <c r="A294" s="62">
        <v>23</v>
      </c>
      <c r="B294" s="62" t="s">
        <v>355</v>
      </c>
      <c r="C294" s="62">
        <v>21</v>
      </c>
      <c r="D294" s="64" t="s">
        <v>320</v>
      </c>
      <c r="E294" s="65"/>
      <c r="F294" s="65"/>
      <c r="G294" s="65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</row>
    <row r="295" spans="1:28" x14ac:dyDescent="0.2">
      <c r="A295" s="62">
        <v>23</v>
      </c>
      <c r="B295" s="62" t="s">
        <v>355</v>
      </c>
      <c r="C295" s="62">
        <v>22</v>
      </c>
      <c r="D295" s="62" t="s">
        <v>321</v>
      </c>
      <c r="E295" s="62"/>
      <c r="F295" s="62"/>
      <c r="G295" s="62"/>
      <c r="H295" s="62"/>
      <c r="I295" s="62"/>
      <c r="J295" s="62"/>
      <c r="K295" s="62"/>
      <c r="L295" s="63">
        <v>0</v>
      </c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</row>
    <row r="296" spans="1:28" x14ac:dyDescent="0.2">
      <c r="A296" s="62">
        <v>23</v>
      </c>
      <c r="B296" s="62" t="s">
        <v>355</v>
      </c>
      <c r="C296" s="62">
        <v>23</v>
      </c>
      <c r="D296" s="62" t="s">
        <v>322</v>
      </c>
      <c r="E296" s="63">
        <v>58</v>
      </c>
      <c r="F296" s="63">
        <v>56</v>
      </c>
      <c r="G296" s="63">
        <v>61</v>
      </c>
      <c r="H296" s="63">
        <v>69</v>
      </c>
      <c r="I296" s="63">
        <v>75</v>
      </c>
      <c r="J296" s="63">
        <v>74</v>
      </c>
      <c r="K296" s="63">
        <v>66</v>
      </c>
      <c r="L296" s="63">
        <v>62</v>
      </c>
      <c r="M296" s="63">
        <v>51</v>
      </c>
      <c r="N296" s="63">
        <v>51</v>
      </c>
      <c r="O296" s="63">
        <v>48</v>
      </c>
      <c r="P296" s="63">
        <v>44</v>
      </c>
      <c r="Q296" s="63">
        <v>47</v>
      </c>
      <c r="R296" s="63">
        <v>50</v>
      </c>
      <c r="S296" s="63">
        <v>52</v>
      </c>
      <c r="T296" s="63">
        <v>59</v>
      </c>
      <c r="U296" s="63">
        <v>57</v>
      </c>
      <c r="V296" s="63">
        <v>62</v>
      </c>
      <c r="W296" s="63">
        <v>73</v>
      </c>
      <c r="X296" s="63">
        <v>79</v>
      </c>
      <c r="Y296" s="63">
        <v>78</v>
      </c>
      <c r="Z296" s="63">
        <v>77</v>
      </c>
      <c r="AA296" s="63">
        <v>84</v>
      </c>
      <c r="AB296" s="63">
        <v>118</v>
      </c>
    </row>
    <row r="297" spans="1:28" x14ac:dyDescent="0.2">
      <c r="A297" s="62">
        <v>23</v>
      </c>
      <c r="B297" s="62" t="s">
        <v>355</v>
      </c>
      <c r="C297" s="62">
        <v>3</v>
      </c>
      <c r="D297" s="62" t="s">
        <v>323</v>
      </c>
      <c r="E297" s="63">
        <v>342</v>
      </c>
      <c r="F297" s="63">
        <v>336</v>
      </c>
      <c r="G297" s="63">
        <v>347</v>
      </c>
      <c r="H297" s="63">
        <v>352</v>
      </c>
      <c r="I297" s="63">
        <v>341</v>
      </c>
      <c r="J297" s="63">
        <v>333</v>
      </c>
      <c r="K297" s="63">
        <v>332</v>
      </c>
      <c r="L297" s="63">
        <v>321</v>
      </c>
      <c r="M297" s="63">
        <v>303</v>
      </c>
      <c r="N297" s="63">
        <v>300</v>
      </c>
      <c r="O297" s="63">
        <v>306</v>
      </c>
      <c r="P297" s="63">
        <v>303</v>
      </c>
      <c r="Q297" s="63">
        <v>323</v>
      </c>
      <c r="R297" s="63">
        <v>337</v>
      </c>
      <c r="S297" s="63">
        <v>338</v>
      </c>
      <c r="T297" s="63">
        <v>341</v>
      </c>
      <c r="U297" s="63">
        <v>342</v>
      </c>
      <c r="V297" s="63">
        <v>336</v>
      </c>
      <c r="W297" s="63">
        <v>330</v>
      </c>
      <c r="X297" s="63">
        <v>318</v>
      </c>
      <c r="Y297" s="63">
        <v>309</v>
      </c>
      <c r="Z297" s="63">
        <v>314</v>
      </c>
      <c r="AA297" s="63">
        <v>340</v>
      </c>
      <c r="AB297" s="63">
        <v>318</v>
      </c>
    </row>
    <row r="298" spans="1:28" x14ac:dyDescent="0.2">
      <c r="A298" s="62">
        <v>23</v>
      </c>
      <c r="B298" s="62" t="s">
        <v>355</v>
      </c>
      <c r="C298" s="62" t="s">
        <v>324</v>
      </c>
      <c r="D298" s="64" t="s">
        <v>325</v>
      </c>
      <c r="E298" s="65"/>
      <c r="F298" s="62"/>
      <c r="G298" s="62"/>
      <c r="H298" s="62"/>
      <c r="I298" s="63">
        <v>18</v>
      </c>
      <c r="J298" s="62"/>
      <c r="K298" s="62"/>
      <c r="L298" s="62"/>
      <c r="M298" s="62"/>
      <c r="N298" s="63">
        <v>16</v>
      </c>
      <c r="O298" s="63">
        <v>15</v>
      </c>
      <c r="P298" s="63">
        <v>21</v>
      </c>
      <c r="Q298" s="63">
        <v>20</v>
      </c>
      <c r="R298" s="62"/>
      <c r="S298" s="63">
        <v>19</v>
      </c>
      <c r="T298" s="63">
        <v>20</v>
      </c>
      <c r="U298" s="63">
        <v>63</v>
      </c>
      <c r="V298" s="63">
        <v>80</v>
      </c>
      <c r="W298" s="63">
        <v>101</v>
      </c>
      <c r="X298" s="63">
        <v>89</v>
      </c>
      <c r="Y298" s="63">
        <v>100</v>
      </c>
      <c r="Z298" s="63">
        <v>104</v>
      </c>
      <c r="AA298" s="63">
        <v>110</v>
      </c>
      <c r="AB298" s="63">
        <v>98</v>
      </c>
    </row>
    <row r="299" spans="1:28" x14ac:dyDescent="0.2">
      <c r="A299" s="62">
        <v>23</v>
      </c>
      <c r="B299" s="62" t="s">
        <v>355</v>
      </c>
      <c r="C299" s="62">
        <v>42</v>
      </c>
      <c r="D299" s="64" t="s">
        <v>326</v>
      </c>
      <c r="E299" s="65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3">
        <v>78</v>
      </c>
      <c r="AB299" s="62"/>
    </row>
    <row r="300" spans="1:28" x14ac:dyDescent="0.2">
      <c r="A300" s="62">
        <v>23</v>
      </c>
      <c r="B300" s="62" t="s">
        <v>355</v>
      </c>
      <c r="C300" s="62" t="s">
        <v>327</v>
      </c>
      <c r="D300" s="62" t="s">
        <v>328</v>
      </c>
      <c r="E300" s="63">
        <v>61</v>
      </c>
      <c r="F300" s="63">
        <v>62</v>
      </c>
      <c r="G300" s="63">
        <v>59</v>
      </c>
      <c r="H300" s="63">
        <v>59</v>
      </c>
      <c r="I300" s="63">
        <v>65</v>
      </c>
      <c r="J300" s="63">
        <v>57</v>
      </c>
      <c r="K300" s="63">
        <v>60</v>
      </c>
      <c r="L300" s="63">
        <v>48</v>
      </c>
      <c r="M300" s="63">
        <v>55</v>
      </c>
      <c r="N300" s="63">
        <v>64</v>
      </c>
      <c r="O300" s="63">
        <v>63</v>
      </c>
      <c r="P300" s="63">
        <v>62</v>
      </c>
      <c r="Q300" s="63">
        <v>59</v>
      </c>
      <c r="R300" s="63">
        <v>62</v>
      </c>
      <c r="S300" s="63">
        <v>74</v>
      </c>
      <c r="T300" s="63">
        <v>86</v>
      </c>
      <c r="U300" s="63">
        <v>94</v>
      </c>
      <c r="V300" s="63">
        <v>93</v>
      </c>
      <c r="W300" s="63">
        <v>91</v>
      </c>
      <c r="X300" s="63">
        <v>92</v>
      </c>
      <c r="Y300" s="63">
        <v>93</v>
      </c>
      <c r="Z300" s="63">
        <v>107</v>
      </c>
      <c r="AA300" s="63">
        <v>110</v>
      </c>
      <c r="AB300" s="63">
        <v>107</v>
      </c>
    </row>
    <row r="301" spans="1:28" x14ac:dyDescent="0.2">
      <c r="A301" s="62">
        <v>23</v>
      </c>
      <c r="B301" s="62" t="s">
        <v>355</v>
      </c>
      <c r="C301" s="62" t="s">
        <v>329</v>
      </c>
      <c r="D301" s="64" t="s">
        <v>330</v>
      </c>
      <c r="E301" s="65"/>
      <c r="F301" s="63">
        <v>1</v>
      </c>
      <c r="G301" s="63">
        <v>1</v>
      </c>
      <c r="H301" s="63">
        <v>1</v>
      </c>
      <c r="I301" s="63">
        <v>14</v>
      </c>
      <c r="J301" s="63">
        <v>13</v>
      </c>
      <c r="K301" s="63">
        <v>15</v>
      </c>
      <c r="L301" s="63">
        <v>16</v>
      </c>
      <c r="M301" s="63">
        <v>18</v>
      </c>
      <c r="N301" s="63">
        <v>17</v>
      </c>
      <c r="O301" s="63">
        <v>18</v>
      </c>
      <c r="P301" s="63">
        <v>15</v>
      </c>
      <c r="Q301" s="63">
        <v>19</v>
      </c>
      <c r="R301" s="63">
        <v>15</v>
      </c>
      <c r="S301" s="63">
        <v>19</v>
      </c>
      <c r="T301" s="63">
        <v>18</v>
      </c>
      <c r="U301" s="63">
        <v>18</v>
      </c>
      <c r="V301" s="63">
        <v>17</v>
      </c>
      <c r="W301" s="63">
        <v>20</v>
      </c>
      <c r="X301" s="63">
        <v>16</v>
      </c>
      <c r="Y301" s="63">
        <v>22</v>
      </c>
      <c r="Z301" s="63">
        <v>24</v>
      </c>
      <c r="AA301" s="63">
        <v>0</v>
      </c>
      <c r="AB301" s="62"/>
    </row>
    <row r="302" spans="1:28" x14ac:dyDescent="0.2">
      <c r="A302" s="62">
        <v>23</v>
      </c>
      <c r="B302" s="62" t="s">
        <v>355</v>
      </c>
      <c r="C302" s="62">
        <v>51</v>
      </c>
      <c r="D302" s="62" t="s">
        <v>331</v>
      </c>
      <c r="E302" s="62"/>
      <c r="F302" s="62"/>
      <c r="G302" s="63">
        <v>1</v>
      </c>
      <c r="H302" s="63">
        <v>1</v>
      </c>
      <c r="I302" s="63">
        <v>1</v>
      </c>
      <c r="J302" s="63">
        <v>1</v>
      </c>
      <c r="K302" s="63">
        <v>1</v>
      </c>
      <c r="L302" s="63">
        <v>1</v>
      </c>
      <c r="M302" s="63">
        <v>1</v>
      </c>
      <c r="N302" s="63">
        <v>1</v>
      </c>
      <c r="O302" s="63">
        <v>1</v>
      </c>
      <c r="P302" s="63">
        <v>1</v>
      </c>
      <c r="Q302" s="63">
        <v>1</v>
      </c>
      <c r="R302" s="63">
        <v>7</v>
      </c>
      <c r="S302" s="63">
        <v>4</v>
      </c>
      <c r="T302" s="62"/>
      <c r="U302" s="62"/>
      <c r="V302" s="62"/>
      <c r="W302" s="63">
        <v>4</v>
      </c>
      <c r="X302" s="63">
        <v>0</v>
      </c>
      <c r="Y302" s="63">
        <v>0</v>
      </c>
      <c r="Z302" s="63">
        <v>4</v>
      </c>
      <c r="AA302" s="63">
        <v>4</v>
      </c>
      <c r="AB302" s="63">
        <v>4</v>
      </c>
    </row>
    <row r="303" spans="1:28" x14ac:dyDescent="0.2">
      <c r="A303" s="62">
        <v>23</v>
      </c>
      <c r="B303" s="62" t="s">
        <v>355</v>
      </c>
      <c r="C303" s="62">
        <v>52</v>
      </c>
      <c r="D303" s="64" t="s">
        <v>332</v>
      </c>
      <c r="E303" s="65"/>
      <c r="F303" s="62"/>
      <c r="G303" s="62"/>
      <c r="H303" s="62"/>
      <c r="I303" s="63">
        <v>5</v>
      </c>
      <c r="J303" s="62"/>
      <c r="K303" s="63">
        <v>7</v>
      </c>
      <c r="L303" s="62"/>
      <c r="M303" s="63">
        <v>9</v>
      </c>
      <c r="N303" s="62"/>
      <c r="O303" s="62"/>
      <c r="P303" s="62"/>
      <c r="Q303" s="62"/>
      <c r="R303" s="62"/>
      <c r="S303" s="63">
        <v>7</v>
      </c>
      <c r="T303" s="63">
        <v>4</v>
      </c>
      <c r="U303" s="62"/>
      <c r="V303" s="63">
        <v>4</v>
      </c>
      <c r="W303" s="62"/>
      <c r="X303" s="63">
        <v>4</v>
      </c>
      <c r="Y303" s="63">
        <v>8</v>
      </c>
      <c r="Z303" s="62"/>
      <c r="AA303" s="62"/>
      <c r="AB303" s="62"/>
    </row>
    <row r="304" spans="1:28" x14ac:dyDescent="0.2">
      <c r="A304" s="62">
        <v>23</v>
      </c>
      <c r="B304" s="62" t="s">
        <v>355</v>
      </c>
      <c r="C304" s="62">
        <v>53</v>
      </c>
      <c r="D304" s="62" t="s">
        <v>333</v>
      </c>
      <c r="E304" s="63">
        <v>50</v>
      </c>
      <c r="F304" s="63">
        <v>50</v>
      </c>
      <c r="G304" s="63">
        <v>49</v>
      </c>
      <c r="H304" s="63">
        <v>51</v>
      </c>
      <c r="I304" s="63">
        <v>47</v>
      </c>
      <c r="J304" s="63">
        <v>46</v>
      </c>
      <c r="K304" s="63">
        <v>50</v>
      </c>
      <c r="L304" s="63">
        <v>48</v>
      </c>
      <c r="M304" s="63">
        <v>48</v>
      </c>
      <c r="N304" s="63">
        <v>46</v>
      </c>
      <c r="O304" s="63">
        <v>50</v>
      </c>
      <c r="P304" s="63">
        <v>53</v>
      </c>
      <c r="Q304" s="63">
        <v>59</v>
      </c>
      <c r="R304" s="63">
        <v>62</v>
      </c>
      <c r="S304" s="63">
        <v>68</v>
      </c>
      <c r="T304" s="63">
        <v>64</v>
      </c>
      <c r="U304" s="63">
        <v>65</v>
      </c>
      <c r="V304" s="63">
        <v>69</v>
      </c>
      <c r="W304" s="63">
        <v>75</v>
      </c>
      <c r="X304" s="63">
        <v>70</v>
      </c>
      <c r="Y304" s="63">
        <v>72</v>
      </c>
      <c r="Z304" s="63">
        <v>72</v>
      </c>
      <c r="AA304" s="63">
        <v>83</v>
      </c>
      <c r="AB304" s="63">
        <v>83</v>
      </c>
    </row>
    <row r="305" spans="1:28" x14ac:dyDescent="0.2">
      <c r="A305" s="62">
        <v>23</v>
      </c>
      <c r="B305" s="62" t="s">
        <v>355</v>
      </c>
      <c r="C305" s="62">
        <v>54</v>
      </c>
      <c r="D305" s="62" t="s">
        <v>334</v>
      </c>
      <c r="E305" s="63">
        <v>20</v>
      </c>
      <c r="F305" s="63">
        <v>23</v>
      </c>
      <c r="G305" s="63">
        <v>31</v>
      </c>
      <c r="H305" s="63">
        <v>31</v>
      </c>
      <c r="I305" s="63">
        <v>30</v>
      </c>
      <c r="J305" s="63">
        <v>36</v>
      </c>
      <c r="K305" s="63">
        <v>36</v>
      </c>
      <c r="L305" s="63">
        <v>34</v>
      </c>
      <c r="M305" s="63">
        <v>33</v>
      </c>
      <c r="N305" s="63">
        <v>34</v>
      </c>
      <c r="O305" s="63">
        <v>28</v>
      </c>
      <c r="P305" s="63">
        <v>30</v>
      </c>
      <c r="Q305" s="63">
        <v>25</v>
      </c>
      <c r="R305" s="63">
        <v>31</v>
      </c>
      <c r="S305" s="63">
        <v>39</v>
      </c>
      <c r="T305" s="63">
        <v>37</v>
      </c>
      <c r="U305" s="63">
        <v>29</v>
      </c>
      <c r="V305" s="63">
        <v>22</v>
      </c>
      <c r="W305" s="63">
        <v>28</v>
      </c>
      <c r="X305" s="63">
        <v>38</v>
      </c>
      <c r="Y305" s="63">
        <v>33</v>
      </c>
      <c r="Z305" s="63">
        <v>38</v>
      </c>
      <c r="AA305" s="63">
        <v>73</v>
      </c>
      <c r="AB305" s="63">
        <v>147</v>
      </c>
    </row>
    <row r="306" spans="1:28" x14ac:dyDescent="0.2">
      <c r="A306" s="62">
        <v>23</v>
      </c>
      <c r="B306" s="62" t="s">
        <v>355</v>
      </c>
      <c r="C306" s="62">
        <v>55</v>
      </c>
      <c r="D306" s="64" t="s">
        <v>335</v>
      </c>
      <c r="E306" s="65"/>
      <c r="F306" s="65"/>
      <c r="G306" s="65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</row>
    <row r="307" spans="1:28" x14ac:dyDescent="0.2">
      <c r="A307" s="62">
        <v>23</v>
      </c>
      <c r="B307" s="62" t="s">
        <v>355</v>
      </c>
      <c r="C307" s="62">
        <v>56</v>
      </c>
      <c r="D307" s="64" t="s">
        <v>336</v>
      </c>
      <c r="E307" s="65"/>
      <c r="F307" s="63">
        <v>16</v>
      </c>
      <c r="G307" s="62"/>
      <c r="H307" s="63">
        <v>13</v>
      </c>
      <c r="I307" s="63">
        <v>17</v>
      </c>
      <c r="J307" s="62"/>
      <c r="K307" s="63">
        <v>15</v>
      </c>
      <c r="L307" s="63">
        <v>21</v>
      </c>
      <c r="M307" s="63">
        <v>19</v>
      </c>
      <c r="N307" s="63">
        <v>14</v>
      </c>
      <c r="O307" s="63">
        <v>24</v>
      </c>
      <c r="P307" s="63">
        <v>32</v>
      </c>
      <c r="Q307" s="63">
        <v>25</v>
      </c>
      <c r="R307" s="63">
        <v>36</v>
      </c>
      <c r="S307" s="63">
        <v>34</v>
      </c>
      <c r="T307" s="63">
        <v>27</v>
      </c>
      <c r="U307" s="63">
        <v>37</v>
      </c>
      <c r="V307" s="63">
        <v>35</v>
      </c>
      <c r="W307" s="63">
        <v>43</v>
      </c>
      <c r="X307" s="63">
        <v>32</v>
      </c>
      <c r="Y307" s="63">
        <v>42</v>
      </c>
      <c r="Z307" s="63">
        <v>43</v>
      </c>
      <c r="AA307" s="63">
        <v>54</v>
      </c>
      <c r="AB307" s="63">
        <v>38</v>
      </c>
    </row>
    <row r="308" spans="1:28" x14ac:dyDescent="0.2">
      <c r="A308" s="62">
        <v>23</v>
      </c>
      <c r="B308" s="62" t="s">
        <v>355</v>
      </c>
      <c r="C308" s="62">
        <v>61</v>
      </c>
      <c r="D308" s="64" t="s">
        <v>337</v>
      </c>
      <c r="E308" s="65"/>
      <c r="F308" s="62"/>
      <c r="G308" s="62"/>
      <c r="H308" s="63">
        <v>0</v>
      </c>
      <c r="I308" s="63">
        <v>5</v>
      </c>
      <c r="J308" s="63">
        <v>12</v>
      </c>
      <c r="K308" s="63">
        <v>24</v>
      </c>
      <c r="L308" s="63">
        <v>15</v>
      </c>
      <c r="M308" s="63">
        <v>0</v>
      </c>
      <c r="N308" s="63">
        <v>12</v>
      </c>
      <c r="O308" s="63">
        <v>17</v>
      </c>
      <c r="P308" s="63">
        <v>10</v>
      </c>
      <c r="Q308" s="62"/>
      <c r="R308" s="62"/>
      <c r="S308" s="63">
        <v>7</v>
      </c>
      <c r="T308" s="63">
        <v>8</v>
      </c>
      <c r="U308" s="63">
        <v>0</v>
      </c>
      <c r="V308" s="63">
        <v>4</v>
      </c>
      <c r="W308" s="63">
        <v>5</v>
      </c>
      <c r="X308" s="63">
        <v>9</v>
      </c>
      <c r="Y308" s="63">
        <v>10</v>
      </c>
      <c r="Z308" s="63">
        <v>6</v>
      </c>
      <c r="AA308" s="63">
        <v>6</v>
      </c>
      <c r="AB308" s="63">
        <v>18</v>
      </c>
    </row>
    <row r="309" spans="1:28" x14ac:dyDescent="0.2">
      <c r="A309" s="62">
        <v>23</v>
      </c>
      <c r="B309" s="62" t="s">
        <v>355</v>
      </c>
      <c r="C309" s="62">
        <v>62</v>
      </c>
      <c r="D309" s="62" t="s">
        <v>338</v>
      </c>
      <c r="E309" s="63">
        <v>64</v>
      </c>
      <c r="F309" s="63">
        <v>65</v>
      </c>
      <c r="G309" s="63">
        <v>64</v>
      </c>
      <c r="H309" s="63">
        <v>59</v>
      </c>
      <c r="I309" s="63">
        <v>36</v>
      </c>
      <c r="J309" s="63">
        <v>40</v>
      </c>
      <c r="K309" s="63">
        <v>39</v>
      </c>
      <c r="L309" s="63">
        <v>43</v>
      </c>
      <c r="M309" s="63">
        <v>52</v>
      </c>
      <c r="N309" s="63">
        <v>58</v>
      </c>
      <c r="O309" s="63">
        <v>63</v>
      </c>
      <c r="P309" s="63">
        <v>61</v>
      </c>
      <c r="Q309" s="63">
        <v>70</v>
      </c>
      <c r="R309" s="63">
        <v>79</v>
      </c>
      <c r="S309" s="63">
        <v>79</v>
      </c>
      <c r="T309" s="63">
        <v>86</v>
      </c>
      <c r="U309" s="63">
        <v>91</v>
      </c>
      <c r="V309" s="63">
        <v>80</v>
      </c>
      <c r="W309" s="63">
        <v>80</v>
      </c>
      <c r="X309" s="63">
        <v>90</v>
      </c>
      <c r="Y309" s="63">
        <v>109</v>
      </c>
      <c r="Z309" s="63">
        <v>107</v>
      </c>
      <c r="AA309" s="63">
        <v>85</v>
      </c>
      <c r="AB309" s="63">
        <v>84</v>
      </c>
    </row>
    <row r="310" spans="1:28" x14ac:dyDescent="0.2">
      <c r="A310" s="62">
        <v>23</v>
      </c>
      <c r="B310" s="62" t="s">
        <v>355</v>
      </c>
      <c r="C310" s="62">
        <v>71</v>
      </c>
      <c r="D310" s="64" t="s">
        <v>339</v>
      </c>
      <c r="E310" s="65"/>
      <c r="F310" s="63">
        <v>21</v>
      </c>
      <c r="G310" s="63">
        <v>19</v>
      </c>
      <c r="H310" s="63">
        <v>24</v>
      </c>
      <c r="I310" s="63">
        <v>26</v>
      </c>
      <c r="J310" s="63">
        <v>21</v>
      </c>
      <c r="K310" s="63">
        <v>14</v>
      </c>
      <c r="L310" s="63">
        <v>24</v>
      </c>
      <c r="M310" s="63">
        <v>25</v>
      </c>
      <c r="N310" s="63">
        <v>22</v>
      </c>
      <c r="O310" s="63">
        <v>23</v>
      </c>
      <c r="P310" s="63">
        <v>28</v>
      </c>
      <c r="Q310" s="63">
        <v>23</v>
      </c>
      <c r="R310" s="63">
        <v>19</v>
      </c>
      <c r="S310" s="63">
        <v>22</v>
      </c>
      <c r="T310" s="63">
        <v>21</v>
      </c>
      <c r="U310" s="63">
        <v>23</v>
      </c>
      <c r="V310" s="63">
        <v>22</v>
      </c>
      <c r="W310" s="63">
        <v>25</v>
      </c>
      <c r="X310" s="63">
        <v>25</v>
      </c>
      <c r="Y310" s="63">
        <v>31</v>
      </c>
      <c r="Z310" s="63">
        <v>27</v>
      </c>
      <c r="AA310" s="63">
        <v>23</v>
      </c>
      <c r="AB310" s="63">
        <v>26</v>
      </c>
    </row>
    <row r="311" spans="1:28" x14ac:dyDescent="0.2">
      <c r="A311" s="62">
        <v>23</v>
      </c>
      <c r="B311" s="62" t="s">
        <v>355</v>
      </c>
      <c r="C311" s="62">
        <v>72</v>
      </c>
      <c r="D311" s="62" t="s">
        <v>340</v>
      </c>
      <c r="E311" s="63">
        <v>62</v>
      </c>
      <c r="F311" s="63">
        <v>47</v>
      </c>
      <c r="G311" s="63">
        <v>35</v>
      </c>
      <c r="H311" s="63">
        <v>31</v>
      </c>
      <c r="I311" s="63">
        <v>31</v>
      </c>
      <c r="J311" s="63">
        <v>40</v>
      </c>
      <c r="K311" s="63">
        <v>51</v>
      </c>
      <c r="L311" s="63">
        <v>57</v>
      </c>
      <c r="M311" s="63">
        <v>52</v>
      </c>
      <c r="N311" s="63">
        <v>55</v>
      </c>
      <c r="O311" s="63">
        <v>53</v>
      </c>
      <c r="P311" s="63">
        <v>52</v>
      </c>
      <c r="Q311" s="63">
        <v>49</v>
      </c>
      <c r="R311" s="63">
        <v>51</v>
      </c>
      <c r="S311" s="63">
        <v>62</v>
      </c>
      <c r="T311" s="63">
        <v>64</v>
      </c>
      <c r="U311" s="63">
        <v>68</v>
      </c>
      <c r="V311" s="63">
        <v>71</v>
      </c>
      <c r="W311" s="63">
        <v>69</v>
      </c>
      <c r="X311" s="63">
        <v>43</v>
      </c>
      <c r="Y311" s="63">
        <v>53</v>
      </c>
      <c r="Z311" s="63">
        <v>42</v>
      </c>
      <c r="AA311" s="63">
        <v>55</v>
      </c>
      <c r="AB311" s="63">
        <v>61</v>
      </c>
    </row>
    <row r="312" spans="1:28" x14ac:dyDescent="0.2">
      <c r="A312" s="62">
        <v>23</v>
      </c>
      <c r="B312" s="62" t="s">
        <v>355</v>
      </c>
      <c r="C312" s="62">
        <v>81</v>
      </c>
      <c r="D312" s="62" t="s">
        <v>341</v>
      </c>
      <c r="E312" s="63">
        <v>47</v>
      </c>
      <c r="F312" s="63">
        <v>52</v>
      </c>
      <c r="G312" s="63">
        <v>45</v>
      </c>
      <c r="H312" s="63">
        <v>50</v>
      </c>
      <c r="I312" s="63">
        <v>48</v>
      </c>
      <c r="J312" s="63">
        <v>54</v>
      </c>
      <c r="K312" s="63">
        <v>48</v>
      </c>
      <c r="L312" s="63">
        <v>46</v>
      </c>
      <c r="M312" s="63">
        <v>36</v>
      </c>
      <c r="N312" s="63">
        <v>42</v>
      </c>
      <c r="O312" s="63">
        <v>42</v>
      </c>
      <c r="P312" s="63">
        <v>48</v>
      </c>
      <c r="Q312" s="63">
        <v>54</v>
      </c>
      <c r="R312" s="63">
        <v>46</v>
      </c>
      <c r="S312" s="63">
        <v>41</v>
      </c>
      <c r="T312" s="63">
        <v>45</v>
      </c>
      <c r="U312" s="63">
        <v>51</v>
      </c>
      <c r="V312" s="63">
        <v>50</v>
      </c>
      <c r="W312" s="63">
        <v>65</v>
      </c>
      <c r="X312" s="63">
        <v>67</v>
      </c>
      <c r="Y312" s="63">
        <v>55</v>
      </c>
      <c r="Z312" s="63">
        <v>49</v>
      </c>
      <c r="AA312" s="63">
        <v>46</v>
      </c>
      <c r="AB312" s="63">
        <v>52</v>
      </c>
    </row>
    <row r="313" spans="1:28" x14ac:dyDescent="0.2">
      <c r="A313" s="62">
        <v>23</v>
      </c>
      <c r="B313" s="62" t="s">
        <v>355</v>
      </c>
      <c r="C313" s="62">
        <v>99</v>
      </c>
      <c r="D313" s="62" t="s">
        <v>342</v>
      </c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3">
        <v>0</v>
      </c>
      <c r="AA313" s="63">
        <v>0</v>
      </c>
      <c r="AB313" s="63">
        <v>0</v>
      </c>
    </row>
    <row r="314" spans="1:28" x14ac:dyDescent="0.2">
      <c r="A314" s="62">
        <v>25</v>
      </c>
      <c r="B314" s="62" t="s">
        <v>356</v>
      </c>
      <c r="C314" s="62">
        <v>1</v>
      </c>
      <c r="D314" s="62" t="s">
        <v>316</v>
      </c>
      <c r="E314" s="63">
        <v>14</v>
      </c>
      <c r="F314" s="63">
        <v>14</v>
      </c>
      <c r="G314" s="63">
        <v>12</v>
      </c>
      <c r="H314" s="63">
        <v>13</v>
      </c>
      <c r="I314" s="63">
        <v>13</v>
      </c>
      <c r="J314" s="63">
        <v>13</v>
      </c>
      <c r="K314" s="63">
        <v>11</v>
      </c>
      <c r="L314" s="63">
        <v>13</v>
      </c>
      <c r="M314" s="63">
        <v>14</v>
      </c>
      <c r="N314" s="63">
        <v>18</v>
      </c>
      <c r="O314" s="63">
        <v>12</v>
      </c>
      <c r="P314" s="63">
        <v>10</v>
      </c>
      <c r="Q314" s="63">
        <v>12</v>
      </c>
      <c r="R314" s="63">
        <v>11</v>
      </c>
      <c r="S314" s="63">
        <v>8</v>
      </c>
      <c r="T314" s="63">
        <v>9</v>
      </c>
      <c r="U314" s="63">
        <v>9</v>
      </c>
      <c r="V314" s="63">
        <v>9</v>
      </c>
      <c r="W314" s="63">
        <v>9</v>
      </c>
      <c r="X314" s="63">
        <v>9</v>
      </c>
      <c r="Y314" s="63">
        <v>9</v>
      </c>
      <c r="Z314" s="63">
        <v>10</v>
      </c>
      <c r="AA314" s="63">
        <v>8</v>
      </c>
      <c r="AB314" s="63">
        <v>9</v>
      </c>
    </row>
    <row r="315" spans="1:28" x14ac:dyDescent="0.2">
      <c r="A315" s="62">
        <v>25</v>
      </c>
      <c r="B315" s="62" t="s">
        <v>356</v>
      </c>
      <c r="C315" s="62">
        <v>10</v>
      </c>
      <c r="D315" s="62" t="s">
        <v>317</v>
      </c>
      <c r="E315" s="63">
        <v>1314</v>
      </c>
      <c r="F315" s="63">
        <v>1294</v>
      </c>
      <c r="G315" s="63">
        <v>1244</v>
      </c>
      <c r="H315" s="63">
        <v>1238</v>
      </c>
      <c r="I315" s="63">
        <v>1278</v>
      </c>
      <c r="J315" s="63">
        <v>1309</v>
      </c>
      <c r="K315" s="63">
        <v>1333</v>
      </c>
      <c r="L315" s="63">
        <v>1367</v>
      </c>
      <c r="M315" s="63">
        <v>1329</v>
      </c>
      <c r="N315" s="63">
        <v>1320</v>
      </c>
      <c r="O315" s="63">
        <v>1305</v>
      </c>
      <c r="P315" s="63">
        <v>1285</v>
      </c>
      <c r="Q315" s="63">
        <v>1231</v>
      </c>
      <c r="R315" s="63">
        <v>1251</v>
      </c>
      <c r="S315" s="63">
        <v>1225</v>
      </c>
      <c r="T315" s="63">
        <v>1266</v>
      </c>
      <c r="U315" s="63">
        <v>1293</v>
      </c>
      <c r="V315" s="63">
        <v>1276</v>
      </c>
      <c r="W315" s="63">
        <v>1279</v>
      </c>
      <c r="X315" s="63">
        <v>1286</v>
      </c>
      <c r="Y315" s="63">
        <v>1332</v>
      </c>
      <c r="Z315" s="63">
        <v>1313</v>
      </c>
      <c r="AA315" s="63">
        <v>1332</v>
      </c>
      <c r="AB315" s="63">
        <v>1430</v>
      </c>
    </row>
    <row r="316" spans="1:28" x14ac:dyDescent="0.2">
      <c r="A316" s="62">
        <v>25</v>
      </c>
      <c r="B316" s="62" t="s">
        <v>356</v>
      </c>
      <c r="C316" s="62">
        <v>11</v>
      </c>
      <c r="D316" s="64" t="s">
        <v>318</v>
      </c>
      <c r="E316" s="65"/>
      <c r="F316" s="65"/>
      <c r="G316" s="62"/>
      <c r="H316" s="62"/>
      <c r="I316" s="63">
        <v>53</v>
      </c>
      <c r="J316" s="63">
        <v>63</v>
      </c>
      <c r="K316" s="63">
        <v>66</v>
      </c>
      <c r="L316" s="63">
        <v>89</v>
      </c>
      <c r="M316" s="62"/>
      <c r="N316" s="63">
        <v>81</v>
      </c>
      <c r="O316" s="63">
        <v>86</v>
      </c>
      <c r="P316" s="62"/>
      <c r="Q316" s="62"/>
      <c r="R316" s="63">
        <v>90</v>
      </c>
      <c r="S316" s="63">
        <v>59</v>
      </c>
      <c r="T316" s="63">
        <v>70</v>
      </c>
      <c r="U316" s="63">
        <v>94</v>
      </c>
      <c r="V316" s="63">
        <v>88</v>
      </c>
      <c r="W316" s="63">
        <v>93</v>
      </c>
      <c r="X316" s="63">
        <v>127</v>
      </c>
      <c r="Y316" s="63">
        <v>170</v>
      </c>
      <c r="Z316" s="63">
        <v>179</v>
      </c>
      <c r="AA316" s="63">
        <v>161</v>
      </c>
      <c r="AB316" s="63">
        <v>139</v>
      </c>
    </row>
    <row r="317" spans="1:28" x14ac:dyDescent="0.2">
      <c r="A317" s="62">
        <v>25</v>
      </c>
      <c r="B317" s="62" t="s">
        <v>356</v>
      </c>
      <c r="C317" s="62">
        <v>2</v>
      </c>
      <c r="D317" s="64" t="s">
        <v>319</v>
      </c>
      <c r="E317" s="65"/>
      <c r="F317" s="62"/>
      <c r="G317" s="63">
        <v>292</v>
      </c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3">
        <v>260</v>
      </c>
      <c r="AA317" s="63">
        <v>283</v>
      </c>
      <c r="AB317" s="63">
        <v>297</v>
      </c>
    </row>
    <row r="318" spans="1:28" x14ac:dyDescent="0.2">
      <c r="A318" s="62">
        <v>25</v>
      </c>
      <c r="B318" s="62" t="s">
        <v>356</v>
      </c>
      <c r="C318" s="62">
        <v>21</v>
      </c>
      <c r="D318" s="64" t="s">
        <v>320</v>
      </c>
      <c r="E318" s="65"/>
      <c r="F318" s="65"/>
      <c r="G318" s="65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3">
        <v>0</v>
      </c>
      <c r="Y318" s="62"/>
      <c r="Z318" s="62"/>
      <c r="AA318" s="62"/>
      <c r="AB318" s="62"/>
    </row>
    <row r="319" spans="1:28" x14ac:dyDescent="0.2">
      <c r="A319" s="62">
        <v>25</v>
      </c>
      <c r="B319" s="62" t="s">
        <v>356</v>
      </c>
      <c r="C319" s="62">
        <v>22</v>
      </c>
      <c r="D319" s="62" t="s">
        <v>321</v>
      </c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3">
        <v>17</v>
      </c>
      <c r="U319" s="63">
        <v>16</v>
      </c>
      <c r="V319" s="63">
        <v>16</v>
      </c>
      <c r="W319" s="63">
        <v>15</v>
      </c>
      <c r="X319" s="62"/>
      <c r="Y319" s="62"/>
      <c r="Z319" s="62"/>
      <c r="AA319" s="62"/>
      <c r="AB319" s="62"/>
    </row>
    <row r="320" spans="1:28" x14ac:dyDescent="0.2">
      <c r="A320" s="62">
        <v>25</v>
      </c>
      <c r="B320" s="62" t="s">
        <v>356</v>
      </c>
      <c r="C320" s="62">
        <v>23</v>
      </c>
      <c r="D320" s="62" t="s">
        <v>322</v>
      </c>
      <c r="E320" s="63">
        <v>52</v>
      </c>
      <c r="F320" s="63">
        <v>40</v>
      </c>
      <c r="G320" s="63">
        <v>56</v>
      </c>
      <c r="H320" s="63">
        <v>46</v>
      </c>
      <c r="I320" s="63">
        <v>46</v>
      </c>
      <c r="J320" s="63">
        <v>40</v>
      </c>
      <c r="K320" s="63">
        <v>46</v>
      </c>
      <c r="L320" s="63">
        <v>49</v>
      </c>
      <c r="M320" s="63">
        <v>54</v>
      </c>
      <c r="N320" s="63">
        <v>52</v>
      </c>
      <c r="O320" s="63">
        <v>52</v>
      </c>
      <c r="P320" s="63">
        <v>53</v>
      </c>
      <c r="Q320" s="63">
        <v>46</v>
      </c>
      <c r="R320" s="63">
        <v>41</v>
      </c>
      <c r="S320" s="63">
        <v>41</v>
      </c>
      <c r="T320" s="63">
        <v>60</v>
      </c>
      <c r="U320" s="63">
        <v>47</v>
      </c>
      <c r="V320" s="63">
        <v>47</v>
      </c>
      <c r="W320" s="63">
        <v>41</v>
      </c>
      <c r="X320" s="63">
        <v>40</v>
      </c>
      <c r="Y320" s="63">
        <v>57</v>
      </c>
      <c r="Z320" s="63">
        <v>65</v>
      </c>
      <c r="AA320" s="63">
        <v>18</v>
      </c>
      <c r="AB320" s="63">
        <v>28</v>
      </c>
    </row>
    <row r="321" spans="1:28" x14ac:dyDescent="0.2">
      <c r="A321" s="62">
        <v>25</v>
      </c>
      <c r="B321" s="62" t="s">
        <v>356</v>
      </c>
      <c r="C321" s="62">
        <v>3</v>
      </c>
      <c r="D321" s="62" t="s">
        <v>323</v>
      </c>
      <c r="E321" s="63">
        <v>209</v>
      </c>
      <c r="F321" s="63">
        <v>205</v>
      </c>
      <c r="G321" s="63">
        <v>210</v>
      </c>
      <c r="H321" s="63">
        <v>212</v>
      </c>
      <c r="I321" s="63">
        <v>210</v>
      </c>
      <c r="J321" s="63">
        <v>202</v>
      </c>
      <c r="K321" s="63">
        <v>204</v>
      </c>
      <c r="L321" s="63">
        <v>202</v>
      </c>
      <c r="M321" s="63">
        <v>200</v>
      </c>
      <c r="N321" s="63">
        <v>190</v>
      </c>
      <c r="O321" s="63">
        <v>190</v>
      </c>
      <c r="P321" s="63">
        <v>178</v>
      </c>
      <c r="Q321" s="63">
        <v>183</v>
      </c>
      <c r="R321" s="63">
        <v>185</v>
      </c>
      <c r="S321" s="63">
        <v>180</v>
      </c>
      <c r="T321" s="63">
        <v>179</v>
      </c>
      <c r="U321" s="63">
        <v>179</v>
      </c>
      <c r="V321" s="63">
        <v>191</v>
      </c>
      <c r="W321" s="63">
        <v>187</v>
      </c>
      <c r="X321" s="63">
        <v>188</v>
      </c>
      <c r="Y321" s="63">
        <v>184</v>
      </c>
      <c r="Z321" s="63">
        <v>176</v>
      </c>
      <c r="AA321" s="63">
        <v>205</v>
      </c>
      <c r="AB321" s="63">
        <v>214</v>
      </c>
    </row>
    <row r="322" spans="1:28" x14ac:dyDescent="0.2">
      <c r="A322" s="62">
        <v>25</v>
      </c>
      <c r="B322" s="62" t="s">
        <v>356</v>
      </c>
      <c r="C322" s="62" t="s">
        <v>324</v>
      </c>
      <c r="D322" s="64" t="s">
        <v>325</v>
      </c>
      <c r="E322" s="65"/>
      <c r="F322" s="62"/>
      <c r="G322" s="62"/>
      <c r="H322" s="63">
        <v>8</v>
      </c>
      <c r="I322" s="63">
        <v>17</v>
      </c>
      <c r="J322" s="63">
        <v>17</v>
      </c>
      <c r="K322" s="62"/>
      <c r="L322" s="63">
        <v>1</v>
      </c>
      <c r="M322" s="63">
        <v>5</v>
      </c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</row>
    <row r="323" spans="1:28" x14ac:dyDescent="0.2">
      <c r="A323" s="62">
        <v>25</v>
      </c>
      <c r="B323" s="62" t="s">
        <v>356</v>
      </c>
      <c r="C323" s="62">
        <v>42</v>
      </c>
      <c r="D323" s="64" t="s">
        <v>326</v>
      </c>
      <c r="E323" s="65"/>
      <c r="F323" s="62"/>
      <c r="G323" s="62"/>
      <c r="H323" s="62"/>
      <c r="I323" s="63">
        <v>6</v>
      </c>
      <c r="J323" s="63">
        <v>1</v>
      </c>
      <c r="K323" s="63">
        <v>1</v>
      </c>
      <c r="L323" s="63">
        <v>7</v>
      </c>
      <c r="M323" s="63">
        <v>7</v>
      </c>
      <c r="N323" s="63">
        <v>6</v>
      </c>
      <c r="O323" s="63">
        <v>6</v>
      </c>
      <c r="P323" s="63">
        <v>11</v>
      </c>
      <c r="Q323" s="63">
        <v>8</v>
      </c>
      <c r="R323" s="63">
        <v>8</v>
      </c>
      <c r="S323" s="62"/>
      <c r="T323" s="62"/>
      <c r="U323" s="63">
        <v>13</v>
      </c>
      <c r="V323" s="62"/>
      <c r="W323" s="63">
        <v>17</v>
      </c>
      <c r="X323" s="63">
        <v>19</v>
      </c>
      <c r="Y323" s="63">
        <v>25</v>
      </c>
      <c r="Z323" s="63">
        <v>22</v>
      </c>
      <c r="AA323" s="62"/>
      <c r="AB323" s="63">
        <v>11</v>
      </c>
    </row>
    <row r="324" spans="1:28" x14ac:dyDescent="0.2">
      <c r="A324" s="62">
        <v>25</v>
      </c>
      <c r="B324" s="62" t="s">
        <v>356</v>
      </c>
      <c r="C324" s="62" t="s">
        <v>327</v>
      </c>
      <c r="D324" s="62" t="s">
        <v>328</v>
      </c>
      <c r="E324" s="63">
        <v>116</v>
      </c>
      <c r="F324" s="63">
        <v>119</v>
      </c>
      <c r="G324" s="63">
        <v>123</v>
      </c>
      <c r="H324" s="63">
        <v>119</v>
      </c>
      <c r="I324" s="63">
        <v>120</v>
      </c>
      <c r="J324" s="63">
        <v>115</v>
      </c>
      <c r="K324" s="63">
        <v>106</v>
      </c>
      <c r="L324" s="63">
        <v>107</v>
      </c>
      <c r="M324" s="63">
        <v>98</v>
      </c>
      <c r="N324" s="63">
        <v>105</v>
      </c>
      <c r="O324" s="63">
        <v>84</v>
      </c>
      <c r="P324" s="63">
        <v>78</v>
      </c>
      <c r="Q324" s="63">
        <v>78</v>
      </c>
      <c r="R324" s="63">
        <v>97</v>
      </c>
      <c r="S324" s="63">
        <v>104</v>
      </c>
      <c r="T324" s="63">
        <v>105</v>
      </c>
      <c r="U324" s="63">
        <v>100</v>
      </c>
      <c r="V324" s="63">
        <v>103</v>
      </c>
      <c r="W324" s="63">
        <v>108</v>
      </c>
      <c r="X324" s="63">
        <v>92</v>
      </c>
      <c r="Y324" s="63">
        <v>96</v>
      </c>
      <c r="Z324" s="63">
        <v>112</v>
      </c>
      <c r="AA324" s="63">
        <v>101</v>
      </c>
      <c r="AB324" s="63">
        <v>94</v>
      </c>
    </row>
    <row r="325" spans="1:28" x14ac:dyDescent="0.2">
      <c r="A325" s="62">
        <v>25</v>
      </c>
      <c r="B325" s="62" t="s">
        <v>356</v>
      </c>
      <c r="C325" s="62" t="s">
        <v>329</v>
      </c>
      <c r="D325" s="62" t="s">
        <v>330</v>
      </c>
      <c r="E325" s="63">
        <v>16</v>
      </c>
      <c r="F325" s="63">
        <v>0</v>
      </c>
      <c r="G325" s="63">
        <v>11</v>
      </c>
      <c r="H325" s="63">
        <v>0</v>
      </c>
      <c r="I325" s="63">
        <v>12</v>
      </c>
      <c r="J325" s="63">
        <v>13</v>
      </c>
      <c r="K325" s="63">
        <v>18</v>
      </c>
      <c r="L325" s="63">
        <v>14</v>
      </c>
      <c r="M325" s="63">
        <v>14</v>
      </c>
      <c r="N325" s="63">
        <v>15</v>
      </c>
      <c r="O325" s="63">
        <v>16</v>
      </c>
      <c r="P325" s="63">
        <v>18</v>
      </c>
      <c r="Q325" s="63">
        <v>18</v>
      </c>
      <c r="R325" s="63">
        <v>20</v>
      </c>
      <c r="S325" s="63">
        <v>18</v>
      </c>
      <c r="T325" s="63">
        <v>15</v>
      </c>
      <c r="U325" s="63">
        <v>23</v>
      </c>
      <c r="V325" s="63">
        <v>19</v>
      </c>
      <c r="W325" s="63">
        <v>18</v>
      </c>
      <c r="X325" s="63">
        <v>22</v>
      </c>
      <c r="Y325" s="63">
        <v>18</v>
      </c>
      <c r="Z325" s="63">
        <v>27</v>
      </c>
      <c r="AA325" s="63">
        <v>81</v>
      </c>
      <c r="AB325" s="63">
        <v>162</v>
      </c>
    </row>
    <row r="326" spans="1:28" x14ac:dyDescent="0.2">
      <c r="A326" s="62">
        <v>25</v>
      </c>
      <c r="B326" s="62" t="s">
        <v>356</v>
      </c>
      <c r="C326" s="62">
        <v>51</v>
      </c>
      <c r="D326" s="62" t="s">
        <v>331</v>
      </c>
      <c r="E326" s="62"/>
      <c r="F326" s="62"/>
      <c r="G326" s="62"/>
      <c r="H326" s="62"/>
      <c r="I326" s="63">
        <v>3</v>
      </c>
      <c r="J326" s="63">
        <v>0</v>
      </c>
      <c r="K326" s="63">
        <v>1</v>
      </c>
      <c r="L326" s="63">
        <v>1</v>
      </c>
      <c r="M326" s="63">
        <v>0</v>
      </c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3">
        <v>0</v>
      </c>
      <c r="Z326" s="63">
        <v>0</v>
      </c>
      <c r="AA326" s="63">
        <v>0</v>
      </c>
      <c r="AB326" s="63">
        <v>0</v>
      </c>
    </row>
    <row r="327" spans="1:28" x14ac:dyDescent="0.2">
      <c r="A327" s="62">
        <v>25</v>
      </c>
      <c r="B327" s="62" t="s">
        <v>356</v>
      </c>
      <c r="C327" s="62">
        <v>52</v>
      </c>
      <c r="D327" s="64" t="s">
        <v>332</v>
      </c>
      <c r="E327" s="65"/>
      <c r="F327" s="62"/>
      <c r="G327" s="62"/>
      <c r="H327" s="63">
        <v>25</v>
      </c>
      <c r="I327" s="63">
        <v>27</v>
      </c>
      <c r="J327" s="63">
        <v>27</v>
      </c>
      <c r="K327" s="62"/>
      <c r="L327" s="63">
        <v>28</v>
      </c>
      <c r="M327" s="62"/>
      <c r="N327" s="63">
        <v>26</v>
      </c>
      <c r="O327" s="63">
        <v>24</v>
      </c>
      <c r="P327" s="63">
        <v>23</v>
      </c>
      <c r="Q327" s="63">
        <v>22</v>
      </c>
      <c r="R327" s="63">
        <v>23</v>
      </c>
      <c r="S327" s="63">
        <v>26</v>
      </c>
      <c r="T327" s="63">
        <v>22</v>
      </c>
      <c r="U327" s="63">
        <v>23</v>
      </c>
      <c r="V327" s="63">
        <v>23</v>
      </c>
      <c r="W327" s="63">
        <v>25</v>
      </c>
      <c r="X327" s="63">
        <v>24</v>
      </c>
      <c r="Y327" s="62"/>
      <c r="Z327" s="63">
        <v>27</v>
      </c>
      <c r="AA327" s="63">
        <v>25</v>
      </c>
      <c r="AB327" s="63">
        <v>25</v>
      </c>
    </row>
    <row r="328" spans="1:28" x14ac:dyDescent="0.2">
      <c r="A328" s="62">
        <v>25</v>
      </c>
      <c r="B328" s="62" t="s">
        <v>356</v>
      </c>
      <c r="C328" s="62">
        <v>53</v>
      </c>
      <c r="D328" s="62" t="s">
        <v>333</v>
      </c>
      <c r="E328" s="63">
        <v>27</v>
      </c>
      <c r="F328" s="63">
        <v>21</v>
      </c>
      <c r="G328" s="63">
        <v>26</v>
      </c>
      <c r="H328" s="63">
        <v>24</v>
      </c>
      <c r="I328" s="63">
        <v>19</v>
      </c>
      <c r="J328" s="63">
        <v>15</v>
      </c>
      <c r="K328" s="63">
        <v>15</v>
      </c>
      <c r="L328" s="63">
        <v>15</v>
      </c>
      <c r="M328" s="63">
        <v>16</v>
      </c>
      <c r="N328" s="63">
        <v>17</v>
      </c>
      <c r="O328" s="63">
        <v>14</v>
      </c>
      <c r="P328" s="63">
        <v>14</v>
      </c>
      <c r="Q328" s="63">
        <v>13</v>
      </c>
      <c r="R328" s="63">
        <v>11</v>
      </c>
      <c r="S328" s="63">
        <v>14</v>
      </c>
      <c r="T328" s="63">
        <v>14</v>
      </c>
      <c r="U328" s="63">
        <v>14</v>
      </c>
      <c r="V328" s="63">
        <v>13</v>
      </c>
      <c r="W328" s="63">
        <v>20</v>
      </c>
      <c r="X328" s="63">
        <v>16</v>
      </c>
      <c r="Y328" s="63">
        <v>19</v>
      </c>
      <c r="Z328" s="63">
        <v>17</v>
      </c>
      <c r="AA328" s="63">
        <v>22</v>
      </c>
      <c r="AB328" s="63">
        <v>24</v>
      </c>
    </row>
    <row r="329" spans="1:28" x14ac:dyDescent="0.2">
      <c r="A329" s="62">
        <v>25</v>
      </c>
      <c r="B329" s="62" t="s">
        <v>356</v>
      </c>
      <c r="C329" s="62">
        <v>54</v>
      </c>
      <c r="D329" s="62" t="s">
        <v>334</v>
      </c>
      <c r="E329" s="63">
        <v>15</v>
      </c>
      <c r="F329" s="63">
        <v>20</v>
      </c>
      <c r="G329" s="63">
        <v>22</v>
      </c>
      <c r="H329" s="63">
        <v>18</v>
      </c>
      <c r="I329" s="63">
        <v>20</v>
      </c>
      <c r="J329" s="63">
        <v>24</v>
      </c>
      <c r="K329" s="63">
        <v>23</v>
      </c>
      <c r="L329" s="63">
        <v>23</v>
      </c>
      <c r="M329" s="63">
        <v>23</v>
      </c>
      <c r="N329" s="63">
        <v>22</v>
      </c>
      <c r="O329" s="63">
        <v>14</v>
      </c>
      <c r="P329" s="63">
        <v>19</v>
      </c>
      <c r="Q329" s="63">
        <v>23</v>
      </c>
      <c r="R329" s="63">
        <v>25</v>
      </c>
      <c r="S329" s="63">
        <v>24</v>
      </c>
      <c r="T329" s="63">
        <v>25</v>
      </c>
      <c r="U329" s="63">
        <v>17</v>
      </c>
      <c r="V329" s="63">
        <v>18</v>
      </c>
      <c r="W329" s="63">
        <v>23</v>
      </c>
      <c r="X329" s="63">
        <v>18</v>
      </c>
      <c r="Y329" s="63">
        <v>35</v>
      </c>
      <c r="Z329" s="63">
        <v>33</v>
      </c>
      <c r="AA329" s="63">
        <v>15</v>
      </c>
      <c r="AB329" s="63">
        <v>9</v>
      </c>
    </row>
    <row r="330" spans="1:28" x14ac:dyDescent="0.2">
      <c r="A330" s="62">
        <v>25</v>
      </c>
      <c r="B330" s="62" t="s">
        <v>356</v>
      </c>
      <c r="C330" s="62">
        <v>55</v>
      </c>
      <c r="D330" s="64" t="s">
        <v>335</v>
      </c>
      <c r="E330" s="65"/>
      <c r="F330" s="65"/>
      <c r="G330" s="65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</row>
    <row r="331" spans="1:28" x14ac:dyDescent="0.2">
      <c r="A331" s="62">
        <v>25</v>
      </c>
      <c r="B331" s="62" t="s">
        <v>356</v>
      </c>
      <c r="C331" s="62">
        <v>56</v>
      </c>
      <c r="D331" s="64" t="s">
        <v>336</v>
      </c>
      <c r="E331" s="65"/>
      <c r="F331" s="65"/>
      <c r="G331" s="65"/>
      <c r="H331" s="65"/>
      <c r="I331" s="65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</row>
    <row r="332" spans="1:28" x14ac:dyDescent="0.2">
      <c r="A332" s="62">
        <v>25</v>
      </c>
      <c r="B332" s="62" t="s">
        <v>356</v>
      </c>
      <c r="C332" s="62">
        <v>61</v>
      </c>
      <c r="D332" s="62" t="s">
        <v>337</v>
      </c>
      <c r="E332" s="63">
        <v>1</v>
      </c>
      <c r="F332" s="63">
        <v>1</v>
      </c>
      <c r="G332" s="63">
        <v>1</v>
      </c>
      <c r="H332" s="63">
        <v>0</v>
      </c>
      <c r="I332" s="63">
        <v>0</v>
      </c>
      <c r="J332" s="62"/>
      <c r="K332" s="63">
        <v>0</v>
      </c>
      <c r="L332" s="63">
        <v>1</v>
      </c>
      <c r="M332" s="62"/>
      <c r="N332" s="62"/>
      <c r="O332" s="63">
        <v>0</v>
      </c>
      <c r="P332" s="63">
        <v>0</v>
      </c>
      <c r="Q332" s="63">
        <v>0</v>
      </c>
      <c r="R332" s="62"/>
      <c r="S332" s="62"/>
      <c r="T332" s="62"/>
      <c r="U332" s="63">
        <v>4</v>
      </c>
      <c r="V332" s="63">
        <v>4</v>
      </c>
      <c r="W332" s="63">
        <v>4</v>
      </c>
      <c r="X332" s="63">
        <v>3</v>
      </c>
      <c r="Y332" s="63">
        <v>0</v>
      </c>
      <c r="Z332" s="62"/>
      <c r="AA332" s="62"/>
      <c r="AB332" s="62"/>
    </row>
    <row r="333" spans="1:28" x14ac:dyDescent="0.2">
      <c r="A333" s="62">
        <v>25</v>
      </c>
      <c r="B333" s="62" t="s">
        <v>356</v>
      </c>
      <c r="C333" s="62">
        <v>62</v>
      </c>
      <c r="D333" s="62" t="s">
        <v>338</v>
      </c>
      <c r="E333" s="63">
        <v>105</v>
      </c>
      <c r="F333" s="63">
        <v>116</v>
      </c>
      <c r="G333" s="63">
        <v>96</v>
      </c>
      <c r="H333" s="63">
        <v>99</v>
      </c>
      <c r="I333" s="63">
        <v>85</v>
      </c>
      <c r="J333" s="63">
        <v>87</v>
      </c>
      <c r="K333" s="63">
        <v>71</v>
      </c>
      <c r="L333" s="63">
        <v>82</v>
      </c>
      <c r="M333" s="63">
        <v>68</v>
      </c>
      <c r="N333" s="63">
        <v>73</v>
      </c>
      <c r="O333" s="63">
        <v>71</v>
      </c>
      <c r="P333" s="63">
        <v>77</v>
      </c>
      <c r="Q333" s="63">
        <v>70</v>
      </c>
      <c r="R333" s="63">
        <v>71</v>
      </c>
      <c r="S333" s="63">
        <v>78</v>
      </c>
      <c r="T333" s="63">
        <v>79</v>
      </c>
      <c r="U333" s="63">
        <v>77</v>
      </c>
      <c r="V333" s="63">
        <v>86</v>
      </c>
      <c r="W333" s="63">
        <v>83</v>
      </c>
      <c r="X333" s="63">
        <v>80</v>
      </c>
      <c r="Y333" s="63">
        <v>75</v>
      </c>
      <c r="Z333" s="63">
        <v>66</v>
      </c>
      <c r="AA333" s="63">
        <v>74</v>
      </c>
      <c r="AB333" s="63">
        <v>80</v>
      </c>
    </row>
    <row r="334" spans="1:28" x14ac:dyDescent="0.2">
      <c r="A334" s="62">
        <v>25</v>
      </c>
      <c r="B334" s="62" t="s">
        <v>356</v>
      </c>
      <c r="C334" s="62">
        <v>71</v>
      </c>
      <c r="D334" s="64" t="s">
        <v>339</v>
      </c>
      <c r="E334" s="65"/>
      <c r="F334" s="65"/>
      <c r="G334" s="62"/>
      <c r="H334" s="62"/>
      <c r="I334" s="63">
        <v>4</v>
      </c>
      <c r="J334" s="63">
        <v>6</v>
      </c>
      <c r="K334" s="63">
        <v>10</v>
      </c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3">
        <v>6</v>
      </c>
      <c r="Z334" s="63">
        <v>5</v>
      </c>
      <c r="AA334" s="63">
        <v>5</v>
      </c>
      <c r="AB334" s="63">
        <v>5</v>
      </c>
    </row>
    <row r="335" spans="1:28" x14ac:dyDescent="0.2">
      <c r="A335" s="62">
        <v>25</v>
      </c>
      <c r="B335" s="62" t="s">
        <v>356</v>
      </c>
      <c r="C335" s="62">
        <v>72</v>
      </c>
      <c r="D335" s="62" t="s">
        <v>340</v>
      </c>
      <c r="E335" s="63">
        <v>32</v>
      </c>
      <c r="F335" s="63">
        <v>17</v>
      </c>
      <c r="G335" s="63">
        <v>22</v>
      </c>
      <c r="H335" s="63">
        <v>19</v>
      </c>
      <c r="I335" s="63">
        <v>26</v>
      </c>
      <c r="J335" s="63">
        <v>24</v>
      </c>
      <c r="K335" s="63">
        <v>27</v>
      </c>
      <c r="L335" s="63">
        <v>28</v>
      </c>
      <c r="M335" s="63">
        <v>30</v>
      </c>
      <c r="N335" s="63">
        <v>31</v>
      </c>
      <c r="O335" s="63">
        <v>33</v>
      </c>
      <c r="P335" s="63">
        <v>25</v>
      </c>
      <c r="Q335" s="63">
        <v>25</v>
      </c>
      <c r="R335" s="63">
        <v>21</v>
      </c>
      <c r="S335" s="63">
        <v>20</v>
      </c>
      <c r="T335" s="63">
        <v>20</v>
      </c>
      <c r="U335" s="63">
        <v>17</v>
      </c>
      <c r="V335" s="63">
        <v>16</v>
      </c>
      <c r="W335" s="63">
        <v>13</v>
      </c>
      <c r="X335" s="63">
        <v>20</v>
      </c>
      <c r="Y335" s="63">
        <v>23</v>
      </c>
      <c r="Z335" s="63">
        <v>22</v>
      </c>
      <c r="AA335" s="63">
        <v>22</v>
      </c>
      <c r="AB335" s="63">
        <v>21</v>
      </c>
    </row>
    <row r="336" spans="1:28" x14ac:dyDescent="0.2">
      <c r="A336" s="62">
        <v>25</v>
      </c>
      <c r="B336" s="62" t="s">
        <v>356</v>
      </c>
      <c r="C336" s="62">
        <v>81</v>
      </c>
      <c r="D336" s="62" t="s">
        <v>341</v>
      </c>
      <c r="E336" s="63">
        <v>40</v>
      </c>
      <c r="F336" s="63">
        <v>37</v>
      </c>
      <c r="G336" s="63">
        <v>40</v>
      </c>
      <c r="H336" s="63">
        <v>40</v>
      </c>
      <c r="I336" s="63">
        <v>38</v>
      </c>
      <c r="J336" s="63">
        <v>43</v>
      </c>
      <c r="K336" s="63">
        <v>39</v>
      </c>
      <c r="L336" s="63">
        <v>36</v>
      </c>
      <c r="M336" s="63">
        <v>42</v>
      </c>
      <c r="N336" s="63">
        <v>41</v>
      </c>
      <c r="O336" s="63">
        <v>34</v>
      </c>
      <c r="P336" s="63">
        <v>39</v>
      </c>
      <c r="Q336" s="63">
        <v>35</v>
      </c>
      <c r="R336" s="63">
        <v>31</v>
      </c>
      <c r="S336" s="63">
        <v>33</v>
      </c>
      <c r="T336" s="63">
        <v>39</v>
      </c>
      <c r="U336" s="63">
        <v>54</v>
      </c>
      <c r="V336" s="63">
        <v>37</v>
      </c>
      <c r="W336" s="63">
        <v>32</v>
      </c>
      <c r="X336" s="63">
        <v>33</v>
      </c>
      <c r="Y336" s="63">
        <v>34</v>
      </c>
      <c r="Z336" s="63">
        <v>32</v>
      </c>
      <c r="AA336" s="63">
        <v>0</v>
      </c>
      <c r="AB336" s="62"/>
    </row>
    <row r="337" spans="1:28" x14ac:dyDescent="0.2">
      <c r="A337" s="62">
        <v>25</v>
      </c>
      <c r="B337" s="62" t="s">
        <v>356</v>
      </c>
      <c r="C337" s="62">
        <v>99</v>
      </c>
      <c r="D337" s="62" t="s">
        <v>342</v>
      </c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3">
        <v>0</v>
      </c>
      <c r="T337" s="63">
        <v>0</v>
      </c>
      <c r="U337" s="62"/>
      <c r="V337" s="62"/>
      <c r="W337" s="62"/>
      <c r="X337" s="62"/>
      <c r="Y337" s="62"/>
      <c r="Z337" s="62"/>
      <c r="AA337" s="63">
        <v>0</v>
      </c>
      <c r="AB337" s="62"/>
    </row>
    <row r="338" spans="1:28" x14ac:dyDescent="0.2">
      <c r="A338" s="62">
        <v>27</v>
      </c>
      <c r="B338" s="62" t="s">
        <v>357</v>
      </c>
      <c r="C338" s="62">
        <v>1</v>
      </c>
      <c r="D338" s="62" t="s">
        <v>316</v>
      </c>
      <c r="E338" s="63">
        <v>15</v>
      </c>
      <c r="F338" s="63">
        <v>15</v>
      </c>
      <c r="G338" s="63">
        <v>16</v>
      </c>
      <c r="H338" s="63">
        <v>18</v>
      </c>
      <c r="I338" s="63">
        <v>16</v>
      </c>
      <c r="J338" s="63">
        <v>15</v>
      </c>
      <c r="K338" s="63">
        <v>14</v>
      </c>
      <c r="L338" s="63">
        <v>14</v>
      </c>
      <c r="M338" s="63">
        <v>16</v>
      </c>
      <c r="N338" s="63">
        <v>20</v>
      </c>
      <c r="O338" s="63">
        <v>14</v>
      </c>
      <c r="P338" s="63">
        <v>16</v>
      </c>
      <c r="Q338" s="63">
        <v>15</v>
      </c>
      <c r="R338" s="63">
        <v>15</v>
      </c>
      <c r="S338" s="63">
        <v>15</v>
      </c>
      <c r="T338" s="63">
        <v>14</v>
      </c>
      <c r="U338" s="63">
        <v>12</v>
      </c>
      <c r="V338" s="63">
        <v>12</v>
      </c>
      <c r="W338" s="63">
        <v>11</v>
      </c>
      <c r="X338" s="63">
        <v>17</v>
      </c>
      <c r="Y338" s="63">
        <v>13</v>
      </c>
      <c r="Z338" s="63">
        <v>12</v>
      </c>
      <c r="AA338" s="63">
        <v>14</v>
      </c>
      <c r="AB338" s="63">
        <v>17</v>
      </c>
    </row>
    <row r="339" spans="1:28" x14ac:dyDescent="0.2">
      <c r="A339" s="62">
        <v>27</v>
      </c>
      <c r="B339" s="62" t="s">
        <v>357</v>
      </c>
      <c r="C339" s="62">
        <v>10</v>
      </c>
      <c r="D339" s="62" t="s">
        <v>317</v>
      </c>
      <c r="E339" s="63">
        <v>1366</v>
      </c>
      <c r="F339" s="63">
        <v>1498</v>
      </c>
      <c r="G339" s="63">
        <v>1548</v>
      </c>
      <c r="H339" s="63">
        <v>1598</v>
      </c>
      <c r="I339" s="63">
        <v>1551</v>
      </c>
      <c r="J339" s="63">
        <v>1531</v>
      </c>
      <c r="K339" s="63">
        <v>1593</v>
      </c>
      <c r="L339" s="63">
        <v>1546</v>
      </c>
      <c r="M339" s="63">
        <v>1493</v>
      </c>
      <c r="N339" s="63">
        <v>1509</v>
      </c>
      <c r="O339" s="63">
        <v>1460</v>
      </c>
      <c r="P339" s="63">
        <v>1449</v>
      </c>
      <c r="Q339" s="63">
        <v>1474</v>
      </c>
      <c r="R339" s="63">
        <v>1518</v>
      </c>
      <c r="S339" s="63">
        <v>1534</v>
      </c>
      <c r="T339" s="63">
        <v>1548</v>
      </c>
      <c r="U339" s="63">
        <v>1517</v>
      </c>
      <c r="V339" s="63">
        <v>1541</v>
      </c>
      <c r="W339" s="63">
        <v>1510</v>
      </c>
      <c r="X339" s="63">
        <v>1575</v>
      </c>
      <c r="Y339" s="63">
        <v>1776</v>
      </c>
      <c r="Z339" s="63">
        <v>1891</v>
      </c>
      <c r="AA339" s="63">
        <v>1911</v>
      </c>
      <c r="AB339" s="63">
        <v>1994</v>
      </c>
    </row>
    <row r="340" spans="1:28" x14ac:dyDescent="0.2">
      <c r="A340" s="62">
        <v>27</v>
      </c>
      <c r="B340" s="62" t="s">
        <v>357</v>
      </c>
      <c r="C340" s="62">
        <v>11</v>
      </c>
      <c r="D340" s="62" t="s">
        <v>318</v>
      </c>
      <c r="E340" s="63">
        <v>49</v>
      </c>
      <c r="F340" s="63">
        <v>51</v>
      </c>
      <c r="G340" s="63">
        <v>57</v>
      </c>
      <c r="H340" s="63">
        <v>61</v>
      </c>
      <c r="I340" s="63">
        <v>60</v>
      </c>
      <c r="J340" s="63">
        <v>49</v>
      </c>
      <c r="K340" s="63">
        <v>46</v>
      </c>
      <c r="L340" s="63">
        <v>41</v>
      </c>
      <c r="M340" s="63">
        <v>38</v>
      </c>
      <c r="N340" s="63">
        <v>38</v>
      </c>
      <c r="O340" s="63">
        <v>48</v>
      </c>
      <c r="P340" s="63">
        <v>51</v>
      </c>
      <c r="Q340" s="63">
        <v>51</v>
      </c>
      <c r="R340" s="63">
        <v>44</v>
      </c>
      <c r="S340" s="63">
        <v>46</v>
      </c>
      <c r="T340" s="63">
        <v>46</v>
      </c>
      <c r="U340" s="63">
        <v>51</v>
      </c>
      <c r="V340" s="63">
        <v>42</v>
      </c>
      <c r="W340" s="63">
        <v>47</v>
      </c>
      <c r="X340" s="63">
        <v>40</v>
      </c>
      <c r="Y340" s="63">
        <v>37</v>
      </c>
      <c r="Z340" s="63">
        <v>38</v>
      </c>
      <c r="AA340" s="63">
        <v>42</v>
      </c>
      <c r="AB340" s="63">
        <v>40</v>
      </c>
    </row>
    <row r="341" spans="1:28" x14ac:dyDescent="0.2">
      <c r="A341" s="62">
        <v>27</v>
      </c>
      <c r="B341" s="62" t="s">
        <v>357</v>
      </c>
      <c r="C341" s="62">
        <v>2</v>
      </c>
      <c r="D341" s="62" t="s">
        <v>319</v>
      </c>
      <c r="E341" s="63">
        <v>5</v>
      </c>
      <c r="F341" s="63">
        <v>5</v>
      </c>
      <c r="G341" s="63">
        <v>6</v>
      </c>
      <c r="H341" s="63">
        <v>5</v>
      </c>
      <c r="I341" s="63">
        <v>6</v>
      </c>
      <c r="J341" s="63">
        <v>6</v>
      </c>
      <c r="K341" s="63">
        <v>5</v>
      </c>
      <c r="L341" s="63">
        <v>5</v>
      </c>
      <c r="M341" s="63">
        <v>5</v>
      </c>
      <c r="N341" s="62"/>
      <c r="O341" s="63">
        <v>8</v>
      </c>
      <c r="P341" s="62"/>
      <c r="Q341" s="63">
        <v>7</v>
      </c>
      <c r="R341" s="63">
        <v>8</v>
      </c>
      <c r="S341" s="63">
        <v>8</v>
      </c>
      <c r="T341" s="63">
        <v>9</v>
      </c>
      <c r="U341" s="63">
        <v>9</v>
      </c>
      <c r="V341" s="63">
        <v>8</v>
      </c>
      <c r="W341" s="63">
        <v>9</v>
      </c>
      <c r="X341" s="63">
        <v>9</v>
      </c>
      <c r="Y341" s="63">
        <v>8</v>
      </c>
      <c r="Z341" s="63">
        <v>8</v>
      </c>
      <c r="AA341" s="63">
        <v>10</v>
      </c>
      <c r="AB341" s="63">
        <v>9</v>
      </c>
    </row>
    <row r="342" spans="1:28" x14ac:dyDescent="0.2">
      <c r="A342" s="62">
        <v>27</v>
      </c>
      <c r="B342" s="62" t="s">
        <v>357</v>
      </c>
      <c r="C342" s="62">
        <v>21</v>
      </c>
      <c r="D342" s="64" t="s">
        <v>320</v>
      </c>
      <c r="E342" s="65"/>
      <c r="F342" s="65"/>
      <c r="G342" s="65"/>
      <c r="H342" s="62"/>
      <c r="I342" s="62"/>
      <c r="J342" s="62"/>
      <c r="K342" s="62"/>
      <c r="L342" s="62"/>
      <c r="M342" s="62"/>
      <c r="N342" s="63">
        <v>5</v>
      </c>
      <c r="O342" s="63">
        <v>5</v>
      </c>
      <c r="P342" s="62"/>
      <c r="Q342" s="62"/>
      <c r="R342" s="62"/>
      <c r="S342" s="62"/>
      <c r="T342" s="62"/>
      <c r="U342" s="63">
        <v>5</v>
      </c>
      <c r="V342" s="63">
        <v>6</v>
      </c>
      <c r="W342" s="63">
        <v>6</v>
      </c>
      <c r="X342" s="63">
        <v>4</v>
      </c>
      <c r="Y342" s="63">
        <v>0</v>
      </c>
      <c r="Z342" s="63">
        <v>4</v>
      </c>
      <c r="AA342" s="63">
        <v>5</v>
      </c>
      <c r="AB342" s="62"/>
    </row>
    <row r="343" spans="1:28" x14ac:dyDescent="0.2">
      <c r="A343" s="62">
        <v>27</v>
      </c>
      <c r="B343" s="62" t="s">
        <v>357</v>
      </c>
      <c r="C343" s="62">
        <v>22</v>
      </c>
      <c r="D343" s="62" t="s">
        <v>321</v>
      </c>
      <c r="E343" s="62"/>
      <c r="F343" s="62"/>
      <c r="G343" s="62"/>
      <c r="H343" s="62"/>
      <c r="I343" s="62"/>
      <c r="J343" s="62"/>
      <c r="K343" s="63">
        <v>7</v>
      </c>
      <c r="L343" s="62"/>
      <c r="M343" s="62"/>
      <c r="N343" s="62"/>
      <c r="O343" s="62"/>
      <c r="P343" s="62"/>
      <c r="Q343" s="63">
        <v>8</v>
      </c>
      <c r="R343" s="62"/>
      <c r="S343" s="63">
        <v>9</v>
      </c>
      <c r="T343" s="62"/>
      <c r="U343" s="62"/>
      <c r="V343" s="62"/>
      <c r="W343" s="62"/>
      <c r="X343" s="62"/>
      <c r="Y343" s="63">
        <v>12</v>
      </c>
      <c r="Z343" s="63">
        <v>13</v>
      </c>
      <c r="AA343" s="63">
        <v>14</v>
      </c>
      <c r="AB343" s="63">
        <v>14</v>
      </c>
    </row>
    <row r="344" spans="1:28" x14ac:dyDescent="0.2">
      <c r="A344" s="62">
        <v>27</v>
      </c>
      <c r="B344" s="62" t="s">
        <v>357</v>
      </c>
      <c r="C344" s="62">
        <v>23</v>
      </c>
      <c r="D344" s="62" t="s">
        <v>322</v>
      </c>
      <c r="E344" s="63">
        <v>269</v>
      </c>
      <c r="F344" s="63">
        <v>286</v>
      </c>
      <c r="G344" s="63">
        <v>273</v>
      </c>
      <c r="H344" s="63">
        <v>300</v>
      </c>
      <c r="I344" s="63">
        <v>256</v>
      </c>
      <c r="J344" s="63">
        <v>246</v>
      </c>
      <c r="K344" s="63">
        <v>270</v>
      </c>
      <c r="L344" s="63">
        <v>262</v>
      </c>
      <c r="M344" s="63">
        <v>247</v>
      </c>
      <c r="N344" s="63">
        <v>252</v>
      </c>
      <c r="O344" s="63">
        <v>251</v>
      </c>
      <c r="P344" s="63">
        <v>207</v>
      </c>
      <c r="Q344" s="63">
        <v>219</v>
      </c>
      <c r="R344" s="63">
        <v>243</v>
      </c>
      <c r="S344" s="63">
        <v>251</v>
      </c>
      <c r="T344" s="63">
        <v>250</v>
      </c>
      <c r="U344" s="63">
        <v>197</v>
      </c>
      <c r="V344" s="63">
        <v>214</v>
      </c>
      <c r="W344" s="63">
        <v>196</v>
      </c>
      <c r="X344" s="63">
        <v>225</v>
      </c>
      <c r="Y344" s="63">
        <v>230</v>
      </c>
      <c r="Z344" s="63">
        <v>265</v>
      </c>
      <c r="AA344" s="63">
        <v>287</v>
      </c>
      <c r="AB344" s="63">
        <v>302</v>
      </c>
    </row>
    <row r="345" spans="1:28" x14ac:dyDescent="0.2">
      <c r="A345" s="62">
        <v>27</v>
      </c>
      <c r="B345" s="62" t="s">
        <v>357</v>
      </c>
      <c r="C345" s="62">
        <v>3</v>
      </c>
      <c r="D345" s="62" t="s">
        <v>323</v>
      </c>
      <c r="E345" s="63">
        <v>200</v>
      </c>
      <c r="F345" s="63">
        <v>212</v>
      </c>
      <c r="G345" s="63">
        <v>215</v>
      </c>
      <c r="H345" s="63">
        <v>214</v>
      </c>
      <c r="I345" s="63">
        <v>214</v>
      </c>
      <c r="J345" s="63">
        <v>216</v>
      </c>
      <c r="K345" s="63">
        <v>217</v>
      </c>
      <c r="L345" s="63">
        <v>218</v>
      </c>
      <c r="M345" s="63">
        <v>228</v>
      </c>
      <c r="N345" s="63">
        <v>223</v>
      </c>
      <c r="O345" s="63">
        <v>218</v>
      </c>
      <c r="P345" s="63">
        <v>215</v>
      </c>
      <c r="Q345" s="63">
        <v>213</v>
      </c>
      <c r="R345" s="63">
        <v>220</v>
      </c>
      <c r="S345" s="63">
        <v>227</v>
      </c>
      <c r="T345" s="63">
        <v>235</v>
      </c>
      <c r="U345" s="63">
        <v>239</v>
      </c>
      <c r="V345" s="63">
        <v>239</v>
      </c>
      <c r="W345" s="63">
        <v>237</v>
      </c>
      <c r="X345" s="63">
        <v>232</v>
      </c>
      <c r="Y345" s="63">
        <v>228</v>
      </c>
      <c r="Z345" s="63">
        <v>234</v>
      </c>
      <c r="AA345" s="63">
        <v>235</v>
      </c>
      <c r="AB345" s="63">
        <v>223</v>
      </c>
    </row>
    <row r="346" spans="1:28" x14ac:dyDescent="0.2">
      <c r="A346" s="62">
        <v>27</v>
      </c>
      <c r="B346" s="62" t="s">
        <v>357</v>
      </c>
      <c r="C346" s="62" t="s">
        <v>324</v>
      </c>
      <c r="D346" s="62" t="s">
        <v>325</v>
      </c>
      <c r="E346" s="63">
        <v>30</v>
      </c>
      <c r="F346" s="63">
        <v>28</v>
      </c>
      <c r="G346" s="63">
        <v>35</v>
      </c>
      <c r="H346" s="63">
        <v>42</v>
      </c>
      <c r="I346" s="63">
        <v>56</v>
      </c>
      <c r="J346" s="63">
        <v>54</v>
      </c>
      <c r="K346" s="63">
        <v>55</v>
      </c>
      <c r="L346" s="63">
        <v>65</v>
      </c>
      <c r="M346" s="63">
        <v>56</v>
      </c>
      <c r="N346" s="63">
        <v>53</v>
      </c>
      <c r="O346" s="63">
        <v>52</v>
      </c>
      <c r="P346" s="63">
        <v>52</v>
      </c>
      <c r="Q346" s="63">
        <v>58</v>
      </c>
      <c r="R346" s="63">
        <v>72</v>
      </c>
      <c r="S346" s="63">
        <v>72</v>
      </c>
      <c r="T346" s="63">
        <v>69</v>
      </c>
      <c r="U346" s="63">
        <v>64</v>
      </c>
      <c r="V346" s="63">
        <v>52</v>
      </c>
      <c r="W346" s="63">
        <v>52</v>
      </c>
      <c r="X346" s="63">
        <v>51</v>
      </c>
      <c r="Y346" s="63">
        <v>76</v>
      </c>
      <c r="Z346" s="63">
        <v>88</v>
      </c>
      <c r="AA346" s="63">
        <v>89</v>
      </c>
      <c r="AB346" s="63">
        <v>80</v>
      </c>
    </row>
    <row r="347" spans="1:28" x14ac:dyDescent="0.2">
      <c r="A347" s="62">
        <v>27</v>
      </c>
      <c r="B347" s="62" t="s">
        <v>357</v>
      </c>
      <c r="C347" s="62">
        <v>42</v>
      </c>
      <c r="D347" s="62" t="s">
        <v>326</v>
      </c>
      <c r="E347" s="63">
        <v>24</v>
      </c>
      <c r="F347" s="63">
        <v>27</v>
      </c>
      <c r="G347" s="63">
        <v>16</v>
      </c>
      <c r="H347" s="63">
        <v>19</v>
      </c>
      <c r="I347" s="63">
        <v>26</v>
      </c>
      <c r="J347" s="63">
        <v>22</v>
      </c>
      <c r="K347" s="63">
        <v>13</v>
      </c>
      <c r="L347" s="63">
        <v>14</v>
      </c>
      <c r="M347" s="63">
        <v>9</v>
      </c>
      <c r="N347" s="63">
        <v>18</v>
      </c>
      <c r="O347" s="63">
        <v>9</v>
      </c>
      <c r="P347" s="63">
        <v>15</v>
      </c>
      <c r="Q347" s="63">
        <v>12</v>
      </c>
      <c r="R347" s="63">
        <v>15</v>
      </c>
      <c r="S347" s="63">
        <v>15</v>
      </c>
      <c r="T347" s="63">
        <v>13</v>
      </c>
      <c r="U347" s="63">
        <v>14</v>
      </c>
      <c r="V347" s="63">
        <v>24</v>
      </c>
      <c r="W347" s="63">
        <v>26</v>
      </c>
      <c r="X347" s="63">
        <v>31</v>
      </c>
      <c r="Y347" s="63">
        <v>36</v>
      </c>
      <c r="Z347" s="63">
        <v>41</v>
      </c>
      <c r="AA347" s="63">
        <v>37</v>
      </c>
      <c r="AB347" s="63">
        <v>29</v>
      </c>
    </row>
    <row r="348" spans="1:28" x14ac:dyDescent="0.2">
      <c r="A348" s="62">
        <v>27</v>
      </c>
      <c r="B348" s="62" t="s">
        <v>357</v>
      </c>
      <c r="C348" s="62" t="s">
        <v>327</v>
      </c>
      <c r="D348" s="62" t="s">
        <v>328</v>
      </c>
      <c r="E348" s="63">
        <v>183</v>
      </c>
      <c r="F348" s="63">
        <v>202</v>
      </c>
      <c r="G348" s="63">
        <v>201</v>
      </c>
      <c r="H348" s="63">
        <v>185</v>
      </c>
      <c r="I348" s="63">
        <v>181</v>
      </c>
      <c r="J348" s="63">
        <v>176</v>
      </c>
      <c r="K348" s="63">
        <v>187</v>
      </c>
      <c r="L348" s="63">
        <v>177</v>
      </c>
      <c r="M348" s="63">
        <v>173</v>
      </c>
      <c r="N348" s="63">
        <v>169</v>
      </c>
      <c r="O348" s="63">
        <v>168</v>
      </c>
      <c r="P348" s="63">
        <v>188</v>
      </c>
      <c r="Q348" s="63">
        <v>182</v>
      </c>
      <c r="R348" s="63">
        <v>176</v>
      </c>
      <c r="S348" s="63">
        <v>170</v>
      </c>
      <c r="T348" s="63">
        <v>165</v>
      </c>
      <c r="U348" s="63">
        <v>165</v>
      </c>
      <c r="V348" s="63">
        <v>188</v>
      </c>
      <c r="W348" s="63">
        <v>193</v>
      </c>
      <c r="X348" s="63">
        <v>193</v>
      </c>
      <c r="Y348" s="63">
        <v>206</v>
      </c>
      <c r="Z348" s="63">
        <v>226</v>
      </c>
      <c r="AA348" s="63">
        <v>229</v>
      </c>
      <c r="AB348" s="63">
        <v>234</v>
      </c>
    </row>
    <row r="349" spans="1:28" x14ac:dyDescent="0.2">
      <c r="A349" s="62">
        <v>27</v>
      </c>
      <c r="B349" s="62" t="s">
        <v>357</v>
      </c>
      <c r="C349" s="62" t="s">
        <v>329</v>
      </c>
      <c r="D349" s="62" t="s">
        <v>330</v>
      </c>
      <c r="E349" s="63">
        <v>28</v>
      </c>
      <c r="F349" s="63">
        <v>25</v>
      </c>
      <c r="G349" s="63">
        <v>19</v>
      </c>
      <c r="H349" s="63">
        <v>17</v>
      </c>
      <c r="I349" s="63">
        <v>13</v>
      </c>
      <c r="J349" s="63">
        <v>18</v>
      </c>
      <c r="K349" s="63">
        <v>21</v>
      </c>
      <c r="L349" s="63">
        <v>16</v>
      </c>
      <c r="M349" s="63">
        <v>15</v>
      </c>
      <c r="N349" s="63">
        <v>14</v>
      </c>
      <c r="O349" s="63">
        <v>16</v>
      </c>
      <c r="P349" s="63">
        <v>23</v>
      </c>
      <c r="Q349" s="63">
        <v>20</v>
      </c>
      <c r="R349" s="63">
        <v>21</v>
      </c>
      <c r="S349" s="63">
        <v>23</v>
      </c>
      <c r="T349" s="63">
        <v>21</v>
      </c>
      <c r="U349" s="63">
        <v>21</v>
      </c>
      <c r="V349" s="63">
        <v>18</v>
      </c>
      <c r="W349" s="63">
        <v>25</v>
      </c>
      <c r="X349" s="63">
        <v>29</v>
      </c>
      <c r="Y349" s="63">
        <v>47</v>
      </c>
      <c r="Z349" s="63">
        <v>44</v>
      </c>
      <c r="AA349" s="63">
        <v>46</v>
      </c>
      <c r="AB349" s="63">
        <v>41</v>
      </c>
    </row>
    <row r="350" spans="1:28" x14ac:dyDescent="0.2">
      <c r="A350" s="62">
        <v>27</v>
      </c>
      <c r="B350" s="62" t="s">
        <v>357</v>
      </c>
      <c r="C350" s="62">
        <v>51</v>
      </c>
      <c r="D350" s="62" t="s">
        <v>331</v>
      </c>
      <c r="E350" s="63">
        <v>15</v>
      </c>
      <c r="F350" s="63">
        <v>15</v>
      </c>
      <c r="G350" s="63">
        <v>16</v>
      </c>
      <c r="H350" s="63">
        <v>18</v>
      </c>
      <c r="I350" s="63">
        <v>25</v>
      </c>
      <c r="J350" s="63">
        <v>25</v>
      </c>
      <c r="K350" s="63">
        <v>21</v>
      </c>
      <c r="L350" s="63">
        <v>22</v>
      </c>
      <c r="M350" s="63">
        <v>23</v>
      </c>
      <c r="N350" s="63">
        <v>21</v>
      </c>
      <c r="O350" s="63">
        <v>24</v>
      </c>
      <c r="P350" s="63">
        <v>19</v>
      </c>
      <c r="Q350" s="63">
        <v>25</v>
      </c>
      <c r="R350" s="63">
        <v>23</v>
      </c>
      <c r="S350" s="63">
        <v>23</v>
      </c>
      <c r="T350" s="63">
        <v>21</v>
      </c>
      <c r="U350" s="63">
        <v>20</v>
      </c>
      <c r="V350" s="63">
        <v>21</v>
      </c>
      <c r="W350" s="63">
        <v>15</v>
      </c>
      <c r="X350" s="63">
        <v>13</v>
      </c>
      <c r="Y350" s="63">
        <v>13</v>
      </c>
      <c r="Z350" s="63">
        <v>14</v>
      </c>
      <c r="AA350" s="63">
        <v>14</v>
      </c>
      <c r="AB350" s="63">
        <v>15</v>
      </c>
    </row>
    <row r="351" spans="1:28" x14ac:dyDescent="0.2">
      <c r="A351" s="62">
        <v>27</v>
      </c>
      <c r="B351" s="62" t="s">
        <v>357</v>
      </c>
      <c r="C351" s="62">
        <v>52</v>
      </c>
      <c r="D351" s="62" t="s">
        <v>332</v>
      </c>
      <c r="E351" s="63">
        <v>48</v>
      </c>
      <c r="F351" s="63">
        <v>49</v>
      </c>
      <c r="G351" s="63">
        <v>44</v>
      </c>
      <c r="H351" s="63">
        <v>47</v>
      </c>
      <c r="I351" s="63">
        <v>48</v>
      </c>
      <c r="J351" s="63">
        <v>46</v>
      </c>
      <c r="K351" s="63">
        <v>46</v>
      </c>
      <c r="L351" s="63">
        <v>53</v>
      </c>
      <c r="M351" s="63">
        <v>48</v>
      </c>
      <c r="N351" s="63">
        <v>49</v>
      </c>
      <c r="O351" s="63">
        <v>50</v>
      </c>
      <c r="P351" s="63">
        <v>41</v>
      </c>
      <c r="Q351" s="63">
        <v>30</v>
      </c>
      <c r="R351" s="63">
        <v>33</v>
      </c>
      <c r="S351" s="63">
        <v>30</v>
      </c>
      <c r="T351" s="63">
        <v>30</v>
      </c>
      <c r="U351" s="63">
        <v>28</v>
      </c>
      <c r="V351" s="63">
        <v>31</v>
      </c>
      <c r="W351" s="63">
        <v>25</v>
      </c>
      <c r="X351" s="63">
        <v>20</v>
      </c>
      <c r="Y351" s="63">
        <v>29</v>
      </c>
      <c r="Z351" s="63">
        <v>29</v>
      </c>
      <c r="AA351" s="63">
        <v>29</v>
      </c>
      <c r="AB351" s="63">
        <v>34</v>
      </c>
    </row>
    <row r="352" spans="1:28" x14ac:dyDescent="0.2">
      <c r="A352" s="62">
        <v>27</v>
      </c>
      <c r="B352" s="62" t="s">
        <v>357</v>
      </c>
      <c r="C352" s="62">
        <v>53</v>
      </c>
      <c r="D352" s="62" t="s">
        <v>333</v>
      </c>
      <c r="E352" s="63">
        <v>110</v>
      </c>
      <c r="F352" s="63">
        <v>117</v>
      </c>
      <c r="G352" s="63">
        <v>122</v>
      </c>
      <c r="H352" s="63">
        <v>123</v>
      </c>
      <c r="I352" s="63">
        <v>133</v>
      </c>
      <c r="J352" s="63">
        <v>129</v>
      </c>
      <c r="K352" s="63">
        <v>116</v>
      </c>
      <c r="L352" s="63">
        <v>102</v>
      </c>
      <c r="M352" s="63">
        <v>95</v>
      </c>
      <c r="N352" s="63">
        <v>94</v>
      </c>
      <c r="O352" s="63">
        <v>81</v>
      </c>
      <c r="P352" s="63">
        <v>78</v>
      </c>
      <c r="Q352" s="63">
        <v>91</v>
      </c>
      <c r="R352" s="63">
        <v>85</v>
      </c>
      <c r="S352" s="63">
        <v>88</v>
      </c>
      <c r="T352" s="63">
        <v>94</v>
      </c>
      <c r="U352" s="63">
        <v>100</v>
      </c>
      <c r="V352" s="63">
        <v>98</v>
      </c>
      <c r="W352" s="63">
        <v>97</v>
      </c>
      <c r="X352" s="63">
        <v>105</v>
      </c>
      <c r="Y352" s="63">
        <v>103</v>
      </c>
      <c r="Z352" s="63">
        <v>111</v>
      </c>
      <c r="AA352" s="63">
        <v>96</v>
      </c>
      <c r="AB352" s="63">
        <v>124</v>
      </c>
    </row>
    <row r="353" spans="1:28" x14ac:dyDescent="0.2">
      <c r="A353" s="62">
        <v>27</v>
      </c>
      <c r="B353" s="62" t="s">
        <v>357</v>
      </c>
      <c r="C353" s="62">
        <v>54</v>
      </c>
      <c r="D353" s="62" t="s">
        <v>334</v>
      </c>
      <c r="E353" s="63">
        <v>70</v>
      </c>
      <c r="F353" s="63">
        <v>84</v>
      </c>
      <c r="G353" s="63">
        <v>82</v>
      </c>
      <c r="H353" s="63">
        <v>90</v>
      </c>
      <c r="I353" s="63">
        <v>88</v>
      </c>
      <c r="J353" s="63">
        <v>92</v>
      </c>
      <c r="K353" s="63">
        <v>99</v>
      </c>
      <c r="L353" s="63">
        <v>122</v>
      </c>
      <c r="M353" s="63">
        <v>110</v>
      </c>
      <c r="N353" s="63">
        <v>114</v>
      </c>
      <c r="O353" s="63">
        <v>101</v>
      </c>
      <c r="P353" s="63">
        <v>99</v>
      </c>
      <c r="Q353" s="63">
        <v>107</v>
      </c>
      <c r="R353" s="63">
        <v>106</v>
      </c>
      <c r="S353" s="63">
        <v>105</v>
      </c>
      <c r="T353" s="63">
        <v>126</v>
      </c>
      <c r="U353" s="63">
        <v>122</v>
      </c>
      <c r="V353" s="63">
        <v>115</v>
      </c>
      <c r="W353" s="63">
        <v>116</v>
      </c>
      <c r="X353" s="63">
        <v>127</v>
      </c>
      <c r="Y353" s="63">
        <v>134</v>
      </c>
      <c r="Z353" s="63">
        <v>140</v>
      </c>
      <c r="AA353" s="63">
        <v>182</v>
      </c>
      <c r="AB353" s="63">
        <v>214</v>
      </c>
    </row>
    <row r="354" spans="1:28" x14ac:dyDescent="0.2">
      <c r="A354" s="62">
        <v>27</v>
      </c>
      <c r="B354" s="62" t="s">
        <v>357</v>
      </c>
      <c r="C354" s="62">
        <v>55</v>
      </c>
      <c r="D354" s="64" t="s">
        <v>335</v>
      </c>
      <c r="E354" s="65"/>
      <c r="F354" s="65"/>
      <c r="G354" s="63">
        <v>1</v>
      </c>
      <c r="H354" s="63">
        <v>1</v>
      </c>
      <c r="I354" s="62"/>
      <c r="J354" s="62"/>
      <c r="K354" s="62"/>
      <c r="L354" s="63">
        <v>0</v>
      </c>
      <c r="M354" s="62"/>
      <c r="N354" s="63">
        <v>1</v>
      </c>
      <c r="O354" s="62"/>
      <c r="P354" s="62"/>
      <c r="Q354" s="62"/>
      <c r="R354" s="62"/>
      <c r="S354" s="63">
        <v>0</v>
      </c>
      <c r="T354" s="63">
        <v>0</v>
      </c>
      <c r="U354" s="62"/>
      <c r="V354" s="62"/>
      <c r="W354" s="62"/>
      <c r="X354" s="62"/>
      <c r="Y354" s="63">
        <v>1</v>
      </c>
      <c r="Z354" s="63">
        <v>1</v>
      </c>
      <c r="AA354" s="62"/>
      <c r="AB354" s="62"/>
    </row>
    <row r="355" spans="1:28" x14ac:dyDescent="0.2">
      <c r="A355" s="62">
        <v>27</v>
      </c>
      <c r="B355" s="62" t="s">
        <v>357</v>
      </c>
      <c r="C355" s="62">
        <v>56</v>
      </c>
      <c r="D355" s="62" t="s">
        <v>336</v>
      </c>
      <c r="E355" s="63">
        <v>35</v>
      </c>
      <c r="F355" s="63">
        <v>38</v>
      </c>
      <c r="G355" s="63">
        <v>42</v>
      </c>
      <c r="H355" s="63">
        <v>33</v>
      </c>
      <c r="I355" s="63">
        <v>32</v>
      </c>
      <c r="J355" s="63">
        <v>33</v>
      </c>
      <c r="K355" s="63">
        <v>41</v>
      </c>
      <c r="L355" s="63">
        <v>46</v>
      </c>
      <c r="M355" s="63">
        <v>37</v>
      </c>
      <c r="N355" s="63">
        <v>41</v>
      </c>
      <c r="O355" s="63">
        <v>49</v>
      </c>
      <c r="P355" s="63">
        <v>51</v>
      </c>
      <c r="Q355" s="63">
        <v>46</v>
      </c>
      <c r="R355" s="63">
        <v>56</v>
      </c>
      <c r="S355" s="63">
        <v>61</v>
      </c>
      <c r="T355" s="63">
        <v>68</v>
      </c>
      <c r="U355" s="63">
        <v>66</v>
      </c>
      <c r="V355" s="63">
        <v>74</v>
      </c>
      <c r="W355" s="63">
        <v>64</v>
      </c>
      <c r="X355" s="63">
        <v>83</v>
      </c>
      <c r="Y355" s="63">
        <v>91</v>
      </c>
      <c r="Z355" s="63">
        <v>110</v>
      </c>
      <c r="AA355" s="63">
        <v>112</v>
      </c>
      <c r="AB355" s="63">
        <v>122</v>
      </c>
    </row>
    <row r="356" spans="1:28" x14ac:dyDescent="0.2">
      <c r="A356" s="62">
        <v>27</v>
      </c>
      <c r="B356" s="62" t="s">
        <v>357</v>
      </c>
      <c r="C356" s="62">
        <v>61</v>
      </c>
      <c r="D356" s="64" t="s">
        <v>337</v>
      </c>
      <c r="E356" s="65"/>
      <c r="F356" s="62"/>
      <c r="G356" s="62"/>
      <c r="H356" s="63">
        <v>3</v>
      </c>
      <c r="I356" s="63">
        <v>10</v>
      </c>
      <c r="J356" s="63">
        <v>14</v>
      </c>
      <c r="K356" s="63">
        <v>18</v>
      </c>
      <c r="L356" s="63">
        <v>16</v>
      </c>
      <c r="M356" s="63">
        <v>12</v>
      </c>
      <c r="N356" s="63">
        <v>15</v>
      </c>
      <c r="O356" s="63">
        <v>12</v>
      </c>
      <c r="P356" s="63">
        <v>17</v>
      </c>
      <c r="Q356" s="63">
        <v>19</v>
      </c>
      <c r="R356" s="63">
        <v>19</v>
      </c>
      <c r="S356" s="63">
        <v>16</v>
      </c>
      <c r="T356" s="63">
        <v>14</v>
      </c>
      <c r="U356" s="63">
        <v>11</v>
      </c>
      <c r="V356" s="63">
        <v>15</v>
      </c>
      <c r="W356" s="63">
        <v>18</v>
      </c>
      <c r="X356" s="63">
        <v>17</v>
      </c>
      <c r="Y356" s="63">
        <v>24</v>
      </c>
      <c r="Z356" s="63">
        <v>26</v>
      </c>
      <c r="AA356" s="63">
        <v>25</v>
      </c>
      <c r="AB356" s="63">
        <v>19</v>
      </c>
    </row>
    <row r="357" spans="1:28" x14ac:dyDescent="0.2">
      <c r="A357" s="62">
        <v>27</v>
      </c>
      <c r="B357" s="62" t="s">
        <v>357</v>
      </c>
      <c r="C357" s="62">
        <v>62</v>
      </c>
      <c r="D357" s="62" t="s">
        <v>338</v>
      </c>
      <c r="E357" s="63">
        <v>25</v>
      </c>
      <c r="F357" s="63">
        <v>26</v>
      </c>
      <c r="G357" s="63">
        <v>44</v>
      </c>
      <c r="H357" s="63">
        <v>55</v>
      </c>
      <c r="I357" s="63">
        <v>51</v>
      </c>
      <c r="J357" s="63">
        <v>51</v>
      </c>
      <c r="K357" s="63">
        <v>45</v>
      </c>
      <c r="L357" s="63">
        <v>53</v>
      </c>
      <c r="M357" s="63">
        <v>59</v>
      </c>
      <c r="N357" s="63">
        <v>67</v>
      </c>
      <c r="O357" s="63">
        <v>69</v>
      </c>
      <c r="P357" s="63">
        <v>84</v>
      </c>
      <c r="Q357" s="63">
        <v>82</v>
      </c>
      <c r="R357" s="63">
        <v>78</v>
      </c>
      <c r="S357" s="63">
        <v>91</v>
      </c>
      <c r="T357" s="63">
        <v>104</v>
      </c>
      <c r="U357" s="63">
        <v>119</v>
      </c>
      <c r="V357" s="63">
        <v>115</v>
      </c>
      <c r="W357" s="63">
        <v>83</v>
      </c>
      <c r="X357" s="63">
        <v>86</v>
      </c>
      <c r="Y357" s="63">
        <v>92</v>
      </c>
      <c r="Z357" s="63">
        <v>100</v>
      </c>
      <c r="AA357" s="63">
        <v>98</v>
      </c>
      <c r="AB357" s="63">
        <v>51</v>
      </c>
    </row>
    <row r="358" spans="1:28" x14ac:dyDescent="0.2">
      <c r="A358" s="62">
        <v>27</v>
      </c>
      <c r="B358" s="62" t="s">
        <v>357</v>
      </c>
      <c r="C358" s="62">
        <v>71</v>
      </c>
      <c r="D358" s="62" t="s">
        <v>339</v>
      </c>
      <c r="E358" s="63">
        <v>23</v>
      </c>
      <c r="F358" s="63">
        <v>45</v>
      </c>
      <c r="G358" s="63">
        <v>40</v>
      </c>
      <c r="H358" s="63">
        <v>52</v>
      </c>
      <c r="I358" s="63">
        <v>67</v>
      </c>
      <c r="J358" s="63">
        <v>72</v>
      </c>
      <c r="K358" s="63">
        <v>74</v>
      </c>
      <c r="L358" s="63">
        <v>88</v>
      </c>
      <c r="M358" s="63">
        <v>91</v>
      </c>
      <c r="N358" s="63">
        <v>77</v>
      </c>
      <c r="O358" s="63">
        <v>82</v>
      </c>
      <c r="P358" s="63">
        <v>77</v>
      </c>
      <c r="Q358" s="63">
        <v>76</v>
      </c>
      <c r="R358" s="63">
        <v>67</v>
      </c>
      <c r="S358" s="63">
        <v>67</v>
      </c>
      <c r="T358" s="63">
        <v>65</v>
      </c>
      <c r="U358" s="63">
        <v>65</v>
      </c>
      <c r="V358" s="63">
        <v>65</v>
      </c>
      <c r="W358" s="63">
        <v>69</v>
      </c>
      <c r="X358" s="63">
        <v>68</v>
      </c>
      <c r="Y358" s="63">
        <v>79</v>
      </c>
      <c r="Z358" s="63">
        <v>82</v>
      </c>
      <c r="AA358" s="63">
        <v>84</v>
      </c>
      <c r="AB358" s="63">
        <v>95</v>
      </c>
    </row>
    <row r="359" spans="1:28" x14ac:dyDescent="0.2">
      <c r="A359" s="62">
        <v>27</v>
      </c>
      <c r="B359" s="62" t="s">
        <v>357</v>
      </c>
      <c r="C359" s="62">
        <v>72</v>
      </c>
      <c r="D359" s="62" t="s">
        <v>340</v>
      </c>
      <c r="E359" s="63">
        <v>120</v>
      </c>
      <c r="F359" s="63">
        <v>154</v>
      </c>
      <c r="G359" s="63">
        <v>188</v>
      </c>
      <c r="H359" s="63">
        <v>191</v>
      </c>
      <c r="I359" s="63">
        <v>165</v>
      </c>
      <c r="J359" s="63">
        <v>159</v>
      </c>
      <c r="K359" s="63">
        <v>166</v>
      </c>
      <c r="L359" s="63">
        <v>112</v>
      </c>
      <c r="M359" s="63">
        <v>116</v>
      </c>
      <c r="N359" s="63">
        <v>122</v>
      </c>
      <c r="O359" s="63">
        <v>102</v>
      </c>
      <c r="P359" s="63">
        <v>103</v>
      </c>
      <c r="Q359" s="63">
        <v>104</v>
      </c>
      <c r="R359" s="63">
        <v>126</v>
      </c>
      <c r="S359" s="63">
        <v>117</v>
      </c>
      <c r="T359" s="63">
        <v>84</v>
      </c>
      <c r="U359" s="63">
        <v>86</v>
      </c>
      <c r="V359" s="63">
        <v>95</v>
      </c>
      <c r="W359" s="63">
        <v>119</v>
      </c>
      <c r="X359" s="63">
        <v>111</v>
      </c>
      <c r="Y359" s="63">
        <v>220</v>
      </c>
      <c r="Z359" s="63">
        <v>217</v>
      </c>
      <c r="AA359" s="63">
        <v>181</v>
      </c>
      <c r="AB359" s="63">
        <v>205</v>
      </c>
    </row>
    <row r="360" spans="1:28" x14ac:dyDescent="0.2">
      <c r="A360" s="62">
        <v>27</v>
      </c>
      <c r="B360" s="62" t="s">
        <v>357</v>
      </c>
      <c r="C360" s="62">
        <v>81</v>
      </c>
      <c r="D360" s="62" t="s">
        <v>341</v>
      </c>
      <c r="E360" s="63">
        <v>77</v>
      </c>
      <c r="F360" s="63">
        <v>78</v>
      </c>
      <c r="G360" s="63">
        <v>96</v>
      </c>
      <c r="H360" s="63">
        <v>90</v>
      </c>
      <c r="I360" s="63">
        <v>88</v>
      </c>
      <c r="J360" s="63">
        <v>89</v>
      </c>
      <c r="K360" s="63">
        <v>108</v>
      </c>
      <c r="L360" s="63">
        <v>91</v>
      </c>
      <c r="M360" s="63">
        <v>86</v>
      </c>
      <c r="N360" s="63">
        <v>87</v>
      </c>
      <c r="O360" s="63">
        <v>75</v>
      </c>
      <c r="P360" s="63">
        <v>82</v>
      </c>
      <c r="Q360" s="63">
        <v>98</v>
      </c>
      <c r="R360" s="63">
        <v>90</v>
      </c>
      <c r="S360" s="63">
        <v>91</v>
      </c>
      <c r="T360" s="63">
        <v>102</v>
      </c>
      <c r="U360" s="63">
        <v>106</v>
      </c>
      <c r="V360" s="63">
        <v>95</v>
      </c>
      <c r="W360" s="63">
        <v>87</v>
      </c>
      <c r="X360" s="63">
        <v>94</v>
      </c>
      <c r="Y360" s="63">
        <v>87</v>
      </c>
      <c r="Z360" s="63">
        <v>79</v>
      </c>
      <c r="AA360" s="63">
        <v>70</v>
      </c>
      <c r="AB360" s="63">
        <v>109</v>
      </c>
    </row>
    <row r="361" spans="1:28" x14ac:dyDescent="0.2">
      <c r="A361" s="62">
        <v>27</v>
      </c>
      <c r="B361" s="62" t="s">
        <v>357</v>
      </c>
      <c r="C361" s="62">
        <v>99</v>
      </c>
      <c r="D361" s="62" t="s">
        <v>342</v>
      </c>
      <c r="E361" s="62"/>
      <c r="F361" s="62"/>
      <c r="G361" s="62"/>
      <c r="H361" s="62"/>
      <c r="I361" s="62"/>
      <c r="J361" s="62"/>
      <c r="K361" s="63">
        <v>0</v>
      </c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</row>
    <row r="362" spans="1:28" x14ac:dyDescent="0.2">
      <c r="A362" s="62">
        <v>29</v>
      </c>
      <c r="B362" s="62" t="s">
        <v>358</v>
      </c>
      <c r="C362" s="62">
        <v>1</v>
      </c>
      <c r="D362" s="62" t="s">
        <v>316</v>
      </c>
      <c r="E362" s="63">
        <v>215</v>
      </c>
      <c r="F362" s="63">
        <v>217</v>
      </c>
      <c r="G362" s="63">
        <v>211</v>
      </c>
      <c r="H362" s="63">
        <v>203</v>
      </c>
      <c r="I362" s="63">
        <v>190</v>
      </c>
      <c r="J362" s="63">
        <v>184</v>
      </c>
      <c r="K362" s="63">
        <v>185</v>
      </c>
      <c r="L362" s="63">
        <v>183</v>
      </c>
      <c r="M362" s="63">
        <v>187</v>
      </c>
      <c r="N362" s="63">
        <v>200</v>
      </c>
      <c r="O362" s="63">
        <v>173</v>
      </c>
      <c r="P362" s="63">
        <v>169</v>
      </c>
      <c r="Q362" s="63">
        <v>170</v>
      </c>
      <c r="R362" s="63">
        <v>165</v>
      </c>
      <c r="S362" s="63">
        <v>173</v>
      </c>
      <c r="T362" s="63">
        <v>179</v>
      </c>
      <c r="U362" s="63">
        <v>177</v>
      </c>
      <c r="V362" s="63">
        <v>171</v>
      </c>
      <c r="W362" s="63">
        <v>164</v>
      </c>
      <c r="X362" s="63">
        <v>173</v>
      </c>
      <c r="Y362" s="63">
        <v>172</v>
      </c>
      <c r="Z362" s="63">
        <v>168</v>
      </c>
      <c r="AA362" s="63">
        <v>164</v>
      </c>
      <c r="AB362" s="63">
        <v>165</v>
      </c>
    </row>
    <row r="363" spans="1:28" x14ac:dyDescent="0.2">
      <c r="A363" s="62">
        <v>29</v>
      </c>
      <c r="B363" s="62" t="s">
        <v>358</v>
      </c>
      <c r="C363" s="62">
        <v>10</v>
      </c>
      <c r="D363" s="62" t="s">
        <v>317</v>
      </c>
      <c r="E363" s="63">
        <v>10024</v>
      </c>
      <c r="F363" s="63">
        <v>10251</v>
      </c>
      <c r="G363" s="63">
        <v>10278</v>
      </c>
      <c r="H363" s="63">
        <v>10586</v>
      </c>
      <c r="I363" s="63">
        <v>10928</v>
      </c>
      <c r="J363" s="63">
        <v>11424</v>
      </c>
      <c r="K363" s="63">
        <v>11892</v>
      </c>
      <c r="L363" s="63">
        <v>11926</v>
      </c>
      <c r="M363" s="63">
        <v>11478</v>
      </c>
      <c r="N363" s="63">
        <v>11026</v>
      </c>
      <c r="O363" s="63">
        <v>10983</v>
      </c>
      <c r="P363" s="63">
        <v>11143</v>
      </c>
      <c r="Q363" s="63">
        <v>11088</v>
      </c>
      <c r="R363" s="63">
        <v>11050</v>
      </c>
      <c r="S363" s="63">
        <v>10986</v>
      </c>
      <c r="T363" s="63">
        <v>11322</v>
      </c>
      <c r="U363" s="63">
        <v>11398</v>
      </c>
      <c r="V363" s="63">
        <v>11617</v>
      </c>
      <c r="W363" s="63">
        <v>11747</v>
      </c>
      <c r="X363" s="63">
        <v>11451</v>
      </c>
      <c r="Y363" s="63">
        <v>11699</v>
      </c>
      <c r="Z363" s="63">
        <v>11858</v>
      </c>
      <c r="AA363" s="63">
        <v>12737</v>
      </c>
      <c r="AB363" s="63">
        <v>12807</v>
      </c>
    </row>
    <row r="364" spans="1:28" x14ac:dyDescent="0.2">
      <c r="A364" s="62">
        <v>29</v>
      </c>
      <c r="B364" s="62" t="s">
        <v>358</v>
      </c>
      <c r="C364" s="62">
        <v>11</v>
      </c>
      <c r="D364" s="62" t="s">
        <v>318</v>
      </c>
      <c r="E364" s="63">
        <v>435</v>
      </c>
      <c r="F364" s="63">
        <v>421</v>
      </c>
      <c r="G364" s="63">
        <v>423</v>
      </c>
      <c r="H364" s="63">
        <v>455</v>
      </c>
      <c r="I364" s="63">
        <v>467</v>
      </c>
      <c r="J364" s="63">
        <v>428</v>
      </c>
      <c r="K364" s="63">
        <v>394</v>
      </c>
      <c r="L364" s="63">
        <v>398</v>
      </c>
      <c r="M364" s="63">
        <v>439</v>
      </c>
      <c r="N364" s="63">
        <v>414</v>
      </c>
      <c r="O364" s="63">
        <v>406</v>
      </c>
      <c r="P364" s="63">
        <v>486</v>
      </c>
      <c r="Q364" s="63">
        <v>490</v>
      </c>
      <c r="R364" s="63">
        <v>472</v>
      </c>
      <c r="S364" s="63">
        <v>433</v>
      </c>
      <c r="T364" s="63">
        <v>467</v>
      </c>
      <c r="U364" s="63">
        <v>457</v>
      </c>
      <c r="V364" s="63">
        <v>474</v>
      </c>
      <c r="W364" s="63">
        <v>518</v>
      </c>
      <c r="X364" s="63">
        <v>500</v>
      </c>
      <c r="Y364" s="63">
        <v>486</v>
      </c>
      <c r="Z364" s="63">
        <v>526</v>
      </c>
      <c r="AA364" s="63">
        <v>558</v>
      </c>
      <c r="AB364" s="63">
        <v>605</v>
      </c>
    </row>
    <row r="365" spans="1:28" x14ac:dyDescent="0.2">
      <c r="A365" s="62">
        <v>29</v>
      </c>
      <c r="B365" s="62" t="s">
        <v>358</v>
      </c>
      <c r="C365" s="62">
        <v>2</v>
      </c>
      <c r="D365" s="62" t="s">
        <v>319</v>
      </c>
      <c r="E365" s="63">
        <v>175</v>
      </c>
      <c r="F365" s="63">
        <v>173</v>
      </c>
      <c r="G365" s="63">
        <v>165</v>
      </c>
      <c r="H365" s="63">
        <v>164</v>
      </c>
      <c r="I365" s="63">
        <v>166</v>
      </c>
      <c r="J365" s="63">
        <v>163</v>
      </c>
      <c r="K365" s="63">
        <v>167</v>
      </c>
      <c r="L365" s="63">
        <v>173</v>
      </c>
      <c r="M365" s="63">
        <v>175</v>
      </c>
      <c r="N365" s="63">
        <v>173</v>
      </c>
      <c r="O365" s="63">
        <v>178</v>
      </c>
      <c r="P365" s="63">
        <v>174</v>
      </c>
      <c r="Q365" s="63">
        <v>182</v>
      </c>
      <c r="R365" s="63">
        <v>179</v>
      </c>
      <c r="S365" s="63">
        <v>183</v>
      </c>
      <c r="T365" s="63">
        <v>180</v>
      </c>
      <c r="U365" s="63">
        <v>178</v>
      </c>
      <c r="V365" s="63">
        <v>182</v>
      </c>
      <c r="W365" s="63">
        <v>188</v>
      </c>
      <c r="X365" s="63">
        <v>187</v>
      </c>
      <c r="Y365" s="63">
        <v>175</v>
      </c>
      <c r="Z365" s="63">
        <v>169</v>
      </c>
      <c r="AA365" s="63">
        <v>180</v>
      </c>
      <c r="AB365" s="63">
        <v>187</v>
      </c>
    </row>
    <row r="366" spans="1:28" x14ac:dyDescent="0.2">
      <c r="A366" s="62">
        <v>29</v>
      </c>
      <c r="B366" s="62" t="s">
        <v>358</v>
      </c>
      <c r="C366" s="62">
        <v>21</v>
      </c>
      <c r="D366" s="64" t="s">
        <v>320</v>
      </c>
      <c r="E366" s="65"/>
      <c r="F366" s="63">
        <v>246</v>
      </c>
      <c r="G366" s="63">
        <v>262</v>
      </c>
      <c r="H366" s="63">
        <v>255</v>
      </c>
      <c r="I366" s="62"/>
      <c r="J366" s="63">
        <v>333</v>
      </c>
      <c r="K366" s="63">
        <v>515</v>
      </c>
      <c r="L366" s="63">
        <v>545</v>
      </c>
      <c r="M366" s="63">
        <v>551</v>
      </c>
      <c r="N366" s="63">
        <v>469</v>
      </c>
      <c r="O366" s="63">
        <v>683</v>
      </c>
      <c r="P366" s="63">
        <v>742</v>
      </c>
      <c r="Q366" s="63">
        <v>707</v>
      </c>
      <c r="R366" s="63">
        <v>619</v>
      </c>
      <c r="S366" s="63">
        <v>389</v>
      </c>
      <c r="T366" s="63">
        <v>193</v>
      </c>
      <c r="U366" s="63">
        <v>139</v>
      </c>
      <c r="V366" s="63">
        <v>148</v>
      </c>
      <c r="W366" s="63">
        <v>123</v>
      </c>
      <c r="X366" s="63">
        <v>89</v>
      </c>
      <c r="Y366" s="63">
        <v>78</v>
      </c>
      <c r="Z366" s="63">
        <v>34</v>
      </c>
      <c r="AA366" s="63">
        <v>24</v>
      </c>
      <c r="AB366" s="63">
        <v>22</v>
      </c>
    </row>
    <row r="367" spans="1:28" x14ac:dyDescent="0.2">
      <c r="A367" s="62">
        <v>29</v>
      </c>
      <c r="B367" s="62" t="s">
        <v>358</v>
      </c>
      <c r="C367" s="62">
        <v>22</v>
      </c>
      <c r="D367" s="62" t="s">
        <v>321</v>
      </c>
      <c r="E367" s="63">
        <v>64</v>
      </c>
      <c r="F367" s="63">
        <v>71</v>
      </c>
      <c r="G367" s="63">
        <v>70</v>
      </c>
      <c r="H367" s="63">
        <v>75</v>
      </c>
      <c r="I367" s="63">
        <v>73</v>
      </c>
      <c r="J367" s="63">
        <v>68</v>
      </c>
      <c r="K367" s="62"/>
      <c r="L367" s="63">
        <v>58</v>
      </c>
      <c r="M367" s="63">
        <v>55</v>
      </c>
      <c r="N367" s="63">
        <v>56</v>
      </c>
      <c r="O367" s="63">
        <v>52</v>
      </c>
      <c r="P367" s="63">
        <v>52</v>
      </c>
      <c r="Q367" s="63">
        <v>42</v>
      </c>
      <c r="R367" s="63">
        <v>42</v>
      </c>
      <c r="S367" s="63">
        <v>41</v>
      </c>
      <c r="T367" s="63">
        <v>41</v>
      </c>
      <c r="U367" s="63">
        <v>50</v>
      </c>
      <c r="V367" s="63">
        <v>52</v>
      </c>
      <c r="W367" s="63">
        <v>47</v>
      </c>
      <c r="X367" s="63">
        <v>52</v>
      </c>
      <c r="Y367" s="63">
        <v>52</v>
      </c>
      <c r="Z367" s="63">
        <v>50</v>
      </c>
      <c r="AA367" s="63">
        <v>56</v>
      </c>
      <c r="AB367" s="63">
        <v>55</v>
      </c>
    </row>
    <row r="368" spans="1:28" x14ac:dyDescent="0.2">
      <c r="A368" s="62">
        <v>29</v>
      </c>
      <c r="B368" s="62" t="s">
        <v>358</v>
      </c>
      <c r="C368" s="62">
        <v>23</v>
      </c>
      <c r="D368" s="62" t="s">
        <v>322</v>
      </c>
      <c r="E368" s="63">
        <v>894</v>
      </c>
      <c r="F368" s="63">
        <v>920</v>
      </c>
      <c r="G368" s="63">
        <v>942</v>
      </c>
      <c r="H368" s="63">
        <v>1050</v>
      </c>
      <c r="I368" s="63">
        <v>1020</v>
      </c>
      <c r="J368" s="63">
        <v>1091</v>
      </c>
      <c r="K368" s="63">
        <v>1186</v>
      </c>
      <c r="L368" s="63">
        <v>1112</v>
      </c>
      <c r="M368" s="63">
        <v>934</v>
      </c>
      <c r="N368" s="63">
        <v>863</v>
      </c>
      <c r="O368" s="63">
        <v>824</v>
      </c>
      <c r="P368" s="63">
        <v>734</v>
      </c>
      <c r="Q368" s="63">
        <v>740</v>
      </c>
      <c r="R368" s="63">
        <v>750</v>
      </c>
      <c r="S368" s="63">
        <v>759</v>
      </c>
      <c r="T368" s="63">
        <v>856</v>
      </c>
      <c r="U368" s="63">
        <v>887</v>
      </c>
      <c r="V368" s="63">
        <v>974</v>
      </c>
      <c r="W368" s="63">
        <v>978</v>
      </c>
      <c r="X368" s="63">
        <v>1029</v>
      </c>
      <c r="Y368" s="63">
        <v>1086</v>
      </c>
      <c r="Z368" s="63">
        <v>1111</v>
      </c>
      <c r="AA368" s="63">
        <v>1204</v>
      </c>
      <c r="AB368" s="63">
        <v>1354</v>
      </c>
    </row>
    <row r="369" spans="1:28" x14ac:dyDescent="0.2">
      <c r="A369" s="62">
        <v>29</v>
      </c>
      <c r="B369" s="62" t="s">
        <v>358</v>
      </c>
      <c r="C369" s="62">
        <v>3</v>
      </c>
      <c r="D369" s="62" t="s">
        <v>323</v>
      </c>
      <c r="E369" s="63">
        <v>1650</v>
      </c>
      <c r="F369" s="63">
        <v>1728</v>
      </c>
      <c r="G369" s="63">
        <v>1768</v>
      </c>
      <c r="H369" s="63">
        <v>1831</v>
      </c>
      <c r="I369" s="63">
        <v>1949</v>
      </c>
      <c r="J369" s="63">
        <v>1977</v>
      </c>
      <c r="K369" s="63">
        <v>2011</v>
      </c>
      <c r="L369" s="63">
        <v>2085</v>
      </c>
      <c r="M369" s="63">
        <v>2074</v>
      </c>
      <c r="N369" s="63">
        <v>2026</v>
      </c>
      <c r="O369" s="63">
        <v>1974</v>
      </c>
      <c r="P369" s="63">
        <v>1972</v>
      </c>
      <c r="Q369" s="63">
        <v>1954</v>
      </c>
      <c r="R369" s="63">
        <v>1943</v>
      </c>
      <c r="S369" s="63">
        <v>1984</v>
      </c>
      <c r="T369" s="63">
        <v>2022</v>
      </c>
      <c r="U369" s="63">
        <v>2061</v>
      </c>
      <c r="V369" s="63">
        <v>2096</v>
      </c>
      <c r="W369" s="63">
        <v>2188</v>
      </c>
      <c r="X369" s="63">
        <v>2201</v>
      </c>
      <c r="Y369" s="63">
        <v>2256</v>
      </c>
      <c r="Z369" s="63">
        <v>2256</v>
      </c>
      <c r="AA369" s="63">
        <v>2324</v>
      </c>
      <c r="AB369" s="63">
        <v>2353</v>
      </c>
    </row>
    <row r="370" spans="1:28" x14ac:dyDescent="0.2">
      <c r="A370" s="62">
        <v>29</v>
      </c>
      <c r="B370" s="62" t="s">
        <v>358</v>
      </c>
      <c r="C370" s="62" t="s">
        <v>324</v>
      </c>
      <c r="D370" s="62" t="s">
        <v>325</v>
      </c>
      <c r="E370" s="63">
        <v>558</v>
      </c>
      <c r="F370" s="63">
        <v>615</v>
      </c>
      <c r="G370" s="63">
        <v>619</v>
      </c>
      <c r="H370" s="63">
        <v>595</v>
      </c>
      <c r="I370" s="63">
        <v>612</v>
      </c>
      <c r="J370" s="63">
        <v>691</v>
      </c>
      <c r="K370" s="63">
        <v>730</v>
      </c>
      <c r="L370" s="63">
        <v>717</v>
      </c>
      <c r="M370" s="63">
        <v>590</v>
      </c>
      <c r="N370" s="63">
        <v>581</v>
      </c>
      <c r="O370" s="63">
        <v>595</v>
      </c>
      <c r="P370" s="63">
        <v>582</v>
      </c>
      <c r="Q370" s="63">
        <v>576</v>
      </c>
      <c r="R370" s="63">
        <v>582</v>
      </c>
      <c r="S370" s="63">
        <v>571</v>
      </c>
      <c r="T370" s="63">
        <v>543</v>
      </c>
      <c r="U370" s="63">
        <v>557</v>
      </c>
      <c r="V370" s="63">
        <v>578</v>
      </c>
      <c r="W370" s="63">
        <v>613</v>
      </c>
      <c r="X370" s="63">
        <v>598</v>
      </c>
      <c r="Y370" s="63">
        <v>638</v>
      </c>
      <c r="Z370" s="63">
        <v>663</v>
      </c>
      <c r="AA370" s="63">
        <v>700</v>
      </c>
      <c r="AB370" s="63">
        <v>715</v>
      </c>
    </row>
    <row r="371" spans="1:28" x14ac:dyDescent="0.2">
      <c r="A371" s="62">
        <v>29</v>
      </c>
      <c r="B371" s="62" t="s">
        <v>358</v>
      </c>
      <c r="C371" s="62">
        <v>42</v>
      </c>
      <c r="D371" s="62" t="s">
        <v>326</v>
      </c>
      <c r="E371" s="63">
        <v>311</v>
      </c>
      <c r="F371" s="63">
        <v>299</v>
      </c>
      <c r="G371" s="63">
        <v>305</v>
      </c>
      <c r="H371" s="63">
        <v>261</v>
      </c>
      <c r="I371" s="63">
        <v>267</v>
      </c>
      <c r="J371" s="63">
        <v>302</v>
      </c>
      <c r="K371" s="63">
        <v>306</v>
      </c>
      <c r="L371" s="63">
        <v>273</v>
      </c>
      <c r="M371" s="63">
        <v>246</v>
      </c>
      <c r="N371" s="63">
        <v>219</v>
      </c>
      <c r="O371" s="63">
        <v>200</v>
      </c>
      <c r="P371" s="63">
        <v>190</v>
      </c>
      <c r="Q371" s="63">
        <v>191</v>
      </c>
      <c r="R371" s="63">
        <v>193</v>
      </c>
      <c r="S371" s="63">
        <v>158</v>
      </c>
      <c r="T371" s="63">
        <v>140</v>
      </c>
      <c r="U371" s="63">
        <v>145</v>
      </c>
      <c r="V371" s="63">
        <v>146</v>
      </c>
      <c r="W371" s="63">
        <v>147</v>
      </c>
      <c r="X371" s="63">
        <v>151</v>
      </c>
      <c r="Y371" s="63">
        <v>168</v>
      </c>
      <c r="Z371" s="63">
        <v>174</v>
      </c>
      <c r="AA371" s="63">
        <v>176</v>
      </c>
      <c r="AB371" s="63">
        <v>188</v>
      </c>
    </row>
    <row r="372" spans="1:28" x14ac:dyDescent="0.2">
      <c r="A372" s="62">
        <v>29</v>
      </c>
      <c r="B372" s="62" t="s">
        <v>358</v>
      </c>
      <c r="C372" s="62" t="s">
        <v>327</v>
      </c>
      <c r="D372" s="62" t="s">
        <v>328</v>
      </c>
      <c r="E372" s="63">
        <v>1418</v>
      </c>
      <c r="F372" s="63">
        <v>1378</v>
      </c>
      <c r="G372" s="63">
        <v>1337</v>
      </c>
      <c r="H372" s="63">
        <v>1493</v>
      </c>
      <c r="I372" s="63">
        <v>1550</v>
      </c>
      <c r="J372" s="63">
        <v>1551</v>
      </c>
      <c r="K372" s="63">
        <v>1598</v>
      </c>
      <c r="L372" s="63">
        <v>1614</v>
      </c>
      <c r="M372" s="63">
        <v>1544</v>
      </c>
      <c r="N372" s="63">
        <v>1456</v>
      </c>
      <c r="O372" s="63">
        <v>1397</v>
      </c>
      <c r="P372" s="63">
        <v>1418</v>
      </c>
      <c r="Q372" s="63">
        <v>1428</v>
      </c>
      <c r="R372" s="63">
        <v>1459</v>
      </c>
      <c r="S372" s="63">
        <v>1452</v>
      </c>
      <c r="T372" s="63">
        <v>1489</v>
      </c>
      <c r="U372" s="63">
        <v>1492</v>
      </c>
      <c r="V372" s="63">
        <v>1481</v>
      </c>
      <c r="W372" s="63">
        <v>1506</v>
      </c>
      <c r="X372" s="63">
        <v>1501</v>
      </c>
      <c r="Y372" s="63">
        <v>1531</v>
      </c>
      <c r="Z372" s="63">
        <v>1512</v>
      </c>
      <c r="AA372" s="63">
        <v>1516</v>
      </c>
      <c r="AB372" s="63">
        <v>1501</v>
      </c>
    </row>
    <row r="373" spans="1:28" x14ac:dyDescent="0.2">
      <c r="A373" s="62">
        <v>29</v>
      </c>
      <c r="B373" s="62" t="s">
        <v>358</v>
      </c>
      <c r="C373" s="62" t="s">
        <v>329</v>
      </c>
      <c r="D373" s="62" t="s">
        <v>330</v>
      </c>
      <c r="E373" s="63">
        <v>122</v>
      </c>
      <c r="F373" s="63">
        <v>133</v>
      </c>
      <c r="G373" s="63">
        <v>155</v>
      </c>
      <c r="H373" s="63">
        <v>160</v>
      </c>
      <c r="I373" s="63">
        <v>152</v>
      </c>
      <c r="J373" s="63">
        <v>139</v>
      </c>
      <c r="K373" s="63">
        <v>154</v>
      </c>
      <c r="L373" s="63">
        <v>181</v>
      </c>
      <c r="M373" s="63">
        <v>168</v>
      </c>
      <c r="N373" s="63">
        <v>166</v>
      </c>
      <c r="O373" s="63">
        <v>143</v>
      </c>
      <c r="P373" s="63">
        <v>136</v>
      </c>
      <c r="Q373" s="63">
        <v>129</v>
      </c>
      <c r="R373" s="63">
        <v>130</v>
      </c>
      <c r="S373" s="63">
        <v>128</v>
      </c>
      <c r="T373" s="63">
        <v>126</v>
      </c>
      <c r="U373" s="63">
        <v>145</v>
      </c>
      <c r="V373" s="63">
        <v>165</v>
      </c>
      <c r="W373" s="63">
        <v>159</v>
      </c>
      <c r="X373" s="63">
        <v>157</v>
      </c>
      <c r="Y373" s="63">
        <v>191</v>
      </c>
      <c r="Z373" s="63">
        <v>205</v>
      </c>
      <c r="AA373" s="63">
        <v>233</v>
      </c>
      <c r="AB373" s="63">
        <v>316</v>
      </c>
    </row>
    <row r="374" spans="1:28" x14ac:dyDescent="0.2">
      <c r="A374" s="62">
        <v>29</v>
      </c>
      <c r="B374" s="62" t="s">
        <v>358</v>
      </c>
      <c r="C374" s="62">
        <v>51</v>
      </c>
      <c r="D374" s="62" t="s">
        <v>331</v>
      </c>
      <c r="E374" s="63">
        <v>137</v>
      </c>
      <c r="F374" s="63">
        <v>110</v>
      </c>
      <c r="G374" s="63">
        <v>108</v>
      </c>
      <c r="H374" s="63">
        <v>135</v>
      </c>
      <c r="I374" s="63">
        <v>147</v>
      </c>
      <c r="J374" s="63">
        <v>183</v>
      </c>
      <c r="K374" s="63">
        <v>164</v>
      </c>
      <c r="L374" s="63">
        <v>165</v>
      </c>
      <c r="M374" s="63">
        <v>141</v>
      </c>
      <c r="N374" s="63">
        <v>164</v>
      </c>
      <c r="O374" s="63">
        <v>172</v>
      </c>
      <c r="P374" s="63">
        <v>180</v>
      </c>
      <c r="Q374" s="63">
        <v>179</v>
      </c>
      <c r="R374" s="63">
        <v>162</v>
      </c>
      <c r="S374" s="63">
        <v>180</v>
      </c>
      <c r="T374" s="63">
        <v>166</v>
      </c>
      <c r="U374" s="63">
        <v>151</v>
      </c>
      <c r="V374" s="63">
        <v>155</v>
      </c>
      <c r="W374" s="63">
        <v>150</v>
      </c>
      <c r="X374" s="63">
        <v>151</v>
      </c>
      <c r="Y374" s="63">
        <v>142</v>
      </c>
      <c r="Z374" s="63">
        <v>146</v>
      </c>
      <c r="AA374" s="63">
        <v>130</v>
      </c>
      <c r="AB374" s="63">
        <v>100</v>
      </c>
    </row>
    <row r="375" spans="1:28" x14ac:dyDescent="0.2">
      <c r="A375" s="62">
        <v>29</v>
      </c>
      <c r="B375" s="62" t="s">
        <v>358</v>
      </c>
      <c r="C375" s="62">
        <v>52</v>
      </c>
      <c r="D375" s="62" t="s">
        <v>332</v>
      </c>
      <c r="E375" s="63">
        <v>278</v>
      </c>
      <c r="F375" s="63">
        <v>291</v>
      </c>
      <c r="G375" s="63">
        <v>295</v>
      </c>
      <c r="H375" s="63">
        <v>275</v>
      </c>
      <c r="I375" s="63">
        <v>304</v>
      </c>
      <c r="J375" s="63">
        <v>315</v>
      </c>
      <c r="K375" s="63">
        <v>305</v>
      </c>
      <c r="L375" s="63">
        <v>321</v>
      </c>
      <c r="M375" s="63">
        <v>322</v>
      </c>
      <c r="N375" s="63">
        <v>298</v>
      </c>
      <c r="O375" s="63">
        <v>284</v>
      </c>
      <c r="P375" s="63">
        <v>275</v>
      </c>
      <c r="Q375" s="63">
        <v>280</v>
      </c>
      <c r="R375" s="63">
        <v>302</v>
      </c>
      <c r="S375" s="63">
        <v>307</v>
      </c>
      <c r="T375" s="63">
        <v>345</v>
      </c>
      <c r="U375" s="63">
        <v>361</v>
      </c>
      <c r="V375" s="63">
        <v>252</v>
      </c>
      <c r="W375" s="63">
        <v>258</v>
      </c>
      <c r="X375" s="63">
        <v>236</v>
      </c>
      <c r="Y375" s="63">
        <v>242</v>
      </c>
      <c r="Z375" s="63">
        <v>283</v>
      </c>
      <c r="AA375" s="63">
        <v>365</v>
      </c>
      <c r="AB375" s="63">
        <v>427</v>
      </c>
    </row>
    <row r="376" spans="1:28" x14ac:dyDescent="0.2">
      <c r="A376" s="62">
        <v>29</v>
      </c>
      <c r="B376" s="62" t="s">
        <v>358</v>
      </c>
      <c r="C376" s="62">
        <v>53</v>
      </c>
      <c r="D376" s="62" t="s">
        <v>333</v>
      </c>
      <c r="E376" s="63">
        <v>248</v>
      </c>
      <c r="F376" s="63">
        <v>249</v>
      </c>
      <c r="G376" s="63">
        <v>279</v>
      </c>
      <c r="H376" s="63">
        <v>309</v>
      </c>
      <c r="I376" s="63">
        <v>357</v>
      </c>
      <c r="J376" s="63">
        <v>383</v>
      </c>
      <c r="K376" s="63">
        <v>375</v>
      </c>
      <c r="L376" s="63">
        <v>393</v>
      </c>
      <c r="M376" s="63">
        <v>393</v>
      </c>
      <c r="N376" s="63">
        <v>354</v>
      </c>
      <c r="O376" s="63">
        <v>339</v>
      </c>
      <c r="P376" s="63">
        <v>342</v>
      </c>
      <c r="Q376" s="63">
        <v>364</v>
      </c>
      <c r="R376" s="63">
        <v>391</v>
      </c>
      <c r="S376" s="63">
        <v>422</v>
      </c>
      <c r="T376" s="63">
        <v>471</v>
      </c>
      <c r="U376" s="63">
        <v>480</v>
      </c>
      <c r="V376" s="63">
        <v>674</v>
      </c>
      <c r="W376" s="63">
        <v>633</v>
      </c>
      <c r="X376" s="63">
        <v>622</v>
      </c>
      <c r="Y376" s="63">
        <v>581</v>
      </c>
      <c r="Z376" s="63">
        <v>579</v>
      </c>
      <c r="AA376" s="63">
        <v>546</v>
      </c>
      <c r="AB376" s="63">
        <v>269</v>
      </c>
    </row>
    <row r="377" spans="1:28" x14ac:dyDescent="0.2">
      <c r="A377" s="62">
        <v>29</v>
      </c>
      <c r="B377" s="62" t="s">
        <v>358</v>
      </c>
      <c r="C377" s="62">
        <v>54</v>
      </c>
      <c r="D377" s="62" t="s">
        <v>334</v>
      </c>
      <c r="E377" s="63">
        <v>478</v>
      </c>
      <c r="F377" s="63">
        <v>467</v>
      </c>
      <c r="G377" s="63">
        <v>462</v>
      </c>
      <c r="H377" s="63">
        <v>483</v>
      </c>
      <c r="I377" s="63">
        <v>472</v>
      </c>
      <c r="J377" s="63">
        <v>494</v>
      </c>
      <c r="K377" s="63">
        <v>536</v>
      </c>
      <c r="L377" s="63">
        <v>547</v>
      </c>
      <c r="M377" s="63">
        <v>499</v>
      </c>
      <c r="N377" s="63">
        <v>475</v>
      </c>
      <c r="O377" s="63">
        <v>459</v>
      </c>
      <c r="P377" s="63">
        <v>438</v>
      </c>
      <c r="Q377" s="63">
        <v>434</v>
      </c>
      <c r="R377" s="63">
        <v>462</v>
      </c>
      <c r="S377" s="63">
        <v>482</v>
      </c>
      <c r="T377" s="63">
        <v>492</v>
      </c>
      <c r="U377" s="63">
        <v>491</v>
      </c>
      <c r="V377" s="63">
        <v>515</v>
      </c>
      <c r="W377" s="63">
        <v>550</v>
      </c>
      <c r="X377" s="63">
        <v>539</v>
      </c>
      <c r="Y377" s="63">
        <v>603</v>
      </c>
      <c r="Z377" s="63">
        <v>651</v>
      </c>
      <c r="AA377" s="63">
        <v>687</v>
      </c>
      <c r="AB377" s="63">
        <v>670</v>
      </c>
    </row>
    <row r="378" spans="1:28" x14ac:dyDescent="0.2">
      <c r="A378" s="62">
        <v>29</v>
      </c>
      <c r="B378" s="62" t="s">
        <v>358</v>
      </c>
      <c r="C378" s="62">
        <v>55</v>
      </c>
      <c r="D378" s="64" t="s">
        <v>335</v>
      </c>
      <c r="E378" s="65"/>
      <c r="F378" s="65"/>
      <c r="G378" s="65"/>
      <c r="H378" s="62"/>
      <c r="I378" s="62"/>
      <c r="J378" s="62"/>
      <c r="K378" s="63">
        <v>6</v>
      </c>
      <c r="L378" s="63">
        <v>7</v>
      </c>
      <c r="M378" s="63">
        <v>10</v>
      </c>
      <c r="N378" s="63">
        <v>13</v>
      </c>
      <c r="O378" s="63">
        <v>9</v>
      </c>
      <c r="P378" s="62"/>
      <c r="Q378" s="63">
        <v>24</v>
      </c>
      <c r="R378" s="63">
        <v>31</v>
      </c>
      <c r="S378" s="63">
        <v>28</v>
      </c>
      <c r="T378" s="63">
        <v>26</v>
      </c>
      <c r="U378" s="63">
        <v>20</v>
      </c>
      <c r="V378" s="63">
        <v>22</v>
      </c>
      <c r="W378" s="63">
        <v>21</v>
      </c>
      <c r="X378" s="63">
        <v>19</v>
      </c>
      <c r="Y378" s="62"/>
      <c r="Z378" s="63">
        <v>24</v>
      </c>
      <c r="AA378" s="63">
        <v>27</v>
      </c>
      <c r="AB378" s="63">
        <v>22</v>
      </c>
    </row>
    <row r="379" spans="1:28" x14ac:dyDescent="0.2">
      <c r="A379" s="62">
        <v>29</v>
      </c>
      <c r="B379" s="62" t="s">
        <v>358</v>
      </c>
      <c r="C379" s="62">
        <v>56</v>
      </c>
      <c r="D379" s="62" t="s">
        <v>336</v>
      </c>
      <c r="E379" s="63">
        <v>446</v>
      </c>
      <c r="F379" s="63">
        <v>439</v>
      </c>
      <c r="G379" s="63">
        <v>483</v>
      </c>
      <c r="H379" s="63">
        <v>445</v>
      </c>
      <c r="I379" s="63">
        <v>431</v>
      </c>
      <c r="J379" s="63">
        <v>471</v>
      </c>
      <c r="K379" s="63">
        <v>512</v>
      </c>
      <c r="L379" s="63">
        <v>474</v>
      </c>
      <c r="M379" s="63">
        <v>405</v>
      </c>
      <c r="N379" s="63">
        <v>346</v>
      </c>
      <c r="O379" s="63">
        <v>388</v>
      </c>
      <c r="P379" s="63">
        <v>397</v>
      </c>
      <c r="Q379" s="63">
        <v>355</v>
      </c>
      <c r="R379" s="63">
        <v>359</v>
      </c>
      <c r="S379" s="63">
        <v>367</v>
      </c>
      <c r="T379" s="63">
        <v>362</v>
      </c>
      <c r="U379" s="63">
        <v>358</v>
      </c>
      <c r="V379" s="63">
        <v>398</v>
      </c>
      <c r="W379" s="63">
        <v>446</v>
      </c>
      <c r="X379" s="63">
        <v>467</v>
      </c>
      <c r="Y379" s="63">
        <v>423</v>
      </c>
      <c r="Z379" s="63">
        <v>478</v>
      </c>
      <c r="AA379" s="63">
        <v>924</v>
      </c>
      <c r="AB379" s="63">
        <v>822</v>
      </c>
    </row>
    <row r="380" spans="1:28" x14ac:dyDescent="0.2">
      <c r="A380" s="62">
        <v>29</v>
      </c>
      <c r="B380" s="62" t="s">
        <v>358</v>
      </c>
      <c r="C380" s="62">
        <v>61</v>
      </c>
      <c r="D380" s="62" t="s">
        <v>337</v>
      </c>
      <c r="E380" s="63">
        <v>0</v>
      </c>
      <c r="F380" s="62"/>
      <c r="G380" s="63">
        <v>40</v>
      </c>
      <c r="H380" s="62"/>
      <c r="I380" s="63">
        <v>59</v>
      </c>
      <c r="J380" s="63">
        <v>58</v>
      </c>
      <c r="K380" s="63">
        <v>50</v>
      </c>
      <c r="L380" s="63">
        <v>54</v>
      </c>
      <c r="M380" s="63">
        <v>54</v>
      </c>
      <c r="N380" s="63">
        <v>46</v>
      </c>
      <c r="O380" s="63">
        <v>51</v>
      </c>
      <c r="P380" s="63">
        <v>56</v>
      </c>
      <c r="Q380" s="63">
        <v>67</v>
      </c>
      <c r="R380" s="63">
        <v>83</v>
      </c>
      <c r="S380" s="63">
        <v>74</v>
      </c>
      <c r="T380" s="63">
        <v>77</v>
      </c>
      <c r="U380" s="63">
        <v>79</v>
      </c>
      <c r="V380" s="63">
        <v>91</v>
      </c>
      <c r="W380" s="63">
        <v>111</v>
      </c>
      <c r="X380" s="63">
        <v>95</v>
      </c>
      <c r="Y380" s="63">
        <v>106</v>
      </c>
      <c r="Z380" s="63">
        <v>116</v>
      </c>
      <c r="AA380" s="63">
        <v>110</v>
      </c>
      <c r="AB380" s="63">
        <v>95</v>
      </c>
    </row>
    <row r="381" spans="1:28" x14ac:dyDescent="0.2">
      <c r="A381" s="62">
        <v>29</v>
      </c>
      <c r="B381" s="62" t="s">
        <v>358</v>
      </c>
      <c r="C381" s="62">
        <v>62</v>
      </c>
      <c r="D381" s="62" t="s">
        <v>338</v>
      </c>
      <c r="E381" s="63">
        <v>936</v>
      </c>
      <c r="F381" s="63">
        <v>1019</v>
      </c>
      <c r="G381" s="63">
        <v>959</v>
      </c>
      <c r="H381" s="63">
        <v>932</v>
      </c>
      <c r="I381" s="63">
        <v>924</v>
      </c>
      <c r="J381" s="63">
        <v>1043</v>
      </c>
      <c r="K381" s="63">
        <v>1069</v>
      </c>
      <c r="L381" s="63">
        <v>1124</v>
      </c>
      <c r="M381" s="63">
        <v>1216</v>
      </c>
      <c r="N381" s="63">
        <v>1257</v>
      </c>
      <c r="O381" s="63">
        <v>1251</v>
      </c>
      <c r="P381" s="63">
        <v>1297</v>
      </c>
      <c r="Q381" s="63">
        <v>1280</v>
      </c>
      <c r="R381" s="63">
        <v>1233</v>
      </c>
      <c r="S381" s="63">
        <v>1337</v>
      </c>
      <c r="T381" s="63">
        <v>1546</v>
      </c>
      <c r="U381" s="63">
        <v>1519</v>
      </c>
      <c r="V381" s="63">
        <v>1490</v>
      </c>
      <c r="W381" s="63">
        <v>1382</v>
      </c>
      <c r="X381" s="63">
        <v>1278</v>
      </c>
      <c r="Y381" s="63">
        <v>1203</v>
      </c>
      <c r="Z381" s="63">
        <v>1083</v>
      </c>
      <c r="AA381" s="63">
        <v>1069</v>
      </c>
      <c r="AB381" s="63">
        <v>1090</v>
      </c>
    </row>
    <row r="382" spans="1:28" x14ac:dyDescent="0.2">
      <c r="A382" s="62">
        <v>29</v>
      </c>
      <c r="B382" s="62" t="s">
        <v>358</v>
      </c>
      <c r="C382" s="62">
        <v>71</v>
      </c>
      <c r="D382" s="62" t="s">
        <v>339</v>
      </c>
      <c r="E382" s="63">
        <v>105</v>
      </c>
      <c r="F382" s="63">
        <v>105</v>
      </c>
      <c r="G382" s="63">
        <v>96</v>
      </c>
      <c r="H382" s="63">
        <v>121</v>
      </c>
      <c r="I382" s="63">
        <v>142</v>
      </c>
      <c r="J382" s="63">
        <v>144</v>
      </c>
      <c r="K382" s="63">
        <v>150</v>
      </c>
      <c r="L382" s="63">
        <v>129</v>
      </c>
      <c r="M382" s="63">
        <v>143</v>
      </c>
      <c r="N382" s="63">
        <v>153</v>
      </c>
      <c r="O382" s="63">
        <v>143</v>
      </c>
      <c r="P382" s="63">
        <v>162</v>
      </c>
      <c r="Q382" s="63">
        <v>156</v>
      </c>
      <c r="R382" s="63">
        <v>144</v>
      </c>
      <c r="S382" s="63">
        <v>132</v>
      </c>
      <c r="T382" s="63">
        <v>154</v>
      </c>
      <c r="U382" s="63">
        <v>168</v>
      </c>
      <c r="V382" s="63">
        <v>177</v>
      </c>
      <c r="W382" s="63">
        <v>198</v>
      </c>
      <c r="X382" s="63">
        <v>204</v>
      </c>
      <c r="Y382" s="63">
        <v>227</v>
      </c>
      <c r="Z382" s="63">
        <v>244</v>
      </c>
      <c r="AA382" s="63">
        <v>277</v>
      </c>
      <c r="AB382" s="63">
        <v>348</v>
      </c>
    </row>
    <row r="383" spans="1:28" x14ac:dyDescent="0.2">
      <c r="A383" s="62">
        <v>29</v>
      </c>
      <c r="B383" s="62" t="s">
        <v>358</v>
      </c>
      <c r="C383" s="62">
        <v>72</v>
      </c>
      <c r="D383" s="62" t="s">
        <v>340</v>
      </c>
      <c r="E383" s="63">
        <v>757</v>
      </c>
      <c r="F383" s="63">
        <v>746</v>
      </c>
      <c r="G383" s="63">
        <v>711</v>
      </c>
      <c r="H383" s="63">
        <v>726</v>
      </c>
      <c r="I383" s="63">
        <v>765</v>
      </c>
      <c r="J383" s="63">
        <v>799</v>
      </c>
      <c r="K383" s="63">
        <v>784</v>
      </c>
      <c r="L383" s="63">
        <v>747</v>
      </c>
      <c r="M383" s="63">
        <v>714</v>
      </c>
      <c r="N383" s="63">
        <v>708</v>
      </c>
      <c r="O383" s="63">
        <v>680</v>
      </c>
      <c r="P383" s="63">
        <v>737</v>
      </c>
      <c r="Q383" s="63">
        <v>738</v>
      </c>
      <c r="R383" s="63">
        <v>745</v>
      </c>
      <c r="S383" s="63">
        <v>786</v>
      </c>
      <c r="T383" s="63">
        <v>820</v>
      </c>
      <c r="U383" s="63">
        <v>828</v>
      </c>
      <c r="V383" s="63">
        <v>832</v>
      </c>
      <c r="W383" s="63">
        <v>817</v>
      </c>
      <c r="X383" s="63">
        <v>670</v>
      </c>
      <c r="Y383" s="63">
        <v>737</v>
      </c>
      <c r="Z383" s="63">
        <v>774</v>
      </c>
      <c r="AA383" s="63">
        <v>844</v>
      </c>
      <c r="AB383" s="63">
        <v>871</v>
      </c>
    </row>
    <row r="384" spans="1:28" x14ac:dyDescent="0.2">
      <c r="A384" s="62">
        <v>29</v>
      </c>
      <c r="B384" s="62" t="s">
        <v>358</v>
      </c>
      <c r="C384" s="62">
        <v>81</v>
      </c>
      <c r="D384" s="62" t="s">
        <v>341</v>
      </c>
      <c r="E384" s="63">
        <v>527</v>
      </c>
      <c r="F384" s="63">
        <v>539</v>
      </c>
      <c r="G384" s="63">
        <v>549</v>
      </c>
      <c r="H384" s="63">
        <v>549</v>
      </c>
      <c r="I384" s="63">
        <v>584</v>
      </c>
      <c r="J384" s="63">
        <v>589</v>
      </c>
      <c r="K384" s="63">
        <v>621</v>
      </c>
      <c r="L384" s="63">
        <v>615</v>
      </c>
      <c r="M384" s="63">
        <v>570</v>
      </c>
      <c r="N384" s="63">
        <v>581</v>
      </c>
      <c r="O384" s="63">
        <v>570</v>
      </c>
      <c r="P384" s="63">
        <v>584</v>
      </c>
      <c r="Q384" s="63">
        <v>590</v>
      </c>
      <c r="R384" s="63">
        <v>589</v>
      </c>
      <c r="S384" s="63">
        <v>584</v>
      </c>
      <c r="T384" s="63">
        <v>615</v>
      </c>
      <c r="U384" s="63">
        <v>643</v>
      </c>
      <c r="V384" s="63">
        <v>530</v>
      </c>
      <c r="W384" s="63">
        <v>538</v>
      </c>
      <c r="X384" s="63">
        <v>519</v>
      </c>
      <c r="Y384" s="63">
        <v>546</v>
      </c>
      <c r="Z384" s="63">
        <v>598</v>
      </c>
      <c r="AA384" s="63">
        <v>612</v>
      </c>
      <c r="AB384" s="63">
        <v>621</v>
      </c>
    </row>
    <row r="385" spans="1:28" x14ac:dyDescent="0.2">
      <c r="A385" s="62">
        <v>29</v>
      </c>
      <c r="B385" s="62" t="s">
        <v>358</v>
      </c>
      <c r="C385" s="62">
        <v>99</v>
      </c>
      <c r="D385" s="62" t="s">
        <v>342</v>
      </c>
      <c r="E385" s="63">
        <v>0</v>
      </c>
      <c r="F385" s="62"/>
      <c r="G385" s="62"/>
      <c r="H385" s="63">
        <v>0</v>
      </c>
      <c r="I385" s="62"/>
      <c r="J385" s="62"/>
      <c r="K385" s="62"/>
      <c r="L385" s="63">
        <v>0</v>
      </c>
      <c r="M385" s="63">
        <v>0</v>
      </c>
      <c r="N385" s="63">
        <v>0</v>
      </c>
      <c r="O385" s="63">
        <v>1</v>
      </c>
      <c r="P385" s="62"/>
      <c r="Q385" s="63">
        <v>0</v>
      </c>
      <c r="R385" s="63">
        <v>1</v>
      </c>
      <c r="S385" s="63">
        <v>0</v>
      </c>
      <c r="T385" s="62"/>
      <c r="U385" s="63">
        <v>1</v>
      </c>
      <c r="V385" s="63">
        <v>2</v>
      </c>
      <c r="W385" s="63">
        <v>2</v>
      </c>
      <c r="X385" s="63">
        <v>1</v>
      </c>
      <c r="Y385" s="62"/>
      <c r="Z385" s="63">
        <v>1</v>
      </c>
      <c r="AA385" s="63">
        <v>1</v>
      </c>
      <c r="AB385" s="63">
        <v>2</v>
      </c>
    </row>
    <row r="386" spans="1:28" x14ac:dyDescent="0.2">
      <c r="A386" s="62">
        <v>31</v>
      </c>
      <c r="B386" s="62" t="s">
        <v>359</v>
      </c>
      <c r="C386" s="62">
        <v>1</v>
      </c>
      <c r="D386" s="62" t="s">
        <v>316</v>
      </c>
      <c r="E386" s="63">
        <v>15247</v>
      </c>
      <c r="F386" s="63">
        <v>15260</v>
      </c>
      <c r="G386" s="63">
        <v>15556</v>
      </c>
      <c r="H386" s="63">
        <v>15217</v>
      </c>
      <c r="I386" s="63">
        <v>14606</v>
      </c>
      <c r="J386" s="63">
        <v>14326</v>
      </c>
      <c r="K386" s="63">
        <v>14305</v>
      </c>
      <c r="L386" s="63">
        <v>14690</v>
      </c>
      <c r="M386" s="63">
        <v>14120</v>
      </c>
      <c r="N386" s="63">
        <v>14278</v>
      </c>
      <c r="O386" s="63">
        <v>14131</v>
      </c>
      <c r="P386" s="63">
        <v>14040</v>
      </c>
      <c r="Q386" s="63">
        <v>13966</v>
      </c>
      <c r="R386" s="63">
        <v>13811</v>
      </c>
      <c r="S386" s="63">
        <v>14297</v>
      </c>
      <c r="T386" s="63">
        <v>14643</v>
      </c>
      <c r="U386" s="63">
        <v>14893</v>
      </c>
      <c r="V386" s="63">
        <v>13977</v>
      </c>
      <c r="W386" s="63">
        <v>13033</v>
      </c>
      <c r="X386" s="63">
        <v>13161</v>
      </c>
      <c r="Y386" s="63">
        <v>13079</v>
      </c>
      <c r="Z386" s="63">
        <v>13128</v>
      </c>
      <c r="AA386" s="63">
        <v>13367</v>
      </c>
      <c r="AB386" s="63">
        <v>13682</v>
      </c>
    </row>
    <row r="387" spans="1:28" x14ac:dyDescent="0.2">
      <c r="A387" s="62">
        <v>31</v>
      </c>
      <c r="B387" s="62" t="s">
        <v>359</v>
      </c>
      <c r="C387" s="62">
        <v>10</v>
      </c>
      <c r="D387" s="62" t="s">
        <v>317</v>
      </c>
      <c r="E387" s="63">
        <v>504373</v>
      </c>
      <c r="F387" s="63">
        <v>480368</v>
      </c>
      <c r="G387" s="63">
        <v>467840</v>
      </c>
      <c r="H387" s="63">
        <v>469006</v>
      </c>
      <c r="I387" s="63">
        <v>471133</v>
      </c>
      <c r="J387" s="63">
        <v>479684</v>
      </c>
      <c r="K387" s="63">
        <v>491910</v>
      </c>
      <c r="L387" s="63">
        <v>498017</v>
      </c>
      <c r="M387" s="63">
        <v>474432</v>
      </c>
      <c r="N387" s="63">
        <v>474293</v>
      </c>
      <c r="O387" s="63">
        <v>478680</v>
      </c>
      <c r="P387" s="63">
        <v>491390</v>
      </c>
      <c r="Q387" s="63">
        <v>500400</v>
      </c>
      <c r="R387" s="63">
        <v>524364</v>
      </c>
      <c r="S387" s="63">
        <v>545325</v>
      </c>
      <c r="T387" s="63">
        <v>563797</v>
      </c>
      <c r="U387" s="63">
        <v>579391</v>
      </c>
      <c r="V387" s="63">
        <v>594469</v>
      </c>
      <c r="W387" s="63">
        <v>605699</v>
      </c>
      <c r="X387" s="63">
        <v>566443</v>
      </c>
      <c r="Y387" s="63">
        <v>594807</v>
      </c>
      <c r="Z387" s="63">
        <v>634027</v>
      </c>
      <c r="AA387" s="63">
        <v>650498</v>
      </c>
      <c r="AB387" s="63">
        <v>646569</v>
      </c>
    </row>
    <row r="388" spans="1:28" x14ac:dyDescent="0.2">
      <c r="A388" s="62">
        <v>31</v>
      </c>
      <c r="B388" s="62" t="s">
        <v>359</v>
      </c>
      <c r="C388" s="62">
        <v>11</v>
      </c>
      <c r="D388" s="62" t="s">
        <v>318</v>
      </c>
      <c r="E388" s="63">
        <v>143</v>
      </c>
      <c r="F388" s="63">
        <v>159</v>
      </c>
      <c r="G388" s="63">
        <v>168</v>
      </c>
      <c r="H388" s="63">
        <v>175</v>
      </c>
      <c r="I388" s="63">
        <v>184</v>
      </c>
      <c r="J388" s="63">
        <v>180</v>
      </c>
      <c r="K388" s="63">
        <v>182</v>
      </c>
      <c r="L388" s="63">
        <v>181</v>
      </c>
      <c r="M388" s="63">
        <v>181</v>
      </c>
      <c r="N388" s="63">
        <v>255</v>
      </c>
      <c r="O388" s="63">
        <v>241</v>
      </c>
      <c r="P388" s="63">
        <v>293</v>
      </c>
      <c r="Q388" s="63">
        <v>307</v>
      </c>
      <c r="R388" s="63">
        <v>582</v>
      </c>
      <c r="S388" s="63">
        <v>697</v>
      </c>
      <c r="T388" s="63">
        <v>892</v>
      </c>
      <c r="U388" s="63">
        <v>1283</v>
      </c>
      <c r="V388" s="63">
        <v>1415</v>
      </c>
      <c r="W388" s="63">
        <v>1655</v>
      </c>
      <c r="X388" s="63">
        <v>2055</v>
      </c>
      <c r="Y388" s="63">
        <v>2535</v>
      </c>
      <c r="Z388" s="63">
        <v>2242</v>
      </c>
      <c r="AA388" s="63">
        <v>1783</v>
      </c>
      <c r="AB388" s="63">
        <v>1537</v>
      </c>
    </row>
    <row r="389" spans="1:28" x14ac:dyDescent="0.2">
      <c r="A389" s="62">
        <v>31</v>
      </c>
      <c r="B389" s="62" t="s">
        <v>359</v>
      </c>
      <c r="C389" s="62">
        <v>2</v>
      </c>
      <c r="D389" s="62" t="s">
        <v>319</v>
      </c>
      <c r="E389" s="63">
        <v>20302</v>
      </c>
      <c r="F389" s="63">
        <v>21023</v>
      </c>
      <c r="G389" s="63">
        <v>20882</v>
      </c>
      <c r="H389" s="63">
        <v>21058</v>
      </c>
      <c r="I389" s="63">
        <v>21381</v>
      </c>
      <c r="J389" s="63">
        <v>21928</v>
      </c>
      <c r="K389" s="63">
        <v>22441</v>
      </c>
      <c r="L389" s="63">
        <v>23331</v>
      </c>
      <c r="M389" s="63">
        <v>22882</v>
      </c>
      <c r="N389" s="63">
        <v>23489</v>
      </c>
      <c r="O389" s="63">
        <v>19182</v>
      </c>
      <c r="P389" s="63">
        <v>19586</v>
      </c>
      <c r="Q389" s="63">
        <v>13894</v>
      </c>
      <c r="R389" s="63">
        <v>14100</v>
      </c>
      <c r="S389" s="63">
        <v>14487</v>
      </c>
      <c r="T389" s="63">
        <v>14946</v>
      </c>
      <c r="U389" s="63">
        <v>15119</v>
      </c>
      <c r="V389" s="63">
        <v>15153</v>
      </c>
      <c r="W389" s="63">
        <v>15362</v>
      </c>
      <c r="X389" s="63">
        <v>15353</v>
      </c>
      <c r="Y389" s="63">
        <v>15024</v>
      </c>
      <c r="Z389" s="63">
        <v>14820</v>
      </c>
      <c r="AA389" s="63">
        <v>15516</v>
      </c>
      <c r="AB389" s="63">
        <v>15969</v>
      </c>
    </row>
    <row r="390" spans="1:28" x14ac:dyDescent="0.2">
      <c r="A390" s="62">
        <v>31</v>
      </c>
      <c r="B390" s="62" t="s">
        <v>359</v>
      </c>
      <c r="C390" s="62">
        <v>21</v>
      </c>
      <c r="D390" s="62" t="s">
        <v>320</v>
      </c>
      <c r="E390" s="63">
        <v>3822</v>
      </c>
      <c r="F390" s="63">
        <v>3761</v>
      </c>
      <c r="G390" s="63">
        <v>3830</v>
      </c>
      <c r="H390" s="63">
        <v>4050</v>
      </c>
      <c r="I390" s="63">
        <v>4003</v>
      </c>
      <c r="J390" s="63">
        <v>4896</v>
      </c>
      <c r="K390" s="63">
        <v>6852</v>
      </c>
      <c r="L390" s="63">
        <v>7541</v>
      </c>
      <c r="M390" s="63">
        <v>7254</v>
      </c>
      <c r="N390" s="63">
        <v>7292</v>
      </c>
      <c r="O390" s="63">
        <v>7984</v>
      </c>
      <c r="P390" s="63">
        <v>8697</v>
      </c>
      <c r="Q390" s="63">
        <v>9168</v>
      </c>
      <c r="R390" s="63">
        <v>10110</v>
      </c>
      <c r="S390" s="63">
        <v>9669</v>
      </c>
      <c r="T390" s="63">
        <v>7750</v>
      </c>
      <c r="U390" s="63">
        <v>8047</v>
      </c>
      <c r="V390" s="63">
        <v>8625</v>
      </c>
      <c r="W390" s="63">
        <v>8281</v>
      </c>
      <c r="X390" s="63">
        <v>6843</v>
      </c>
      <c r="Y390" s="63">
        <v>5761</v>
      </c>
      <c r="Z390" s="63">
        <v>6194</v>
      </c>
      <c r="AA390" s="63">
        <v>6152</v>
      </c>
      <c r="AB390" s="63">
        <v>5759</v>
      </c>
    </row>
    <row r="391" spans="1:28" x14ac:dyDescent="0.2">
      <c r="A391" s="62">
        <v>31</v>
      </c>
      <c r="B391" s="62" t="s">
        <v>359</v>
      </c>
      <c r="C391" s="62">
        <v>22</v>
      </c>
      <c r="D391" s="62" t="s">
        <v>321</v>
      </c>
      <c r="E391" s="63">
        <v>1823</v>
      </c>
      <c r="F391" s="63">
        <v>1816</v>
      </c>
      <c r="G391" s="63">
        <v>1609</v>
      </c>
      <c r="H391" s="63">
        <v>1574</v>
      </c>
      <c r="I391" s="63">
        <v>1630</v>
      </c>
      <c r="J391" s="63">
        <v>1966</v>
      </c>
      <c r="K391" s="62"/>
      <c r="L391" s="63">
        <v>1715</v>
      </c>
      <c r="M391" s="63">
        <v>1800</v>
      </c>
      <c r="N391" s="63">
        <v>1806</v>
      </c>
      <c r="O391" s="63">
        <v>1819</v>
      </c>
      <c r="P391" s="63">
        <v>1786</v>
      </c>
      <c r="Q391" s="63">
        <v>1786</v>
      </c>
      <c r="R391" s="63">
        <v>1804</v>
      </c>
      <c r="S391" s="63">
        <v>1845</v>
      </c>
      <c r="T391" s="63">
        <v>1868</v>
      </c>
      <c r="U391" s="63">
        <v>1849</v>
      </c>
      <c r="V391" s="63">
        <v>1849</v>
      </c>
      <c r="W391" s="63">
        <v>1923</v>
      </c>
      <c r="X391" s="63">
        <v>2088</v>
      </c>
      <c r="Y391" s="63">
        <v>2161</v>
      </c>
      <c r="Z391" s="63">
        <v>2283</v>
      </c>
      <c r="AA391" s="63">
        <v>2427</v>
      </c>
      <c r="AB391" s="63">
        <v>2357</v>
      </c>
    </row>
    <row r="392" spans="1:28" x14ac:dyDescent="0.2">
      <c r="A392" s="62">
        <v>31</v>
      </c>
      <c r="B392" s="62" t="s">
        <v>359</v>
      </c>
      <c r="C392" s="62">
        <v>23</v>
      </c>
      <c r="D392" s="62" t="s">
        <v>322</v>
      </c>
      <c r="E392" s="63">
        <v>26371</v>
      </c>
      <c r="F392" s="63">
        <v>24816</v>
      </c>
      <c r="G392" s="63">
        <v>22568</v>
      </c>
      <c r="H392" s="63">
        <v>22309</v>
      </c>
      <c r="I392" s="63">
        <v>23445</v>
      </c>
      <c r="J392" s="63">
        <v>23651</v>
      </c>
      <c r="K392" s="63">
        <v>24191</v>
      </c>
      <c r="L392" s="63">
        <v>24275</v>
      </c>
      <c r="M392" s="63">
        <v>20243</v>
      </c>
      <c r="N392" s="63">
        <v>18328</v>
      </c>
      <c r="O392" s="63">
        <v>18132</v>
      </c>
      <c r="P392" s="63">
        <v>18932</v>
      </c>
      <c r="Q392" s="63">
        <v>20680</v>
      </c>
      <c r="R392" s="63">
        <v>23089</v>
      </c>
      <c r="S392" s="63">
        <v>24030</v>
      </c>
      <c r="T392" s="63">
        <v>25453</v>
      </c>
      <c r="U392" s="63">
        <v>27155</v>
      </c>
      <c r="V392" s="63">
        <v>29209</v>
      </c>
      <c r="W392" s="63">
        <v>29494</v>
      </c>
      <c r="X392" s="63">
        <v>27636</v>
      </c>
      <c r="Y392" s="63">
        <v>26963</v>
      </c>
      <c r="Z392" s="63">
        <v>28365</v>
      </c>
      <c r="AA392" s="63">
        <v>28258</v>
      </c>
      <c r="AB392" s="63">
        <v>27592</v>
      </c>
    </row>
    <row r="393" spans="1:28" x14ac:dyDescent="0.2">
      <c r="A393" s="62">
        <v>31</v>
      </c>
      <c r="B393" s="62" t="s">
        <v>359</v>
      </c>
      <c r="C393" s="62">
        <v>3</v>
      </c>
      <c r="D393" s="62" t="s">
        <v>323</v>
      </c>
      <c r="E393" s="63">
        <v>30858</v>
      </c>
      <c r="F393" s="63">
        <v>31937</v>
      </c>
      <c r="G393" s="63">
        <v>30984</v>
      </c>
      <c r="H393" s="63">
        <v>30462</v>
      </c>
      <c r="I393" s="63">
        <v>29858</v>
      </c>
      <c r="J393" s="63">
        <v>30133</v>
      </c>
      <c r="K393" s="63">
        <v>30772</v>
      </c>
      <c r="L393" s="63">
        <v>31570</v>
      </c>
      <c r="M393" s="63">
        <v>31703</v>
      </c>
      <c r="N393" s="63">
        <v>32055</v>
      </c>
      <c r="O393" s="63">
        <v>32791</v>
      </c>
      <c r="P393" s="63">
        <v>33625</v>
      </c>
      <c r="Q393" s="63">
        <v>34386</v>
      </c>
      <c r="R393" s="63">
        <v>35633</v>
      </c>
      <c r="S393" s="63">
        <v>37322</v>
      </c>
      <c r="T393" s="63">
        <v>39022</v>
      </c>
      <c r="U393" s="63">
        <v>40019</v>
      </c>
      <c r="V393" s="63">
        <v>40600</v>
      </c>
      <c r="W393" s="63">
        <v>41388</v>
      </c>
      <c r="X393" s="63">
        <v>40782</v>
      </c>
      <c r="Y393" s="63">
        <v>40763</v>
      </c>
      <c r="Z393" s="63">
        <v>41224</v>
      </c>
      <c r="AA393" s="63">
        <v>43989</v>
      </c>
      <c r="AB393" s="63">
        <v>44568</v>
      </c>
    </row>
    <row r="394" spans="1:28" x14ac:dyDescent="0.2">
      <c r="A394" s="62">
        <v>31</v>
      </c>
      <c r="B394" s="62" t="s">
        <v>359</v>
      </c>
      <c r="C394" s="62" t="s">
        <v>324</v>
      </c>
      <c r="D394" s="62" t="s">
        <v>325</v>
      </c>
      <c r="E394" s="63">
        <v>29016</v>
      </c>
      <c r="F394" s="63">
        <v>26581</v>
      </c>
      <c r="G394" s="63">
        <v>25134</v>
      </c>
      <c r="H394" s="63">
        <v>24599</v>
      </c>
      <c r="I394" s="63">
        <v>23980</v>
      </c>
      <c r="J394" s="63">
        <v>23378</v>
      </c>
      <c r="K394" s="63">
        <v>23294</v>
      </c>
      <c r="L394" s="63">
        <v>22899</v>
      </c>
      <c r="M394" s="63">
        <v>20234</v>
      </c>
      <c r="N394" s="63">
        <v>19674</v>
      </c>
      <c r="O394" s="63">
        <v>19413</v>
      </c>
      <c r="P394" s="63">
        <v>19723</v>
      </c>
      <c r="Q394" s="63">
        <v>20529</v>
      </c>
      <c r="R394" s="63">
        <v>20736</v>
      </c>
      <c r="S394" s="63">
        <v>21638</v>
      </c>
      <c r="T394" s="63">
        <v>21558</v>
      </c>
      <c r="U394" s="63">
        <v>22043</v>
      </c>
      <c r="V394" s="63">
        <v>21858</v>
      </c>
      <c r="W394" s="63">
        <v>21713</v>
      </c>
      <c r="X394" s="63">
        <v>20642</v>
      </c>
      <c r="Y394" s="63">
        <v>20651</v>
      </c>
      <c r="Z394" s="63">
        <v>20629</v>
      </c>
      <c r="AA394" s="63">
        <v>19847</v>
      </c>
      <c r="AB394" s="63">
        <v>18977</v>
      </c>
    </row>
    <row r="395" spans="1:28" x14ac:dyDescent="0.2">
      <c r="A395" s="62">
        <v>31</v>
      </c>
      <c r="B395" s="62" t="s">
        <v>359</v>
      </c>
      <c r="C395" s="62">
        <v>42</v>
      </c>
      <c r="D395" s="62" t="s">
        <v>326</v>
      </c>
      <c r="E395" s="63">
        <v>29544</v>
      </c>
      <c r="F395" s="63">
        <v>27853</v>
      </c>
      <c r="G395" s="63">
        <v>27183</v>
      </c>
      <c r="H395" s="63">
        <v>26648</v>
      </c>
      <c r="I395" s="63">
        <v>26701</v>
      </c>
      <c r="J395" s="63">
        <v>27434</v>
      </c>
      <c r="K395" s="63">
        <v>27489</v>
      </c>
      <c r="L395" s="63">
        <v>28092</v>
      </c>
      <c r="M395" s="63">
        <v>26096</v>
      </c>
      <c r="N395" s="63">
        <v>25191</v>
      </c>
      <c r="O395" s="63">
        <v>25311</v>
      </c>
      <c r="P395" s="63">
        <v>25838</v>
      </c>
      <c r="Q395" s="63">
        <v>25995</v>
      </c>
      <c r="R395" s="63">
        <v>27293</v>
      </c>
      <c r="S395" s="63">
        <v>27991</v>
      </c>
      <c r="T395" s="63">
        <v>28252</v>
      </c>
      <c r="U395" s="63">
        <v>28509</v>
      </c>
      <c r="V395" s="63">
        <v>28838</v>
      </c>
      <c r="W395" s="63">
        <v>29723</v>
      </c>
      <c r="X395" s="63">
        <v>28510</v>
      </c>
      <c r="Y395" s="63">
        <v>28888</v>
      </c>
      <c r="Z395" s="63">
        <v>30465</v>
      </c>
      <c r="AA395" s="63">
        <v>30744</v>
      </c>
      <c r="AB395" s="63">
        <v>30062</v>
      </c>
    </row>
    <row r="396" spans="1:28" x14ac:dyDescent="0.2">
      <c r="A396" s="62">
        <v>31</v>
      </c>
      <c r="B396" s="62" t="s">
        <v>359</v>
      </c>
      <c r="C396" s="62" t="s">
        <v>327</v>
      </c>
      <c r="D396" s="62" t="s">
        <v>328</v>
      </c>
      <c r="E396" s="63">
        <v>32481</v>
      </c>
      <c r="F396" s="63">
        <v>31370</v>
      </c>
      <c r="G396" s="63">
        <v>30343</v>
      </c>
      <c r="H396" s="63">
        <v>29767</v>
      </c>
      <c r="I396" s="63">
        <v>29580</v>
      </c>
      <c r="J396" s="63">
        <v>29476</v>
      </c>
      <c r="K396" s="63">
        <v>30558</v>
      </c>
      <c r="L396" s="63">
        <v>30750</v>
      </c>
      <c r="M396" s="63">
        <v>29126</v>
      </c>
      <c r="N396" s="63">
        <v>28978</v>
      </c>
      <c r="O396" s="63">
        <v>29646</v>
      </c>
      <c r="P396" s="63">
        <v>30713</v>
      </c>
      <c r="Q396" s="63">
        <v>31278</v>
      </c>
      <c r="R396" s="63">
        <v>32492</v>
      </c>
      <c r="S396" s="63">
        <v>33314</v>
      </c>
      <c r="T396" s="63">
        <v>33727</v>
      </c>
      <c r="U396" s="63">
        <v>34389</v>
      </c>
      <c r="V396" s="63">
        <v>35020</v>
      </c>
      <c r="W396" s="63">
        <v>35254</v>
      </c>
      <c r="X396" s="63">
        <v>33450</v>
      </c>
      <c r="Y396" s="63">
        <v>35539</v>
      </c>
      <c r="Z396" s="63">
        <v>35695</v>
      </c>
      <c r="AA396" s="63">
        <v>36412</v>
      </c>
      <c r="AB396" s="63">
        <v>35862</v>
      </c>
    </row>
    <row r="397" spans="1:28" x14ac:dyDescent="0.2">
      <c r="A397" s="62">
        <v>31</v>
      </c>
      <c r="B397" s="62" t="s">
        <v>359</v>
      </c>
      <c r="C397" s="62" t="s">
        <v>329</v>
      </c>
      <c r="D397" s="62" t="s">
        <v>330</v>
      </c>
      <c r="E397" s="63">
        <v>27970</v>
      </c>
      <c r="F397" s="63">
        <v>25450</v>
      </c>
      <c r="G397" s="63">
        <v>24684</v>
      </c>
      <c r="H397" s="63">
        <v>25344</v>
      </c>
      <c r="I397" s="63">
        <v>24773</v>
      </c>
      <c r="J397" s="63">
        <v>24861</v>
      </c>
      <c r="K397" s="63">
        <v>25924</v>
      </c>
      <c r="L397" s="63">
        <v>26094</v>
      </c>
      <c r="M397" s="63">
        <v>23966</v>
      </c>
      <c r="N397" s="63">
        <v>23063</v>
      </c>
      <c r="O397" s="63">
        <v>22776</v>
      </c>
      <c r="P397" s="63">
        <v>23939</v>
      </c>
      <c r="Q397" s="63">
        <v>25668</v>
      </c>
      <c r="R397" s="63">
        <v>27339</v>
      </c>
      <c r="S397" s="63">
        <v>29329</v>
      </c>
      <c r="T397" s="63">
        <v>31685</v>
      </c>
      <c r="U397" s="63">
        <v>34708</v>
      </c>
      <c r="V397" s="63">
        <v>36350</v>
      </c>
      <c r="W397" s="63">
        <v>38456</v>
      </c>
      <c r="X397" s="63">
        <v>36912</v>
      </c>
      <c r="Y397" s="63">
        <v>39233</v>
      </c>
      <c r="Z397" s="63">
        <v>43424</v>
      </c>
      <c r="AA397" s="63">
        <v>46753</v>
      </c>
      <c r="AB397" s="63">
        <v>47615</v>
      </c>
    </row>
    <row r="398" spans="1:28" x14ac:dyDescent="0.2">
      <c r="A398" s="62">
        <v>31</v>
      </c>
      <c r="B398" s="62" t="s">
        <v>359</v>
      </c>
      <c r="C398" s="62">
        <v>51</v>
      </c>
      <c r="D398" s="62" t="s">
        <v>331</v>
      </c>
      <c r="E398" s="63">
        <v>27403</v>
      </c>
      <c r="F398" s="63">
        <v>22786</v>
      </c>
      <c r="G398" s="63">
        <v>21201</v>
      </c>
      <c r="H398" s="63">
        <v>20035</v>
      </c>
      <c r="I398" s="63">
        <v>17904</v>
      </c>
      <c r="J398" s="63">
        <v>17857</v>
      </c>
      <c r="K398" s="63">
        <v>17021</v>
      </c>
      <c r="L398" s="63">
        <v>16546</v>
      </c>
      <c r="M398" s="63">
        <v>15294</v>
      </c>
      <c r="N398" s="63">
        <v>14913</v>
      </c>
      <c r="O398" s="63">
        <v>13694</v>
      </c>
      <c r="P398" s="63">
        <v>13254</v>
      </c>
      <c r="Q398" s="63">
        <v>12730</v>
      </c>
      <c r="R398" s="63">
        <v>13153</v>
      </c>
      <c r="S398" s="63">
        <v>13270</v>
      </c>
      <c r="T398" s="63">
        <v>13835</v>
      </c>
      <c r="U398" s="63">
        <v>14065</v>
      </c>
      <c r="V398" s="63">
        <v>14926</v>
      </c>
      <c r="W398" s="63">
        <v>15537</v>
      </c>
      <c r="X398" s="63">
        <v>17015</v>
      </c>
      <c r="Y398" s="63">
        <v>19393</v>
      </c>
      <c r="Z398" s="63">
        <v>21110</v>
      </c>
      <c r="AA398" s="63">
        <v>20196</v>
      </c>
      <c r="AB398" s="63">
        <v>19665</v>
      </c>
    </row>
    <row r="399" spans="1:28" x14ac:dyDescent="0.2">
      <c r="A399" s="62">
        <v>31</v>
      </c>
      <c r="B399" s="62" t="s">
        <v>359</v>
      </c>
      <c r="C399" s="62">
        <v>52</v>
      </c>
      <c r="D399" s="62" t="s">
        <v>332</v>
      </c>
      <c r="E399" s="63">
        <v>33364</v>
      </c>
      <c r="F399" s="63">
        <v>30763</v>
      </c>
      <c r="G399" s="63">
        <v>29285</v>
      </c>
      <c r="H399" s="63">
        <v>29203</v>
      </c>
      <c r="I399" s="63">
        <v>28809</v>
      </c>
      <c r="J399" s="63">
        <v>28768</v>
      </c>
      <c r="K399" s="63">
        <v>27616</v>
      </c>
      <c r="L399" s="63">
        <v>27750</v>
      </c>
      <c r="M399" s="63">
        <v>26456</v>
      </c>
      <c r="N399" s="63">
        <v>25672</v>
      </c>
      <c r="O399" s="63">
        <v>25729</v>
      </c>
      <c r="P399" s="63">
        <v>25839</v>
      </c>
      <c r="Q399" s="63">
        <v>26961</v>
      </c>
      <c r="R399" s="63">
        <v>27291</v>
      </c>
      <c r="S399" s="63">
        <v>28059</v>
      </c>
      <c r="T399" s="63">
        <v>27909</v>
      </c>
      <c r="U399" s="63">
        <v>28103</v>
      </c>
      <c r="V399" s="63">
        <v>28789</v>
      </c>
      <c r="W399" s="63">
        <v>29155</v>
      </c>
      <c r="X399" s="63">
        <v>29198</v>
      </c>
      <c r="Y399" s="63">
        <v>31759</v>
      </c>
      <c r="Z399" s="63">
        <v>32821</v>
      </c>
      <c r="AA399" s="63">
        <v>32090</v>
      </c>
      <c r="AB399" s="63">
        <v>32303</v>
      </c>
    </row>
    <row r="400" spans="1:28" x14ac:dyDescent="0.2">
      <c r="A400" s="62">
        <v>31</v>
      </c>
      <c r="B400" s="62" t="s">
        <v>359</v>
      </c>
      <c r="C400" s="62">
        <v>53</v>
      </c>
      <c r="D400" s="62" t="s">
        <v>333</v>
      </c>
      <c r="E400" s="63">
        <v>18543</v>
      </c>
      <c r="F400" s="63">
        <v>17742</v>
      </c>
      <c r="G400" s="63">
        <v>18024</v>
      </c>
      <c r="H400" s="63">
        <v>18263</v>
      </c>
      <c r="I400" s="63">
        <v>18444</v>
      </c>
      <c r="J400" s="63">
        <v>18426</v>
      </c>
      <c r="K400" s="63">
        <v>18425</v>
      </c>
      <c r="L400" s="63">
        <v>18351</v>
      </c>
      <c r="M400" s="63">
        <v>18337</v>
      </c>
      <c r="N400" s="63">
        <v>17582</v>
      </c>
      <c r="O400" s="63">
        <v>17760</v>
      </c>
      <c r="P400" s="63">
        <v>18135</v>
      </c>
      <c r="Q400" s="63">
        <v>18913</v>
      </c>
      <c r="R400" s="63">
        <v>19780</v>
      </c>
      <c r="S400" s="63">
        <v>20543</v>
      </c>
      <c r="T400" s="63">
        <v>21602</v>
      </c>
      <c r="U400" s="63">
        <v>22604</v>
      </c>
      <c r="V400" s="63">
        <v>23345</v>
      </c>
      <c r="W400" s="63">
        <v>24972</v>
      </c>
      <c r="X400" s="63">
        <v>24021</v>
      </c>
      <c r="Y400" s="63">
        <v>25174</v>
      </c>
      <c r="Z400" s="63">
        <v>26339</v>
      </c>
      <c r="AA400" s="63">
        <v>26515</v>
      </c>
      <c r="AB400" s="63">
        <v>26015</v>
      </c>
    </row>
    <row r="401" spans="1:28" x14ac:dyDescent="0.2">
      <c r="A401" s="62">
        <v>31</v>
      </c>
      <c r="B401" s="62" t="s">
        <v>359</v>
      </c>
      <c r="C401" s="62">
        <v>54</v>
      </c>
      <c r="D401" s="62" t="s">
        <v>334</v>
      </c>
      <c r="E401" s="63">
        <v>47488</v>
      </c>
      <c r="F401" s="63">
        <v>43598</v>
      </c>
      <c r="G401" s="63">
        <v>42538</v>
      </c>
      <c r="H401" s="63">
        <v>43388</v>
      </c>
      <c r="I401" s="63">
        <v>44549</v>
      </c>
      <c r="J401" s="63">
        <v>47021</v>
      </c>
      <c r="K401" s="63">
        <v>48937</v>
      </c>
      <c r="L401" s="63">
        <v>50699</v>
      </c>
      <c r="M401" s="63">
        <v>48818</v>
      </c>
      <c r="N401" s="63">
        <v>48112</v>
      </c>
      <c r="O401" s="63">
        <v>50159</v>
      </c>
      <c r="P401" s="63">
        <v>52370</v>
      </c>
      <c r="Q401" s="63">
        <v>55483</v>
      </c>
      <c r="R401" s="63">
        <v>58899</v>
      </c>
      <c r="S401" s="63">
        <v>62604</v>
      </c>
      <c r="T401" s="63">
        <v>66410</v>
      </c>
      <c r="U401" s="63">
        <v>68996</v>
      </c>
      <c r="V401" s="63">
        <v>72880</v>
      </c>
      <c r="W401" s="63">
        <v>76409</v>
      </c>
      <c r="X401" s="63">
        <v>76971</v>
      </c>
      <c r="Y401" s="63">
        <v>82813</v>
      </c>
      <c r="Z401" s="63">
        <v>91109</v>
      </c>
      <c r="AA401" s="63">
        <v>93744</v>
      </c>
      <c r="AB401" s="63">
        <v>94713</v>
      </c>
    </row>
    <row r="402" spans="1:28" x14ac:dyDescent="0.2">
      <c r="A402" s="62">
        <v>31</v>
      </c>
      <c r="B402" s="62" t="s">
        <v>359</v>
      </c>
      <c r="C402" s="62">
        <v>55</v>
      </c>
      <c r="D402" s="62" t="s">
        <v>335</v>
      </c>
      <c r="E402" s="63">
        <v>5191</v>
      </c>
      <c r="F402" s="63">
        <v>5564</v>
      </c>
      <c r="G402" s="63">
        <v>6126</v>
      </c>
      <c r="H402" s="63">
        <v>6551</v>
      </c>
      <c r="I402" s="63">
        <v>7629</v>
      </c>
      <c r="J402" s="63">
        <v>8351</v>
      </c>
      <c r="K402" s="63">
        <v>8669</v>
      </c>
      <c r="L402" s="63">
        <v>8836</v>
      </c>
      <c r="M402" s="63">
        <v>9000</v>
      </c>
      <c r="N402" s="63">
        <v>9431</v>
      </c>
      <c r="O402" s="63">
        <v>9570</v>
      </c>
      <c r="P402" s="63">
        <v>10636</v>
      </c>
      <c r="Q402" s="63">
        <v>11565</v>
      </c>
      <c r="R402" s="63">
        <v>12192</v>
      </c>
      <c r="S402" s="63">
        <v>12806</v>
      </c>
      <c r="T402" s="63">
        <v>13074</v>
      </c>
      <c r="U402" s="63">
        <v>13256</v>
      </c>
      <c r="V402" s="63">
        <v>13392</v>
      </c>
      <c r="W402" s="63">
        <v>13660</v>
      </c>
      <c r="X402" s="63">
        <v>13482</v>
      </c>
      <c r="Y402" s="63">
        <v>14135</v>
      </c>
      <c r="Z402" s="63">
        <v>14931</v>
      </c>
      <c r="AA402" s="63">
        <v>15212</v>
      </c>
      <c r="AB402" s="63">
        <v>14945</v>
      </c>
    </row>
    <row r="403" spans="1:28" x14ac:dyDescent="0.2">
      <c r="A403" s="62">
        <v>31</v>
      </c>
      <c r="B403" s="62" t="s">
        <v>359</v>
      </c>
      <c r="C403" s="62">
        <v>56</v>
      </c>
      <c r="D403" s="62" t="s">
        <v>336</v>
      </c>
      <c r="E403" s="63">
        <v>38965</v>
      </c>
      <c r="F403" s="63">
        <v>34908</v>
      </c>
      <c r="G403" s="63">
        <v>33041</v>
      </c>
      <c r="H403" s="63">
        <v>34109</v>
      </c>
      <c r="I403" s="63">
        <v>35673</v>
      </c>
      <c r="J403" s="63">
        <v>36384</v>
      </c>
      <c r="K403" s="63">
        <v>39387</v>
      </c>
      <c r="L403" s="63">
        <v>38781</v>
      </c>
      <c r="M403" s="63">
        <v>33930</v>
      </c>
      <c r="N403" s="63">
        <v>34878</v>
      </c>
      <c r="O403" s="63">
        <v>35893</v>
      </c>
      <c r="P403" s="63">
        <v>38214</v>
      </c>
      <c r="Q403" s="63">
        <v>37236</v>
      </c>
      <c r="R403" s="63">
        <v>38943</v>
      </c>
      <c r="S403" s="63">
        <v>39319</v>
      </c>
      <c r="T403" s="63">
        <v>40736</v>
      </c>
      <c r="U403" s="63">
        <v>39881</v>
      </c>
      <c r="V403" s="63">
        <v>39992</v>
      </c>
      <c r="W403" s="63">
        <v>40244</v>
      </c>
      <c r="X403" s="63">
        <v>35897</v>
      </c>
      <c r="Y403" s="63">
        <v>37380</v>
      </c>
      <c r="Z403" s="63">
        <v>41420</v>
      </c>
      <c r="AA403" s="63">
        <v>41934</v>
      </c>
      <c r="AB403" s="63">
        <v>41213</v>
      </c>
    </row>
    <row r="404" spans="1:28" x14ac:dyDescent="0.2">
      <c r="A404" s="62">
        <v>31</v>
      </c>
      <c r="B404" s="62" t="s">
        <v>359</v>
      </c>
      <c r="C404" s="62">
        <v>61</v>
      </c>
      <c r="D404" s="62" t="s">
        <v>337</v>
      </c>
      <c r="E404" s="63">
        <v>8594</v>
      </c>
      <c r="F404" s="63">
        <v>9027</v>
      </c>
      <c r="G404" s="63">
        <v>8993</v>
      </c>
      <c r="H404" s="63">
        <v>9349</v>
      </c>
      <c r="I404" s="63">
        <v>9679</v>
      </c>
      <c r="J404" s="63">
        <v>9947</v>
      </c>
      <c r="K404" s="63">
        <v>10279</v>
      </c>
      <c r="L404" s="63">
        <v>10619</v>
      </c>
      <c r="M404" s="63">
        <v>10485</v>
      </c>
      <c r="N404" s="63">
        <v>10848</v>
      </c>
      <c r="O404" s="63">
        <v>11724</v>
      </c>
      <c r="P404" s="63">
        <v>12644</v>
      </c>
      <c r="Q404" s="63">
        <v>12883</v>
      </c>
      <c r="R404" s="63">
        <v>13379</v>
      </c>
      <c r="S404" s="63">
        <v>14143</v>
      </c>
      <c r="T404" s="63">
        <v>14611</v>
      </c>
      <c r="U404" s="63">
        <v>14868</v>
      </c>
      <c r="V404" s="63">
        <v>15851</v>
      </c>
      <c r="W404" s="63">
        <v>16446</v>
      </c>
      <c r="X404" s="63">
        <v>14796</v>
      </c>
      <c r="Y404" s="63">
        <v>15227</v>
      </c>
      <c r="Z404" s="63">
        <v>15761</v>
      </c>
      <c r="AA404" s="63">
        <v>15964</v>
      </c>
      <c r="AB404" s="63">
        <v>15571</v>
      </c>
    </row>
    <row r="405" spans="1:28" x14ac:dyDescent="0.2">
      <c r="A405" s="62">
        <v>31</v>
      </c>
      <c r="B405" s="62" t="s">
        <v>359</v>
      </c>
      <c r="C405" s="62">
        <v>62</v>
      </c>
      <c r="D405" s="62" t="s">
        <v>338</v>
      </c>
      <c r="E405" s="63">
        <v>43698</v>
      </c>
      <c r="F405" s="63">
        <v>43748</v>
      </c>
      <c r="G405" s="63">
        <v>44310</v>
      </c>
      <c r="H405" s="63">
        <v>43942</v>
      </c>
      <c r="I405" s="63">
        <v>43877</v>
      </c>
      <c r="J405" s="63">
        <v>44551</v>
      </c>
      <c r="K405" s="63">
        <v>45176</v>
      </c>
      <c r="L405" s="63">
        <v>44584</v>
      </c>
      <c r="M405" s="63">
        <v>46132</v>
      </c>
      <c r="N405" s="63">
        <v>47916</v>
      </c>
      <c r="O405" s="63">
        <v>48700</v>
      </c>
      <c r="P405" s="63">
        <v>46593</v>
      </c>
      <c r="Q405" s="63">
        <v>47486</v>
      </c>
      <c r="R405" s="63">
        <v>49688</v>
      </c>
      <c r="S405" s="63">
        <v>52057</v>
      </c>
      <c r="T405" s="63">
        <v>53834</v>
      </c>
      <c r="U405" s="63">
        <v>54868</v>
      </c>
      <c r="V405" s="63">
        <v>56708</v>
      </c>
      <c r="W405" s="63">
        <v>56642</v>
      </c>
      <c r="X405" s="63">
        <v>55121</v>
      </c>
      <c r="Y405" s="63">
        <v>57625</v>
      </c>
      <c r="Z405" s="63">
        <v>59094</v>
      </c>
      <c r="AA405" s="63">
        <v>61212</v>
      </c>
      <c r="AB405" s="63">
        <v>60940</v>
      </c>
    </row>
    <row r="406" spans="1:28" x14ac:dyDescent="0.2">
      <c r="A406" s="62">
        <v>31</v>
      </c>
      <c r="B406" s="62" t="s">
        <v>359</v>
      </c>
      <c r="C406" s="62">
        <v>71</v>
      </c>
      <c r="D406" s="62" t="s">
        <v>339</v>
      </c>
      <c r="E406" s="63">
        <v>8591</v>
      </c>
      <c r="F406" s="63">
        <v>8714</v>
      </c>
      <c r="G406" s="63">
        <v>8656</v>
      </c>
      <c r="H406" s="63">
        <v>9279</v>
      </c>
      <c r="I406" s="63">
        <v>9667</v>
      </c>
      <c r="J406" s="63">
        <v>10137</v>
      </c>
      <c r="K406" s="63">
        <v>10604</v>
      </c>
      <c r="L406" s="63">
        <v>10690</v>
      </c>
      <c r="M406" s="63">
        <v>10475</v>
      </c>
      <c r="N406" s="63">
        <v>10577</v>
      </c>
      <c r="O406" s="63">
        <v>10823</v>
      </c>
      <c r="P406" s="63">
        <v>11474</v>
      </c>
      <c r="Q406" s="63">
        <v>11907</v>
      </c>
      <c r="R406" s="63">
        <v>12726</v>
      </c>
      <c r="S406" s="63">
        <v>13585</v>
      </c>
      <c r="T406" s="63">
        <v>14251</v>
      </c>
      <c r="U406" s="63">
        <v>15081</v>
      </c>
      <c r="V406" s="63">
        <v>15867</v>
      </c>
      <c r="W406" s="63">
        <v>16452</v>
      </c>
      <c r="X406" s="63">
        <v>12177</v>
      </c>
      <c r="Y406" s="63">
        <v>13994</v>
      </c>
      <c r="Z406" s="63">
        <v>16549</v>
      </c>
      <c r="AA406" s="63">
        <v>18417</v>
      </c>
      <c r="AB406" s="63">
        <v>18265</v>
      </c>
    </row>
    <row r="407" spans="1:28" x14ac:dyDescent="0.2">
      <c r="A407" s="62">
        <v>31</v>
      </c>
      <c r="B407" s="62" t="s">
        <v>359</v>
      </c>
      <c r="C407" s="62">
        <v>72</v>
      </c>
      <c r="D407" s="62" t="s">
        <v>340</v>
      </c>
      <c r="E407" s="63">
        <v>35368</v>
      </c>
      <c r="F407" s="63">
        <v>34394</v>
      </c>
      <c r="G407" s="63">
        <v>34052</v>
      </c>
      <c r="H407" s="63">
        <v>34831</v>
      </c>
      <c r="I407" s="63">
        <v>36210</v>
      </c>
      <c r="J407" s="63">
        <v>37371</v>
      </c>
      <c r="K407" s="63">
        <v>39241</v>
      </c>
      <c r="L407" s="63">
        <v>40145</v>
      </c>
      <c r="M407" s="63">
        <v>38494</v>
      </c>
      <c r="N407" s="63">
        <v>39718</v>
      </c>
      <c r="O407" s="63">
        <v>42124</v>
      </c>
      <c r="P407" s="63">
        <v>43431</v>
      </c>
      <c r="Q407" s="63">
        <v>45435</v>
      </c>
      <c r="R407" s="63">
        <v>48201</v>
      </c>
      <c r="S407" s="63">
        <v>50961</v>
      </c>
      <c r="T407" s="63">
        <v>53473</v>
      </c>
      <c r="U407" s="63">
        <v>54866</v>
      </c>
      <c r="V407" s="63">
        <v>56071</v>
      </c>
      <c r="W407" s="63">
        <v>56100</v>
      </c>
      <c r="X407" s="63">
        <v>39057</v>
      </c>
      <c r="Y407" s="63">
        <v>44201</v>
      </c>
      <c r="Z407" s="63">
        <v>52572</v>
      </c>
      <c r="AA407" s="63">
        <v>55029</v>
      </c>
      <c r="AB407" s="63">
        <v>54100</v>
      </c>
    </row>
    <row r="408" spans="1:28" x14ac:dyDescent="0.2">
      <c r="A408" s="62">
        <v>31</v>
      </c>
      <c r="B408" s="62" t="s">
        <v>359</v>
      </c>
      <c r="C408" s="62">
        <v>81</v>
      </c>
      <c r="D408" s="62" t="s">
        <v>341</v>
      </c>
      <c r="E408" s="63">
        <v>19509</v>
      </c>
      <c r="F408" s="63">
        <v>19079</v>
      </c>
      <c r="G408" s="63">
        <v>18669</v>
      </c>
      <c r="H408" s="63">
        <v>18754</v>
      </c>
      <c r="I408" s="63">
        <v>18494</v>
      </c>
      <c r="J408" s="63">
        <v>18595</v>
      </c>
      <c r="K408" s="63">
        <v>18849</v>
      </c>
      <c r="L408" s="63">
        <v>19818</v>
      </c>
      <c r="M408" s="63">
        <v>19364</v>
      </c>
      <c r="N408" s="63">
        <v>20207</v>
      </c>
      <c r="O408" s="63">
        <v>21035</v>
      </c>
      <c r="P408" s="63">
        <v>21580</v>
      </c>
      <c r="Q408" s="63">
        <v>22043</v>
      </c>
      <c r="R408" s="63">
        <v>23023</v>
      </c>
      <c r="S408" s="63">
        <v>23283</v>
      </c>
      <c r="T408" s="63">
        <v>24147</v>
      </c>
      <c r="U408" s="63">
        <v>24770</v>
      </c>
      <c r="V408" s="63">
        <v>23703</v>
      </c>
      <c r="W408" s="63">
        <v>23753</v>
      </c>
      <c r="X408" s="63">
        <v>21225</v>
      </c>
      <c r="Y408" s="63">
        <v>22389</v>
      </c>
      <c r="Z408" s="63">
        <v>23662</v>
      </c>
      <c r="AA408" s="63">
        <v>24740</v>
      </c>
      <c r="AB408" s="63">
        <v>24742</v>
      </c>
    </row>
    <row r="409" spans="1:28" x14ac:dyDescent="0.2">
      <c r="A409" s="62">
        <v>31</v>
      </c>
      <c r="B409" s="62" t="s">
        <v>359</v>
      </c>
      <c r="C409" s="62">
        <v>92</v>
      </c>
      <c r="D409" s="64" t="s">
        <v>345</v>
      </c>
      <c r="E409" s="65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</row>
    <row r="410" spans="1:28" x14ac:dyDescent="0.2">
      <c r="A410" s="62">
        <v>31</v>
      </c>
      <c r="B410" s="62" t="s">
        <v>359</v>
      </c>
      <c r="C410" s="62">
        <v>99</v>
      </c>
      <c r="D410" s="62" t="s">
        <v>342</v>
      </c>
      <c r="E410" s="63">
        <v>5</v>
      </c>
      <c r="F410" s="63">
        <v>6</v>
      </c>
      <c r="G410" s="63">
        <v>4</v>
      </c>
      <c r="H410" s="63">
        <v>20</v>
      </c>
      <c r="I410" s="63">
        <v>49</v>
      </c>
      <c r="J410" s="63">
        <v>37</v>
      </c>
      <c r="K410" s="62"/>
      <c r="L410" s="63">
        <v>52</v>
      </c>
      <c r="M410" s="63">
        <v>31</v>
      </c>
      <c r="N410" s="63">
        <v>23</v>
      </c>
      <c r="O410" s="63">
        <v>33</v>
      </c>
      <c r="P410" s="63">
        <v>36</v>
      </c>
      <c r="Q410" s="63">
        <v>91</v>
      </c>
      <c r="R410" s="63">
        <v>89</v>
      </c>
      <c r="S410" s="63">
        <v>66</v>
      </c>
      <c r="T410" s="63">
        <v>109</v>
      </c>
      <c r="U410" s="63">
        <v>12</v>
      </c>
      <c r="V410" s="63">
        <v>42</v>
      </c>
      <c r="W410" s="63">
        <v>37</v>
      </c>
      <c r="X410" s="63">
        <v>43</v>
      </c>
      <c r="Y410" s="63">
        <v>111</v>
      </c>
      <c r="Z410" s="63">
        <v>180</v>
      </c>
      <c r="AA410" s="63">
        <v>187</v>
      </c>
      <c r="AB410" s="63">
        <v>104</v>
      </c>
    </row>
    <row r="411" spans="1:28" x14ac:dyDescent="0.2">
      <c r="A411" s="62">
        <v>33</v>
      </c>
      <c r="B411" s="62" t="s">
        <v>360</v>
      </c>
      <c r="C411" s="62">
        <v>1</v>
      </c>
      <c r="D411" s="62" t="s">
        <v>316</v>
      </c>
      <c r="E411" s="63">
        <v>17</v>
      </c>
      <c r="F411" s="63">
        <v>18</v>
      </c>
      <c r="G411" s="63">
        <v>19</v>
      </c>
      <c r="H411" s="63">
        <v>20</v>
      </c>
      <c r="I411" s="63">
        <v>17</v>
      </c>
      <c r="J411" s="63">
        <v>16</v>
      </c>
      <c r="K411" s="62"/>
      <c r="L411" s="63">
        <v>13</v>
      </c>
      <c r="M411" s="63">
        <v>12</v>
      </c>
      <c r="N411" s="63">
        <v>14</v>
      </c>
      <c r="O411" s="63">
        <v>11</v>
      </c>
      <c r="P411" s="63">
        <v>9</v>
      </c>
      <c r="Q411" s="63">
        <v>10</v>
      </c>
      <c r="R411" s="63">
        <v>9</v>
      </c>
      <c r="S411" s="63">
        <v>9</v>
      </c>
      <c r="T411" s="63">
        <v>9</v>
      </c>
      <c r="U411" s="63">
        <v>9</v>
      </c>
      <c r="V411" s="63">
        <v>8</v>
      </c>
      <c r="W411" s="63">
        <v>8</v>
      </c>
      <c r="X411" s="63">
        <v>9</v>
      </c>
      <c r="Y411" s="63">
        <v>10</v>
      </c>
      <c r="Z411" s="63">
        <v>9</v>
      </c>
      <c r="AA411" s="63">
        <v>9</v>
      </c>
      <c r="AB411" s="63">
        <v>11</v>
      </c>
    </row>
    <row r="412" spans="1:28" x14ac:dyDescent="0.2">
      <c r="A412" s="62">
        <v>33</v>
      </c>
      <c r="B412" s="62" t="s">
        <v>360</v>
      </c>
      <c r="C412" s="62">
        <v>10</v>
      </c>
      <c r="D412" s="62" t="s">
        <v>317</v>
      </c>
      <c r="E412" s="63">
        <v>640</v>
      </c>
      <c r="F412" s="63">
        <v>643</v>
      </c>
      <c r="G412" s="63">
        <v>649</v>
      </c>
      <c r="H412" s="63">
        <v>640</v>
      </c>
      <c r="I412" s="63">
        <v>633</v>
      </c>
      <c r="J412" s="63">
        <v>636</v>
      </c>
      <c r="K412" s="63">
        <v>686</v>
      </c>
      <c r="L412" s="63">
        <v>641</v>
      </c>
      <c r="M412" s="63">
        <v>587</v>
      </c>
      <c r="N412" s="63">
        <v>552</v>
      </c>
      <c r="O412" s="63">
        <v>571</v>
      </c>
      <c r="P412" s="63">
        <v>580</v>
      </c>
      <c r="Q412" s="63">
        <v>642</v>
      </c>
      <c r="R412" s="63">
        <v>632</v>
      </c>
      <c r="S412" s="63">
        <v>908</v>
      </c>
      <c r="T412" s="63">
        <v>660</v>
      </c>
      <c r="U412" s="63">
        <v>701</v>
      </c>
      <c r="V412" s="63">
        <v>702</v>
      </c>
      <c r="W412" s="63">
        <v>719</v>
      </c>
      <c r="X412" s="63">
        <v>723</v>
      </c>
      <c r="Y412" s="63">
        <v>759</v>
      </c>
      <c r="Z412" s="63">
        <v>799</v>
      </c>
      <c r="AA412" s="63">
        <v>802</v>
      </c>
      <c r="AB412" s="63">
        <v>759</v>
      </c>
    </row>
    <row r="413" spans="1:28" x14ac:dyDescent="0.2">
      <c r="A413" s="62">
        <v>33</v>
      </c>
      <c r="B413" s="62" t="s">
        <v>360</v>
      </c>
      <c r="C413" s="62">
        <v>11</v>
      </c>
      <c r="D413" s="62" t="s">
        <v>318</v>
      </c>
      <c r="E413" s="63">
        <v>26</v>
      </c>
      <c r="F413" s="63">
        <v>24</v>
      </c>
      <c r="G413" s="63">
        <v>24</v>
      </c>
      <c r="H413" s="63">
        <v>26</v>
      </c>
      <c r="I413" s="63">
        <v>36</v>
      </c>
      <c r="J413" s="63">
        <v>33</v>
      </c>
      <c r="K413" s="63">
        <v>32</v>
      </c>
      <c r="L413" s="63">
        <v>31</v>
      </c>
      <c r="M413" s="62"/>
      <c r="N413" s="62"/>
      <c r="O413" s="62"/>
      <c r="P413" s="62"/>
      <c r="Q413" s="63">
        <v>16</v>
      </c>
      <c r="R413" s="63">
        <v>25</v>
      </c>
      <c r="S413" s="63">
        <v>23</v>
      </c>
      <c r="T413" s="63">
        <v>26</v>
      </c>
      <c r="U413" s="63">
        <v>22</v>
      </c>
      <c r="V413" s="63">
        <v>18</v>
      </c>
      <c r="W413" s="63">
        <v>18</v>
      </c>
      <c r="X413" s="63">
        <v>17</v>
      </c>
      <c r="Y413" s="63">
        <v>21</v>
      </c>
      <c r="Z413" s="63">
        <v>30</v>
      </c>
      <c r="AA413" s="63">
        <v>26</v>
      </c>
      <c r="AB413" s="63">
        <v>21</v>
      </c>
    </row>
    <row r="414" spans="1:28" x14ac:dyDescent="0.2">
      <c r="A414" s="62">
        <v>33</v>
      </c>
      <c r="B414" s="62" t="s">
        <v>360</v>
      </c>
      <c r="C414" s="62">
        <v>2</v>
      </c>
      <c r="D414" s="62" t="s">
        <v>319</v>
      </c>
      <c r="E414" s="63">
        <v>7</v>
      </c>
      <c r="F414" s="63">
        <v>7</v>
      </c>
      <c r="G414" s="63">
        <v>8</v>
      </c>
      <c r="H414" s="63">
        <v>9</v>
      </c>
      <c r="I414" s="63">
        <v>9</v>
      </c>
      <c r="J414" s="63">
        <v>8</v>
      </c>
      <c r="K414" s="63">
        <v>8</v>
      </c>
      <c r="L414" s="63">
        <v>8</v>
      </c>
      <c r="M414" s="63">
        <v>8</v>
      </c>
      <c r="N414" s="63">
        <v>8</v>
      </c>
      <c r="O414" s="63">
        <v>12</v>
      </c>
      <c r="P414" s="63">
        <v>12</v>
      </c>
      <c r="Q414" s="63">
        <v>12</v>
      </c>
      <c r="R414" s="63">
        <v>11</v>
      </c>
      <c r="S414" s="63">
        <v>10</v>
      </c>
      <c r="T414" s="62"/>
      <c r="U414" s="62"/>
      <c r="V414" s="62"/>
      <c r="W414" s="62"/>
      <c r="X414" s="62"/>
      <c r="Y414" s="62"/>
      <c r="Z414" s="63">
        <v>9</v>
      </c>
      <c r="AA414" s="62"/>
      <c r="AB414" s="63">
        <v>8</v>
      </c>
    </row>
    <row r="415" spans="1:28" x14ac:dyDescent="0.2">
      <c r="A415" s="62">
        <v>33</v>
      </c>
      <c r="B415" s="62" t="s">
        <v>360</v>
      </c>
      <c r="C415" s="62">
        <v>21</v>
      </c>
      <c r="D415" s="62" t="s">
        <v>320</v>
      </c>
      <c r="E415" s="63">
        <v>24</v>
      </c>
      <c r="F415" s="63">
        <v>31</v>
      </c>
      <c r="G415" s="63">
        <v>30</v>
      </c>
      <c r="H415" s="63">
        <v>27</v>
      </c>
      <c r="I415" s="63">
        <v>24</v>
      </c>
      <c r="J415" s="63">
        <v>24</v>
      </c>
      <c r="K415" s="62"/>
      <c r="L415" s="62"/>
      <c r="M415" s="63">
        <v>16</v>
      </c>
      <c r="N415" s="63">
        <v>11</v>
      </c>
      <c r="O415" s="62"/>
      <c r="P415" s="62"/>
      <c r="Q415" s="63">
        <v>9</v>
      </c>
      <c r="R415" s="63">
        <v>8</v>
      </c>
      <c r="S415" s="63">
        <v>7</v>
      </c>
      <c r="T415" s="62"/>
      <c r="U415" s="62"/>
      <c r="V415" s="63">
        <v>23</v>
      </c>
      <c r="W415" s="63">
        <v>27</v>
      </c>
      <c r="X415" s="63">
        <v>14</v>
      </c>
      <c r="Y415" s="63">
        <v>11</v>
      </c>
      <c r="Z415" s="63">
        <v>10</v>
      </c>
      <c r="AA415" s="63">
        <v>9</v>
      </c>
      <c r="AB415" s="63">
        <v>14</v>
      </c>
    </row>
    <row r="416" spans="1:28" x14ac:dyDescent="0.2">
      <c r="A416" s="62">
        <v>33</v>
      </c>
      <c r="B416" s="62" t="s">
        <v>360</v>
      </c>
      <c r="C416" s="62">
        <v>23</v>
      </c>
      <c r="D416" s="62" t="s">
        <v>322</v>
      </c>
      <c r="E416" s="63">
        <v>68</v>
      </c>
      <c r="F416" s="63">
        <v>70</v>
      </c>
      <c r="G416" s="63">
        <v>82</v>
      </c>
      <c r="H416" s="63">
        <v>65</v>
      </c>
      <c r="I416" s="63">
        <v>80</v>
      </c>
      <c r="J416" s="63">
        <v>80</v>
      </c>
      <c r="K416" s="63">
        <v>89</v>
      </c>
      <c r="L416" s="63">
        <v>79</v>
      </c>
      <c r="M416" s="63">
        <v>52</v>
      </c>
      <c r="N416" s="63">
        <v>50</v>
      </c>
      <c r="O416" s="63">
        <v>43</v>
      </c>
      <c r="P416" s="63">
        <v>66</v>
      </c>
      <c r="Q416" s="63">
        <v>131</v>
      </c>
      <c r="R416" s="63">
        <v>86</v>
      </c>
      <c r="S416" s="62"/>
      <c r="T416" s="63">
        <v>45</v>
      </c>
      <c r="U416" s="63">
        <v>39</v>
      </c>
      <c r="V416" s="63">
        <v>39</v>
      </c>
      <c r="W416" s="63">
        <v>39</v>
      </c>
      <c r="X416" s="63">
        <v>50</v>
      </c>
      <c r="Y416" s="63">
        <v>50</v>
      </c>
      <c r="Z416" s="63">
        <v>42</v>
      </c>
      <c r="AA416" s="63">
        <v>56</v>
      </c>
      <c r="AB416" s="63">
        <v>79</v>
      </c>
    </row>
    <row r="417" spans="1:28" x14ac:dyDescent="0.2">
      <c r="A417" s="62">
        <v>33</v>
      </c>
      <c r="B417" s="62" t="s">
        <v>360</v>
      </c>
      <c r="C417" s="62">
        <v>3</v>
      </c>
      <c r="D417" s="62" t="s">
        <v>323</v>
      </c>
      <c r="E417" s="63">
        <v>169</v>
      </c>
      <c r="F417" s="63">
        <v>168</v>
      </c>
      <c r="G417" s="63">
        <v>168</v>
      </c>
      <c r="H417" s="63">
        <v>171</v>
      </c>
      <c r="I417" s="63">
        <v>168</v>
      </c>
      <c r="J417" s="63">
        <v>170</v>
      </c>
      <c r="K417" s="63">
        <v>172</v>
      </c>
      <c r="L417" s="63">
        <v>170</v>
      </c>
      <c r="M417" s="63">
        <v>170</v>
      </c>
      <c r="N417" s="63">
        <v>175</v>
      </c>
      <c r="O417" s="63">
        <v>180</v>
      </c>
      <c r="P417" s="63">
        <v>182</v>
      </c>
      <c r="Q417" s="63">
        <v>184</v>
      </c>
      <c r="R417" s="63">
        <v>197</v>
      </c>
      <c r="S417" s="63">
        <v>197</v>
      </c>
      <c r="T417" s="63">
        <v>214</v>
      </c>
      <c r="U417" s="63">
        <v>211</v>
      </c>
      <c r="V417" s="63">
        <v>218</v>
      </c>
      <c r="W417" s="63">
        <v>217</v>
      </c>
      <c r="X417" s="63">
        <v>198</v>
      </c>
      <c r="Y417" s="63">
        <v>193</v>
      </c>
      <c r="Z417" s="63">
        <v>195</v>
      </c>
      <c r="AA417" s="63">
        <v>196</v>
      </c>
      <c r="AB417" s="63">
        <v>194</v>
      </c>
    </row>
    <row r="418" spans="1:28" x14ac:dyDescent="0.2">
      <c r="A418" s="62">
        <v>33</v>
      </c>
      <c r="B418" s="62" t="s">
        <v>360</v>
      </c>
      <c r="C418" s="62" t="s">
        <v>324</v>
      </c>
      <c r="D418" s="62" t="s">
        <v>325</v>
      </c>
      <c r="E418" s="63">
        <v>7</v>
      </c>
      <c r="F418" s="63">
        <v>12</v>
      </c>
      <c r="G418" s="63">
        <v>9</v>
      </c>
      <c r="H418" s="63">
        <v>8</v>
      </c>
      <c r="I418" s="63">
        <v>12</v>
      </c>
      <c r="J418" s="63">
        <v>17</v>
      </c>
      <c r="K418" s="63">
        <v>20</v>
      </c>
      <c r="L418" s="63">
        <v>24</v>
      </c>
      <c r="M418" s="63">
        <v>31</v>
      </c>
      <c r="N418" s="63">
        <v>16</v>
      </c>
      <c r="O418" s="62"/>
      <c r="P418" s="62"/>
      <c r="Q418" s="62"/>
      <c r="R418" s="63">
        <v>15</v>
      </c>
      <c r="S418" s="63">
        <v>27</v>
      </c>
      <c r="T418" s="63">
        <v>32</v>
      </c>
      <c r="U418" s="63">
        <v>35</v>
      </c>
      <c r="V418" s="63">
        <v>36</v>
      </c>
      <c r="W418" s="63">
        <v>37</v>
      </c>
      <c r="X418" s="63">
        <v>21</v>
      </c>
      <c r="Y418" s="63">
        <v>20</v>
      </c>
      <c r="Z418" s="63">
        <v>19</v>
      </c>
      <c r="AA418" s="63">
        <v>21</v>
      </c>
      <c r="AB418" s="63">
        <v>23</v>
      </c>
    </row>
    <row r="419" spans="1:28" x14ac:dyDescent="0.2">
      <c r="A419" s="62">
        <v>33</v>
      </c>
      <c r="B419" s="62" t="s">
        <v>360</v>
      </c>
      <c r="C419" s="62">
        <v>42</v>
      </c>
      <c r="D419" s="64" t="s">
        <v>326</v>
      </c>
      <c r="E419" s="65"/>
      <c r="F419" s="62"/>
      <c r="G419" s="63">
        <v>23</v>
      </c>
      <c r="H419" s="63">
        <v>19</v>
      </c>
      <c r="I419" s="63">
        <v>19</v>
      </c>
      <c r="J419" s="63">
        <v>21</v>
      </c>
      <c r="K419" s="63">
        <v>18</v>
      </c>
      <c r="L419" s="62"/>
      <c r="M419" s="63">
        <v>16</v>
      </c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3">
        <v>9</v>
      </c>
      <c r="Z419" s="63">
        <v>11</v>
      </c>
      <c r="AA419" s="63">
        <v>14</v>
      </c>
      <c r="AB419" s="63">
        <v>12</v>
      </c>
    </row>
    <row r="420" spans="1:28" x14ac:dyDescent="0.2">
      <c r="A420" s="62">
        <v>33</v>
      </c>
      <c r="B420" s="62" t="s">
        <v>360</v>
      </c>
      <c r="C420" s="62" t="s">
        <v>327</v>
      </c>
      <c r="D420" s="62" t="s">
        <v>328</v>
      </c>
      <c r="E420" s="63">
        <v>89</v>
      </c>
      <c r="F420" s="63">
        <v>93</v>
      </c>
      <c r="G420" s="63">
        <v>81</v>
      </c>
      <c r="H420" s="63">
        <v>75</v>
      </c>
      <c r="I420" s="63">
        <v>88</v>
      </c>
      <c r="J420" s="63">
        <v>81</v>
      </c>
      <c r="K420" s="63">
        <v>58</v>
      </c>
      <c r="L420" s="63">
        <v>75</v>
      </c>
      <c r="M420" s="63">
        <v>72</v>
      </c>
      <c r="N420" s="63">
        <v>67</v>
      </c>
      <c r="O420" s="63">
        <v>69</v>
      </c>
      <c r="P420" s="63">
        <v>76</v>
      </c>
      <c r="Q420" s="63">
        <v>65</v>
      </c>
      <c r="R420" s="63">
        <v>70</v>
      </c>
      <c r="S420" s="63">
        <v>67</v>
      </c>
      <c r="T420" s="63">
        <v>75</v>
      </c>
      <c r="U420" s="63">
        <v>78</v>
      </c>
      <c r="V420" s="63">
        <v>74</v>
      </c>
      <c r="W420" s="63">
        <v>81</v>
      </c>
      <c r="X420" s="63">
        <v>85</v>
      </c>
      <c r="Y420" s="63">
        <v>85</v>
      </c>
      <c r="Z420" s="63">
        <v>92</v>
      </c>
      <c r="AA420" s="63">
        <v>81</v>
      </c>
      <c r="AB420" s="63">
        <v>81</v>
      </c>
    </row>
    <row r="421" spans="1:28" x14ac:dyDescent="0.2">
      <c r="A421" s="62">
        <v>33</v>
      </c>
      <c r="B421" s="62" t="s">
        <v>360</v>
      </c>
      <c r="C421" s="62" t="s">
        <v>329</v>
      </c>
      <c r="D421" s="62" t="s">
        <v>330</v>
      </c>
      <c r="E421" s="63">
        <v>15</v>
      </c>
      <c r="F421" s="63">
        <v>13</v>
      </c>
      <c r="G421" s="62"/>
      <c r="H421" s="63">
        <v>7</v>
      </c>
      <c r="I421" s="63">
        <v>15</v>
      </c>
      <c r="J421" s="63">
        <v>12</v>
      </c>
      <c r="K421" s="63">
        <v>16</v>
      </c>
      <c r="L421" s="63">
        <v>21</v>
      </c>
      <c r="M421" s="63">
        <v>16</v>
      </c>
      <c r="N421" s="63">
        <v>18</v>
      </c>
      <c r="O421" s="63">
        <v>24</v>
      </c>
      <c r="P421" s="63">
        <v>13</v>
      </c>
      <c r="Q421" s="63">
        <v>14</v>
      </c>
      <c r="R421" s="63">
        <v>14</v>
      </c>
      <c r="S421" s="63">
        <v>14</v>
      </c>
      <c r="T421" s="63">
        <v>18</v>
      </c>
      <c r="U421" s="63">
        <v>33</v>
      </c>
      <c r="V421" s="63">
        <v>34</v>
      </c>
      <c r="W421" s="63">
        <v>40</v>
      </c>
      <c r="X421" s="63">
        <v>33</v>
      </c>
      <c r="Y421" s="63">
        <v>33</v>
      </c>
      <c r="Z421" s="63">
        <v>45</v>
      </c>
      <c r="AA421" s="63">
        <v>42</v>
      </c>
      <c r="AB421" s="63">
        <v>36</v>
      </c>
    </row>
    <row r="422" spans="1:28" x14ac:dyDescent="0.2">
      <c r="A422" s="62">
        <v>33</v>
      </c>
      <c r="B422" s="62" t="s">
        <v>360</v>
      </c>
      <c r="C422" s="62">
        <v>51</v>
      </c>
      <c r="D422" s="62" t="s">
        <v>331</v>
      </c>
      <c r="E422" s="62"/>
      <c r="F422" s="62"/>
      <c r="G422" s="62"/>
      <c r="H422" s="62"/>
      <c r="I422" s="63">
        <v>7</v>
      </c>
      <c r="J422" s="63">
        <v>10</v>
      </c>
      <c r="K422" s="63">
        <v>6</v>
      </c>
      <c r="L422" s="63">
        <v>1</v>
      </c>
      <c r="M422" s="63">
        <v>1</v>
      </c>
      <c r="N422" s="63">
        <v>0</v>
      </c>
      <c r="O422" s="63">
        <v>1</v>
      </c>
      <c r="P422" s="62"/>
      <c r="Q422" s="63">
        <v>1</v>
      </c>
      <c r="R422" s="62"/>
      <c r="S422" s="62"/>
      <c r="T422" s="62"/>
      <c r="U422" s="62"/>
      <c r="V422" s="63">
        <v>5</v>
      </c>
      <c r="W422" s="62"/>
      <c r="X422" s="63">
        <v>5</v>
      </c>
      <c r="Y422" s="62"/>
      <c r="Z422" s="62"/>
      <c r="AA422" s="62"/>
      <c r="AB422" s="62"/>
    </row>
    <row r="423" spans="1:28" x14ac:dyDescent="0.2">
      <c r="A423" s="62">
        <v>33</v>
      </c>
      <c r="B423" s="62" t="s">
        <v>360</v>
      </c>
      <c r="C423" s="62">
        <v>52</v>
      </c>
      <c r="D423" s="64" t="s">
        <v>332</v>
      </c>
      <c r="E423" s="65"/>
      <c r="F423" s="62"/>
      <c r="G423" s="62"/>
      <c r="H423" s="63">
        <v>10</v>
      </c>
      <c r="I423" s="63">
        <v>12</v>
      </c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3">
        <v>7</v>
      </c>
      <c r="X423" s="63">
        <v>7</v>
      </c>
      <c r="Y423" s="63">
        <v>8</v>
      </c>
      <c r="Z423" s="63">
        <v>9</v>
      </c>
      <c r="AA423" s="63">
        <v>10</v>
      </c>
      <c r="AB423" s="63">
        <v>9</v>
      </c>
    </row>
    <row r="424" spans="1:28" x14ac:dyDescent="0.2">
      <c r="A424" s="62">
        <v>33</v>
      </c>
      <c r="B424" s="62" t="s">
        <v>360</v>
      </c>
      <c r="C424" s="62">
        <v>53</v>
      </c>
      <c r="D424" s="62" t="s">
        <v>333</v>
      </c>
      <c r="E424" s="63">
        <v>16</v>
      </c>
      <c r="F424" s="63">
        <v>11</v>
      </c>
      <c r="G424" s="63">
        <v>10</v>
      </c>
      <c r="H424" s="63">
        <v>13</v>
      </c>
      <c r="I424" s="63">
        <v>14</v>
      </c>
      <c r="J424" s="63">
        <v>16</v>
      </c>
      <c r="K424" s="63">
        <v>20</v>
      </c>
      <c r="L424" s="63">
        <v>16</v>
      </c>
      <c r="M424" s="63">
        <v>17</v>
      </c>
      <c r="N424" s="63">
        <v>9</v>
      </c>
      <c r="O424" s="63">
        <v>17</v>
      </c>
      <c r="P424" s="63">
        <v>12</v>
      </c>
      <c r="Q424" s="63">
        <v>12</v>
      </c>
      <c r="R424" s="63">
        <v>12</v>
      </c>
      <c r="S424" s="63">
        <v>15</v>
      </c>
      <c r="T424" s="63">
        <v>13</v>
      </c>
      <c r="U424" s="63">
        <v>19</v>
      </c>
      <c r="V424" s="63">
        <v>21</v>
      </c>
      <c r="W424" s="63">
        <v>23</v>
      </c>
      <c r="X424" s="63">
        <v>18</v>
      </c>
      <c r="Y424" s="63">
        <v>20</v>
      </c>
      <c r="Z424" s="63">
        <v>19</v>
      </c>
      <c r="AA424" s="63">
        <v>27</v>
      </c>
      <c r="AB424" s="63">
        <v>23</v>
      </c>
    </row>
    <row r="425" spans="1:28" x14ac:dyDescent="0.2">
      <c r="A425" s="62">
        <v>33</v>
      </c>
      <c r="B425" s="62" t="s">
        <v>360</v>
      </c>
      <c r="C425" s="62">
        <v>54</v>
      </c>
      <c r="D425" s="62" t="s">
        <v>334</v>
      </c>
      <c r="E425" s="63">
        <v>25</v>
      </c>
      <c r="F425" s="63">
        <v>21</v>
      </c>
      <c r="G425" s="63">
        <v>31</v>
      </c>
      <c r="H425" s="63">
        <v>27</v>
      </c>
      <c r="I425" s="63">
        <v>24</v>
      </c>
      <c r="J425" s="63">
        <v>22</v>
      </c>
      <c r="K425" s="63">
        <v>44</v>
      </c>
      <c r="L425" s="63">
        <v>29</v>
      </c>
      <c r="M425" s="63">
        <v>24</v>
      </c>
      <c r="N425" s="63">
        <v>23</v>
      </c>
      <c r="O425" s="63">
        <v>20</v>
      </c>
      <c r="P425" s="63">
        <v>17</v>
      </c>
      <c r="Q425" s="63">
        <v>21</v>
      </c>
      <c r="R425" s="63">
        <v>22</v>
      </c>
      <c r="S425" s="63">
        <v>23</v>
      </c>
      <c r="T425" s="63">
        <v>25</v>
      </c>
      <c r="U425" s="63">
        <v>31</v>
      </c>
      <c r="V425" s="63">
        <v>28</v>
      </c>
      <c r="W425" s="63">
        <v>23</v>
      </c>
      <c r="X425" s="63">
        <v>32</v>
      </c>
      <c r="Y425" s="63">
        <v>32</v>
      </c>
      <c r="Z425" s="63">
        <v>30</v>
      </c>
      <c r="AA425" s="63">
        <v>29</v>
      </c>
      <c r="AB425" s="63">
        <v>27</v>
      </c>
    </row>
    <row r="426" spans="1:28" x14ac:dyDescent="0.2">
      <c r="A426" s="62">
        <v>33</v>
      </c>
      <c r="B426" s="62" t="s">
        <v>360</v>
      </c>
      <c r="C426" s="62">
        <v>56</v>
      </c>
      <c r="D426" s="62" t="s">
        <v>336</v>
      </c>
      <c r="E426" s="63">
        <v>3</v>
      </c>
      <c r="F426" s="62"/>
      <c r="G426" s="63">
        <v>5</v>
      </c>
      <c r="H426" s="62"/>
      <c r="I426" s="63">
        <v>16</v>
      </c>
      <c r="J426" s="63">
        <v>11</v>
      </c>
      <c r="K426" s="63">
        <v>27</v>
      </c>
      <c r="L426" s="63">
        <v>23</v>
      </c>
      <c r="M426" s="63">
        <v>18</v>
      </c>
      <c r="N426" s="63">
        <v>13</v>
      </c>
      <c r="O426" s="63">
        <v>19</v>
      </c>
      <c r="P426" s="63">
        <v>19</v>
      </c>
      <c r="Q426" s="63">
        <v>23</v>
      </c>
      <c r="R426" s="63">
        <v>26</v>
      </c>
      <c r="S426" s="63">
        <v>18</v>
      </c>
      <c r="T426" s="63">
        <v>22</v>
      </c>
      <c r="U426" s="63">
        <v>24</v>
      </c>
      <c r="V426" s="63">
        <v>27</v>
      </c>
      <c r="W426" s="63">
        <v>34</v>
      </c>
      <c r="X426" s="63">
        <v>34</v>
      </c>
      <c r="Y426" s="63">
        <v>37</v>
      </c>
      <c r="Z426" s="63">
        <v>41</v>
      </c>
      <c r="AA426" s="63">
        <v>42</v>
      </c>
      <c r="AB426" s="63">
        <v>30</v>
      </c>
    </row>
    <row r="427" spans="1:28" x14ac:dyDescent="0.2">
      <c r="A427" s="62">
        <v>33</v>
      </c>
      <c r="B427" s="62" t="s">
        <v>360</v>
      </c>
      <c r="C427" s="62">
        <v>61</v>
      </c>
      <c r="D427" s="64" t="s">
        <v>337</v>
      </c>
      <c r="E427" s="65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3">
        <v>0</v>
      </c>
      <c r="Q427" s="63">
        <v>1</v>
      </c>
      <c r="R427" s="63">
        <v>1</v>
      </c>
      <c r="S427" s="63">
        <v>6</v>
      </c>
      <c r="T427" s="63">
        <v>6</v>
      </c>
      <c r="U427" s="63">
        <v>4</v>
      </c>
      <c r="V427" s="63">
        <v>7</v>
      </c>
      <c r="W427" s="63">
        <v>6</v>
      </c>
      <c r="X427" s="63">
        <v>8</v>
      </c>
      <c r="Y427" s="63">
        <v>7</v>
      </c>
      <c r="Z427" s="63">
        <v>11</v>
      </c>
      <c r="AA427" s="63">
        <v>11</v>
      </c>
      <c r="AB427" s="63">
        <v>11</v>
      </c>
    </row>
    <row r="428" spans="1:28" x14ac:dyDescent="0.2">
      <c r="A428" s="62">
        <v>33</v>
      </c>
      <c r="B428" s="62" t="s">
        <v>360</v>
      </c>
      <c r="C428" s="62">
        <v>62</v>
      </c>
      <c r="D428" s="62" t="s">
        <v>338</v>
      </c>
      <c r="E428" s="63">
        <v>16</v>
      </c>
      <c r="F428" s="63">
        <v>11</v>
      </c>
      <c r="G428" s="63">
        <v>16</v>
      </c>
      <c r="H428" s="63">
        <v>14</v>
      </c>
      <c r="I428" s="63">
        <v>12</v>
      </c>
      <c r="J428" s="63">
        <v>9</v>
      </c>
      <c r="K428" s="63">
        <v>7</v>
      </c>
      <c r="L428" s="63">
        <v>9</v>
      </c>
      <c r="M428" s="63">
        <v>9</v>
      </c>
      <c r="N428" s="63">
        <v>12</v>
      </c>
      <c r="O428" s="63">
        <v>15</v>
      </c>
      <c r="P428" s="63">
        <v>13</v>
      </c>
      <c r="Q428" s="63">
        <v>9</v>
      </c>
      <c r="R428" s="63">
        <v>10</v>
      </c>
      <c r="S428" s="63">
        <v>7</v>
      </c>
      <c r="T428" s="63">
        <v>8</v>
      </c>
      <c r="U428" s="63">
        <v>15</v>
      </c>
      <c r="V428" s="63">
        <v>36</v>
      </c>
      <c r="W428" s="63">
        <v>33</v>
      </c>
      <c r="X428" s="63">
        <v>53</v>
      </c>
      <c r="Y428" s="63">
        <v>65</v>
      </c>
      <c r="Z428" s="63">
        <v>55</v>
      </c>
      <c r="AA428" s="63">
        <v>58</v>
      </c>
      <c r="AB428" s="63">
        <v>50</v>
      </c>
    </row>
    <row r="429" spans="1:28" x14ac:dyDescent="0.2">
      <c r="A429" s="62">
        <v>33</v>
      </c>
      <c r="B429" s="62" t="s">
        <v>360</v>
      </c>
      <c r="C429" s="62">
        <v>71</v>
      </c>
      <c r="D429" s="64" t="s">
        <v>339</v>
      </c>
      <c r="E429" s="65"/>
      <c r="F429" s="65"/>
      <c r="G429" s="62"/>
      <c r="H429" s="62"/>
      <c r="I429" s="63">
        <v>4</v>
      </c>
      <c r="J429" s="62"/>
      <c r="K429" s="62"/>
      <c r="L429" s="63">
        <v>7</v>
      </c>
      <c r="M429" s="63">
        <v>7</v>
      </c>
      <c r="N429" s="63">
        <v>7</v>
      </c>
      <c r="O429" s="62"/>
      <c r="P429" s="62"/>
      <c r="Q429" s="63">
        <v>0</v>
      </c>
      <c r="R429" s="63">
        <v>7</v>
      </c>
      <c r="S429" s="63">
        <v>5</v>
      </c>
      <c r="T429" s="63">
        <v>4</v>
      </c>
      <c r="U429" s="63">
        <v>6</v>
      </c>
      <c r="V429" s="63">
        <v>4</v>
      </c>
      <c r="W429" s="63">
        <v>5</v>
      </c>
      <c r="X429" s="63">
        <v>10</v>
      </c>
      <c r="Y429" s="63">
        <v>5</v>
      </c>
      <c r="Z429" s="63">
        <v>9</v>
      </c>
      <c r="AA429" s="63">
        <v>9</v>
      </c>
      <c r="AB429" s="62"/>
    </row>
    <row r="430" spans="1:28" x14ac:dyDescent="0.2">
      <c r="A430" s="62">
        <v>33</v>
      </c>
      <c r="B430" s="62" t="s">
        <v>360</v>
      </c>
      <c r="C430" s="62">
        <v>72</v>
      </c>
      <c r="D430" s="62" t="s">
        <v>340</v>
      </c>
      <c r="E430" s="63">
        <v>50</v>
      </c>
      <c r="F430" s="63">
        <v>41</v>
      </c>
      <c r="G430" s="63">
        <v>43</v>
      </c>
      <c r="H430" s="63">
        <v>52</v>
      </c>
      <c r="I430" s="63">
        <v>35</v>
      </c>
      <c r="J430" s="63">
        <v>48</v>
      </c>
      <c r="K430" s="63">
        <v>69</v>
      </c>
      <c r="L430" s="63">
        <v>55</v>
      </c>
      <c r="M430" s="63">
        <v>42</v>
      </c>
      <c r="N430" s="63">
        <v>33</v>
      </c>
      <c r="O430" s="63">
        <v>44</v>
      </c>
      <c r="P430" s="63">
        <v>47</v>
      </c>
      <c r="Q430" s="63">
        <v>39</v>
      </c>
      <c r="R430" s="63">
        <v>47</v>
      </c>
      <c r="S430" s="63">
        <v>55</v>
      </c>
      <c r="T430" s="63">
        <v>65</v>
      </c>
      <c r="U430" s="63">
        <v>58</v>
      </c>
      <c r="V430" s="63">
        <v>65</v>
      </c>
      <c r="W430" s="63">
        <v>60</v>
      </c>
      <c r="X430" s="63">
        <v>69</v>
      </c>
      <c r="Y430" s="63">
        <v>99</v>
      </c>
      <c r="Z430" s="63">
        <v>106</v>
      </c>
      <c r="AA430" s="63">
        <v>102</v>
      </c>
      <c r="AB430" s="63">
        <v>91</v>
      </c>
    </row>
    <row r="431" spans="1:28" x14ac:dyDescent="0.2">
      <c r="A431" s="62">
        <v>33</v>
      </c>
      <c r="B431" s="62" t="s">
        <v>360</v>
      </c>
      <c r="C431" s="62">
        <v>81</v>
      </c>
      <c r="D431" s="62" t="s">
        <v>341</v>
      </c>
      <c r="E431" s="63">
        <v>31</v>
      </c>
      <c r="F431" s="63">
        <v>31</v>
      </c>
      <c r="G431" s="63">
        <v>41</v>
      </c>
      <c r="H431" s="63">
        <v>41</v>
      </c>
      <c r="I431" s="63">
        <v>33</v>
      </c>
      <c r="J431" s="63">
        <v>34</v>
      </c>
      <c r="K431" s="63">
        <v>24</v>
      </c>
      <c r="L431" s="63">
        <v>25</v>
      </c>
      <c r="M431" s="63">
        <v>30</v>
      </c>
      <c r="N431" s="63">
        <v>27</v>
      </c>
      <c r="O431" s="63">
        <v>29</v>
      </c>
      <c r="P431" s="63">
        <v>31</v>
      </c>
      <c r="Q431" s="63">
        <v>34</v>
      </c>
      <c r="R431" s="63">
        <v>36</v>
      </c>
      <c r="S431" s="63">
        <v>33</v>
      </c>
      <c r="T431" s="63">
        <v>32</v>
      </c>
      <c r="U431" s="63">
        <v>45</v>
      </c>
      <c r="V431" s="63">
        <v>24</v>
      </c>
      <c r="W431" s="63">
        <v>30</v>
      </c>
      <c r="X431" s="63">
        <v>29</v>
      </c>
      <c r="Y431" s="63">
        <v>31</v>
      </c>
      <c r="Z431" s="63">
        <v>35</v>
      </c>
      <c r="AA431" s="63">
        <v>43</v>
      </c>
      <c r="AB431" s="63">
        <v>23</v>
      </c>
    </row>
    <row r="432" spans="1:28" x14ac:dyDescent="0.2">
      <c r="A432" s="62">
        <v>33</v>
      </c>
      <c r="B432" s="62" t="s">
        <v>360</v>
      </c>
      <c r="C432" s="62">
        <v>99</v>
      </c>
      <c r="D432" s="62" t="s">
        <v>342</v>
      </c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3">
        <v>0</v>
      </c>
      <c r="W432" s="62"/>
      <c r="X432" s="62"/>
      <c r="Y432" s="62"/>
      <c r="Z432" s="62"/>
      <c r="AA432" s="62"/>
      <c r="AB432" s="62"/>
    </row>
    <row r="433" spans="1:28" x14ac:dyDescent="0.2">
      <c r="A433" s="62">
        <v>35</v>
      </c>
      <c r="B433" s="62" t="s">
        <v>361</v>
      </c>
      <c r="C433" s="62">
        <v>1</v>
      </c>
      <c r="D433" s="62" t="s">
        <v>316</v>
      </c>
      <c r="E433" s="63">
        <v>185</v>
      </c>
      <c r="F433" s="63">
        <v>198</v>
      </c>
      <c r="G433" s="63">
        <v>201</v>
      </c>
      <c r="H433" s="63">
        <v>205</v>
      </c>
      <c r="I433" s="63">
        <v>204</v>
      </c>
      <c r="J433" s="63">
        <v>215</v>
      </c>
      <c r="K433" s="63">
        <v>214</v>
      </c>
      <c r="L433" s="63">
        <v>480</v>
      </c>
      <c r="M433" s="63">
        <v>436</v>
      </c>
      <c r="N433" s="63">
        <v>457</v>
      </c>
      <c r="O433" s="63">
        <v>376</v>
      </c>
      <c r="P433" s="63">
        <v>378</v>
      </c>
      <c r="Q433" s="63">
        <v>377</v>
      </c>
      <c r="R433" s="63">
        <v>380</v>
      </c>
      <c r="S433" s="63">
        <v>404</v>
      </c>
      <c r="T433" s="63">
        <v>419</v>
      </c>
      <c r="U433" s="63">
        <v>414</v>
      </c>
      <c r="V433" s="63">
        <v>409</v>
      </c>
      <c r="W433" s="63">
        <v>415</v>
      </c>
      <c r="X433" s="63">
        <v>465</v>
      </c>
      <c r="Y433" s="63">
        <v>436</v>
      </c>
      <c r="Z433" s="63">
        <v>517</v>
      </c>
      <c r="AA433" s="63">
        <v>667</v>
      </c>
      <c r="AB433" s="63">
        <v>731</v>
      </c>
    </row>
    <row r="434" spans="1:28" x14ac:dyDescent="0.2">
      <c r="A434" s="62">
        <v>35</v>
      </c>
      <c r="B434" s="62" t="s">
        <v>361</v>
      </c>
      <c r="C434" s="62">
        <v>10</v>
      </c>
      <c r="D434" s="62" t="s">
        <v>317</v>
      </c>
      <c r="E434" s="63">
        <v>77567</v>
      </c>
      <c r="F434" s="63">
        <v>82137</v>
      </c>
      <c r="G434" s="63">
        <v>85725</v>
      </c>
      <c r="H434" s="63">
        <v>96747</v>
      </c>
      <c r="I434" s="63">
        <v>106604</v>
      </c>
      <c r="J434" s="63">
        <v>112717</v>
      </c>
      <c r="K434" s="63">
        <v>117258</v>
      </c>
      <c r="L434" s="63">
        <v>119297</v>
      </c>
      <c r="M434" s="63">
        <v>116479</v>
      </c>
      <c r="N434" s="63">
        <v>116724</v>
      </c>
      <c r="O434" s="63">
        <v>118424</v>
      </c>
      <c r="P434" s="63">
        <v>123360</v>
      </c>
      <c r="Q434" s="63">
        <v>131780</v>
      </c>
      <c r="R434" s="63">
        <v>137501</v>
      </c>
      <c r="S434" s="63">
        <v>143132</v>
      </c>
      <c r="T434" s="63">
        <v>148671</v>
      </c>
      <c r="U434" s="63">
        <v>154446</v>
      </c>
      <c r="V434" s="63">
        <v>160836</v>
      </c>
      <c r="W434" s="63">
        <v>167013</v>
      </c>
      <c r="X434" s="63">
        <v>163389</v>
      </c>
      <c r="Y434" s="63">
        <v>172831</v>
      </c>
      <c r="Z434" s="63">
        <v>179387</v>
      </c>
      <c r="AA434" s="63">
        <v>186694</v>
      </c>
      <c r="AB434" s="63">
        <v>189873</v>
      </c>
    </row>
    <row r="435" spans="1:28" x14ac:dyDescent="0.2">
      <c r="A435" s="62">
        <v>35</v>
      </c>
      <c r="B435" s="62" t="s">
        <v>361</v>
      </c>
      <c r="C435" s="62">
        <v>11</v>
      </c>
      <c r="D435" s="62" t="s">
        <v>318</v>
      </c>
      <c r="E435" s="63">
        <v>179</v>
      </c>
      <c r="F435" s="63">
        <v>175</v>
      </c>
      <c r="G435" s="63">
        <v>197</v>
      </c>
      <c r="H435" s="63">
        <v>212</v>
      </c>
      <c r="I435" s="63">
        <v>232</v>
      </c>
      <c r="J435" s="63">
        <v>219</v>
      </c>
      <c r="K435" s="63">
        <v>226</v>
      </c>
      <c r="L435" s="63">
        <v>234</v>
      </c>
      <c r="M435" s="63">
        <v>211</v>
      </c>
      <c r="N435" s="63">
        <v>190</v>
      </c>
      <c r="O435" s="63">
        <v>214</v>
      </c>
      <c r="P435" s="63">
        <v>261</v>
      </c>
      <c r="Q435" s="63">
        <v>261</v>
      </c>
      <c r="R435" s="63">
        <v>304</v>
      </c>
      <c r="S435" s="63">
        <v>306</v>
      </c>
      <c r="T435" s="63">
        <v>305</v>
      </c>
      <c r="U435" s="63">
        <v>342</v>
      </c>
      <c r="V435" s="63">
        <v>368</v>
      </c>
      <c r="W435" s="63">
        <v>385</v>
      </c>
      <c r="X435" s="63">
        <v>400</v>
      </c>
      <c r="Y435" s="63">
        <v>446</v>
      </c>
      <c r="Z435" s="63">
        <v>445</v>
      </c>
      <c r="AA435" s="63">
        <v>515</v>
      </c>
      <c r="AB435" s="63">
        <v>432</v>
      </c>
    </row>
    <row r="436" spans="1:28" x14ac:dyDescent="0.2">
      <c r="A436" s="62">
        <v>35</v>
      </c>
      <c r="B436" s="62" t="s">
        <v>361</v>
      </c>
      <c r="C436" s="62">
        <v>2</v>
      </c>
      <c r="D436" s="62" t="s">
        <v>319</v>
      </c>
      <c r="E436" s="63">
        <v>138</v>
      </c>
      <c r="F436" s="63">
        <v>143</v>
      </c>
      <c r="G436" s="63">
        <v>133</v>
      </c>
      <c r="H436" s="63">
        <v>138</v>
      </c>
      <c r="I436" s="63">
        <v>150</v>
      </c>
      <c r="J436" s="63">
        <v>176</v>
      </c>
      <c r="K436" s="63">
        <v>186</v>
      </c>
      <c r="L436" s="63">
        <v>175</v>
      </c>
      <c r="M436" s="63">
        <v>183</v>
      </c>
      <c r="N436" s="63">
        <v>188</v>
      </c>
      <c r="O436" s="63">
        <v>187</v>
      </c>
      <c r="P436" s="63">
        <v>203</v>
      </c>
      <c r="Q436" s="63">
        <v>245</v>
      </c>
      <c r="R436" s="63">
        <v>254</v>
      </c>
      <c r="S436" s="63">
        <v>270</v>
      </c>
      <c r="T436" s="63">
        <v>262</v>
      </c>
      <c r="U436" s="63">
        <v>267</v>
      </c>
      <c r="V436" s="63">
        <v>317</v>
      </c>
      <c r="W436" s="63">
        <v>315</v>
      </c>
      <c r="X436" s="63">
        <v>334</v>
      </c>
      <c r="Y436" s="63">
        <v>333</v>
      </c>
      <c r="Z436" s="63">
        <v>412</v>
      </c>
      <c r="AA436" s="63">
        <v>408</v>
      </c>
      <c r="AB436" s="63">
        <v>403</v>
      </c>
    </row>
    <row r="437" spans="1:28" x14ac:dyDescent="0.2">
      <c r="A437" s="62">
        <v>35</v>
      </c>
      <c r="B437" s="62" t="s">
        <v>361</v>
      </c>
      <c r="C437" s="62">
        <v>21</v>
      </c>
      <c r="D437" s="62" t="s">
        <v>320</v>
      </c>
      <c r="E437" s="63">
        <v>75</v>
      </c>
      <c r="F437" s="63">
        <v>81</v>
      </c>
      <c r="G437" s="63">
        <v>108</v>
      </c>
      <c r="H437" s="63">
        <v>132</v>
      </c>
      <c r="I437" s="63">
        <v>144</v>
      </c>
      <c r="J437" s="63">
        <v>247</v>
      </c>
      <c r="K437" s="63">
        <v>319</v>
      </c>
      <c r="L437" s="63">
        <v>373</v>
      </c>
      <c r="M437" s="63">
        <v>349</v>
      </c>
      <c r="N437" s="63">
        <v>311</v>
      </c>
      <c r="O437" s="63">
        <v>379</v>
      </c>
      <c r="P437" s="63">
        <v>469</v>
      </c>
      <c r="Q437" s="63">
        <v>490</v>
      </c>
      <c r="R437" s="63">
        <v>633</v>
      </c>
      <c r="S437" s="63">
        <v>614</v>
      </c>
      <c r="T437" s="63">
        <v>541</v>
      </c>
      <c r="U437" s="63">
        <v>641</v>
      </c>
      <c r="V437" s="63">
        <v>584</v>
      </c>
      <c r="W437" s="63">
        <v>592</v>
      </c>
      <c r="X437" s="63">
        <v>516</v>
      </c>
      <c r="Y437" s="63">
        <v>273</v>
      </c>
      <c r="Z437" s="63">
        <v>260</v>
      </c>
      <c r="AA437" s="63">
        <v>210</v>
      </c>
      <c r="AB437" s="63">
        <v>180</v>
      </c>
    </row>
    <row r="438" spans="1:28" x14ac:dyDescent="0.2">
      <c r="A438" s="62">
        <v>35</v>
      </c>
      <c r="B438" s="62" t="s">
        <v>361</v>
      </c>
      <c r="C438" s="62">
        <v>22</v>
      </c>
      <c r="D438" s="62" t="s">
        <v>321</v>
      </c>
      <c r="E438" s="62"/>
      <c r="F438" s="62"/>
      <c r="G438" s="62"/>
      <c r="H438" s="63">
        <v>163</v>
      </c>
      <c r="I438" s="62"/>
      <c r="J438" s="63">
        <v>170</v>
      </c>
      <c r="K438" s="63">
        <v>188</v>
      </c>
      <c r="L438" s="63">
        <v>193</v>
      </c>
      <c r="M438" s="63">
        <v>206</v>
      </c>
      <c r="N438" s="63">
        <v>200</v>
      </c>
      <c r="O438" s="63">
        <v>195</v>
      </c>
      <c r="P438" s="63">
        <v>200</v>
      </c>
      <c r="Q438" s="62"/>
      <c r="R438" s="62"/>
      <c r="S438" s="62"/>
      <c r="T438" s="63">
        <v>231</v>
      </c>
      <c r="U438" s="63">
        <v>237</v>
      </c>
      <c r="V438" s="63">
        <v>236</v>
      </c>
      <c r="W438" s="63">
        <v>243</v>
      </c>
      <c r="X438" s="63">
        <v>246</v>
      </c>
      <c r="Y438" s="63">
        <v>262</v>
      </c>
      <c r="Z438" s="63">
        <v>283</v>
      </c>
      <c r="AA438" s="63">
        <v>303</v>
      </c>
      <c r="AB438" s="63">
        <v>315</v>
      </c>
    </row>
    <row r="439" spans="1:28" x14ac:dyDescent="0.2">
      <c r="A439" s="62">
        <v>35</v>
      </c>
      <c r="B439" s="62" t="s">
        <v>361</v>
      </c>
      <c r="C439" s="62">
        <v>23</v>
      </c>
      <c r="D439" s="62" t="s">
        <v>322</v>
      </c>
      <c r="E439" s="63">
        <v>9725</v>
      </c>
      <c r="F439" s="63">
        <v>9591</v>
      </c>
      <c r="G439" s="63">
        <v>9622</v>
      </c>
      <c r="H439" s="63">
        <v>11288</v>
      </c>
      <c r="I439" s="63">
        <v>12301</v>
      </c>
      <c r="J439" s="63">
        <v>12131</v>
      </c>
      <c r="K439" s="63">
        <v>11599</v>
      </c>
      <c r="L439" s="63">
        <v>10786</v>
      </c>
      <c r="M439" s="63">
        <v>9066</v>
      </c>
      <c r="N439" s="63">
        <v>8497</v>
      </c>
      <c r="O439" s="63">
        <v>8217</v>
      </c>
      <c r="P439" s="63">
        <v>8263</v>
      </c>
      <c r="Q439" s="63">
        <v>8580</v>
      </c>
      <c r="R439" s="63">
        <v>9371</v>
      </c>
      <c r="S439" s="63">
        <v>10061</v>
      </c>
      <c r="T439" s="63">
        <v>10675</v>
      </c>
      <c r="U439" s="63">
        <v>10766</v>
      </c>
      <c r="V439" s="63">
        <v>11253</v>
      </c>
      <c r="W439" s="63">
        <v>11719</v>
      </c>
      <c r="X439" s="63">
        <v>12093</v>
      </c>
      <c r="Y439" s="63">
        <v>13345</v>
      </c>
      <c r="Z439" s="63">
        <v>13390</v>
      </c>
      <c r="AA439" s="63">
        <v>13721</v>
      </c>
      <c r="AB439" s="63">
        <v>13503</v>
      </c>
    </row>
    <row r="440" spans="1:28" x14ac:dyDescent="0.2">
      <c r="A440" s="62">
        <v>35</v>
      </c>
      <c r="B440" s="62" t="s">
        <v>361</v>
      </c>
      <c r="C440" s="62">
        <v>3</v>
      </c>
      <c r="D440" s="62" t="s">
        <v>323</v>
      </c>
      <c r="E440" s="63">
        <v>7031</v>
      </c>
      <c r="F440" s="63">
        <v>7782</v>
      </c>
      <c r="G440" s="63">
        <v>8204</v>
      </c>
      <c r="H440" s="63">
        <v>8539</v>
      </c>
      <c r="I440" s="63">
        <v>8957</v>
      </c>
      <c r="J440" s="63">
        <v>9579</v>
      </c>
      <c r="K440" s="63">
        <v>10212</v>
      </c>
      <c r="L440" s="63">
        <v>10820</v>
      </c>
      <c r="M440" s="63">
        <v>10734</v>
      </c>
      <c r="N440" s="63">
        <v>10498</v>
      </c>
      <c r="O440" s="63">
        <v>10277</v>
      </c>
      <c r="P440" s="63">
        <v>10529</v>
      </c>
      <c r="Q440" s="63">
        <v>10893</v>
      </c>
      <c r="R440" s="63">
        <v>11341</v>
      </c>
      <c r="S440" s="63">
        <v>12069</v>
      </c>
      <c r="T440" s="63">
        <v>12160</v>
      </c>
      <c r="U440" s="63">
        <v>12724</v>
      </c>
      <c r="V440" s="63">
        <v>12858</v>
      </c>
      <c r="W440" s="63">
        <v>13121</v>
      </c>
      <c r="X440" s="63">
        <v>12665</v>
      </c>
      <c r="Y440" s="63">
        <v>12552</v>
      </c>
      <c r="Z440" s="63">
        <v>12992</v>
      </c>
      <c r="AA440" s="63">
        <v>13649</v>
      </c>
      <c r="AB440" s="63">
        <v>14305</v>
      </c>
    </row>
    <row r="441" spans="1:28" x14ac:dyDescent="0.2">
      <c r="A441" s="62">
        <v>35</v>
      </c>
      <c r="B441" s="62" t="s">
        <v>361</v>
      </c>
      <c r="C441" s="62" t="s">
        <v>324</v>
      </c>
      <c r="D441" s="62" t="s">
        <v>325</v>
      </c>
      <c r="E441" s="63">
        <v>1962</v>
      </c>
      <c r="F441" s="63">
        <v>2214</v>
      </c>
      <c r="G441" s="63">
        <v>2194</v>
      </c>
      <c r="H441" s="63">
        <v>2149</v>
      </c>
      <c r="I441" s="63">
        <v>2508</v>
      </c>
      <c r="J441" s="63">
        <v>2476</v>
      </c>
      <c r="K441" s="63">
        <v>2606</v>
      </c>
      <c r="L441" s="63">
        <v>2729</v>
      </c>
      <c r="M441" s="63">
        <v>2613</v>
      </c>
      <c r="N441" s="63">
        <v>2550</v>
      </c>
      <c r="O441" s="63">
        <v>2574</v>
      </c>
      <c r="P441" s="63">
        <v>2638</v>
      </c>
      <c r="Q441" s="63">
        <v>2623</v>
      </c>
      <c r="R441" s="63">
        <v>2715</v>
      </c>
      <c r="S441" s="63">
        <v>2842</v>
      </c>
      <c r="T441" s="63">
        <v>2752</v>
      </c>
      <c r="U441" s="63">
        <v>2596</v>
      </c>
      <c r="V441" s="63">
        <v>2415</v>
      </c>
      <c r="W441" s="63">
        <v>2377</v>
      </c>
      <c r="X441" s="63">
        <v>2445</v>
      </c>
      <c r="Y441" s="63">
        <v>2557</v>
      </c>
      <c r="Z441" s="63">
        <v>2762</v>
      </c>
      <c r="AA441" s="63">
        <v>2837</v>
      </c>
      <c r="AB441" s="63">
        <v>2884</v>
      </c>
    </row>
    <row r="442" spans="1:28" x14ac:dyDescent="0.2">
      <c r="A442" s="62">
        <v>35</v>
      </c>
      <c r="B442" s="62" t="s">
        <v>361</v>
      </c>
      <c r="C442" s="62">
        <v>42</v>
      </c>
      <c r="D442" s="62" t="s">
        <v>326</v>
      </c>
      <c r="E442" s="63">
        <v>2761</v>
      </c>
      <c r="F442" s="63">
        <v>3027</v>
      </c>
      <c r="G442" s="63">
        <v>3110</v>
      </c>
      <c r="H442" s="63">
        <v>3401</v>
      </c>
      <c r="I442" s="63">
        <v>3610</v>
      </c>
      <c r="J442" s="63">
        <v>3891</v>
      </c>
      <c r="K442" s="63">
        <v>3894</v>
      </c>
      <c r="L442" s="63">
        <v>3756</v>
      </c>
      <c r="M442" s="63">
        <v>3752</v>
      </c>
      <c r="N442" s="63">
        <v>3559</v>
      </c>
      <c r="O442" s="63">
        <v>3766</v>
      </c>
      <c r="P442" s="63">
        <v>3938</v>
      </c>
      <c r="Q442" s="63">
        <v>4277</v>
      </c>
      <c r="R442" s="63">
        <v>4138</v>
      </c>
      <c r="S442" s="63">
        <v>4350</v>
      </c>
      <c r="T442" s="63">
        <v>4447</v>
      </c>
      <c r="U442" s="63">
        <v>4659</v>
      </c>
      <c r="V442" s="63">
        <v>5001</v>
      </c>
      <c r="W442" s="63">
        <v>5171</v>
      </c>
      <c r="X442" s="63">
        <v>5422</v>
      </c>
      <c r="Y442" s="63">
        <v>5656</v>
      </c>
      <c r="Z442" s="63">
        <v>6561</v>
      </c>
      <c r="AA442" s="63">
        <v>6370</v>
      </c>
      <c r="AB442" s="63">
        <v>6706</v>
      </c>
    </row>
    <row r="443" spans="1:28" x14ac:dyDescent="0.2">
      <c r="A443" s="62">
        <v>35</v>
      </c>
      <c r="B443" s="62" t="s">
        <v>361</v>
      </c>
      <c r="C443" s="62" t="s">
        <v>327</v>
      </c>
      <c r="D443" s="62" t="s">
        <v>328</v>
      </c>
      <c r="E443" s="63">
        <v>14418</v>
      </c>
      <c r="F443" s="63">
        <v>15513</v>
      </c>
      <c r="G443" s="63">
        <v>15931</v>
      </c>
      <c r="H443" s="63">
        <v>16979</v>
      </c>
      <c r="I443" s="63">
        <v>17842</v>
      </c>
      <c r="J443" s="63">
        <v>18397</v>
      </c>
      <c r="K443" s="63">
        <v>18798</v>
      </c>
      <c r="L443" s="63">
        <v>18634</v>
      </c>
      <c r="M443" s="63">
        <v>17626</v>
      </c>
      <c r="N443" s="63">
        <v>17398</v>
      </c>
      <c r="O443" s="63">
        <v>17857</v>
      </c>
      <c r="P443" s="63">
        <v>18529</v>
      </c>
      <c r="Q443" s="63">
        <v>19318</v>
      </c>
      <c r="R443" s="63">
        <v>19918</v>
      </c>
      <c r="S443" s="63">
        <v>20371</v>
      </c>
      <c r="T443" s="63">
        <v>21015</v>
      </c>
      <c r="U443" s="63">
        <v>21263</v>
      </c>
      <c r="V443" s="63">
        <v>21953</v>
      </c>
      <c r="W443" s="63">
        <v>21835</v>
      </c>
      <c r="X443" s="63">
        <v>20903</v>
      </c>
      <c r="Y443" s="63">
        <v>21299</v>
      </c>
      <c r="Z443" s="63">
        <v>20657</v>
      </c>
      <c r="AA443" s="63">
        <v>20694</v>
      </c>
      <c r="AB443" s="63">
        <v>20486</v>
      </c>
    </row>
    <row r="444" spans="1:28" x14ac:dyDescent="0.2">
      <c r="A444" s="62">
        <v>35</v>
      </c>
      <c r="B444" s="62" t="s">
        <v>361</v>
      </c>
      <c r="C444" s="62" t="s">
        <v>329</v>
      </c>
      <c r="D444" s="62" t="s">
        <v>330</v>
      </c>
      <c r="E444" s="63">
        <v>582</v>
      </c>
      <c r="F444" s="63">
        <v>708</v>
      </c>
      <c r="G444" s="63">
        <v>742</v>
      </c>
      <c r="H444" s="63">
        <v>817</v>
      </c>
      <c r="I444" s="63">
        <v>1306</v>
      </c>
      <c r="J444" s="63">
        <v>1325</v>
      </c>
      <c r="K444" s="63">
        <v>1343</v>
      </c>
      <c r="L444" s="63">
        <v>1332</v>
      </c>
      <c r="M444" s="63">
        <v>1211</v>
      </c>
      <c r="N444" s="63">
        <v>1153</v>
      </c>
      <c r="O444" s="63">
        <v>1151</v>
      </c>
      <c r="P444" s="63">
        <v>1147</v>
      </c>
      <c r="Q444" s="63">
        <v>1248</v>
      </c>
      <c r="R444" s="63">
        <v>1396</v>
      </c>
      <c r="S444" s="63">
        <v>1857</v>
      </c>
      <c r="T444" s="63">
        <v>2302</v>
      </c>
      <c r="U444" s="63">
        <v>3208</v>
      </c>
      <c r="V444" s="63">
        <v>3759</v>
      </c>
      <c r="W444" s="63">
        <v>4202</v>
      </c>
      <c r="X444" s="63">
        <v>4948</v>
      </c>
      <c r="Y444" s="63">
        <v>5418</v>
      </c>
      <c r="Z444" s="63">
        <v>5489</v>
      </c>
      <c r="AA444" s="63">
        <v>6876</v>
      </c>
      <c r="AB444" s="63">
        <v>7438</v>
      </c>
    </row>
    <row r="445" spans="1:28" x14ac:dyDescent="0.2">
      <c r="A445" s="62">
        <v>35</v>
      </c>
      <c r="B445" s="62" t="s">
        <v>361</v>
      </c>
      <c r="C445" s="62">
        <v>51</v>
      </c>
      <c r="D445" s="62" t="s">
        <v>331</v>
      </c>
      <c r="E445" s="63">
        <v>6759</v>
      </c>
      <c r="F445" s="63">
        <v>5705</v>
      </c>
      <c r="G445" s="63">
        <v>5570</v>
      </c>
      <c r="H445" s="63">
        <v>5729</v>
      </c>
      <c r="I445" s="63">
        <v>6460</v>
      </c>
      <c r="J445" s="63">
        <v>6255</v>
      </c>
      <c r="K445" s="63">
        <v>6009</v>
      </c>
      <c r="L445" s="63">
        <v>6456</v>
      </c>
      <c r="M445" s="63">
        <v>6060</v>
      </c>
      <c r="N445" s="63">
        <v>5513</v>
      </c>
      <c r="O445" s="63">
        <v>5355</v>
      </c>
      <c r="P445" s="63">
        <v>4369</v>
      </c>
      <c r="Q445" s="63">
        <v>5680</v>
      </c>
      <c r="R445" s="63">
        <v>5242</v>
      </c>
      <c r="S445" s="63">
        <v>5786</v>
      </c>
      <c r="T445" s="63">
        <v>6090</v>
      </c>
      <c r="U445" s="63">
        <v>5880</v>
      </c>
      <c r="V445" s="63">
        <v>7105</v>
      </c>
      <c r="W445" s="63">
        <v>5859</v>
      </c>
      <c r="X445" s="63">
        <v>5692</v>
      </c>
      <c r="Y445" s="63">
        <v>5631</v>
      </c>
      <c r="Z445" s="63">
        <v>5500</v>
      </c>
      <c r="AA445" s="63">
        <v>5329</v>
      </c>
      <c r="AB445" s="63">
        <v>5666</v>
      </c>
    </row>
    <row r="446" spans="1:28" x14ac:dyDescent="0.2">
      <c r="A446" s="62">
        <v>35</v>
      </c>
      <c r="B446" s="62" t="s">
        <v>361</v>
      </c>
      <c r="C446" s="62">
        <v>52</v>
      </c>
      <c r="D446" s="62" t="s">
        <v>332</v>
      </c>
      <c r="E446" s="63">
        <v>4697</v>
      </c>
      <c r="F446" s="63">
        <v>4537</v>
      </c>
      <c r="G446" s="63">
        <v>4557</v>
      </c>
      <c r="H446" s="63">
        <v>5034</v>
      </c>
      <c r="I446" s="63">
        <v>5743</v>
      </c>
      <c r="J446" s="63">
        <v>7284</v>
      </c>
      <c r="K446" s="63">
        <v>7833</v>
      </c>
      <c r="L446" s="63">
        <v>7484</v>
      </c>
      <c r="M446" s="63">
        <v>7375</v>
      </c>
      <c r="N446" s="63">
        <v>7294</v>
      </c>
      <c r="O446" s="63">
        <v>7440</v>
      </c>
      <c r="P446" s="63">
        <v>7910</v>
      </c>
      <c r="Q446" s="63">
        <v>8568</v>
      </c>
      <c r="R446" s="63">
        <v>8789</v>
      </c>
      <c r="S446" s="63">
        <v>8864</v>
      </c>
      <c r="T446" s="63">
        <v>10029</v>
      </c>
      <c r="U446" s="63">
        <v>10545</v>
      </c>
      <c r="V446" s="63">
        <v>11316</v>
      </c>
      <c r="W446" s="63">
        <v>14384</v>
      </c>
      <c r="X446" s="63">
        <v>14335</v>
      </c>
      <c r="Y446" s="63">
        <v>15037</v>
      </c>
      <c r="Z446" s="63">
        <v>14508</v>
      </c>
      <c r="AA446" s="63">
        <v>14267</v>
      </c>
      <c r="AB446" s="63">
        <v>13911</v>
      </c>
    </row>
    <row r="447" spans="1:28" x14ac:dyDescent="0.2">
      <c r="A447" s="62">
        <v>35</v>
      </c>
      <c r="B447" s="62" t="s">
        <v>361</v>
      </c>
      <c r="C447" s="62">
        <v>53</v>
      </c>
      <c r="D447" s="62" t="s">
        <v>333</v>
      </c>
      <c r="E447" s="63">
        <v>2562</v>
      </c>
      <c r="F447" s="63">
        <v>3187</v>
      </c>
      <c r="G447" s="63">
        <v>3690</v>
      </c>
      <c r="H447" s="63">
        <v>4179</v>
      </c>
      <c r="I447" s="63">
        <v>4750</v>
      </c>
      <c r="J447" s="63">
        <v>4982</v>
      </c>
      <c r="K447" s="63">
        <v>4944</v>
      </c>
      <c r="L447" s="63">
        <v>4566</v>
      </c>
      <c r="M447" s="63">
        <v>4728</v>
      </c>
      <c r="N447" s="63">
        <v>4817</v>
      </c>
      <c r="O447" s="63">
        <v>4555</v>
      </c>
      <c r="P447" s="63">
        <v>4830</v>
      </c>
      <c r="Q447" s="63">
        <v>5163</v>
      </c>
      <c r="R447" s="63">
        <v>5445</v>
      </c>
      <c r="S447" s="63">
        <v>5788</v>
      </c>
      <c r="T447" s="63">
        <v>6042</v>
      </c>
      <c r="U447" s="63">
        <v>6390</v>
      </c>
      <c r="V447" s="63">
        <v>6624</v>
      </c>
      <c r="W447" s="63">
        <v>6877</v>
      </c>
      <c r="X447" s="63">
        <v>6950</v>
      </c>
      <c r="Y447" s="63">
        <v>7242</v>
      </c>
      <c r="Z447" s="63">
        <v>7578</v>
      </c>
      <c r="AA447" s="63">
        <v>8342</v>
      </c>
      <c r="AB447" s="63">
        <v>8383</v>
      </c>
    </row>
    <row r="448" spans="1:28" x14ac:dyDescent="0.2">
      <c r="A448" s="62">
        <v>35</v>
      </c>
      <c r="B448" s="62" t="s">
        <v>361</v>
      </c>
      <c r="C448" s="62">
        <v>54</v>
      </c>
      <c r="D448" s="62" t="s">
        <v>334</v>
      </c>
      <c r="E448" s="63">
        <v>6392</v>
      </c>
      <c r="F448" s="63">
        <v>7485</v>
      </c>
      <c r="G448" s="63">
        <v>8049</v>
      </c>
      <c r="H448" s="63">
        <v>8807</v>
      </c>
      <c r="I448" s="63">
        <v>10998</v>
      </c>
      <c r="J448" s="63">
        <v>11813</v>
      </c>
      <c r="K448" s="63">
        <v>12957</v>
      </c>
      <c r="L448" s="63">
        <v>13665</v>
      </c>
      <c r="M448" s="63">
        <v>13972</v>
      </c>
      <c r="N448" s="63">
        <v>14629</v>
      </c>
      <c r="O448" s="63">
        <v>15285</v>
      </c>
      <c r="P448" s="63">
        <v>16157</v>
      </c>
      <c r="Q448" s="63">
        <v>17902</v>
      </c>
      <c r="R448" s="63">
        <v>18574</v>
      </c>
      <c r="S448" s="63">
        <v>18934</v>
      </c>
      <c r="T448" s="63">
        <v>19150</v>
      </c>
      <c r="U448" s="63">
        <v>20311</v>
      </c>
      <c r="V448" s="63">
        <v>20895</v>
      </c>
      <c r="W448" s="63">
        <v>21588</v>
      </c>
      <c r="X448" s="63">
        <v>21693</v>
      </c>
      <c r="Y448" s="63">
        <v>23985</v>
      </c>
      <c r="Z448" s="63">
        <v>25737</v>
      </c>
      <c r="AA448" s="63">
        <v>26708</v>
      </c>
      <c r="AB448" s="63">
        <v>27733</v>
      </c>
    </row>
    <row r="449" spans="1:28" x14ac:dyDescent="0.2">
      <c r="A449" s="62">
        <v>35</v>
      </c>
      <c r="B449" s="62" t="s">
        <v>361</v>
      </c>
      <c r="C449" s="62">
        <v>55</v>
      </c>
      <c r="D449" s="62" t="s">
        <v>335</v>
      </c>
      <c r="E449" s="63">
        <v>464</v>
      </c>
      <c r="F449" s="63">
        <v>174</v>
      </c>
      <c r="G449" s="63">
        <v>141</v>
      </c>
      <c r="H449" s="63">
        <v>2336</v>
      </c>
      <c r="I449" s="63">
        <v>2365</v>
      </c>
      <c r="J449" s="63">
        <v>2428</v>
      </c>
      <c r="K449" s="62"/>
      <c r="L449" s="63">
        <v>2485</v>
      </c>
      <c r="M449" s="63">
        <v>2514</v>
      </c>
      <c r="N449" s="63">
        <v>2384</v>
      </c>
      <c r="O449" s="63">
        <v>2351</v>
      </c>
      <c r="P449" s="63">
        <v>2247</v>
      </c>
      <c r="Q449" s="63">
        <v>2603</v>
      </c>
      <c r="R449" s="63">
        <v>2848</v>
      </c>
      <c r="S449" s="63">
        <v>2852</v>
      </c>
      <c r="T449" s="63">
        <v>3009</v>
      </c>
      <c r="U449" s="63">
        <v>3171</v>
      </c>
      <c r="V449" s="63">
        <v>3370</v>
      </c>
      <c r="W449" s="63">
        <v>3540</v>
      </c>
      <c r="X449" s="63">
        <v>3528</v>
      </c>
      <c r="Y449" s="63">
        <v>3645</v>
      </c>
      <c r="Z449" s="63">
        <v>3911</v>
      </c>
      <c r="AA449" s="63">
        <v>4324</v>
      </c>
      <c r="AB449" s="63">
        <v>3961</v>
      </c>
    </row>
    <row r="450" spans="1:28" x14ac:dyDescent="0.2">
      <c r="A450" s="62">
        <v>35</v>
      </c>
      <c r="B450" s="62" t="s">
        <v>361</v>
      </c>
      <c r="C450" s="62">
        <v>56</v>
      </c>
      <c r="D450" s="62" t="s">
        <v>336</v>
      </c>
      <c r="E450" s="63">
        <v>2846</v>
      </c>
      <c r="F450" s="63">
        <v>3175</v>
      </c>
      <c r="G450" s="63">
        <v>3281</v>
      </c>
      <c r="H450" s="63">
        <v>3763</v>
      </c>
      <c r="I450" s="63">
        <v>3826</v>
      </c>
      <c r="J450" s="63">
        <v>4309</v>
      </c>
      <c r="K450" s="63">
        <v>5010</v>
      </c>
      <c r="L450" s="63">
        <v>5030</v>
      </c>
      <c r="M450" s="63">
        <v>4819</v>
      </c>
      <c r="N450" s="63">
        <v>5341</v>
      </c>
      <c r="O450" s="63">
        <v>5791</v>
      </c>
      <c r="P450" s="63">
        <v>7275</v>
      </c>
      <c r="Q450" s="63">
        <v>7404</v>
      </c>
      <c r="R450" s="63">
        <v>7739</v>
      </c>
      <c r="S450" s="63">
        <v>7896</v>
      </c>
      <c r="T450" s="63">
        <v>7817</v>
      </c>
      <c r="U450" s="63">
        <v>7779</v>
      </c>
      <c r="V450" s="63">
        <v>7940</v>
      </c>
      <c r="W450" s="63">
        <v>8233</v>
      </c>
      <c r="X450" s="63">
        <v>7901</v>
      </c>
      <c r="Y450" s="63">
        <v>8439</v>
      </c>
      <c r="Z450" s="63">
        <v>8628</v>
      </c>
      <c r="AA450" s="63">
        <v>8587</v>
      </c>
      <c r="AB450" s="63">
        <v>8000</v>
      </c>
    </row>
    <row r="451" spans="1:28" x14ac:dyDescent="0.2">
      <c r="A451" s="62">
        <v>35</v>
      </c>
      <c r="B451" s="62" t="s">
        <v>361</v>
      </c>
      <c r="C451" s="62">
        <v>61</v>
      </c>
      <c r="D451" s="62" t="s">
        <v>337</v>
      </c>
      <c r="E451" s="63">
        <v>888</v>
      </c>
      <c r="F451" s="63">
        <v>851</v>
      </c>
      <c r="G451" s="63">
        <v>1009</v>
      </c>
      <c r="H451" s="63">
        <v>1178</v>
      </c>
      <c r="I451" s="63">
        <v>1319</v>
      </c>
      <c r="J451" s="63">
        <v>1458</v>
      </c>
      <c r="K451" s="63">
        <v>1757</v>
      </c>
      <c r="L451" s="63">
        <v>1911</v>
      </c>
      <c r="M451" s="63">
        <v>2134</v>
      </c>
      <c r="N451" s="63">
        <v>2429</v>
      </c>
      <c r="O451" s="63">
        <v>2435</v>
      </c>
      <c r="P451" s="63">
        <v>2594</v>
      </c>
      <c r="Q451" s="63">
        <v>2784</v>
      </c>
      <c r="R451" s="63">
        <v>3041</v>
      </c>
      <c r="S451" s="63">
        <v>3062</v>
      </c>
      <c r="T451" s="63">
        <v>3191</v>
      </c>
      <c r="U451" s="63">
        <v>3225</v>
      </c>
      <c r="V451" s="63">
        <v>3352</v>
      </c>
      <c r="W451" s="63">
        <v>3607</v>
      </c>
      <c r="X451" s="63">
        <v>3176</v>
      </c>
      <c r="Y451" s="63">
        <v>3428</v>
      </c>
      <c r="Z451" s="63">
        <v>3697</v>
      </c>
      <c r="AA451" s="63">
        <v>4115</v>
      </c>
      <c r="AB451" s="63">
        <v>4608</v>
      </c>
    </row>
    <row r="452" spans="1:28" x14ac:dyDescent="0.2">
      <c r="A452" s="62">
        <v>35</v>
      </c>
      <c r="B452" s="62" t="s">
        <v>361</v>
      </c>
      <c r="C452" s="62">
        <v>62</v>
      </c>
      <c r="D452" s="62" t="s">
        <v>338</v>
      </c>
      <c r="E452" s="63">
        <v>3357</v>
      </c>
      <c r="F452" s="63">
        <v>3800</v>
      </c>
      <c r="G452" s="63">
        <v>4229</v>
      </c>
      <c r="H452" s="63">
        <v>5507</v>
      </c>
      <c r="I452" s="63">
        <v>6290</v>
      </c>
      <c r="J452" s="63">
        <v>6814</v>
      </c>
      <c r="K452" s="63">
        <v>7370</v>
      </c>
      <c r="L452" s="63">
        <v>8246</v>
      </c>
      <c r="M452" s="63">
        <v>8785</v>
      </c>
      <c r="N452" s="63">
        <v>9306</v>
      </c>
      <c r="O452" s="63">
        <v>9790</v>
      </c>
      <c r="P452" s="63">
        <v>10450</v>
      </c>
      <c r="Q452" s="63">
        <v>11449</v>
      </c>
      <c r="R452" s="63">
        <v>12494</v>
      </c>
      <c r="S452" s="63">
        <v>12963</v>
      </c>
      <c r="T452" s="63">
        <v>13690</v>
      </c>
      <c r="U452" s="63">
        <v>14400</v>
      </c>
      <c r="V452" s="63">
        <v>15378</v>
      </c>
      <c r="W452" s="63">
        <v>16067</v>
      </c>
      <c r="X452" s="63">
        <v>16318</v>
      </c>
      <c r="Y452" s="63">
        <v>17227</v>
      </c>
      <c r="Z452" s="63">
        <v>18220</v>
      </c>
      <c r="AA452" s="63">
        <v>19126</v>
      </c>
      <c r="AB452" s="63">
        <v>20063</v>
      </c>
    </row>
    <row r="453" spans="1:28" x14ac:dyDescent="0.2">
      <c r="A453" s="62">
        <v>35</v>
      </c>
      <c r="B453" s="62" t="s">
        <v>361</v>
      </c>
      <c r="C453" s="62">
        <v>71</v>
      </c>
      <c r="D453" s="62" t="s">
        <v>339</v>
      </c>
      <c r="E453" s="63">
        <v>1740</v>
      </c>
      <c r="F453" s="63">
        <v>1968</v>
      </c>
      <c r="G453" s="63">
        <v>2229</v>
      </c>
      <c r="H453" s="63">
        <v>2539</v>
      </c>
      <c r="I453" s="63">
        <v>2808</v>
      </c>
      <c r="J453" s="63">
        <v>3630</v>
      </c>
      <c r="K453" s="63">
        <v>3891</v>
      </c>
      <c r="L453" s="63">
        <v>4253</v>
      </c>
      <c r="M453" s="63">
        <v>4359</v>
      </c>
      <c r="N453" s="63">
        <v>4384</v>
      </c>
      <c r="O453" s="63">
        <v>4457</v>
      </c>
      <c r="P453" s="63">
        <v>4689</v>
      </c>
      <c r="Q453" s="63">
        <v>4526</v>
      </c>
      <c r="R453" s="63">
        <v>4741</v>
      </c>
      <c r="S453" s="63">
        <v>4848</v>
      </c>
      <c r="T453" s="63">
        <v>5036</v>
      </c>
      <c r="U453" s="63">
        <v>5484</v>
      </c>
      <c r="V453" s="63">
        <v>5580</v>
      </c>
      <c r="W453" s="63">
        <v>5917</v>
      </c>
      <c r="X453" s="63">
        <v>4816</v>
      </c>
      <c r="Y453" s="63">
        <v>5166</v>
      </c>
      <c r="Z453" s="63">
        <v>6158</v>
      </c>
      <c r="AA453" s="63">
        <v>6629</v>
      </c>
      <c r="AB453" s="63">
        <v>6633</v>
      </c>
    </row>
    <row r="454" spans="1:28" x14ac:dyDescent="0.2">
      <c r="A454" s="62">
        <v>35</v>
      </c>
      <c r="B454" s="62" t="s">
        <v>361</v>
      </c>
      <c r="C454" s="62">
        <v>72</v>
      </c>
      <c r="D454" s="62" t="s">
        <v>340</v>
      </c>
      <c r="E454" s="63">
        <v>6786</v>
      </c>
      <c r="F454" s="63">
        <v>7294</v>
      </c>
      <c r="G454" s="63">
        <v>7651</v>
      </c>
      <c r="H454" s="63">
        <v>8606</v>
      </c>
      <c r="I454" s="63">
        <v>9326</v>
      </c>
      <c r="J454" s="63">
        <v>9748</v>
      </c>
      <c r="K454" s="63">
        <v>10003</v>
      </c>
      <c r="L454" s="63">
        <v>10283</v>
      </c>
      <c r="M454" s="63">
        <v>9910</v>
      </c>
      <c r="N454" s="63">
        <v>10030</v>
      </c>
      <c r="O454" s="63">
        <v>10080</v>
      </c>
      <c r="P454" s="63">
        <v>10285</v>
      </c>
      <c r="Q454" s="63">
        <v>10933</v>
      </c>
      <c r="R454" s="63">
        <v>11389</v>
      </c>
      <c r="S454" s="63">
        <v>11938</v>
      </c>
      <c r="T454" s="63">
        <v>12188</v>
      </c>
      <c r="U454" s="63">
        <v>12404</v>
      </c>
      <c r="V454" s="63">
        <v>13026</v>
      </c>
      <c r="W454" s="63">
        <v>13612</v>
      </c>
      <c r="X454" s="63">
        <v>11930</v>
      </c>
      <c r="Y454" s="63">
        <v>13313</v>
      </c>
      <c r="Z454" s="63">
        <v>14132</v>
      </c>
      <c r="AA454" s="63">
        <v>14921</v>
      </c>
      <c r="AB454" s="63">
        <v>15093</v>
      </c>
    </row>
    <row r="455" spans="1:28" x14ac:dyDescent="0.2">
      <c r="A455" s="62">
        <v>35</v>
      </c>
      <c r="B455" s="62" t="s">
        <v>361</v>
      </c>
      <c r="C455" s="62">
        <v>81</v>
      </c>
      <c r="D455" s="62" t="s">
        <v>341</v>
      </c>
      <c r="E455" s="63">
        <v>3836</v>
      </c>
      <c r="F455" s="63">
        <v>4342</v>
      </c>
      <c r="G455" s="63">
        <v>4723</v>
      </c>
      <c r="H455" s="63">
        <v>5032</v>
      </c>
      <c r="I455" s="63">
        <v>5258</v>
      </c>
      <c r="J455" s="63">
        <v>5134</v>
      </c>
      <c r="K455" s="63">
        <v>5308</v>
      </c>
      <c r="L455" s="63">
        <v>5372</v>
      </c>
      <c r="M455" s="63">
        <v>5396</v>
      </c>
      <c r="N455" s="63">
        <v>5568</v>
      </c>
      <c r="O455" s="63">
        <v>5664</v>
      </c>
      <c r="P455" s="63">
        <v>5967</v>
      </c>
      <c r="Q455" s="63">
        <v>6221</v>
      </c>
      <c r="R455" s="63">
        <v>6502</v>
      </c>
      <c r="S455" s="63">
        <v>6827</v>
      </c>
      <c r="T455" s="63">
        <v>7301</v>
      </c>
      <c r="U455" s="63">
        <v>7724</v>
      </c>
      <c r="V455" s="63">
        <v>7072</v>
      </c>
      <c r="W455" s="63">
        <v>6930</v>
      </c>
      <c r="X455" s="63">
        <v>6575</v>
      </c>
      <c r="Y455" s="63">
        <v>7072</v>
      </c>
      <c r="Z455" s="63">
        <v>7476</v>
      </c>
      <c r="AA455" s="63">
        <v>7991</v>
      </c>
      <c r="AB455" s="63">
        <v>8404</v>
      </c>
    </row>
    <row r="456" spans="1:28" x14ac:dyDescent="0.2">
      <c r="A456" s="62">
        <v>35</v>
      </c>
      <c r="B456" s="62" t="s">
        <v>361</v>
      </c>
      <c r="C456" s="62">
        <v>99</v>
      </c>
      <c r="D456" s="62" t="s">
        <v>342</v>
      </c>
      <c r="E456" s="62"/>
      <c r="F456" s="62"/>
      <c r="G456" s="62"/>
      <c r="H456" s="63">
        <v>4</v>
      </c>
      <c r="I456" s="62"/>
      <c r="J456" s="63">
        <v>28</v>
      </c>
      <c r="K456" s="62"/>
      <c r="L456" s="63">
        <v>23</v>
      </c>
      <c r="M456" s="63">
        <v>31</v>
      </c>
      <c r="N456" s="63">
        <v>18</v>
      </c>
      <c r="O456" s="63">
        <v>20</v>
      </c>
      <c r="P456" s="63">
        <v>22</v>
      </c>
      <c r="Q456" s="62"/>
      <c r="R456" s="62"/>
      <c r="S456" s="62"/>
      <c r="T456" s="63">
        <v>11</v>
      </c>
      <c r="U456" s="63">
        <v>5</v>
      </c>
      <c r="V456" s="63">
        <v>14</v>
      </c>
      <c r="W456" s="63">
        <v>12</v>
      </c>
      <c r="X456" s="63">
        <v>26</v>
      </c>
      <c r="Y456" s="63">
        <v>59</v>
      </c>
      <c r="Z456" s="63">
        <v>66</v>
      </c>
      <c r="AA456" s="63">
        <v>94</v>
      </c>
      <c r="AB456" s="63">
        <v>22</v>
      </c>
    </row>
    <row r="457" spans="1:28" x14ac:dyDescent="0.2">
      <c r="A457" s="62">
        <v>37</v>
      </c>
      <c r="B457" s="62" t="s">
        <v>362</v>
      </c>
      <c r="C457" s="62">
        <v>1</v>
      </c>
      <c r="D457" s="62" t="s">
        <v>316</v>
      </c>
      <c r="E457" s="63">
        <v>148</v>
      </c>
      <c r="F457" s="63">
        <v>154</v>
      </c>
      <c r="G457" s="63">
        <v>169</v>
      </c>
      <c r="H457" s="63">
        <v>162</v>
      </c>
      <c r="I457" s="63">
        <v>155</v>
      </c>
      <c r="J457" s="63">
        <v>139</v>
      </c>
      <c r="K457" s="63">
        <v>137</v>
      </c>
      <c r="L457" s="63">
        <v>139</v>
      </c>
      <c r="M457" s="63">
        <v>141</v>
      </c>
      <c r="N457" s="63">
        <v>169</v>
      </c>
      <c r="O457" s="63">
        <v>140</v>
      </c>
      <c r="P457" s="63">
        <v>146</v>
      </c>
      <c r="Q457" s="63">
        <v>135</v>
      </c>
      <c r="R457" s="63">
        <v>126</v>
      </c>
      <c r="S457" s="63">
        <v>121</v>
      </c>
      <c r="T457" s="63">
        <v>124</v>
      </c>
      <c r="U457" s="63">
        <v>125</v>
      </c>
      <c r="V457" s="63">
        <v>123</v>
      </c>
      <c r="W457" s="63">
        <v>124</v>
      </c>
      <c r="X457" s="63">
        <v>131</v>
      </c>
      <c r="Y457" s="63">
        <v>112</v>
      </c>
      <c r="Z457" s="63">
        <v>109</v>
      </c>
      <c r="AA457" s="63">
        <v>111</v>
      </c>
      <c r="AB457" s="63">
        <v>106</v>
      </c>
    </row>
    <row r="458" spans="1:28" x14ac:dyDescent="0.2">
      <c r="A458" s="62">
        <v>37</v>
      </c>
      <c r="B458" s="62" t="s">
        <v>362</v>
      </c>
      <c r="C458" s="62">
        <v>10</v>
      </c>
      <c r="D458" s="62" t="s">
        <v>317</v>
      </c>
      <c r="E458" s="63">
        <v>33487</v>
      </c>
      <c r="F458" s="63">
        <v>32706</v>
      </c>
      <c r="G458" s="63">
        <v>32128</v>
      </c>
      <c r="H458" s="63">
        <v>33249</v>
      </c>
      <c r="I458" s="63">
        <v>34807</v>
      </c>
      <c r="J458" s="63">
        <v>36548</v>
      </c>
      <c r="K458" s="63">
        <v>38263</v>
      </c>
      <c r="L458" s="63">
        <v>38672</v>
      </c>
      <c r="M458" s="63">
        <v>35503</v>
      </c>
      <c r="N458" s="63">
        <v>33952</v>
      </c>
      <c r="O458" s="63">
        <v>34301</v>
      </c>
      <c r="P458" s="63">
        <v>34920</v>
      </c>
      <c r="Q458" s="63">
        <v>35653</v>
      </c>
      <c r="R458" s="63">
        <v>36860</v>
      </c>
      <c r="S458" s="63">
        <v>38210</v>
      </c>
      <c r="T458" s="63">
        <v>38976</v>
      </c>
      <c r="U458" s="63">
        <v>39694</v>
      </c>
      <c r="V458" s="63">
        <v>40838</v>
      </c>
      <c r="W458" s="63">
        <v>41761</v>
      </c>
      <c r="X458" s="63">
        <v>37997</v>
      </c>
      <c r="Y458" s="63">
        <v>40559</v>
      </c>
      <c r="Z458" s="63">
        <v>41797</v>
      </c>
      <c r="AA458" s="63">
        <v>42972</v>
      </c>
      <c r="AB458" s="63">
        <v>43437</v>
      </c>
    </row>
    <row r="459" spans="1:28" x14ac:dyDescent="0.2">
      <c r="A459" s="62">
        <v>37</v>
      </c>
      <c r="B459" s="62" t="s">
        <v>362</v>
      </c>
      <c r="C459" s="62">
        <v>11</v>
      </c>
      <c r="D459" s="62" t="s">
        <v>318</v>
      </c>
      <c r="E459" s="63">
        <v>88</v>
      </c>
      <c r="F459" s="63">
        <v>44</v>
      </c>
      <c r="G459" s="63">
        <v>32</v>
      </c>
      <c r="H459" s="63">
        <v>47</v>
      </c>
      <c r="I459" s="63">
        <v>115</v>
      </c>
      <c r="J459" s="63">
        <v>119</v>
      </c>
      <c r="K459" s="63">
        <v>110</v>
      </c>
      <c r="L459" s="63">
        <v>117</v>
      </c>
      <c r="M459" s="63">
        <v>118</v>
      </c>
      <c r="N459" s="63">
        <v>112</v>
      </c>
      <c r="O459" s="63">
        <v>118</v>
      </c>
      <c r="P459" s="63">
        <v>102</v>
      </c>
      <c r="Q459" s="63">
        <v>115</v>
      </c>
      <c r="R459" s="63">
        <v>126</v>
      </c>
      <c r="S459" s="63">
        <v>129</v>
      </c>
      <c r="T459" s="63">
        <v>127</v>
      </c>
      <c r="U459" s="63">
        <v>133</v>
      </c>
      <c r="V459" s="63">
        <v>120</v>
      </c>
      <c r="W459" s="63">
        <v>134</v>
      </c>
      <c r="X459" s="63">
        <v>138</v>
      </c>
      <c r="Y459" s="63">
        <v>147</v>
      </c>
      <c r="Z459" s="63">
        <v>143</v>
      </c>
      <c r="AA459" s="63">
        <v>124</v>
      </c>
      <c r="AB459" s="63">
        <v>95</v>
      </c>
    </row>
    <row r="460" spans="1:28" x14ac:dyDescent="0.2">
      <c r="A460" s="62">
        <v>37</v>
      </c>
      <c r="B460" s="62" t="s">
        <v>362</v>
      </c>
      <c r="C460" s="62">
        <v>2</v>
      </c>
      <c r="D460" s="62" t="s">
        <v>319</v>
      </c>
      <c r="E460" s="63">
        <v>84</v>
      </c>
      <c r="F460" s="63">
        <v>87</v>
      </c>
      <c r="G460" s="63">
        <v>83</v>
      </c>
      <c r="H460" s="63">
        <v>80</v>
      </c>
      <c r="I460" s="63">
        <v>80</v>
      </c>
      <c r="J460" s="63">
        <v>87</v>
      </c>
      <c r="K460" s="63">
        <v>88</v>
      </c>
      <c r="L460" s="63">
        <v>90</v>
      </c>
      <c r="M460" s="63">
        <v>96</v>
      </c>
      <c r="N460" s="63">
        <v>106</v>
      </c>
      <c r="O460" s="63">
        <v>112</v>
      </c>
      <c r="P460" s="63">
        <v>115</v>
      </c>
      <c r="Q460" s="63">
        <v>120</v>
      </c>
      <c r="R460" s="63">
        <v>125</v>
      </c>
      <c r="S460" s="63">
        <v>130</v>
      </c>
      <c r="T460" s="63">
        <v>133</v>
      </c>
      <c r="U460" s="63">
        <v>134</v>
      </c>
      <c r="V460" s="63">
        <v>132</v>
      </c>
      <c r="W460" s="63">
        <v>138</v>
      </c>
      <c r="X460" s="63">
        <v>146</v>
      </c>
      <c r="Y460" s="63">
        <v>145</v>
      </c>
      <c r="Z460" s="63">
        <v>151</v>
      </c>
      <c r="AA460" s="63">
        <v>164</v>
      </c>
      <c r="AB460" s="63">
        <v>169</v>
      </c>
    </row>
    <row r="461" spans="1:28" x14ac:dyDescent="0.2">
      <c r="A461" s="62">
        <v>37</v>
      </c>
      <c r="B461" s="62" t="s">
        <v>362</v>
      </c>
      <c r="C461" s="62">
        <v>21</v>
      </c>
      <c r="D461" s="64" t="s">
        <v>320</v>
      </c>
      <c r="E461" s="65"/>
      <c r="F461" s="65"/>
      <c r="G461" s="63">
        <v>9</v>
      </c>
      <c r="H461" s="63">
        <v>9</v>
      </c>
      <c r="I461" s="63">
        <v>7</v>
      </c>
      <c r="J461" s="62"/>
      <c r="K461" s="63">
        <v>13</v>
      </c>
      <c r="L461" s="63">
        <v>14</v>
      </c>
      <c r="M461" s="63">
        <v>18</v>
      </c>
      <c r="N461" s="63">
        <v>14</v>
      </c>
      <c r="O461" s="63">
        <v>15</v>
      </c>
      <c r="P461" s="63">
        <v>16</v>
      </c>
      <c r="Q461" s="63">
        <v>14</v>
      </c>
      <c r="R461" s="63">
        <v>21</v>
      </c>
      <c r="S461" s="63">
        <v>24</v>
      </c>
      <c r="T461" s="63">
        <v>24</v>
      </c>
      <c r="U461" s="63">
        <v>72</v>
      </c>
      <c r="V461" s="63">
        <v>62</v>
      </c>
      <c r="W461" s="63">
        <v>68</v>
      </c>
      <c r="X461" s="62"/>
      <c r="Y461" s="63">
        <v>38</v>
      </c>
      <c r="Z461" s="63">
        <v>38</v>
      </c>
      <c r="AA461" s="63">
        <v>35</v>
      </c>
      <c r="AB461" s="63">
        <v>39</v>
      </c>
    </row>
    <row r="462" spans="1:28" x14ac:dyDescent="0.2">
      <c r="A462" s="62">
        <v>37</v>
      </c>
      <c r="B462" s="62" t="s">
        <v>362</v>
      </c>
      <c r="C462" s="62">
        <v>22</v>
      </c>
      <c r="D462" s="62" t="s">
        <v>321</v>
      </c>
      <c r="E462" s="63">
        <v>47</v>
      </c>
      <c r="F462" s="63">
        <v>50</v>
      </c>
      <c r="G462" s="63">
        <v>50</v>
      </c>
      <c r="H462" s="63">
        <v>51</v>
      </c>
      <c r="I462" s="63">
        <v>54</v>
      </c>
      <c r="J462" s="63">
        <v>66</v>
      </c>
      <c r="K462" s="63">
        <v>65</v>
      </c>
      <c r="L462" s="63">
        <v>70</v>
      </c>
      <c r="M462" s="63">
        <v>68</v>
      </c>
      <c r="N462" s="63">
        <v>65</v>
      </c>
      <c r="O462" s="63">
        <v>62</v>
      </c>
      <c r="P462" s="63">
        <v>61</v>
      </c>
      <c r="Q462" s="63">
        <v>72</v>
      </c>
      <c r="R462" s="63">
        <v>83</v>
      </c>
      <c r="S462" s="63">
        <v>78</v>
      </c>
      <c r="T462" s="63">
        <v>66</v>
      </c>
      <c r="U462" s="63">
        <v>70</v>
      </c>
      <c r="V462" s="63">
        <v>63</v>
      </c>
      <c r="W462" s="63">
        <v>76</v>
      </c>
      <c r="X462" s="63">
        <v>77</v>
      </c>
      <c r="Y462" s="63">
        <v>67</v>
      </c>
      <c r="Z462" s="63">
        <v>59</v>
      </c>
      <c r="AA462" s="63">
        <v>56</v>
      </c>
      <c r="AB462" s="63">
        <v>49</v>
      </c>
    </row>
    <row r="463" spans="1:28" x14ac:dyDescent="0.2">
      <c r="A463" s="62">
        <v>37</v>
      </c>
      <c r="B463" s="62" t="s">
        <v>362</v>
      </c>
      <c r="C463" s="62">
        <v>23</v>
      </c>
      <c r="D463" s="62" t="s">
        <v>322</v>
      </c>
      <c r="E463" s="63">
        <v>5775</v>
      </c>
      <c r="F463" s="63">
        <v>5174</v>
      </c>
      <c r="G463" s="63">
        <v>4579</v>
      </c>
      <c r="H463" s="63">
        <v>4839</v>
      </c>
      <c r="I463" s="63">
        <v>5152</v>
      </c>
      <c r="J463" s="63">
        <v>5688</v>
      </c>
      <c r="K463" s="63">
        <v>6113</v>
      </c>
      <c r="L463" s="63">
        <v>5885</v>
      </c>
      <c r="M463" s="63">
        <v>4405</v>
      </c>
      <c r="N463" s="63">
        <v>3551</v>
      </c>
      <c r="O463" s="63">
        <v>3222</v>
      </c>
      <c r="P463" s="63">
        <v>3225</v>
      </c>
      <c r="Q463" s="63">
        <v>3351</v>
      </c>
      <c r="R463" s="63">
        <v>3680</v>
      </c>
      <c r="S463" s="63">
        <v>3816</v>
      </c>
      <c r="T463" s="63">
        <v>4012</v>
      </c>
      <c r="U463" s="63">
        <v>4097</v>
      </c>
      <c r="V463" s="63">
        <v>4228</v>
      </c>
      <c r="W463" s="63">
        <v>4273</v>
      </c>
      <c r="X463" s="63">
        <v>4285</v>
      </c>
      <c r="Y463" s="63">
        <v>4247</v>
      </c>
      <c r="Z463" s="63">
        <v>4341</v>
      </c>
      <c r="AA463" s="63">
        <v>4608</v>
      </c>
      <c r="AB463" s="63">
        <v>4723</v>
      </c>
    </row>
    <row r="464" spans="1:28" x14ac:dyDescent="0.2">
      <c r="A464" s="62">
        <v>37</v>
      </c>
      <c r="B464" s="62" t="s">
        <v>362</v>
      </c>
      <c r="C464" s="62">
        <v>3</v>
      </c>
      <c r="D464" s="62" t="s">
        <v>323</v>
      </c>
      <c r="E464" s="63">
        <v>2211</v>
      </c>
      <c r="F464" s="63">
        <v>2255</v>
      </c>
      <c r="G464" s="63">
        <v>2284</v>
      </c>
      <c r="H464" s="63">
        <v>2276</v>
      </c>
      <c r="I464" s="63">
        <v>2249</v>
      </c>
      <c r="J464" s="63">
        <v>2361</v>
      </c>
      <c r="K464" s="63">
        <v>2483</v>
      </c>
      <c r="L464" s="63">
        <v>2611</v>
      </c>
      <c r="M464" s="63">
        <v>2777</v>
      </c>
      <c r="N464" s="63">
        <v>2770</v>
      </c>
      <c r="O464" s="63">
        <v>2731</v>
      </c>
      <c r="P464" s="63">
        <v>2696</v>
      </c>
      <c r="Q464" s="63">
        <v>2690</v>
      </c>
      <c r="R464" s="63">
        <v>2756</v>
      </c>
      <c r="S464" s="63">
        <v>2831</v>
      </c>
      <c r="T464" s="63">
        <v>2895</v>
      </c>
      <c r="U464" s="63">
        <v>3002</v>
      </c>
      <c r="V464" s="63">
        <v>3085</v>
      </c>
      <c r="W464" s="63">
        <v>3136</v>
      </c>
      <c r="X464" s="63">
        <v>2978</v>
      </c>
      <c r="Y464" s="63">
        <v>3061</v>
      </c>
      <c r="Z464" s="63">
        <v>3121</v>
      </c>
      <c r="AA464" s="63">
        <v>3252</v>
      </c>
      <c r="AB464" s="63">
        <v>3389</v>
      </c>
    </row>
    <row r="465" spans="1:28" x14ac:dyDescent="0.2">
      <c r="A465" s="62">
        <v>37</v>
      </c>
      <c r="B465" s="62" t="s">
        <v>362</v>
      </c>
      <c r="C465" s="62" t="s">
        <v>324</v>
      </c>
      <c r="D465" s="62" t="s">
        <v>325</v>
      </c>
      <c r="E465" s="63">
        <v>491</v>
      </c>
      <c r="F465" s="63">
        <v>381</v>
      </c>
      <c r="G465" s="63">
        <v>363</v>
      </c>
      <c r="H465" s="63">
        <v>377</v>
      </c>
      <c r="I465" s="63">
        <v>452</v>
      </c>
      <c r="J465" s="63">
        <v>441</v>
      </c>
      <c r="K465" s="63">
        <v>444</v>
      </c>
      <c r="L465" s="63">
        <v>438</v>
      </c>
      <c r="M465" s="63">
        <v>345</v>
      </c>
      <c r="N465" s="63">
        <v>307</v>
      </c>
      <c r="O465" s="63">
        <v>312</v>
      </c>
      <c r="P465" s="63">
        <v>337</v>
      </c>
      <c r="Q465" s="63">
        <v>355</v>
      </c>
      <c r="R465" s="63">
        <v>420</v>
      </c>
      <c r="S465" s="63">
        <v>460</v>
      </c>
      <c r="T465" s="63">
        <v>486</v>
      </c>
      <c r="U465" s="63">
        <v>470</v>
      </c>
      <c r="V465" s="63">
        <v>490</v>
      </c>
      <c r="W465" s="63">
        <v>475</v>
      </c>
      <c r="X465" s="63">
        <v>440</v>
      </c>
      <c r="Y465" s="63">
        <v>497</v>
      </c>
      <c r="Z465" s="63">
        <v>479</v>
      </c>
      <c r="AA465" s="63">
        <v>530</v>
      </c>
      <c r="AB465" s="63">
        <v>438</v>
      </c>
    </row>
    <row r="466" spans="1:28" x14ac:dyDescent="0.2">
      <c r="A466" s="62">
        <v>37</v>
      </c>
      <c r="B466" s="62" t="s">
        <v>362</v>
      </c>
      <c r="C466" s="62">
        <v>42</v>
      </c>
      <c r="D466" s="62" t="s">
        <v>326</v>
      </c>
      <c r="E466" s="63">
        <v>435</v>
      </c>
      <c r="F466" s="63">
        <v>352</v>
      </c>
      <c r="G466" s="63">
        <v>404</v>
      </c>
      <c r="H466" s="63">
        <v>342</v>
      </c>
      <c r="I466" s="63">
        <v>467</v>
      </c>
      <c r="J466" s="63">
        <v>485</v>
      </c>
      <c r="K466" s="63">
        <v>479</v>
      </c>
      <c r="L466" s="63">
        <v>490</v>
      </c>
      <c r="M466" s="63">
        <v>494</v>
      </c>
      <c r="N466" s="63">
        <v>492</v>
      </c>
      <c r="O466" s="63">
        <v>406</v>
      </c>
      <c r="P466" s="63">
        <v>412</v>
      </c>
      <c r="Q466" s="63">
        <v>530</v>
      </c>
      <c r="R466" s="63">
        <v>619</v>
      </c>
      <c r="S466" s="63">
        <v>656</v>
      </c>
      <c r="T466" s="63">
        <v>626</v>
      </c>
      <c r="U466" s="63">
        <v>514</v>
      </c>
      <c r="V466" s="63">
        <v>552</v>
      </c>
      <c r="W466" s="63">
        <v>541</v>
      </c>
      <c r="X466" s="63">
        <v>480</v>
      </c>
      <c r="Y466" s="63">
        <v>498</v>
      </c>
      <c r="Z466" s="63">
        <v>512</v>
      </c>
      <c r="AA466" s="63">
        <v>516</v>
      </c>
      <c r="AB466" s="63">
        <v>542</v>
      </c>
    </row>
    <row r="467" spans="1:28" x14ac:dyDescent="0.2">
      <c r="A467" s="62">
        <v>37</v>
      </c>
      <c r="B467" s="62" t="s">
        <v>362</v>
      </c>
      <c r="C467" s="62" t="s">
        <v>327</v>
      </c>
      <c r="D467" s="62" t="s">
        <v>328</v>
      </c>
      <c r="E467" s="63">
        <v>3235</v>
      </c>
      <c r="F467" s="63">
        <v>3112</v>
      </c>
      <c r="G467" s="63">
        <v>3263</v>
      </c>
      <c r="H467" s="63">
        <v>3415</v>
      </c>
      <c r="I467" s="63">
        <v>3329</v>
      </c>
      <c r="J467" s="63">
        <v>3520</v>
      </c>
      <c r="K467" s="63">
        <v>3746</v>
      </c>
      <c r="L467" s="63">
        <v>3757</v>
      </c>
      <c r="M467" s="63">
        <v>3396</v>
      </c>
      <c r="N467" s="63">
        <v>3282</v>
      </c>
      <c r="O467" s="63">
        <v>3453</v>
      </c>
      <c r="P467" s="63">
        <v>3507</v>
      </c>
      <c r="Q467" s="63">
        <v>3663</v>
      </c>
      <c r="R467" s="63">
        <v>3628</v>
      </c>
      <c r="S467" s="63">
        <v>3756</v>
      </c>
      <c r="T467" s="63">
        <v>3891</v>
      </c>
      <c r="U467" s="63">
        <v>3959</v>
      </c>
      <c r="V467" s="63">
        <v>4031</v>
      </c>
      <c r="W467" s="63">
        <v>4054</v>
      </c>
      <c r="X467" s="63">
        <v>3868</v>
      </c>
      <c r="Y467" s="63">
        <v>3912</v>
      </c>
      <c r="Z467" s="63">
        <v>3812</v>
      </c>
      <c r="AA467" s="63">
        <v>3828</v>
      </c>
      <c r="AB467" s="63">
        <v>3908</v>
      </c>
    </row>
    <row r="468" spans="1:28" x14ac:dyDescent="0.2">
      <c r="A468" s="62">
        <v>37</v>
      </c>
      <c r="B468" s="62" t="s">
        <v>362</v>
      </c>
      <c r="C468" s="62" t="s">
        <v>329</v>
      </c>
      <c r="D468" s="62" t="s">
        <v>330</v>
      </c>
      <c r="E468" s="63">
        <v>686</v>
      </c>
      <c r="F468" s="63">
        <v>531</v>
      </c>
      <c r="G468" s="63">
        <v>453</v>
      </c>
      <c r="H468" s="63">
        <v>554</v>
      </c>
      <c r="I468" s="63">
        <v>581</v>
      </c>
      <c r="J468" s="63">
        <v>617</v>
      </c>
      <c r="K468" s="63">
        <v>663</v>
      </c>
      <c r="L468" s="63">
        <v>600</v>
      </c>
      <c r="M468" s="63">
        <v>531</v>
      </c>
      <c r="N468" s="63">
        <v>543</v>
      </c>
      <c r="O468" s="63">
        <v>615</v>
      </c>
      <c r="P468" s="63">
        <v>626</v>
      </c>
      <c r="Q468" s="63">
        <v>632</v>
      </c>
      <c r="R468" s="63">
        <v>712</v>
      </c>
      <c r="S468" s="63">
        <v>804</v>
      </c>
      <c r="T468" s="63">
        <v>839</v>
      </c>
      <c r="U468" s="63">
        <v>970</v>
      </c>
      <c r="V468" s="63">
        <v>1066</v>
      </c>
      <c r="W468" s="63">
        <v>1123</v>
      </c>
      <c r="X468" s="63">
        <v>957</v>
      </c>
      <c r="Y468" s="63">
        <v>974</v>
      </c>
      <c r="Z468" s="63">
        <v>1071</v>
      </c>
      <c r="AA468" s="63">
        <v>1051</v>
      </c>
      <c r="AB468" s="63">
        <v>1080</v>
      </c>
    </row>
    <row r="469" spans="1:28" x14ac:dyDescent="0.2">
      <c r="A469" s="62">
        <v>37</v>
      </c>
      <c r="B469" s="62" t="s">
        <v>362</v>
      </c>
      <c r="C469" s="62">
        <v>51</v>
      </c>
      <c r="D469" s="62" t="s">
        <v>331</v>
      </c>
      <c r="E469" s="63">
        <v>371</v>
      </c>
      <c r="F469" s="63">
        <v>324</v>
      </c>
      <c r="G469" s="63">
        <v>306</v>
      </c>
      <c r="H469" s="63">
        <v>310</v>
      </c>
      <c r="I469" s="63">
        <v>456</v>
      </c>
      <c r="J469" s="63">
        <v>468</v>
      </c>
      <c r="K469" s="63">
        <v>482</v>
      </c>
      <c r="L469" s="63">
        <v>476</v>
      </c>
      <c r="M469" s="63">
        <v>432</v>
      </c>
      <c r="N469" s="63">
        <v>412</v>
      </c>
      <c r="O469" s="63">
        <v>385</v>
      </c>
      <c r="P469" s="63">
        <v>359</v>
      </c>
      <c r="Q469" s="63">
        <v>359</v>
      </c>
      <c r="R469" s="63">
        <v>360</v>
      </c>
      <c r="S469" s="63">
        <v>335</v>
      </c>
      <c r="T469" s="63">
        <v>334</v>
      </c>
      <c r="U469" s="63">
        <v>338</v>
      </c>
      <c r="V469" s="63">
        <v>336</v>
      </c>
      <c r="W469" s="63">
        <v>344</v>
      </c>
      <c r="X469" s="63">
        <v>289</v>
      </c>
      <c r="Y469" s="63">
        <v>271</v>
      </c>
      <c r="Z469" s="63">
        <v>279</v>
      </c>
      <c r="AA469" s="63">
        <v>360</v>
      </c>
      <c r="AB469" s="63">
        <v>354</v>
      </c>
    </row>
    <row r="470" spans="1:28" x14ac:dyDescent="0.2">
      <c r="A470" s="62">
        <v>37</v>
      </c>
      <c r="B470" s="62" t="s">
        <v>362</v>
      </c>
      <c r="C470" s="62">
        <v>52</v>
      </c>
      <c r="D470" s="62" t="s">
        <v>332</v>
      </c>
      <c r="E470" s="63">
        <v>766</v>
      </c>
      <c r="F470" s="63">
        <v>527</v>
      </c>
      <c r="G470" s="63">
        <v>525</v>
      </c>
      <c r="H470" s="63">
        <v>725</v>
      </c>
      <c r="I470" s="63">
        <v>753</v>
      </c>
      <c r="J470" s="63">
        <v>811</v>
      </c>
      <c r="K470" s="63">
        <v>825</v>
      </c>
      <c r="L470" s="63">
        <v>817</v>
      </c>
      <c r="M470" s="63">
        <v>804</v>
      </c>
      <c r="N470" s="63">
        <v>785</v>
      </c>
      <c r="O470" s="63">
        <v>732</v>
      </c>
      <c r="P470" s="63">
        <v>708</v>
      </c>
      <c r="Q470" s="63">
        <v>788</v>
      </c>
      <c r="R470" s="63">
        <v>720</v>
      </c>
      <c r="S470" s="63">
        <v>704</v>
      </c>
      <c r="T470" s="63">
        <v>687</v>
      </c>
      <c r="U470" s="63">
        <v>651</v>
      </c>
      <c r="V470" s="63">
        <v>669</v>
      </c>
      <c r="W470" s="63">
        <v>682</v>
      </c>
      <c r="X470" s="63">
        <v>682</v>
      </c>
      <c r="Y470" s="63">
        <v>708</v>
      </c>
      <c r="Z470" s="63">
        <v>701</v>
      </c>
      <c r="AA470" s="63">
        <v>709</v>
      </c>
      <c r="AB470" s="63">
        <v>716</v>
      </c>
    </row>
    <row r="471" spans="1:28" x14ac:dyDescent="0.2">
      <c r="A471" s="62">
        <v>37</v>
      </c>
      <c r="B471" s="62" t="s">
        <v>362</v>
      </c>
      <c r="C471" s="62">
        <v>53</v>
      </c>
      <c r="D471" s="62" t="s">
        <v>333</v>
      </c>
      <c r="E471" s="63">
        <v>2630</v>
      </c>
      <c r="F471" s="63">
        <v>2744</v>
      </c>
      <c r="G471" s="63">
        <v>2769</v>
      </c>
      <c r="H471" s="63">
        <v>2817</v>
      </c>
      <c r="I471" s="63">
        <v>2960</v>
      </c>
      <c r="J471" s="63">
        <v>3040</v>
      </c>
      <c r="K471" s="63">
        <v>3182</v>
      </c>
      <c r="L471" s="63">
        <v>3038</v>
      </c>
      <c r="M471" s="63">
        <v>3023</v>
      </c>
      <c r="N471" s="63">
        <v>2871</v>
      </c>
      <c r="O471" s="63">
        <v>2963</v>
      </c>
      <c r="P471" s="63">
        <v>2950</v>
      </c>
      <c r="Q471" s="63">
        <v>2999</v>
      </c>
      <c r="R471" s="63">
        <v>3077</v>
      </c>
      <c r="S471" s="63">
        <v>3255</v>
      </c>
      <c r="T471" s="63">
        <v>3257</v>
      </c>
      <c r="U471" s="63">
        <v>3324</v>
      </c>
      <c r="V471" s="63">
        <v>3351</v>
      </c>
      <c r="W471" s="63">
        <v>3444</v>
      </c>
      <c r="X471" s="63">
        <v>3282</v>
      </c>
      <c r="Y471" s="63">
        <v>3450</v>
      </c>
      <c r="Z471" s="63">
        <v>3399</v>
      </c>
      <c r="AA471" s="63">
        <v>3553</v>
      </c>
      <c r="AB471" s="63">
        <v>3616</v>
      </c>
    </row>
    <row r="472" spans="1:28" x14ac:dyDescent="0.2">
      <c r="A472" s="62">
        <v>37</v>
      </c>
      <c r="B472" s="62" t="s">
        <v>362</v>
      </c>
      <c r="C472" s="62">
        <v>54</v>
      </c>
      <c r="D472" s="62" t="s">
        <v>334</v>
      </c>
      <c r="E472" s="63">
        <v>1927</v>
      </c>
      <c r="F472" s="63">
        <v>1915</v>
      </c>
      <c r="G472" s="63">
        <v>1882</v>
      </c>
      <c r="H472" s="63">
        <v>2017</v>
      </c>
      <c r="I472" s="63">
        <v>2198</v>
      </c>
      <c r="J472" s="63">
        <v>2299</v>
      </c>
      <c r="K472" s="63">
        <v>2420</v>
      </c>
      <c r="L472" s="63">
        <v>2378</v>
      </c>
      <c r="M472" s="63">
        <v>2118</v>
      </c>
      <c r="N472" s="63">
        <v>2051</v>
      </c>
      <c r="O472" s="63">
        <v>2102</v>
      </c>
      <c r="P472" s="63">
        <v>2134</v>
      </c>
      <c r="Q472" s="63">
        <v>2209</v>
      </c>
      <c r="R472" s="63">
        <v>2294</v>
      </c>
      <c r="S472" s="63">
        <v>2267</v>
      </c>
      <c r="T472" s="63">
        <v>2338</v>
      </c>
      <c r="U472" s="63">
        <v>2435</v>
      </c>
      <c r="V472" s="63">
        <v>2579</v>
      </c>
      <c r="W472" s="63">
        <v>2639</v>
      </c>
      <c r="X472" s="63">
        <v>2663</v>
      </c>
      <c r="Y472" s="63">
        <v>2763</v>
      </c>
      <c r="Z472" s="63">
        <v>2744</v>
      </c>
      <c r="AA472" s="63">
        <v>2686</v>
      </c>
      <c r="AB472" s="63">
        <v>2717</v>
      </c>
    </row>
    <row r="473" spans="1:28" x14ac:dyDescent="0.2">
      <c r="A473" s="62">
        <v>37</v>
      </c>
      <c r="B473" s="62" t="s">
        <v>362</v>
      </c>
      <c r="C473" s="62">
        <v>55</v>
      </c>
      <c r="D473" s="62" t="s">
        <v>335</v>
      </c>
      <c r="E473" s="63">
        <v>212</v>
      </c>
      <c r="F473" s="63">
        <v>207</v>
      </c>
      <c r="G473" s="63">
        <v>187</v>
      </c>
      <c r="H473" s="63">
        <v>173</v>
      </c>
      <c r="I473" s="63">
        <v>150</v>
      </c>
      <c r="J473" s="63">
        <v>194</v>
      </c>
      <c r="K473" s="63">
        <v>150</v>
      </c>
      <c r="L473" s="63">
        <v>151</v>
      </c>
      <c r="M473" s="63">
        <v>133</v>
      </c>
      <c r="N473" s="63">
        <v>116</v>
      </c>
      <c r="O473" s="63">
        <v>106</v>
      </c>
      <c r="P473" s="63">
        <v>113</v>
      </c>
      <c r="Q473" s="63">
        <v>60</v>
      </c>
      <c r="R473" s="63">
        <v>61</v>
      </c>
      <c r="S473" s="63">
        <v>81</v>
      </c>
      <c r="T473" s="63">
        <v>87</v>
      </c>
      <c r="U473" s="63">
        <v>105</v>
      </c>
      <c r="V473" s="63">
        <v>103</v>
      </c>
      <c r="W473" s="63">
        <v>112</v>
      </c>
      <c r="X473" s="63">
        <v>108</v>
      </c>
      <c r="Y473" s="63">
        <v>129</v>
      </c>
      <c r="Z473" s="63">
        <v>119</v>
      </c>
      <c r="AA473" s="63">
        <v>118</v>
      </c>
      <c r="AB473" s="63">
        <v>125</v>
      </c>
    </row>
    <row r="474" spans="1:28" x14ac:dyDescent="0.2">
      <c r="A474" s="62">
        <v>37</v>
      </c>
      <c r="B474" s="62" t="s">
        <v>362</v>
      </c>
      <c r="C474" s="62">
        <v>56</v>
      </c>
      <c r="D474" s="62" t="s">
        <v>336</v>
      </c>
      <c r="E474" s="63">
        <v>1588</v>
      </c>
      <c r="F474" s="63">
        <v>1561</v>
      </c>
      <c r="G474" s="63">
        <v>1446</v>
      </c>
      <c r="H474" s="63">
        <v>1563</v>
      </c>
      <c r="I474" s="63">
        <v>1769</v>
      </c>
      <c r="J474" s="63">
        <v>1952</v>
      </c>
      <c r="K474" s="63">
        <v>2197</v>
      </c>
      <c r="L474" s="63">
        <v>2238</v>
      </c>
      <c r="M474" s="63">
        <v>1957</v>
      </c>
      <c r="N474" s="63">
        <v>1856</v>
      </c>
      <c r="O474" s="63">
        <v>1844</v>
      </c>
      <c r="P474" s="63">
        <v>1973</v>
      </c>
      <c r="Q474" s="63">
        <v>2073</v>
      </c>
      <c r="R474" s="63">
        <v>2125</v>
      </c>
      <c r="S474" s="63">
        <v>2413</v>
      </c>
      <c r="T474" s="63">
        <v>2688</v>
      </c>
      <c r="U474" s="63">
        <v>2637</v>
      </c>
      <c r="V474" s="63">
        <v>2826</v>
      </c>
      <c r="W474" s="63">
        <v>3313</v>
      </c>
      <c r="X474" s="63">
        <v>3045</v>
      </c>
      <c r="Y474" s="63">
        <v>3289</v>
      </c>
      <c r="Z474" s="63">
        <v>3522</v>
      </c>
      <c r="AA474" s="63">
        <v>3528</v>
      </c>
      <c r="AB474" s="63">
        <v>3518</v>
      </c>
    </row>
    <row r="475" spans="1:28" x14ac:dyDescent="0.2">
      <c r="A475" s="62">
        <v>37</v>
      </c>
      <c r="B475" s="62" t="s">
        <v>362</v>
      </c>
      <c r="C475" s="62">
        <v>61</v>
      </c>
      <c r="D475" s="62" t="s">
        <v>337</v>
      </c>
      <c r="E475" s="63">
        <v>190</v>
      </c>
      <c r="F475" s="63">
        <v>98</v>
      </c>
      <c r="G475" s="63">
        <v>120</v>
      </c>
      <c r="H475" s="63">
        <v>130</v>
      </c>
      <c r="I475" s="63">
        <v>215</v>
      </c>
      <c r="J475" s="63">
        <v>222</v>
      </c>
      <c r="K475" s="63">
        <v>235</v>
      </c>
      <c r="L475" s="63">
        <v>254</v>
      </c>
      <c r="M475" s="63">
        <v>235</v>
      </c>
      <c r="N475" s="63">
        <v>227</v>
      </c>
      <c r="O475" s="63">
        <v>251</v>
      </c>
      <c r="P475" s="63">
        <v>283</v>
      </c>
      <c r="Q475" s="63">
        <v>292</v>
      </c>
      <c r="R475" s="63">
        <v>357</v>
      </c>
      <c r="S475" s="63">
        <v>387</v>
      </c>
      <c r="T475" s="63">
        <v>419</v>
      </c>
      <c r="U475" s="63">
        <v>442</v>
      </c>
      <c r="V475" s="63">
        <v>481</v>
      </c>
      <c r="W475" s="63">
        <v>526</v>
      </c>
      <c r="X475" s="63">
        <v>492</v>
      </c>
      <c r="Y475" s="63">
        <v>493</v>
      </c>
      <c r="Z475" s="63">
        <v>531</v>
      </c>
      <c r="AA475" s="63">
        <v>598</v>
      </c>
      <c r="AB475" s="63">
        <v>597</v>
      </c>
    </row>
    <row r="476" spans="1:28" x14ac:dyDescent="0.2">
      <c r="A476" s="62">
        <v>37</v>
      </c>
      <c r="B476" s="62" t="s">
        <v>362</v>
      </c>
      <c r="C476" s="62">
        <v>62</v>
      </c>
      <c r="D476" s="62" t="s">
        <v>338</v>
      </c>
      <c r="E476" s="63">
        <v>1519</v>
      </c>
      <c r="F476" s="63">
        <v>1528</v>
      </c>
      <c r="G476" s="63">
        <v>1573</v>
      </c>
      <c r="H476" s="63">
        <v>1634</v>
      </c>
      <c r="I476" s="63">
        <v>1789</v>
      </c>
      <c r="J476" s="63">
        <v>1919</v>
      </c>
      <c r="K476" s="63">
        <v>1976</v>
      </c>
      <c r="L476" s="63">
        <v>2093</v>
      </c>
      <c r="M476" s="63">
        <v>2125</v>
      </c>
      <c r="N476" s="63">
        <v>2135</v>
      </c>
      <c r="O476" s="63">
        <v>2138</v>
      </c>
      <c r="P476" s="63">
        <v>2123</v>
      </c>
      <c r="Q476" s="63">
        <v>2294</v>
      </c>
      <c r="R476" s="63">
        <v>2354</v>
      </c>
      <c r="S476" s="63">
        <v>2357</v>
      </c>
      <c r="T476" s="63">
        <v>2439</v>
      </c>
      <c r="U476" s="63">
        <v>2613</v>
      </c>
      <c r="V476" s="63">
        <v>2780</v>
      </c>
      <c r="W476" s="63">
        <v>2960</v>
      </c>
      <c r="X476" s="63">
        <v>3060</v>
      </c>
      <c r="Y476" s="63">
        <v>3392</v>
      </c>
      <c r="Z476" s="63">
        <v>3782</v>
      </c>
      <c r="AA476" s="63">
        <v>3867</v>
      </c>
      <c r="AB476" s="63">
        <v>3905</v>
      </c>
    </row>
    <row r="477" spans="1:28" x14ac:dyDescent="0.2">
      <c r="A477" s="62">
        <v>37</v>
      </c>
      <c r="B477" s="62" t="s">
        <v>362</v>
      </c>
      <c r="C477" s="62">
        <v>71</v>
      </c>
      <c r="D477" s="62" t="s">
        <v>339</v>
      </c>
      <c r="E477" s="63">
        <v>3385</v>
      </c>
      <c r="F477" s="63">
        <v>3460</v>
      </c>
      <c r="G477" s="63">
        <v>3209</v>
      </c>
      <c r="H477" s="63">
        <v>3358</v>
      </c>
      <c r="I477" s="63">
        <v>3520</v>
      </c>
      <c r="J477" s="63">
        <v>3642</v>
      </c>
      <c r="K477" s="63">
        <v>3626</v>
      </c>
      <c r="L477" s="63">
        <v>3652</v>
      </c>
      <c r="M477" s="63">
        <v>3631</v>
      </c>
      <c r="N477" s="63">
        <v>3615</v>
      </c>
      <c r="O477" s="63">
        <v>3643</v>
      </c>
      <c r="P477" s="63">
        <v>3862</v>
      </c>
      <c r="Q477" s="63">
        <v>3863</v>
      </c>
      <c r="R477" s="63">
        <v>4043</v>
      </c>
      <c r="S477" s="63">
        <v>4136</v>
      </c>
      <c r="T477" s="63">
        <v>4020</v>
      </c>
      <c r="U477" s="63">
        <v>3998</v>
      </c>
      <c r="V477" s="63">
        <v>3973</v>
      </c>
      <c r="W477" s="63">
        <v>3918</v>
      </c>
      <c r="X477" s="63">
        <v>3003</v>
      </c>
      <c r="Y477" s="63">
        <v>3736</v>
      </c>
      <c r="Z477" s="63">
        <v>3701</v>
      </c>
      <c r="AA477" s="63">
        <v>3800</v>
      </c>
      <c r="AB477" s="63">
        <v>3640</v>
      </c>
    </row>
    <row r="478" spans="1:28" x14ac:dyDescent="0.2">
      <c r="A478" s="62">
        <v>37</v>
      </c>
      <c r="B478" s="62" t="s">
        <v>362</v>
      </c>
      <c r="C478" s="62">
        <v>72</v>
      </c>
      <c r="D478" s="62" t="s">
        <v>340</v>
      </c>
      <c r="E478" s="63">
        <v>6186</v>
      </c>
      <c r="F478" s="63">
        <v>6150</v>
      </c>
      <c r="G478" s="63">
        <v>6411</v>
      </c>
      <c r="H478" s="63">
        <v>6515</v>
      </c>
      <c r="I478" s="63">
        <v>6905</v>
      </c>
      <c r="J478" s="63">
        <v>6966</v>
      </c>
      <c r="K478" s="63">
        <v>7084</v>
      </c>
      <c r="L478" s="63">
        <v>7543</v>
      </c>
      <c r="M478" s="63">
        <v>6933</v>
      </c>
      <c r="N478" s="63">
        <v>6800</v>
      </c>
      <c r="O478" s="63">
        <v>7233</v>
      </c>
      <c r="P478" s="63">
        <v>7377</v>
      </c>
      <c r="Q478" s="63">
        <v>7391</v>
      </c>
      <c r="R478" s="63">
        <v>7463</v>
      </c>
      <c r="S478" s="63">
        <v>7745</v>
      </c>
      <c r="T478" s="63">
        <v>7691</v>
      </c>
      <c r="U478" s="63">
        <v>7807</v>
      </c>
      <c r="V478" s="63">
        <v>8195</v>
      </c>
      <c r="W478" s="63">
        <v>8124</v>
      </c>
      <c r="X478" s="63">
        <v>6276</v>
      </c>
      <c r="Y478" s="63">
        <v>7006</v>
      </c>
      <c r="Z478" s="63">
        <v>7489</v>
      </c>
      <c r="AA478" s="63">
        <v>7719</v>
      </c>
      <c r="AB478" s="63">
        <v>7899</v>
      </c>
    </row>
    <row r="479" spans="1:28" x14ac:dyDescent="0.2">
      <c r="A479" s="62">
        <v>37</v>
      </c>
      <c r="B479" s="62" t="s">
        <v>362</v>
      </c>
      <c r="C479" s="62">
        <v>81</v>
      </c>
      <c r="D479" s="62" t="s">
        <v>341</v>
      </c>
      <c r="E479" s="63">
        <v>1490</v>
      </c>
      <c r="F479" s="63">
        <v>1445</v>
      </c>
      <c r="G479" s="63">
        <v>1465</v>
      </c>
      <c r="H479" s="63">
        <v>1482</v>
      </c>
      <c r="I479" s="63">
        <v>1433</v>
      </c>
      <c r="J479" s="63">
        <v>1489</v>
      </c>
      <c r="K479" s="63">
        <v>1734</v>
      </c>
      <c r="L479" s="63">
        <v>1807</v>
      </c>
      <c r="M479" s="63">
        <v>1714</v>
      </c>
      <c r="N479" s="63">
        <v>1658</v>
      </c>
      <c r="O479" s="63">
        <v>1705</v>
      </c>
      <c r="P479" s="63">
        <v>1781</v>
      </c>
      <c r="Q479" s="63">
        <v>1638</v>
      </c>
      <c r="R479" s="63">
        <v>1696</v>
      </c>
      <c r="S479" s="63">
        <v>1699</v>
      </c>
      <c r="T479" s="63">
        <v>1775</v>
      </c>
      <c r="U479" s="63">
        <v>1788</v>
      </c>
      <c r="V479" s="63">
        <v>1576</v>
      </c>
      <c r="W479" s="63">
        <v>1542</v>
      </c>
      <c r="X479" s="63">
        <v>1521</v>
      </c>
      <c r="Y479" s="63">
        <v>1611</v>
      </c>
      <c r="Z479" s="63">
        <v>1677</v>
      </c>
      <c r="AA479" s="63">
        <v>1730</v>
      </c>
      <c r="AB479" s="63">
        <v>1800</v>
      </c>
    </row>
    <row r="480" spans="1:28" x14ac:dyDescent="0.2">
      <c r="A480" s="62">
        <v>37</v>
      </c>
      <c r="B480" s="62" t="s">
        <v>362</v>
      </c>
      <c r="C480" s="62">
        <v>99</v>
      </c>
      <c r="D480" s="62" t="s">
        <v>342</v>
      </c>
      <c r="E480" s="62"/>
      <c r="F480" s="62"/>
      <c r="G480" s="63">
        <v>3</v>
      </c>
      <c r="H480" s="63">
        <v>2</v>
      </c>
      <c r="I480" s="63">
        <v>2</v>
      </c>
      <c r="J480" s="62"/>
      <c r="K480" s="63">
        <v>1</v>
      </c>
      <c r="L480" s="63">
        <v>2</v>
      </c>
      <c r="M480" s="63">
        <v>0</v>
      </c>
      <c r="N480" s="63">
        <v>0</v>
      </c>
      <c r="O480" s="63">
        <v>0</v>
      </c>
      <c r="P480" s="63">
        <v>0</v>
      </c>
      <c r="Q480" s="63">
        <v>1</v>
      </c>
      <c r="R480" s="63">
        <v>5</v>
      </c>
      <c r="S480" s="63">
        <v>16</v>
      </c>
      <c r="T480" s="63">
        <v>9</v>
      </c>
      <c r="U480" s="63">
        <v>0</v>
      </c>
      <c r="V480" s="63">
        <v>6</v>
      </c>
      <c r="W480" s="63">
        <v>4</v>
      </c>
      <c r="X480" s="62"/>
      <c r="Y480" s="63">
        <v>4</v>
      </c>
      <c r="Z480" s="63">
        <v>6</v>
      </c>
      <c r="AA480" s="63">
        <v>20</v>
      </c>
      <c r="AB480" s="63">
        <v>3</v>
      </c>
    </row>
    <row r="481" spans="1:28" x14ac:dyDescent="0.2">
      <c r="A481" s="62">
        <v>39</v>
      </c>
      <c r="B481" s="62" t="s">
        <v>363</v>
      </c>
      <c r="C481" s="62">
        <v>1</v>
      </c>
      <c r="D481" s="62" t="s">
        <v>316</v>
      </c>
      <c r="E481" s="63">
        <v>38</v>
      </c>
      <c r="F481" s="63">
        <v>38</v>
      </c>
      <c r="G481" s="63">
        <v>38</v>
      </c>
      <c r="H481" s="63">
        <v>38</v>
      </c>
      <c r="I481" s="63">
        <v>38</v>
      </c>
      <c r="J481" s="63">
        <v>38</v>
      </c>
      <c r="K481" s="63">
        <v>37</v>
      </c>
      <c r="L481" s="63">
        <v>39</v>
      </c>
      <c r="M481" s="63">
        <v>36</v>
      </c>
      <c r="N481" s="63">
        <v>47</v>
      </c>
      <c r="O481" s="63">
        <v>35</v>
      </c>
      <c r="P481" s="63">
        <v>33</v>
      </c>
      <c r="Q481" s="63">
        <v>29</v>
      </c>
      <c r="R481" s="63">
        <v>30</v>
      </c>
      <c r="S481" s="63">
        <v>31</v>
      </c>
      <c r="T481" s="63">
        <v>32</v>
      </c>
      <c r="U481" s="63">
        <v>32</v>
      </c>
      <c r="V481" s="63">
        <v>30</v>
      </c>
      <c r="W481" s="63">
        <v>31</v>
      </c>
      <c r="X481" s="63">
        <v>37</v>
      </c>
      <c r="Y481" s="63">
        <v>31</v>
      </c>
      <c r="Z481" s="63">
        <v>28</v>
      </c>
      <c r="AA481" s="63">
        <v>29</v>
      </c>
      <c r="AB481" s="63">
        <v>28</v>
      </c>
    </row>
    <row r="482" spans="1:28" x14ac:dyDescent="0.2">
      <c r="A482" s="62">
        <v>39</v>
      </c>
      <c r="B482" s="62" t="s">
        <v>363</v>
      </c>
      <c r="C482" s="62">
        <v>10</v>
      </c>
      <c r="D482" s="62" t="s">
        <v>317</v>
      </c>
      <c r="E482" s="63">
        <v>4975</v>
      </c>
      <c r="F482" s="63">
        <v>5434</v>
      </c>
      <c r="G482" s="63">
        <v>5575</v>
      </c>
      <c r="H482" s="63">
        <v>5699</v>
      </c>
      <c r="I482" s="63">
        <v>5904</v>
      </c>
      <c r="J482" s="63">
        <v>6198</v>
      </c>
      <c r="K482" s="63">
        <v>6262</v>
      </c>
      <c r="L482" s="63">
        <v>5873</v>
      </c>
      <c r="M482" s="63">
        <v>5597</v>
      </c>
      <c r="N482" s="63">
        <v>5544</v>
      </c>
      <c r="O482" s="63">
        <v>5493</v>
      </c>
      <c r="P482" s="63">
        <v>5571</v>
      </c>
      <c r="Q482" s="63">
        <v>5932</v>
      </c>
      <c r="R482" s="63">
        <v>5972</v>
      </c>
      <c r="S482" s="63">
        <v>6144</v>
      </c>
      <c r="T482" s="63">
        <v>6303</v>
      </c>
      <c r="U482" s="63">
        <v>6420</v>
      </c>
      <c r="V482" s="63">
        <v>6743</v>
      </c>
      <c r="W482" s="63">
        <v>6849</v>
      </c>
      <c r="X482" s="63">
        <v>6765</v>
      </c>
      <c r="Y482" s="63">
        <v>7150</v>
      </c>
      <c r="Z482" s="63">
        <v>7644</v>
      </c>
      <c r="AA482" s="63">
        <v>8228</v>
      </c>
      <c r="AB482" s="63">
        <v>8454</v>
      </c>
    </row>
    <row r="483" spans="1:28" x14ac:dyDescent="0.2">
      <c r="A483" s="62">
        <v>39</v>
      </c>
      <c r="B483" s="62" t="s">
        <v>363</v>
      </c>
      <c r="C483" s="62">
        <v>11</v>
      </c>
      <c r="D483" s="62" t="s">
        <v>318</v>
      </c>
      <c r="E483" s="63">
        <v>126</v>
      </c>
      <c r="F483" s="63">
        <v>152</v>
      </c>
      <c r="G483" s="63">
        <v>150</v>
      </c>
      <c r="H483" s="63">
        <v>164</v>
      </c>
      <c r="I483" s="63">
        <v>163</v>
      </c>
      <c r="J483" s="63">
        <v>180</v>
      </c>
      <c r="K483" s="63">
        <v>190</v>
      </c>
      <c r="L483" s="63">
        <v>186</v>
      </c>
      <c r="M483" s="63">
        <v>173</v>
      </c>
      <c r="N483" s="63">
        <v>181</v>
      </c>
      <c r="O483" s="63">
        <v>177</v>
      </c>
      <c r="P483" s="63">
        <v>177</v>
      </c>
      <c r="Q483" s="63">
        <v>173</v>
      </c>
      <c r="R483" s="63">
        <v>184</v>
      </c>
      <c r="S483" s="63">
        <v>212</v>
      </c>
      <c r="T483" s="63">
        <v>207</v>
      </c>
      <c r="U483" s="63">
        <v>201</v>
      </c>
      <c r="V483" s="63">
        <v>216</v>
      </c>
      <c r="W483" s="63">
        <v>217</v>
      </c>
      <c r="X483" s="63">
        <v>186</v>
      </c>
      <c r="Y483" s="63">
        <v>174</v>
      </c>
      <c r="Z483" s="63">
        <v>166</v>
      </c>
      <c r="AA483" s="63">
        <v>182</v>
      </c>
      <c r="AB483" s="63">
        <v>164</v>
      </c>
    </row>
    <row r="484" spans="1:28" x14ac:dyDescent="0.2">
      <c r="A484" s="62">
        <v>39</v>
      </c>
      <c r="B484" s="62" t="s">
        <v>363</v>
      </c>
      <c r="C484" s="62">
        <v>2</v>
      </c>
      <c r="D484" s="62" t="s">
        <v>319</v>
      </c>
      <c r="E484" s="63">
        <v>8</v>
      </c>
      <c r="F484" s="63">
        <v>11</v>
      </c>
      <c r="G484" s="63">
        <v>11</v>
      </c>
      <c r="H484" s="62"/>
      <c r="I484" s="63">
        <v>9</v>
      </c>
      <c r="J484" s="63">
        <v>9</v>
      </c>
      <c r="K484" s="63">
        <v>8</v>
      </c>
      <c r="L484" s="63">
        <v>7</v>
      </c>
      <c r="M484" s="63">
        <v>8</v>
      </c>
      <c r="N484" s="63">
        <v>9</v>
      </c>
      <c r="O484" s="63">
        <v>10</v>
      </c>
      <c r="P484" s="63">
        <v>10</v>
      </c>
      <c r="Q484" s="63">
        <v>10</v>
      </c>
      <c r="R484" s="63">
        <v>11</v>
      </c>
      <c r="S484" s="63">
        <v>11</v>
      </c>
      <c r="T484" s="63">
        <v>13</v>
      </c>
      <c r="U484" s="63">
        <v>15</v>
      </c>
      <c r="V484" s="63">
        <v>14</v>
      </c>
      <c r="W484" s="63">
        <v>12</v>
      </c>
      <c r="X484" s="63">
        <v>10</v>
      </c>
      <c r="Y484" s="63">
        <v>13</v>
      </c>
      <c r="Z484" s="63">
        <v>20</v>
      </c>
      <c r="AA484" s="63">
        <v>17</v>
      </c>
      <c r="AB484" s="63">
        <v>19</v>
      </c>
    </row>
    <row r="485" spans="1:28" x14ac:dyDescent="0.2">
      <c r="A485" s="62">
        <v>39</v>
      </c>
      <c r="B485" s="62" t="s">
        <v>363</v>
      </c>
      <c r="C485" s="62">
        <v>21</v>
      </c>
      <c r="D485" s="64" t="s">
        <v>320</v>
      </c>
      <c r="E485" s="65"/>
      <c r="F485" s="65"/>
      <c r="G485" s="65"/>
      <c r="H485" s="62"/>
      <c r="I485" s="63">
        <v>14</v>
      </c>
      <c r="J485" s="63">
        <v>16</v>
      </c>
      <c r="K485" s="62"/>
      <c r="L485" s="63">
        <v>25</v>
      </c>
      <c r="M485" s="63">
        <v>23</v>
      </c>
      <c r="N485" s="63">
        <v>24</v>
      </c>
      <c r="O485" s="63">
        <v>23</v>
      </c>
      <c r="P485" s="63">
        <v>25</v>
      </c>
      <c r="Q485" s="63">
        <v>23</v>
      </c>
      <c r="R485" s="63">
        <v>26</v>
      </c>
      <c r="S485" s="63">
        <v>25</v>
      </c>
      <c r="T485" s="63">
        <v>24</v>
      </c>
      <c r="U485" s="63">
        <v>24</v>
      </c>
      <c r="V485" s="63">
        <v>17</v>
      </c>
      <c r="W485" s="63">
        <v>18</v>
      </c>
      <c r="X485" s="63">
        <v>15</v>
      </c>
      <c r="Y485" s="63">
        <v>19</v>
      </c>
      <c r="Z485" s="63">
        <v>30</v>
      </c>
      <c r="AA485" s="63">
        <v>38</v>
      </c>
      <c r="AB485" s="63">
        <v>71</v>
      </c>
    </row>
    <row r="486" spans="1:28" x14ac:dyDescent="0.2">
      <c r="A486" s="62">
        <v>39</v>
      </c>
      <c r="B486" s="62" t="s">
        <v>363</v>
      </c>
      <c r="C486" s="62">
        <v>22</v>
      </c>
      <c r="D486" s="62" t="s">
        <v>321</v>
      </c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3">
        <v>0</v>
      </c>
      <c r="W486" s="62"/>
      <c r="X486" s="63">
        <v>0</v>
      </c>
      <c r="Y486" s="63">
        <v>7</v>
      </c>
      <c r="Z486" s="62"/>
      <c r="AA486" s="62"/>
      <c r="AB486" s="62"/>
    </row>
    <row r="487" spans="1:28" x14ac:dyDescent="0.2">
      <c r="A487" s="62">
        <v>39</v>
      </c>
      <c r="B487" s="62" t="s">
        <v>363</v>
      </c>
      <c r="C487" s="62">
        <v>23</v>
      </c>
      <c r="D487" s="62" t="s">
        <v>322</v>
      </c>
      <c r="E487" s="63">
        <v>1151</v>
      </c>
      <c r="F487" s="63">
        <v>1236</v>
      </c>
      <c r="G487" s="63">
        <v>1234</v>
      </c>
      <c r="H487" s="63">
        <v>1261</v>
      </c>
      <c r="I487" s="63">
        <v>1275</v>
      </c>
      <c r="J487" s="63">
        <v>1319</v>
      </c>
      <c r="K487" s="63">
        <v>1261</v>
      </c>
      <c r="L487" s="63">
        <v>1146</v>
      </c>
      <c r="M487" s="63">
        <v>933</v>
      </c>
      <c r="N487" s="63">
        <v>837</v>
      </c>
      <c r="O487" s="63">
        <v>832</v>
      </c>
      <c r="P487" s="63">
        <v>861</v>
      </c>
      <c r="Q487" s="63">
        <v>1085</v>
      </c>
      <c r="R487" s="63">
        <v>1134</v>
      </c>
      <c r="S487" s="63">
        <v>1108</v>
      </c>
      <c r="T487" s="63">
        <v>1145</v>
      </c>
      <c r="U487" s="63">
        <v>1164</v>
      </c>
      <c r="V487" s="63">
        <v>1253</v>
      </c>
      <c r="W487" s="63">
        <v>1313</v>
      </c>
      <c r="X487" s="63">
        <v>1290</v>
      </c>
      <c r="Y487" s="63">
        <v>1322</v>
      </c>
      <c r="Z487" s="63">
        <v>1398</v>
      </c>
      <c r="AA487" s="63">
        <v>1464</v>
      </c>
      <c r="AB487" s="63">
        <v>1523</v>
      </c>
    </row>
    <row r="488" spans="1:28" x14ac:dyDescent="0.2">
      <c r="A488" s="62">
        <v>39</v>
      </c>
      <c r="B488" s="62" t="s">
        <v>363</v>
      </c>
      <c r="C488" s="62">
        <v>3</v>
      </c>
      <c r="D488" s="62" t="s">
        <v>323</v>
      </c>
      <c r="E488" s="63">
        <v>915</v>
      </c>
      <c r="F488" s="63">
        <v>956</v>
      </c>
      <c r="G488" s="63">
        <v>942</v>
      </c>
      <c r="H488" s="63">
        <v>929</v>
      </c>
      <c r="I488" s="63">
        <v>930</v>
      </c>
      <c r="J488" s="63">
        <v>963</v>
      </c>
      <c r="K488" s="63">
        <v>985</v>
      </c>
      <c r="L488" s="63">
        <v>1000</v>
      </c>
      <c r="M488" s="63">
        <v>997</v>
      </c>
      <c r="N488" s="63">
        <v>957</v>
      </c>
      <c r="O488" s="63">
        <v>928</v>
      </c>
      <c r="P488" s="63">
        <v>904</v>
      </c>
      <c r="Q488" s="63">
        <v>890</v>
      </c>
      <c r="R488" s="63">
        <v>874</v>
      </c>
      <c r="S488" s="63">
        <v>870</v>
      </c>
      <c r="T488" s="63">
        <v>888</v>
      </c>
      <c r="U488" s="63">
        <v>889</v>
      </c>
      <c r="V488" s="63">
        <v>928</v>
      </c>
      <c r="W488" s="63">
        <v>972</v>
      </c>
      <c r="X488" s="63">
        <v>945</v>
      </c>
      <c r="Y488" s="63">
        <v>959</v>
      </c>
      <c r="Z488" s="63">
        <v>995</v>
      </c>
      <c r="AA488" s="63">
        <v>1059</v>
      </c>
      <c r="AB488" s="63">
        <v>1103</v>
      </c>
    </row>
    <row r="489" spans="1:28" x14ac:dyDescent="0.2">
      <c r="A489" s="62">
        <v>39</v>
      </c>
      <c r="B489" s="62" t="s">
        <v>363</v>
      </c>
      <c r="C489" s="62" t="s">
        <v>324</v>
      </c>
      <c r="D489" s="62" t="s">
        <v>325</v>
      </c>
      <c r="E489" s="63">
        <v>122</v>
      </c>
      <c r="F489" s="63">
        <v>139</v>
      </c>
      <c r="G489" s="63">
        <v>188</v>
      </c>
      <c r="H489" s="63">
        <v>197</v>
      </c>
      <c r="I489" s="63">
        <v>201</v>
      </c>
      <c r="J489" s="63">
        <v>173</v>
      </c>
      <c r="K489" s="63">
        <v>182</v>
      </c>
      <c r="L489" s="63">
        <v>203</v>
      </c>
      <c r="M489" s="63">
        <v>146</v>
      </c>
      <c r="N489" s="63">
        <v>145</v>
      </c>
      <c r="O489" s="63">
        <v>171</v>
      </c>
      <c r="P489" s="63">
        <v>164</v>
      </c>
      <c r="Q489" s="63">
        <v>174</v>
      </c>
      <c r="R489" s="63">
        <v>177</v>
      </c>
      <c r="S489" s="63">
        <v>176</v>
      </c>
      <c r="T489" s="63">
        <v>180</v>
      </c>
      <c r="U489" s="63">
        <v>195</v>
      </c>
      <c r="V489" s="63">
        <v>196</v>
      </c>
      <c r="W489" s="63">
        <v>194</v>
      </c>
      <c r="X489" s="63">
        <v>181</v>
      </c>
      <c r="Y489" s="63">
        <v>187</v>
      </c>
      <c r="Z489" s="63">
        <v>197</v>
      </c>
      <c r="AA489" s="63">
        <v>195</v>
      </c>
      <c r="AB489" s="63">
        <v>200</v>
      </c>
    </row>
    <row r="490" spans="1:28" x14ac:dyDescent="0.2">
      <c r="A490" s="62">
        <v>39</v>
      </c>
      <c r="B490" s="62" t="s">
        <v>363</v>
      </c>
      <c r="C490" s="62">
        <v>42</v>
      </c>
      <c r="D490" s="62" t="s">
        <v>326</v>
      </c>
      <c r="E490" s="63">
        <v>131</v>
      </c>
      <c r="F490" s="63">
        <v>121</v>
      </c>
      <c r="G490" s="63">
        <v>142</v>
      </c>
      <c r="H490" s="63">
        <v>158</v>
      </c>
      <c r="I490" s="63">
        <v>185</v>
      </c>
      <c r="J490" s="63">
        <v>216</v>
      </c>
      <c r="K490" s="63">
        <v>234</v>
      </c>
      <c r="L490" s="63">
        <v>129</v>
      </c>
      <c r="M490" s="63">
        <v>110</v>
      </c>
      <c r="N490" s="63">
        <v>107</v>
      </c>
      <c r="O490" s="63">
        <v>102</v>
      </c>
      <c r="P490" s="63">
        <v>103</v>
      </c>
      <c r="Q490" s="63">
        <v>94</v>
      </c>
      <c r="R490" s="63">
        <v>101</v>
      </c>
      <c r="S490" s="63">
        <v>138</v>
      </c>
      <c r="T490" s="63">
        <v>145</v>
      </c>
      <c r="U490" s="63">
        <v>146</v>
      </c>
      <c r="V490" s="63">
        <v>153</v>
      </c>
      <c r="W490" s="63">
        <v>158</v>
      </c>
      <c r="X490" s="63">
        <v>167</v>
      </c>
      <c r="Y490" s="63">
        <v>218</v>
      </c>
      <c r="Z490" s="63">
        <v>259</v>
      </c>
      <c r="AA490" s="63">
        <v>259</v>
      </c>
      <c r="AB490" s="63">
        <v>277</v>
      </c>
    </row>
    <row r="491" spans="1:28" x14ac:dyDescent="0.2">
      <c r="A491" s="62">
        <v>39</v>
      </c>
      <c r="B491" s="62" t="s">
        <v>363</v>
      </c>
      <c r="C491" s="62" t="s">
        <v>327</v>
      </c>
      <c r="D491" s="62" t="s">
        <v>328</v>
      </c>
      <c r="E491" s="63">
        <v>503</v>
      </c>
      <c r="F491" s="63">
        <v>529</v>
      </c>
      <c r="G491" s="63">
        <v>493</v>
      </c>
      <c r="H491" s="63">
        <v>523</v>
      </c>
      <c r="I491" s="63">
        <v>563</v>
      </c>
      <c r="J491" s="63">
        <v>521</v>
      </c>
      <c r="K491" s="63">
        <v>540</v>
      </c>
      <c r="L491" s="63">
        <v>494</v>
      </c>
      <c r="M491" s="63">
        <v>596</v>
      </c>
      <c r="N491" s="63">
        <v>638</v>
      </c>
      <c r="O491" s="63">
        <v>651</v>
      </c>
      <c r="P491" s="63">
        <v>665</v>
      </c>
      <c r="Q491" s="63">
        <v>673</v>
      </c>
      <c r="R491" s="63">
        <v>704</v>
      </c>
      <c r="S491" s="63">
        <v>740</v>
      </c>
      <c r="T491" s="63">
        <v>740</v>
      </c>
      <c r="U491" s="63">
        <v>754</v>
      </c>
      <c r="V491" s="63">
        <v>770</v>
      </c>
      <c r="W491" s="63">
        <v>744</v>
      </c>
      <c r="X491" s="63">
        <v>804</v>
      </c>
      <c r="Y491" s="63">
        <v>851</v>
      </c>
      <c r="Z491" s="63">
        <v>820</v>
      </c>
      <c r="AA491" s="63">
        <v>854</v>
      </c>
      <c r="AB491" s="63">
        <v>897</v>
      </c>
    </row>
    <row r="492" spans="1:28" x14ac:dyDescent="0.2">
      <c r="A492" s="62">
        <v>39</v>
      </c>
      <c r="B492" s="62" t="s">
        <v>363</v>
      </c>
      <c r="C492" s="62" t="s">
        <v>329</v>
      </c>
      <c r="D492" s="62" t="s">
        <v>330</v>
      </c>
      <c r="E492" s="63">
        <v>176</v>
      </c>
      <c r="F492" s="63">
        <v>173</v>
      </c>
      <c r="G492" s="63">
        <v>147</v>
      </c>
      <c r="H492" s="63">
        <v>99</v>
      </c>
      <c r="I492" s="63">
        <v>92</v>
      </c>
      <c r="J492" s="63">
        <v>109</v>
      </c>
      <c r="K492" s="63">
        <v>133</v>
      </c>
      <c r="L492" s="63">
        <v>104</v>
      </c>
      <c r="M492" s="63">
        <v>111</v>
      </c>
      <c r="N492" s="63">
        <v>116</v>
      </c>
      <c r="O492" s="63">
        <v>105</v>
      </c>
      <c r="P492" s="63">
        <v>95</v>
      </c>
      <c r="Q492" s="63">
        <v>99</v>
      </c>
      <c r="R492" s="63">
        <v>113</v>
      </c>
      <c r="S492" s="63">
        <v>129</v>
      </c>
      <c r="T492" s="63">
        <v>140</v>
      </c>
      <c r="U492" s="63">
        <v>151</v>
      </c>
      <c r="V492" s="63">
        <v>179</v>
      </c>
      <c r="W492" s="63">
        <v>199</v>
      </c>
      <c r="X492" s="63">
        <v>209</v>
      </c>
      <c r="Y492" s="63">
        <v>225</v>
      </c>
      <c r="Z492" s="63">
        <v>250</v>
      </c>
      <c r="AA492" s="63">
        <v>218</v>
      </c>
      <c r="AB492" s="63">
        <v>194</v>
      </c>
    </row>
    <row r="493" spans="1:28" x14ac:dyDescent="0.2">
      <c r="A493" s="62">
        <v>39</v>
      </c>
      <c r="B493" s="62" t="s">
        <v>363</v>
      </c>
      <c r="C493" s="62">
        <v>51</v>
      </c>
      <c r="D493" s="62" t="s">
        <v>331</v>
      </c>
      <c r="E493" s="63">
        <v>53</v>
      </c>
      <c r="F493" s="63">
        <v>63</v>
      </c>
      <c r="G493" s="63">
        <v>69</v>
      </c>
      <c r="H493" s="63">
        <v>70</v>
      </c>
      <c r="I493" s="63">
        <v>59</v>
      </c>
      <c r="J493" s="63">
        <v>69</v>
      </c>
      <c r="K493" s="63">
        <v>73</v>
      </c>
      <c r="L493" s="63">
        <v>63</v>
      </c>
      <c r="M493" s="63">
        <v>65</v>
      </c>
      <c r="N493" s="63">
        <v>48</v>
      </c>
      <c r="O493" s="63">
        <v>49</v>
      </c>
      <c r="P493" s="63">
        <v>54</v>
      </c>
      <c r="Q493" s="63">
        <v>47</v>
      </c>
      <c r="R493" s="63">
        <v>45</v>
      </c>
      <c r="S493" s="63">
        <v>45</v>
      </c>
      <c r="T493" s="63">
        <v>52</v>
      </c>
      <c r="U493" s="63">
        <v>50</v>
      </c>
      <c r="V493" s="63">
        <v>66</v>
      </c>
      <c r="W493" s="63">
        <v>72</v>
      </c>
      <c r="X493" s="63">
        <v>69</v>
      </c>
      <c r="Y493" s="63">
        <v>62</v>
      </c>
      <c r="Z493" s="63">
        <v>95</v>
      </c>
      <c r="AA493" s="63">
        <v>97</v>
      </c>
      <c r="AB493" s="63">
        <v>108</v>
      </c>
    </row>
    <row r="494" spans="1:28" x14ac:dyDescent="0.2">
      <c r="A494" s="62">
        <v>39</v>
      </c>
      <c r="B494" s="62" t="s">
        <v>363</v>
      </c>
      <c r="C494" s="62">
        <v>52</v>
      </c>
      <c r="D494" s="62" t="s">
        <v>332</v>
      </c>
      <c r="E494" s="63">
        <v>166</v>
      </c>
      <c r="F494" s="63">
        <v>146</v>
      </c>
      <c r="G494" s="63">
        <v>190</v>
      </c>
      <c r="H494" s="63">
        <v>182</v>
      </c>
      <c r="I494" s="63">
        <v>193</v>
      </c>
      <c r="J494" s="63">
        <v>201</v>
      </c>
      <c r="K494" s="63">
        <v>175</v>
      </c>
      <c r="L494" s="63">
        <v>159</v>
      </c>
      <c r="M494" s="63">
        <v>162</v>
      </c>
      <c r="N494" s="63">
        <v>150</v>
      </c>
      <c r="O494" s="63">
        <v>158</v>
      </c>
      <c r="P494" s="63">
        <v>153</v>
      </c>
      <c r="Q494" s="63">
        <v>162</v>
      </c>
      <c r="R494" s="63">
        <v>154</v>
      </c>
      <c r="S494" s="63">
        <v>151</v>
      </c>
      <c r="T494" s="63">
        <v>131</v>
      </c>
      <c r="U494" s="63">
        <v>119</v>
      </c>
      <c r="V494" s="63">
        <v>131</v>
      </c>
      <c r="W494" s="63">
        <v>141</v>
      </c>
      <c r="X494" s="63">
        <v>147</v>
      </c>
      <c r="Y494" s="63">
        <v>162</v>
      </c>
      <c r="Z494" s="63">
        <v>188</v>
      </c>
      <c r="AA494" s="63">
        <v>195</v>
      </c>
      <c r="AB494" s="63">
        <v>220</v>
      </c>
    </row>
    <row r="495" spans="1:28" x14ac:dyDescent="0.2">
      <c r="A495" s="62">
        <v>39</v>
      </c>
      <c r="B495" s="62" t="s">
        <v>363</v>
      </c>
      <c r="C495" s="62">
        <v>53</v>
      </c>
      <c r="D495" s="62" t="s">
        <v>333</v>
      </c>
      <c r="E495" s="63">
        <v>172</v>
      </c>
      <c r="F495" s="63">
        <v>203</v>
      </c>
      <c r="G495" s="63">
        <v>206</v>
      </c>
      <c r="H495" s="63">
        <v>245</v>
      </c>
      <c r="I495" s="63">
        <v>268</v>
      </c>
      <c r="J495" s="63">
        <v>303</v>
      </c>
      <c r="K495" s="63">
        <v>273</v>
      </c>
      <c r="L495" s="63">
        <v>260</v>
      </c>
      <c r="M495" s="63">
        <v>268</v>
      </c>
      <c r="N495" s="63">
        <v>275</v>
      </c>
      <c r="O495" s="63">
        <v>266</v>
      </c>
      <c r="P495" s="63">
        <v>269</v>
      </c>
      <c r="Q495" s="63">
        <v>274</v>
      </c>
      <c r="R495" s="63">
        <v>273</v>
      </c>
      <c r="S495" s="63">
        <v>265</v>
      </c>
      <c r="T495" s="63">
        <v>280</v>
      </c>
      <c r="U495" s="63">
        <v>301</v>
      </c>
      <c r="V495" s="63">
        <v>297</v>
      </c>
      <c r="W495" s="63">
        <v>316</v>
      </c>
      <c r="X495" s="63">
        <v>334</v>
      </c>
      <c r="Y495" s="63">
        <v>368</v>
      </c>
      <c r="Z495" s="63">
        <v>382</v>
      </c>
      <c r="AA495" s="63">
        <v>400</v>
      </c>
      <c r="AB495" s="63">
        <v>424</v>
      </c>
    </row>
    <row r="496" spans="1:28" x14ac:dyDescent="0.2">
      <c r="A496" s="62">
        <v>39</v>
      </c>
      <c r="B496" s="62" t="s">
        <v>363</v>
      </c>
      <c r="C496" s="62">
        <v>54</v>
      </c>
      <c r="D496" s="62" t="s">
        <v>334</v>
      </c>
      <c r="E496" s="63">
        <v>349</v>
      </c>
      <c r="F496" s="63">
        <v>378</v>
      </c>
      <c r="G496" s="63">
        <v>425</v>
      </c>
      <c r="H496" s="63">
        <v>450</v>
      </c>
      <c r="I496" s="63">
        <v>483</v>
      </c>
      <c r="J496" s="63">
        <v>541</v>
      </c>
      <c r="K496" s="63">
        <v>538</v>
      </c>
      <c r="L496" s="63">
        <v>544</v>
      </c>
      <c r="M496" s="63">
        <v>519</v>
      </c>
      <c r="N496" s="63">
        <v>561</v>
      </c>
      <c r="O496" s="63">
        <v>597</v>
      </c>
      <c r="P496" s="63">
        <v>601</v>
      </c>
      <c r="Q496" s="63">
        <v>624</v>
      </c>
      <c r="R496" s="63">
        <v>625</v>
      </c>
      <c r="S496" s="63">
        <v>652</v>
      </c>
      <c r="T496" s="63">
        <v>679</v>
      </c>
      <c r="U496" s="63">
        <v>677</v>
      </c>
      <c r="V496" s="63">
        <v>712</v>
      </c>
      <c r="W496" s="63">
        <v>723</v>
      </c>
      <c r="X496" s="63">
        <v>742</v>
      </c>
      <c r="Y496" s="63">
        <v>761</v>
      </c>
      <c r="Z496" s="63">
        <v>812</v>
      </c>
      <c r="AA496" s="63">
        <v>899</v>
      </c>
      <c r="AB496" s="63">
        <v>918</v>
      </c>
    </row>
    <row r="497" spans="1:28" x14ac:dyDescent="0.2">
      <c r="A497" s="62">
        <v>39</v>
      </c>
      <c r="B497" s="62" t="s">
        <v>363</v>
      </c>
      <c r="C497" s="62">
        <v>55</v>
      </c>
      <c r="D497" s="62" t="s">
        <v>335</v>
      </c>
      <c r="E497" s="63">
        <v>0</v>
      </c>
      <c r="F497" s="63">
        <v>0</v>
      </c>
      <c r="G497" s="63">
        <v>1</v>
      </c>
      <c r="H497" s="62"/>
      <c r="I497" s="62"/>
      <c r="J497" s="62"/>
      <c r="K497" s="62"/>
      <c r="L497" s="63">
        <v>7</v>
      </c>
      <c r="M497" s="63">
        <v>8</v>
      </c>
      <c r="N497" s="63">
        <v>7</v>
      </c>
      <c r="O497" s="62"/>
      <c r="P497" s="62"/>
      <c r="Q497" s="63">
        <v>0</v>
      </c>
      <c r="R497" s="62"/>
      <c r="S497" s="62"/>
      <c r="T497" s="63">
        <v>1</v>
      </c>
      <c r="U497" s="63">
        <v>5</v>
      </c>
      <c r="V497" s="63">
        <v>4</v>
      </c>
      <c r="W497" s="62"/>
      <c r="X497" s="63">
        <v>4</v>
      </c>
      <c r="Y497" s="63">
        <v>7</v>
      </c>
      <c r="Z497" s="62"/>
      <c r="AA497" s="63">
        <v>7</v>
      </c>
      <c r="AB497" s="63">
        <v>26</v>
      </c>
    </row>
    <row r="498" spans="1:28" x14ac:dyDescent="0.2">
      <c r="A498" s="62">
        <v>39</v>
      </c>
      <c r="B498" s="62" t="s">
        <v>363</v>
      </c>
      <c r="C498" s="62">
        <v>56</v>
      </c>
      <c r="D498" s="62" t="s">
        <v>336</v>
      </c>
      <c r="E498" s="63">
        <v>259</v>
      </c>
      <c r="F498" s="63">
        <v>310</v>
      </c>
      <c r="G498" s="63">
        <v>281</v>
      </c>
      <c r="H498" s="63">
        <v>299</v>
      </c>
      <c r="I498" s="63">
        <v>311</v>
      </c>
      <c r="J498" s="63">
        <v>290</v>
      </c>
      <c r="K498" s="63">
        <v>369</v>
      </c>
      <c r="L498" s="63">
        <v>311</v>
      </c>
      <c r="M498" s="63">
        <v>266</v>
      </c>
      <c r="N498" s="63">
        <v>261</v>
      </c>
      <c r="O498" s="63">
        <v>248</v>
      </c>
      <c r="P498" s="63">
        <v>317</v>
      </c>
      <c r="Q498" s="63">
        <v>399</v>
      </c>
      <c r="R498" s="63">
        <v>343</v>
      </c>
      <c r="S498" s="63">
        <v>389</v>
      </c>
      <c r="T498" s="63">
        <v>411</v>
      </c>
      <c r="U498" s="63">
        <v>432</v>
      </c>
      <c r="V498" s="63">
        <v>485</v>
      </c>
      <c r="W498" s="63">
        <v>450</v>
      </c>
      <c r="X498" s="63">
        <v>438</v>
      </c>
      <c r="Y498" s="63">
        <v>482</v>
      </c>
      <c r="Z498" s="63">
        <v>518</v>
      </c>
      <c r="AA498" s="63">
        <v>556</v>
      </c>
      <c r="AB498" s="63">
        <v>612</v>
      </c>
    </row>
    <row r="499" spans="1:28" x14ac:dyDescent="0.2">
      <c r="A499" s="62">
        <v>39</v>
      </c>
      <c r="B499" s="62" t="s">
        <v>363</v>
      </c>
      <c r="C499" s="62">
        <v>61</v>
      </c>
      <c r="D499" s="62" t="s">
        <v>337</v>
      </c>
      <c r="E499" s="63">
        <v>26</v>
      </c>
      <c r="F499" s="63">
        <v>31</v>
      </c>
      <c r="G499" s="63">
        <v>37</v>
      </c>
      <c r="H499" s="63">
        <v>33</v>
      </c>
      <c r="I499" s="63">
        <v>35</v>
      </c>
      <c r="J499" s="63">
        <v>54</v>
      </c>
      <c r="K499" s="63">
        <v>59</v>
      </c>
      <c r="L499" s="63">
        <v>54</v>
      </c>
      <c r="M499" s="63">
        <v>66</v>
      </c>
      <c r="N499" s="63">
        <v>44</v>
      </c>
      <c r="O499" s="63">
        <v>64</v>
      </c>
      <c r="P499" s="63">
        <v>63</v>
      </c>
      <c r="Q499" s="63">
        <v>53</v>
      </c>
      <c r="R499" s="63">
        <v>64</v>
      </c>
      <c r="S499" s="63">
        <v>63</v>
      </c>
      <c r="T499" s="63">
        <v>78</v>
      </c>
      <c r="U499" s="63">
        <v>76</v>
      </c>
      <c r="V499" s="63">
        <v>89</v>
      </c>
      <c r="W499" s="63">
        <v>90</v>
      </c>
      <c r="X499" s="63">
        <v>99</v>
      </c>
      <c r="Y499" s="63">
        <v>119</v>
      </c>
      <c r="Z499" s="63">
        <v>110</v>
      </c>
      <c r="AA499" s="63">
        <v>181</v>
      </c>
      <c r="AB499" s="63">
        <v>209</v>
      </c>
    </row>
    <row r="500" spans="1:28" x14ac:dyDescent="0.2">
      <c r="A500" s="62">
        <v>39</v>
      </c>
      <c r="B500" s="62" t="s">
        <v>363</v>
      </c>
      <c r="C500" s="62">
        <v>62</v>
      </c>
      <c r="D500" s="62" t="s">
        <v>338</v>
      </c>
      <c r="E500" s="63">
        <v>166</v>
      </c>
      <c r="F500" s="63">
        <v>172</v>
      </c>
      <c r="G500" s="63">
        <v>212</v>
      </c>
      <c r="H500" s="63">
        <v>171</v>
      </c>
      <c r="I500" s="63">
        <v>179</v>
      </c>
      <c r="J500" s="63">
        <v>181</v>
      </c>
      <c r="K500" s="63">
        <v>184</v>
      </c>
      <c r="L500" s="63">
        <v>175</v>
      </c>
      <c r="M500" s="63">
        <v>188</v>
      </c>
      <c r="N500" s="63">
        <v>200</v>
      </c>
      <c r="O500" s="63">
        <v>206</v>
      </c>
      <c r="P500" s="63">
        <v>195</v>
      </c>
      <c r="Q500" s="63">
        <v>177</v>
      </c>
      <c r="R500" s="63">
        <v>195</v>
      </c>
      <c r="S500" s="63">
        <v>217</v>
      </c>
      <c r="T500" s="63">
        <v>177</v>
      </c>
      <c r="U500" s="63">
        <v>189</v>
      </c>
      <c r="V500" s="63">
        <v>205</v>
      </c>
      <c r="W500" s="63">
        <v>217</v>
      </c>
      <c r="X500" s="63">
        <v>207</v>
      </c>
      <c r="Y500" s="63">
        <v>225</v>
      </c>
      <c r="Z500" s="63">
        <v>271</v>
      </c>
      <c r="AA500" s="63">
        <v>293</v>
      </c>
      <c r="AB500" s="63">
        <v>329</v>
      </c>
    </row>
    <row r="501" spans="1:28" x14ac:dyDescent="0.2">
      <c r="A501" s="62">
        <v>39</v>
      </c>
      <c r="B501" s="62" t="s">
        <v>363</v>
      </c>
      <c r="C501" s="62">
        <v>71</v>
      </c>
      <c r="D501" s="62" t="s">
        <v>339</v>
      </c>
      <c r="E501" s="63">
        <v>139</v>
      </c>
      <c r="F501" s="63">
        <v>145</v>
      </c>
      <c r="G501" s="63">
        <v>147</v>
      </c>
      <c r="H501" s="63">
        <v>131</v>
      </c>
      <c r="I501" s="63">
        <v>177</v>
      </c>
      <c r="J501" s="63">
        <v>215</v>
      </c>
      <c r="K501" s="63">
        <v>217</v>
      </c>
      <c r="L501" s="63">
        <v>225</v>
      </c>
      <c r="M501" s="63">
        <v>212</v>
      </c>
      <c r="N501" s="63">
        <v>223</v>
      </c>
      <c r="O501" s="63">
        <v>190</v>
      </c>
      <c r="P501" s="63">
        <v>192</v>
      </c>
      <c r="Q501" s="63">
        <v>195</v>
      </c>
      <c r="R501" s="63">
        <v>167</v>
      </c>
      <c r="S501" s="63">
        <v>181</v>
      </c>
      <c r="T501" s="63">
        <v>198</v>
      </c>
      <c r="U501" s="63">
        <v>216</v>
      </c>
      <c r="V501" s="63">
        <v>208</v>
      </c>
      <c r="W501" s="63">
        <v>231</v>
      </c>
      <c r="X501" s="63">
        <v>200</v>
      </c>
      <c r="Y501" s="63">
        <v>216</v>
      </c>
      <c r="Z501" s="63">
        <v>238</v>
      </c>
      <c r="AA501" s="63">
        <v>260</v>
      </c>
      <c r="AB501" s="63">
        <v>276</v>
      </c>
    </row>
    <row r="502" spans="1:28" x14ac:dyDescent="0.2">
      <c r="A502" s="62">
        <v>39</v>
      </c>
      <c r="B502" s="62" t="s">
        <v>363</v>
      </c>
      <c r="C502" s="62">
        <v>72</v>
      </c>
      <c r="D502" s="62" t="s">
        <v>340</v>
      </c>
      <c r="E502" s="63">
        <v>144</v>
      </c>
      <c r="F502" s="63">
        <v>233</v>
      </c>
      <c r="G502" s="63">
        <v>263</v>
      </c>
      <c r="H502" s="63">
        <v>312</v>
      </c>
      <c r="I502" s="63">
        <v>348</v>
      </c>
      <c r="J502" s="63">
        <v>374</v>
      </c>
      <c r="K502" s="63">
        <v>360</v>
      </c>
      <c r="L502" s="63">
        <v>337</v>
      </c>
      <c r="M502" s="63">
        <v>329</v>
      </c>
      <c r="N502" s="63">
        <v>306</v>
      </c>
      <c r="O502" s="63">
        <v>259</v>
      </c>
      <c r="P502" s="63">
        <v>257</v>
      </c>
      <c r="Q502" s="63">
        <v>274</v>
      </c>
      <c r="R502" s="63">
        <v>259</v>
      </c>
      <c r="S502" s="63">
        <v>246</v>
      </c>
      <c r="T502" s="63">
        <v>273</v>
      </c>
      <c r="U502" s="63">
        <v>249</v>
      </c>
      <c r="V502" s="63">
        <v>327</v>
      </c>
      <c r="W502" s="63">
        <v>266</v>
      </c>
      <c r="X502" s="63">
        <v>204</v>
      </c>
      <c r="Y502" s="63">
        <v>250</v>
      </c>
      <c r="Z502" s="63">
        <v>349</v>
      </c>
      <c r="AA502" s="63">
        <v>472</v>
      </c>
      <c r="AB502" s="63">
        <v>460</v>
      </c>
    </row>
    <row r="503" spans="1:28" x14ac:dyDescent="0.2">
      <c r="A503" s="62">
        <v>39</v>
      </c>
      <c r="B503" s="62" t="s">
        <v>363</v>
      </c>
      <c r="C503" s="62">
        <v>81</v>
      </c>
      <c r="D503" s="62" t="s">
        <v>341</v>
      </c>
      <c r="E503" s="63">
        <v>304</v>
      </c>
      <c r="F503" s="63">
        <v>357</v>
      </c>
      <c r="G503" s="63">
        <v>358</v>
      </c>
      <c r="H503" s="63">
        <v>373</v>
      </c>
      <c r="I503" s="63">
        <v>367</v>
      </c>
      <c r="J503" s="63">
        <v>410</v>
      </c>
      <c r="K503" s="63">
        <v>417</v>
      </c>
      <c r="L503" s="63">
        <v>396</v>
      </c>
      <c r="M503" s="63">
        <v>372</v>
      </c>
      <c r="N503" s="63">
        <v>398</v>
      </c>
      <c r="O503" s="63">
        <v>407</v>
      </c>
      <c r="P503" s="63">
        <v>418</v>
      </c>
      <c r="Q503" s="63">
        <v>464</v>
      </c>
      <c r="R503" s="63">
        <v>478</v>
      </c>
      <c r="S503" s="63">
        <v>481</v>
      </c>
      <c r="T503" s="63">
        <v>495</v>
      </c>
      <c r="U503" s="63">
        <v>524</v>
      </c>
      <c r="V503" s="63">
        <v>451</v>
      </c>
      <c r="W503" s="63">
        <v>469</v>
      </c>
      <c r="X503" s="63">
        <v>465</v>
      </c>
      <c r="Y503" s="63">
        <v>483</v>
      </c>
      <c r="Z503" s="63">
        <v>495</v>
      </c>
      <c r="AA503" s="63">
        <v>537</v>
      </c>
      <c r="AB503" s="63">
        <v>380</v>
      </c>
    </row>
    <row r="504" spans="1:28" x14ac:dyDescent="0.2">
      <c r="A504" s="62">
        <v>39</v>
      </c>
      <c r="B504" s="62" t="s">
        <v>363</v>
      </c>
      <c r="C504" s="62">
        <v>99</v>
      </c>
      <c r="D504" s="62" t="s">
        <v>342</v>
      </c>
      <c r="E504" s="63">
        <v>0</v>
      </c>
      <c r="F504" s="62"/>
      <c r="G504" s="62"/>
      <c r="H504" s="62"/>
      <c r="I504" s="62"/>
      <c r="J504" s="62"/>
      <c r="K504" s="62"/>
      <c r="L504" s="63">
        <v>0</v>
      </c>
      <c r="M504" s="63">
        <v>0</v>
      </c>
      <c r="N504" s="63">
        <v>0</v>
      </c>
      <c r="O504" s="62"/>
      <c r="P504" s="62"/>
      <c r="Q504" s="63">
        <v>0</v>
      </c>
      <c r="R504" s="63">
        <v>0</v>
      </c>
      <c r="S504" s="62"/>
      <c r="T504" s="62"/>
      <c r="U504" s="62"/>
      <c r="V504" s="63">
        <v>0</v>
      </c>
      <c r="W504" s="62"/>
      <c r="X504" s="62"/>
      <c r="Y504" s="63">
        <v>0</v>
      </c>
      <c r="Z504" s="62"/>
      <c r="AA504" s="62"/>
      <c r="AB504" s="62"/>
    </row>
    <row r="505" spans="1:28" x14ac:dyDescent="0.2">
      <c r="A505" s="62">
        <v>41</v>
      </c>
      <c r="B505" s="62" t="s">
        <v>364</v>
      </c>
      <c r="C505" s="62">
        <v>1</v>
      </c>
      <c r="D505" s="62" t="s">
        <v>316</v>
      </c>
      <c r="E505" s="63">
        <v>10319</v>
      </c>
      <c r="F505" s="63">
        <v>10257</v>
      </c>
      <c r="G505" s="63">
        <v>10300</v>
      </c>
      <c r="H505" s="63">
        <v>10264</v>
      </c>
      <c r="I505" s="63">
        <v>10608</v>
      </c>
      <c r="J505" s="63">
        <v>10840</v>
      </c>
      <c r="K505" s="63">
        <v>11074</v>
      </c>
      <c r="L505" s="63">
        <v>11330</v>
      </c>
      <c r="M505" s="63">
        <v>11924</v>
      </c>
      <c r="N505" s="63">
        <v>12658</v>
      </c>
      <c r="O505" s="63">
        <v>13332</v>
      </c>
      <c r="P505" s="63">
        <v>13396</v>
      </c>
      <c r="Q505" s="63">
        <v>13017</v>
      </c>
      <c r="R505" s="63">
        <v>12510</v>
      </c>
      <c r="S505" s="63">
        <v>12503</v>
      </c>
      <c r="T505" s="63">
        <v>12548</v>
      </c>
      <c r="U505" s="63">
        <v>12029</v>
      </c>
      <c r="V505" s="63">
        <v>11954</v>
      </c>
      <c r="W505" s="63">
        <v>12092</v>
      </c>
      <c r="X505" s="63">
        <v>12487</v>
      </c>
      <c r="Y505" s="63">
        <v>12441</v>
      </c>
      <c r="Z505" s="63">
        <v>12277</v>
      </c>
      <c r="AA505" s="63">
        <v>12719</v>
      </c>
      <c r="AB505" s="63">
        <v>13746</v>
      </c>
    </row>
    <row r="506" spans="1:28" x14ac:dyDescent="0.2">
      <c r="A506" s="62">
        <v>41</v>
      </c>
      <c r="B506" s="62" t="s">
        <v>364</v>
      </c>
      <c r="C506" s="62">
        <v>10</v>
      </c>
      <c r="D506" s="62" t="s">
        <v>317</v>
      </c>
      <c r="E506" s="63">
        <v>274777</v>
      </c>
      <c r="F506" s="63">
        <v>270995</v>
      </c>
      <c r="G506" s="63">
        <v>270089</v>
      </c>
      <c r="H506" s="63">
        <v>274988</v>
      </c>
      <c r="I506" s="63">
        <v>280831</v>
      </c>
      <c r="J506" s="63">
        <v>288334</v>
      </c>
      <c r="K506" s="63">
        <v>291318</v>
      </c>
      <c r="L506" s="63">
        <v>287826</v>
      </c>
      <c r="M506" s="63">
        <v>277430</v>
      </c>
      <c r="N506" s="63">
        <v>275655</v>
      </c>
      <c r="O506" s="63">
        <v>278717</v>
      </c>
      <c r="P506" s="63">
        <v>281963</v>
      </c>
      <c r="Q506" s="63">
        <v>288254</v>
      </c>
      <c r="R506" s="63">
        <v>295774</v>
      </c>
      <c r="S506" s="63">
        <v>305164</v>
      </c>
      <c r="T506" s="63">
        <v>314698</v>
      </c>
      <c r="U506" s="63">
        <v>323568</v>
      </c>
      <c r="V506" s="63">
        <v>330967</v>
      </c>
      <c r="W506" s="63">
        <v>339604</v>
      </c>
      <c r="X506" s="63">
        <v>332359</v>
      </c>
      <c r="Y506" s="63">
        <v>347292</v>
      </c>
      <c r="Z506" s="63">
        <v>358738</v>
      </c>
      <c r="AA506" s="63">
        <v>372130</v>
      </c>
      <c r="AB506" s="63">
        <v>374604</v>
      </c>
    </row>
    <row r="507" spans="1:28" x14ac:dyDescent="0.2">
      <c r="A507" s="62">
        <v>41</v>
      </c>
      <c r="B507" s="62" t="s">
        <v>364</v>
      </c>
      <c r="C507" s="62">
        <v>11</v>
      </c>
      <c r="D507" s="62" t="s">
        <v>318</v>
      </c>
      <c r="E507" s="63">
        <v>432</v>
      </c>
      <c r="F507" s="63">
        <v>394</v>
      </c>
      <c r="G507" s="63">
        <v>337</v>
      </c>
      <c r="H507" s="63">
        <v>499</v>
      </c>
      <c r="I507" s="63">
        <v>468</v>
      </c>
      <c r="J507" s="63">
        <v>514</v>
      </c>
      <c r="K507" s="63">
        <v>489</v>
      </c>
      <c r="L507" s="63">
        <v>427</v>
      </c>
      <c r="M507" s="63">
        <v>373</v>
      </c>
      <c r="N507" s="63">
        <v>357</v>
      </c>
      <c r="O507" s="63">
        <v>401</v>
      </c>
      <c r="P507" s="63">
        <v>374</v>
      </c>
      <c r="Q507" s="63">
        <v>409</v>
      </c>
      <c r="R507" s="63">
        <v>449</v>
      </c>
      <c r="S507" s="63">
        <v>525</v>
      </c>
      <c r="T507" s="63">
        <v>610</v>
      </c>
      <c r="U507" s="63">
        <v>730</v>
      </c>
      <c r="V507" s="63">
        <v>822</v>
      </c>
      <c r="W507" s="63">
        <v>921</v>
      </c>
      <c r="X507" s="63">
        <v>828</v>
      </c>
      <c r="Y507" s="63">
        <v>774</v>
      </c>
      <c r="Z507" s="63">
        <v>649</v>
      </c>
      <c r="AA507" s="63">
        <v>740</v>
      </c>
      <c r="AB507" s="63">
        <v>735</v>
      </c>
    </row>
    <row r="508" spans="1:28" x14ac:dyDescent="0.2">
      <c r="A508" s="62">
        <v>41</v>
      </c>
      <c r="B508" s="62" t="s">
        <v>364</v>
      </c>
      <c r="C508" s="62">
        <v>2</v>
      </c>
      <c r="D508" s="62" t="s">
        <v>319</v>
      </c>
      <c r="E508" s="63">
        <v>2955</v>
      </c>
      <c r="F508" s="63">
        <v>3055</v>
      </c>
      <c r="G508" s="63">
        <v>3008</v>
      </c>
      <c r="H508" s="63">
        <v>3042</v>
      </c>
      <c r="I508" s="63">
        <v>3154</v>
      </c>
      <c r="J508" s="63">
        <v>3209</v>
      </c>
      <c r="K508" s="63">
        <v>3331</v>
      </c>
      <c r="L508" s="63">
        <v>3613</v>
      </c>
      <c r="M508" s="63">
        <v>3689</v>
      </c>
      <c r="N508" s="63">
        <v>3816</v>
      </c>
      <c r="O508" s="63">
        <v>3965</v>
      </c>
      <c r="P508" s="63">
        <v>5103</v>
      </c>
      <c r="Q508" s="63">
        <v>8273</v>
      </c>
      <c r="R508" s="63">
        <v>8386</v>
      </c>
      <c r="S508" s="63">
        <v>8612</v>
      </c>
      <c r="T508" s="63">
        <v>9120</v>
      </c>
      <c r="U508" s="63">
        <v>9790</v>
      </c>
      <c r="V508" s="63">
        <v>10464</v>
      </c>
      <c r="W508" s="63">
        <v>11165</v>
      </c>
      <c r="X508" s="63">
        <v>11318</v>
      </c>
      <c r="Y508" s="63">
        <v>11711</v>
      </c>
      <c r="Z508" s="63">
        <v>12403</v>
      </c>
      <c r="AA508" s="63">
        <v>12768</v>
      </c>
      <c r="AB508" s="63">
        <v>12836</v>
      </c>
    </row>
    <row r="509" spans="1:28" x14ac:dyDescent="0.2">
      <c r="A509" s="62">
        <v>41</v>
      </c>
      <c r="B509" s="62" t="s">
        <v>364</v>
      </c>
      <c r="C509" s="62">
        <v>21</v>
      </c>
      <c r="D509" s="62" t="s">
        <v>320</v>
      </c>
      <c r="E509" s="63">
        <v>94</v>
      </c>
      <c r="F509" s="63">
        <v>82</v>
      </c>
      <c r="G509" s="62"/>
      <c r="H509" s="63">
        <v>143</v>
      </c>
      <c r="I509" s="63">
        <v>203</v>
      </c>
      <c r="J509" s="63">
        <v>184</v>
      </c>
      <c r="K509" s="63">
        <v>158</v>
      </c>
      <c r="L509" s="63">
        <v>162</v>
      </c>
      <c r="M509" s="63">
        <v>158</v>
      </c>
      <c r="N509" s="63">
        <v>168</v>
      </c>
      <c r="O509" s="63">
        <v>183</v>
      </c>
      <c r="P509" s="63">
        <v>213</v>
      </c>
      <c r="Q509" s="63">
        <v>177</v>
      </c>
      <c r="R509" s="63">
        <v>125</v>
      </c>
      <c r="S509" s="63">
        <v>118</v>
      </c>
      <c r="T509" s="63">
        <v>88</v>
      </c>
      <c r="U509" s="63">
        <v>265</v>
      </c>
      <c r="V509" s="63">
        <v>240</v>
      </c>
      <c r="W509" s="63">
        <v>244</v>
      </c>
      <c r="X509" s="63">
        <v>187</v>
      </c>
      <c r="Y509" s="63">
        <v>75</v>
      </c>
      <c r="Z509" s="63">
        <v>76</v>
      </c>
      <c r="AA509" s="63">
        <v>104</v>
      </c>
      <c r="AB509" s="63">
        <v>106</v>
      </c>
    </row>
    <row r="510" spans="1:28" x14ac:dyDescent="0.2">
      <c r="A510" s="62">
        <v>41</v>
      </c>
      <c r="B510" s="62" t="s">
        <v>364</v>
      </c>
      <c r="C510" s="62">
        <v>22</v>
      </c>
      <c r="D510" s="62" t="s">
        <v>321</v>
      </c>
      <c r="E510" s="63">
        <v>540</v>
      </c>
      <c r="F510" s="63">
        <v>628</v>
      </c>
      <c r="G510" s="63">
        <v>575</v>
      </c>
      <c r="H510" s="63">
        <v>565</v>
      </c>
      <c r="I510" s="63">
        <v>592</v>
      </c>
      <c r="J510" s="63">
        <v>604</v>
      </c>
      <c r="K510" s="63">
        <v>643</v>
      </c>
      <c r="L510" s="63">
        <v>699</v>
      </c>
      <c r="M510" s="63">
        <v>710</v>
      </c>
      <c r="N510" s="63">
        <v>830</v>
      </c>
      <c r="O510" s="63">
        <v>800</v>
      </c>
      <c r="P510" s="63">
        <v>634</v>
      </c>
      <c r="Q510" s="63">
        <v>483</v>
      </c>
      <c r="R510" s="63">
        <v>480</v>
      </c>
      <c r="S510" s="63">
        <v>493</v>
      </c>
      <c r="T510" s="63">
        <v>528</v>
      </c>
      <c r="U510" s="63">
        <v>509</v>
      </c>
      <c r="V510" s="63">
        <v>512</v>
      </c>
      <c r="W510" s="63">
        <v>505</v>
      </c>
      <c r="X510" s="63">
        <v>493</v>
      </c>
      <c r="Y510" s="63">
        <v>456</v>
      </c>
      <c r="Z510" s="63">
        <v>466</v>
      </c>
      <c r="AA510" s="63">
        <v>492</v>
      </c>
      <c r="AB510" s="63">
        <v>480</v>
      </c>
    </row>
    <row r="511" spans="1:28" x14ac:dyDescent="0.2">
      <c r="A511" s="62">
        <v>41</v>
      </c>
      <c r="B511" s="62" t="s">
        <v>364</v>
      </c>
      <c r="C511" s="62">
        <v>23</v>
      </c>
      <c r="D511" s="62" t="s">
        <v>322</v>
      </c>
      <c r="E511" s="63">
        <v>19981</v>
      </c>
      <c r="F511" s="63">
        <v>19280</v>
      </c>
      <c r="G511" s="63">
        <v>19226</v>
      </c>
      <c r="H511" s="63">
        <v>19841</v>
      </c>
      <c r="I511" s="63">
        <v>21056</v>
      </c>
      <c r="J511" s="63">
        <v>21985</v>
      </c>
      <c r="K511" s="63">
        <v>21684</v>
      </c>
      <c r="L511" s="63">
        <v>19975</v>
      </c>
      <c r="M511" s="63">
        <v>17439</v>
      </c>
      <c r="N511" s="63">
        <v>16053</v>
      </c>
      <c r="O511" s="63">
        <v>15614</v>
      </c>
      <c r="P511" s="63">
        <v>16065</v>
      </c>
      <c r="Q511" s="63">
        <v>17052</v>
      </c>
      <c r="R511" s="63">
        <v>18566</v>
      </c>
      <c r="S511" s="63">
        <v>19597</v>
      </c>
      <c r="T511" s="63">
        <v>20581</v>
      </c>
      <c r="U511" s="63">
        <v>22045</v>
      </c>
      <c r="V511" s="63">
        <v>23025</v>
      </c>
      <c r="W511" s="63">
        <v>24005</v>
      </c>
      <c r="X511" s="63">
        <v>24336</v>
      </c>
      <c r="Y511" s="63">
        <v>24302</v>
      </c>
      <c r="Z511" s="63">
        <v>24382</v>
      </c>
      <c r="AA511" s="63">
        <v>23751</v>
      </c>
      <c r="AB511" s="63">
        <v>23656</v>
      </c>
    </row>
    <row r="512" spans="1:28" x14ac:dyDescent="0.2">
      <c r="A512" s="62">
        <v>41</v>
      </c>
      <c r="B512" s="62" t="s">
        <v>364</v>
      </c>
      <c r="C512" s="62">
        <v>3</v>
      </c>
      <c r="D512" s="62" t="s">
        <v>323</v>
      </c>
      <c r="E512" s="63">
        <v>24674</v>
      </c>
      <c r="F512" s="63">
        <v>25958</v>
      </c>
      <c r="G512" s="63">
        <v>26545</v>
      </c>
      <c r="H512" s="63">
        <v>27073</v>
      </c>
      <c r="I512" s="63">
        <v>27443</v>
      </c>
      <c r="J512" s="63">
        <v>28400</v>
      </c>
      <c r="K512" s="63">
        <v>29635</v>
      </c>
      <c r="L512" s="63">
        <v>30496</v>
      </c>
      <c r="M512" s="63">
        <v>30160</v>
      </c>
      <c r="N512" s="63">
        <v>29663</v>
      </c>
      <c r="O512" s="63">
        <v>29553</v>
      </c>
      <c r="P512" s="63">
        <v>28188</v>
      </c>
      <c r="Q512" s="63">
        <v>25474</v>
      </c>
      <c r="R512" s="63">
        <v>25901</v>
      </c>
      <c r="S512" s="63">
        <v>26168</v>
      </c>
      <c r="T512" s="63">
        <v>26691</v>
      </c>
      <c r="U512" s="63">
        <v>27214</v>
      </c>
      <c r="V512" s="63">
        <v>27864</v>
      </c>
      <c r="W512" s="63">
        <v>28585</v>
      </c>
      <c r="X512" s="63">
        <v>27651</v>
      </c>
      <c r="Y512" s="63">
        <v>27585</v>
      </c>
      <c r="Z512" s="63">
        <v>28496</v>
      </c>
      <c r="AA512" s="63">
        <v>29640</v>
      </c>
      <c r="AB512" s="63">
        <v>29893</v>
      </c>
    </row>
    <row r="513" spans="1:28" x14ac:dyDescent="0.2">
      <c r="A513" s="62">
        <v>41</v>
      </c>
      <c r="B513" s="62" t="s">
        <v>364</v>
      </c>
      <c r="C513" s="62" t="s">
        <v>324</v>
      </c>
      <c r="D513" s="62" t="s">
        <v>325</v>
      </c>
      <c r="E513" s="63">
        <v>25732</v>
      </c>
      <c r="F513" s="63">
        <v>22830</v>
      </c>
      <c r="G513" s="63">
        <v>21058</v>
      </c>
      <c r="H513" s="63">
        <v>20476</v>
      </c>
      <c r="I513" s="63">
        <v>18887</v>
      </c>
      <c r="J513" s="63">
        <v>18630</v>
      </c>
      <c r="K513" s="63">
        <v>17627</v>
      </c>
      <c r="L513" s="63">
        <v>16193</v>
      </c>
      <c r="M513" s="63">
        <v>13981</v>
      </c>
      <c r="N513" s="63">
        <v>13144</v>
      </c>
      <c r="O513" s="63">
        <v>13221</v>
      </c>
      <c r="P513" s="63">
        <v>13511</v>
      </c>
      <c r="Q513" s="63">
        <v>12095</v>
      </c>
      <c r="R513" s="63">
        <v>12534</v>
      </c>
      <c r="S513" s="63">
        <v>12446</v>
      </c>
      <c r="T513" s="63">
        <v>12218</v>
      </c>
      <c r="U513" s="63">
        <v>12249</v>
      </c>
      <c r="V513" s="63">
        <v>12436</v>
      </c>
      <c r="W513" s="63">
        <v>12363</v>
      </c>
      <c r="X513" s="63">
        <v>12166</v>
      </c>
      <c r="Y513" s="63">
        <v>12298</v>
      </c>
      <c r="Z513" s="63">
        <v>12756</v>
      </c>
      <c r="AA513" s="63">
        <v>12961</v>
      </c>
      <c r="AB513" s="63">
        <v>12987</v>
      </c>
    </row>
    <row r="514" spans="1:28" x14ac:dyDescent="0.2">
      <c r="A514" s="62">
        <v>41</v>
      </c>
      <c r="B514" s="62" t="s">
        <v>364</v>
      </c>
      <c r="C514" s="62">
        <v>42</v>
      </c>
      <c r="D514" s="62" t="s">
        <v>326</v>
      </c>
      <c r="E514" s="63">
        <v>6956</v>
      </c>
      <c r="F514" s="63">
        <v>6633</v>
      </c>
      <c r="G514" s="63">
        <v>6473</v>
      </c>
      <c r="H514" s="63">
        <v>6563</v>
      </c>
      <c r="I514" s="63">
        <v>6722</v>
      </c>
      <c r="J514" s="63">
        <v>6392</v>
      </c>
      <c r="K514" s="63">
        <v>6592</v>
      </c>
      <c r="L514" s="63">
        <v>6630</v>
      </c>
      <c r="M514" s="63">
        <v>5927</v>
      </c>
      <c r="N514" s="63">
        <v>5460</v>
      </c>
      <c r="O514" s="63">
        <v>5341</v>
      </c>
      <c r="P514" s="63">
        <v>5404</v>
      </c>
      <c r="Q514" s="63">
        <v>5569</v>
      </c>
      <c r="R514" s="63">
        <v>5678</v>
      </c>
      <c r="S514" s="63">
        <v>5871</v>
      </c>
      <c r="T514" s="63">
        <v>6161</v>
      </c>
      <c r="U514" s="63">
        <v>6214</v>
      </c>
      <c r="V514" s="63">
        <v>6233</v>
      </c>
      <c r="W514" s="63">
        <v>6442</v>
      </c>
      <c r="X514" s="63">
        <v>6371</v>
      </c>
      <c r="Y514" s="63">
        <v>6454</v>
      </c>
      <c r="Z514" s="63">
        <v>7039</v>
      </c>
      <c r="AA514" s="63">
        <v>7287</v>
      </c>
      <c r="AB514" s="63">
        <v>7265</v>
      </c>
    </row>
    <row r="515" spans="1:28" x14ac:dyDescent="0.2">
      <c r="A515" s="62">
        <v>41</v>
      </c>
      <c r="B515" s="62" t="s">
        <v>364</v>
      </c>
      <c r="C515" s="62" t="s">
        <v>327</v>
      </c>
      <c r="D515" s="62" t="s">
        <v>328</v>
      </c>
      <c r="E515" s="63">
        <v>32088</v>
      </c>
      <c r="F515" s="63">
        <v>32267</v>
      </c>
      <c r="G515" s="63">
        <v>32434</v>
      </c>
      <c r="H515" s="63">
        <v>33104</v>
      </c>
      <c r="I515" s="63">
        <v>33293</v>
      </c>
      <c r="J515" s="63">
        <v>33590</v>
      </c>
      <c r="K515" s="63">
        <v>33974</v>
      </c>
      <c r="L515" s="63">
        <v>33198</v>
      </c>
      <c r="M515" s="63">
        <v>31530</v>
      </c>
      <c r="N515" s="63">
        <v>31828</v>
      </c>
      <c r="O515" s="63">
        <v>32572</v>
      </c>
      <c r="P515" s="63">
        <v>32785</v>
      </c>
      <c r="Q515" s="63">
        <v>33706</v>
      </c>
      <c r="R515" s="63">
        <v>34717</v>
      </c>
      <c r="S515" s="63">
        <v>35749</v>
      </c>
      <c r="T515" s="63">
        <v>36793</v>
      </c>
      <c r="U515" s="63">
        <v>37312</v>
      </c>
      <c r="V515" s="63">
        <v>37068</v>
      </c>
      <c r="W515" s="63">
        <v>36594</v>
      </c>
      <c r="X515" s="63">
        <v>35835</v>
      </c>
      <c r="Y515" s="63">
        <v>36986</v>
      </c>
      <c r="Z515" s="63">
        <v>36471</v>
      </c>
      <c r="AA515" s="63">
        <v>36985</v>
      </c>
      <c r="AB515" s="63">
        <v>36999</v>
      </c>
    </row>
    <row r="516" spans="1:28" x14ac:dyDescent="0.2">
      <c r="A516" s="62">
        <v>41</v>
      </c>
      <c r="B516" s="62" t="s">
        <v>364</v>
      </c>
      <c r="C516" s="62" t="s">
        <v>329</v>
      </c>
      <c r="D516" s="62" t="s">
        <v>330</v>
      </c>
      <c r="E516" s="63">
        <v>4445</v>
      </c>
      <c r="F516" s="63">
        <v>4413</v>
      </c>
      <c r="G516" s="63">
        <v>4359</v>
      </c>
      <c r="H516" s="63">
        <v>4456</v>
      </c>
      <c r="I516" s="63">
        <v>4941</v>
      </c>
      <c r="J516" s="63">
        <v>5605</v>
      </c>
      <c r="K516" s="63">
        <v>5584</v>
      </c>
      <c r="L516" s="63">
        <v>5233</v>
      </c>
      <c r="M516" s="63">
        <v>4815</v>
      </c>
      <c r="N516" s="63">
        <v>4677</v>
      </c>
      <c r="O516" s="63">
        <v>4662</v>
      </c>
      <c r="P516" s="63">
        <v>4718</v>
      </c>
      <c r="Q516" s="63">
        <v>4728</v>
      </c>
      <c r="R516" s="63">
        <v>5059</v>
      </c>
      <c r="S516" s="63">
        <v>5617</v>
      </c>
      <c r="T516" s="63">
        <v>6254</v>
      </c>
      <c r="U516" s="63">
        <v>7146</v>
      </c>
      <c r="V516" s="63">
        <v>8143</v>
      </c>
      <c r="W516" s="63">
        <v>9196</v>
      </c>
      <c r="X516" s="63">
        <v>11002</v>
      </c>
      <c r="Y516" s="63">
        <v>14025</v>
      </c>
      <c r="Z516" s="63">
        <v>16333</v>
      </c>
      <c r="AA516" s="63">
        <v>17236</v>
      </c>
      <c r="AB516" s="63">
        <v>17959</v>
      </c>
    </row>
    <row r="517" spans="1:28" x14ac:dyDescent="0.2">
      <c r="A517" s="62">
        <v>41</v>
      </c>
      <c r="B517" s="62" t="s">
        <v>364</v>
      </c>
      <c r="C517" s="62">
        <v>51</v>
      </c>
      <c r="D517" s="62" t="s">
        <v>331</v>
      </c>
      <c r="E517" s="63">
        <v>14715</v>
      </c>
      <c r="F517" s="63">
        <v>13067</v>
      </c>
      <c r="G517" s="63">
        <v>10942</v>
      </c>
      <c r="H517" s="63">
        <v>10556</v>
      </c>
      <c r="I517" s="63">
        <v>9612</v>
      </c>
      <c r="J517" s="63">
        <v>8712</v>
      </c>
      <c r="K517" s="63">
        <v>8365</v>
      </c>
      <c r="L517" s="63">
        <v>8301</v>
      </c>
      <c r="M517" s="63">
        <v>7575</v>
      </c>
      <c r="N517" s="63">
        <v>7653</v>
      </c>
      <c r="O517" s="63">
        <v>7876</v>
      </c>
      <c r="P517" s="63">
        <v>7864</v>
      </c>
      <c r="Q517" s="63">
        <v>7515</v>
      </c>
      <c r="R517" s="63">
        <v>7468</v>
      </c>
      <c r="S517" s="63">
        <v>7274</v>
      </c>
      <c r="T517" s="63">
        <v>6690</v>
      </c>
      <c r="U517" s="63">
        <v>6468</v>
      </c>
      <c r="V517" s="63">
        <v>6494</v>
      </c>
      <c r="W517" s="63">
        <v>6536</v>
      </c>
      <c r="X517" s="63">
        <v>5965</v>
      </c>
      <c r="Y517" s="63">
        <v>6144</v>
      </c>
      <c r="Z517" s="63">
        <v>6105</v>
      </c>
      <c r="AA517" s="63">
        <v>5999</v>
      </c>
      <c r="AB517" s="63">
        <v>5632</v>
      </c>
    </row>
    <row r="518" spans="1:28" x14ac:dyDescent="0.2">
      <c r="A518" s="62">
        <v>41</v>
      </c>
      <c r="B518" s="62" t="s">
        <v>364</v>
      </c>
      <c r="C518" s="62">
        <v>52</v>
      </c>
      <c r="D518" s="62" t="s">
        <v>332</v>
      </c>
      <c r="E518" s="63">
        <v>13019</v>
      </c>
      <c r="F518" s="63">
        <v>13809</v>
      </c>
      <c r="G518" s="63">
        <v>14257</v>
      </c>
      <c r="H518" s="63">
        <v>13997</v>
      </c>
      <c r="I518" s="63">
        <v>14776</v>
      </c>
      <c r="J518" s="63">
        <v>15166</v>
      </c>
      <c r="K518" s="63">
        <v>14418</v>
      </c>
      <c r="L518" s="63">
        <v>13733</v>
      </c>
      <c r="M518" s="63">
        <v>13059</v>
      </c>
      <c r="N518" s="63">
        <v>12547</v>
      </c>
      <c r="O518" s="63">
        <v>12600</v>
      </c>
      <c r="P518" s="63">
        <v>12838</v>
      </c>
      <c r="Q518" s="63">
        <v>13336</v>
      </c>
      <c r="R518" s="63">
        <v>13428</v>
      </c>
      <c r="S518" s="63">
        <v>13523</v>
      </c>
      <c r="T518" s="63">
        <v>13794</v>
      </c>
      <c r="U518" s="63">
        <v>13887</v>
      </c>
      <c r="V518" s="63">
        <v>14283</v>
      </c>
      <c r="W518" s="63">
        <v>14624</v>
      </c>
      <c r="X518" s="63">
        <v>14793</v>
      </c>
      <c r="Y518" s="63">
        <v>15043</v>
      </c>
      <c r="Z518" s="63">
        <v>14243</v>
      </c>
      <c r="AA518" s="63">
        <v>15396</v>
      </c>
      <c r="AB518" s="63">
        <v>15119</v>
      </c>
    </row>
    <row r="519" spans="1:28" x14ac:dyDescent="0.2">
      <c r="A519" s="62">
        <v>41</v>
      </c>
      <c r="B519" s="62" t="s">
        <v>364</v>
      </c>
      <c r="C519" s="62">
        <v>53</v>
      </c>
      <c r="D519" s="62" t="s">
        <v>333</v>
      </c>
      <c r="E519" s="63">
        <v>8150</v>
      </c>
      <c r="F519" s="63">
        <v>8445</v>
      </c>
      <c r="G519" s="63">
        <v>8724</v>
      </c>
      <c r="H519" s="63">
        <v>9277</v>
      </c>
      <c r="I519" s="63">
        <v>9979</v>
      </c>
      <c r="J519" s="63">
        <v>10359</v>
      </c>
      <c r="K519" s="63">
        <v>10030</v>
      </c>
      <c r="L519" s="63">
        <v>9420</v>
      </c>
      <c r="M519" s="63">
        <v>9344</v>
      </c>
      <c r="N519" s="63">
        <v>9166</v>
      </c>
      <c r="O519" s="63">
        <v>9022</v>
      </c>
      <c r="P519" s="63">
        <v>8969</v>
      </c>
      <c r="Q519" s="63">
        <v>9222</v>
      </c>
      <c r="R519" s="63">
        <v>9472</v>
      </c>
      <c r="S519" s="63">
        <v>9870</v>
      </c>
      <c r="T519" s="63">
        <v>10302</v>
      </c>
      <c r="U519" s="63">
        <v>10782</v>
      </c>
      <c r="V519" s="63">
        <v>10991</v>
      </c>
      <c r="W519" s="63">
        <v>11336</v>
      </c>
      <c r="X519" s="63">
        <v>11278</v>
      </c>
      <c r="Y519" s="63">
        <v>11703</v>
      </c>
      <c r="Z519" s="63">
        <v>11943</v>
      </c>
      <c r="AA519" s="63">
        <v>12430</v>
      </c>
      <c r="AB519" s="63">
        <v>11946</v>
      </c>
    </row>
    <row r="520" spans="1:28" x14ac:dyDescent="0.2">
      <c r="A520" s="62">
        <v>41</v>
      </c>
      <c r="B520" s="62" t="s">
        <v>364</v>
      </c>
      <c r="C520" s="62">
        <v>54</v>
      </c>
      <c r="D520" s="62" t="s">
        <v>334</v>
      </c>
      <c r="E520" s="63">
        <v>22829</v>
      </c>
      <c r="F520" s="63">
        <v>22081</v>
      </c>
      <c r="G520" s="63">
        <v>22215</v>
      </c>
      <c r="H520" s="63">
        <v>23584</v>
      </c>
      <c r="I520" s="63">
        <v>25202</v>
      </c>
      <c r="J520" s="63">
        <v>26297</v>
      </c>
      <c r="K520" s="63">
        <v>26965</v>
      </c>
      <c r="L520" s="63">
        <v>28144</v>
      </c>
      <c r="M520" s="63">
        <v>28368</v>
      </c>
      <c r="N520" s="63">
        <v>27700</v>
      </c>
      <c r="O520" s="63">
        <v>27088</v>
      </c>
      <c r="P520" s="63">
        <v>26739</v>
      </c>
      <c r="Q520" s="63">
        <v>28363</v>
      </c>
      <c r="R520" s="63">
        <v>28955</v>
      </c>
      <c r="S520" s="63">
        <v>29796</v>
      </c>
      <c r="T520" s="63">
        <v>30432</v>
      </c>
      <c r="U520" s="63">
        <v>31381</v>
      </c>
      <c r="V520" s="63">
        <v>33574</v>
      </c>
      <c r="W520" s="63">
        <v>34922</v>
      </c>
      <c r="X520" s="63">
        <v>35993</v>
      </c>
      <c r="Y520" s="63">
        <v>38013</v>
      </c>
      <c r="Z520" s="63">
        <v>40627</v>
      </c>
      <c r="AA520" s="63">
        <v>43001</v>
      </c>
      <c r="AB520" s="63">
        <v>43107</v>
      </c>
    </row>
    <row r="521" spans="1:28" x14ac:dyDescent="0.2">
      <c r="A521" s="62">
        <v>41</v>
      </c>
      <c r="B521" s="62" t="s">
        <v>364</v>
      </c>
      <c r="C521" s="62">
        <v>55</v>
      </c>
      <c r="D521" s="62" t="s">
        <v>335</v>
      </c>
      <c r="E521" s="63">
        <v>1077</v>
      </c>
      <c r="F521" s="63">
        <v>866</v>
      </c>
      <c r="G521" s="63">
        <v>901</v>
      </c>
      <c r="H521" s="63">
        <v>899</v>
      </c>
      <c r="I521" s="63">
        <v>852</v>
      </c>
      <c r="J521" s="63">
        <v>830</v>
      </c>
      <c r="K521" s="63">
        <v>960</v>
      </c>
      <c r="L521" s="63">
        <v>880</v>
      </c>
      <c r="M521" s="63">
        <v>919</v>
      </c>
      <c r="N521" s="63">
        <v>897</v>
      </c>
      <c r="O521" s="63">
        <v>941</v>
      </c>
      <c r="P521" s="63">
        <v>1068</v>
      </c>
      <c r="Q521" s="63">
        <v>1141</v>
      </c>
      <c r="R521" s="63">
        <v>1110</v>
      </c>
      <c r="S521" s="63">
        <v>1106</v>
      </c>
      <c r="T521" s="63">
        <v>1220</v>
      </c>
      <c r="U521" s="63">
        <v>1246</v>
      </c>
      <c r="V521" s="63">
        <v>1225</v>
      </c>
      <c r="W521" s="63">
        <v>1297</v>
      </c>
      <c r="X521" s="63">
        <v>1317</v>
      </c>
      <c r="Y521" s="63">
        <v>1470</v>
      </c>
      <c r="Z521" s="63">
        <v>1601</v>
      </c>
      <c r="AA521" s="63">
        <v>1720</v>
      </c>
      <c r="AB521" s="63">
        <v>2390</v>
      </c>
    </row>
    <row r="522" spans="1:28" x14ac:dyDescent="0.2">
      <c r="A522" s="62">
        <v>41</v>
      </c>
      <c r="B522" s="62" t="s">
        <v>364</v>
      </c>
      <c r="C522" s="62">
        <v>56</v>
      </c>
      <c r="D522" s="62" t="s">
        <v>336</v>
      </c>
      <c r="E522" s="63">
        <v>17876</v>
      </c>
      <c r="F522" s="63">
        <v>17359</v>
      </c>
      <c r="G522" s="63">
        <v>17956</v>
      </c>
      <c r="H522" s="63">
        <v>18654</v>
      </c>
      <c r="I522" s="63">
        <v>19309</v>
      </c>
      <c r="J522" s="63">
        <v>21252</v>
      </c>
      <c r="K522" s="63">
        <v>22258</v>
      </c>
      <c r="L522" s="63">
        <v>21145</v>
      </c>
      <c r="M522" s="63">
        <v>20467</v>
      </c>
      <c r="N522" s="63">
        <v>20661</v>
      </c>
      <c r="O522" s="63">
        <v>20301</v>
      </c>
      <c r="P522" s="63">
        <v>20461</v>
      </c>
      <c r="Q522" s="63">
        <v>20967</v>
      </c>
      <c r="R522" s="63">
        <v>21308</v>
      </c>
      <c r="S522" s="63">
        <v>22233</v>
      </c>
      <c r="T522" s="63">
        <v>22511</v>
      </c>
      <c r="U522" s="63">
        <v>22566</v>
      </c>
      <c r="V522" s="63">
        <v>22655</v>
      </c>
      <c r="W522" s="63">
        <v>22968</v>
      </c>
      <c r="X522" s="63">
        <v>22059</v>
      </c>
      <c r="Y522" s="63">
        <v>22876</v>
      </c>
      <c r="Z522" s="63">
        <v>22240</v>
      </c>
      <c r="AA522" s="63">
        <v>21495</v>
      </c>
      <c r="AB522" s="63">
        <v>20622</v>
      </c>
    </row>
    <row r="523" spans="1:28" x14ac:dyDescent="0.2">
      <c r="A523" s="62">
        <v>41</v>
      </c>
      <c r="B523" s="62" t="s">
        <v>364</v>
      </c>
      <c r="C523" s="62">
        <v>61</v>
      </c>
      <c r="D523" s="62" t="s">
        <v>337</v>
      </c>
      <c r="E523" s="63">
        <v>3714</v>
      </c>
      <c r="F523" s="63">
        <v>3936</v>
      </c>
      <c r="G523" s="63">
        <v>4157</v>
      </c>
      <c r="H523" s="63">
        <v>4436</v>
      </c>
      <c r="I523" s="63">
        <v>4829</v>
      </c>
      <c r="J523" s="63">
        <v>5011</v>
      </c>
      <c r="K523" s="63">
        <v>5206</v>
      </c>
      <c r="L523" s="63">
        <v>5068</v>
      </c>
      <c r="M523" s="63">
        <v>5140</v>
      </c>
      <c r="N523" s="63">
        <v>5334</v>
      </c>
      <c r="O523" s="63">
        <v>5644</v>
      </c>
      <c r="P523" s="63">
        <v>5801</v>
      </c>
      <c r="Q523" s="63">
        <v>5982</v>
      </c>
      <c r="R523" s="63">
        <v>5916</v>
      </c>
      <c r="S523" s="63">
        <v>5886</v>
      </c>
      <c r="T523" s="63">
        <v>6072</v>
      </c>
      <c r="U523" s="63">
        <v>6242</v>
      </c>
      <c r="V523" s="63">
        <v>6370</v>
      </c>
      <c r="W523" s="63">
        <v>6612</v>
      </c>
      <c r="X523" s="63">
        <v>5825</v>
      </c>
      <c r="Y523" s="63">
        <v>6008</v>
      </c>
      <c r="Z523" s="63">
        <v>6271</v>
      </c>
      <c r="AA523" s="63">
        <v>6825</v>
      </c>
      <c r="AB523" s="63">
        <v>7305</v>
      </c>
    </row>
    <row r="524" spans="1:28" x14ac:dyDescent="0.2">
      <c r="A524" s="62">
        <v>41</v>
      </c>
      <c r="B524" s="62" t="s">
        <v>364</v>
      </c>
      <c r="C524" s="62">
        <v>62</v>
      </c>
      <c r="D524" s="62" t="s">
        <v>338</v>
      </c>
      <c r="E524" s="63">
        <v>21989</v>
      </c>
      <c r="F524" s="63">
        <v>22339</v>
      </c>
      <c r="G524" s="63">
        <v>22748</v>
      </c>
      <c r="H524" s="63">
        <v>23065</v>
      </c>
      <c r="I524" s="63">
        <v>23801</v>
      </c>
      <c r="J524" s="63">
        <v>24471</v>
      </c>
      <c r="K524" s="63">
        <v>25342</v>
      </c>
      <c r="L524" s="63">
        <v>26539</v>
      </c>
      <c r="M524" s="63">
        <v>27053</v>
      </c>
      <c r="N524" s="63">
        <v>27973</v>
      </c>
      <c r="O524" s="63">
        <v>28898</v>
      </c>
      <c r="P524" s="63">
        <v>29819</v>
      </c>
      <c r="Q524" s="63">
        <v>30767</v>
      </c>
      <c r="R524" s="63">
        <v>32304</v>
      </c>
      <c r="S524" s="63">
        <v>34086</v>
      </c>
      <c r="T524" s="63">
        <v>36113</v>
      </c>
      <c r="U524" s="63">
        <v>36865</v>
      </c>
      <c r="V524" s="63">
        <v>38490</v>
      </c>
      <c r="W524" s="63">
        <v>39735</v>
      </c>
      <c r="X524" s="63">
        <v>40563</v>
      </c>
      <c r="Y524" s="63">
        <v>42493</v>
      </c>
      <c r="Z524" s="63">
        <v>43648</v>
      </c>
      <c r="AA524" s="63">
        <v>45729</v>
      </c>
      <c r="AB524" s="63">
        <v>46752</v>
      </c>
    </row>
    <row r="525" spans="1:28" x14ac:dyDescent="0.2">
      <c r="A525" s="62">
        <v>41</v>
      </c>
      <c r="B525" s="62" t="s">
        <v>364</v>
      </c>
      <c r="C525" s="62">
        <v>71</v>
      </c>
      <c r="D525" s="62" t="s">
        <v>339</v>
      </c>
      <c r="E525" s="63">
        <v>5440</v>
      </c>
      <c r="F525" s="63">
        <v>5492</v>
      </c>
      <c r="G525" s="63">
        <v>5497</v>
      </c>
      <c r="H525" s="63">
        <v>5729</v>
      </c>
      <c r="I525" s="63">
        <v>5979</v>
      </c>
      <c r="J525" s="63">
        <v>6057</v>
      </c>
      <c r="K525" s="63">
        <v>6451</v>
      </c>
      <c r="L525" s="63">
        <v>6646</v>
      </c>
      <c r="M525" s="63">
        <v>6257</v>
      </c>
      <c r="N525" s="63">
        <v>6281</v>
      </c>
      <c r="O525" s="63">
        <v>6565</v>
      </c>
      <c r="P525" s="63">
        <v>6823</v>
      </c>
      <c r="Q525" s="63">
        <v>7119</v>
      </c>
      <c r="R525" s="63">
        <v>7363</v>
      </c>
      <c r="S525" s="63">
        <v>7507</v>
      </c>
      <c r="T525" s="63">
        <v>7890</v>
      </c>
      <c r="U525" s="63">
        <v>8349</v>
      </c>
      <c r="V525" s="63">
        <v>8687</v>
      </c>
      <c r="W525" s="63">
        <v>9135</v>
      </c>
      <c r="X525" s="63">
        <v>7183</v>
      </c>
      <c r="Y525" s="63">
        <v>8149</v>
      </c>
      <c r="Z525" s="63">
        <v>8943</v>
      </c>
      <c r="AA525" s="63">
        <v>10587</v>
      </c>
      <c r="AB525" s="63">
        <v>11239</v>
      </c>
    </row>
    <row r="526" spans="1:28" x14ac:dyDescent="0.2">
      <c r="A526" s="62">
        <v>41</v>
      </c>
      <c r="B526" s="62" t="s">
        <v>364</v>
      </c>
      <c r="C526" s="62">
        <v>72</v>
      </c>
      <c r="D526" s="62" t="s">
        <v>340</v>
      </c>
      <c r="E526" s="63">
        <v>23205</v>
      </c>
      <c r="F526" s="63">
        <v>23303</v>
      </c>
      <c r="G526" s="63">
        <v>23506</v>
      </c>
      <c r="H526" s="63">
        <v>23787</v>
      </c>
      <c r="I526" s="63">
        <v>24159</v>
      </c>
      <c r="J526" s="63">
        <v>25454</v>
      </c>
      <c r="K526" s="63">
        <v>25374</v>
      </c>
      <c r="L526" s="63">
        <v>24969</v>
      </c>
      <c r="M526" s="63">
        <v>23969</v>
      </c>
      <c r="N526" s="63">
        <v>24032</v>
      </c>
      <c r="O526" s="63">
        <v>25225</v>
      </c>
      <c r="P526" s="63">
        <v>25759</v>
      </c>
      <c r="Q526" s="63">
        <v>27003</v>
      </c>
      <c r="R526" s="63">
        <v>27459</v>
      </c>
      <c r="S526" s="63">
        <v>28842</v>
      </c>
      <c r="T526" s="63">
        <v>30032</v>
      </c>
      <c r="U526" s="63">
        <v>31477</v>
      </c>
      <c r="V526" s="63">
        <v>32148</v>
      </c>
      <c r="W526" s="63">
        <v>32785</v>
      </c>
      <c r="X526" s="63">
        <v>27764</v>
      </c>
      <c r="Y526" s="63">
        <v>31300</v>
      </c>
      <c r="Z526" s="63">
        <v>34205</v>
      </c>
      <c r="AA526" s="63">
        <v>35711</v>
      </c>
      <c r="AB526" s="63">
        <v>34822</v>
      </c>
    </row>
    <row r="527" spans="1:28" x14ac:dyDescent="0.2">
      <c r="A527" s="62">
        <v>41</v>
      </c>
      <c r="B527" s="62" t="s">
        <v>364</v>
      </c>
      <c r="C527" s="62">
        <v>81</v>
      </c>
      <c r="D527" s="62" t="s">
        <v>341</v>
      </c>
      <c r="E527" s="63">
        <v>14495</v>
      </c>
      <c r="F527" s="63">
        <v>14461</v>
      </c>
      <c r="G527" s="63">
        <v>14721</v>
      </c>
      <c r="H527" s="63">
        <v>14899</v>
      </c>
      <c r="I527" s="63">
        <v>14943</v>
      </c>
      <c r="J527" s="63">
        <v>14749</v>
      </c>
      <c r="K527" s="63">
        <v>15137</v>
      </c>
      <c r="L527" s="63">
        <v>14999</v>
      </c>
      <c r="M527" s="63">
        <v>14549</v>
      </c>
      <c r="N527" s="63">
        <v>14730</v>
      </c>
      <c r="O527" s="63">
        <v>14890</v>
      </c>
      <c r="P527" s="63">
        <v>15401</v>
      </c>
      <c r="Q527" s="63">
        <v>15813</v>
      </c>
      <c r="R527" s="63">
        <v>16523</v>
      </c>
      <c r="S527" s="63">
        <v>17266</v>
      </c>
      <c r="T527" s="63">
        <v>17969</v>
      </c>
      <c r="U527" s="63">
        <v>18783</v>
      </c>
      <c r="V527" s="63">
        <v>17249</v>
      </c>
      <c r="W527" s="63">
        <v>17516</v>
      </c>
      <c r="X527" s="63">
        <v>16899</v>
      </c>
      <c r="Y527" s="63">
        <v>16920</v>
      </c>
      <c r="Z527" s="63">
        <v>17475</v>
      </c>
      <c r="AA527" s="63">
        <v>18413</v>
      </c>
      <c r="AB527" s="63">
        <v>18949</v>
      </c>
    </row>
    <row r="528" spans="1:28" x14ac:dyDescent="0.2">
      <c r="A528" s="62">
        <v>41</v>
      </c>
      <c r="B528" s="62" t="s">
        <v>364</v>
      </c>
      <c r="C528" s="62">
        <v>99</v>
      </c>
      <c r="D528" s="62" t="s">
        <v>342</v>
      </c>
      <c r="E528" s="63">
        <v>1</v>
      </c>
      <c r="F528" s="63">
        <v>2</v>
      </c>
      <c r="G528" s="62"/>
      <c r="H528" s="63">
        <v>15</v>
      </c>
      <c r="I528" s="63">
        <v>12</v>
      </c>
      <c r="J528" s="63">
        <v>15</v>
      </c>
      <c r="K528" s="63">
        <v>10</v>
      </c>
      <c r="L528" s="63">
        <v>17</v>
      </c>
      <c r="M528" s="63">
        <v>15</v>
      </c>
      <c r="N528" s="63">
        <v>16</v>
      </c>
      <c r="O528" s="63">
        <v>13</v>
      </c>
      <c r="P528" s="63">
        <v>19</v>
      </c>
      <c r="Q528" s="63">
        <v>34</v>
      </c>
      <c r="R528" s="63">
        <v>51</v>
      </c>
      <c r="S528" s="63">
        <v>63</v>
      </c>
      <c r="T528" s="63">
        <v>73</v>
      </c>
      <c r="U528" s="63">
        <v>9</v>
      </c>
      <c r="V528" s="63">
        <v>30</v>
      </c>
      <c r="W528" s="63">
        <v>14</v>
      </c>
      <c r="X528" s="63">
        <v>37</v>
      </c>
      <c r="Y528" s="63">
        <v>56</v>
      </c>
      <c r="Z528" s="63">
        <v>81</v>
      </c>
      <c r="AA528" s="63">
        <v>129</v>
      </c>
      <c r="AB528" s="63">
        <v>49</v>
      </c>
    </row>
    <row r="529" spans="1:28" x14ac:dyDescent="0.2">
      <c r="A529" s="62">
        <v>43</v>
      </c>
      <c r="B529" s="62" t="s">
        <v>365</v>
      </c>
      <c r="C529" s="62">
        <v>1</v>
      </c>
      <c r="D529" s="62" t="s">
        <v>316</v>
      </c>
      <c r="E529" s="63">
        <v>1150</v>
      </c>
      <c r="F529" s="63">
        <v>1125</v>
      </c>
      <c r="G529" s="63">
        <v>1138</v>
      </c>
      <c r="H529" s="63">
        <v>1119</v>
      </c>
      <c r="I529" s="63">
        <v>1063</v>
      </c>
      <c r="J529" s="63">
        <v>1045</v>
      </c>
      <c r="K529" s="63">
        <v>1078</v>
      </c>
      <c r="L529" s="63">
        <v>1091</v>
      </c>
      <c r="M529" s="63">
        <v>1111</v>
      </c>
      <c r="N529" s="63">
        <v>1154</v>
      </c>
      <c r="O529" s="63">
        <v>1124</v>
      </c>
      <c r="P529" s="63">
        <v>1108</v>
      </c>
      <c r="Q529" s="63">
        <v>1113</v>
      </c>
      <c r="R529" s="63">
        <v>1079</v>
      </c>
      <c r="S529" s="63">
        <v>1071</v>
      </c>
      <c r="T529" s="63">
        <v>1084</v>
      </c>
      <c r="U529" s="63">
        <v>1084</v>
      </c>
      <c r="V529" s="63">
        <v>1048</v>
      </c>
      <c r="W529" s="63">
        <v>1018</v>
      </c>
      <c r="X529" s="63">
        <v>985</v>
      </c>
      <c r="Y529" s="63">
        <v>974</v>
      </c>
      <c r="Z529" s="63">
        <v>962</v>
      </c>
      <c r="AA529" s="63">
        <v>995</v>
      </c>
      <c r="AB529" s="63">
        <v>1019</v>
      </c>
    </row>
    <row r="530" spans="1:28" x14ac:dyDescent="0.2">
      <c r="A530" s="62">
        <v>43</v>
      </c>
      <c r="B530" s="62" t="s">
        <v>365</v>
      </c>
      <c r="C530" s="62">
        <v>10</v>
      </c>
      <c r="D530" s="62" t="s">
        <v>317</v>
      </c>
      <c r="E530" s="63">
        <v>16359</v>
      </c>
      <c r="F530" s="63">
        <v>16047</v>
      </c>
      <c r="G530" s="63">
        <v>15843</v>
      </c>
      <c r="H530" s="63">
        <v>16084</v>
      </c>
      <c r="I530" s="63">
        <v>16296</v>
      </c>
      <c r="J530" s="63">
        <v>16571</v>
      </c>
      <c r="K530" s="63">
        <v>16929</v>
      </c>
      <c r="L530" s="63">
        <v>16611</v>
      </c>
      <c r="M530" s="63">
        <v>16005</v>
      </c>
      <c r="N530" s="63">
        <v>15917</v>
      </c>
      <c r="O530" s="63">
        <v>15950</v>
      </c>
      <c r="P530" s="63">
        <v>15799</v>
      </c>
      <c r="Q530" s="63">
        <v>15472</v>
      </c>
      <c r="R530" s="63">
        <v>15504</v>
      </c>
      <c r="S530" s="63">
        <v>16030</v>
      </c>
      <c r="T530" s="63">
        <v>16213</v>
      </c>
      <c r="U530" s="63">
        <v>16478</v>
      </c>
      <c r="V530" s="63">
        <v>16529</v>
      </c>
      <c r="W530" s="63">
        <v>16692</v>
      </c>
      <c r="X530" s="63">
        <v>16513</v>
      </c>
      <c r="Y530" s="63">
        <v>17074</v>
      </c>
      <c r="Z530" s="63">
        <v>17164</v>
      </c>
      <c r="AA530" s="63">
        <v>17630</v>
      </c>
      <c r="AB530" s="63">
        <v>18215</v>
      </c>
    </row>
    <row r="531" spans="1:28" x14ac:dyDescent="0.2">
      <c r="A531" s="62">
        <v>43</v>
      </c>
      <c r="B531" s="62" t="s">
        <v>365</v>
      </c>
      <c r="C531" s="62">
        <v>11</v>
      </c>
      <c r="D531" s="62" t="s">
        <v>318</v>
      </c>
      <c r="E531" s="63">
        <v>101</v>
      </c>
      <c r="F531" s="63">
        <v>82</v>
      </c>
      <c r="G531" s="63">
        <v>98</v>
      </c>
      <c r="H531" s="63">
        <v>138</v>
      </c>
      <c r="I531" s="63">
        <v>87</v>
      </c>
      <c r="J531" s="63">
        <v>90</v>
      </c>
      <c r="K531" s="63">
        <v>96</v>
      </c>
      <c r="L531" s="63">
        <v>108</v>
      </c>
      <c r="M531" s="63">
        <v>117</v>
      </c>
      <c r="N531" s="63">
        <v>118</v>
      </c>
      <c r="O531" s="63">
        <v>118</v>
      </c>
      <c r="P531" s="63">
        <v>108</v>
      </c>
      <c r="Q531" s="63">
        <v>104</v>
      </c>
      <c r="R531" s="63">
        <v>114</v>
      </c>
      <c r="S531" s="63">
        <v>105</v>
      </c>
      <c r="T531" s="63">
        <v>108</v>
      </c>
      <c r="U531" s="63">
        <v>84</v>
      </c>
      <c r="V531" s="63">
        <v>87</v>
      </c>
      <c r="W531" s="63">
        <v>91</v>
      </c>
      <c r="X531" s="63">
        <v>99</v>
      </c>
      <c r="Y531" s="63">
        <v>114</v>
      </c>
      <c r="Z531" s="63">
        <v>108</v>
      </c>
      <c r="AA531" s="63">
        <v>132</v>
      </c>
      <c r="AB531" s="63">
        <v>179</v>
      </c>
    </row>
    <row r="532" spans="1:28" x14ac:dyDescent="0.2">
      <c r="A532" s="62">
        <v>43</v>
      </c>
      <c r="B532" s="62" t="s">
        <v>365</v>
      </c>
      <c r="C532" s="62">
        <v>2</v>
      </c>
      <c r="D532" s="64" t="s">
        <v>319</v>
      </c>
      <c r="E532" s="65"/>
      <c r="F532" s="62"/>
      <c r="G532" s="63">
        <v>2089</v>
      </c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3">
        <v>2392</v>
      </c>
      <c r="U532" s="63">
        <v>2370</v>
      </c>
      <c r="V532" s="63">
        <v>2368</v>
      </c>
      <c r="W532" s="62"/>
      <c r="X532" s="63">
        <v>2440</v>
      </c>
      <c r="Y532" s="63">
        <v>2404</v>
      </c>
      <c r="Z532" s="63">
        <v>2210</v>
      </c>
      <c r="AA532" s="63">
        <v>2328</v>
      </c>
      <c r="AB532" s="63">
        <v>2471</v>
      </c>
    </row>
    <row r="533" spans="1:28" x14ac:dyDescent="0.2">
      <c r="A533" s="62">
        <v>43</v>
      </c>
      <c r="B533" s="62" t="s">
        <v>365</v>
      </c>
      <c r="C533" s="62">
        <v>21</v>
      </c>
      <c r="D533" s="62" t="s">
        <v>320</v>
      </c>
      <c r="E533" s="63">
        <v>182</v>
      </c>
      <c r="F533" s="63">
        <v>141</v>
      </c>
      <c r="G533" s="63">
        <v>101</v>
      </c>
      <c r="H533" s="63">
        <v>112</v>
      </c>
      <c r="I533" s="63">
        <v>162</v>
      </c>
      <c r="J533" s="63">
        <v>124</v>
      </c>
      <c r="K533" s="63">
        <v>101</v>
      </c>
      <c r="L533" s="63">
        <v>87</v>
      </c>
      <c r="M533" s="63">
        <v>64</v>
      </c>
      <c r="N533" s="63">
        <v>77</v>
      </c>
      <c r="O533" s="63">
        <v>78</v>
      </c>
      <c r="P533" s="63">
        <v>79</v>
      </c>
      <c r="Q533" s="63">
        <v>96</v>
      </c>
      <c r="R533" s="63">
        <v>102</v>
      </c>
      <c r="S533" s="63">
        <v>103</v>
      </c>
      <c r="T533" s="63">
        <v>100</v>
      </c>
      <c r="U533" s="63">
        <v>93</v>
      </c>
      <c r="V533" s="63">
        <v>82</v>
      </c>
      <c r="W533" s="63">
        <v>75</v>
      </c>
      <c r="X533" s="63">
        <v>68</v>
      </c>
      <c r="Y533" s="63">
        <v>69</v>
      </c>
      <c r="Z533" s="63">
        <v>74</v>
      </c>
      <c r="AA533" s="63">
        <v>85</v>
      </c>
      <c r="AB533" s="63">
        <v>84</v>
      </c>
    </row>
    <row r="534" spans="1:28" x14ac:dyDescent="0.2">
      <c r="A534" s="62">
        <v>43</v>
      </c>
      <c r="B534" s="62" t="s">
        <v>365</v>
      </c>
      <c r="C534" s="62">
        <v>22</v>
      </c>
      <c r="D534" s="62" t="s">
        <v>321</v>
      </c>
      <c r="E534" s="63">
        <v>79</v>
      </c>
      <c r="F534" s="63">
        <v>74</v>
      </c>
      <c r="G534" s="63">
        <v>73</v>
      </c>
      <c r="H534" s="63">
        <v>75</v>
      </c>
      <c r="I534" s="63">
        <v>86</v>
      </c>
      <c r="J534" s="63">
        <v>81</v>
      </c>
      <c r="K534" s="63">
        <v>79</v>
      </c>
      <c r="L534" s="63">
        <v>80</v>
      </c>
      <c r="M534" s="63">
        <v>83</v>
      </c>
      <c r="N534" s="63">
        <v>85</v>
      </c>
      <c r="O534" s="63">
        <v>80</v>
      </c>
      <c r="P534" s="63">
        <v>79</v>
      </c>
      <c r="Q534" s="63">
        <v>62</v>
      </c>
      <c r="R534" s="63">
        <v>60</v>
      </c>
      <c r="S534" s="63">
        <v>59</v>
      </c>
      <c r="T534" s="63">
        <v>59</v>
      </c>
      <c r="U534" s="63">
        <v>50</v>
      </c>
      <c r="V534" s="63">
        <v>49</v>
      </c>
      <c r="W534" s="63">
        <v>50</v>
      </c>
      <c r="X534" s="63">
        <v>52</v>
      </c>
      <c r="Y534" s="63">
        <v>55</v>
      </c>
      <c r="Z534" s="63">
        <v>56</v>
      </c>
      <c r="AA534" s="63">
        <v>56</v>
      </c>
      <c r="AB534" s="63">
        <v>58</v>
      </c>
    </row>
    <row r="535" spans="1:28" x14ac:dyDescent="0.2">
      <c r="A535" s="62">
        <v>43</v>
      </c>
      <c r="B535" s="62" t="s">
        <v>365</v>
      </c>
      <c r="C535" s="62">
        <v>23</v>
      </c>
      <c r="D535" s="62" t="s">
        <v>322</v>
      </c>
      <c r="E535" s="63">
        <v>1715</v>
      </c>
      <c r="F535" s="63">
        <v>1335</v>
      </c>
      <c r="G535" s="63">
        <v>1372</v>
      </c>
      <c r="H535" s="63">
        <v>1288</v>
      </c>
      <c r="I535" s="63">
        <v>1410</v>
      </c>
      <c r="J535" s="63">
        <v>1490</v>
      </c>
      <c r="K535" s="63">
        <v>1465</v>
      </c>
      <c r="L535" s="63">
        <v>1260</v>
      </c>
      <c r="M535" s="63">
        <v>1061</v>
      </c>
      <c r="N535" s="63">
        <v>1027</v>
      </c>
      <c r="O535" s="63">
        <v>959</v>
      </c>
      <c r="P535" s="63">
        <v>941</v>
      </c>
      <c r="Q535" s="63">
        <v>911</v>
      </c>
      <c r="R535" s="63">
        <v>934</v>
      </c>
      <c r="S535" s="63">
        <v>1017</v>
      </c>
      <c r="T535" s="63">
        <v>1070</v>
      </c>
      <c r="U535" s="63">
        <v>1098</v>
      </c>
      <c r="V535" s="63">
        <v>1114</v>
      </c>
      <c r="W535" s="63">
        <v>1130</v>
      </c>
      <c r="X535" s="63">
        <v>1141</v>
      </c>
      <c r="Y535" s="63">
        <v>1227</v>
      </c>
      <c r="Z535" s="63">
        <v>1315</v>
      </c>
      <c r="AA535" s="63">
        <v>1335</v>
      </c>
      <c r="AB535" s="63">
        <v>1414</v>
      </c>
    </row>
    <row r="536" spans="1:28" x14ac:dyDescent="0.2">
      <c r="A536" s="62">
        <v>43</v>
      </c>
      <c r="B536" s="62" t="s">
        <v>365</v>
      </c>
      <c r="C536" s="62">
        <v>3</v>
      </c>
      <c r="D536" s="62" t="s">
        <v>323</v>
      </c>
      <c r="E536" s="63">
        <v>1682</v>
      </c>
      <c r="F536" s="63">
        <v>1767</v>
      </c>
      <c r="G536" s="63">
        <v>1752</v>
      </c>
      <c r="H536" s="63">
        <v>1749</v>
      </c>
      <c r="I536" s="63">
        <v>1772</v>
      </c>
      <c r="J536" s="63">
        <v>1760</v>
      </c>
      <c r="K536" s="63">
        <v>1791</v>
      </c>
      <c r="L536" s="63">
        <v>1787</v>
      </c>
      <c r="M536" s="63">
        <v>1751</v>
      </c>
      <c r="N536" s="63">
        <v>1732</v>
      </c>
      <c r="O536" s="63">
        <v>1666</v>
      </c>
      <c r="P536" s="63">
        <v>1634</v>
      </c>
      <c r="Q536" s="63">
        <v>1646</v>
      </c>
      <c r="R536" s="63">
        <v>1657</v>
      </c>
      <c r="S536" s="63">
        <v>1683</v>
      </c>
      <c r="T536" s="63">
        <v>1718</v>
      </c>
      <c r="U536" s="63">
        <v>1759</v>
      </c>
      <c r="V536" s="63">
        <v>1752</v>
      </c>
      <c r="W536" s="63">
        <v>1761</v>
      </c>
      <c r="X536" s="63">
        <v>1734</v>
      </c>
      <c r="Y536" s="63">
        <v>1748</v>
      </c>
      <c r="Z536" s="63">
        <v>1803</v>
      </c>
      <c r="AA536" s="63">
        <v>1874</v>
      </c>
      <c r="AB536" s="63">
        <v>1909</v>
      </c>
    </row>
    <row r="537" spans="1:28" x14ac:dyDescent="0.2">
      <c r="A537" s="62">
        <v>43</v>
      </c>
      <c r="B537" s="62" t="s">
        <v>365</v>
      </c>
      <c r="C537" s="62" t="s">
        <v>324</v>
      </c>
      <c r="D537" s="62" t="s">
        <v>325</v>
      </c>
      <c r="E537" s="63">
        <v>935</v>
      </c>
      <c r="F537" s="63">
        <v>818</v>
      </c>
      <c r="G537" s="63">
        <v>783</v>
      </c>
      <c r="H537" s="63">
        <v>808</v>
      </c>
      <c r="I537" s="63">
        <v>810</v>
      </c>
      <c r="J537" s="63">
        <v>854</v>
      </c>
      <c r="K537" s="63">
        <v>870</v>
      </c>
      <c r="L537" s="63">
        <v>822</v>
      </c>
      <c r="M537" s="63">
        <v>690</v>
      </c>
      <c r="N537" s="63">
        <v>603</v>
      </c>
      <c r="O537" s="63">
        <v>575</v>
      </c>
      <c r="P537" s="63">
        <v>590</v>
      </c>
      <c r="Q537" s="63">
        <v>573</v>
      </c>
      <c r="R537" s="63">
        <v>614</v>
      </c>
      <c r="S537" s="63">
        <v>628</v>
      </c>
      <c r="T537" s="63">
        <v>643</v>
      </c>
      <c r="U537" s="63">
        <v>623</v>
      </c>
      <c r="V537" s="63">
        <v>660</v>
      </c>
      <c r="W537" s="63">
        <v>684</v>
      </c>
      <c r="X537" s="63">
        <v>638</v>
      </c>
      <c r="Y537" s="63">
        <v>656</v>
      </c>
      <c r="Z537" s="63">
        <v>722</v>
      </c>
      <c r="AA537" s="63">
        <v>689</v>
      </c>
      <c r="AB537" s="63">
        <v>674</v>
      </c>
    </row>
    <row r="538" spans="1:28" x14ac:dyDescent="0.2">
      <c r="A538" s="62">
        <v>43</v>
      </c>
      <c r="B538" s="62" t="s">
        <v>365</v>
      </c>
      <c r="C538" s="62">
        <v>42</v>
      </c>
      <c r="D538" s="62" t="s">
        <v>326</v>
      </c>
      <c r="E538" s="63">
        <v>201</v>
      </c>
      <c r="F538" s="63">
        <v>172</v>
      </c>
      <c r="G538" s="63">
        <v>184</v>
      </c>
      <c r="H538" s="63">
        <v>206</v>
      </c>
      <c r="I538" s="63">
        <v>189</v>
      </c>
      <c r="J538" s="63">
        <v>177</v>
      </c>
      <c r="K538" s="63">
        <v>178</v>
      </c>
      <c r="L538" s="63">
        <v>172</v>
      </c>
      <c r="M538" s="63">
        <v>174</v>
      </c>
      <c r="N538" s="63">
        <v>165</v>
      </c>
      <c r="O538" s="63">
        <v>163</v>
      </c>
      <c r="P538" s="63">
        <v>163</v>
      </c>
      <c r="Q538" s="63">
        <v>147</v>
      </c>
      <c r="R538" s="63">
        <v>150</v>
      </c>
      <c r="S538" s="63">
        <v>171</v>
      </c>
      <c r="T538" s="63">
        <v>171</v>
      </c>
      <c r="U538" s="63">
        <v>187</v>
      </c>
      <c r="V538" s="63">
        <v>183</v>
      </c>
      <c r="W538" s="63">
        <v>177</v>
      </c>
      <c r="X538" s="63">
        <v>190</v>
      </c>
      <c r="Y538" s="63">
        <v>198</v>
      </c>
      <c r="Z538" s="63">
        <v>224</v>
      </c>
      <c r="AA538" s="63">
        <v>243</v>
      </c>
      <c r="AB538" s="63">
        <v>260</v>
      </c>
    </row>
    <row r="539" spans="1:28" x14ac:dyDescent="0.2">
      <c r="A539" s="62">
        <v>43</v>
      </c>
      <c r="B539" s="62" t="s">
        <v>365</v>
      </c>
      <c r="C539" s="62" t="s">
        <v>327</v>
      </c>
      <c r="D539" s="62" t="s">
        <v>328</v>
      </c>
      <c r="E539" s="63">
        <v>1894</v>
      </c>
      <c r="F539" s="63">
        <v>1901</v>
      </c>
      <c r="G539" s="63">
        <v>1818</v>
      </c>
      <c r="H539" s="63">
        <v>1826</v>
      </c>
      <c r="I539" s="63">
        <v>1771</v>
      </c>
      <c r="J539" s="63">
        <v>1865</v>
      </c>
      <c r="K539" s="63">
        <v>1898</v>
      </c>
      <c r="L539" s="63">
        <v>1842</v>
      </c>
      <c r="M539" s="63">
        <v>1843</v>
      </c>
      <c r="N539" s="63">
        <v>1846</v>
      </c>
      <c r="O539" s="63">
        <v>1896</v>
      </c>
      <c r="P539" s="63">
        <v>1896</v>
      </c>
      <c r="Q539" s="63">
        <v>1922</v>
      </c>
      <c r="R539" s="63">
        <v>1967</v>
      </c>
      <c r="S539" s="63">
        <v>1955</v>
      </c>
      <c r="T539" s="63">
        <v>1967</v>
      </c>
      <c r="U539" s="63">
        <v>2000</v>
      </c>
      <c r="V539" s="63">
        <v>1964</v>
      </c>
      <c r="W539" s="63">
        <v>1986</v>
      </c>
      <c r="X539" s="63">
        <v>2036</v>
      </c>
      <c r="Y539" s="63">
        <v>2077</v>
      </c>
      <c r="Z539" s="63">
        <v>1941</v>
      </c>
      <c r="AA539" s="63">
        <v>1972</v>
      </c>
      <c r="AB539" s="63">
        <v>1947</v>
      </c>
    </row>
    <row r="540" spans="1:28" x14ac:dyDescent="0.2">
      <c r="A540" s="62">
        <v>43</v>
      </c>
      <c r="B540" s="62" t="s">
        <v>365</v>
      </c>
      <c r="C540" s="62" t="s">
        <v>329</v>
      </c>
      <c r="D540" s="62" t="s">
        <v>330</v>
      </c>
      <c r="E540" s="63">
        <v>329</v>
      </c>
      <c r="F540" s="63">
        <v>330</v>
      </c>
      <c r="G540" s="63">
        <v>338</v>
      </c>
      <c r="H540" s="63">
        <v>363</v>
      </c>
      <c r="I540" s="63">
        <v>383</v>
      </c>
      <c r="J540" s="63">
        <v>394</v>
      </c>
      <c r="K540" s="63">
        <v>399</v>
      </c>
      <c r="L540" s="63">
        <v>400</v>
      </c>
      <c r="M540" s="63">
        <v>393</v>
      </c>
      <c r="N540" s="63">
        <v>381</v>
      </c>
      <c r="O540" s="63">
        <v>384</v>
      </c>
      <c r="P540" s="63">
        <v>419</v>
      </c>
      <c r="Q540" s="63">
        <v>415</v>
      </c>
      <c r="R540" s="63">
        <v>385</v>
      </c>
      <c r="S540" s="63">
        <v>401</v>
      </c>
      <c r="T540" s="63">
        <v>408</v>
      </c>
      <c r="U540" s="63">
        <v>418</v>
      </c>
      <c r="V540" s="63">
        <v>443</v>
      </c>
      <c r="W540" s="63">
        <v>462</v>
      </c>
      <c r="X540" s="63">
        <v>427</v>
      </c>
      <c r="Y540" s="63">
        <v>525</v>
      </c>
      <c r="Z540" s="63">
        <v>575</v>
      </c>
      <c r="AA540" s="63">
        <v>604</v>
      </c>
      <c r="AB540" s="63">
        <v>573</v>
      </c>
    </row>
    <row r="541" spans="1:28" x14ac:dyDescent="0.2">
      <c r="A541" s="62">
        <v>43</v>
      </c>
      <c r="B541" s="62" t="s">
        <v>365</v>
      </c>
      <c r="C541" s="62">
        <v>51</v>
      </c>
      <c r="D541" s="62" t="s">
        <v>331</v>
      </c>
      <c r="E541" s="63">
        <v>182</v>
      </c>
      <c r="F541" s="63">
        <v>198</v>
      </c>
      <c r="G541" s="63">
        <v>183</v>
      </c>
      <c r="H541" s="63">
        <v>187</v>
      </c>
      <c r="I541" s="63">
        <v>206</v>
      </c>
      <c r="J541" s="63">
        <v>191</v>
      </c>
      <c r="K541" s="63">
        <v>194</v>
      </c>
      <c r="L541" s="63">
        <v>188</v>
      </c>
      <c r="M541" s="63">
        <v>171</v>
      </c>
      <c r="N541" s="63">
        <v>175</v>
      </c>
      <c r="O541" s="63">
        <v>133</v>
      </c>
      <c r="P541" s="63">
        <v>121</v>
      </c>
      <c r="Q541" s="63">
        <v>125</v>
      </c>
      <c r="R541" s="63">
        <v>122</v>
      </c>
      <c r="S541" s="63">
        <v>119</v>
      </c>
      <c r="T541" s="63">
        <v>122</v>
      </c>
      <c r="U541" s="63">
        <v>115</v>
      </c>
      <c r="V541" s="63">
        <v>111</v>
      </c>
      <c r="W541" s="63">
        <v>114</v>
      </c>
      <c r="X541" s="63">
        <v>113</v>
      </c>
      <c r="Y541" s="63">
        <v>103</v>
      </c>
      <c r="Z541" s="63">
        <v>109</v>
      </c>
      <c r="AA541" s="63">
        <v>99</v>
      </c>
      <c r="AB541" s="63">
        <v>106</v>
      </c>
    </row>
    <row r="542" spans="1:28" x14ac:dyDescent="0.2">
      <c r="A542" s="62">
        <v>43</v>
      </c>
      <c r="B542" s="62" t="s">
        <v>365</v>
      </c>
      <c r="C542" s="62">
        <v>52</v>
      </c>
      <c r="D542" s="62" t="s">
        <v>332</v>
      </c>
      <c r="E542" s="63">
        <v>393</v>
      </c>
      <c r="F542" s="63">
        <v>379</v>
      </c>
      <c r="G542" s="63">
        <v>391</v>
      </c>
      <c r="H542" s="63">
        <v>416</v>
      </c>
      <c r="I542" s="63">
        <v>390</v>
      </c>
      <c r="J542" s="63">
        <v>384</v>
      </c>
      <c r="K542" s="63">
        <v>400</v>
      </c>
      <c r="L542" s="63">
        <v>376</v>
      </c>
      <c r="M542" s="63">
        <v>330</v>
      </c>
      <c r="N542" s="63">
        <v>310</v>
      </c>
      <c r="O542" s="63">
        <v>296</v>
      </c>
      <c r="P542" s="63">
        <v>285</v>
      </c>
      <c r="Q542" s="63">
        <v>276</v>
      </c>
      <c r="R542" s="63">
        <v>266</v>
      </c>
      <c r="S542" s="63">
        <v>279</v>
      </c>
      <c r="T542" s="63">
        <v>262</v>
      </c>
      <c r="U542" s="63">
        <v>260</v>
      </c>
      <c r="V542" s="63">
        <v>267</v>
      </c>
      <c r="W542" s="63">
        <v>257</v>
      </c>
      <c r="X542" s="63">
        <v>246</v>
      </c>
      <c r="Y542" s="63">
        <v>246</v>
      </c>
      <c r="Z542" s="63">
        <v>268</v>
      </c>
      <c r="AA542" s="63">
        <v>265</v>
      </c>
      <c r="AB542" s="63">
        <v>304</v>
      </c>
    </row>
    <row r="543" spans="1:28" x14ac:dyDescent="0.2">
      <c r="A543" s="62">
        <v>43</v>
      </c>
      <c r="B543" s="62" t="s">
        <v>365</v>
      </c>
      <c r="C543" s="62">
        <v>53</v>
      </c>
      <c r="D543" s="62" t="s">
        <v>333</v>
      </c>
      <c r="E543" s="63">
        <v>351</v>
      </c>
      <c r="F543" s="63">
        <v>358</v>
      </c>
      <c r="G543" s="63">
        <v>369</v>
      </c>
      <c r="H543" s="63">
        <v>401</v>
      </c>
      <c r="I543" s="63">
        <v>441</v>
      </c>
      <c r="J543" s="63">
        <v>447</v>
      </c>
      <c r="K543" s="63">
        <v>445</v>
      </c>
      <c r="L543" s="63">
        <v>411</v>
      </c>
      <c r="M543" s="63">
        <v>413</v>
      </c>
      <c r="N543" s="63">
        <v>411</v>
      </c>
      <c r="O543" s="63">
        <v>422</v>
      </c>
      <c r="P543" s="63">
        <v>413</v>
      </c>
      <c r="Q543" s="63">
        <v>415</v>
      </c>
      <c r="R543" s="63">
        <v>425</v>
      </c>
      <c r="S543" s="63">
        <v>427</v>
      </c>
      <c r="T543" s="63">
        <v>455</v>
      </c>
      <c r="U543" s="63">
        <v>468</v>
      </c>
      <c r="V543" s="63">
        <v>476</v>
      </c>
      <c r="W543" s="63">
        <v>500</v>
      </c>
      <c r="X543" s="63">
        <v>503</v>
      </c>
      <c r="Y543" s="63">
        <v>503</v>
      </c>
      <c r="Z543" s="63">
        <v>511</v>
      </c>
      <c r="AA543" s="63">
        <v>528</v>
      </c>
      <c r="AB543" s="63">
        <v>562</v>
      </c>
    </row>
    <row r="544" spans="1:28" x14ac:dyDescent="0.2">
      <c r="A544" s="62">
        <v>43</v>
      </c>
      <c r="B544" s="62" t="s">
        <v>365</v>
      </c>
      <c r="C544" s="62">
        <v>54</v>
      </c>
      <c r="D544" s="62" t="s">
        <v>334</v>
      </c>
      <c r="E544" s="63">
        <v>459</v>
      </c>
      <c r="F544" s="63">
        <v>474</v>
      </c>
      <c r="G544" s="63">
        <v>479</v>
      </c>
      <c r="H544" s="63">
        <v>516</v>
      </c>
      <c r="I544" s="63">
        <v>501</v>
      </c>
      <c r="J544" s="63">
        <v>532</v>
      </c>
      <c r="K544" s="63">
        <v>540</v>
      </c>
      <c r="L544" s="63">
        <v>536</v>
      </c>
      <c r="M544" s="63">
        <v>512</v>
      </c>
      <c r="N544" s="63">
        <v>512</v>
      </c>
      <c r="O544" s="63">
        <v>501</v>
      </c>
      <c r="P544" s="63">
        <v>510</v>
      </c>
      <c r="Q544" s="63">
        <v>523</v>
      </c>
      <c r="R544" s="63">
        <v>494</v>
      </c>
      <c r="S544" s="63">
        <v>537</v>
      </c>
      <c r="T544" s="63">
        <v>532</v>
      </c>
      <c r="U544" s="63">
        <v>550</v>
      </c>
      <c r="V544" s="63">
        <v>586</v>
      </c>
      <c r="W544" s="63">
        <v>646</v>
      </c>
      <c r="X544" s="63">
        <v>669</v>
      </c>
      <c r="Y544" s="63">
        <v>734</v>
      </c>
      <c r="Z544" s="63">
        <v>784</v>
      </c>
      <c r="AA544" s="63">
        <v>791</v>
      </c>
      <c r="AB544" s="63">
        <v>829</v>
      </c>
    </row>
    <row r="545" spans="1:28" x14ac:dyDescent="0.2">
      <c r="A545" s="62">
        <v>43</v>
      </c>
      <c r="B545" s="62" t="s">
        <v>365</v>
      </c>
      <c r="C545" s="62">
        <v>55</v>
      </c>
      <c r="D545" s="64" t="s">
        <v>335</v>
      </c>
      <c r="E545" s="65"/>
      <c r="F545" s="65"/>
      <c r="G545" s="65"/>
      <c r="H545" s="62"/>
      <c r="I545" s="62"/>
      <c r="J545" s="62"/>
      <c r="K545" s="62"/>
      <c r="L545" s="62"/>
      <c r="M545" s="62"/>
      <c r="N545" s="62"/>
      <c r="O545" s="62"/>
      <c r="P545" s="63">
        <v>2</v>
      </c>
      <c r="Q545" s="63">
        <v>2</v>
      </c>
      <c r="R545" s="63">
        <v>4</v>
      </c>
      <c r="S545" s="62"/>
      <c r="T545" s="63">
        <v>5</v>
      </c>
      <c r="U545" s="63">
        <v>6</v>
      </c>
      <c r="V545" s="63">
        <v>5</v>
      </c>
      <c r="W545" s="63">
        <v>3</v>
      </c>
      <c r="X545" s="63">
        <v>3</v>
      </c>
      <c r="Y545" s="62"/>
      <c r="Z545" s="63">
        <v>4</v>
      </c>
      <c r="AA545" s="63">
        <v>5</v>
      </c>
      <c r="AB545" s="63">
        <v>6</v>
      </c>
    </row>
    <row r="546" spans="1:28" x14ac:dyDescent="0.2">
      <c r="A546" s="62">
        <v>43</v>
      </c>
      <c r="B546" s="62" t="s">
        <v>365</v>
      </c>
      <c r="C546" s="62">
        <v>56</v>
      </c>
      <c r="D546" s="62" t="s">
        <v>336</v>
      </c>
      <c r="E546" s="63">
        <v>315</v>
      </c>
      <c r="F546" s="63">
        <v>376</v>
      </c>
      <c r="G546" s="63">
        <v>357</v>
      </c>
      <c r="H546" s="63">
        <v>429</v>
      </c>
      <c r="I546" s="63">
        <v>435</v>
      </c>
      <c r="J546" s="63">
        <v>454</v>
      </c>
      <c r="K546" s="63">
        <v>462</v>
      </c>
      <c r="L546" s="63">
        <v>408</v>
      </c>
      <c r="M546" s="63">
        <v>407</v>
      </c>
      <c r="N546" s="63">
        <v>390</v>
      </c>
      <c r="O546" s="63">
        <v>410</v>
      </c>
      <c r="P546" s="63">
        <v>448</v>
      </c>
      <c r="Q546" s="63">
        <v>428</v>
      </c>
      <c r="R546" s="63">
        <v>420</v>
      </c>
      <c r="S546" s="63">
        <v>441</v>
      </c>
      <c r="T546" s="63">
        <v>422</v>
      </c>
      <c r="U546" s="63">
        <v>490</v>
      </c>
      <c r="V546" s="63">
        <v>530</v>
      </c>
      <c r="W546" s="63">
        <v>560</v>
      </c>
      <c r="X546" s="63">
        <v>553</v>
      </c>
      <c r="Y546" s="63">
        <v>514</v>
      </c>
      <c r="Z546" s="63">
        <v>549</v>
      </c>
      <c r="AA546" s="63">
        <v>574</v>
      </c>
      <c r="AB546" s="63">
        <v>557</v>
      </c>
    </row>
    <row r="547" spans="1:28" x14ac:dyDescent="0.2">
      <c r="A547" s="62">
        <v>43</v>
      </c>
      <c r="B547" s="62" t="s">
        <v>365</v>
      </c>
      <c r="C547" s="62">
        <v>61</v>
      </c>
      <c r="D547" s="62" t="s">
        <v>337</v>
      </c>
      <c r="E547" s="63">
        <v>69</v>
      </c>
      <c r="F547" s="63">
        <v>45</v>
      </c>
      <c r="G547" s="63">
        <v>48</v>
      </c>
      <c r="H547" s="63">
        <v>47</v>
      </c>
      <c r="I547" s="63">
        <v>56</v>
      </c>
      <c r="J547" s="63">
        <v>91</v>
      </c>
      <c r="K547" s="63">
        <v>116</v>
      </c>
      <c r="L547" s="63">
        <v>89</v>
      </c>
      <c r="M547" s="63">
        <v>72</v>
      </c>
      <c r="N547" s="63">
        <v>68</v>
      </c>
      <c r="O547" s="63">
        <v>56</v>
      </c>
      <c r="P547" s="63">
        <v>58</v>
      </c>
      <c r="Q547" s="63">
        <v>63</v>
      </c>
      <c r="R547" s="63">
        <v>61</v>
      </c>
      <c r="S547" s="63">
        <v>66</v>
      </c>
      <c r="T547" s="63">
        <v>72</v>
      </c>
      <c r="U547" s="63">
        <v>70</v>
      </c>
      <c r="V547" s="63">
        <v>90</v>
      </c>
      <c r="W547" s="63">
        <v>97</v>
      </c>
      <c r="X547" s="63">
        <v>115</v>
      </c>
      <c r="Y547" s="63">
        <v>126</v>
      </c>
      <c r="Z547" s="63">
        <v>122</v>
      </c>
      <c r="AA547" s="63">
        <v>148</v>
      </c>
      <c r="AB547" s="63">
        <v>148</v>
      </c>
    </row>
    <row r="548" spans="1:28" x14ac:dyDescent="0.2">
      <c r="A548" s="62">
        <v>43</v>
      </c>
      <c r="B548" s="62" t="s">
        <v>365</v>
      </c>
      <c r="C548" s="62">
        <v>62</v>
      </c>
      <c r="D548" s="62" t="s">
        <v>338</v>
      </c>
      <c r="E548" s="63">
        <v>1953</v>
      </c>
      <c r="F548" s="63">
        <v>2031</v>
      </c>
      <c r="G548" s="63">
        <v>2047</v>
      </c>
      <c r="H548" s="63">
        <v>2005</v>
      </c>
      <c r="I548" s="63">
        <v>2091</v>
      </c>
      <c r="J548" s="63">
        <v>2186</v>
      </c>
      <c r="K548" s="63">
        <v>2274</v>
      </c>
      <c r="L548" s="63">
        <v>2293</v>
      </c>
      <c r="M548" s="63">
        <v>2232</v>
      </c>
      <c r="N548" s="63">
        <v>2238</v>
      </c>
      <c r="O548" s="63">
        <v>2266</v>
      </c>
      <c r="P548" s="63">
        <v>2228</v>
      </c>
      <c r="Q548" s="63">
        <v>2154</v>
      </c>
      <c r="R548" s="63">
        <v>2196</v>
      </c>
      <c r="S548" s="63">
        <v>2295</v>
      </c>
      <c r="T548" s="63">
        <v>2324</v>
      </c>
      <c r="U548" s="63">
        <v>2381</v>
      </c>
      <c r="V548" s="63">
        <v>2395</v>
      </c>
      <c r="W548" s="63">
        <v>2359</v>
      </c>
      <c r="X548" s="63">
        <v>2299</v>
      </c>
      <c r="Y548" s="63">
        <v>2263</v>
      </c>
      <c r="Z548" s="63">
        <v>2240</v>
      </c>
      <c r="AA548" s="63">
        <v>2290</v>
      </c>
      <c r="AB548" s="63">
        <v>2335</v>
      </c>
    </row>
    <row r="549" spans="1:28" x14ac:dyDescent="0.2">
      <c r="A549" s="62">
        <v>43</v>
      </c>
      <c r="B549" s="62" t="s">
        <v>365</v>
      </c>
      <c r="C549" s="62">
        <v>71</v>
      </c>
      <c r="D549" s="62" t="s">
        <v>339</v>
      </c>
      <c r="E549" s="63">
        <v>381</v>
      </c>
      <c r="F549" s="63">
        <v>348</v>
      </c>
      <c r="G549" s="63">
        <v>410</v>
      </c>
      <c r="H549" s="63">
        <v>386</v>
      </c>
      <c r="I549" s="63">
        <v>413</v>
      </c>
      <c r="J549" s="63">
        <v>374</v>
      </c>
      <c r="K549" s="63">
        <v>402</v>
      </c>
      <c r="L549" s="63">
        <v>462</v>
      </c>
      <c r="M549" s="63">
        <v>447</v>
      </c>
      <c r="N549" s="63">
        <v>476</v>
      </c>
      <c r="O549" s="63">
        <v>512</v>
      </c>
      <c r="P549" s="63">
        <v>496</v>
      </c>
      <c r="Q549" s="63">
        <v>434</v>
      </c>
      <c r="R549" s="63">
        <v>389</v>
      </c>
      <c r="S549" s="63">
        <v>436</v>
      </c>
      <c r="T549" s="63">
        <v>476</v>
      </c>
      <c r="U549" s="63">
        <v>509</v>
      </c>
      <c r="V549" s="63">
        <v>507</v>
      </c>
      <c r="W549" s="63">
        <v>497</v>
      </c>
      <c r="X549" s="63">
        <v>443</v>
      </c>
      <c r="Y549" s="63">
        <v>533</v>
      </c>
      <c r="Z549" s="63">
        <v>565</v>
      </c>
      <c r="AA549" s="63">
        <v>561</v>
      </c>
      <c r="AB549" s="63">
        <v>573</v>
      </c>
    </row>
    <row r="550" spans="1:28" x14ac:dyDescent="0.2">
      <c r="A550" s="62">
        <v>43</v>
      </c>
      <c r="B550" s="62" t="s">
        <v>365</v>
      </c>
      <c r="C550" s="62">
        <v>72</v>
      </c>
      <c r="D550" s="62" t="s">
        <v>340</v>
      </c>
      <c r="E550" s="63">
        <v>1148</v>
      </c>
      <c r="F550" s="63">
        <v>1187</v>
      </c>
      <c r="G550" s="63">
        <v>1116</v>
      </c>
      <c r="H550" s="63">
        <v>1204</v>
      </c>
      <c r="I550" s="63">
        <v>1218</v>
      </c>
      <c r="J550" s="63">
        <v>1224</v>
      </c>
      <c r="K550" s="63">
        <v>1284</v>
      </c>
      <c r="L550" s="63">
        <v>1217</v>
      </c>
      <c r="M550" s="63">
        <v>1160</v>
      </c>
      <c r="N550" s="63">
        <v>1145</v>
      </c>
      <c r="O550" s="63">
        <v>1110</v>
      </c>
      <c r="P550" s="63">
        <v>1117</v>
      </c>
      <c r="Q550" s="63">
        <v>1090</v>
      </c>
      <c r="R550" s="63">
        <v>1048</v>
      </c>
      <c r="S550" s="63">
        <v>1153</v>
      </c>
      <c r="T550" s="63">
        <v>1124</v>
      </c>
      <c r="U550" s="63">
        <v>1161</v>
      </c>
      <c r="V550" s="63">
        <v>1199</v>
      </c>
      <c r="W550" s="63">
        <v>1264</v>
      </c>
      <c r="X550" s="63">
        <v>1168</v>
      </c>
      <c r="Y550" s="63">
        <v>1392</v>
      </c>
      <c r="Z550" s="63">
        <v>1369</v>
      </c>
      <c r="AA550" s="63">
        <v>1314</v>
      </c>
      <c r="AB550" s="63">
        <v>1366</v>
      </c>
    </row>
    <row r="551" spans="1:28" x14ac:dyDescent="0.2">
      <c r="A551" s="62">
        <v>43</v>
      </c>
      <c r="B551" s="62" t="s">
        <v>365</v>
      </c>
      <c r="C551" s="62">
        <v>81</v>
      </c>
      <c r="D551" s="62" t="s">
        <v>341</v>
      </c>
      <c r="E551" s="63">
        <v>622</v>
      </c>
      <c r="F551" s="63">
        <v>677</v>
      </c>
      <c r="G551" s="63">
        <v>673</v>
      </c>
      <c r="H551" s="63">
        <v>703</v>
      </c>
      <c r="I551" s="63">
        <v>681</v>
      </c>
      <c r="J551" s="63">
        <v>688</v>
      </c>
      <c r="K551" s="63">
        <v>652</v>
      </c>
      <c r="L551" s="63">
        <v>651</v>
      </c>
      <c r="M551" s="63">
        <v>632</v>
      </c>
      <c r="N551" s="63">
        <v>650</v>
      </c>
      <c r="O551" s="63">
        <v>665</v>
      </c>
      <c r="P551" s="63">
        <v>671</v>
      </c>
      <c r="Q551" s="63">
        <v>659</v>
      </c>
      <c r="R551" s="63">
        <v>692</v>
      </c>
      <c r="S551" s="63">
        <v>696</v>
      </c>
      <c r="T551" s="63">
        <v>687</v>
      </c>
      <c r="U551" s="63">
        <v>688</v>
      </c>
      <c r="V551" s="63">
        <v>601</v>
      </c>
      <c r="W551" s="63">
        <v>609</v>
      </c>
      <c r="X551" s="63">
        <v>579</v>
      </c>
      <c r="Y551" s="63">
        <v>596</v>
      </c>
      <c r="Z551" s="63">
        <v>641</v>
      </c>
      <c r="AA551" s="63">
        <v>724</v>
      </c>
      <c r="AB551" s="63">
        <v>831</v>
      </c>
    </row>
    <row r="552" spans="1:28" x14ac:dyDescent="0.2">
      <c r="A552" s="62">
        <v>43</v>
      </c>
      <c r="B552" s="62" t="s">
        <v>365</v>
      </c>
      <c r="C552" s="62">
        <v>99</v>
      </c>
      <c r="D552" s="62" t="s">
        <v>342</v>
      </c>
      <c r="E552" s="62"/>
      <c r="F552" s="62"/>
      <c r="G552" s="62"/>
      <c r="H552" s="62"/>
      <c r="I552" s="63">
        <v>1</v>
      </c>
      <c r="J552" s="62"/>
      <c r="K552" s="63">
        <v>0</v>
      </c>
      <c r="L552" s="62"/>
      <c r="M552" s="63">
        <v>3</v>
      </c>
      <c r="N552" s="63">
        <v>0</v>
      </c>
      <c r="O552" s="63">
        <v>0</v>
      </c>
      <c r="P552" s="62"/>
      <c r="Q552" s="62"/>
      <c r="R552" s="62"/>
      <c r="S552" s="62"/>
      <c r="T552" s="63">
        <v>1</v>
      </c>
      <c r="U552" s="63">
        <v>1</v>
      </c>
      <c r="V552" s="63">
        <v>0</v>
      </c>
      <c r="W552" s="62"/>
      <c r="X552" s="63">
        <v>1</v>
      </c>
      <c r="Y552" s="62"/>
      <c r="Z552" s="63">
        <v>2</v>
      </c>
      <c r="AA552" s="63">
        <v>8</v>
      </c>
      <c r="AB552" s="63">
        <v>0</v>
      </c>
    </row>
    <row r="553" spans="1:28" x14ac:dyDescent="0.2">
      <c r="A553" s="62">
        <v>45</v>
      </c>
      <c r="B553" s="62" t="s">
        <v>366</v>
      </c>
      <c r="C553" s="62">
        <v>1</v>
      </c>
      <c r="D553" s="62" t="s">
        <v>316</v>
      </c>
      <c r="E553" s="63">
        <v>315</v>
      </c>
      <c r="F553" s="63">
        <v>325</v>
      </c>
      <c r="G553" s="63">
        <v>322</v>
      </c>
      <c r="H553" s="63">
        <v>308</v>
      </c>
      <c r="I553" s="63">
        <v>298</v>
      </c>
      <c r="J553" s="63">
        <v>295</v>
      </c>
      <c r="K553" s="63">
        <v>305</v>
      </c>
      <c r="L553" s="63">
        <v>316</v>
      </c>
      <c r="M553" s="63">
        <v>328</v>
      </c>
      <c r="N553" s="63">
        <v>333</v>
      </c>
      <c r="O553" s="63">
        <v>295</v>
      </c>
      <c r="P553" s="63">
        <v>281</v>
      </c>
      <c r="Q553" s="63">
        <v>268</v>
      </c>
      <c r="R553" s="63">
        <v>266</v>
      </c>
      <c r="S553" s="63">
        <v>260</v>
      </c>
      <c r="T553" s="63">
        <v>263</v>
      </c>
      <c r="U553" s="63">
        <v>265</v>
      </c>
      <c r="V553" s="63">
        <v>259</v>
      </c>
      <c r="W553" s="63">
        <v>252</v>
      </c>
      <c r="X553" s="63">
        <v>269</v>
      </c>
      <c r="Y553" s="63">
        <v>253</v>
      </c>
      <c r="Z553" s="63">
        <v>234</v>
      </c>
      <c r="AA553" s="63">
        <v>243</v>
      </c>
      <c r="AB553" s="63">
        <v>248</v>
      </c>
    </row>
    <row r="554" spans="1:28" x14ac:dyDescent="0.2">
      <c r="A554" s="62">
        <v>45</v>
      </c>
      <c r="B554" s="62" t="s">
        <v>366</v>
      </c>
      <c r="C554" s="62">
        <v>10</v>
      </c>
      <c r="D554" s="62" t="s">
        <v>317</v>
      </c>
      <c r="E554" s="63">
        <v>24566</v>
      </c>
      <c r="F554" s="63">
        <v>24446</v>
      </c>
      <c r="G554" s="63">
        <v>24849</v>
      </c>
      <c r="H554" s="63">
        <v>25954</v>
      </c>
      <c r="I554" s="63">
        <v>28192</v>
      </c>
      <c r="J554" s="63">
        <v>30945</v>
      </c>
      <c r="K554" s="63">
        <v>33121</v>
      </c>
      <c r="L554" s="63">
        <v>34480</v>
      </c>
      <c r="M554" s="63">
        <v>30866</v>
      </c>
      <c r="N554" s="63">
        <v>28935</v>
      </c>
      <c r="O554" s="63">
        <v>29646</v>
      </c>
      <c r="P554" s="63">
        <v>30159</v>
      </c>
      <c r="Q554" s="63">
        <v>30436</v>
      </c>
      <c r="R554" s="63">
        <v>31127</v>
      </c>
      <c r="S554" s="63">
        <v>31790</v>
      </c>
      <c r="T554" s="63">
        <v>31782</v>
      </c>
      <c r="U554" s="63">
        <v>32147</v>
      </c>
      <c r="V554" s="63">
        <v>32675</v>
      </c>
      <c r="W554" s="63">
        <v>33038</v>
      </c>
      <c r="X554" s="63">
        <v>31468</v>
      </c>
      <c r="Y554" s="63">
        <v>32196</v>
      </c>
      <c r="Z554" s="63">
        <v>32941</v>
      </c>
      <c r="AA554" s="63">
        <v>34197</v>
      </c>
      <c r="AB554" s="63">
        <v>35272</v>
      </c>
    </row>
    <row r="555" spans="1:28" x14ac:dyDescent="0.2">
      <c r="A555" s="62">
        <v>45</v>
      </c>
      <c r="B555" s="62" t="s">
        <v>366</v>
      </c>
      <c r="C555" s="62">
        <v>11</v>
      </c>
      <c r="D555" s="62" t="s">
        <v>318</v>
      </c>
      <c r="E555" s="63">
        <v>283</v>
      </c>
      <c r="F555" s="63">
        <v>265</v>
      </c>
      <c r="G555" s="63">
        <v>240</v>
      </c>
      <c r="H555" s="63">
        <v>205</v>
      </c>
      <c r="I555" s="63">
        <v>231</v>
      </c>
      <c r="J555" s="63">
        <v>252</v>
      </c>
      <c r="K555" s="63">
        <v>267</v>
      </c>
      <c r="L555" s="63">
        <v>246</v>
      </c>
      <c r="M555" s="63">
        <v>243</v>
      </c>
      <c r="N555" s="63">
        <v>238</v>
      </c>
      <c r="O555" s="63">
        <v>270</v>
      </c>
      <c r="P555" s="63">
        <v>286</v>
      </c>
      <c r="Q555" s="63">
        <v>278</v>
      </c>
      <c r="R555" s="63">
        <v>297</v>
      </c>
      <c r="S555" s="63">
        <v>318</v>
      </c>
      <c r="T555" s="63">
        <v>303</v>
      </c>
      <c r="U555" s="63">
        <v>304</v>
      </c>
      <c r="V555" s="63">
        <v>277</v>
      </c>
      <c r="W555" s="63">
        <v>296</v>
      </c>
      <c r="X555" s="63">
        <v>273</v>
      </c>
      <c r="Y555" s="63">
        <v>254</v>
      </c>
      <c r="Z555" s="63">
        <v>328</v>
      </c>
      <c r="AA555" s="63">
        <v>290</v>
      </c>
      <c r="AB555" s="63">
        <v>245</v>
      </c>
    </row>
    <row r="556" spans="1:28" x14ac:dyDescent="0.2">
      <c r="A556" s="62">
        <v>45</v>
      </c>
      <c r="B556" s="62" t="s">
        <v>366</v>
      </c>
      <c r="C556" s="62">
        <v>2</v>
      </c>
      <c r="D556" s="62" t="s">
        <v>319</v>
      </c>
      <c r="E556" s="63">
        <v>413</v>
      </c>
      <c r="F556" s="63">
        <v>422</v>
      </c>
      <c r="G556" s="63">
        <v>419</v>
      </c>
      <c r="H556" s="63">
        <v>427</v>
      </c>
      <c r="I556" s="63">
        <v>428</v>
      </c>
      <c r="J556" s="63">
        <v>417</v>
      </c>
      <c r="K556" s="63">
        <v>427</v>
      </c>
      <c r="L556" s="63">
        <v>475</v>
      </c>
      <c r="M556" s="63">
        <v>487</v>
      </c>
      <c r="N556" s="63">
        <v>492</v>
      </c>
      <c r="O556" s="63">
        <v>507</v>
      </c>
      <c r="P556" s="63">
        <v>495</v>
      </c>
      <c r="Q556" s="63">
        <v>493</v>
      </c>
      <c r="R556" s="63">
        <v>502</v>
      </c>
      <c r="S556" s="63">
        <v>509</v>
      </c>
      <c r="T556" s="63">
        <v>515</v>
      </c>
      <c r="U556" s="63">
        <v>520</v>
      </c>
      <c r="V556" s="63">
        <v>512</v>
      </c>
      <c r="W556" s="63">
        <v>504</v>
      </c>
      <c r="X556" s="63">
        <v>515</v>
      </c>
      <c r="Y556" s="63">
        <v>491</v>
      </c>
      <c r="Z556" s="63">
        <v>460</v>
      </c>
      <c r="AA556" s="63">
        <v>439</v>
      </c>
      <c r="AB556" s="63">
        <v>437</v>
      </c>
    </row>
    <row r="557" spans="1:28" x14ac:dyDescent="0.2">
      <c r="A557" s="62">
        <v>45</v>
      </c>
      <c r="B557" s="62" t="s">
        <v>366</v>
      </c>
      <c r="C557" s="62">
        <v>21</v>
      </c>
      <c r="D557" s="62" t="s">
        <v>320</v>
      </c>
      <c r="E557" s="63">
        <v>330</v>
      </c>
      <c r="F557" s="63">
        <v>403</v>
      </c>
      <c r="G557" s="63">
        <v>462</v>
      </c>
      <c r="H557" s="63">
        <v>494</v>
      </c>
      <c r="I557" s="63">
        <v>1618</v>
      </c>
      <c r="J557" s="63">
        <v>2287</v>
      </c>
      <c r="K557" s="63">
        <v>2455</v>
      </c>
      <c r="L557" s="63">
        <v>2956</v>
      </c>
      <c r="M557" s="63">
        <v>1931</v>
      </c>
      <c r="N557" s="63">
        <v>2045</v>
      </c>
      <c r="O557" s="63">
        <v>2493</v>
      </c>
      <c r="P557" s="63">
        <v>2413</v>
      </c>
      <c r="Q557" s="63">
        <v>2199</v>
      </c>
      <c r="R557" s="63">
        <v>2134</v>
      </c>
      <c r="S557" s="63">
        <v>1612</v>
      </c>
      <c r="T557" s="63">
        <v>1114</v>
      </c>
      <c r="U557" s="63">
        <v>1108</v>
      </c>
      <c r="V557" s="63">
        <v>1156</v>
      </c>
      <c r="W557" s="63">
        <v>1117</v>
      </c>
      <c r="X557" s="63">
        <v>858</v>
      </c>
      <c r="Y557" s="63">
        <v>765</v>
      </c>
      <c r="Z557" s="63">
        <v>858</v>
      </c>
      <c r="AA557" s="63">
        <v>915</v>
      </c>
      <c r="AB557" s="63">
        <v>996</v>
      </c>
    </row>
    <row r="558" spans="1:28" x14ac:dyDescent="0.2">
      <c r="A558" s="62">
        <v>45</v>
      </c>
      <c r="B558" s="62" t="s">
        <v>366</v>
      </c>
      <c r="C558" s="62">
        <v>22</v>
      </c>
      <c r="D558" s="62" t="s">
        <v>321</v>
      </c>
      <c r="E558" s="63">
        <v>252</v>
      </c>
      <c r="F558" s="63">
        <v>240</v>
      </c>
      <c r="G558" s="63">
        <v>186</v>
      </c>
      <c r="H558" s="63">
        <v>183</v>
      </c>
      <c r="I558" s="63">
        <v>201</v>
      </c>
      <c r="J558" s="63">
        <v>206</v>
      </c>
      <c r="K558" s="63">
        <v>204</v>
      </c>
      <c r="L558" s="63">
        <v>219</v>
      </c>
      <c r="M558" s="63">
        <v>229</v>
      </c>
      <c r="N558" s="63">
        <v>216</v>
      </c>
      <c r="O558" s="63">
        <v>208</v>
      </c>
      <c r="P558" s="63">
        <v>212</v>
      </c>
      <c r="Q558" s="63">
        <v>233</v>
      </c>
      <c r="R558" s="63">
        <v>266</v>
      </c>
      <c r="S558" s="63">
        <v>300</v>
      </c>
      <c r="T558" s="63">
        <v>306</v>
      </c>
      <c r="U558" s="63">
        <v>287</v>
      </c>
      <c r="V558" s="63">
        <v>271</v>
      </c>
      <c r="W558" s="63">
        <v>221</v>
      </c>
      <c r="X558" s="63">
        <v>220</v>
      </c>
      <c r="Y558" s="63">
        <v>232</v>
      </c>
      <c r="Z558" s="63">
        <v>212</v>
      </c>
      <c r="AA558" s="63">
        <v>221</v>
      </c>
      <c r="AB558" s="63">
        <v>220</v>
      </c>
    </row>
    <row r="559" spans="1:28" x14ac:dyDescent="0.2">
      <c r="A559" s="62">
        <v>45</v>
      </c>
      <c r="B559" s="62" t="s">
        <v>366</v>
      </c>
      <c r="C559" s="62">
        <v>23</v>
      </c>
      <c r="D559" s="62" t="s">
        <v>322</v>
      </c>
      <c r="E559" s="63">
        <v>4631</v>
      </c>
      <c r="F559" s="63">
        <v>4140</v>
      </c>
      <c r="G559" s="63">
        <v>4023</v>
      </c>
      <c r="H559" s="63">
        <v>4113</v>
      </c>
      <c r="I559" s="63">
        <v>4574</v>
      </c>
      <c r="J559" s="63">
        <v>5195</v>
      </c>
      <c r="K559" s="63">
        <v>5924</v>
      </c>
      <c r="L559" s="63">
        <v>6112</v>
      </c>
      <c r="M559" s="63">
        <v>4845</v>
      </c>
      <c r="N559" s="63">
        <v>3768</v>
      </c>
      <c r="O559" s="63">
        <v>3580</v>
      </c>
      <c r="P559" s="63">
        <v>3697</v>
      </c>
      <c r="Q559" s="63">
        <v>3820</v>
      </c>
      <c r="R559" s="63">
        <v>4065</v>
      </c>
      <c r="S559" s="63">
        <v>4188</v>
      </c>
      <c r="T559" s="63">
        <v>4149</v>
      </c>
      <c r="U559" s="63">
        <v>4251</v>
      </c>
      <c r="V559" s="63">
        <v>4500</v>
      </c>
      <c r="W559" s="63">
        <v>4548</v>
      </c>
      <c r="X559" s="63">
        <v>4515</v>
      </c>
      <c r="Y559" s="63">
        <v>4511</v>
      </c>
      <c r="Z559" s="63">
        <v>4718</v>
      </c>
      <c r="AA559" s="63">
        <v>4929</v>
      </c>
      <c r="AB559" s="63">
        <v>5157</v>
      </c>
    </row>
    <row r="560" spans="1:28" x14ac:dyDescent="0.2">
      <c r="A560" s="62">
        <v>45</v>
      </c>
      <c r="B560" s="62" t="s">
        <v>366</v>
      </c>
      <c r="C560" s="62">
        <v>3</v>
      </c>
      <c r="D560" s="62" t="s">
        <v>323</v>
      </c>
      <c r="E560" s="63">
        <v>2700</v>
      </c>
      <c r="F560" s="63">
        <v>2928</v>
      </c>
      <c r="G560" s="63">
        <v>3022</v>
      </c>
      <c r="H560" s="63">
        <v>3063</v>
      </c>
      <c r="I560" s="63">
        <v>3233</v>
      </c>
      <c r="J560" s="63">
        <v>3393</v>
      </c>
      <c r="K560" s="63">
        <v>3542</v>
      </c>
      <c r="L560" s="63">
        <v>3738</v>
      </c>
      <c r="M560" s="63">
        <v>3957</v>
      </c>
      <c r="N560" s="63">
        <v>3930</v>
      </c>
      <c r="O560" s="63">
        <v>3868</v>
      </c>
      <c r="P560" s="63">
        <v>3942</v>
      </c>
      <c r="Q560" s="63">
        <v>4053</v>
      </c>
      <c r="R560" s="63">
        <v>4119</v>
      </c>
      <c r="S560" s="63">
        <v>4201</v>
      </c>
      <c r="T560" s="63">
        <v>4340</v>
      </c>
      <c r="U560" s="63">
        <v>4387</v>
      </c>
      <c r="V560" s="63">
        <v>4490</v>
      </c>
      <c r="W560" s="63">
        <v>4445</v>
      </c>
      <c r="X560" s="63">
        <v>4273</v>
      </c>
      <c r="Y560" s="63">
        <v>4345</v>
      </c>
      <c r="Z560" s="63">
        <v>4445</v>
      </c>
      <c r="AA560" s="63">
        <v>4662</v>
      </c>
      <c r="AB560" s="63">
        <v>4838</v>
      </c>
    </row>
    <row r="561" spans="1:28" x14ac:dyDescent="0.2">
      <c r="A561" s="62">
        <v>45</v>
      </c>
      <c r="B561" s="62" t="s">
        <v>366</v>
      </c>
      <c r="C561" s="62" t="s">
        <v>324</v>
      </c>
      <c r="D561" s="62" t="s">
        <v>325</v>
      </c>
      <c r="E561" s="63">
        <v>441</v>
      </c>
      <c r="F561" s="63">
        <v>486</v>
      </c>
      <c r="G561" s="63">
        <v>475</v>
      </c>
      <c r="H561" s="63">
        <v>567</v>
      </c>
      <c r="I561" s="63">
        <v>513</v>
      </c>
      <c r="J561" s="63">
        <v>531</v>
      </c>
      <c r="K561" s="63">
        <v>498</v>
      </c>
      <c r="L561" s="63">
        <v>467</v>
      </c>
      <c r="M561" s="63">
        <v>392</v>
      </c>
      <c r="N561" s="63">
        <v>384</v>
      </c>
      <c r="O561" s="63">
        <v>438</v>
      </c>
      <c r="P561" s="63">
        <v>441</v>
      </c>
      <c r="Q561" s="63">
        <v>400</v>
      </c>
      <c r="R561" s="63">
        <v>406</v>
      </c>
      <c r="S561" s="63">
        <v>491</v>
      </c>
      <c r="T561" s="63">
        <v>535</v>
      </c>
      <c r="U561" s="63">
        <v>504</v>
      </c>
      <c r="V561" s="63">
        <v>536</v>
      </c>
      <c r="W561" s="63">
        <v>465</v>
      </c>
      <c r="X561" s="63">
        <v>459</v>
      </c>
      <c r="Y561" s="63">
        <v>471</v>
      </c>
      <c r="Z561" s="63">
        <v>447</v>
      </c>
      <c r="AA561" s="63">
        <v>467</v>
      </c>
      <c r="AB561" s="63">
        <v>508</v>
      </c>
    </row>
    <row r="562" spans="1:28" x14ac:dyDescent="0.2">
      <c r="A562" s="62">
        <v>45</v>
      </c>
      <c r="B562" s="62" t="s">
        <v>366</v>
      </c>
      <c r="C562" s="62">
        <v>42</v>
      </c>
      <c r="D562" s="62" t="s">
        <v>326</v>
      </c>
      <c r="E562" s="63">
        <v>666</v>
      </c>
      <c r="F562" s="63">
        <v>654</v>
      </c>
      <c r="G562" s="63">
        <v>667</v>
      </c>
      <c r="H562" s="63">
        <v>694</v>
      </c>
      <c r="I562" s="63">
        <v>699</v>
      </c>
      <c r="J562" s="63">
        <v>714</v>
      </c>
      <c r="K562" s="63">
        <v>810</v>
      </c>
      <c r="L562" s="63">
        <v>864</v>
      </c>
      <c r="M562" s="63">
        <v>816</v>
      </c>
      <c r="N562" s="63">
        <v>792</v>
      </c>
      <c r="O562" s="63">
        <v>803</v>
      </c>
      <c r="P562" s="63">
        <v>884</v>
      </c>
      <c r="Q562" s="63">
        <v>916</v>
      </c>
      <c r="R562" s="63">
        <v>797</v>
      </c>
      <c r="S562" s="63">
        <v>780</v>
      </c>
      <c r="T562" s="63">
        <v>744</v>
      </c>
      <c r="U562" s="63">
        <v>750</v>
      </c>
      <c r="V562" s="63">
        <v>729</v>
      </c>
      <c r="W562" s="63">
        <v>694</v>
      </c>
      <c r="X562" s="63">
        <v>641</v>
      </c>
      <c r="Y562" s="63">
        <v>619</v>
      </c>
      <c r="Z562" s="63">
        <v>583</v>
      </c>
      <c r="AA562" s="63">
        <v>630</v>
      </c>
      <c r="AB562" s="63">
        <v>592</v>
      </c>
    </row>
    <row r="563" spans="1:28" x14ac:dyDescent="0.2">
      <c r="A563" s="62">
        <v>45</v>
      </c>
      <c r="B563" s="62" t="s">
        <v>366</v>
      </c>
      <c r="C563" s="62" t="s">
        <v>327</v>
      </c>
      <c r="D563" s="62" t="s">
        <v>328</v>
      </c>
      <c r="E563" s="63">
        <v>3316</v>
      </c>
      <c r="F563" s="63">
        <v>3255</v>
      </c>
      <c r="G563" s="63">
        <v>3288</v>
      </c>
      <c r="H563" s="63">
        <v>3469</v>
      </c>
      <c r="I563" s="63">
        <v>3523</v>
      </c>
      <c r="J563" s="63">
        <v>3809</v>
      </c>
      <c r="K563" s="63">
        <v>4036</v>
      </c>
      <c r="L563" s="63">
        <v>3961</v>
      </c>
      <c r="M563" s="63">
        <v>3538</v>
      </c>
      <c r="N563" s="63">
        <v>3261</v>
      </c>
      <c r="O563" s="63">
        <v>3178</v>
      </c>
      <c r="P563" s="63">
        <v>3137</v>
      </c>
      <c r="Q563" s="63">
        <v>3237</v>
      </c>
      <c r="R563" s="63">
        <v>3311</v>
      </c>
      <c r="S563" s="63">
        <v>3459</v>
      </c>
      <c r="T563" s="63">
        <v>3496</v>
      </c>
      <c r="U563" s="63">
        <v>3483</v>
      </c>
      <c r="V563" s="63">
        <v>3505</v>
      </c>
      <c r="W563" s="63">
        <v>3482</v>
      </c>
      <c r="X563" s="63">
        <v>3465</v>
      </c>
      <c r="Y563" s="63">
        <v>3451</v>
      </c>
      <c r="Z563" s="63">
        <v>3413</v>
      </c>
      <c r="AA563" s="63">
        <v>3494</v>
      </c>
      <c r="AB563" s="63">
        <v>3491</v>
      </c>
    </row>
    <row r="564" spans="1:28" x14ac:dyDescent="0.2">
      <c r="A564" s="62">
        <v>45</v>
      </c>
      <c r="B564" s="62" t="s">
        <v>366</v>
      </c>
      <c r="C564" s="62" t="s">
        <v>329</v>
      </c>
      <c r="D564" s="62" t="s">
        <v>330</v>
      </c>
      <c r="E564" s="63">
        <v>309</v>
      </c>
      <c r="F564" s="63">
        <v>369</v>
      </c>
      <c r="G564" s="63">
        <v>465</v>
      </c>
      <c r="H564" s="63">
        <v>583</v>
      </c>
      <c r="I564" s="63">
        <v>750</v>
      </c>
      <c r="J564" s="63">
        <v>1009</v>
      </c>
      <c r="K564" s="63">
        <v>1144</v>
      </c>
      <c r="L564" s="63">
        <v>1139</v>
      </c>
      <c r="M564" s="63">
        <v>970</v>
      </c>
      <c r="N564" s="63">
        <v>780</v>
      </c>
      <c r="O564" s="63">
        <v>941</v>
      </c>
      <c r="P564" s="63">
        <v>876</v>
      </c>
      <c r="Q564" s="63">
        <v>823</v>
      </c>
      <c r="R564" s="63">
        <v>914</v>
      </c>
      <c r="S564" s="63">
        <v>947</v>
      </c>
      <c r="T564" s="63">
        <v>894</v>
      </c>
      <c r="U564" s="63">
        <v>789</v>
      </c>
      <c r="V564" s="63">
        <v>792</v>
      </c>
      <c r="W564" s="63">
        <v>813</v>
      </c>
      <c r="X564" s="63">
        <v>809</v>
      </c>
      <c r="Y564" s="63">
        <v>854</v>
      </c>
      <c r="Z564" s="63">
        <v>840</v>
      </c>
      <c r="AA564" s="63">
        <v>850</v>
      </c>
      <c r="AB564" s="63">
        <v>820</v>
      </c>
    </row>
    <row r="565" spans="1:28" x14ac:dyDescent="0.2">
      <c r="A565" s="62">
        <v>45</v>
      </c>
      <c r="B565" s="62" t="s">
        <v>366</v>
      </c>
      <c r="C565" s="62">
        <v>51</v>
      </c>
      <c r="D565" s="62" t="s">
        <v>331</v>
      </c>
      <c r="E565" s="63">
        <v>291</v>
      </c>
      <c r="F565" s="63">
        <v>271</v>
      </c>
      <c r="G565" s="63">
        <v>278</v>
      </c>
      <c r="H565" s="63">
        <v>290</v>
      </c>
      <c r="I565" s="63">
        <v>285</v>
      </c>
      <c r="J565" s="63">
        <v>295</v>
      </c>
      <c r="K565" s="63">
        <v>266</v>
      </c>
      <c r="L565" s="63">
        <v>257</v>
      </c>
      <c r="M565" s="63">
        <v>200</v>
      </c>
      <c r="N565" s="63">
        <v>209</v>
      </c>
      <c r="O565" s="63">
        <v>204</v>
      </c>
      <c r="P565" s="63">
        <v>225</v>
      </c>
      <c r="Q565" s="63">
        <v>204</v>
      </c>
      <c r="R565" s="63">
        <v>192</v>
      </c>
      <c r="S565" s="63">
        <v>194</v>
      </c>
      <c r="T565" s="63">
        <v>207</v>
      </c>
      <c r="U565" s="63">
        <v>217</v>
      </c>
      <c r="V565" s="63">
        <v>221</v>
      </c>
      <c r="W565" s="63">
        <v>223</v>
      </c>
      <c r="X565" s="63">
        <v>207</v>
      </c>
      <c r="Y565" s="63">
        <v>220</v>
      </c>
      <c r="Z565" s="63">
        <v>242</v>
      </c>
      <c r="AA565" s="63">
        <v>285</v>
      </c>
      <c r="AB565" s="63">
        <v>272</v>
      </c>
    </row>
    <row r="566" spans="1:28" x14ac:dyDescent="0.2">
      <c r="A566" s="62">
        <v>45</v>
      </c>
      <c r="B566" s="62" t="s">
        <v>366</v>
      </c>
      <c r="C566" s="62">
        <v>52</v>
      </c>
      <c r="D566" s="62" t="s">
        <v>332</v>
      </c>
      <c r="E566" s="63">
        <v>604</v>
      </c>
      <c r="F566" s="63">
        <v>613</v>
      </c>
      <c r="G566" s="63">
        <v>644</v>
      </c>
      <c r="H566" s="63">
        <v>661</v>
      </c>
      <c r="I566" s="63">
        <v>655</v>
      </c>
      <c r="J566" s="63">
        <v>697</v>
      </c>
      <c r="K566" s="63">
        <v>600</v>
      </c>
      <c r="L566" s="63">
        <v>731</v>
      </c>
      <c r="M566" s="63">
        <v>574</v>
      </c>
      <c r="N566" s="63">
        <v>542</v>
      </c>
      <c r="O566" s="63">
        <v>635</v>
      </c>
      <c r="P566" s="63">
        <v>631</v>
      </c>
      <c r="Q566" s="63">
        <v>634</v>
      </c>
      <c r="R566" s="63">
        <v>614</v>
      </c>
      <c r="S566" s="63">
        <v>617</v>
      </c>
      <c r="T566" s="63">
        <v>609</v>
      </c>
      <c r="U566" s="63">
        <v>630</v>
      </c>
      <c r="V566" s="63">
        <v>624</v>
      </c>
      <c r="W566" s="63">
        <v>653</v>
      </c>
      <c r="X566" s="63">
        <v>643</v>
      </c>
      <c r="Y566" s="63">
        <v>646</v>
      </c>
      <c r="Z566" s="63">
        <v>652</v>
      </c>
      <c r="AA566" s="63">
        <v>653</v>
      </c>
      <c r="AB566" s="63">
        <v>645</v>
      </c>
    </row>
    <row r="567" spans="1:28" x14ac:dyDescent="0.2">
      <c r="A567" s="62">
        <v>45</v>
      </c>
      <c r="B567" s="62" t="s">
        <v>366</v>
      </c>
      <c r="C567" s="62">
        <v>53</v>
      </c>
      <c r="D567" s="62" t="s">
        <v>333</v>
      </c>
      <c r="E567" s="63">
        <v>1055</v>
      </c>
      <c r="F567" s="63">
        <v>1085</v>
      </c>
      <c r="G567" s="63">
        <v>1127</v>
      </c>
      <c r="H567" s="63">
        <v>1245</v>
      </c>
      <c r="I567" s="63">
        <v>1305</v>
      </c>
      <c r="J567" s="63">
        <v>1456</v>
      </c>
      <c r="K567" s="63">
        <v>1539</v>
      </c>
      <c r="L567" s="63">
        <v>1726</v>
      </c>
      <c r="M567" s="63">
        <v>1619</v>
      </c>
      <c r="N567" s="63">
        <v>1531</v>
      </c>
      <c r="O567" s="63">
        <v>1561</v>
      </c>
      <c r="P567" s="63">
        <v>1576</v>
      </c>
      <c r="Q567" s="63">
        <v>1544</v>
      </c>
      <c r="R567" s="63">
        <v>1546</v>
      </c>
      <c r="S567" s="63">
        <v>1591</v>
      </c>
      <c r="T567" s="63">
        <v>1602</v>
      </c>
      <c r="U567" s="63">
        <v>1623</v>
      </c>
      <c r="V567" s="63">
        <v>1668</v>
      </c>
      <c r="W567" s="63">
        <v>1687</v>
      </c>
      <c r="X567" s="63">
        <v>1525</v>
      </c>
      <c r="Y567" s="63">
        <v>1546</v>
      </c>
      <c r="Z567" s="63">
        <v>1555</v>
      </c>
      <c r="AA567" s="63">
        <v>1661</v>
      </c>
      <c r="AB567" s="63">
        <v>1707</v>
      </c>
    </row>
    <row r="568" spans="1:28" x14ac:dyDescent="0.2">
      <c r="A568" s="62">
        <v>45</v>
      </c>
      <c r="B568" s="62" t="s">
        <v>366</v>
      </c>
      <c r="C568" s="62">
        <v>54</v>
      </c>
      <c r="D568" s="62" t="s">
        <v>334</v>
      </c>
      <c r="E568" s="63">
        <v>1419</v>
      </c>
      <c r="F568" s="63">
        <v>1494</v>
      </c>
      <c r="G568" s="63">
        <v>1513</v>
      </c>
      <c r="H568" s="63">
        <v>1615</v>
      </c>
      <c r="I568" s="63">
        <v>1639</v>
      </c>
      <c r="J568" s="63">
        <v>1730</v>
      </c>
      <c r="K568" s="63">
        <v>1912</v>
      </c>
      <c r="L568" s="63">
        <v>2002</v>
      </c>
      <c r="M568" s="63">
        <v>1851</v>
      </c>
      <c r="N568" s="63">
        <v>1777</v>
      </c>
      <c r="O568" s="63">
        <v>1811</v>
      </c>
      <c r="P568" s="63">
        <v>1811</v>
      </c>
      <c r="Q568" s="63">
        <v>1773</v>
      </c>
      <c r="R568" s="63">
        <v>1844</v>
      </c>
      <c r="S568" s="63">
        <v>1868</v>
      </c>
      <c r="T568" s="63">
        <v>1951</v>
      </c>
      <c r="U568" s="63">
        <v>2031</v>
      </c>
      <c r="V568" s="63">
        <v>2116</v>
      </c>
      <c r="W568" s="63">
        <v>2233</v>
      </c>
      <c r="X568" s="63">
        <v>2242</v>
      </c>
      <c r="Y568" s="63">
        <v>2312</v>
      </c>
      <c r="Z568" s="63">
        <v>2421</v>
      </c>
      <c r="AA568" s="63">
        <v>2509</v>
      </c>
      <c r="AB568" s="63">
        <v>2561</v>
      </c>
    </row>
    <row r="569" spans="1:28" x14ac:dyDescent="0.2">
      <c r="A569" s="62">
        <v>45</v>
      </c>
      <c r="B569" s="62" t="s">
        <v>366</v>
      </c>
      <c r="C569" s="62">
        <v>55</v>
      </c>
      <c r="D569" s="64" t="s">
        <v>335</v>
      </c>
      <c r="E569" s="65"/>
      <c r="F569" s="65"/>
      <c r="G569" s="63">
        <v>143</v>
      </c>
      <c r="H569" s="63">
        <v>141</v>
      </c>
      <c r="I569" s="63">
        <v>144</v>
      </c>
      <c r="J569" s="63">
        <v>145</v>
      </c>
      <c r="K569" s="63">
        <v>144</v>
      </c>
      <c r="L569" s="63">
        <v>157</v>
      </c>
      <c r="M569" s="63">
        <v>151</v>
      </c>
      <c r="N569" s="63">
        <v>147</v>
      </c>
      <c r="O569" s="63">
        <v>156</v>
      </c>
      <c r="P569" s="63">
        <v>166</v>
      </c>
      <c r="Q569" s="63">
        <v>172</v>
      </c>
      <c r="R569" s="63">
        <v>168</v>
      </c>
      <c r="S569" s="63">
        <v>149</v>
      </c>
      <c r="T569" s="63">
        <v>141</v>
      </c>
      <c r="U569" s="63">
        <v>142</v>
      </c>
      <c r="V569" s="63">
        <v>150</v>
      </c>
      <c r="W569" s="63">
        <v>156</v>
      </c>
      <c r="X569" s="63">
        <v>151</v>
      </c>
      <c r="Y569" s="63">
        <v>169</v>
      </c>
      <c r="Z569" s="63">
        <v>209</v>
      </c>
      <c r="AA569" s="63">
        <v>195</v>
      </c>
      <c r="AB569" s="63">
        <v>195</v>
      </c>
    </row>
    <row r="570" spans="1:28" x14ac:dyDescent="0.2">
      <c r="A570" s="62">
        <v>45</v>
      </c>
      <c r="B570" s="62" t="s">
        <v>366</v>
      </c>
      <c r="C570" s="62">
        <v>56</v>
      </c>
      <c r="D570" s="62" t="s">
        <v>336</v>
      </c>
      <c r="E570" s="63">
        <v>1160</v>
      </c>
      <c r="F570" s="63">
        <v>1107</v>
      </c>
      <c r="G570" s="63">
        <v>1091</v>
      </c>
      <c r="H570" s="63">
        <v>1136</v>
      </c>
      <c r="I570" s="63">
        <v>1165</v>
      </c>
      <c r="J570" s="63">
        <v>1202</v>
      </c>
      <c r="K570" s="63">
        <v>1366</v>
      </c>
      <c r="L570" s="63">
        <v>1424</v>
      </c>
      <c r="M570" s="63">
        <v>1265</v>
      </c>
      <c r="N570" s="63">
        <v>1230</v>
      </c>
      <c r="O570" s="63">
        <v>1299</v>
      </c>
      <c r="P570" s="63">
        <v>1407</v>
      </c>
      <c r="Q570" s="63">
        <v>1485</v>
      </c>
      <c r="R570" s="63">
        <v>1550</v>
      </c>
      <c r="S570" s="63">
        <v>1696</v>
      </c>
      <c r="T570" s="63">
        <v>1727</v>
      </c>
      <c r="U570" s="63">
        <v>1769</v>
      </c>
      <c r="V570" s="63">
        <v>1851</v>
      </c>
      <c r="W570" s="63">
        <v>1890</v>
      </c>
      <c r="X570" s="63">
        <v>1783</v>
      </c>
      <c r="Y570" s="63">
        <v>1854</v>
      </c>
      <c r="Z570" s="63">
        <v>1903</v>
      </c>
      <c r="AA570" s="63">
        <v>1932</v>
      </c>
      <c r="AB570" s="63">
        <v>1953</v>
      </c>
    </row>
    <row r="571" spans="1:28" x14ac:dyDescent="0.2">
      <c r="A571" s="62">
        <v>45</v>
      </c>
      <c r="B571" s="62" t="s">
        <v>366</v>
      </c>
      <c r="C571" s="62">
        <v>61</v>
      </c>
      <c r="D571" s="62" t="s">
        <v>337</v>
      </c>
      <c r="E571" s="63">
        <v>278</v>
      </c>
      <c r="F571" s="63">
        <v>276</v>
      </c>
      <c r="G571" s="63">
        <v>312</v>
      </c>
      <c r="H571" s="63">
        <v>215</v>
      </c>
      <c r="I571" s="63">
        <v>232</v>
      </c>
      <c r="J571" s="63">
        <v>245</v>
      </c>
      <c r="K571" s="63">
        <v>286</v>
      </c>
      <c r="L571" s="63">
        <v>302</v>
      </c>
      <c r="M571" s="63">
        <v>306</v>
      </c>
      <c r="N571" s="63">
        <v>308</v>
      </c>
      <c r="O571" s="63">
        <v>301</v>
      </c>
      <c r="P571" s="63">
        <v>343</v>
      </c>
      <c r="Q571" s="63">
        <v>378</v>
      </c>
      <c r="R571" s="63">
        <v>362</v>
      </c>
      <c r="S571" s="63">
        <v>398</v>
      </c>
      <c r="T571" s="63">
        <v>405</v>
      </c>
      <c r="U571" s="63">
        <v>429</v>
      </c>
      <c r="V571" s="63">
        <v>453</v>
      </c>
      <c r="W571" s="63">
        <v>463</v>
      </c>
      <c r="X571" s="63">
        <v>402</v>
      </c>
      <c r="Y571" s="63">
        <v>479</v>
      </c>
      <c r="Z571" s="63">
        <v>537</v>
      </c>
      <c r="AA571" s="63">
        <v>592</v>
      </c>
      <c r="AB571" s="63">
        <v>668</v>
      </c>
    </row>
    <row r="572" spans="1:28" x14ac:dyDescent="0.2">
      <c r="A572" s="62">
        <v>45</v>
      </c>
      <c r="B572" s="62" t="s">
        <v>366</v>
      </c>
      <c r="C572" s="62">
        <v>62</v>
      </c>
      <c r="D572" s="62" t="s">
        <v>338</v>
      </c>
      <c r="E572" s="63">
        <v>1672</v>
      </c>
      <c r="F572" s="63">
        <v>1762</v>
      </c>
      <c r="G572" s="63">
        <v>1893</v>
      </c>
      <c r="H572" s="63">
        <v>2057</v>
      </c>
      <c r="I572" s="63">
        <v>2171</v>
      </c>
      <c r="J572" s="63">
        <v>2230</v>
      </c>
      <c r="K572" s="63">
        <v>2254</v>
      </c>
      <c r="L572" s="63">
        <v>2317</v>
      </c>
      <c r="M572" s="63">
        <v>2364</v>
      </c>
      <c r="N572" s="63">
        <v>2395</v>
      </c>
      <c r="O572" s="63">
        <v>2574</v>
      </c>
      <c r="P572" s="63">
        <v>2624</v>
      </c>
      <c r="Q572" s="63">
        <v>2655</v>
      </c>
      <c r="R572" s="63">
        <v>2674</v>
      </c>
      <c r="S572" s="63">
        <v>2903</v>
      </c>
      <c r="T572" s="63">
        <v>3080</v>
      </c>
      <c r="U572" s="63">
        <v>3011</v>
      </c>
      <c r="V572" s="63">
        <v>3129</v>
      </c>
      <c r="W572" s="63">
        <v>3228</v>
      </c>
      <c r="X572" s="63">
        <v>3189</v>
      </c>
      <c r="Y572" s="63">
        <v>3249</v>
      </c>
      <c r="Z572" s="63">
        <v>3200</v>
      </c>
      <c r="AA572" s="63">
        <v>3391</v>
      </c>
      <c r="AB572" s="63">
        <v>3681</v>
      </c>
    </row>
    <row r="573" spans="1:28" x14ac:dyDescent="0.2">
      <c r="A573" s="62">
        <v>45</v>
      </c>
      <c r="B573" s="62" t="s">
        <v>366</v>
      </c>
      <c r="C573" s="62">
        <v>71</v>
      </c>
      <c r="D573" s="62" t="s">
        <v>339</v>
      </c>
      <c r="E573" s="63">
        <v>589</v>
      </c>
      <c r="F573" s="63">
        <v>579</v>
      </c>
      <c r="G573" s="63">
        <v>573</v>
      </c>
      <c r="H573" s="63">
        <v>595</v>
      </c>
      <c r="I573" s="63">
        <v>609</v>
      </c>
      <c r="J573" s="63">
        <v>616</v>
      </c>
      <c r="K573" s="63">
        <v>649</v>
      </c>
      <c r="L573" s="63">
        <v>609</v>
      </c>
      <c r="M573" s="63">
        <v>615</v>
      </c>
      <c r="N573" s="63">
        <v>617</v>
      </c>
      <c r="O573" s="63">
        <v>599</v>
      </c>
      <c r="P573" s="63">
        <v>646</v>
      </c>
      <c r="Q573" s="63">
        <v>672</v>
      </c>
      <c r="R573" s="63">
        <v>702</v>
      </c>
      <c r="S573" s="63">
        <v>763</v>
      </c>
      <c r="T573" s="63">
        <v>799</v>
      </c>
      <c r="U573" s="63">
        <v>913</v>
      </c>
      <c r="V573" s="63">
        <v>923</v>
      </c>
      <c r="W573" s="63">
        <v>998</v>
      </c>
      <c r="X573" s="63">
        <v>907</v>
      </c>
      <c r="Y573" s="63">
        <v>1102</v>
      </c>
      <c r="Z573" s="63">
        <v>1159</v>
      </c>
      <c r="AA573" s="63">
        <v>1236</v>
      </c>
      <c r="AB573" s="63">
        <v>1291</v>
      </c>
    </row>
    <row r="574" spans="1:28" x14ac:dyDescent="0.2">
      <c r="A574" s="62">
        <v>45</v>
      </c>
      <c r="B574" s="62" t="s">
        <v>366</v>
      </c>
      <c r="C574" s="62">
        <v>72</v>
      </c>
      <c r="D574" s="62" t="s">
        <v>340</v>
      </c>
      <c r="E574" s="63">
        <v>2368</v>
      </c>
      <c r="F574" s="63">
        <v>2348</v>
      </c>
      <c r="G574" s="63">
        <v>2391</v>
      </c>
      <c r="H574" s="63">
        <v>2536</v>
      </c>
      <c r="I574" s="63">
        <v>2624</v>
      </c>
      <c r="J574" s="63">
        <v>2859</v>
      </c>
      <c r="K574" s="63">
        <v>2977</v>
      </c>
      <c r="L574" s="63">
        <v>3033</v>
      </c>
      <c r="M574" s="63">
        <v>2756</v>
      </c>
      <c r="N574" s="63">
        <v>2526</v>
      </c>
      <c r="O574" s="63">
        <v>2570</v>
      </c>
      <c r="P574" s="63">
        <v>2718</v>
      </c>
      <c r="Q574" s="63">
        <v>2808</v>
      </c>
      <c r="R574" s="63">
        <v>2951</v>
      </c>
      <c r="S574" s="63">
        <v>3054</v>
      </c>
      <c r="T574" s="63">
        <v>3186</v>
      </c>
      <c r="U574" s="63">
        <v>3213</v>
      </c>
      <c r="V574" s="63">
        <v>3251</v>
      </c>
      <c r="W574" s="63">
        <v>3375</v>
      </c>
      <c r="X574" s="63">
        <v>2843</v>
      </c>
      <c r="Y574" s="63">
        <v>3059</v>
      </c>
      <c r="Z574" s="63">
        <v>3170</v>
      </c>
      <c r="AA574" s="63">
        <v>3235</v>
      </c>
      <c r="AB574" s="63">
        <v>3230</v>
      </c>
    </row>
    <row r="575" spans="1:28" x14ac:dyDescent="0.2">
      <c r="A575" s="62">
        <v>45</v>
      </c>
      <c r="B575" s="62" t="s">
        <v>366</v>
      </c>
      <c r="C575" s="62">
        <v>81</v>
      </c>
      <c r="D575" s="62" t="s">
        <v>341</v>
      </c>
      <c r="E575" s="63">
        <v>1283</v>
      </c>
      <c r="F575" s="63">
        <v>1236</v>
      </c>
      <c r="G575" s="63">
        <v>1260</v>
      </c>
      <c r="H575" s="63">
        <v>1281</v>
      </c>
      <c r="I575" s="63">
        <v>1285</v>
      </c>
      <c r="J575" s="63">
        <v>1348</v>
      </c>
      <c r="K575" s="63">
        <v>1383</v>
      </c>
      <c r="L575" s="63">
        <v>1409</v>
      </c>
      <c r="M575" s="63">
        <v>1303</v>
      </c>
      <c r="N575" s="63">
        <v>1281</v>
      </c>
      <c r="O575" s="63">
        <v>1341</v>
      </c>
      <c r="P575" s="63">
        <v>1337</v>
      </c>
      <c r="Q575" s="63">
        <v>1376</v>
      </c>
      <c r="R575" s="63">
        <v>1427</v>
      </c>
      <c r="S575" s="63">
        <v>1471</v>
      </c>
      <c r="T575" s="63">
        <v>1400</v>
      </c>
      <c r="U575" s="63">
        <v>1509</v>
      </c>
      <c r="V575" s="63">
        <v>1253</v>
      </c>
      <c r="W575" s="63">
        <v>1283</v>
      </c>
      <c r="X575" s="63">
        <v>1270</v>
      </c>
      <c r="Y575" s="63">
        <v>1296</v>
      </c>
      <c r="Z575" s="63">
        <v>1340</v>
      </c>
      <c r="AA575" s="63">
        <v>1348</v>
      </c>
      <c r="AB575" s="63">
        <v>1505</v>
      </c>
    </row>
    <row r="576" spans="1:28" x14ac:dyDescent="0.2">
      <c r="A576" s="62">
        <v>45</v>
      </c>
      <c r="B576" s="62" t="s">
        <v>366</v>
      </c>
      <c r="C576" s="62">
        <v>99</v>
      </c>
      <c r="D576" s="62" t="s">
        <v>342</v>
      </c>
      <c r="E576" s="62"/>
      <c r="F576" s="62"/>
      <c r="G576" s="63">
        <v>0</v>
      </c>
      <c r="H576" s="63">
        <v>0</v>
      </c>
      <c r="I576" s="63">
        <v>3</v>
      </c>
      <c r="J576" s="63">
        <v>6</v>
      </c>
      <c r="K576" s="63">
        <v>0</v>
      </c>
      <c r="L576" s="63">
        <v>11</v>
      </c>
      <c r="M576" s="63">
        <v>1</v>
      </c>
      <c r="N576" s="63">
        <v>0</v>
      </c>
      <c r="O576" s="63">
        <v>1</v>
      </c>
      <c r="P576" s="63">
        <v>1</v>
      </c>
      <c r="Q576" s="63">
        <v>1</v>
      </c>
      <c r="R576" s="63">
        <v>9</v>
      </c>
      <c r="S576" s="63">
        <v>12</v>
      </c>
      <c r="T576" s="63">
        <v>5</v>
      </c>
      <c r="U576" s="63">
        <v>0</v>
      </c>
      <c r="V576" s="63">
        <v>1</v>
      </c>
      <c r="W576" s="63">
        <v>0</v>
      </c>
      <c r="X576" s="63">
        <v>0</v>
      </c>
      <c r="Y576" s="63">
        <v>5</v>
      </c>
      <c r="Z576" s="63">
        <v>4</v>
      </c>
      <c r="AA576" s="63">
        <v>9</v>
      </c>
      <c r="AB576" s="63">
        <v>2</v>
      </c>
    </row>
    <row r="577" spans="1:28" x14ac:dyDescent="0.2">
      <c r="A577" s="62">
        <v>47</v>
      </c>
      <c r="B577" s="62" t="s">
        <v>367</v>
      </c>
      <c r="C577" s="62">
        <v>1</v>
      </c>
      <c r="D577" s="62" t="s">
        <v>316</v>
      </c>
      <c r="E577" s="63">
        <v>5</v>
      </c>
      <c r="F577" s="63">
        <v>5</v>
      </c>
      <c r="G577" s="63">
        <v>5</v>
      </c>
      <c r="H577" s="63">
        <v>5</v>
      </c>
      <c r="I577" s="63">
        <v>6</v>
      </c>
      <c r="J577" s="63">
        <v>5</v>
      </c>
      <c r="K577" s="63">
        <v>6</v>
      </c>
      <c r="L577" s="63">
        <v>8</v>
      </c>
      <c r="M577" s="63">
        <v>10</v>
      </c>
      <c r="N577" s="63">
        <v>18</v>
      </c>
      <c r="O577" s="63">
        <v>10</v>
      </c>
      <c r="P577" s="63">
        <v>10</v>
      </c>
      <c r="Q577" s="63">
        <v>9</v>
      </c>
      <c r="R577" s="62"/>
      <c r="S577" s="63">
        <v>8</v>
      </c>
      <c r="T577" s="62"/>
      <c r="U577" s="63">
        <v>10</v>
      </c>
      <c r="V577" s="62"/>
      <c r="W577" s="63">
        <v>8</v>
      </c>
      <c r="X577" s="63">
        <v>16</v>
      </c>
      <c r="Y577" s="63">
        <v>9</v>
      </c>
      <c r="Z577" s="63">
        <v>8</v>
      </c>
      <c r="AA577" s="63">
        <v>11</v>
      </c>
      <c r="AB577" s="63">
        <v>10</v>
      </c>
    </row>
    <row r="578" spans="1:28" x14ac:dyDescent="0.2">
      <c r="A578" s="62">
        <v>47</v>
      </c>
      <c r="B578" s="62" t="s">
        <v>367</v>
      </c>
      <c r="C578" s="62">
        <v>10</v>
      </c>
      <c r="D578" s="62" t="s">
        <v>317</v>
      </c>
      <c r="E578" s="63">
        <v>5775</v>
      </c>
      <c r="F578" s="63">
        <v>6176</v>
      </c>
      <c r="G578" s="63">
        <v>5713</v>
      </c>
      <c r="H578" s="63">
        <v>5666</v>
      </c>
      <c r="I578" s="63">
        <v>5858</v>
      </c>
      <c r="J578" s="63">
        <v>5762</v>
      </c>
      <c r="K578" s="63">
        <v>5413</v>
      </c>
      <c r="L578" s="63">
        <v>5277</v>
      </c>
      <c r="M578" s="63">
        <v>5598</v>
      </c>
      <c r="N578" s="63">
        <v>6024</v>
      </c>
      <c r="O578" s="63">
        <v>5891</v>
      </c>
      <c r="P578" s="63">
        <v>5847</v>
      </c>
      <c r="Q578" s="63">
        <v>5717</v>
      </c>
      <c r="R578" s="63">
        <v>5534</v>
      </c>
      <c r="S578" s="63">
        <v>5549</v>
      </c>
      <c r="T578" s="63">
        <v>5556</v>
      </c>
      <c r="U578" s="63">
        <v>5498</v>
      </c>
      <c r="V578" s="63">
        <v>5464</v>
      </c>
      <c r="W578" s="63">
        <v>5348</v>
      </c>
      <c r="X578" s="63">
        <v>4105</v>
      </c>
      <c r="Y578" s="63">
        <v>4686</v>
      </c>
      <c r="Z578" s="63">
        <v>5058</v>
      </c>
      <c r="AA578" s="63">
        <v>5238</v>
      </c>
      <c r="AB578" s="63">
        <v>5512</v>
      </c>
    </row>
    <row r="579" spans="1:28" x14ac:dyDescent="0.2">
      <c r="A579" s="62">
        <v>47</v>
      </c>
      <c r="B579" s="62" t="s">
        <v>367</v>
      </c>
      <c r="C579" s="62">
        <v>11</v>
      </c>
      <c r="D579" s="64" t="s">
        <v>318</v>
      </c>
      <c r="E579" s="65"/>
      <c r="F579" s="65"/>
      <c r="G579" s="62"/>
      <c r="H579" s="62"/>
      <c r="I579" s="62"/>
      <c r="J579" s="63">
        <v>7</v>
      </c>
      <c r="K579" s="63">
        <v>6</v>
      </c>
      <c r="L579" s="62"/>
      <c r="M579" s="63">
        <v>26</v>
      </c>
      <c r="N579" s="63">
        <v>21</v>
      </c>
      <c r="O579" s="63">
        <v>17</v>
      </c>
      <c r="P579" s="63">
        <v>16</v>
      </c>
      <c r="Q579" s="63">
        <v>12</v>
      </c>
      <c r="R579" s="63">
        <v>10</v>
      </c>
      <c r="S579" s="63">
        <v>10</v>
      </c>
      <c r="T579" s="63">
        <v>12</v>
      </c>
      <c r="U579" s="63">
        <v>19</v>
      </c>
      <c r="V579" s="63">
        <v>18</v>
      </c>
      <c r="W579" s="63">
        <v>21</v>
      </c>
      <c r="X579" s="63">
        <v>19</v>
      </c>
      <c r="Y579" s="63">
        <v>15</v>
      </c>
      <c r="Z579" s="63">
        <v>9</v>
      </c>
      <c r="AA579" s="63">
        <v>9</v>
      </c>
      <c r="AB579" s="63">
        <v>11</v>
      </c>
    </row>
    <row r="580" spans="1:28" x14ac:dyDescent="0.2">
      <c r="A580" s="62">
        <v>47</v>
      </c>
      <c r="B580" s="62" t="s">
        <v>367</v>
      </c>
      <c r="C580" s="62">
        <v>2</v>
      </c>
      <c r="D580" s="62" t="s">
        <v>319</v>
      </c>
      <c r="E580" s="63">
        <v>13</v>
      </c>
      <c r="F580" s="63">
        <v>25</v>
      </c>
      <c r="G580" s="63">
        <v>26</v>
      </c>
      <c r="H580" s="63">
        <v>27</v>
      </c>
      <c r="I580" s="63">
        <v>28</v>
      </c>
      <c r="J580" s="63">
        <v>25</v>
      </c>
      <c r="K580" s="63">
        <v>20</v>
      </c>
      <c r="L580" s="63">
        <v>19</v>
      </c>
      <c r="M580" s="63">
        <v>22</v>
      </c>
      <c r="N580" s="63">
        <v>21</v>
      </c>
      <c r="O580" s="63">
        <v>21</v>
      </c>
      <c r="P580" s="63">
        <v>22</v>
      </c>
      <c r="Q580" s="63">
        <v>24</v>
      </c>
      <c r="R580" s="63">
        <v>26</v>
      </c>
      <c r="S580" s="63">
        <v>25</v>
      </c>
      <c r="T580" s="63">
        <v>25</v>
      </c>
      <c r="U580" s="63">
        <v>26</v>
      </c>
      <c r="V580" s="63">
        <v>26</v>
      </c>
      <c r="W580" s="63">
        <v>26</v>
      </c>
      <c r="X580" s="63">
        <v>29</v>
      </c>
      <c r="Y580" s="63">
        <v>32</v>
      </c>
      <c r="Z580" s="63">
        <v>35</v>
      </c>
      <c r="AA580" s="63">
        <v>34</v>
      </c>
      <c r="AB580" s="63">
        <v>36</v>
      </c>
    </row>
    <row r="581" spans="1:28" x14ac:dyDescent="0.2">
      <c r="A581" s="62">
        <v>47</v>
      </c>
      <c r="B581" s="62" t="s">
        <v>367</v>
      </c>
      <c r="C581" s="62">
        <v>21</v>
      </c>
      <c r="D581" s="62" t="s">
        <v>320</v>
      </c>
      <c r="E581" s="63">
        <v>0</v>
      </c>
      <c r="F581" s="63">
        <v>1</v>
      </c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</row>
    <row r="582" spans="1:28" x14ac:dyDescent="0.2">
      <c r="A582" s="62">
        <v>47</v>
      </c>
      <c r="B582" s="62" t="s">
        <v>367</v>
      </c>
      <c r="C582" s="62">
        <v>22</v>
      </c>
      <c r="D582" s="62" t="s">
        <v>321</v>
      </c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</row>
    <row r="583" spans="1:28" x14ac:dyDescent="0.2">
      <c r="A583" s="62">
        <v>47</v>
      </c>
      <c r="B583" s="62" t="s">
        <v>367</v>
      </c>
      <c r="C583" s="62">
        <v>23</v>
      </c>
      <c r="D583" s="62" t="s">
        <v>322</v>
      </c>
      <c r="E583" s="63">
        <v>156</v>
      </c>
      <c r="F583" s="63">
        <v>188</v>
      </c>
      <c r="G583" s="63">
        <v>163</v>
      </c>
      <c r="H583" s="63">
        <v>173</v>
      </c>
      <c r="I583" s="63">
        <v>203</v>
      </c>
      <c r="J583" s="63">
        <v>197</v>
      </c>
      <c r="K583" s="63">
        <v>189</v>
      </c>
      <c r="L583" s="63">
        <v>187</v>
      </c>
      <c r="M583" s="63">
        <v>145</v>
      </c>
      <c r="N583" s="63">
        <v>124</v>
      </c>
      <c r="O583" s="63">
        <v>128</v>
      </c>
      <c r="P583" s="63">
        <v>121</v>
      </c>
      <c r="Q583" s="63">
        <v>104</v>
      </c>
      <c r="R583" s="63">
        <v>119</v>
      </c>
      <c r="S583" s="63">
        <v>139</v>
      </c>
      <c r="T583" s="63">
        <v>137</v>
      </c>
      <c r="U583" s="63">
        <v>140</v>
      </c>
      <c r="V583" s="63">
        <v>141</v>
      </c>
      <c r="W583" s="63">
        <v>153</v>
      </c>
      <c r="X583" s="63">
        <v>156</v>
      </c>
      <c r="Y583" s="63">
        <v>166</v>
      </c>
      <c r="Z583" s="63">
        <v>156</v>
      </c>
      <c r="AA583" s="63">
        <v>162</v>
      </c>
      <c r="AB583" s="63">
        <v>149</v>
      </c>
    </row>
    <row r="584" spans="1:28" x14ac:dyDescent="0.2">
      <c r="A584" s="62">
        <v>47</v>
      </c>
      <c r="B584" s="62" t="s">
        <v>367</v>
      </c>
      <c r="C584" s="62">
        <v>3</v>
      </c>
      <c r="D584" s="62" t="s">
        <v>323</v>
      </c>
      <c r="E584" s="63">
        <v>304</v>
      </c>
      <c r="F584" s="63">
        <v>330</v>
      </c>
      <c r="G584" s="63">
        <v>342</v>
      </c>
      <c r="H584" s="63">
        <v>359</v>
      </c>
      <c r="I584" s="63">
        <v>382</v>
      </c>
      <c r="J584" s="63">
        <v>380</v>
      </c>
      <c r="K584" s="63">
        <v>382</v>
      </c>
      <c r="L584" s="63">
        <v>383</v>
      </c>
      <c r="M584" s="63">
        <v>367</v>
      </c>
      <c r="N584" s="63">
        <v>386</v>
      </c>
      <c r="O584" s="63">
        <v>396</v>
      </c>
      <c r="P584" s="63">
        <v>395</v>
      </c>
      <c r="Q584" s="63">
        <v>400</v>
      </c>
      <c r="R584" s="63">
        <v>402</v>
      </c>
      <c r="S584" s="63">
        <v>398</v>
      </c>
      <c r="T584" s="63">
        <v>420</v>
      </c>
      <c r="U584" s="63">
        <v>418</v>
      </c>
      <c r="V584" s="63">
        <v>428</v>
      </c>
      <c r="W584" s="63">
        <v>441</v>
      </c>
      <c r="X584" s="63">
        <v>394</v>
      </c>
      <c r="Y584" s="63">
        <v>383</v>
      </c>
      <c r="Z584" s="63">
        <v>419</v>
      </c>
      <c r="AA584" s="63">
        <v>448</v>
      </c>
      <c r="AB584" s="63">
        <v>457</v>
      </c>
    </row>
    <row r="585" spans="1:28" x14ac:dyDescent="0.2">
      <c r="A585" s="62">
        <v>47</v>
      </c>
      <c r="B585" s="62" t="s">
        <v>367</v>
      </c>
      <c r="C585" s="62" t="s">
        <v>324</v>
      </c>
      <c r="D585" s="64" t="s">
        <v>325</v>
      </c>
      <c r="E585" s="65"/>
      <c r="F585" s="62"/>
      <c r="G585" s="63">
        <v>19</v>
      </c>
      <c r="H585" s="63">
        <v>21</v>
      </c>
      <c r="I585" s="63">
        <v>24</v>
      </c>
      <c r="J585" s="63">
        <v>27</v>
      </c>
      <c r="K585" s="63">
        <v>13</v>
      </c>
      <c r="L585" s="63">
        <v>29</v>
      </c>
      <c r="M585" s="63">
        <v>24</v>
      </c>
      <c r="N585" s="63">
        <v>29</v>
      </c>
      <c r="O585" s="63">
        <v>33</v>
      </c>
      <c r="P585" s="63">
        <v>30</v>
      </c>
      <c r="Q585" s="63">
        <v>34</v>
      </c>
      <c r="R585" s="63">
        <v>39</v>
      </c>
      <c r="S585" s="63">
        <v>41</v>
      </c>
      <c r="T585" s="63">
        <v>21</v>
      </c>
      <c r="U585" s="63">
        <v>15</v>
      </c>
      <c r="V585" s="63">
        <v>22</v>
      </c>
      <c r="W585" s="63">
        <v>22</v>
      </c>
      <c r="X585" s="63">
        <v>16</v>
      </c>
      <c r="Y585" s="63">
        <v>27</v>
      </c>
      <c r="Z585" s="63">
        <v>27</v>
      </c>
      <c r="AA585" s="63">
        <v>32</v>
      </c>
      <c r="AB585" s="63">
        <v>26</v>
      </c>
    </row>
    <row r="586" spans="1:28" x14ac:dyDescent="0.2">
      <c r="A586" s="62">
        <v>47</v>
      </c>
      <c r="B586" s="62" t="s">
        <v>367</v>
      </c>
      <c r="C586" s="62">
        <v>42</v>
      </c>
      <c r="D586" s="62" t="s">
        <v>326</v>
      </c>
      <c r="E586" s="63">
        <v>15</v>
      </c>
      <c r="F586" s="63">
        <v>2</v>
      </c>
      <c r="G586" s="63">
        <v>14</v>
      </c>
      <c r="H586" s="62"/>
      <c r="I586" s="63">
        <v>12</v>
      </c>
      <c r="J586" s="63">
        <v>11</v>
      </c>
      <c r="K586" s="63">
        <v>3</v>
      </c>
      <c r="L586" s="63">
        <v>19</v>
      </c>
      <c r="M586" s="63">
        <v>17</v>
      </c>
      <c r="N586" s="63">
        <v>18</v>
      </c>
      <c r="O586" s="63">
        <v>18</v>
      </c>
      <c r="P586" s="63">
        <v>16</v>
      </c>
      <c r="Q586" s="62"/>
      <c r="R586" s="63">
        <v>22</v>
      </c>
      <c r="S586" s="63">
        <v>20</v>
      </c>
      <c r="T586" s="63">
        <v>30</v>
      </c>
      <c r="U586" s="63">
        <v>44</v>
      </c>
      <c r="V586" s="63">
        <v>39</v>
      </c>
      <c r="W586" s="63">
        <v>35</v>
      </c>
      <c r="X586" s="63">
        <v>33</v>
      </c>
      <c r="Y586" s="63">
        <v>35</v>
      </c>
      <c r="Z586" s="63">
        <v>50</v>
      </c>
      <c r="AA586" s="63">
        <v>45</v>
      </c>
      <c r="AB586" s="63">
        <v>45</v>
      </c>
    </row>
    <row r="587" spans="1:28" x14ac:dyDescent="0.2">
      <c r="A587" s="62">
        <v>47</v>
      </c>
      <c r="B587" s="62" t="s">
        <v>367</v>
      </c>
      <c r="C587" s="62" t="s">
        <v>327</v>
      </c>
      <c r="D587" s="62" t="s">
        <v>328</v>
      </c>
      <c r="E587" s="63">
        <v>56</v>
      </c>
      <c r="F587" s="63">
        <v>69</v>
      </c>
      <c r="G587" s="63">
        <v>65</v>
      </c>
      <c r="H587" s="63">
        <v>56</v>
      </c>
      <c r="I587" s="63">
        <v>54</v>
      </c>
      <c r="J587" s="63">
        <v>61</v>
      </c>
      <c r="K587" s="63">
        <v>56</v>
      </c>
      <c r="L587" s="63">
        <v>62</v>
      </c>
      <c r="M587" s="63">
        <v>59</v>
      </c>
      <c r="N587" s="63">
        <v>55</v>
      </c>
      <c r="O587" s="63">
        <v>66</v>
      </c>
      <c r="P587" s="63">
        <v>76</v>
      </c>
      <c r="Q587" s="63">
        <v>63</v>
      </c>
      <c r="R587" s="63">
        <v>76</v>
      </c>
      <c r="S587" s="63">
        <v>76</v>
      </c>
      <c r="T587" s="63">
        <v>81</v>
      </c>
      <c r="U587" s="63">
        <v>85</v>
      </c>
      <c r="V587" s="63">
        <v>75</v>
      </c>
      <c r="W587" s="63">
        <v>72</v>
      </c>
      <c r="X587" s="63">
        <v>82</v>
      </c>
      <c r="Y587" s="63">
        <v>79</v>
      </c>
      <c r="Z587" s="63">
        <v>69</v>
      </c>
      <c r="AA587" s="63">
        <v>59</v>
      </c>
      <c r="AB587" s="63">
        <v>77</v>
      </c>
    </row>
    <row r="588" spans="1:28" x14ac:dyDescent="0.2">
      <c r="A588" s="62">
        <v>47</v>
      </c>
      <c r="B588" s="62" t="s">
        <v>367</v>
      </c>
      <c r="C588" s="62" t="s">
        <v>329</v>
      </c>
      <c r="D588" s="62" t="s">
        <v>330</v>
      </c>
      <c r="E588" s="63">
        <v>12</v>
      </c>
      <c r="F588" s="63">
        <v>15</v>
      </c>
      <c r="G588" s="63">
        <v>19</v>
      </c>
      <c r="H588" s="63">
        <v>19</v>
      </c>
      <c r="I588" s="63">
        <v>29</v>
      </c>
      <c r="J588" s="63">
        <v>23</v>
      </c>
      <c r="K588" s="63">
        <v>11</v>
      </c>
      <c r="L588" s="63">
        <v>18</v>
      </c>
      <c r="M588" s="63">
        <v>18</v>
      </c>
      <c r="N588" s="63">
        <v>8</v>
      </c>
      <c r="O588" s="63">
        <v>11</v>
      </c>
      <c r="P588" s="63">
        <v>12</v>
      </c>
      <c r="Q588" s="63">
        <v>14</v>
      </c>
      <c r="R588" s="63">
        <v>21</v>
      </c>
      <c r="S588" s="63">
        <v>45</v>
      </c>
      <c r="T588" s="63">
        <v>67</v>
      </c>
      <c r="U588" s="63">
        <v>70</v>
      </c>
      <c r="V588" s="63">
        <v>81</v>
      </c>
      <c r="W588" s="63">
        <v>78</v>
      </c>
      <c r="X588" s="63">
        <v>64</v>
      </c>
      <c r="Y588" s="63">
        <v>55</v>
      </c>
      <c r="Z588" s="63">
        <v>57</v>
      </c>
      <c r="AA588" s="63">
        <v>119</v>
      </c>
      <c r="AB588" s="63">
        <v>103</v>
      </c>
    </row>
    <row r="589" spans="1:28" x14ac:dyDescent="0.2">
      <c r="A589" s="62">
        <v>47</v>
      </c>
      <c r="B589" s="62" t="s">
        <v>367</v>
      </c>
      <c r="C589" s="62">
        <v>51</v>
      </c>
      <c r="D589" s="62" t="s">
        <v>331</v>
      </c>
      <c r="E589" s="62"/>
      <c r="F589" s="62"/>
      <c r="G589" s="62"/>
      <c r="H589" s="63">
        <v>14</v>
      </c>
      <c r="I589" s="63">
        <v>18</v>
      </c>
      <c r="J589" s="63">
        <v>12</v>
      </c>
      <c r="K589" s="63">
        <v>16</v>
      </c>
      <c r="L589" s="63">
        <v>8</v>
      </c>
      <c r="M589" s="63">
        <v>21</v>
      </c>
      <c r="N589" s="63">
        <v>18</v>
      </c>
      <c r="O589" s="63">
        <v>17</v>
      </c>
      <c r="P589" s="63">
        <v>15</v>
      </c>
      <c r="Q589" s="63">
        <v>15</v>
      </c>
      <c r="R589" s="63">
        <v>16</v>
      </c>
      <c r="S589" s="63">
        <v>13</v>
      </c>
      <c r="T589" s="63">
        <v>11</v>
      </c>
      <c r="U589" s="63">
        <v>13</v>
      </c>
      <c r="V589" s="63">
        <v>10</v>
      </c>
      <c r="W589" s="63">
        <v>11</v>
      </c>
      <c r="X589" s="62"/>
      <c r="Y589" s="63">
        <v>12</v>
      </c>
      <c r="Z589" s="63">
        <v>17</v>
      </c>
      <c r="AA589" s="63">
        <v>20</v>
      </c>
      <c r="AB589" s="63">
        <v>17</v>
      </c>
    </row>
    <row r="590" spans="1:28" x14ac:dyDescent="0.2">
      <c r="A590" s="62">
        <v>47</v>
      </c>
      <c r="B590" s="62" t="s">
        <v>367</v>
      </c>
      <c r="C590" s="62">
        <v>52</v>
      </c>
      <c r="D590" s="62" t="s">
        <v>332</v>
      </c>
      <c r="E590" s="63">
        <v>12</v>
      </c>
      <c r="F590" s="63">
        <v>12</v>
      </c>
      <c r="G590" s="63">
        <v>12</v>
      </c>
      <c r="H590" s="63">
        <v>13</v>
      </c>
      <c r="I590" s="63">
        <v>14</v>
      </c>
      <c r="J590" s="63">
        <v>11</v>
      </c>
      <c r="K590" s="63">
        <v>18</v>
      </c>
      <c r="L590" s="63">
        <v>23</v>
      </c>
      <c r="M590" s="63">
        <v>22</v>
      </c>
      <c r="N590" s="63">
        <v>19</v>
      </c>
      <c r="O590" s="63">
        <v>18</v>
      </c>
      <c r="P590" s="63">
        <v>22</v>
      </c>
      <c r="Q590" s="63">
        <v>8</v>
      </c>
      <c r="R590" s="63">
        <v>14</v>
      </c>
      <c r="S590" s="63">
        <v>19</v>
      </c>
      <c r="T590" s="63">
        <v>15</v>
      </c>
      <c r="U590" s="63">
        <v>14</v>
      </c>
      <c r="V590" s="63">
        <v>14</v>
      </c>
      <c r="W590" s="63">
        <v>14</v>
      </c>
      <c r="X590" s="63">
        <v>15</v>
      </c>
      <c r="Y590" s="63">
        <v>17</v>
      </c>
      <c r="Z590" s="63">
        <v>20</v>
      </c>
      <c r="AA590" s="63">
        <v>20</v>
      </c>
      <c r="AB590" s="63">
        <v>34</v>
      </c>
    </row>
    <row r="591" spans="1:28" x14ac:dyDescent="0.2">
      <c r="A591" s="62">
        <v>47</v>
      </c>
      <c r="B591" s="62" t="s">
        <v>367</v>
      </c>
      <c r="C591" s="62">
        <v>53</v>
      </c>
      <c r="D591" s="62" t="s">
        <v>333</v>
      </c>
      <c r="E591" s="63">
        <v>45</v>
      </c>
      <c r="F591" s="63">
        <v>52</v>
      </c>
      <c r="G591" s="63">
        <v>44</v>
      </c>
      <c r="H591" s="63">
        <v>43</v>
      </c>
      <c r="I591" s="63">
        <v>52</v>
      </c>
      <c r="J591" s="63">
        <v>44</v>
      </c>
      <c r="K591" s="63">
        <v>46</v>
      </c>
      <c r="L591" s="63">
        <v>42</v>
      </c>
      <c r="M591" s="63">
        <v>44</v>
      </c>
      <c r="N591" s="63">
        <v>44</v>
      </c>
      <c r="O591" s="63">
        <v>49</v>
      </c>
      <c r="P591" s="63">
        <v>47</v>
      </c>
      <c r="Q591" s="63">
        <v>40</v>
      </c>
      <c r="R591" s="63">
        <v>37</v>
      </c>
      <c r="S591" s="63">
        <v>41</v>
      </c>
      <c r="T591" s="63">
        <v>50</v>
      </c>
      <c r="U591" s="63">
        <v>52</v>
      </c>
      <c r="V591" s="63">
        <v>58</v>
      </c>
      <c r="W591" s="63">
        <v>62</v>
      </c>
      <c r="X591" s="63">
        <v>64</v>
      </c>
      <c r="Y591" s="63">
        <v>63</v>
      </c>
      <c r="Z591" s="63">
        <v>79</v>
      </c>
      <c r="AA591" s="63">
        <v>89</v>
      </c>
      <c r="AB591" s="63">
        <v>120</v>
      </c>
    </row>
    <row r="592" spans="1:28" x14ac:dyDescent="0.2">
      <c r="A592" s="62">
        <v>47</v>
      </c>
      <c r="B592" s="62" t="s">
        <v>367</v>
      </c>
      <c r="C592" s="62">
        <v>54</v>
      </c>
      <c r="D592" s="62" t="s">
        <v>334</v>
      </c>
      <c r="E592" s="63">
        <v>71</v>
      </c>
      <c r="F592" s="63">
        <v>99</v>
      </c>
      <c r="G592" s="63">
        <v>94</v>
      </c>
      <c r="H592" s="63">
        <v>103</v>
      </c>
      <c r="I592" s="63">
        <v>99</v>
      </c>
      <c r="J592" s="63">
        <v>118</v>
      </c>
      <c r="K592" s="63">
        <v>112</v>
      </c>
      <c r="L592" s="63">
        <v>116</v>
      </c>
      <c r="M592" s="63">
        <v>121</v>
      </c>
      <c r="N592" s="63">
        <v>138</v>
      </c>
      <c r="O592" s="63">
        <v>137</v>
      </c>
      <c r="P592" s="63">
        <v>124</v>
      </c>
      <c r="Q592" s="63">
        <v>139</v>
      </c>
      <c r="R592" s="63">
        <v>134</v>
      </c>
      <c r="S592" s="63">
        <v>134</v>
      </c>
      <c r="T592" s="63">
        <v>126</v>
      </c>
      <c r="U592" s="63">
        <v>134</v>
      </c>
      <c r="V592" s="63">
        <v>137</v>
      </c>
      <c r="W592" s="63">
        <v>164</v>
      </c>
      <c r="X592" s="63">
        <v>141</v>
      </c>
      <c r="Y592" s="63">
        <v>163</v>
      </c>
      <c r="Z592" s="63">
        <v>167</v>
      </c>
      <c r="AA592" s="63">
        <v>195</v>
      </c>
      <c r="AB592" s="63">
        <v>201</v>
      </c>
    </row>
    <row r="593" spans="1:28" x14ac:dyDescent="0.2">
      <c r="A593" s="62">
        <v>47</v>
      </c>
      <c r="B593" s="62" t="s">
        <v>367</v>
      </c>
      <c r="C593" s="62">
        <v>55</v>
      </c>
      <c r="D593" s="64" t="s">
        <v>335</v>
      </c>
      <c r="E593" s="65"/>
      <c r="F593" s="65"/>
      <c r="G593" s="65"/>
      <c r="H593" s="62"/>
      <c r="I593" s="63">
        <v>27</v>
      </c>
      <c r="J593" s="63">
        <v>19</v>
      </c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</row>
    <row r="594" spans="1:28" x14ac:dyDescent="0.2">
      <c r="A594" s="62">
        <v>47</v>
      </c>
      <c r="B594" s="62" t="s">
        <v>367</v>
      </c>
      <c r="C594" s="62">
        <v>56</v>
      </c>
      <c r="D594" s="62" t="s">
        <v>336</v>
      </c>
      <c r="E594" s="63">
        <v>26</v>
      </c>
      <c r="F594" s="63">
        <v>37</v>
      </c>
      <c r="G594" s="63">
        <v>33</v>
      </c>
      <c r="H594" s="63">
        <v>38</v>
      </c>
      <c r="I594" s="63">
        <v>44</v>
      </c>
      <c r="J594" s="63">
        <v>53</v>
      </c>
      <c r="K594" s="63">
        <v>46</v>
      </c>
      <c r="L594" s="63">
        <v>58</v>
      </c>
      <c r="M594" s="63">
        <v>94</v>
      </c>
      <c r="N594" s="63">
        <v>186</v>
      </c>
      <c r="O594" s="63">
        <v>227</v>
      </c>
      <c r="P594" s="63">
        <v>264</v>
      </c>
      <c r="Q594" s="63">
        <v>248</v>
      </c>
      <c r="R594" s="63">
        <v>104</v>
      </c>
      <c r="S594" s="63">
        <v>95</v>
      </c>
      <c r="T594" s="63">
        <v>80</v>
      </c>
      <c r="U594" s="63">
        <v>81</v>
      </c>
      <c r="V594" s="63">
        <v>146</v>
      </c>
      <c r="W594" s="63">
        <v>131</v>
      </c>
      <c r="X594" s="63">
        <v>109</v>
      </c>
      <c r="Y594" s="63">
        <v>118</v>
      </c>
      <c r="Z594" s="63">
        <v>90</v>
      </c>
      <c r="AA594" s="63">
        <v>104</v>
      </c>
      <c r="AB594" s="63">
        <v>85</v>
      </c>
    </row>
    <row r="595" spans="1:28" x14ac:dyDescent="0.2">
      <c r="A595" s="62">
        <v>47</v>
      </c>
      <c r="B595" s="62" t="s">
        <v>367</v>
      </c>
      <c r="C595" s="62">
        <v>61</v>
      </c>
      <c r="D595" s="64" t="s">
        <v>337</v>
      </c>
      <c r="E595" s="65"/>
      <c r="F595" s="62"/>
      <c r="G595" s="63">
        <v>12</v>
      </c>
      <c r="H595" s="63">
        <v>13</v>
      </c>
      <c r="I595" s="63">
        <v>12</v>
      </c>
      <c r="J595" s="63">
        <v>9</v>
      </c>
      <c r="K595" s="63">
        <v>14</v>
      </c>
      <c r="L595" s="63">
        <v>19</v>
      </c>
      <c r="M595" s="63">
        <v>14</v>
      </c>
      <c r="N595" s="63">
        <v>14</v>
      </c>
      <c r="O595" s="63">
        <v>14</v>
      </c>
      <c r="P595" s="63">
        <v>16</v>
      </c>
      <c r="Q595" s="63">
        <v>11</v>
      </c>
      <c r="R595" s="63">
        <v>19</v>
      </c>
      <c r="S595" s="63">
        <v>25</v>
      </c>
      <c r="T595" s="63">
        <v>12</v>
      </c>
      <c r="U595" s="63">
        <v>18</v>
      </c>
      <c r="V595" s="63">
        <v>18</v>
      </c>
      <c r="W595" s="63">
        <v>21</v>
      </c>
      <c r="X595" s="63">
        <v>28</v>
      </c>
      <c r="Y595" s="63">
        <v>24</v>
      </c>
      <c r="Z595" s="63">
        <v>30</v>
      </c>
      <c r="AA595" s="63">
        <v>38</v>
      </c>
      <c r="AB595" s="63">
        <v>28</v>
      </c>
    </row>
    <row r="596" spans="1:28" x14ac:dyDescent="0.2">
      <c r="A596" s="62">
        <v>47</v>
      </c>
      <c r="B596" s="62" t="s">
        <v>367</v>
      </c>
      <c r="C596" s="62">
        <v>62</v>
      </c>
      <c r="D596" s="62" t="s">
        <v>338</v>
      </c>
      <c r="E596" s="63">
        <v>69</v>
      </c>
      <c r="F596" s="63">
        <v>93</v>
      </c>
      <c r="G596" s="63">
        <v>100</v>
      </c>
      <c r="H596" s="63">
        <v>121</v>
      </c>
      <c r="I596" s="63">
        <v>66</v>
      </c>
      <c r="J596" s="63">
        <v>65</v>
      </c>
      <c r="K596" s="63">
        <v>72</v>
      </c>
      <c r="L596" s="63">
        <v>80</v>
      </c>
      <c r="M596" s="63">
        <v>83</v>
      </c>
      <c r="N596" s="63">
        <v>61</v>
      </c>
      <c r="O596" s="63">
        <v>61</v>
      </c>
      <c r="P596" s="63">
        <v>63</v>
      </c>
      <c r="Q596" s="63">
        <v>59</v>
      </c>
      <c r="R596" s="63">
        <v>61</v>
      </c>
      <c r="S596" s="63">
        <v>50</v>
      </c>
      <c r="T596" s="63">
        <v>58</v>
      </c>
      <c r="U596" s="63">
        <v>58</v>
      </c>
      <c r="V596" s="63">
        <v>63</v>
      </c>
      <c r="W596" s="63">
        <v>73</v>
      </c>
      <c r="X596" s="63">
        <v>65</v>
      </c>
      <c r="Y596" s="63">
        <v>63</v>
      </c>
      <c r="Z596" s="63">
        <v>64</v>
      </c>
      <c r="AA596" s="63">
        <v>68</v>
      </c>
      <c r="AB596" s="63">
        <v>49</v>
      </c>
    </row>
    <row r="597" spans="1:28" x14ac:dyDescent="0.2">
      <c r="A597" s="62">
        <v>47</v>
      </c>
      <c r="B597" s="62" t="s">
        <v>367</v>
      </c>
      <c r="C597" s="62">
        <v>71</v>
      </c>
      <c r="D597" s="62" t="s">
        <v>339</v>
      </c>
      <c r="E597" s="63">
        <v>4369</v>
      </c>
      <c r="F597" s="63">
        <v>3969</v>
      </c>
      <c r="G597" s="63">
        <v>3054</v>
      </c>
      <c r="H597" s="63">
        <v>2910</v>
      </c>
      <c r="I597" s="63">
        <v>3028</v>
      </c>
      <c r="J597" s="63">
        <v>2841</v>
      </c>
      <c r="K597" s="62"/>
      <c r="L597" s="63">
        <v>2522</v>
      </c>
      <c r="M597" s="63">
        <v>2588</v>
      </c>
      <c r="N597" s="63">
        <v>2734</v>
      </c>
      <c r="O597" s="63">
        <v>2633</v>
      </c>
      <c r="P597" s="63">
        <v>2589</v>
      </c>
      <c r="Q597" s="63">
        <v>1912</v>
      </c>
      <c r="R597" s="63">
        <v>1891</v>
      </c>
      <c r="S597" s="63">
        <v>1853</v>
      </c>
      <c r="T597" s="63">
        <v>1790</v>
      </c>
      <c r="U597" s="63">
        <v>1683</v>
      </c>
      <c r="V597" s="63">
        <v>1623</v>
      </c>
      <c r="W597" s="63">
        <v>1630</v>
      </c>
      <c r="X597" s="63">
        <v>1293</v>
      </c>
      <c r="Y597" s="63">
        <v>1660</v>
      </c>
      <c r="Z597" s="63">
        <v>1845</v>
      </c>
      <c r="AA597" s="63">
        <v>1861</v>
      </c>
      <c r="AB597" s="63">
        <v>2038</v>
      </c>
    </row>
    <row r="598" spans="1:28" x14ac:dyDescent="0.2">
      <c r="A598" s="62">
        <v>47</v>
      </c>
      <c r="B598" s="62" t="s">
        <v>367</v>
      </c>
      <c r="C598" s="62">
        <v>72</v>
      </c>
      <c r="D598" s="62" t="s">
        <v>340</v>
      </c>
      <c r="E598" s="63">
        <v>471</v>
      </c>
      <c r="F598" s="63">
        <v>1150</v>
      </c>
      <c r="G598" s="63">
        <v>1596</v>
      </c>
      <c r="H598" s="63">
        <v>1637</v>
      </c>
      <c r="I598" s="63">
        <v>1681</v>
      </c>
      <c r="J598" s="63">
        <v>1756</v>
      </c>
      <c r="K598" s="62"/>
      <c r="L598" s="63">
        <v>1535</v>
      </c>
      <c r="M598" s="63">
        <v>1810</v>
      </c>
      <c r="N598" s="63">
        <v>2006</v>
      </c>
      <c r="O598" s="63">
        <v>1908</v>
      </c>
      <c r="P598" s="63">
        <v>1883</v>
      </c>
      <c r="Q598" s="63">
        <v>2479</v>
      </c>
      <c r="R598" s="63">
        <v>2406</v>
      </c>
      <c r="S598" s="63">
        <v>2422</v>
      </c>
      <c r="T598" s="63">
        <v>2454</v>
      </c>
      <c r="U598" s="63">
        <v>2468</v>
      </c>
      <c r="V598" s="63">
        <v>2438</v>
      </c>
      <c r="W598" s="63">
        <v>2260</v>
      </c>
      <c r="X598" s="63">
        <v>1470</v>
      </c>
      <c r="Y598" s="63">
        <v>1671</v>
      </c>
      <c r="Z598" s="63">
        <v>1811</v>
      </c>
      <c r="AA598" s="63">
        <v>1811</v>
      </c>
      <c r="AB598" s="63">
        <v>1932</v>
      </c>
    </row>
    <row r="599" spans="1:28" x14ac:dyDescent="0.2">
      <c r="A599" s="62">
        <v>47</v>
      </c>
      <c r="B599" s="62" t="s">
        <v>367</v>
      </c>
      <c r="C599" s="62">
        <v>81</v>
      </c>
      <c r="D599" s="62" t="s">
        <v>341</v>
      </c>
      <c r="E599" s="63">
        <v>95</v>
      </c>
      <c r="F599" s="63">
        <v>68</v>
      </c>
      <c r="G599" s="63">
        <v>62</v>
      </c>
      <c r="H599" s="63">
        <v>61</v>
      </c>
      <c r="I599" s="63">
        <v>64</v>
      </c>
      <c r="J599" s="63">
        <v>78</v>
      </c>
      <c r="K599" s="63">
        <v>70</v>
      </c>
      <c r="L599" s="63">
        <v>90</v>
      </c>
      <c r="M599" s="63">
        <v>93</v>
      </c>
      <c r="N599" s="63">
        <v>102</v>
      </c>
      <c r="O599" s="63">
        <v>104</v>
      </c>
      <c r="P599" s="63">
        <v>107</v>
      </c>
      <c r="Q599" s="63">
        <v>108</v>
      </c>
      <c r="R599" s="63">
        <v>114</v>
      </c>
      <c r="S599" s="63">
        <v>119</v>
      </c>
      <c r="T599" s="63">
        <v>137</v>
      </c>
      <c r="U599" s="63">
        <v>134</v>
      </c>
      <c r="V599" s="63">
        <v>104</v>
      </c>
      <c r="W599" s="63">
        <v>109</v>
      </c>
      <c r="X599" s="63">
        <v>86</v>
      </c>
      <c r="Y599" s="63">
        <v>81</v>
      </c>
      <c r="Z599" s="63">
        <v>87</v>
      </c>
      <c r="AA599" s="63">
        <v>91</v>
      </c>
      <c r="AB599" s="63">
        <v>71</v>
      </c>
    </row>
    <row r="600" spans="1:28" x14ac:dyDescent="0.2">
      <c r="A600" s="62">
        <v>47</v>
      </c>
      <c r="B600" s="62" t="s">
        <v>367</v>
      </c>
      <c r="C600" s="62">
        <v>99</v>
      </c>
      <c r="D600" s="62" t="s">
        <v>342</v>
      </c>
      <c r="E600" s="62"/>
      <c r="F600" s="62"/>
      <c r="G600" s="62"/>
      <c r="H600" s="62"/>
      <c r="I600" s="62"/>
      <c r="J600" s="62"/>
      <c r="K600" s="62"/>
      <c r="L600" s="62"/>
      <c r="M600" s="62"/>
      <c r="N600" s="63">
        <v>0</v>
      </c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3">
        <v>0</v>
      </c>
      <c r="AB600" s="63">
        <v>0</v>
      </c>
    </row>
    <row r="601" spans="1:28" x14ac:dyDescent="0.2">
      <c r="A601" s="62">
        <v>49</v>
      </c>
      <c r="B601" s="62" t="s">
        <v>368</v>
      </c>
      <c r="C601" s="62">
        <v>1</v>
      </c>
      <c r="D601" s="62" t="s">
        <v>316</v>
      </c>
      <c r="E601" s="63">
        <v>129</v>
      </c>
      <c r="F601" s="63">
        <v>140</v>
      </c>
      <c r="G601" s="63">
        <v>145</v>
      </c>
      <c r="H601" s="63">
        <v>147</v>
      </c>
      <c r="I601" s="63">
        <v>148</v>
      </c>
      <c r="J601" s="63">
        <v>150</v>
      </c>
      <c r="K601" s="63">
        <v>152</v>
      </c>
      <c r="L601" s="63">
        <v>151</v>
      </c>
      <c r="M601" s="63">
        <v>155</v>
      </c>
      <c r="N601" s="63">
        <v>165</v>
      </c>
      <c r="O601" s="63">
        <v>142</v>
      </c>
      <c r="P601" s="63">
        <v>140</v>
      </c>
      <c r="Q601" s="63">
        <v>134</v>
      </c>
      <c r="R601" s="63">
        <v>136</v>
      </c>
      <c r="S601" s="63">
        <v>125</v>
      </c>
      <c r="T601" s="63">
        <v>125</v>
      </c>
      <c r="U601" s="63">
        <v>110</v>
      </c>
      <c r="V601" s="63">
        <v>109</v>
      </c>
      <c r="W601" s="63">
        <v>115</v>
      </c>
      <c r="X601" s="63">
        <v>123</v>
      </c>
      <c r="Y601" s="63">
        <v>110</v>
      </c>
      <c r="Z601" s="63">
        <v>114</v>
      </c>
      <c r="AA601" s="63">
        <v>105</v>
      </c>
      <c r="AB601" s="63">
        <v>102</v>
      </c>
    </row>
    <row r="602" spans="1:28" x14ac:dyDescent="0.2">
      <c r="A602" s="62">
        <v>49</v>
      </c>
      <c r="B602" s="62" t="s">
        <v>368</v>
      </c>
      <c r="C602" s="62">
        <v>10</v>
      </c>
      <c r="D602" s="62" t="s">
        <v>317</v>
      </c>
      <c r="E602" s="63">
        <v>8470</v>
      </c>
      <c r="F602" s="63">
        <v>8524</v>
      </c>
      <c r="G602" s="63">
        <v>8660</v>
      </c>
      <c r="H602" s="63">
        <v>8593</v>
      </c>
      <c r="I602" s="63">
        <v>8758</v>
      </c>
      <c r="J602" s="63">
        <v>9009</v>
      </c>
      <c r="K602" s="63">
        <v>9465</v>
      </c>
      <c r="L602" s="63">
        <v>9408</v>
      </c>
      <c r="M602" s="63">
        <v>8714</v>
      </c>
      <c r="N602" s="63">
        <v>8357</v>
      </c>
      <c r="O602" s="63">
        <v>8319</v>
      </c>
      <c r="P602" s="63">
        <v>8393</v>
      </c>
      <c r="Q602" s="63">
        <v>8614</v>
      </c>
      <c r="R602" s="63">
        <v>8864</v>
      </c>
      <c r="S602" s="63">
        <v>9193</v>
      </c>
      <c r="T602" s="63">
        <v>9300</v>
      </c>
      <c r="U602" s="63">
        <v>9531</v>
      </c>
      <c r="V602" s="63">
        <v>9813</v>
      </c>
      <c r="W602" s="63">
        <v>9819</v>
      </c>
      <c r="X602" s="63">
        <v>8877</v>
      </c>
      <c r="Y602" s="63">
        <v>9446</v>
      </c>
      <c r="Z602" s="63">
        <v>9754</v>
      </c>
      <c r="AA602" s="63">
        <v>10050</v>
      </c>
      <c r="AB602" s="63">
        <v>10330</v>
      </c>
    </row>
    <row r="603" spans="1:28" x14ac:dyDescent="0.2">
      <c r="A603" s="62">
        <v>49</v>
      </c>
      <c r="B603" s="62" t="s">
        <v>368</v>
      </c>
      <c r="C603" s="62">
        <v>11</v>
      </c>
      <c r="D603" s="62" t="s">
        <v>318</v>
      </c>
      <c r="E603" s="63">
        <v>63</v>
      </c>
      <c r="F603" s="63">
        <v>61</v>
      </c>
      <c r="G603" s="63">
        <v>65</v>
      </c>
      <c r="H603" s="63">
        <v>102</v>
      </c>
      <c r="I603" s="63">
        <v>148</v>
      </c>
      <c r="J603" s="63">
        <v>174</v>
      </c>
      <c r="K603" s="63">
        <v>156</v>
      </c>
      <c r="L603" s="63">
        <v>139</v>
      </c>
      <c r="M603" s="63">
        <v>162</v>
      </c>
      <c r="N603" s="63">
        <v>134</v>
      </c>
      <c r="O603" s="63">
        <v>135</v>
      </c>
      <c r="P603" s="63">
        <v>138</v>
      </c>
      <c r="Q603" s="63">
        <v>129</v>
      </c>
      <c r="R603" s="63">
        <v>129</v>
      </c>
      <c r="S603" s="63">
        <v>124</v>
      </c>
      <c r="T603" s="63">
        <v>125</v>
      </c>
      <c r="U603" s="63">
        <v>114</v>
      </c>
      <c r="V603" s="63">
        <v>108</v>
      </c>
      <c r="W603" s="63">
        <v>109</v>
      </c>
      <c r="X603" s="63">
        <v>117</v>
      </c>
      <c r="Y603" s="63">
        <v>112</v>
      </c>
      <c r="Z603" s="63">
        <v>98</v>
      </c>
      <c r="AA603" s="63">
        <v>104</v>
      </c>
      <c r="AB603" s="63">
        <v>90</v>
      </c>
    </row>
    <row r="604" spans="1:28" x14ac:dyDescent="0.2">
      <c r="A604" s="62">
        <v>49</v>
      </c>
      <c r="B604" s="62" t="s">
        <v>368</v>
      </c>
      <c r="C604" s="62">
        <v>2</v>
      </c>
      <c r="D604" s="62" t="s">
        <v>319</v>
      </c>
      <c r="E604" s="63">
        <v>57</v>
      </c>
      <c r="F604" s="63">
        <v>56</v>
      </c>
      <c r="G604" s="63">
        <v>58</v>
      </c>
      <c r="H604" s="63">
        <v>57</v>
      </c>
      <c r="I604" s="63">
        <v>58</v>
      </c>
      <c r="J604" s="63">
        <v>59</v>
      </c>
      <c r="K604" s="63">
        <v>59</v>
      </c>
      <c r="L604" s="63">
        <v>64</v>
      </c>
      <c r="M604" s="63">
        <v>71</v>
      </c>
      <c r="N604" s="63">
        <v>67</v>
      </c>
      <c r="O604" s="63">
        <v>66</v>
      </c>
      <c r="P604" s="63">
        <v>71</v>
      </c>
      <c r="Q604" s="63">
        <v>69</v>
      </c>
      <c r="R604" s="63">
        <v>74</v>
      </c>
      <c r="S604" s="63">
        <v>76</v>
      </c>
      <c r="T604" s="63">
        <v>69</v>
      </c>
      <c r="U604" s="63">
        <v>67</v>
      </c>
      <c r="V604" s="63">
        <v>63</v>
      </c>
      <c r="W604" s="63">
        <v>63</v>
      </c>
      <c r="X604" s="63">
        <v>65</v>
      </c>
      <c r="Y604" s="63">
        <v>64</v>
      </c>
      <c r="Z604" s="63">
        <v>59</v>
      </c>
      <c r="AA604" s="63">
        <v>55</v>
      </c>
      <c r="AB604" s="63">
        <v>59</v>
      </c>
    </row>
    <row r="605" spans="1:28" x14ac:dyDescent="0.2">
      <c r="A605" s="62">
        <v>49</v>
      </c>
      <c r="B605" s="62" t="s">
        <v>368</v>
      </c>
      <c r="C605" s="62">
        <v>21</v>
      </c>
      <c r="D605" s="62" t="s">
        <v>320</v>
      </c>
      <c r="E605" s="63">
        <v>0</v>
      </c>
      <c r="F605" s="63">
        <v>0</v>
      </c>
      <c r="G605" s="62"/>
      <c r="H605" s="62"/>
      <c r="I605" s="62"/>
      <c r="J605" s="62"/>
      <c r="K605" s="62"/>
      <c r="L605" s="63">
        <v>37</v>
      </c>
      <c r="M605" s="63">
        <v>25</v>
      </c>
      <c r="N605" s="63">
        <v>30</v>
      </c>
      <c r="O605" s="63">
        <v>25</v>
      </c>
      <c r="P605" s="63">
        <v>24</v>
      </c>
      <c r="Q605" s="63">
        <v>23</v>
      </c>
      <c r="R605" s="63">
        <v>19</v>
      </c>
      <c r="S605" s="63">
        <v>18</v>
      </c>
      <c r="T605" s="63">
        <v>15</v>
      </c>
      <c r="U605" s="63">
        <v>27</v>
      </c>
      <c r="V605" s="63">
        <v>31</v>
      </c>
      <c r="W605" s="63">
        <v>38</v>
      </c>
      <c r="X605" s="63">
        <v>33</v>
      </c>
      <c r="Y605" s="63">
        <v>25</v>
      </c>
      <c r="Z605" s="63">
        <v>25</v>
      </c>
      <c r="AA605" s="63">
        <v>13</v>
      </c>
      <c r="AB605" s="63">
        <v>14</v>
      </c>
    </row>
    <row r="606" spans="1:28" x14ac:dyDescent="0.2">
      <c r="A606" s="62">
        <v>49</v>
      </c>
      <c r="B606" s="62" t="s">
        <v>368</v>
      </c>
      <c r="C606" s="62">
        <v>22</v>
      </c>
      <c r="D606" s="62" t="s">
        <v>321</v>
      </c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</row>
    <row r="607" spans="1:28" x14ac:dyDescent="0.2">
      <c r="A607" s="62">
        <v>49</v>
      </c>
      <c r="B607" s="62" t="s">
        <v>368</v>
      </c>
      <c r="C607" s="62">
        <v>23</v>
      </c>
      <c r="D607" s="62" t="s">
        <v>322</v>
      </c>
      <c r="E607" s="63">
        <v>1159</v>
      </c>
      <c r="F607" s="63">
        <v>1169</v>
      </c>
      <c r="G607" s="63">
        <v>1156</v>
      </c>
      <c r="H607" s="63">
        <v>1165</v>
      </c>
      <c r="I607" s="63">
        <v>1265</v>
      </c>
      <c r="J607" s="63">
        <v>1357</v>
      </c>
      <c r="K607" s="63">
        <v>1469</v>
      </c>
      <c r="L607" s="63">
        <v>1334</v>
      </c>
      <c r="M607" s="63">
        <v>1069</v>
      </c>
      <c r="N607" s="63">
        <v>915</v>
      </c>
      <c r="O607" s="63">
        <v>811</v>
      </c>
      <c r="P607" s="63">
        <v>803</v>
      </c>
      <c r="Q607" s="63">
        <v>841</v>
      </c>
      <c r="R607" s="63">
        <v>955</v>
      </c>
      <c r="S607" s="63">
        <v>1072</v>
      </c>
      <c r="T607" s="63">
        <v>996</v>
      </c>
      <c r="U607" s="63">
        <v>1034</v>
      </c>
      <c r="V607" s="63">
        <v>1109</v>
      </c>
      <c r="W607" s="63">
        <v>1093</v>
      </c>
      <c r="X607" s="63">
        <v>1081</v>
      </c>
      <c r="Y607" s="63">
        <v>1116</v>
      </c>
      <c r="Z607" s="63">
        <v>1156</v>
      </c>
      <c r="AA607" s="63">
        <v>1180</v>
      </c>
      <c r="AB607" s="63">
        <v>1175</v>
      </c>
    </row>
    <row r="608" spans="1:28" x14ac:dyDescent="0.2">
      <c r="A608" s="62">
        <v>49</v>
      </c>
      <c r="B608" s="62" t="s">
        <v>368</v>
      </c>
      <c r="C608" s="62">
        <v>3</v>
      </c>
      <c r="D608" s="62" t="s">
        <v>323</v>
      </c>
      <c r="E608" s="63">
        <v>894</v>
      </c>
      <c r="F608" s="63">
        <v>963</v>
      </c>
      <c r="G608" s="63">
        <v>937</v>
      </c>
      <c r="H608" s="63">
        <v>921</v>
      </c>
      <c r="I608" s="63">
        <v>956</v>
      </c>
      <c r="J608" s="63">
        <v>975</v>
      </c>
      <c r="K608" s="63">
        <v>1003</v>
      </c>
      <c r="L608" s="63">
        <v>1039</v>
      </c>
      <c r="M608" s="63">
        <v>1044</v>
      </c>
      <c r="N608" s="63">
        <v>1080</v>
      </c>
      <c r="O608" s="63">
        <v>1050</v>
      </c>
      <c r="P608" s="63">
        <v>1128</v>
      </c>
      <c r="Q608" s="63">
        <v>1131</v>
      </c>
      <c r="R608" s="63">
        <v>1132</v>
      </c>
      <c r="S608" s="63">
        <v>1159</v>
      </c>
      <c r="T608" s="63">
        <v>1147</v>
      </c>
      <c r="U608" s="63">
        <v>1155</v>
      </c>
      <c r="V608" s="63">
        <v>1184</v>
      </c>
      <c r="W608" s="63">
        <v>1241</v>
      </c>
      <c r="X608" s="63">
        <v>1173</v>
      </c>
      <c r="Y608" s="63">
        <v>1173</v>
      </c>
      <c r="Z608" s="63">
        <v>1235</v>
      </c>
      <c r="AA608" s="63">
        <v>1299</v>
      </c>
      <c r="AB608" s="63">
        <v>1370</v>
      </c>
    </row>
    <row r="609" spans="1:28" x14ac:dyDescent="0.2">
      <c r="A609" s="62">
        <v>49</v>
      </c>
      <c r="B609" s="62" t="s">
        <v>368</v>
      </c>
      <c r="C609" s="62" t="s">
        <v>324</v>
      </c>
      <c r="D609" s="62" t="s">
        <v>325</v>
      </c>
      <c r="E609" s="63">
        <v>102</v>
      </c>
      <c r="F609" s="63">
        <v>108</v>
      </c>
      <c r="G609" s="63">
        <v>109</v>
      </c>
      <c r="H609" s="63">
        <v>123</v>
      </c>
      <c r="I609" s="63">
        <v>123</v>
      </c>
      <c r="J609" s="63">
        <v>107</v>
      </c>
      <c r="K609" s="63">
        <v>123</v>
      </c>
      <c r="L609" s="63">
        <v>143</v>
      </c>
      <c r="M609" s="63">
        <v>148</v>
      </c>
      <c r="N609" s="63">
        <v>116</v>
      </c>
      <c r="O609" s="63">
        <v>128</v>
      </c>
      <c r="P609" s="63">
        <v>141</v>
      </c>
      <c r="Q609" s="63">
        <v>153</v>
      </c>
      <c r="R609" s="63">
        <v>161</v>
      </c>
      <c r="S609" s="63">
        <v>154</v>
      </c>
      <c r="T609" s="63">
        <v>154</v>
      </c>
      <c r="U609" s="63">
        <v>172</v>
      </c>
      <c r="V609" s="63">
        <v>172</v>
      </c>
      <c r="W609" s="63">
        <v>139</v>
      </c>
      <c r="X609" s="63">
        <v>128</v>
      </c>
      <c r="Y609" s="63">
        <v>177</v>
      </c>
      <c r="Z609" s="63">
        <v>215</v>
      </c>
      <c r="AA609" s="63">
        <v>179</v>
      </c>
      <c r="AB609" s="63">
        <v>144</v>
      </c>
    </row>
    <row r="610" spans="1:28" x14ac:dyDescent="0.2">
      <c r="A610" s="62">
        <v>49</v>
      </c>
      <c r="B610" s="62" t="s">
        <v>368</v>
      </c>
      <c r="C610" s="62">
        <v>42</v>
      </c>
      <c r="D610" s="62" t="s">
        <v>326</v>
      </c>
      <c r="E610" s="63">
        <v>64</v>
      </c>
      <c r="F610" s="63">
        <v>71</v>
      </c>
      <c r="G610" s="63">
        <v>82</v>
      </c>
      <c r="H610" s="63">
        <v>96</v>
      </c>
      <c r="I610" s="63">
        <v>100</v>
      </c>
      <c r="J610" s="63">
        <v>91</v>
      </c>
      <c r="K610" s="63">
        <v>81</v>
      </c>
      <c r="L610" s="63">
        <v>63</v>
      </c>
      <c r="M610" s="63">
        <v>52</v>
      </c>
      <c r="N610" s="63">
        <v>50</v>
      </c>
      <c r="O610" s="63">
        <v>56</v>
      </c>
      <c r="P610" s="63">
        <v>56</v>
      </c>
      <c r="Q610" s="63">
        <v>56</v>
      </c>
      <c r="R610" s="63">
        <v>65</v>
      </c>
      <c r="S610" s="63">
        <v>75</v>
      </c>
      <c r="T610" s="63">
        <v>102</v>
      </c>
      <c r="U610" s="63">
        <v>95</v>
      </c>
      <c r="V610" s="63">
        <v>88</v>
      </c>
      <c r="W610" s="63">
        <v>57</v>
      </c>
      <c r="X610" s="63">
        <v>53</v>
      </c>
      <c r="Y610" s="63">
        <v>53</v>
      </c>
      <c r="Z610" s="63">
        <v>53</v>
      </c>
      <c r="AA610" s="63">
        <v>58</v>
      </c>
      <c r="AB610" s="63">
        <v>70</v>
      </c>
    </row>
    <row r="611" spans="1:28" x14ac:dyDescent="0.2">
      <c r="A611" s="62">
        <v>49</v>
      </c>
      <c r="B611" s="62" t="s">
        <v>368</v>
      </c>
      <c r="C611" s="62" t="s">
        <v>327</v>
      </c>
      <c r="D611" s="62" t="s">
        <v>328</v>
      </c>
      <c r="E611" s="63">
        <v>877</v>
      </c>
      <c r="F611" s="63">
        <v>849</v>
      </c>
      <c r="G611" s="63">
        <v>876</v>
      </c>
      <c r="H611" s="63">
        <v>882</v>
      </c>
      <c r="I611" s="63">
        <v>972</v>
      </c>
      <c r="J611" s="63">
        <v>1005</v>
      </c>
      <c r="K611" s="63">
        <v>1033</v>
      </c>
      <c r="L611" s="63">
        <v>974</v>
      </c>
      <c r="M611" s="63">
        <v>856</v>
      </c>
      <c r="N611" s="63">
        <v>779</v>
      </c>
      <c r="O611" s="63">
        <v>772</v>
      </c>
      <c r="P611" s="63">
        <v>760</v>
      </c>
      <c r="Q611" s="63">
        <v>774</v>
      </c>
      <c r="R611" s="63">
        <v>767</v>
      </c>
      <c r="S611" s="63">
        <v>777</v>
      </c>
      <c r="T611" s="63">
        <v>749</v>
      </c>
      <c r="U611" s="63">
        <v>798</v>
      </c>
      <c r="V611" s="63">
        <v>847</v>
      </c>
      <c r="W611" s="63">
        <v>845</v>
      </c>
      <c r="X611" s="63">
        <v>829</v>
      </c>
      <c r="Y611" s="63">
        <v>889</v>
      </c>
      <c r="Z611" s="63">
        <v>969</v>
      </c>
      <c r="AA611" s="63">
        <v>1001</v>
      </c>
      <c r="AB611" s="63">
        <v>953</v>
      </c>
    </row>
    <row r="612" spans="1:28" x14ac:dyDescent="0.2">
      <c r="A612" s="62">
        <v>49</v>
      </c>
      <c r="B612" s="62" t="s">
        <v>368</v>
      </c>
      <c r="C612" s="62" t="s">
        <v>329</v>
      </c>
      <c r="D612" s="62" t="s">
        <v>330</v>
      </c>
      <c r="E612" s="63">
        <v>115</v>
      </c>
      <c r="F612" s="63">
        <v>120</v>
      </c>
      <c r="G612" s="63">
        <v>121</v>
      </c>
      <c r="H612" s="63">
        <v>126</v>
      </c>
      <c r="I612" s="63">
        <v>124</v>
      </c>
      <c r="J612" s="63">
        <v>130</v>
      </c>
      <c r="K612" s="63">
        <v>131</v>
      </c>
      <c r="L612" s="63">
        <v>132</v>
      </c>
      <c r="M612" s="63">
        <v>138</v>
      </c>
      <c r="N612" s="63">
        <v>151</v>
      </c>
      <c r="O612" s="63">
        <v>168</v>
      </c>
      <c r="P612" s="63">
        <v>149</v>
      </c>
      <c r="Q612" s="63">
        <v>158</v>
      </c>
      <c r="R612" s="63">
        <v>178</v>
      </c>
      <c r="S612" s="63">
        <v>123</v>
      </c>
      <c r="T612" s="63">
        <v>122</v>
      </c>
      <c r="U612" s="63">
        <v>140</v>
      </c>
      <c r="V612" s="63">
        <v>138</v>
      </c>
      <c r="W612" s="63">
        <v>141</v>
      </c>
      <c r="X612" s="63">
        <v>137</v>
      </c>
      <c r="Y612" s="63">
        <v>154</v>
      </c>
      <c r="Z612" s="63">
        <v>147</v>
      </c>
      <c r="AA612" s="63">
        <v>146</v>
      </c>
      <c r="AB612" s="63">
        <v>173</v>
      </c>
    </row>
    <row r="613" spans="1:28" x14ac:dyDescent="0.2">
      <c r="A613" s="62">
        <v>49</v>
      </c>
      <c r="B613" s="62" t="s">
        <v>368</v>
      </c>
      <c r="C613" s="62">
        <v>51</v>
      </c>
      <c r="D613" s="62" t="s">
        <v>331</v>
      </c>
      <c r="E613" s="63">
        <v>52</v>
      </c>
      <c r="F613" s="63">
        <v>52</v>
      </c>
      <c r="G613" s="63">
        <v>64</v>
      </c>
      <c r="H613" s="63">
        <v>62</v>
      </c>
      <c r="I613" s="63">
        <v>67</v>
      </c>
      <c r="J613" s="63">
        <v>61</v>
      </c>
      <c r="K613" s="63">
        <v>71</v>
      </c>
      <c r="L613" s="63">
        <v>58</v>
      </c>
      <c r="M613" s="63">
        <v>45</v>
      </c>
      <c r="N613" s="63">
        <v>43</v>
      </c>
      <c r="O613" s="63">
        <v>42</v>
      </c>
      <c r="P613" s="63">
        <v>61</v>
      </c>
      <c r="Q613" s="63">
        <v>64</v>
      </c>
      <c r="R613" s="63">
        <v>66</v>
      </c>
      <c r="S613" s="63">
        <v>61</v>
      </c>
      <c r="T613" s="63">
        <v>65</v>
      </c>
      <c r="U613" s="63">
        <v>65</v>
      </c>
      <c r="V613" s="63">
        <v>60</v>
      </c>
      <c r="W613" s="63">
        <v>46</v>
      </c>
      <c r="X613" s="63">
        <v>36</v>
      </c>
      <c r="Y613" s="63">
        <v>43</v>
      </c>
      <c r="Z613" s="63">
        <v>39</v>
      </c>
      <c r="AA613" s="63">
        <v>33</v>
      </c>
      <c r="AB613" s="63">
        <v>27</v>
      </c>
    </row>
    <row r="614" spans="1:28" x14ac:dyDescent="0.2">
      <c r="A614" s="62">
        <v>49</v>
      </c>
      <c r="B614" s="62" t="s">
        <v>368</v>
      </c>
      <c r="C614" s="62">
        <v>52</v>
      </c>
      <c r="D614" s="62" t="s">
        <v>332</v>
      </c>
      <c r="E614" s="63">
        <v>155</v>
      </c>
      <c r="F614" s="63">
        <v>159</v>
      </c>
      <c r="G614" s="63">
        <v>174</v>
      </c>
      <c r="H614" s="63">
        <v>183</v>
      </c>
      <c r="I614" s="63">
        <v>203</v>
      </c>
      <c r="J614" s="63">
        <v>194</v>
      </c>
      <c r="K614" s="63">
        <v>183</v>
      </c>
      <c r="L614" s="63">
        <v>169</v>
      </c>
      <c r="M614" s="63">
        <v>166</v>
      </c>
      <c r="N614" s="63">
        <v>157</v>
      </c>
      <c r="O614" s="63">
        <v>144</v>
      </c>
      <c r="P614" s="63">
        <v>146</v>
      </c>
      <c r="Q614" s="63">
        <v>141</v>
      </c>
      <c r="R614" s="63">
        <v>144</v>
      </c>
      <c r="S614" s="63">
        <v>154</v>
      </c>
      <c r="T614" s="63">
        <v>157</v>
      </c>
      <c r="U614" s="63">
        <v>144</v>
      </c>
      <c r="V614" s="63">
        <v>141</v>
      </c>
      <c r="W614" s="63">
        <v>143</v>
      </c>
      <c r="X614" s="63">
        <v>138</v>
      </c>
      <c r="Y614" s="63">
        <v>136</v>
      </c>
      <c r="Z614" s="63">
        <v>136</v>
      </c>
      <c r="AA614" s="63">
        <v>144</v>
      </c>
      <c r="AB614" s="63">
        <v>142</v>
      </c>
    </row>
    <row r="615" spans="1:28" x14ac:dyDescent="0.2">
      <c r="A615" s="62">
        <v>49</v>
      </c>
      <c r="B615" s="62" t="s">
        <v>368</v>
      </c>
      <c r="C615" s="62">
        <v>53</v>
      </c>
      <c r="D615" s="62" t="s">
        <v>333</v>
      </c>
      <c r="E615" s="63">
        <v>798</v>
      </c>
      <c r="F615" s="63">
        <v>711</v>
      </c>
      <c r="G615" s="63">
        <v>654</v>
      </c>
      <c r="H615" s="63">
        <v>669</v>
      </c>
      <c r="I615" s="63">
        <v>671</v>
      </c>
      <c r="J615" s="63">
        <v>720</v>
      </c>
      <c r="K615" s="63">
        <v>749</v>
      </c>
      <c r="L615" s="63">
        <v>745</v>
      </c>
      <c r="M615" s="63">
        <v>717</v>
      </c>
      <c r="N615" s="63">
        <v>667</v>
      </c>
      <c r="O615" s="63">
        <v>640</v>
      </c>
      <c r="P615" s="63">
        <v>636</v>
      </c>
      <c r="Q615" s="63">
        <v>638</v>
      </c>
      <c r="R615" s="63">
        <v>653</v>
      </c>
      <c r="S615" s="63">
        <v>665</v>
      </c>
      <c r="T615" s="63">
        <v>703</v>
      </c>
      <c r="U615" s="63">
        <v>725</v>
      </c>
      <c r="V615" s="63">
        <v>727</v>
      </c>
      <c r="W615" s="63">
        <v>782</v>
      </c>
      <c r="X615" s="63">
        <v>740</v>
      </c>
      <c r="Y615" s="63">
        <v>775</v>
      </c>
      <c r="Z615" s="63">
        <v>786</v>
      </c>
      <c r="AA615" s="63">
        <v>780</v>
      </c>
      <c r="AB615" s="63">
        <v>759</v>
      </c>
    </row>
    <row r="616" spans="1:28" x14ac:dyDescent="0.2">
      <c r="A616" s="62">
        <v>49</v>
      </c>
      <c r="B616" s="62" t="s">
        <v>368</v>
      </c>
      <c r="C616" s="62">
        <v>54</v>
      </c>
      <c r="D616" s="62" t="s">
        <v>334</v>
      </c>
      <c r="E616" s="63">
        <v>295</v>
      </c>
      <c r="F616" s="63">
        <v>320</v>
      </c>
      <c r="G616" s="63">
        <v>342</v>
      </c>
      <c r="H616" s="63">
        <v>349</v>
      </c>
      <c r="I616" s="63">
        <v>349</v>
      </c>
      <c r="J616" s="63">
        <v>400</v>
      </c>
      <c r="K616" s="63">
        <v>451</v>
      </c>
      <c r="L616" s="63">
        <v>451</v>
      </c>
      <c r="M616" s="63">
        <v>409</v>
      </c>
      <c r="N616" s="63">
        <v>383</v>
      </c>
      <c r="O616" s="63">
        <v>372</v>
      </c>
      <c r="P616" s="63">
        <v>370</v>
      </c>
      <c r="Q616" s="63">
        <v>387</v>
      </c>
      <c r="R616" s="63">
        <v>378</v>
      </c>
      <c r="S616" s="63">
        <v>394</v>
      </c>
      <c r="T616" s="63">
        <v>435</v>
      </c>
      <c r="U616" s="63">
        <v>433</v>
      </c>
      <c r="V616" s="63">
        <v>474</v>
      </c>
      <c r="W616" s="63">
        <v>467</v>
      </c>
      <c r="X616" s="63">
        <v>475</v>
      </c>
      <c r="Y616" s="63">
        <v>486</v>
      </c>
      <c r="Z616" s="63">
        <v>473</v>
      </c>
      <c r="AA616" s="63">
        <v>473</v>
      </c>
      <c r="AB616" s="63">
        <v>527</v>
      </c>
    </row>
    <row r="617" spans="1:28" x14ac:dyDescent="0.2">
      <c r="A617" s="62">
        <v>49</v>
      </c>
      <c r="B617" s="62" t="s">
        <v>368</v>
      </c>
      <c r="C617" s="62">
        <v>55</v>
      </c>
      <c r="D617" s="64" t="s">
        <v>335</v>
      </c>
      <c r="E617" s="65"/>
      <c r="F617" s="63">
        <v>5</v>
      </c>
      <c r="G617" s="63">
        <v>7</v>
      </c>
      <c r="H617" s="63">
        <v>8</v>
      </c>
      <c r="I617" s="63">
        <v>7</v>
      </c>
      <c r="J617" s="63">
        <v>6</v>
      </c>
      <c r="K617" s="63">
        <v>6</v>
      </c>
      <c r="L617" s="62"/>
      <c r="M617" s="63">
        <v>13</v>
      </c>
      <c r="N617" s="62"/>
      <c r="O617" s="62"/>
      <c r="P617" s="62"/>
      <c r="Q617" s="62"/>
      <c r="R617" s="62"/>
      <c r="S617" s="63">
        <v>1</v>
      </c>
      <c r="T617" s="62"/>
      <c r="U617" s="62"/>
      <c r="V617" s="63">
        <v>3</v>
      </c>
      <c r="W617" s="63">
        <v>3</v>
      </c>
      <c r="X617" s="63">
        <v>13</v>
      </c>
      <c r="Y617" s="63">
        <v>9</v>
      </c>
      <c r="Z617" s="63">
        <v>6</v>
      </c>
      <c r="AA617" s="63">
        <v>8</v>
      </c>
      <c r="AB617" s="63">
        <v>9</v>
      </c>
    </row>
    <row r="618" spans="1:28" x14ac:dyDescent="0.2">
      <c r="A618" s="62">
        <v>49</v>
      </c>
      <c r="B618" s="62" t="s">
        <v>368</v>
      </c>
      <c r="C618" s="62">
        <v>56</v>
      </c>
      <c r="D618" s="62" t="s">
        <v>336</v>
      </c>
      <c r="E618" s="63">
        <v>186</v>
      </c>
      <c r="F618" s="63">
        <v>236</v>
      </c>
      <c r="G618" s="63">
        <v>257</v>
      </c>
      <c r="H618" s="63">
        <v>241</v>
      </c>
      <c r="I618" s="63">
        <v>219</v>
      </c>
      <c r="J618" s="63">
        <v>255</v>
      </c>
      <c r="K618" s="63">
        <v>292</v>
      </c>
      <c r="L618" s="63">
        <v>318</v>
      </c>
      <c r="M618" s="63">
        <v>284</v>
      </c>
      <c r="N618" s="63">
        <v>262</v>
      </c>
      <c r="O618" s="63">
        <v>301</v>
      </c>
      <c r="P618" s="63">
        <v>322</v>
      </c>
      <c r="Q618" s="63">
        <v>288</v>
      </c>
      <c r="R618" s="63">
        <v>315</v>
      </c>
      <c r="S618" s="63">
        <v>339</v>
      </c>
      <c r="T618" s="63">
        <v>322</v>
      </c>
      <c r="U618" s="63">
        <v>339</v>
      </c>
      <c r="V618" s="63">
        <v>364</v>
      </c>
      <c r="W618" s="63">
        <v>382</v>
      </c>
      <c r="X618" s="63">
        <v>381</v>
      </c>
      <c r="Y618" s="63">
        <v>401</v>
      </c>
      <c r="Z618" s="63">
        <v>392</v>
      </c>
      <c r="AA618" s="63">
        <v>436</v>
      </c>
      <c r="AB618" s="63">
        <v>500</v>
      </c>
    </row>
    <row r="619" spans="1:28" x14ac:dyDescent="0.2">
      <c r="A619" s="62">
        <v>49</v>
      </c>
      <c r="B619" s="62" t="s">
        <v>368</v>
      </c>
      <c r="C619" s="62">
        <v>61</v>
      </c>
      <c r="D619" s="62" t="s">
        <v>337</v>
      </c>
      <c r="E619" s="63">
        <v>23</v>
      </c>
      <c r="F619" s="63">
        <v>31</v>
      </c>
      <c r="G619" s="63">
        <v>36</v>
      </c>
      <c r="H619" s="63">
        <v>27</v>
      </c>
      <c r="I619" s="63">
        <v>25</v>
      </c>
      <c r="J619" s="63">
        <v>29</v>
      </c>
      <c r="K619" s="63">
        <v>28</v>
      </c>
      <c r="L619" s="63">
        <v>36</v>
      </c>
      <c r="M619" s="63">
        <v>36</v>
      </c>
      <c r="N619" s="63">
        <v>46</v>
      </c>
      <c r="O619" s="63">
        <v>42</v>
      </c>
      <c r="P619" s="63">
        <v>42</v>
      </c>
      <c r="Q619" s="63">
        <v>15</v>
      </c>
      <c r="R619" s="63">
        <v>11</v>
      </c>
      <c r="S619" s="63">
        <v>56</v>
      </c>
      <c r="T619" s="63">
        <v>54</v>
      </c>
      <c r="U619" s="63">
        <v>52</v>
      </c>
      <c r="V619" s="63">
        <v>53</v>
      </c>
      <c r="W619" s="63">
        <v>75</v>
      </c>
      <c r="X619" s="63">
        <v>91</v>
      </c>
      <c r="Y619" s="63">
        <v>89</v>
      </c>
      <c r="Z619" s="63">
        <v>77</v>
      </c>
      <c r="AA619" s="63">
        <v>82</v>
      </c>
      <c r="AB619" s="63">
        <v>125</v>
      </c>
    </row>
    <row r="620" spans="1:28" x14ac:dyDescent="0.2">
      <c r="A620" s="62">
        <v>49</v>
      </c>
      <c r="B620" s="62" t="s">
        <v>368</v>
      </c>
      <c r="C620" s="62">
        <v>62</v>
      </c>
      <c r="D620" s="62" t="s">
        <v>338</v>
      </c>
      <c r="E620" s="63">
        <v>237</v>
      </c>
      <c r="F620" s="63">
        <v>243</v>
      </c>
      <c r="G620" s="63">
        <v>240</v>
      </c>
      <c r="H620" s="63">
        <v>245</v>
      </c>
      <c r="I620" s="63">
        <v>259</v>
      </c>
      <c r="J620" s="63">
        <v>260</v>
      </c>
      <c r="K620" s="63">
        <v>264</v>
      </c>
      <c r="L620" s="63">
        <v>270</v>
      </c>
      <c r="M620" s="63">
        <v>270</v>
      </c>
      <c r="N620" s="63">
        <v>260</v>
      </c>
      <c r="O620" s="63">
        <v>246</v>
      </c>
      <c r="P620" s="63">
        <v>212</v>
      </c>
      <c r="Q620" s="63">
        <v>217</v>
      </c>
      <c r="R620" s="63">
        <v>228</v>
      </c>
      <c r="S620" s="63">
        <v>236</v>
      </c>
      <c r="T620" s="63">
        <v>252</v>
      </c>
      <c r="U620" s="63">
        <v>312</v>
      </c>
      <c r="V620" s="63">
        <v>322</v>
      </c>
      <c r="W620" s="63">
        <v>316</v>
      </c>
      <c r="X620" s="63">
        <v>277</v>
      </c>
      <c r="Y620" s="63">
        <v>288</v>
      </c>
      <c r="Z620" s="63">
        <v>299</v>
      </c>
      <c r="AA620" s="63">
        <v>312</v>
      </c>
      <c r="AB620" s="63">
        <v>308</v>
      </c>
    </row>
    <row r="621" spans="1:28" x14ac:dyDescent="0.2">
      <c r="A621" s="62">
        <v>49</v>
      </c>
      <c r="B621" s="62" t="s">
        <v>368</v>
      </c>
      <c r="C621" s="62">
        <v>71</v>
      </c>
      <c r="D621" s="62" t="s">
        <v>339</v>
      </c>
      <c r="E621" s="63">
        <v>1162</v>
      </c>
      <c r="F621" s="63">
        <v>1052</v>
      </c>
      <c r="G621" s="63">
        <v>1159</v>
      </c>
      <c r="H621" s="63">
        <v>983</v>
      </c>
      <c r="I621" s="63">
        <v>961</v>
      </c>
      <c r="J621" s="63">
        <v>979</v>
      </c>
      <c r="K621" s="63">
        <v>1032</v>
      </c>
      <c r="L621" s="63">
        <v>1082</v>
      </c>
      <c r="M621" s="63">
        <v>1051</v>
      </c>
      <c r="N621" s="63">
        <v>1046</v>
      </c>
      <c r="O621" s="63">
        <v>1083</v>
      </c>
      <c r="P621" s="63">
        <v>1068</v>
      </c>
      <c r="Q621" s="63">
        <v>1154</v>
      </c>
      <c r="R621" s="63">
        <v>1164</v>
      </c>
      <c r="S621" s="63">
        <v>1194</v>
      </c>
      <c r="T621" s="63">
        <v>1218</v>
      </c>
      <c r="U621" s="63">
        <v>1175</v>
      </c>
      <c r="V621" s="63">
        <v>1261</v>
      </c>
      <c r="W621" s="63">
        <v>1277</v>
      </c>
      <c r="X621" s="63">
        <v>954</v>
      </c>
      <c r="Y621" s="63">
        <v>1126</v>
      </c>
      <c r="Z621" s="63">
        <v>1128</v>
      </c>
      <c r="AA621" s="63">
        <v>1226</v>
      </c>
      <c r="AB621" s="63">
        <v>1279</v>
      </c>
    </row>
    <row r="622" spans="1:28" x14ac:dyDescent="0.2">
      <c r="A622" s="62">
        <v>49</v>
      </c>
      <c r="B622" s="62" t="s">
        <v>368</v>
      </c>
      <c r="C622" s="62">
        <v>72</v>
      </c>
      <c r="D622" s="62" t="s">
        <v>340</v>
      </c>
      <c r="E622" s="63">
        <v>1617</v>
      </c>
      <c r="F622" s="63">
        <v>1675</v>
      </c>
      <c r="G622" s="63">
        <v>1689</v>
      </c>
      <c r="H622" s="63">
        <v>1716</v>
      </c>
      <c r="I622" s="63">
        <v>1645</v>
      </c>
      <c r="J622" s="63">
        <v>1669</v>
      </c>
      <c r="K622" s="63">
        <v>1778</v>
      </c>
      <c r="L622" s="63">
        <v>1791</v>
      </c>
      <c r="M622" s="63">
        <v>1612</v>
      </c>
      <c r="N622" s="63">
        <v>1593</v>
      </c>
      <c r="O622" s="63">
        <v>1666</v>
      </c>
      <c r="P622" s="63">
        <v>1677</v>
      </c>
      <c r="Q622" s="63">
        <v>1757</v>
      </c>
      <c r="R622" s="63">
        <v>1840</v>
      </c>
      <c r="S622" s="63">
        <v>1951</v>
      </c>
      <c r="T622" s="63">
        <v>2032</v>
      </c>
      <c r="U622" s="63">
        <v>2070</v>
      </c>
      <c r="V622" s="63">
        <v>2134</v>
      </c>
      <c r="W622" s="63">
        <v>2060</v>
      </c>
      <c r="X622" s="63">
        <v>1620</v>
      </c>
      <c r="Y622" s="63">
        <v>1820</v>
      </c>
      <c r="Z622" s="63">
        <v>1931</v>
      </c>
      <c r="AA622" s="63">
        <v>2025</v>
      </c>
      <c r="AB622" s="63">
        <v>2107</v>
      </c>
    </row>
    <row r="623" spans="1:28" x14ac:dyDescent="0.2">
      <c r="A623" s="62">
        <v>49</v>
      </c>
      <c r="B623" s="62" t="s">
        <v>368</v>
      </c>
      <c r="C623" s="62">
        <v>81</v>
      </c>
      <c r="D623" s="62" t="s">
        <v>341</v>
      </c>
      <c r="E623" s="63">
        <v>398</v>
      </c>
      <c r="F623" s="63">
        <v>419</v>
      </c>
      <c r="G623" s="63">
        <v>422</v>
      </c>
      <c r="H623" s="63">
        <v>391</v>
      </c>
      <c r="I623" s="63">
        <v>357</v>
      </c>
      <c r="J623" s="63">
        <v>279</v>
      </c>
      <c r="K623" s="63">
        <v>293</v>
      </c>
      <c r="L623" s="63">
        <v>305</v>
      </c>
      <c r="M623" s="63">
        <v>295</v>
      </c>
      <c r="N623" s="63">
        <v>318</v>
      </c>
      <c r="O623" s="63">
        <v>340</v>
      </c>
      <c r="P623" s="63">
        <v>357</v>
      </c>
      <c r="Q623" s="63">
        <v>363</v>
      </c>
      <c r="R623" s="63">
        <v>328</v>
      </c>
      <c r="S623" s="63">
        <v>359</v>
      </c>
      <c r="T623" s="63">
        <v>379</v>
      </c>
      <c r="U623" s="63">
        <v>421</v>
      </c>
      <c r="V623" s="63">
        <v>347</v>
      </c>
      <c r="W623" s="63">
        <v>345</v>
      </c>
      <c r="X623" s="63">
        <v>328</v>
      </c>
      <c r="Y623" s="63">
        <v>317</v>
      </c>
      <c r="Z623" s="63">
        <v>327</v>
      </c>
      <c r="AA623" s="63">
        <v>305</v>
      </c>
      <c r="AB623" s="63">
        <v>312</v>
      </c>
    </row>
    <row r="624" spans="1:28" x14ac:dyDescent="0.2">
      <c r="A624" s="62">
        <v>49</v>
      </c>
      <c r="B624" s="62" t="s">
        <v>368</v>
      </c>
      <c r="C624" s="62">
        <v>99</v>
      </c>
      <c r="D624" s="62" t="s">
        <v>342</v>
      </c>
      <c r="E624" s="62"/>
      <c r="F624" s="62"/>
      <c r="G624" s="63">
        <v>0</v>
      </c>
      <c r="H624" s="63">
        <v>0</v>
      </c>
      <c r="I624" s="62"/>
      <c r="J624" s="62"/>
      <c r="K624" s="63">
        <v>0</v>
      </c>
      <c r="L624" s="62"/>
      <c r="M624" s="62"/>
      <c r="N624" s="62"/>
      <c r="O624" s="62"/>
      <c r="P624" s="63">
        <v>0</v>
      </c>
      <c r="Q624" s="63">
        <v>0</v>
      </c>
      <c r="R624" s="63">
        <v>0</v>
      </c>
      <c r="S624" s="62"/>
      <c r="T624" s="62"/>
      <c r="U624" s="63">
        <v>0</v>
      </c>
      <c r="V624" s="62"/>
      <c r="W624" s="62"/>
      <c r="X624" s="62"/>
      <c r="Y624" s="62"/>
      <c r="Z624" s="62"/>
      <c r="AA624" s="62"/>
      <c r="AB624" s="62"/>
    </row>
    <row r="625" spans="1:28" x14ac:dyDescent="0.2">
      <c r="A625" s="62">
        <v>51</v>
      </c>
      <c r="B625" s="62" t="s">
        <v>369</v>
      </c>
      <c r="C625" s="62">
        <v>1</v>
      </c>
      <c r="D625" s="62" t="s">
        <v>316</v>
      </c>
      <c r="E625" s="63">
        <v>163</v>
      </c>
      <c r="F625" s="63">
        <v>163</v>
      </c>
      <c r="G625" s="63">
        <v>186</v>
      </c>
      <c r="H625" s="63">
        <v>180</v>
      </c>
      <c r="I625" s="63">
        <v>168</v>
      </c>
      <c r="J625" s="63">
        <v>162</v>
      </c>
      <c r="K625" s="63">
        <v>158</v>
      </c>
      <c r="L625" s="63">
        <v>165</v>
      </c>
      <c r="M625" s="63">
        <v>177</v>
      </c>
      <c r="N625" s="63">
        <v>188</v>
      </c>
      <c r="O625" s="63">
        <v>183</v>
      </c>
      <c r="P625" s="63">
        <v>173</v>
      </c>
      <c r="Q625" s="63">
        <v>166</v>
      </c>
      <c r="R625" s="63">
        <v>166</v>
      </c>
      <c r="S625" s="63">
        <v>167</v>
      </c>
      <c r="T625" s="63">
        <v>168</v>
      </c>
      <c r="U625" s="63">
        <v>173</v>
      </c>
      <c r="V625" s="63">
        <v>168</v>
      </c>
      <c r="W625" s="63">
        <v>166</v>
      </c>
      <c r="X625" s="63">
        <v>173</v>
      </c>
      <c r="Y625" s="63">
        <v>170</v>
      </c>
      <c r="Z625" s="63">
        <v>159</v>
      </c>
      <c r="AA625" s="63">
        <v>159</v>
      </c>
      <c r="AB625" s="63">
        <v>159</v>
      </c>
    </row>
    <row r="626" spans="1:28" x14ac:dyDescent="0.2">
      <c r="A626" s="62">
        <v>51</v>
      </c>
      <c r="B626" s="62" t="s">
        <v>369</v>
      </c>
      <c r="C626" s="62">
        <v>10</v>
      </c>
      <c r="D626" s="62" t="s">
        <v>317</v>
      </c>
      <c r="E626" s="63">
        <v>9453</v>
      </c>
      <c r="F626" s="63">
        <v>9331</v>
      </c>
      <c r="G626" s="63">
        <v>9193</v>
      </c>
      <c r="H626" s="63">
        <v>9678</v>
      </c>
      <c r="I626" s="63">
        <v>10044</v>
      </c>
      <c r="J626" s="63">
        <v>10641</v>
      </c>
      <c r="K626" s="63">
        <v>10732</v>
      </c>
      <c r="L626" s="63">
        <v>10628</v>
      </c>
      <c r="M626" s="63">
        <v>10032</v>
      </c>
      <c r="N626" s="63">
        <v>9786</v>
      </c>
      <c r="O626" s="63">
        <v>9755</v>
      </c>
      <c r="P626" s="63">
        <v>9740</v>
      </c>
      <c r="Q626" s="63">
        <v>9810</v>
      </c>
      <c r="R626" s="63">
        <v>9977</v>
      </c>
      <c r="S626" s="63">
        <v>10293</v>
      </c>
      <c r="T626" s="63">
        <v>10624</v>
      </c>
      <c r="U626" s="63">
        <v>11032</v>
      </c>
      <c r="V626" s="63">
        <v>11233</v>
      </c>
      <c r="W626" s="63">
        <v>11358</v>
      </c>
      <c r="X626" s="63">
        <v>10866</v>
      </c>
      <c r="Y626" s="63">
        <v>11542</v>
      </c>
      <c r="Z626" s="63">
        <v>11946</v>
      </c>
      <c r="AA626" s="63">
        <v>12268</v>
      </c>
      <c r="AB626" s="63">
        <v>12675</v>
      </c>
    </row>
    <row r="627" spans="1:28" x14ac:dyDescent="0.2">
      <c r="A627" s="62">
        <v>51</v>
      </c>
      <c r="B627" s="62" t="s">
        <v>369</v>
      </c>
      <c r="C627" s="62">
        <v>11</v>
      </c>
      <c r="D627" s="62" t="s">
        <v>318</v>
      </c>
      <c r="E627" s="63">
        <v>71</v>
      </c>
      <c r="F627" s="63">
        <v>78</v>
      </c>
      <c r="G627" s="63">
        <v>78</v>
      </c>
      <c r="H627" s="63">
        <v>89</v>
      </c>
      <c r="I627" s="63">
        <v>69</v>
      </c>
      <c r="J627" s="63">
        <v>77</v>
      </c>
      <c r="K627" s="63">
        <v>89</v>
      </c>
      <c r="L627" s="63">
        <v>90</v>
      </c>
      <c r="M627" s="63">
        <v>117</v>
      </c>
      <c r="N627" s="63">
        <v>128</v>
      </c>
      <c r="O627" s="63">
        <v>119</v>
      </c>
      <c r="P627" s="63">
        <v>117</v>
      </c>
      <c r="Q627" s="63">
        <v>123</v>
      </c>
      <c r="R627" s="63">
        <v>128</v>
      </c>
      <c r="S627" s="63">
        <v>129</v>
      </c>
      <c r="T627" s="63">
        <v>122</v>
      </c>
      <c r="U627" s="63">
        <v>121</v>
      </c>
      <c r="V627" s="63">
        <v>138</v>
      </c>
      <c r="W627" s="63">
        <v>137</v>
      </c>
      <c r="X627" s="63">
        <v>151</v>
      </c>
      <c r="Y627" s="63">
        <v>148</v>
      </c>
      <c r="Z627" s="63">
        <v>117</v>
      </c>
      <c r="AA627" s="63">
        <v>99</v>
      </c>
      <c r="AB627" s="63">
        <v>99</v>
      </c>
    </row>
    <row r="628" spans="1:28" x14ac:dyDescent="0.2">
      <c r="A628" s="62">
        <v>51</v>
      </c>
      <c r="B628" s="62" t="s">
        <v>369</v>
      </c>
      <c r="C628" s="62">
        <v>2</v>
      </c>
      <c r="D628" s="62" t="s">
        <v>319</v>
      </c>
      <c r="E628" s="63">
        <v>354</v>
      </c>
      <c r="F628" s="63">
        <v>336</v>
      </c>
      <c r="G628" s="63">
        <v>335</v>
      </c>
      <c r="H628" s="63">
        <v>355</v>
      </c>
      <c r="I628" s="63">
        <v>361</v>
      </c>
      <c r="J628" s="63">
        <v>368</v>
      </c>
      <c r="K628" s="63">
        <v>374</v>
      </c>
      <c r="L628" s="63">
        <v>399</v>
      </c>
      <c r="M628" s="63">
        <v>404</v>
      </c>
      <c r="N628" s="63">
        <v>410</v>
      </c>
      <c r="O628" s="63">
        <v>424</v>
      </c>
      <c r="P628" s="63">
        <v>433</v>
      </c>
      <c r="Q628" s="63">
        <v>438</v>
      </c>
      <c r="R628" s="63">
        <v>444</v>
      </c>
      <c r="S628" s="63">
        <v>463</v>
      </c>
      <c r="T628" s="63">
        <v>475</v>
      </c>
      <c r="U628" s="63">
        <v>507</v>
      </c>
      <c r="V628" s="63">
        <v>509</v>
      </c>
      <c r="W628" s="63">
        <v>519</v>
      </c>
      <c r="X628" s="63">
        <v>526</v>
      </c>
      <c r="Y628" s="63">
        <v>526</v>
      </c>
      <c r="Z628" s="63">
        <v>535</v>
      </c>
      <c r="AA628" s="63">
        <v>548</v>
      </c>
      <c r="AB628" s="63">
        <v>559</v>
      </c>
    </row>
    <row r="629" spans="1:28" x14ac:dyDescent="0.2">
      <c r="A629" s="62">
        <v>51</v>
      </c>
      <c r="B629" s="62" t="s">
        <v>369</v>
      </c>
      <c r="C629" s="62">
        <v>21</v>
      </c>
      <c r="D629" s="62" t="s">
        <v>320</v>
      </c>
      <c r="E629" s="63">
        <v>631</v>
      </c>
      <c r="F629" s="63">
        <v>660</v>
      </c>
      <c r="G629" s="63">
        <v>648</v>
      </c>
      <c r="H629" s="63">
        <v>654</v>
      </c>
      <c r="I629" s="63">
        <v>742</v>
      </c>
      <c r="J629" s="63">
        <v>828</v>
      </c>
      <c r="K629" s="62"/>
      <c r="L629" s="63">
        <v>776</v>
      </c>
      <c r="M629" s="63">
        <v>760</v>
      </c>
      <c r="N629" s="63">
        <v>765</v>
      </c>
      <c r="O629" s="63">
        <v>729</v>
      </c>
      <c r="P629" s="63">
        <v>736</v>
      </c>
      <c r="Q629" s="63">
        <v>684</v>
      </c>
      <c r="R629" s="63">
        <v>416</v>
      </c>
      <c r="S629" s="62"/>
      <c r="T629" s="62"/>
      <c r="U629" s="63">
        <v>315</v>
      </c>
      <c r="V629" s="63">
        <v>361</v>
      </c>
      <c r="W629" s="63">
        <v>418</v>
      </c>
      <c r="X629" s="62"/>
      <c r="Y629" s="63">
        <v>334</v>
      </c>
      <c r="Z629" s="63">
        <v>407</v>
      </c>
      <c r="AA629" s="63">
        <v>386</v>
      </c>
      <c r="AB629" s="63">
        <v>394</v>
      </c>
    </row>
    <row r="630" spans="1:28" x14ac:dyDescent="0.2">
      <c r="A630" s="62">
        <v>51</v>
      </c>
      <c r="B630" s="62" t="s">
        <v>369</v>
      </c>
      <c r="C630" s="62">
        <v>22</v>
      </c>
      <c r="D630" s="62" t="s">
        <v>321</v>
      </c>
      <c r="E630" s="62"/>
      <c r="F630" s="62"/>
      <c r="G630" s="63">
        <v>42</v>
      </c>
      <c r="H630" s="62"/>
      <c r="I630" s="62"/>
      <c r="J630" s="63">
        <v>59</v>
      </c>
      <c r="K630" s="63">
        <v>59</v>
      </c>
      <c r="L630" s="63">
        <v>67</v>
      </c>
      <c r="M630" s="63">
        <v>59</v>
      </c>
      <c r="N630" s="63">
        <v>60</v>
      </c>
      <c r="O630" s="63">
        <v>53</v>
      </c>
      <c r="P630" s="63">
        <v>53</v>
      </c>
      <c r="Q630" s="63">
        <v>50</v>
      </c>
      <c r="R630" s="63">
        <v>50</v>
      </c>
      <c r="S630" s="63">
        <v>55</v>
      </c>
      <c r="T630" s="63">
        <v>56</v>
      </c>
      <c r="U630" s="63">
        <v>58</v>
      </c>
      <c r="V630" s="63">
        <v>61</v>
      </c>
      <c r="W630" s="63">
        <v>60</v>
      </c>
      <c r="X630" s="63">
        <v>58</v>
      </c>
      <c r="Y630" s="63">
        <v>61</v>
      </c>
      <c r="Z630" s="63">
        <v>59</v>
      </c>
      <c r="AA630" s="63">
        <v>59</v>
      </c>
      <c r="AB630" s="63">
        <v>65</v>
      </c>
    </row>
    <row r="631" spans="1:28" x14ac:dyDescent="0.2">
      <c r="A631" s="62">
        <v>51</v>
      </c>
      <c r="B631" s="62" t="s">
        <v>369</v>
      </c>
      <c r="C631" s="62">
        <v>23</v>
      </c>
      <c r="D631" s="62" t="s">
        <v>322</v>
      </c>
      <c r="E631" s="63">
        <v>1263</v>
      </c>
      <c r="F631" s="63">
        <v>1127</v>
      </c>
      <c r="G631" s="63">
        <v>1023</v>
      </c>
      <c r="H631" s="63">
        <v>1155</v>
      </c>
      <c r="I631" s="63">
        <v>1208</v>
      </c>
      <c r="J631" s="63">
        <v>1374</v>
      </c>
      <c r="K631" s="63">
        <v>1445</v>
      </c>
      <c r="L631" s="63">
        <v>1348</v>
      </c>
      <c r="M631" s="63">
        <v>1105</v>
      </c>
      <c r="N631" s="63">
        <v>964</v>
      </c>
      <c r="O631" s="63">
        <v>912</v>
      </c>
      <c r="P631" s="63">
        <v>882</v>
      </c>
      <c r="Q631" s="63">
        <v>902</v>
      </c>
      <c r="R631" s="63">
        <v>940</v>
      </c>
      <c r="S631" s="63">
        <v>985</v>
      </c>
      <c r="T631" s="63">
        <v>1035</v>
      </c>
      <c r="U631" s="63">
        <v>1101</v>
      </c>
      <c r="V631" s="63">
        <v>1134</v>
      </c>
      <c r="W631" s="63">
        <v>1151</v>
      </c>
      <c r="X631" s="63">
        <v>1197</v>
      </c>
      <c r="Y631" s="63">
        <v>1270</v>
      </c>
      <c r="Z631" s="63">
        <v>1314</v>
      </c>
      <c r="AA631" s="63">
        <v>1406</v>
      </c>
      <c r="AB631" s="63">
        <v>1541</v>
      </c>
    </row>
    <row r="632" spans="1:28" x14ac:dyDescent="0.2">
      <c r="A632" s="62">
        <v>51</v>
      </c>
      <c r="B632" s="62" t="s">
        <v>369</v>
      </c>
      <c r="C632" s="62">
        <v>3</v>
      </c>
      <c r="D632" s="62" t="s">
        <v>323</v>
      </c>
      <c r="E632" s="63">
        <v>874</v>
      </c>
      <c r="F632" s="63">
        <v>917</v>
      </c>
      <c r="G632" s="63">
        <v>973</v>
      </c>
      <c r="H632" s="63">
        <v>1005</v>
      </c>
      <c r="I632" s="63">
        <v>1053</v>
      </c>
      <c r="J632" s="63">
        <v>1103</v>
      </c>
      <c r="K632" s="63">
        <v>1097</v>
      </c>
      <c r="L632" s="63">
        <v>1136</v>
      </c>
      <c r="M632" s="63">
        <v>1176</v>
      </c>
      <c r="N632" s="63">
        <v>1203</v>
      </c>
      <c r="O632" s="63">
        <v>1187</v>
      </c>
      <c r="P632" s="63">
        <v>1184</v>
      </c>
      <c r="Q632" s="63">
        <v>1150</v>
      </c>
      <c r="R632" s="63">
        <v>1176</v>
      </c>
      <c r="S632" s="63">
        <v>1208</v>
      </c>
      <c r="T632" s="63">
        <v>1255</v>
      </c>
      <c r="U632" s="63">
        <v>1305</v>
      </c>
      <c r="V632" s="63">
        <v>1348</v>
      </c>
      <c r="W632" s="63">
        <v>1383</v>
      </c>
      <c r="X632" s="63">
        <v>1382</v>
      </c>
      <c r="Y632" s="63">
        <v>1442</v>
      </c>
      <c r="Z632" s="63">
        <v>1468</v>
      </c>
      <c r="AA632" s="63">
        <v>1481</v>
      </c>
      <c r="AB632" s="63">
        <v>1499</v>
      </c>
    </row>
    <row r="633" spans="1:28" x14ac:dyDescent="0.2">
      <c r="A633" s="62">
        <v>51</v>
      </c>
      <c r="B633" s="62" t="s">
        <v>369</v>
      </c>
      <c r="C633" s="62" t="s">
        <v>324</v>
      </c>
      <c r="D633" s="62" t="s">
        <v>325</v>
      </c>
      <c r="E633" s="63">
        <v>181</v>
      </c>
      <c r="F633" s="63">
        <v>173</v>
      </c>
      <c r="G633" s="63">
        <v>161</v>
      </c>
      <c r="H633" s="63">
        <v>170</v>
      </c>
      <c r="I633" s="63">
        <v>136</v>
      </c>
      <c r="J633" s="63">
        <v>137</v>
      </c>
      <c r="K633" s="63">
        <v>146</v>
      </c>
      <c r="L633" s="63">
        <v>148</v>
      </c>
      <c r="M633" s="63">
        <v>144</v>
      </c>
      <c r="N633" s="63">
        <v>129</v>
      </c>
      <c r="O633" s="63">
        <v>135</v>
      </c>
      <c r="P633" s="63">
        <v>147</v>
      </c>
      <c r="Q633" s="63">
        <v>146</v>
      </c>
      <c r="R633" s="63">
        <v>153</v>
      </c>
      <c r="S633" s="63">
        <v>148</v>
      </c>
      <c r="T633" s="63">
        <v>180</v>
      </c>
      <c r="U633" s="63">
        <v>187</v>
      </c>
      <c r="V633" s="63">
        <v>199</v>
      </c>
      <c r="W633" s="63">
        <v>189</v>
      </c>
      <c r="X633" s="63">
        <v>207</v>
      </c>
      <c r="Y633" s="63">
        <v>230</v>
      </c>
      <c r="Z633" s="63">
        <v>232</v>
      </c>
      <c r="AA633" s="63">
        <v>235</v>
      </c>
      <c r="AB633" s="63">
        <v>247</v>
      </c>
    </row>
    <row r="634" spans="1:28" x14ac:dyDescent="0.2">
      <c r="A634" s="62">
        <v>51</v>
      </c>
      <c r="B634" s="62" t="s">
        <v>369</v>
      </c>
      <c r="C634" s="62">
        <v>42</v>
      </c>
      <c r="D634" s="62" t="s">
        <v>326</v>
      </c>
      <c r="E634" s="63">
        <v>55</v>
      </c>
      <c r="F634" s="63">
        <v>50</v>
      </c>
      <c r="G634" s="63">
        <v>31</v>
      </c>
      <c r="H634" s="63">
        <v>45</v>
      </c>
      <c r="I634" s="63">
        <v>66</v>
      </c>
      <c r="J634" s="63">
        <v>61</v>
      </c>
      <c r="K634" s="63">
        <v>74</v>
      </c>
      <c r="L634" s="63">
        <v>78</v>
      </c>
      <c r="M634" s="63">
        <v>71</v>
      </c>
      <c r="N634" s="63">
        <v>59</v>
      </c>
      <c r="O634" s="63">
        <v>68</v>
      </c>
      <c r="P634" s="63">
        <v>70</v>
      </c>
      <c r="Q634" s="63">
        <v>73</v>
      </c>
      <c r="R634" s="63">
        <v>46</v>
      </c>
      <c r="S634" s="63">
        <v>83</v>
      </c>
      <c r="T634" s="63">
        <v>88</v>
      </c>
      <c r="U634" s="63">
        <v>104</v>
      </c>
      <c r="V634" s="63">
        <v>93</v>
      </c>
      <c r="W634" s="63">
        <v>82</v>
      </c>
      <c r="X634" s="63">
        <v>65</v>
      </c>
      <c r="Y634" s="63">
        <v>72</v>
      </c>
      <c r="Z634" s="63">
        <v>80</v>
      </c>
      <c r="AA634" s="63">
        <v>80</v>
      </c>
      <c r="AB634" s="63">
        <v>77</v>
      </c>
    </row>
    <row r="635" spans="1:28" x14ac:dyDescent="0.2">
      <c r="A635" s="62">
        <v>51</v>
      </c>
      <c r="B635" s="62" t="s">
        <v>369</v>
      </c>
      <c r="C635" s="62" t="s">
        <v>327</v>
      </c>
      <c r="D635" s="62" t="s">
        <v>328</v>
      </c>
      <c r="E635" s="63">
        <v>1113</v>
      </c>
      <c r="F635" s="63">
        <v>1066</v>
      </c>
      <c r="G635" s="63">
        <v>1039</v>
      </c>
      <c r="H635" s="63">
        <v>1088</v>
      </c>
      <c r="I635" s="63">
        <v>1131</v>
      </c>
      <c r="J635" s="63">
        <v>1135</v>
      </c>
      <c r="K635" s="63">
        <v>1149</v>
      </c>
      <c r="L635" s="63">
        <v>1104</v>
      </c>
      <c r="M635" s="63">
        <v>1020</v>
      </c>
      <c r="N635" s="63">
        <v>989</v>
      </c>
      <c r="O635" s="63">
        <v>1006</v>
      </c>
      <c r="P635" s="63">
        <v>1014</v>
      </c>
      <c r="Q635" s="63">
        <v>1031</v>
      </c>
      <c r="R635" s="63">
        <v>1054</v>
      </c>
      <c r="S635" s="63">
        <v>1090</v>
      </c>
      <c r="T635" s="63">
        <v>1153</v>
      </c>
      <c r="U635" s="63">
        <v>1176</v>
      </c>
      <c r="V635" s="63">
        <v>1167</v>
      </c>
      <c r="W635" s="63">
        <v>1187</v>
      </c>
      <c r="X635" s="63">
        <v>1133</v>
      </c>
      <c r="Y635" s="63">
        <v>1185</v>
      </c>
      <c r="Z635" s="63">
        <v>1199</v>
      </c>
      <c r="AA635" s="63">
        <v>1196</v>
      </c>
      <c r="AB635" s="63">
        <v>1180</v>
      </c>
    </row>
    <row r="636" spans="1:28" x14ac:dyDescent="0.2">
      <c r="A636" s="62">
        <v>51</v>
      </c>
      <c r="B636" s="62" t="s">
        <v>369</v>
      </c>
      <c r="C636" s="62" t="s">
        <v>329</v>
      </c>
      <c r="D636" s="62" t="s">
        <v>330</v>
      </c>
      <c r="E636" s="63">
        <v>137</v>
      </c>
      <c r="F636" s="63">
        <v>152</v>
      </c>
      <c r="G636" s="63">
        <v>147</v>
      </c>
      <c r="H636" s="63">
        <v>142</v>
      </c>
      <c r="I636" s="63">
        <v>150</v>
      </c>
      <c r="J636" s="63">
        <v>148</v>
      </c>
      <c r="K636" s="63">
        <v>160</v>
      </c>
      <c r="L636" s="63">
        <v>160</v>
      </c>
      <c r="M636" s="63">
        <v>132</v>
      </c>
      <c r="N636" s="63">
        <v>122</v>
      </c>
      <c r="O636" s="63">
        <v>114</v>
      </c>
      <c r="P636" s="63">
        <v>114</v>
      </c>
      <c r="Q636" s="63">
        <v>104</v>
      </c>
      <c r="R636" s="63">
        <v>115</v>
      </c>
      <c r="S636" s="63">
        <v>123</v>
      </c>
      <c r="T636" s="63">
        <v>136</v>
      </c>
      <c r="U636" s="63">
        <v>179</v>
      </c>
      <c r="V636" s="63">
        <v>166</v>
      </c>
      <c r="W636" s="63">
        <v>179</v>
      </c>
      <c r="X636" s="63">
        <v>194</v>
      </c>
      <c r="Y636" s="63">
        <v>199</v>
      </c>
      <c r="Z636" s="63">
        <v>207</v>
      </c>
      <c r="AA636" s="63">
        <v>243</v>
      </c>
      <c r="AB636" s="63">
        <v>250</v>
      </c>
    </row>
    <row r="637" spans="1:28" x14ac:dyDescent="0.2">
      <c r="A637" s="62">
        <v>51</v>
      </c>
      <c r="B637" s="62" t="s">
        <v>369</v>
      </c>
      <c r="C637" s="62">
        <v>51</v>
      </c>
      <c r="D637" s="62" t="s">
        <v>331</v>
      </c>
      <c r="E637" s="63">
        <v>87</v>
      </c>
      <c r="F637" s="63">
        <v>87</v>
      </c>
      <c r="G637" s="63">
        <v>90</v>
      </c>
      <c r="H637" s="63">
        <v>104</v>
      </c>
      <c r="I637" s="63">
        <v>123</v>
      </c>
      <c r="J637" s="63">
        <v>108</v>
      </c>
      <c r="K637" s="63">
        <v>119</v>
      </c>
      <c r="L637" s="63">
        <v>110</v>
      </c>
      <c r="M637" s="63">
        <v>111</v>
      </c>
      <c r="N637" s="63">
        <v>85</v>
      </c>
      <c r="O637" s="63">
        <v>91</v>
      </c>
      <c r="P637" s="63">
        <v>94</v>
      </c>
      <c r="Q637" s="63">
        <v>87</v>
      </c>
      <c r="R637" s="63">
        <v>106</v>
      </c>
      <c r="S637" s="63">
        <v>103</v>
      </c>
      <c r="T637" s="63">
        <v>117</v>
      </c>
      <c r="U637" s="63">
        <v>113</v>
      </c>
      <c r="V637" s="63">
        <v>117</v>
      </c>
      <c r="W637" s="63">
        <v>113</v>
      </c>
      <c r="X637" s="63">
        <v>115</v>
      </c>
      <c r="Y637" s="63">
        <v>102</v>
      </c>
      <c r="Z637" s="63">
        <v>92</v>
      </c>
      <c r="AA637" s="63">
        <v>83</v>
      </c>
      <c r="AB637" s="63">
        <v>89</v>
      </c>
    </row>
    <row r="638" spans="1:28" x14ac:dyDescent="0.2">
      <c r="A638" s="62">
        <v>51</v>
      </c>
      <c r="B638" s="62" t="s">
        <v>369</v>
      </c>
      <c r="C638" s="62">
        <v>52</v>
      </c>
      <c r="D638" s="62" t="s">
        <v>332</v>
      </c>
      <c r="E638" s="63">
        <v>204</v>
      </c>
      <c r="F638" s="63">
        <v>207</v>
      </c>
      <c r="G638" s="63">
        <v>232</v>
      </c>
      <c r="H638" s="63">
        <v>221</v>
      </c>
      <c r="I638" s="63">
        <v>225</v>
      </c>
      <c r="J638" s="63">
        <v>233</v>
      </c>
      <c r="K638" s="63">
        <v>227</v>
      </c>
      <c r="L638" s="63">
        <v>215</v>
      </c>
      <c r="M638" s="63">
        <v>203</v>
      </c>
      <c r="N638" s="63">
        <v>190</v>
      </c>
      <c r="O638" s="63">
        <v>185</v>
      </c>
      <c r="P638" s="63">
        <v>183</v>
      </c>
      <c r="Q638" s="63">
        <v>177</v>
      </c>
      <c r="R638" s="63">
        <v>173</v>
      </c>
      <c r="S638" s="63">
        <v>172</v>
      </c>
      <c r="T638" s="63">
        <v>189</v>
      </c>
      <c r="U638" s="63">
        <v>185</v>
      </c>
      <c r="V638" s="63">
        <v>185</v>
      </c>
      <c r="W638" s="63">
        <v>179</v>
      </c>
      <c r="X638" s="63">
        <v>174</v>
      </c>
      <c r="Y638" s="63">
        <v>163</v>
      </c>
      <c r="Z638" s="63">
        <v>169</v>
      </c>
      <c r="AA638" s="63">
        <v>164</v>
      </c>
      <c r="AB638" s="63">
        <v>156</v>
      </c>
    </row>
    <row r="639" spans="1:28" x14ac:dyDescent="0.2">
      <c r="A639" s="62">
        <v>51</v>
      </c>
      <c r="B639" s="62" t="s">
        <v>369</v>
      </c>
      <c r="C639" s="62">
        <v>53</v>
      </c>
      <c r="D639" s="62" t="s">
        <v>333</v>
      </c>
      <c r="E639" s="63">
        <v>533</v>
      </c>
      <c r="F639" s="63">
        <v>549</v>
      </c>
      <c r="G639" s="63">
        <v>544</v>
      </c>
      <c r="H639" s="63">
        <v>584</v>
      </c>
      <c r="I639" s="63">
        <v>605</v>
      </c>
      <c r="J639" s="63">
        <v>612</v>
      </c>
      <c r="K639" s="63">
        <v>611</v>
      </c>
      <c r="L639" s="63">
        <v>620</v>
      </c>
      <c r="M639" s="63">
        <v>629</v>
      </c>
      <c r="N639" s="63">
        <v>608</v>
      </c>
      <c r="O639" s="63">
        <v>567</v>
      </c>
      <c r="P639" s="63">
        <v>573</v>
      </c>
      <c r="Q639" s="63">
        <v>592</v>
      </c>
      <c r="R639" s="63">
        <v>611</v>
      </c>
      <c r="S639" s="63">
        <v>617</v>
      </c>
      <c r="T639" s="63">
        <v>661</v>
      </c>
      <c r="U639" s="63">
        <v>680</v>
      </c>
      <c r="V639" s="63">
        <v>714</v>
      </c>
      <c r="W639" s="63">
        <v>732</v>
      </c>
      <c r="X639" s="63">
        <v>736</v>
      </c>
      <c r="Y639" s="63">
        <v>752</v>
      </c>
      <c r="Z639" s="63">
        <v>762</v>
      </c>
      <c r="AA639" s="63">
        <v>805</v>
      </c>
      <c r="AB639" s="63">
        <v>776</v>
      </c>
    </row>
    <row r="640" spans="1:28" x14ac:dyDescent="0.2">
      <c r="A640" s="62">
        <v>51</v>
      </c>
      <c r="B640" s="62" t="s">
        <v>369</v>
      </c>
      <c r="C640" s="62">
        <v>54</v>
      </c>
      <c r="D640" s="62" t="s">
        <v>334</v>
      </c>
      <c r="E640" s="63">
        <v>438</v>
      </c>
      <c r="F640" s="63">
        <v>460</v>
      </c>
      <c r="G640" s="63">
        <v>459</v>
      </c>
      <c r="H640" s="63">
        <v>505</v>
      </c>
      <c r="I640" s="63">
        <v>531</v>
      </c>
      <c r="J640" s="63">
        <v>568</v>
      </c>
      <c r="K640" s="63">
        <v>550</v>
      </c>
      <c r="L640" s="63">
        <v>530</v>
      </c>
      <c r="M640" s="63">
        <v>500</v>
      </c>
      <c r="N640" s="63">
        <v>508</v>
      </c>
      <c r="O640" s="63">
        <v>545</v>
      </c>
      <c r="P640" s="63">
        <v>569</v>
      </c>
      <c r="Q640" s="63">
        <v>615</v>
      </c>
      <c r="R640" s="63">
        <v>656</v>
      </c>
      <c r="S640" s="63">
        <v>641</v>
      </c>
      <c r="T640" s="63">
        <v>702</v>
      </c>
      <c r="U640" s="63">
        <v>719</v>
      </c>
      <c r="V640" s="63">
        <v>759</v>
      </c>
      <c r="W640" s="63">
        <v>793</v>
      </c>
      <c r="X640" s="63">
        <v>795</v>
      </c>
      <c r="Y640" s="63">
        <v>833</v>
      </c>
      <c r="Z640" s="63">
        <v>904</v>
      </c>
      <c r="AA640" s="63">
        <v>964</v>
      </c>
      <c r="AB640" s="63">
        <v>933</v>
      </c>
    </row>
    <row r="641" spans="1:28" x14ac:dyDescent="0.2">
      <c r="A641" s="62">
        <v>51</v>
      </c>
      <c r="B641" s="62" t="s">
        <v>369</v>
      </c>
      <c r="C641" s="62">
        <v>55</v>
      </c>
      <c r="D641" s="64" t="s">
        <v>335</v>
      </c>
      <c r="E641" s="65"/>
      <c r="F641" s="65"/>
      <c r="G641" s="63">
        <v>9</v>
      </c>
      <c r="H641" s="62"/>
      <c r="I641" s="62"/>
      <c r="J641" s="62"/>
      <c r="K641" s="62"/>
      <c r="L641" s="63">
        <v>10</v>
      </c>
      <c r="M641" s="63">
        <v>7</v>
      </c>
      <c r="N641" s="63">
        <v>7</v>
      </c>
      <c r="O641" s="63">
        <v>6</v>
      </c>
      <c r="P641" s="62"/>
      <c r="Q641" s="62"/>
      <c r="R641" s="62"/>
      <c r="S641" s="63">
        <v>5</v>
      </c>
      <c r="T641" s="62"/>
      <c r="U641" s="63">
        <v>2</v>
      </c>
      <c r="V641" s="63">
        <v>2</v>
      </c>
      <c r="W641" s="63">
        <v>4</v>
      </c>
      <c r="X641" s="63">
        <v>4</v>
      </c>
      <c r="Y641" s="63">
        <v>11</v>
      </c>
      <c r="Z641" s="63">
        <v>19</v>
      </c>
      <c r="AA641" s="63">
        <v>15</v>
      </c>
      <c r="AB641" s="63">
        <v>15</v>
      </c>
    </row>
    <row r="642" spans="1:28" x14ac:dyDescent="0.2">
      <c r="A642" s="62">
        <v>51</v>
      </c>
      <c r="B642" s="62" t="s">
        <v>369</v>
      </c>
      <c r="C642" s="62">
        <v>56</v>
      </c>
      <c r="D642" s="62" t="s">
        <v>336</v>
      </c>
      <c r="E642" s="63">
        <v>206</v>
      </c>
      <c r="F642" s="63">
        <v>210</v>
      </c>
      <c r="G642" s="63">
        <v>246</v>
      </c>
      <c r="H642" s="63">
        <v>265</v>
      </c>
      <c r="I642" s="63">
        <v>264</v>
      </c>
      <c r="J642" s="63">
        <v>261</v>
      </c>
      <c r="K642" s="63">
        <v>355</v>
      </c>
      <c r="L642" s="63">
        <v>333</v>
      </c>
      <c r="M642" s="63">
        <v>322</v>
      </c>
      <c r="N642" s="63">
        <v>320</v>
      </c>
      <c r="O642" s="63">
        <v>334</v>
      </c>
      <c r="P642" s="63">
        <v>348</v>
      </c>
      <c r="Q642" s="63">
        <v>346</v>
      </c>
      <c r="R642" s="63">
        <v>354</v>
      </c>
      <c r="S642" s="63">
        <v>422</v>
      </c>
      <c r="T642" s="63">
        <v>387</v>
      </c>
      <c r="U642" s="63">
        <v>435</v>
      </c>
      <c r="V642" s="63">
        <v>512</v>
      </c>
      <c r="W642" s="63">
        <v>518</v>
      </c>
      <c r="X642" s="63">
        <v>515</v>
      </c>
      <c r="Y642" s="63">
        <v>553</v>
      </c>
      <c r="Z642" s="63">
        <v>566</v>
      </c>
      <c r="AA642" s="63">
        <v>597</v>
      </c>
      <c r="AB642" s="63">
        <v>632</v>
      </c>
    </row>
    <row r="643" spans="1:28" x14ac:dyDescent="0.2">
      <c r="A643" s="62">
        <v>51</v>
      </c>
      <c r="B643" s="62" t="s">
        <v>369</v>
      </c>
      <c r="C643" s="62">
        <v>61</v>
      </c>
      <c r="D643" s="62" t="s">
        <v>337</v>
      </c>
      <c r="E643" s="63">
        <v>146</v>
      </c>
      <c r="F643" s="63">
        <v>145</v>
      </c>
      <c r="G643" s="63">
        <v>136</v>
      </c>
      <c r="H643" s="63">
        <v>139</v>
      </c>
      <c r="I643" s="63">
        <v>168</v>
      </c>
      <c r="J643" s="63">
        <v>161</v>
      </c>
      <c r="K643" s="63">
        <v>153</v>
      </c>
      <c r="L643" s="63">
        <v>140</v>
      </c>
      <c r="M643" s="63">
        <v>116</v>
      </c>
      <c r="N643" s="63">
        <v>110</v>
      </c>
      <c r="O643" s="63">
        <v>107</v>
      </c>
      <c r="P643" s="63">
        <v>121</v>
      </c>
      <c r="Q643" s="63">
        <v>109</v>
      </c>
      <c r="R643" s="63">
        <v>118</v>
      </c>
      <c r="S643" s="63">
        <v>119</v>
      </c>
      <c r="T643" s="63">
        <v>118</v>
      </c>
      <c r="U643" s="63">
        <v>122</v>
      </c>
      <c r="V643" s="63">
        <v>124</v>
      </c>
      <c r="W643" s="63">
        <v>131</v>
      </c>
      <c r="X643" s="63">
        <v>115</v>
      </c>
      <c r="Y643" s="63">
        <v>154</v>
      </c>
      <c r="Z643" s="63">
        <v>181</v>
      </c>
      <c r="AA643" s="63">
        <v>168</v>
      </c>
      <c r="AB643" s="63">
        <v>175</v>
      </c>
    </row>
    <row r="644" spans="1:28" x14ac:dyDescent="0.2">
      <c r="A644" s="62">
        <v>51</v>
      </c>
      <c r="B644" s="62" t="s">
        <v>369</v>
      </c>
      <c r="C644" s="62">
        <v>62</v>
      </c>
      <c r="D644" s="62" t="s">
        <v>338</v>
      </c>
      <c r="E644" s="63">
        <v>359</v>
      </c>
      <c r="F644" s="63">
        <v>357</v>
      </c>
      <c r="G644" s="63">
        <v>312</v>
      </c>
      <c r="H644" s="63">
        <v>321</v>
      </c>
      <c r="I644" s="63">
        <v>336</v>
      </c>
      <c r="J644" s="63">
        <v>348</v>
      </c>
      <c r="K644" s="63">
        <v>377</v>
      </c>
      <c r="L644" s="63">
        <v>398</v>
      </c>
      <c r="M644" s="63">
        <v>383</v>
      </c>
      <c r="N644" s="63">
        <v>388</v>
      </c>
      <c r="O644" s="63">
        <v>359</v>
      </c>
      <c r="P644" s="63">
        <v>389</v>
      </c>
      <c r="Q644" s="63">
        <v>374</v>
      </c>
      <c r="R644" s="63">
        <v>354</v>
      </c>
      <c r="S644" s="63">
        <v>384</v>
      </c>
      <c r="T644" s="63">
        <v>402</v>
      </c>
      <c r="U644" s="63">
        <v>407</v>
      </c>
      <c r="V644" s="63">
        <v>440</v>
      </c>
      <c r="W644" s="63">
        <v>465</v>
      </c>
      <c r="X644" s="63">
        <v>473</v>
      </c>
      <c r="Y644" s="63">
        <v>533</v>
      </c>
      <c r="Z644" s="63">
        <v>556</v>
      </c>
      <c r="AA644" s="63">
        <v>584</v>
      </c>
      <c r="AB644" s="63">
        <v>570</v>
      </c>
    </row>
    <row r="645" spans="1:28" x14ac:dyDescent="0.2">
      <c r="A645" s="62">
        <v>51</v>
      </c>
      <c r="B645" s="62" t="s">
        <v>369</v>
      </c>
      <c r="C645" s="62">
        <v>71</v>
      </c>
      <c r="D645" s="62" t="s">
        <v>339</v>
      </c>
      <c r="E645" s="63">
        <v>660</v>
      </c>
      <c r="F645" s="63">
        <v>690</v>
      </c>
      <c r="G645" s="63">
        <v>669</v>
      </c>
      <c r="H645" s="63">
        <v>641</v>
      </c>
      <c r="I645" s="63">
        <v>682</v>
      </c>
      <c r="J645" s="63">
        <v>839</v>
      </c>
      <c r="K645" s="63">
        <v>815</v>
      </c>
      <c r="L645" s="63">
        <v>857</v>
      </c>
      <c r="M645" s="63">
        <v>820</v>
      </c>
      <c r="N645" s="63">
        <v>812</v>
      </c>
      <c r="O645" s="63">
        <v>883</v>
      </c>
      <c r="P645" s="63">
        <v>815</v>
      </c>
      <c r="Q645" s="63">
        <v>840</v>
      </c>
      <c r="R645" s="63">
        <v>926</v>
      </c>
      <c r="S645" s="63">
        <v>977</v>
      </c>
      <c r="T645" s="63">
        <v>973</v>
      </c>
      <c r="U645" s="63">
        <v>1019</v>
      </c>
      <c r="V645" s="63">
        <v>1029</v>
      </c>
      <c r="W645" s="63">
        <v>990</v>
      </c>
      <c r="X645" s="63">
        <v>836</v>
      </c>
      <c r="Y645" s="63">
        <v>950</v>
      </c>
      <c r="Z645" s="63">
        <v>1010</v>
      </c>
      <c r="AA645" s="63">
        <v>1039</v>
      </c>
      <c r="AB645" s="63">
        <v>1097</v>
      </c>
    </row>
    <row r="646" spans="1:28" x14ac:dyDescent="0.2">
      <c r="A646" s="62">
        <v>51</v>
      </c>
      <c r="B646" s="62" t="s">
        <v>369</v>
      </c>
      <c r="C646" s="62">
        <v>72</v>
      </c>
      <c r="D646" s="62" t="s">
        <v>340</v>
      </c>
      <c r="E646" s="63">
        <v>1563</v>
      </c>
      <c r="F646" s="63">
        <v>1486</v>
      </c>
      <c r="G646" s="63">
        <v>1445</v>
      </c>
      <c r="H646" s="63">
        <v>1524</v>
      </c>
      <c r="I646" s="63">
        <v>1590</v>
      </c>
      <c r="J646" s="63">
        <v>1672</v>
      </c>
      <c r="K646" s="63">
        <v>1587</v>
      </c>
      <c r="L646" s="63">
        <v>1553</v>
      </c>
      <c r="M646" s="63">
        <v>1394</v>
      </c>
      <c r="N646" s="63">
        <v>1342</v>
      </c>
      <c r="O646" s="63">
        <v>1319</v>
      </c>
      <c r="P646" s="63">
        <v>1285</v>
      </c>
      <c r="Q646" s="63">
        <v>1338</v>
      </c>
      <c r="R646" s="63">
        <v>1469</v>
      </c>
      <c r="S646" s="63">
        <v>1538</v>
      </c>
      <c r="T646" s="63">
        <v>1591</v>
      </c>
      <c r="U646" s="63">
        <v>1643</v>
      </c>
      <c r="V646" s="63">
        <v>1614</v>
      </c>
      <c r="W646" s="63">
        <v>1584</v>
      </c>
      <c r="X646" s="63">
        <v>1299</v>
      </c>
      <c r="Y646" s="63">
        <v>1458</v>
      </c>
      <c r="Z646" s="63">
        <v>1466</v>
      </c>
      <c r="AA646" s="63">
        <v>1480</v>
      </c>
      <c r="AB646" s="63">
        <v>1622</v>
      </c>
    </row>
    <row r="647" spans="1:28" x14ac:dyDescent="0.2">
      <c r="A647" s="62">
        <v>51</v>
      </c>
      <c r="B647" s="62" t="s">
        <v>369</v>
      </c>
      <c r="C647" s="62">
        <v>81</v>
      </c>
      <c r="D647" s="62" t="s">
        <v>341</v>
      </c>
      <c r="E647" s="63">
        <v>348</v>
      </c>
      <c r="F647" s="63">
        <v>346</v>
      </c>
      <c r="G647" s="63">
        <v>350</v>
      </c>
      <c r="H647" s="63">
        <v>388</v>
      </c>
      <c r="I647" s="63">
        <v>368</v>
      </c>
      <c r="J647" s="63">
        <v>359</v>
      </c>
      <c r="K647" s="63">
        <v>395</v>
      </c>
      <c r="L647" s="63">
        <v>382</v>
      </c>
      <c r="M647" s="63">
        <v>367</v>
      </c>
      <c r="N647" s="63">
        <v>385</v>
      </c>
      <c r="O647" s="63">
        <v>412</v>
      </c>
      <c r="P647" s="63">
        <v>419</v>
      </c>
      <c r="Q647" s="63">
        <v>416</v>
      </c>
      <c r="R647" s="63">
        <v>471</v>
      </c>
      <c r="S647" s="63">
        <v>465</v>
      </c>
      <c r="T647" s="63">
        <v>476</v>
      </c>
      <c r="U647" s="63">
        <v>468</v>
      </c>
      <c r="V647" s="63">
        <v>383</v>
      </c>
      <c r="W647" s="63">
        <v>369</v>
      </c>
      <c r="X647" s="63">
        <v>338</v>
      </c>
      <c r="Y647" s="63">
        <v>383</v>
      </c>
      <c r="Z647" s="63">
        <v>432</v>
      </c>
      <c r="AA647" s="63">
        <v>466</v>
      </c>
      <c r="AB647" s="63">
        <v>528</v>
      </c>
    </row>
    <row r="648" spans="1:28" x14ac:dyDescent="0.2">
      <c r="A648" s="62">
        <v>51</v>
      </c>
      <c r="B648" s="62" t="s">
        <v>369</v>
      </c>
      <c r="C648" s="62">
        <v>99</v>
      </c>
      <c r="D648" s="62" t="s">
        <v>342</v>
      </c>
      <c r="E648" s="63">
        <v>0</v>
      </c>
      <c r="F648" s="62"/>
      <c r="G648" s="63">
        <v>0</v>
      </c>
      <c r="H648" s="62"/>
      <c r="I648" s="62"/>
      <c r="J648" s="62"/>
      <c r="K648" s="62"/>
      <c r="L648" s="63">
        <v>0</v>
      </c>
      <c r="M648" s="63">
        <v>0</v>
      </c>
      <c r="N648" s="63">
        <v>0</v>
      </c>
      <c r="O648" s="63">
        <v>2</v>
      </c>
      <c r="P648" s="62"/>
      <c r="Q648" s="62"/>
      <c r="R648" s="62"/>
      <c r="S648" s="62"/>
      <c r="T648" s="62"/>
      <c r="U648" s="62"/>
      <c r="V648" s="62"/>
      <c r="W648" s="63">
        <v>0</v>
      </c>
      <c r="X648" s="62"/>
      <c r="Y648" s="63">
        <v>4</v>
      </c>
      <c r="Z648" s="63">
        <v>2</v>
      </c>
      <c r="AA648" s="63">
        <v>1</v>
      </c>
      <c r="AB648" s="63">
        <v>0</v>
      </c>
    </row>
    <row r="649" spans="1:28" x14ac:dyDescent="0.2">
      <c r="A649" s="62">
        <v>53</v>
      </c>
      <c r="B649" s="62" t="s">
        <v>370</v>
      </c>
      <c r="C649" s="62">
        <v>1</v>
      </c>
      <c r="D649" s="62" t="s">
        <v>316</v>
      </c>
      <c r="E649" s="63">
        <v>4</v>
      </c>
      <c r="F649" s="63">
        <v>4</v>
      </c>
      <c r="G649" s="63">
        <v>4</v>
      </c>
      <c r="H649" s="63">
        <v>4</v>
      </c>
      <c r="I649" s="63">
        <v>4</v>
      </c>
      <c r="J649" s="63">
        <v>4</v>
      </c>
      <c r="K649" s="63">
        <v>4</v>
      </c>
      <c r="L649" s="63">
        <v>3</v>
      </c>
      <c r="M649" s="63">
        <v>3</v>
      </c>
      <c r="N649" s="63">
        <v>4</v>
      </c>
      <c r="O649" s="63">
        <v>2</v>
      </c>
      <c r="P649" s="63">
        <v>3</v>
      </c>
      <c r="Q649" s="63">
        <v>3</v>
      </c>
      <c r="R649" s="63">
        <v>3</v>
      </c>
      <c r="S649" s="63">
        <v>3</v>
      </c>
      <c r="T649" s="63">
        <v>2</v>
      </c>
      <c r="U649" s="63">
        <v>2</v>
      </c>
      <c r="V649" s="63">
        <v>3</v>
      </c>
      <c r="W649" s="63">
        <v>3</v>
      </c>
      <c r="X649" s="63">
        <v>4</v>
      </c>
      <c r="Y649" s="63">
        <v>2</v>
      </c>
      <c r="Z649" s="63">
        <v>2</v>
      </c>
      <c r="AA649" s="63">
        <v>2</v>
      </c>
      <c r="AB649" s="63">
        <v>3</v>
      </c>
    </row>
    <row r="650" spans="1:28" x14ac:dyDescent="0.2">
      <c r="A650" s="62">
        <v>53</v>
      </c>
      <c r="B650" s="62" t="s">
        <v>370</v>
      </c>
      <c r="C650" s="62">
        <v>10</v>
      </c>
      <c r="D650" s="62" t="s">
        <v>317</v>
      </c>
      <c r="E650" s="63">
        <v>466</v>
      </c>
      <c r="F650" s="63">
        <v>446</v>
      </c>
      <c r="G650" s="63">
        <v>436</v>
      </c>
      <c r="H650" s="63">
        <v>430</v>
      </c>
      <c r="I650" s="63">
        <v>420</v>
      </c>
      <c r="J650" s="63">
        <v>440</v>
      </c>
      <c r="K650" s="63">
        <v>430</v>
      </c>
      <c r="L650" s="63">
        <v>440</v>
      </c>
      <c r="M650" s="63">
        <v>447</v>
      </c>
      <c r="N650" s="63">
        <v>418</v>
      </c>
      <c r="O650" s="63">
        <v>441</v>
      </c>
      <c r="P650" s="63">
        <v>430</v>
      </c>
      <c r="Q650" s="63">
        <v>424</v>
      </c>
      <c r="R650" s="63">
        <v>405</v>
      </c>
      <c r="S650" s="63">
        <v>419</v>
      </c>
      <c r="T650" s="63">
        <v>408</v>
      </c>
      <c r="U650" s="63">
        <v>432</v>
      </c>
      <c r="V650" s="63">
        <v>428</v>
      </c>
      <c r="W650" s="63">
        <v>432</v>
      </c>
      <c r="X650" s="63">
        <v>406</v>
      </c>
      <c r="Y650" s="63">
        <v>416</v>
      </c>
      <c r="Z650" s="63">
        <v>435</v>
      </c>
      <c r="AA650" s="63">
        <v>453</v>
      </c>
      <c r="AB650" s="63">
        <v>459</v>
      </c>
    </row>
    <row r="651" spans="1:28" x14ac:dyDescent="0.2">
      <c r="A651" s="62">
        <v>53</v>
      </c>
      <c r="B651" s="62" t="s">
        <v>370</v>
      </c>
      <c r="C651" s="62">
        <v>11</v>
      </c>
      <c r="D651" s="64" t="s">
        <v>318</v>
      </c>
      <c r="E651" s="65"/>
      <c r="F651" s="65"/>
      <c r="G651" s="62"/>
      <c r="H651" s="62"/>
      <c r="I651" s="63">
        <v>7</v>
      </c>
      <c r="J651" s="63">
        <v>5</v>
      </c>
      <c r="K651" s="62"/>
      <c r="L651" s="63">
        <v>8</v>
      </c>
      <c r="M651" s="63">
        <v>6</v>
      </c>
      <c r="N651" s="63">
        <v>7</v>
      </c>
      <c r="O651" s="63">
        <v>9</v>
      </c>
      <c r="P651" s="63">
        <v>8</v>
      </c>
      <c r="Q651" s="62"/>
      <c r="R651" s="62"/>
      <c r="S651" s="63">
        <v>6</v>
      </c>
      <c r="T651" s="63">
        <v>6</v>
      </c>
      <c r="U651" s="63">
        <v>7</v>
      </c>
      <c r="V651" s="63">
        <v>7</v>
      </c>
      <c r="W651" s="62"/>
      <c r="X651" s="63">
        <v>8</v>
      </c>
      <c r="Y651" s="63">
        <v>8</v>
      </c>
      <c r="Z651" s="63">
        <v>7</v>
      </c>
      <c r="AA651" s="62"/>
      <c r="AB651" s="62"/>
    </row>
    <row r="652" spans="1:28" x14ac:dyDescent="0.2">
      <c r="A652" s="62">
        <v>53</v>
      </c>
      <c r="B652" s="62" t="s">
        <v>370</v>
      </c>
      <c r="C652" s="62">
        <v>2</v>
      </c>
      <c r="D652" s="64" t="s">
        <v>319</v>
      </c>
      <c r="E652" s="65"/>
      <c r="F652" s="63">
        <v>4</v>
      </c>
      <c r="G652" s="63">
        <v>6</v>
      </c>
      <c r="H652" s="63">
        <v>5</v>
      </c>
      <c r="I652" s="63">
        <v>5</v>
      </c>
      <c r="J652" s="63">
        <v>7</v>
      </c>
      <c r="K652" s="62"/>
      <c r="L652" s="62"/>
      <c r="M652" s="62"/>
      <c r="N652" s="62"/>
      <c r="O652" s="62"/>
      <c r="P652" s="62"/>
      <c r="Q652" s="63">
        <v>6</v>
      </c>
      <c r="R652" s="63">
        <v>6</v>
      </c>
      <c r="S652" s="63">
        <v>7</v>
      </c>
      <c r="T652" s="63">
        <v>6</v>
      </c>
      <c r="U652" s="63">
        <v>7</v>
      </c>
      <c r="V652" s="63">
        <v>6</v>
      </c>
      <c r="W652" s="63">
        <v>6</v>
      </c>
      <c r="X652" s="63">
        <v>6</v>
      </c>
      <c r="Y652" s="63">
        <v>5</v>
      </c>
      <c r="Z652" s="63">
        <v>4</v>
      </c>
      <c r="AA652" s="63">
        <v>4</v>
      </c>
      <c r="AB652" s="63">
        <v>6</v>
      </c>
    </row>
    <row r="653" spans="1:28" x14ac:dyDescent="0.2">
      <c r="A653" s="62">
        <v>53</v>
      </c>
      <c r="B653" s="62" t="s">
        <v>370</v>
      </c>
      <c r="C653" s="62">
        <v>21</v>
      </c>
      <c r="D653" s="64" t="s">
        <v>320</v>
      </c>
      <c r="E653" s="65"/>
      <c r="F653" s="65"/>
      <c r="G653" s="65"/>
      <c r="H653" s="62"/>
      <c r="I653" s="62"/>
      <c r="J653" s="62"/>
      <c r="K653" s="62"/>
      <c r="L653" s="62"/>
      <c r="M653" s="63">
        <v>3</v>
      </c>
      <c r="N653" s="63">
        <v>0</v>
      </c>
      <c r="O653" s="62"/>
      <c r="P653" s="63">
        <v>0</v>
      </c>
      <c r="Q653" s="62"/>
      <c r="R653" s="62"/>
      <c r="S653" s="62"/>
      <c r="T653" s="63">
        <v>6</v>
      </c>
      <c r="U653" s="62"/>
      <c r="V653" s="62"/>
      <c r="W653" s="62"/>
      <c r="X653" s="62"/>
      <c r="Y653" s="62"/>
      <c r="Z653" s="62"/>
      <c r="AA653" s="63">
        <v>0</v>
      </c>
      <c r="AB653" s="62"/>
    </row>
    <row r="654" spans="1:28" x14ac:dyDescent="0.2">
      <c r="A654" s="62">
        <v>53</v>
      </c>
      <c r="B654" s="62" t="s">
        <v>370</v>
      </c>
      <c r="C654" s="62">
        <v>22</v>
      </c>
      <c r="D654" s="62" t="s">
        <v>321</v>
      </c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</row>
    <row r="655" spans="1:28" x14ac:dyDescent="0.2">
      <c r="A655" s="62">
        <v>53</v>
      </c>
      <c r="B655" s="62" t="s">
        <v>370</v>
      </c>
      <c r="C655" s="62">
        <v>23</v>
      </c>
      <c r="D655" s="62" t="s">
        <v>322</v>
      </c>
      <c r="E655" s="63">
        <v>66</v>
      </c>
      <c r="F655" s="63">
        <v>60</v>
      </c>
      <c r="G655" s="63">
        <v>54</v>
      </c>
      <c r="H655" s="63">
        <v>59</v>
      </c>
      <c r="I655" s="63">
        <v>70</v>
      </c>
      <c r="J655" s="63">
        <v>69</v>
      </c>
      <c r="K655" s="63">
        <v>85</v>
      </c>
      <c r="L655" s="63">
        <v>83</v>
      </c>
      <c r="M655" s="63">
        <v>87</v>
      </c>
      <c r="N655" s="63">
        <v>72</v>
      </c>
      <c r="O655" s="63">
        <v>71</v>
      </c>
      <c r="P655" s="63">
        <v>74</v>
      </c>
      <c r="Q655" s="63">
        <v>57</v>
      </c>
      <c r="R655" s="63">
        <v>51</v>
      </c>
      <c r="S655" s="63">
        <v>63</v>
      </c>
      <c r="T655" s="63">
        <v>55</v>
      </c>
      <c r="U655" s="63">
        <v>58</v>
      </c>
      <c r="V655" s="63">
        <v>56</v>
      </c>
      <c r="W655" s="63">
        <v>58</v>
      </c>
      <c r="X655" s="63">
        <v>60</v>
      </c>
      <c r="Y655" s="63">
        <v>51</v>
      </c>
      <c r="Z655" s="63">
        <v>52</v>
      </c>
      <c r="AA655" s="63">
        <v>40</v>
      </c>
      <c r="AB655" s="63">
        <v>33</v>
      </c>
    </row>
    <row r="656" spans="1:28" x14ac:dyDescent="0.2">
      <c r="A656" s="62">
        <v>53</v>
      </c>
      <c r="B656" s="62" t="s">
        <v>370</v>
      </c>
      <c r="C656" s="62">
        <v>3</v>
      </c>
      <c r="D656" s="62" t="s">
        <v>323</v>
      </c>
      <c r="E656" s="63">
        <v>71</v>
      </c>
      <c r="F656" s="63">
        <v>78</v>
      </c>
      <c r="G656" s="63">
        <v>84</v>
      </c>
      <c r="H656" s="63">
        <v>84</v>
      </c>
      <c r="I656" s="63">
        <v>75</v>
      </c>
      <c r="J656" s="63">
        <v>73</v>
      </c>
      <c r="K656" s="62"/>
      <c r="L656" s="63">
        <v>80</v>
      </c>
      <c r="M656" s="63">
        <v>78</v>
      </c>
      <c r="N656" s="63">
        <v>76</v>
      </c>
      <c r="O656" s="63">
        <v>78</v>
      </c>
      <c r="P656" s="63">
        <v>76</v>
      </c>
      <c r="Q656" s="63">
        <v>77</v>
      </c>
      <c r="R656" s="63">
        <v>77</v>
      </c>
      <c r="S656" s="63">
        <v>77</v>
      </c>
      <c r="T656" s="63">
        <v>82</v>
      </c>
      <c r="U656" s="63">
        <v>85</v>
      </c>
      <c r="V656" s="63">
        <v>84</v>
      </c>
      <c r="W656" s="63">
        <v>80</v>
      </c>
      <c r="X656" s="63">
        <v>79</v>
      </c>
      <c r="Y656" s="63">
        <v>82</v>
      </c>
      <c r="Z656" s="63">
        <v>90</v>
      </c>
      <c r="AA656" s="63">
        <v>106</v>
      </c>
      <c r="AB656" s="63">
        <v>106</v>
      </c>
    </row>
    <row r="657" spans="1:28" x14ac:dyDescent="0.2">
      <c r="A657" s="62">
        <v>53</v>
      </c>
      <c r="B657" s="62" t="s">
        <v>370</v>
      </c>
      <c r="C657" s="62" t="s">
        <v>324</v>
      </c>
      <c r="D657" s="64" t="s">
        <v>325</v>
      </c>
      <c r="E657" s="65"/>
      <c r="F657" s="62"/>
      <c r="G657" s="63">
        <v>1</v>
      </c>
      <c r="H657" s="63">
        <v>10</v>
      </c>
      <c r="I657" s="63">
        <v>9</v>
      </c>
      <c r="J657" s="63">
        <v>10</v>
      </c>
      <c r="K657" s="62"/>
      <c r="L657" s="63">
        <v>0</v>
      </c>
      <c r="M657" s="62"/>
      <c r="N657" s="62"/>
      <c r="O657" s="62"/>
      <c r="P657" s="63">
        <v>7</v>
      </c>
      <c r="Q657" s="62"/>
      <c r="R657" s="63">
        <v>5</v>
      </c>
      <c r="S657" s="63">
        <v>9</v>
      </c>
      <c r="T657" s="63">
        <v>6</v>
      </c>
      <c r="U657" s="63">
        <v>4</v>
      </c>
      <c r="V657" s="63">
        <v>11</v>
      </c>
      <c r="W657" s="63">
        <v>10</v>
      </c>
      <c r="X657" s="63">
        <v>7</v>
      </c>
      <c r="Y657" s="63">
        <v>10</v>
      </c>
      <c r="Z657" s="63">
        <v>9</v>
      </c>
      <c r="AA657" s="63">
        <v>8</v>
      </c>
      <c r="AB657" s="63">
        <v>6</v>
      </c>
    </row>
    <row r="658" spans="1:28" x14ac:dyDescent="0.2">
      <c r="A658" s="62">
        <v>53</v>
      </c>
      <c r="B658" s="62" t="s">
        <v>370</v>
      </c>
      <c r="C658" s="62">
        <v>42</v>
      </c>
      <c r="D658" s="64" t="s">
        <v>326</v>
      </c>
      <c r="E658" s="65"/>
      <c r="F658" s="62"/>
      <c r="G658" s="63">
        <v>0</v>
      </c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3">
        <v>0</v>
      </c>
      <c r="T658" s="62"/>
      <c r="U658" s="62"/>
      <c r="V658" s="63">
        <v>10</v>
      </c>
      <c r="W658" s="62"/>
      <c r="X658" s="62"/>
      <c r="Y658" s="62"/>
      <c r="Z658" s="62"/>
      <c r="AA658" s="62"/>
      <c r="AB658" s="62"/>
    </row>
    <row r="659" spans="1:28" x14ac:dyDescent="0.2">
      <c r="A659" s="62">
        <v>53</v>
      </c>
      <c r="B659" s="62" t="s">
        <v>370</v>
      </c>
      <c r="C659" s="62" t="s">
        <v>327</v>
      </c>
      <c r="D659" s="62" t="s">
        <v>328</v>
      </c>
      <c r="E659" s="63">
        <v>64</v>
      </c>
      <c r="F659" s="63">
        <v>62</v>
      </c>
      <c r="G659" s="63">
        <v>52</v>
      </c>
      <c r="H659" s="63">
        <v>50</v>
      </c>
      <c r="I659" s="63">
        <v>50</v>
      </c>
      <c r="J659" s="63">
        <v>57</v>
      </c>
      <c r="K659" s="63">
        <v>55</v>
      </c>
      <c r="L659" s="63">
        <v>68</v>
      </c>
      <c r="M659" s="63">
        <v>55</v>
      </c>
      <c r="N659" s="63">
        <v>48</v>
      </c>
      <c r="O659" s="63">
        <v>50</v>
      </c>
      <c r="P659" s="63">
        <v>49</v>
      </c>
      <c r="Q659" s="63">
        <v>54</v>
      </c>
      <c r="R659" s="63">
        <v>45</v>
      </c>
      <c r="S659" s="63">
        <v>41</v>
      </c>
      <c r="T659" s="63">
        <v>38</v>
      </c>
      <c r="U659" s="63">
        <v>43</v>
      </c>
      <c r="V659" s="63">
        <v>37</v>
      </c>
      <c r="W659" s="63">
        <v>34</v>
      </c>
      <c r="X659" s="63">
        <v>31</v>
      </c>
      <c r="Y659" s="63">
        <v>32</v>
      </c>
      <c r="Z659" s="63">
        <v>38</v>
      </c>
      <c r="AA659" s="63">
        <v>47</v>
      </c>
      <c r="AB659" s="63">
        <v>48</v>
      </c>
    </row>
    <row r="660" spans="1:28" x14ac:dyDescent="0.2">
      <c r="A660" s="62">
        <v>53</v>
      </c>
      <c r="B660" s="62" t="s">
        <v>370</v>
      </c>
      <c r="C660" s="62" t="s">
        <v>329</v>
      </c>
      <c r="D660" s="64" t="s">
        <v>330</v>
      </c>
      <c r="E660" s="65"/>
      <c r="F660" s="65"/>
      <c r="G660" s="63">
        <v>0</v>
      </c>
      <c r="H660" s="63">
        <v>0</v>
      </c>
      <c r="I660" s="62"/>
      <c r="J660" s="63">
        <v>4</v>
      </c>
      <c r="K660" s="63">
        <v>1</v>
      </c>
      <c r="L660" s="62"/>
      <c r="M660" s="62"/>
      <c r="N660" s="62"/>
      <c r="O660" s="63">
        <v>1</v>
      </c>
      <c r="P660" s="63">
        <v>1</v>
      </c>
      <c r="Q660" s="63">
        <v>1</v>
      </c>
      <c r="R660" s="63">
        <v>1</v>
      </c>
      <c r="S660" s="63">
        <v>1</v>
      </c>
      <c r="T660" s="62"/>
      <c r="U660" s="62"/>
      <c r="V660" s="62"/>
      <c r="W660" s="62"/>
      <c r="X660" s="62"/>
      <c r="Y660" s="62"/>
      <c r="Z660" s="62"/>
      <c r="AA660" s="63">
        <v>1</v>
      </c>
      <c r="AB660" s="62"/>
    </row>
    <row r="661" spans="1:28" x14ac:dyDescent="0.2">
      <c r="A661" s="62">
        <v>53</v>
      </c>
      <c r="B661" s="62" t="s">
        <v>370</v>
      </c>
      <c r="C661" s="62">
        <v>51</v>
      </c>
      <c r="D661" s="62" t="s">
        <v>331</v>
      </c>
      <c r="E661" s="62"/>
      <c r="F661" s="63">
        <v>5</v>
      </c>
      <c r="G661" s="62"/>
      <c r="H661" s="62"/>
      <c r="I661" s="63">
        <v>10</v>
      </c>
      <c r="J661" s="63">
        <v>8</v>
      </c>
      <c r="K661" s="63">
        <v>9</v>
      </c>
      <c r="L661" s="63">
        <v>8</v>
      </c>
      <c r="M661" s="63">
        <v>7</v>
      </c>
      <c r="N661" s="63">
        <v>5</v>
      </c>
      <c r="O661" s="63">
        <v>4</v>
      </c>
      <c r="P661" s="63">
        <v>3</v>
      </c>
      <c r="Q661" s="62"/>
      <c r="R661" s="62"/>
      <c r="S661" s="63">
        <v>10</v>
      </c>
      <c r="T661" s="62"/>
      <c r="U661" s="62"/>
      <c r="V661" s="62"/>
      <c r="W661" s="63">
        <v>7</v>
      </c>
      <c r="X661" s="63">
        <v>7</v>
      </c>
      <c r="Y661" s="63">
        <v>9</v>
      </c>
      <c r="Z661" s="63">
        <v>10</v>
      </c>
      <c r="AA661" s="63">
        <v>19</v>
      </c>
      <c r="AB661" s="63">
        <v>14</v>
      </c>
    </row>
    <row r="662" spans="1:28" x14ac:dyDescent="0.2">
      <c r="A662" s="62">
        <v>53</v>
      </c>
      <c r="B662" s="62" t="s">
        <v>370</v>
      </c>
      <c r="C662" s="62">
        <v>52</v>
      </c>
      <c r="D662" s="64" t="s">
        <v>332</v>
      </c>
      <c r="E662" s="65"/>
      <c r="F662" s="62"/>
      <c r="G662" s="62"/>
      <c r="H662" s="62"/>
      <c r="I662" s="63">
        <v>22</v>
      </c>
      <c r="J662" s="63">
        <v>26</v>
      </c>
      <c r="K662" s="63">
        <v>15</v>
      </c>
      <c r="L662" s="63">
        <v>13</v>
      </c>
      <c r="M662" s="62"/>
      <c r="N662" s="63">
        <v>12</v>
      </c>
      <c r="O662" s="63">
        <v>11</v>
      </c>
      <c r="P662" s="62"/>
      <c r="Q662" s="62"/>
      <c r="R662" s="62"/>
      <c r="S662" s="63">
        <v>12</v>
      </c>
      <c r="T662" s="63">
        <v>9</v>
      </c>
      <c r="U662" s="62"/>
      <c r="V662" s="63">
        <v>4</v>
      </c>
      <c r="W662" s="63">
        <v>6</v>
      </c>
      <c r="X662" s="63">
        <v>6</v>
      </c>
      <c r="Y662" s="63">
        <v>8</v>
      </c>
      <c r="Z662" s="62"/>
      <c r="AA662" s="62"/>
      <c r="AB662" s="62"/>
    </row>
    <row r="663" spans="1:28" x14ac:dyDescent="0.2">
      <c r="A663" s="62">
        <v>53</v>
      </c>
      <c r="B663" s="62" t="s">
        <v>370</v>
      </c>
      <c r="C663" s="62">
        <v>53</v>
      </c>
      <c r="D663" s="62" t="s">
        <v>333</v>
      </c>
      <c r="E663" s="63">
        <v>31</v>
      </c>
      <c r="F663" s="63">
        <v>30</v>
      </c>
      <c r="G663" s="63">
        <v>25</v>
      </c>
      <c r="H663" s="63">
        <v>28</v>
      </c>
      <c r="I663" s="63">
        <v>24</v>
      </c>
      <c r="J663" s="63">
        <v>23</v>
      </c>
      <c r="K663" s="63">
        <v>23</v>
      </c>
      <c r="L663" s="63">
        <v>16</v>
      </c>
      <c r="M663" s="63">
        <v>23</v>
      </c>
      <c r="N663" s="63">
        <v>4</v>
      </c>
      <c r="O663" s="63">
        <v>18</v>
      </c>
      <c r="P663" s="63">
        <v>16</v>
      </c>
      <c r="Q663" s="63">
        <v>21</v>
      </c>
      <c r="R663" s="63">
        <v>16</v>
      </c>
      <c r="S663" s="63">
        <v>23</v>
      </c>
      <c r="T663" s="63">
        <v>25</v>
      </c>
      <c r="U663" s="63">
        <v>29</v>
      </c>
      <c r="V663" s="63">
        <v>31</v>
      </c>
      <c r="W663" s="63">
        <v>32</v>
      </c>
      <c r="X663" s="63">
        <v>37</v>
      </c>
      <c r="Y663" s="63">
        <v>40</v>
      </c>
      <c r="Z663" s="63">
        <v>43</v>
      </c>
      <c r="AA663" s="63">
        <v>39</v>
      </c>
      <c r="AB663" s="63">
        <v>36</v>
      </c>
    </row>
    <row r="664" spans="1:28" x14ac:dyDescent="0.2">
      <c r="A664" s="62">
        <v>53</v>
      </c>
      <c r="B664" s="62" t="s">
        <v>370</v>
      </c>
      <c r="C664" s="62">
        <v>54</v>
      </c>
      <c r="D664" s="62" t="s">
        <v>334</v>
      </c>
      <c r="E664" s="63">
        <v>20</v>
      </c>
      <c r="F664" s="63">
        <v>19</v>
      </c>
      <c r="G664" s="63">
        <v>26</v>
      </c>
      <c r="H664" s="63">
        <v>26</v>
      </c>
      <c r="I664" s="63">
        <v>27</v>
      </c>
      <c r="J664" s="63">
        <v>32</v>
      </c>
      <c r="K664" s="63">
        <v>29</v>
      </c>
      <c r="L664" s="63">
        <v>24</v>
      </c>
      <c r="M664" s="63">
        <v>21</v>
      </c>
      <c r="N664" s="63">
        <v>25</v>
      </c>
      <c r="O664" s="63">
        <v>28</v>
      </c>
      <c r="P664" s="63">
        <v>24</v>
      </c>
      <c r="Q664" s="63">
        <v>24</v>
      </c>
      <c r="R664" s="63">
        <v>22</v>
      </c>
      <c r="S664" s="63">
        <v>23</v>
      </c>
      <c r="T664" s="63">
        <v>20</v>
      </c>
      <c r="U664" s="63">
        <v>24</v>
      </c>
      <c r="V664" s="63">
        <v>24</v>
      </c>
      <c r="W664" s="63">
        <v>21</v>
      </c>
      <c r="X664" s="63">
        <v>23</v>
      </c>
      <c r="Y664" s="63">
        <v>23</v>
      </c>
      <c r="Z664" s="63">
        <v>23</v>
      </c>
      <c r="AA664" s="63">
        <v>22</v>
      </c>
      <c r="AB664" s="63">
        <v>26</v>
      </c>
    </row>
    <row r="665" spans="1:28" x14ac:dyDescent="0.2">
      <c r="A665" s="62">
        <v>53</v>
      </c>
      <c r="B665" s="62" t="s">
        <v>370</v>
      </c>
      <c r="C665" s="62">
        <v>55</v>
      </c>
      <c r="D665" s="64" t="s">
        <v>335</v>
      </c>
      <c r="E665" s="65"/>
      <c r="F665" s="65"/>
      <c r="G665" s="65"/>
      <c r="H665" s="62"/>
      <c r="I665" s="62"/>
      <c r="J665" s="62"/>
      <c r="K665" s="62"/>
      <c r="L665" s="63">
        <v>0</v>
      </c>
      <c r="M665" s="63">
        <v>0</v>
      </c>
      <c r="N665" s="62"/>
      <c r="O665" s="62"/>
      <c r="P665" s="62"/>
      <c r="Q665" s="62"/>
      <c r="R665" s="62"/>
      <c r="S665" s="63">
        <v>0</v>
      </c>
      <c r="T665" s="63">
        <v>0</v>
      </c>
      <c r="U665" s="62"/>
      <c r="V665" s="63">
        <v>0</v>
      </c>
      <c r="W665" s="63">
        <v>1</v>
      </c>
      <c r="X665" s="63">
        <v>0</v>
      </c>
      <c r="Y665" s="62"/>
      <c r="Z665" s="62"/>
      <c r="AA665" s="62"/>
      <c r="AB665" s="62"/>
    </row>
    <row r="666" spans="1:28" x14ac:dyDescent="0.2">
      <c r="A666" s="62">
        <v>53</v>
      </c>
      <c r="B666" s="62" t="s">
        <v>370</v>
      </c>
      <c r="C666" s="62">
        <v>56</v>
      </c>
      <c r="D666" s="62" t="s">
        <v>336</v>
      </c>
      <c r="E666" s="63">
        <v>16</v>
      </c>
      <c r="F666" s="63">
        <v>20</v>
      </c>
      <c r="G666" s="63">
        <v>15</v>
      </c>
      <c r="H666" s="63">
        <v>13</v>
      </c>
      <c r="I666" s="63">
        <v>8</v>
      </c>
      <c r="J666" s="63">
        <v>8</v>
      </c>
      <c r="K666" s="63">
        <v>11</v>
      </c>
      <c r="L666" s="63">
        <v>14</v>
      </c>
      <c r="M666" s="63">
        <v>16</v>
      </c>
      <c r="N666" s="63">
        <v>19</v>
      </c>
      <c r="O666" s="63">
        <v>23</v>
      </c>
      <c r="P666" s="63">
        <v>25</v>
      </c>
      <c r="Q666" s="63">
        <v>23</v>
      </c>
      <c r="R666" s="63">
        <v>20</v>
      </c>
      <c r="S666" s="63">
        <v>25</v>
      </c>
      <c r="T666" s="63">
        <v>19</v>
      </c>
      <c r="U666" s="63">
        <v>20</v>
      </c>
      <c r="V666" s="63">
        <v>19</v>
      </c>
      <c r="W666" s="63">
        <v>15</v>
      </c>
      <c r="X666" s="63">
        <v>16</v>
      </c>
      <c r="Y666" s="63">
        <v>19</v>
      </c>
      <c r="Z666" s="63">
        <v>21</v>
      </c>
      <c r="AA666" s="63">
        <v>28</v>
      </c>
      <c r="AB666" s="63">
        <v>28</v>
      </c>
    </row>
    <row r="667" spans="1:28" x14ac:dyDescent="0.2">
      <c r="A667" s="62">
        <v>53</v>
      </c>
      <c r="B667" s="62" t="s">
        <v>370</v>
      </c>
      <c r="C667" s="62">
        <v>61</v>
      </c>
      <c r="D667" s="64" t="s">
        <v>337</v>
      </c>
      <c r="E667" s="65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3">
        <v>4</v>
      </c>
      <c r="Z667" s="62"/>
      <c r="AA667" s="62"/>
      <c r="AB667" s="62"/>
    </row>
    <row r="668" spans="1:28" x14ac:dyDescent="0.2">
      <c r="A668" s="62">
        <v>53</v>
      </c>
      <c r="B668" s="62" t="s">
        <v>370</v>
      </c>
      <c r="C668" s="62">
        <v>62</v>
      </c>
      <c r="D668" s="64" t="s">
        <v>338</v>
      </c>
      <c r="E668" s="65"/>
      <c r="F668" s="65"/>
      <c r="G668" s="62"/>
      <c r="H668" s="62"/>
      <c r="I668" s="62"/>
      <c r="J668" s="63">
        <v>9</v>
      </c>
      <c r="K668" s="62"/>
      <c r="L668" s="62"/>
      <c r="M668" s="62"/>
      <c r="N668" s="63">
        <v>12</v>
      </c>
      <c r="O668" s="63">
        <v>15</v>
      </c>
      <c r="P668" s="62"/>
      <c r="Q668" s="62"/>
      <c r="R668" s="62"/>
      <c r="S668" s="62"/>
      <c r="T668" s="63">
        <v>20</v>
      </c>
      <c r="U668" s="62"/>
      <c r="V668" s="63">
        <v>18</v>
      </c>
      <c r="W668" s="63">
        <v>21</v>
      </c>
      <c r="X668" s="63">
        <v>14</v>
      </c>
      <c r="Y668" s="62"/>
      <c r="Z668" s="62"/>
      <c r="AA668" s="62"/>
      <c r="AB668" s="62"/>
    </row>
    <row r="669" spans="1:28" x14ac:dyDescent="0.2">
      <c r="A669" s="62">
        <v>53</v>
      </c>
      <c r="B669" s="62" t="s">
        <v>370</v>
      </c>
      <c r="C669" s="62">
        <v>71</v>
      </c>
      <c r="D669" s="62" t="s">
        <v>339</v>
      </c>
      <c r="E669" s="63">
        <v>10</v>
      </c>
      <c r="F669" s="63">
        <v>12</v>
      </c>
      <c r="G669" s="63">
        <v>23</v>
      </c>
      <c r="H669" s="63">
        <v>10</v>
      </c>
      <c r="I669" s="63">
        <v>15</v>
      </c>
      <c r="J669" s="63">
        <v>12</v>
      </c>
      <c r="K669" s="63">
        <v>17</v>
      </c>
      <c r="L669" s="63">
        <v>6</v>
      </c>
      <c r="M669" s="63">
        <v>13</v>
      </c>
      <c r="N669" s="63">
        <v>16</v>
      </c>
      <c r="O669" s="63">
        <v>15</v>
      </c>
      <c r="P669" s="63">
        <v>7</v>
      </c>
      <c r="Q669" s="63">
        <v>8</v>
      </c>
      <c r="R669" s="63">
        <v>7</v>
      </c>
      <c r="S669" s="63">
        <v>11</v>
      </c>
      <c r="T669" s="63">
        <v>12</v>
      </c>
      <c r="U669" s="63">
        <v>12</v>
      </c>
      <c r="V669" s="63">
        <v>12</v>
      </c>
      <c r="W669" s="63">
        <v>15</v>
      </c>
      <c r="X669" s="63">
        <v>10</v>
      </c>
      <c r="Y669" s="63">
        <v>10</v>
      </c>
      <c r="Z669" s="63">
        <v>13</v>
      </c>
      <c r="AA669" s="63">
        <v>12</v>
      </c>
      <c r="AB669" s="63">
        <v>14</v>
      </c>
    </row>
    <row r="670" spans="1:28" x14ac:dyDescent="0.2">
      <c r="A670" s="62">
        <v>53</v>
      </c>
      <c r="B670" s="62" t="s">
        <v>370</v>
      </c>
      <c r="C670" s="62">
        <v>72</v>
      </c>
      <c r="D670" s="62" t="s">
        <v>340</v>
      </c>
      <c r="E670" s="63">
        <v>79</v>
      </c>
      <c r="F670" s="63">
        <v>66</v>
      </c>
      <c r="G670" s="63">
        <v>69</v>
      </c>
      <c r="H670" s="63">
        <v>66</v>
      </c>
      <c r="I670" s="63">
        <v>60</v>
      </c>
      <c r="J670" s="63">
        <v>61</v>
      </c>
      <c r="K670" s="63">
        <v>49</v>
      </c>
      <c r="L670" s="63">
        <v>52</v>
      </c>
      <c r="M670" s="63">
        <v>58</v>
      </c>
      <c r="N670" s="63">
        <v>49</v>
      </c>
      <c r="O670" s="63">
        <v>72</v>
      </c>
      <c r="P670" s="63">
        <v>64</v>
      </c>
      <c r="Q670" s="63">
        <v>55</v>
      </c>
      <c r="R670" s="63">
        <v>63</v>
      </c>
      <c r="S670" s="63">
        <v>60</v>
      </c>
      <c r="T670" s="63">
        <v>56</v>
      </c>
      <c r="U670" s="63">
        <v>66</v>
      </c>
      <c r="V670" s="63">
        <v>59</v>
      </c>
      <c r="W670" s="63">
        <v>67</v>
      </c>
      <c r="X670" s="63">
        <v>55</v>
      </c>
      <c r="Y670" s="63">
        <v>63</v>
      </c>
      <c r="Z670" s="63">
        <v>60</v>
      </c>
      <c r="AA670" s="63">
        <v>65</v>
      </c>
      <c r="AB670" s="63">
        <v>74</v>
      </c>
    </row>
    <row r="671" spans="1:28" x14ac:dyDescent="0.2">
      <c r="A671" s="62">
        <v>53</v>
      </c>
      <c r="B671" s="62" t="s">
        <v>370</v>
      </c>
      <c r="C671" s="62">
        <v>81</v>
      </c>
      <c r="D671" s="62" t="s">
        <v>341</v>
      </c>
      <c r="E671" s="63">
        <v>10</v>
      </c>
      <c r="F671" s="63">
        <v>22</v>
      </c>
      <c r="G671" s="63">
        <v>24</v>
      </c>
      <c r="H671" s="63">
        <v>22</v>
      </c>
      <c r="I671" s="63">
        <v>16</v>
      </c>
      <c r="J671" s="63">
        <v>22</v>
      </c>
      <c r="K671" s="63">
        <v>23</v>
      </c>
      <c r="L671" s="63">
        <v>27</v>
      </c>
      <c r="M671" s="63">
        <v>28</v>
      </c>
      <c r="N671" s="63">
        <v>22</v>
      </c>
      <c r="O671" s="63">
        <v>25</v>
      </c>
      <c r="P671" s="63">
        <v>26</v>
      </c>
      <c r="Q671" s="63">
        <v>30</v>
      </c>
      <c r="R671" s="63">
        <v>25</v>
      </c>
      <c r="S671" s="63">
        <v>20</v>
      </c>
      <c r="T671" s="63">
        <v>19</v>
      </c>
      <c r="U671" s="63">
        <v>19</v>
      </c>
      <c r="V671" s="63">
        <v>21</v>
      </c>
      <c r="W671" s="63">
        <v>24</v>
      </c>
      <c r="X671" s="63">
        <v>20</v>
      </c>
      <c r="Y671" s="63">
        <v>19</v>
      </c>
      <c r="Z671" s="63">
        <v>23</v>
      </c>
      <c r="AA671" s="63">
        <v>26</v>
      </c>
      <c r="AB671" s="63">
        <v>28</v>
      </c>
    </row>
    <row r="672" spans="1:28" x14ac:dyDescent="0.2">
      <c r="A672" s="62">
        <v>53</v>
      </c>
      <c r="B672" s="62" t="s">
        <v>370</v>
      </c>
      <c r="C672" s="62">
        <v>99</v>
      </c>
      <c r="D672" s="62" t="s">
        <v>342</v>
      </c>
      <c r="E672" s="63">
        <v>0</v>
      </c>
      <c r="F672" s="62"/>
      <c r="G672" s="62"/>
      <c r="H672" s="63">
        <v>0</v>
      </c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3">
        <v>0</v>
      </c>
      <c r="AB672" s="62"/>
    </row>
    <row r="673" spans="1:28" x14ac:dyDescent="0.2">
      <c r="A673" s="62">
        <v>55</v>
      </c>
      <c r="B673" s="62" t="s">
        <v>371</v>
      </c>
      <c r="C673" s="62">
        <v>1</v>
      </c>
      <c r="D673" s="62" t="s">
        <v>316</v>
      </c>
      <c r="E673" s="63">
        <v>20</v>
      </c>
      <c r="F673" s="63">
        <v>19</v>
      </c>
      <c r="G673" s="63">
        <v>20</v>
      </c>
      <c r="H673" s="63">
        <v>16</v>
      </c>
      <c r="I673" s="63">
        <v>17</v>
      </c>
      <c r="J673" s="63">
        <v>19</v>
      </c>
      <c r="K673" s="63">
        <v>18</v>
      </c>
      <c r="L673" s="63">
        <v>17</v>
      </c>
      <c r="M673" s="63">
        <v>18</v>
      </c>
      <c r="N673" s="63">
        <v>24</v>
      </c>
      <c r="O673" s="63">
        <v>14</v>
      </c>
      <c r="P673" s="63">
        <v>14</v>
      </c>
      <c r="Q673" s="63">
        <v>12</v>
      </c>
      <c r="R673" s="63">
        <v>12</v>
      </c>
      <c r="S673" s="63">
        <v>12</v>
      </c>
      <c r="T673" s="63">
        <v>13</v>
      </c>
      <c r="U673" s="63">
        <v>13</v>
      </c>
      <c r="V673" s="63">
        <v>15</v>
      </c>
      <c r="W673" s="63">
        <v>15</v>
      </c>
      <c r="X673" s="63">
        <v>18</v>
      </c>
      <c r="Y673" s="63">
        <v>14</v>
      </c>
      <c r="Z673" s="63">
        <v>15</v>
      </c>
      <c r="AA673" s="63">
        <v>15</v>
      </c>
      <c r="AB673" s="63">
        <v>15</v>
      </c>
    </row>
    <row r="674" spans="1:28" x14ac:dyDescent="0.2">
      <c r="A674" s="62">
        <v>55</v>
      </c>
      <c r="B674" s="62" t="s">
        <v>371</v>
      </c>
      <c r="C674" s="62">
        <v>10</v>
      </c>
      <c r="D674" s="62" t="s">
        <v>317</v>
      </c>
      <c r="E674" s="63">
        <v>2639</v>
      </c>
      <c r="F674" s="63">
        <v>2767</v>
      </c>
      <c r="G674" s="63">
        <v>2632</v>
      </c>
      <c r="H674" s="63">
        <v>2582</v>
      </c>
      <c r="I674" s="63">
        <v>2557</v>
      </c>
      <c r="J674" s="63">
        <v>2642</v>
      </c>
      <c r="K674" s="63">
        <v>2678</v>
      </c>
      <c r="L674" s="63">
        <v>2700</v>
      </c>
      <c r="M674" s="63">
        <v>2558</v>
      </c>
      <c r="N674" s="63">
        <v>2373</v>
      </c>
      <c r="O674" s="63">
        <v>2344</v>
      </c>
      <c r="P674" s="63">
        <v>2305</v>
      </c>
      <c r="Q674" s="63">
        <v>2291</v>
      </c>
      <c r="R674" s="63">
        <v>2248</v>
      </c>
      <c r="S674" s="63">
        <v>2251</v>
      </c>
      <c r="T674" s="63">
        <v>2304</v>
      </c>
      <c r="U674" s="63">
        <v>2318</v>
      </c>
      <c r="V674" s="63">
        <v>2301</v>
      </c>
      <c r="W674" s="63">
        <v>2345</v>
      </c>
      <c r="X674" s="63">
        <v>2349</v>
      </c>
      <c r="Y674" s="63">
        <v>2405</v>
      </c>
      <c r="Z674" s="63">
        <v>2386</v>
      </c>
      <c r="AA674" s="63">
        <v>2516</v>
      </c>
      <c r="AB674" s="63">
        <v>2609</v>
      </c>
    </row>
    <row r="675" spans="1:28" x14ac:dyDescent="0.2">
      <c r="A675" s="62">
        <v>55</v>
      </c>
      <c r="B675" s="62" t="s">
        <v>371</v>
      </c>
      <c r="C675" s="62">
        <v>11</v>
      </c>
      <c r="D675" s="62" t="s">
        <v>318</v>
      </c>
      <c r="E675" s="63">
        <v>36</v>
      </c>
      <c r="F675" s="63">
        <v>38</v>
      </c>
      <c r="G675" s="63">
        <v>46</v>
      </c>
      <c r="H675" s="63">
        <v>38</v>
      </c>
      <c r="I675" s="63">
        <v>50</v>
      </c>
      <c r="J675" s="63">
        <v>45</v>
      </c>
      <c r="K675" s="63">
        <v>43</v>
      </c>
      <c r="L675" s="63">
        <v>41</v>
      </c>
      <c r="M675" s="63">
        <v>32</v>
      </c>
      <c r="N675" s="63">
        <v>29</v>
      </c>
      <c r="O675" s="63">
        <v>33</v>
      </c>
      <c r="P675" s="63">
        <v>28</v>
      </c>
      <c r="Q675" s="63">
        <v>37</v>
      </c>
      <c r="R675" s="63">
        <v>49</v>
      </c>
      <c r="S675" s="63">
        <v>48</v>
      </c>
      <c r="T675" s="63">
        <v>42</v>
      </c>
      <c r="U675" s="63">
        <v>52</v>
      </c>
      <c r="V675" s="63">
        <v>58</v>
      </c>
      <c r="W675" s="63">
        <v>71</v>
      </c>
      <c r="X675" s="63">
        <v>72</v>
      </c>
      <c r="Y675" s="63">
        <v>73</v>
      </c>
      <c r="Z675" s="63">
        <v>47</v>
      </c>
      <c r="AA675" s="63">
        <v>39</v>
      </c>
      <c r="AB675" s="63">
        <v>45</v>
      </c>
    </row>
    <row r="676" spans="1:28" x14ac:dyDescent="0.2">
      <c r="A676" s="62">
        <v>55</v>
      </c>
      <c r="B676" s="62" t="s">
        <v>371</v>
      </c>
      <c r="C676" s="62">
        <v>2</v>
      </c>
      <c r="D676" s="62" t="s">
        <v>319</v>
      </c>
      <c r="E676" s="63">
        <v>38</v>
      </c>
      <c r="F676" s="63">
        <v>43</v>
      </c>
      <c r="G676" s="63">
        <v>36</v>
      </c>
      <c r="H676" s="63">
        <v>32</v>
      </c>
      <c r="I676" s="63">
        <v>35</v>
      </c>
      <c r="J676" s="63">
        <v>32</v>
      </c>
      <c r="K676" s="63">
        <v>31</v>
      </c>
      <c r="L676" s="63">
        <v>35</v>
      </c>
      <c r="M676" s="63">
        <v>41</v>
      </c>
      <c r="N676" s="63">
        <v>40</v>
      </c>
      <c r="O676" s="63">
        <v>49</v>
      </c>
      <c r="P676" s="63">
        <v>47</v>
      </c>
      <c r="Q676" s="63">
        <v>47</v>
      </c>
      <c r="R676" s="63">
        <v>47</v>
      </c>
      <c r="S676" s="63">
        <v>46</v>
      </c>
      <c r="T676" s="63">
        <v>57</v>
      </c>
      <c r="U676" s="63">
        <v>44</v>
      </c>
      <c r="V676" s="63">
        <v>46</v>
      </c>
      <c r="W676" s="63">
        <v>49</v>
      </c>
      <c r="X676" s="63">
        <v>55</v>
      </c>
      <c r="Y676" s="63">
        <v>51</v>
      </c>
      <c r="Z676" s="63">
        <v>54</v>
      </c>
      <c r="AA676" s="63">
        <v>55</v>
      </c>
      <c r="AB676" s="63">
        <v>57</v>
      </c>
    </row>
    <row r="677" spans="1:28" x14ac:dyDescent="0.2">
      <c r="A677" s="62">
        <v>55</v>
      </c>
      <c r="B677" s="62" t="s">
        <v>371</v>
      </c>
      <c r="C677" s="62">
        <v>21</v>
      </c>
      <c r="D677" s="64" t="s">
        <v>320</v>
      </c>
      <c r="E677" s="65"/>
      <c r="F677" s="65"/>
      <c r="G677" s="65"/>
      <c r="H677" s="62"/>
      <c r="I677" s="63">
        <v>17</v>
      </c>
      <c r="J677" s="63">
        <v>37</v>
      </c>
      <c r="K677" s="63">
        <v>18</v>
      </c>
      <c r="L677" s="63">
        <v>29</v>
      </c>
      <c r="M677" s="63">
        <v>34</v>
      </c>
      <c r="N677" s="63">
        <v>25</v>
      </c>
      <c r="O677" s="63">
        <v>8</v>
      </c>
      <c r="P677" s="63">
        <v>8</v>
      </c>
      <c r="Q677" s="63">
        <v>7</v>
      </c>
      <c r="R677" s="63">
        <v>12</v>
      </c>
      <c r="S677" s="63">
        <v>6</v>
      </c>
      <c r="T677" s="62"/>
      <c r="U677" s="62"/>
      <c r="V677" s="63">
        <v>7</v>
      </c>
      <c r="W677" s="63">
        <v>9</v>
      </c>
      <c r="X677" s="63">
        <v>19</v>
      </c>
      <c r="Y677" s="63">
        <v>6</v>
      </c>
      <c r="Z677" s="63">
        <v>4</v>
      </c>
      <c r="AA677" s="63">
        <v>4</v>
      </c>
      <c r="AB677" s="63">
        <v>4</v>
      </c>
    </row>
    <row r="678" spans="1:28" x14ac:dyDescent="0.2">
      <c r="A678" s="62">
        <v>55</v>
      </c>
      <c r="B678" s="62" t="s">
        <v>371</v>
      </c>
      <c r="C678" s="62">
        <v>22</v>
      </c>
      <c r="D678" s="62" t="s">
        <v>321</v>
      </c>
      <c r="E678" s="62"/>
      <c r="F678" s="62"/>
      <c r="G678" s="62"/>
      <c r="H678" s="62"/>
      <c r="I678" s="63">
        <v>18</v>
      </c>
      <c r="J678" s="63">
        <v>25</v>
      </c>
      <c r="K678" s="62"/>
      <c r="L678" s="62"/>
      <c r="M678" s="63">
        <v>28</v>
      </c>
      <c r="N678" s="62"/>
      <c r="O678" s="62"/>
      <c r="P678" s="62"/>
      <c r="Q678" s="63">
        <v>23</v>
      </c>
      <c r="R678" s="62"/>
      <c r="S678" s="63">
        <v>17</v>
      </c>
      <c r="T678" s="63">
        <v>18</v>
      </c>
      <c r="U678" s="63">
        <v>17</v>
      </c>
      <c r="V678" s="62"/>
      <c r="W678" s="62"/>
      <c r="X678" s="62"/>
      <c r="Y678" s="62"/>
      <c r="Z678" s="62"/>
      <c r="AA678" s="62"/>
      <c r="AB678" s="62"/>
    </row>
    <row r="679" spans="1:28" x14ac:dyDescent="0.2">
      <c r="A679" s="62">
        <v>55</v>
      </c>
      <c r="B679" s="62" t="s">
        <v>371</v>
      </c>
      <c r="C679" s="62">
        <v>23</v>
      </c>
      <c r="D679" s="62" t="s">
        <v>322</v>
      </c>
      <c r="E679" s="63">
        <v>199</v>
      </c>
      <c r="F679" s="63">
        <v>180</v>
      </c>
      <c r="G679" s="63">
        <v>169</v>
      </c>
      <c r="H679" s="63">
        <v>178</v>
      </c>
      <c r="I679" s="63">
        <v>191</v>
      </c>
      <c r="J679" s="63">
        <v>195</v>
      </c>
      <c r="K679" s="63">
        <v>204</v>
      </c>
      <c r="L679" s="63">
        <v>192</v>
      </c>
      <c r="M679" s="63">
        <v>158</v>
      </c>
      <c r="N679" s="63">
        <v>156</v>
      </c>
      <c r="O679" s="63">
        <v>140</v>
      </c>
      <c r="P679" s="63">
        <v>135</v>
      </c>
      <c r="Q679" s="63">
        <v>135</v>
      </c>
      <c r="R679" s="63">
        <v>156</v>
      </c>
      <c r="S679" s="63">
        <v>144</v>
      </c>
      <c r="T679" s="63">
        <v>153</v>
      </c>
      <c r="U679" s="63">
        <v>169</v>
      </c>
      <c r="V679" s="63">
        <v>197</v>
      </c>
      <c r="W679" s="63">
        <v>153</v>
      </c>
      <c r="X679" s="63">
        <v>124</v>
      </c>
      <c r="Y679" s="63">
        <v>130</v>
      </c>
      <c r="Z679" s="63">
        <v>155</v>
      </c>
      <c r="AA679" s="63">
        <v>181</v>
      </c>
      <c r="AB679" s="63">
        <v>199</v>
      </c>
    </row>
    <row r="680" spans="1:28" x14ac:dyDescent="0.2">
      <c r="A680" s="62">
        <v>55</v>
      </c>
      <c r="B680" s="62" t="s">
        <v>371</v>
      </c>
      <c r="C680" s="62">
        <v>3</v>
      </c>
      <c r="D680" s="62" t="s">
        <v>323</v>
      </c>
      <c r="E680" s="63">
        <v>390</v>
      </c>
      <c r="F680" s="63">
        <v>420</v>
      </c>
      <c r="G680" s="63">
        <v>402</v>
      </c>
      <c r="H680" s="63">
        <v>402</v>
      </c>
      <c r="I680" s="63">
        <v>416</v>
      </c>
      <c r="J680" s="63">
        <v>424</v>
      </c>
      <c r="K680" s="63">
        <v>439</v>
      </c>
      <c r="L680" s="63">
        <v>438</v>
      </c>
      <c r="M680" s="63">
        <v>439</v>
      </c>
      <c r="N680" s="63">
        <v>425</v>
      </c>
      <c r="O680" s="63">
        <v>420</v>
      </c>
      <c r="P680" s="63">
        <v>410</v>
      </c>
      <c r="Q680" s="63">
        <v>426</v>
      </c>
      <c r="R680" s="63">
        <v>406</v>
      </c>
      <c r="S680" s="63">
        <v>409</v>
      </c>
      <c r="T680" s="63">
        <v>425</v>
      </c>
      <c r="U680" s="63">
        <v>400</v>
      </c>
      <c r="V680" s="63">
        <v>402</v>
      </c>
      <c r="W680" s="63">
        <v>401</v>
      </c>
      <c r="X680" s="63">
        <v>380</v>
      </c>
      <c r="Y680" s="63">
        <v>368</v>
      </c>
      <c r="Z680" s="63">
        <v>377</v>
      </c>
      <c r="AA680" s="63">
        <v>383</v>
      </c>
      <c r="AB680" s="63">
        <v>390</v>
      </c>
    </row>
    <row r="681" spans="1:28" x14ac:dyDescent="0.2">
      <c r="A681" s="62">
        <v>55</v>
      </c>
      <c r="B681" s="62" t="s">
        <v>371</v>
      </c>
      <c r="C681" s="62" t="s">
        <v>324</v>
      </c>
      <c r="D681" s="62" t="s">
        <v>325</v>
      </c>
      <c r="E681" s="63">
        <v>123</v>
      </c>
      <c r="F681" s="63">
        <v>175</v>
      </c>
      <c r="G681" s="63">
        <v>137</v>
      </c>
      <c r="H681" s="63">
        <v>141</v>
      </c>
      <c r="I681" s="63">
        <v>105</v>
      </c>
      <c r="J681" s="63">
        <v>124</v>
      </c>
      <c r="K681" s="63">
        <v>124</v>
      </c>
      <c r="L681" s="63">
        <v>129</v>
      </c>
      <c r="M681" s="63">
        <v>91</v>
      </c>
      <c r="N681" s="63">
        <v>89</v>
      </c>
      <c r="O681" s="63">
        <v>105</v>
      </c>
      <c r="P681" s="63">
        <v>80</v>
      </c>
      <c r="Q681" s="63">
        <v>57</v>
      </c>
      <c r="R681" s="63">
        <v>33</v>
      </c>
      <c r="S681" s="63">
        <v>44</v>
      </c>
      <c r="T681" s="63">
        <v>83</v>
      </c>
      <c r="U681" s="63">
        <v>81</v>
      </c>
      <c r="V681" s="63">
        <v>78</v>
      </c>
      <c r="W681" s="63">
        <v>111</v>
      </c>
      <c r="X681" s="63">
        <v>99</v>
      </c>
      <c r="Y681" s="63">
        <v>96</v>
      </c>
      <c r="Z681" s="63">
        <v>84</v>
      </c>
      <c r="AA681" s="63">
        <v>85</v>
      </c>
      <c r="AB681" s="63">
        <v>98</v>
      </c>
    </row>
    <row r="682" spans="1:28" x14ac:dyDescent="0.2">
      <c r="A682" s="62">
        <v>55</v>
      </c>
      <c r="B682" s="62" t="s">
        <v>371</v>
      </c>
      <c r="C682" s="62">
        <v>42</v>
      </c>
      <c r="D682" s="62" t="s">
        <v>326</v>
      </c>
      <c r="E682" s="63">
        <v>26</v>
      </c>
      <c r="F682" s="63">
        <v>29</v>
      </c>
      <c r="G682" s="63">
        <v>32</v>
      </c>
      <c r="H682" s="63">
        <v>35</v>
      </c>
      <c r="I682" s="63">
        <v>22</v>
      </c>
      <c r="J682" s="63">
        <v>28</v>
      </c>
      <c r="K682" s="63">
        <v>25</v>
      </c>
      <c r="L682" s="63">
        <v>25</v>
      </c>
      <c r="M682" s="63">
        <v>31</v>
      </c>
      <c r="N682" s="63">
        <v>27</v>
      </c>
      <c r="O682" s="63">
        <v>46</v>
      </c>
      <c r="P682" s="63">
        <v>47</v>
      </c>
      <c r="Q682" s="63">
        <v>45</v>
      </c>
      <c r="R682" s="63">
        <v>50</v>
      </c>
      <c r="S682" s="63">
        <v>49</v>
      </c>
      <c r="T682" s="63">
        <v>18</v>
      </c>
      <c r="U682" s="63">
        <v>19</v>
      </c>
      <c r="V682" s="63">
        <v>16</v>
      </c>
      <c r="W682" s="63">
        <v>14</v>
      </c>
      <c r="X682" s="63">
        <v>11</v>
      </c>
      <c r="Y682" s="63">
        <v>11</v>
      </c>
      <c r="Z682" s="63">
        <v>11</v>
      </c>
      <c r="AA682" s="63">
        <v>12</v>
      </c>
      <c r="AB682" s="63">
        <v>11</v>
      </c>
    </row>
    <row r="683" spans="1:28" x14ac:dyDescent="0.2">
      <c r="A683" s="62">
        <v>55</v>
      </c>
      <c r="B683" s="62" t="s">
        <v>371</v>
      </c>
      <c r="C683" s="62" t="s">
        <v>327</v>
      </c>
      <c r="D683" s="62" t="s">
        <v>328</v>
      </c>
      <c r="E683" s="63">
        <v>302</v>
      </c>
      <c r="F683" s="63">
        <v>341</v>
      </c>
      <c r="G683" s="63">
        <v>336</v>
      </c>
      <c r="H683" s="63">
        <v>289</v>
      </c>
      <c r="I683" s="63">
        <v>292</v>
      </c>
      <c r="J683" s="63">
        <v>279</v>
      </c>
      <c r="K683" s="63">
        <v>293</v>
      </c>
      <c r="L683" s="63">
        <v>274</v>
      </c>
      <c r="M683" s="63">
        <v>279</v>
      </c>
      <c r="N683" s="63">
        <v>258</v>
      </c>
      <c r="O683" s="63">
        <v>297</v>
      </c>
      <c r="P683" s="63">
        <v>289</v>
      </c>
      <c r="Q683" s="63">
        <v>281</v>
      </c>
      <c r="R683" s="63">
        <v>276</v>
      </c>
      <c r="S683" s="63">
        <v>289</v>
      </c>
      <c r="T683" s="63">
        <v>307</v>
      </c>
      <c r="U683" s="63">
        <v>311</v>
      </c>
      <c r="V683" s="63">
        <v>328</v>
      </c>
      <c r="W683" s="63">
        <v>324</v>
      </c>
      <c r="X683" s="63">
        <v>319</v>
      </c>
      <c r="Y683" s="63">
        <v>386</v>
      </c>
      <c r="Z683" s="63">
        <v>391</v>
      </c>
      <c r="AA683" s="63">
        <v>364</v>
      </c>
      <c r="AB683" s="63">
        <v>334</v>
      </c>
    </row>
    <row r="684" spans="1:28" x14ac:dyDescent="0.2">
      <c r="A684" s="62">
        <v>55</v>
      </c>
      <c r="B684" s="62" t="s">
        <v>371</v>
      </c>
      <c r="C684" s="62" t="s">
        <v>329</v>
      </c>
      <c r="D684" s="62" t="s">
        <v>330</v>
      </c>
      <c r="E684" s="63">
        <v>27</v>
      </c>
      <c r="F684" s="63">
        <v>41</v>
      </c>
      <c r="G684" s="63">
        <v>29</v>
      </c>
      <c r="H684" s="63">
        <v>30</v>
      </c>
      <c r="I684" s="63">
        <v>34</v>
      </c>
      <c r="J684" s="63">
        <v>28</v>
      </c>
      <c r="K684" s="63">
        <v>27</v>
      </c>
      <c r="L684" s="63">
        <v>27</v>
      </c>
      <c r="M684" s="63">
        <v>27</v>
      </c>
      <c r="N684" s="63">
        <v>29</v>
      </c>
      <c r="O684" s="63">
        <v>31</v>
      </c>
      <c r="P684" s="63">
        <v>28</v>
      </c>
      <c r="Q684" s="63">
        <v>26</v>
      </c>
      <c r="R684" s="63">
        <v>27</v>
      </c>
      <c r="S684" s="63">
        <v>30</v>
      </c>
      <c r="T684" s="63">
        <v>25</v>
      </c>
      <c r="U684" s="63">
        <v>27</v>
      </c>
      <c r="V684" s="63">
        <v>23</v>
      </c>
      <c r="W684" s="63">
        <v>31</v>
      </c>
      <c r="X684" s="63">
        <v>34</v>
      </c>
      <c r="Y684" s="63">
        <v>35</v>
      </c>
      <c r="Z684" s="63">
        <v>36</v>
      </c>
      <c r="AA684" s="63">
        <v>69</v>
      </c>
      <c r="AB684" s="63">
        <v>79</v>
      </c>
    </row>
    <row r="685" spans="1:28" x14ac:dyDescent="0.2">
      <c r="A685" s="62">
        <v>55</v>
      </c>
      <c r="B685" s="62" t="s">
        <v>371</v>
      </c>
      <c r="C685" s="62">
        <v>51</v>
      </c>
      <c r="D685" s="62" t="s">
        <v>331</v>
      </c>
      <c r="E685" s="63">
        <v>21</v>
      </c>
      <c r="F685" s="63">
        <v>19</v>
      </c>
      <c r="G685" s="63">
        <v>21</v>
      </c>
      <c r="H685" s="63">
        <v>20</v>
      </c>
      <c r="I685" s="63">
        <v>27</v>
      </c>
      <c r="J685" s="63">
        <v>25</v>
      </c>
      <c r="K685" s="63">
        <v>27</v>
      </c>
      <c r="L685" s="63">
        <v>21</v>
      </c>
      <c r="M685" s="63">
        <v>22</v>
      </c>
      <c r="N685" s="63">
        <v>22</v>
      </c>
      <c r="O685" s="63">
        <v>25</v>
      </c>
      <c r="P685" s="63">
        <v>32</v>
      </c>
      <c r="Q685" s="63">
        <v>27</v>
      </c>
      <c r="R685" s="63">
        <v>25</v>
      </c>
      <c r="S685" s="63">
        <v>24</v>
      </c>
      <c r="T685" s="63">
        <v>30</v>
      </c>
      <c r="U685" s="63">
        <v>25</v>
      </c>
      <c r="V685" s="63">
        <v>31</v>
      </c>
      <c r="W685" s="63">
        <v>29</v>
      </c>
      <c r="X685" s="63">
        <v>30</v>
      </c>
      <c r="Y685" s="63">
        <v>31</v>
      </c>
      <c r="Z685" s="63">
        <v>33</v>
      </c>
      <c r="AA685" s="63">
        <v>28</v>
      </c>
      <c r="AB685" s="63">
        <v>25</v>
      </c>
    </row>
    <row r="686" spans="1:28" x14ac:dyDescent="0.2">
      <c r="A686" s="62">
        <v>55</v>
      </c>
      <c r="B686" s="62" t="s">
        <v>371</v>
      </c>
      <c r="C686" s="62">
        <v>52</v>
      </c>
      <c r="D686" s="62" t="s">
        <v>332</v>
      </c>
      <c r="E686" s="63">
        <v>45</v>
      </c>
      <c r="F686" s="63">
        <v>44</v>
      </c>
      <c r="G686" s="63">
        <v>57</v>
      </c>
      <c r="H686" s="63">
        <v>52</v>
      </c>
      <c r="I686" s="63">
        <v>48</v>
      </c>
      <c r="J686" s="63">
        <v>44</v>
      </c>
      <c r="K686" s="63">
        <v>44</v>
      </c>
      <c r="L686" s="63">
        <v>43</v>
      </c>
      <c r="M686" s="63">
        <v>44</v>
      </c>
      <c r="N686" s="63">
        <v>42</v>
      </c>
      <c r="O686" s="63">
        <v>42</v>
      </c>
      <c r="P686" s="63">
        <v>62</v>
      </c>
      <c r="Q686" s="63">
        <v>39</v>
      </c>
      <c r="R686" s="63">
        <v>24</v>
      </c>
      <c r="S686" s="63">
        <v>25</v>
      </c>
      <c r="T686" s="63">
        <v>22</v>
      </c>
      <c r="U686" s="63">
        <v>24</v>
      </c>
      <c r="V686" s="63">
        <v>23</v>
      </c>
      <c r="W686" s="63">
        <v>33</v>
      </c>
      <c r="X686" s="63">
        <v>27</v>
      </c>
      <c r="Y686" s="63">
        <v>33</v>
      </c>
      <c r="Z686" s="63">
        <v>24</v>
      </c>
      <c r="AA686" s="63">
        <v>36</v>
      </c>
      <c r="AB686" s="63">
        <v>33</v>
      </c>
    </row>
    <row r="687" spans="1:28" x14ac:dyDescent="0.2">
      <c r="A687" s="62">
        <v>55</v>
      </c>
      <c r="B687" s="62" t="s">
        <v>371</v>
      </c>
      <c r="C687" s="62">
        <v>53</v>
      </c>
      <c r="D687" s="62" t="s">
        <v>333</v>
      </c>
      <c r="E687" s="63">
        <v>93</v>
      </c>
      <c r="F687" s="63">
        <v>98</v>
      </c>
      <c r="G687" s="63">
        <v>91</v>
      </c>
      <c r="H687" s="63">
        <v>91</v>
      </c>
      <c r="I687" s="63">
        <v>93</v>
      </c>
      <c r="J687" s="63">
        <v>93</v>
      </c>
      <c r="K687" s="63">
        <v>98</v>
      </c>
      <c r="L687" s="63">
        <v>91</v>
      </c>
      <c r="M687" s="63">
        <v>82</v>
      </c>
      <c r="N687" s="63">
        <v>80</v>
      </c>
      <c r="O687" s="63">
        <v>81</v>
      </c>
      <c r="P687" s="63">
        <v>83</v>
      </c>
      <c r="Q687" s="63">
        <v>84</v>
      </c>
      <c r="R687" s="63">
        <v>77</v>
      </c>
      <c r="S687" s="63">
        <v>78</v>
      </c>
      <c r="T687" s="63">
        <v>73</v>
      </c>
      <c r="U687" s="63">
        <v>87</v>
      </c>
      <c r="V687" s="63">
        <v>85</v>
      </c>
      <c r="W687" s="63">
        <v>91</v>
      </c>
      <c r="X687" s="63">
        <v>91</v>
      </c>
      <c r="Y687" s="63">
        <v>102</v>
      </c>
      <c r="Z687" s="63">
        <v>104</v>
      </c>
      <c r="AA687" s="63">
        <v>97</v>
      </c>
      <c r="AB687" s="63">
        <v>79</v>
      </c>
    </row>
    <row r="688" spans="1:28" x14ac:dyDescent="0.2">
      <c r="A688" s="62">
        <v>55</v>
      </c>
      <c r="B688" s="62" t="s">
        <v>371</v>
      </c>
      <c r="C688" s="62">
        <v>54</v>
      </c>
      <c r="D688" s="62" t="s">
        <v>334</v>
      </c>
      <c r="E688" s="63">
        <v>105</v>
      </c>
      <c r="F688" s="63">
        <v>98</v>
      </c>
      <c r="G688" s="63">
        <v>95</v>
      </c>
      <c r="H688" s="63">
        <v>94</v>
      </c>
      <c r="I688" s="63">
        <v>107</v>
      </c>
      <c r="J688" s="63">
        <v>103</v>
      </c>
      <c r="K688" s="63">
        <v>119</v>
      </c>
      <c r="L688" s="63">
        <v>113</v>
      </c>
      <c r="M688" s="63">
        <v>105</v>
      </c>
      <c r="N688" s="63">
        <v>107</v>
      </c>
      <c r="O688" s="63">
        <v>101</v>
      </c>
      <c r="P688" s="63">
        <v>95</v>
      </c>
      <c r="Q688" s="63">
        <v>98</v>
      </c>
      <c r="R688" s="63">
        <v>91</v>
      </c>
      <c r="S688" s="63">
        <v>96</v>
      </c>
      <c r="T688" s="63">
        <v>89</v>
      </c>
      <c r="U688" s="63">
        <v>90</v>
      </c>
      <c r="V688" s="63">
        <v>92</v>
      </c>
      <c r="W688" s="63">
        <v>105</v>
      </c>
      <c r="X688" s="63">
        <v>112</v>
      </c>
      <c r="Y688" s="63">
        <v>116</v>
      </c>
      <c r="Z688" s="63">
        <v>120</v>
      </c>
      <c r="AA688" s="63">
        <v>98</v>
      </c>
      <c r="AB688" s="63">
        <v>107</v>
      </c>
    </row>
    <row r="689" spans="1:28" x14ac:dyDescent="0.2">
      <c r="A689" s="62">
        <v>55</v>
      </c>
      <c r="B689" s="62" t="s">
        <v>371</v>
      </c>
      <c r="C689" s="62">
        <v>55</v>
      </c>
      <c r="D689" s="64" t="s">
        <v>335</v>
      </c>
      <c r="E689" s="65"/>
      <c r="F689" s="65"/>
      <c r="G689" s="63">
        <v>1</v>
      </c>
      <c r="H689" s="63">
        <v>1</v>
      </c>
      <c r="I689" s="62"/>
      <c r="J689" s="62"/>
      <c r="K689" s="63">
        <v>1</v>
      </c>
      <c r="L689" s="63">
        <v>0</v>
      </c>
      <c r="M689" s="62"/>
      <c r="N689" s="62"/>
      <c r="O689" s="63">
        <v>0</v>
      </c>
      <c r="P689" s="62"/>
      <c r="Q689" s="62"/>
      <c r="R689" s="62"/>
      <c r="S689" s="62"/>
      <c r="T689" s="62"/>
      <c r="U689" s="62"/>
      <c r="V689" s="62"/>
      <c r="W689" s="62"/>
      <c r="X689" s="62"/>
      <c r="Y689" s="63">
        <v>1</v>
      </c>
      <c r="Z689" s="63">
        <v>1</v>
      </c>
      <c r="AA689" s="63">
        <v>0</v>
      </c>
      <c r="AB689" s="62"/>
    </row>
    <row r="690" spans="1:28" x14ac:dyDescent="0.2">
      <c r="A690" s="62">
        <v>55</v>
      </c>
      <c r="B690" s="62" t="s">
        <v>371</v>
      </c>
      <c r="C690" s="62">
        <v>56</v>
      </c>
      <c r="D690" s="64" t="s">
        <v>336</v>
      </c>
      <c r="E690" s="65"/>
      <c r="F690" s="65"/>
      <c r="G690" s="65"/>
      <c r="H690" s="65"/>
      <c r="I690" s="65"/>
      <c r="J690" s="62"/>
      <c r="K690" s="63">
        <v>243</v>
      </c>
      <c r="L690" s="63">
        <v>263</v>
      </c>
      <c r="M690" s="63">
        <v>236</v>
      </c>
      <c r="N690" s="63">
        <v>101</v>
      </c>
      <c r="O690" s="63">
        <v>46</v>
      </c>
      <c r="P690" s="63">
        <v>42</v>
      </c>
      <c r="Q690" s="63">
        <v>43</v>
      </c>
      <c r="R690" s="63">
        <v>42</v>
      </c>
      <c r="S690" s="63">
        <v>54</v>
      </c>
      <c r="T690" s="63">
        <v>53</v>
      </c>
      <c r="U690" s="63">
        <v>56</v>
      </c>
      <c r="V690" s="63">
        <v>63</v>
      </c>
      <c r="W690" s="63">
        <v>72</v>
      </c>
      <c r="X690" s="63">
        <v>78</v>
      </c>
      <c r="Y690" s="63">
        <v>77</v>
      </c>
      <c r="Z690" s="63">
        <v>94</v>
      </c>
      <c r="AA690" s="63">
        <v>65</v>
      </c>
      <c r="AB690" s="63">
        <v>76</v>
      </c>
    </row>
    <row r="691" spans="1:28" x14ac:dyDescent="0.2">
      <c r="A691" s="62">
        <v>55</v>
      </c>
      <c r="B691" s="62" t="s">
        <v>371</v>
      </c>
      <c r="C691" s="62">
        <v>61</v>
      </c>
      <c r="D691" s="62" t="s">
        <v>337</v>
      </c>
      <c r="E691" s="63">
        <v>0</v>
      </c>
      <c r="F691" s="62"/>
      <c r="G691" s="63">
        <v>10</v>
      </c>
      <c r="H691" s="62"/>
      <c r="I691" s="63">
        <v>7</v>
      </c>
      <c r="J691" s="63">
        <v>12</v>
      </c>
      <c r="K691" s="62"/>
      <c r="L691" s="63">
        <v>10</v>
      </c>
      <c r="M691" s="62"/>
      <c r="N691" s="63">
        <v>16</v>
      </c>
      <c r="O691" s="62"/>
      <c r="P691" s="63">
        <v>16</v>
      </c>
      <c r="Q691" s="63">
        <v>13</v>
      </c>
      <c r="R691" s="63">
        <v>13</v>
      </c>
      <c r="S691" s="63">
        <v>18</v>
      </c>
      <c r="T691" s="63">
        <v>14</v>
      </c>
      <c r="U691" s="63">
        <v>8</v>
      </c>
      <c r="V691" s="63">
        <v>7</v>
      </c>
      <c r="W691" s="63">
        <v>11</v>
      </c>
      <c r="X691" s="63">
        <v>14</v>
      </c>
      <c r="Y691" s="63">
        <v>23</v>
      </c>
      <c r="Z691" s="63">
        <v>24</v>
      </c>
      <c r="AA691" s="63">
        <v>22</v>
      </c>
      <c r="AB691" s="63">
        <v>25</v>
      </c>
    </row>
    <row r="692" spans="1:28" x14ac:dyDescent="0.2">
      <c r="A692" s="62">
        <v>55</v>
      </c>
      <c r="B692" s="62" t="s">
        <v>371</v>
      </c>
      <c r="C692" s="62">
        <v>62</v>
      </c>
      <c r="D692" s="62" t="s">
        <v>338</v>
      </c>
      <c r="E692" s="63">
        <v>449</v>
      </c>
      <c r="F692" s="63">
        <v>455</v>
      </c>
      <c r="G692" s="63">
        <v>468</v>
      </c>
      <c r="H692" s="63">
        <v>454</v>
      </c>
      <c r="I692" s="63">
        <v>446</v>
      </c>
      <c r="J692" s="63">
        <v>456</v>
      </c>
      <c r="K692" s="63">
        <v>477</v>
      </c>
      <c r="L692" s="63">
        <v>491</v>
      </c>
      <c r="M692" s="63">
        <v>492</v>
      </c>
      <c r="N692" s="63">
        <v>512</v>
      </c>
      <c r="O692" s="63">
        <v>493</v>
      </c>
      <c r="P692" s="63">
        <v>490</v>
      </c>
      <c r="Q692" s="63">
        <v>501</v>
      </c>
      <c r="R692" s="63">
        <v>500</v>
      </c>
      <c r="S692" s="63">
        <v>530</v>
      </c>
      <c r="T692" s="63">
        <v>509</v>
      </c>
      <c r="U692" s="63">
        <v>520</v>
      </c>
      <c r="V692" s="63">
        <v>488</v>
      </c>
      <c r="W692" s="63">
        <v>444</v>
      </c>
      <c r="X692" s="63">
        <v>501</v>
      </c>
      <c r="Y692" s="63">
        <v>481</v>
      </c>
      <c r="Z692" s="63">
        <v>441</v>
      </c>
      <c r="AA692" s="63">
        <v>488</v>
      </c>
      <c r="AB692" s="63">
        <v>499</v>
      </c>
    </row>
    <row r="693" spans="1:28" x14ac:dyDescent="0.2">
      <c r="A693" s="62">
        <v>55</v>
      </c>
      <c r="B693" s="62" t="s">
        <v>371</v>
      </c>
      <c r="C693" s="62">
        <v>71</v>
      </c>
      <c r="D693" s="62" t="s">
        <v>339</v>
      </c>
      <c r="E693" s="63">
        <v>60</v>
      </c>
      <c r="F693" s="63">
        <v>61</v>
      </c>
      <c r="G693" s="63">
        <v>54</v>
      </c>
      <c r="H693" s="63">
        <v>64</v>
      </c>
      <c r="I693" s="63">
        <v>64</v>
      </c>
      <c r="J693" s="63">
        <v>68</v>
      </c>
      <c r="K693" s="63">
        <v>72</v>
      </c>
      <c r="L693" s="63">
        <v>74</v>
      </c>
      <c r="M693" s="63">
        <v>54</v>
      </c>
      <c r="N693" s="63">
        <v>53</v>
      </c>
      <c r="O693" s="63">
        <v>43</v>
      </c>
      <c r="P693" s="63">
        <v>42</v>
      </c>
      <c r="Q693" s="63">
        <v>51</v>
      </c>
      <c r="R693" s="63">
        <v>57</v>
      </c>
      <c r="S693" s="63">
        <v>33</v>
      </c>
      <c r="T693" s="63">
        <v>39</v>
      </c>
      <c r="U693" s="63">
        <v>40</v>
      </c>
      <c r="V693" s="63">
        <v>48</v>
      </c>
      <c r="W693" s="63">
        <v>52</v>
      </c>
      <c r="X693" s="63">
        <v>43</v>
      </c>
      <c r="Y693" s="63">
        <v>57</v>
      </c>
      <c r="Z693" s="63">
        <v>58</v>
      </c>
      <c r="AA693" s="63">
        <v>136</v>
      </c>
      <c r="AB693" s="63">
        <v>123</v>
      </c>
    </row>
    <row r="694" spans="1:28" x14ac:dyDescent="0.2">
      <c r="A694" s="62">
        <v>55</v>
      </c>
      <c r="B694" s="62" t="s">
        <v>371</v>
      </c>
      <c r="C694" s="62">
        <v>72</v>
      </c>
      <c r="D694" s="62" t="s">
        <v>340</v>
      </c>
      <c r="E694" s="63">
        <v>305</v>
      </c>
      <c r="F694" s="63">
        <v>289</v>
      </c>
      <c r="G694" s="63">
        <v>263</v>
      </c>
      <c r="H694" s="63">
        <v>236</v>
      </c>
      <c r="I694" s="63">
        <v>230</v>
      </c>
      <c r="J694" s="63">
        <v>262</v>
      </c>
      <c r="K694" s="63">
        <v>226</v>
      </c>
      <c r="L694" s="63">
        <v>238</v>
      </c>
      <c r="M694" s="63">
        <v>206</v>
      </c>
      <c r="N694" s="63">
        <v>194</v>
      </c>
      <c r="O694" s="63">
        <v>224</v>
      </c>
      <c r="P694" s="63">
        <v>230</v>
      </c>
      <c r="Q694" s="63">
        <v>229</v>
      </c>
      <c r="R694" s="63">
        <v>198</v>
      </c>
      <c r="S694" s="63">
        <v>188</v>
      </c>
      <c r="T694" s="63">
        <v>216</v>
      </c>
      <c r="U694" s="63">
        <v>200</v>
      </c>
      <c r="V694" s="63">
        <v>187</v>
      </c>
      <c r="W694" s="63">
        <v>232</v>
      </c>
      <c r="X694" s="63">
        <v>220</v>
      </c>
      <c r="Y694" s="63">
        <v>208</v>
      </c>
      <c r="Z694" s="63">
        <v>216</v>
      </c>
      <c r="AA694" s="63">
        <v>252</v>
      </c>
      <c r="AB694" s="63">
        <v>328</v>
      </c>
    </row>
    <row r="695" spans="1:28" x14ac:dyDescent="0.2">
      <c r="A695" s="62">
        <v>55</v>
      </c>
      <c r="B695" s="62" t="s">
        <v>371</v>
      </c>
      <c r="C695" s="62">
        <v>81</v>
      </c>
      <c r="D695" s="62" t="s">
        <v>341</v>
      </c>
      <c r="E695" s="63">
        <v>105</v>
      </c>
      <c r="F695" s="63">
        <v>87</v>
      </c>
      <c r="G695" s="63">
        <v>85</v>
      </c>
      <c r="H695" s="63">
        <v>98</v>
      </c>
      <c r="I695" s="63">
        <v>96</v>
      </c>
      <c r="J695" s="63">
        <v>101</v>
      </c>
      <c r="K695" s="63">
        <v>102</v>
      </c>
      <c r="L695" s="63">
        <v>103</v>
      </c>
      <c r="M695" s="63">
        <v>112</v>
      </c>
      <c r="N695" s="63">
        <v>109</v>
      </c>
      <c r="O695" s="63">
        <v>99</v>
      </c>
      <c r="P695" s="63">
        <v>96</v>
      </c>
      <c r="Q695" s="63">
        <v>88</v>
      </c>
      <c r="R695" s="63">
        <v>103</v>
      </c>
      <c r="S695" s="63">
        <v>94</v>
      </c>
      <c r="T695" s="63">
        <v>97</v>
      </c>
      <c r="U695" s="63">
        <v>102</v>
      </c>
      <c r="V695" s="63">
        <v>75</v>
      </c>
      <c r="W695" s="63">
        <v>68</v>
      </c>
      <c r="X695" s="63">
        <v>72</v>
      </c>
      <c r="Y695" s="63">
        <v>75</v>
      </c>
      <c r="Z695" s="63">
        <v>69</v>
      </c>
      <c r="AA695" s="63">
        <v>60</v>
      </c>
      <c r="AB695" s="63">
        <v>48</v>
      </c>
    </row>
    <row r="696" spans="1:28" x14ac:dyDescent="0.2">
      <c r="A696" s="62">
        <v>55</v>
      </c>
      <c r="B696" s="62" t="s">
        <v>371</v>
      </c>
      <c r="C696" s="62">
        <v>99</v>
      </c>
      <c r="D696" s="62" t="s">
        <v>342</v>
      </c>
      <c r="E696" s="62"/>
      <c r="F696" s="62"/>
      <c r="G696" s="62"/>
      <c r="H696" s="63">
        <v>0</v>
      </c>
      <c r="I696" s="62"/>
      <c r="J696" s="62"/>
      <c r="K696" s="62"/>
      <c r="L696" s="62"/>
      <c r="M696" s="62"/>
      <c r="N696" s="62"/>
      <c r="O696" s="63">
        <v>0</v>
      </c>
      <c r="P696" s="62"/>
      <c r="Q696" s="62"/>
      <c r="R696" s="63">
        <v>0</v>
      </c>
      <c r="S696" s="62"/>
      <c r="T696" s="62"/>
      <c r="U696" s="62"/>
      <c r="V696" s="62"/>
      <c r="W696" s="62"/>
      <c r="X696" s="62"/>
      <c r="Y696" s="62"/>
      <c r="Z696" s="62"/>
      <c r="AA696" s="62"/>
      <c r="AB696" s="63">
        <v>4</v>
      </c>
    </row>
    <row r="697" spans="1:28" x14ac:dyDescent="0.2">
      <c r="A697" s="62">
        <v>57</v>
      </c>
      <c r="B697" s="62" t="s">
        <v>372</v>
      </c>
      <c r="C697" s="62">
        <v>1</v>
      </c>
      <c r="D697" s="62" t="s">
        <v>316</v>
      </c>
      <c r="E697" s="63">
        <v>31</v>
      </c>
      <c r="F697" s="63">
        <v>37</v>
      </c>
      <c r="G697" s="63">
        <v>39</v>
      </c>
      <c r="H697" s="63">
        <v>39</v>
      </c>
      <c r="I697" s="63">
        <v>41</v>
      </c>
      <c r="J697" s="63">
        <v>41</v>
      </c>
      <c r="K697" s="63">
        <v>38</v>
      </c>
      <c r="L697" s="63">
        <v>39</v>
      </c>
      <c r="M697" s="63">
        <v>45</v>
      </c>
      <c r="N697" s="63">
        <v>46</v>
      </c>
      <c r="O697" s="63">
        <v>46</v>
      </c>
      <c r="P697" s="63">
        <v>42</v>
      </c>
      <c r="Q697" s="63">
        <v>39</v>
      </c>
      <c r="R697" s="63">
        <v>40</v>
      </c>
      <c r="S697" s="63">
        <v>35</v>
      </c>
      <c r="T697" s="63">
        <v>33</v>
      </c>
      <c r="U697" s="63">
        <v>31</v>
      </c>
      <c r="V697" s="63">
        <v>34</v>
      </c>
      <c r="W697" s="63">
        <v>33</v>
      </c>
      <c r="X697" s="63">
        <v>30</v>
      </c>
      <c r="Y697" s="63">
        <v>28</v>
      </c>
      <c r="Z697" s="63">
        <v>27</v>
      </c>
      <c r="AA697" s="63">
        <v>26</v>
      </c>
      <c r="AB697" s="63">
        <v>22</v>
      </c>
    </row>
    <row r="698" spans="1:28" x14ac:dyDescent="0.2">
      <c r="A698" s="62">
        <v>57</v>
      </c>
      <c r="B698" s="62" t="s">
        <v>372</v>
      </c>
      <c r="C698" s="62">
        <v>10</v>
      </c>
      <c r="D698" s="62" t="s">
        <v>317</v>
      </c>
      <c r="E698" s="63">
        <v>730</v>
      </c>
      <c r="F698" s="63">
        <v>724</v>
      </c>
      <c r="G698" s="63">
        <v>748</v>
      </c>
      <c r="H698" s="63">
        <v>770</v>
      </c>
      <c r="I698" s="63">
        <v>752</v>
      </c>
      <c r="J698" s="63">
        <v>764</v>
      </c>
      <c r="K698" s="63">
        <v>746</v>
      </c>
      <c r="L698" s="63">
        <v>764</v>
      </c>
      <c r="M698" s="63">
        <v>780</v>
      </c>
      <c r="N698" s="63">
        <v>750</v>
      </c>
      <c r="O698" s="63">
        <v>768</v>
      </c>
      <c r="P698" s="63">
        <v>747</v>
      </c>
      <c r="Q698" s="63">
        <v>735</v>
      </c>
      <c r="R698" s="63">
        <v>716</v>
      </c>
      <c r="S698" s="63">
        <v>710</v>
      </c>
      <c r="T698" s="63">
        <v>721</v>
      </c>
      <c r="U698" s="63">
        <v>760</v>
      </c>
      <c r="V698" s="63">
        <v>765</v>
      </c>
      <c r="W698" s="63">
        <v>764</v>
      </c>
      <c r="X698" s="63">
        <v>742</v>
      </c>
      <c r="Y698" s="63">
        <v>772</v>
      </c>
      <c r="Z698" s="63">
        <v>765</v>
      </c>
      <c r="AA698" s="63">
        <v>732</v>
      </c>
      <c r="AB698" s="63">
        <v>734</v>
      </c>
    </row>
    <row r="699" spans="1:28" x14ac:dyDescent="0.2">
      <c r="A699" s="62">
        <v>57</v>
      </c>
      <c r="B699" s="62" t="s">
        <v>372</v>
      </c>
      <c r="C699" s="62">
        <v>11</v>
      </c>
      <c r="D699" s="62" t="s">
        <v>318</v>
      </c>
      <c r="E699" s="63">
        <v>133</v>
      </c>
      <c r="F699" s="63">
        <v>135</v>
      </c>
      <c r="G699" s="63">
        <v>133</v>
      </c>
      <c r="H699" s="63">
        <v>137</v>
      </c>
      <c r="I699" s="63">
        <v>133</v>
      </c>
      <c r="J699" s="63">
        <v>146</v>
      </c>
      <c r="K699" s="63">
        <v>140</v>
      </c>
      <c r="L699" s="63">
        <v>126</v>
      </c>
      <c r="M699" s="63">
        <v>118</v>
      </c>
      <c r="N699" s="63">
        <v>111</v>
      </c>
      <c r="O699" s="63">
        <v>109</v>
      </c>
      <c r="P699" s="63">
        <v>112</v>
      </c>
      <c r="Q699" s="63">
        <v>123</v>
      </c>
      <c r="R699" s="63">
        <v>94</v>
      </c>
      <c r="S699" s="63">
        <v>103</v>
      </c>
      <c r="T699" s="63">
        <v>109</v>
      </c>
      <c r="U699" s="63">
        <v>116</v>
      </c>
      <c r="V699" s="63">
        <v>119</v>
      </c>
      <c r="W699" s="63">
        <v>109</v>
      </c>
      <c r="X699" s="63">
        <v>106</v>
      </c>
      <c r="Y699" s="63">
        <v>100</v>
      </c>
      <c r="Z699" s="63">
        <v>86</v>
      </c>
      <c r="AA699" s="63">
        <v>86</v>
      </c>
      <c r="AB699" s="63">
        <v>91</v>
      </c>
    </row>
    <row r="700" spans="1:28" x14ac:dyDescent="0.2">
      <c r="A700" s="62">
        <v>57</v>
      </c>
      <c r="B700" s="62" t="s">
        <v>372</v>
      </c>
      <c r="C700" s="62">
        <v>2</v>
      </c>
      <c r="D700" s="62" t="s">
        <v>319</v>
      </c>
      <c r="E700" s="63">
        <v>24</v>
      </c>
      <c r="F700" s="63">
        <v>27</v>
      </c>
      <c r="G700" s="63">
        <v>26</v>
      </c>
      <c r="H700" s="63">
        <v>25</v>
      </c>
      <c r="I700" s="63">
        <v>26</v>
      </c>
      <c r="J700" s="63">
        <v>25</v>
      </c>
      <c r="K700" s="63">
        <v>23</v>
      </c>
      <c r="L700" s="63">
        <v>25</v>
      </c>
      <c r="M700" s="63">
        <v>23</v>
      </c>
      <c r="N700" s="63">
        <v>25</v>
      </c>
      <c r="O700" s="63">
        <v>29</v>
      </c>
      <c r="P700" s="63">
        <v>25</v>
      </c>
      <c r="Q700" s="63">
        <v>26</v>
      </c>
      <c r="R700" s="63">
        <v>27</v>
      </c>
      <c r="S700" s="63">
        <v>27</v>
      </c>
      <c r="T700" s="63">
        <v>24</v>
      </c>
      <c r="U700" s="63">
        <v>24</v>
      </c>
      <c r="V700" s="63">
        <v>24</v>
      </c>
      <c r="W700" s="63">
        <v>26</v>
      </c>
      <c r="X700" s="63">
        <v>28</v>
      </c>
      <c r="Y700" s="63">
        <v>26</v>
      </c>
      <c r="Z700" s="63">
        <v>24</v>
      </c>
      <c r="AA700" s="63">
        <v>23</v>
      </c>
      <c r="AB700" s="63">
        <v>26</v>
      </c>
    </row>
    <row r="701" spans="1:28" x14ac:dyDescent="0.2">
      <c r="A701" s="62">
        <v>57</v>
      </c>
      <c r="B701" s="62" t="s">
        <v>372</v>
      </c>
      <c r="C701" s="62">
        <v>21</v>
      </c>
      <c r="D701" s="64" t="s">
        <v>320</v>
      </c>
      <c r="E701" s="65"/>
      <c r="F701" s="65"/>
      <c r="G701" s="65"/>
      <c r="H701" s="63">
        <v>0</v>
      </c>
      <c r="I701" s="63">
        <v>4</v>
      </c>
      <c r="J701" s="63">
        <v>5</v>
      </c>
      <c r="K701" s="63">
        <v>6</v>
      </c>
      <c r="L701" s="63">
        <v>4</v>
      </c>
      <c r="M701" s="63">
        <v>6</v>
      </c>
      <c r="N701" s="63">
        <v>5</v>
      </c>
      <c r="O701" s="62"/>
      <c r="P701" s="62"/>
      <c r="Q701" s="62"/>
      <c r="R701" s="62"/>
      <c r="S701" s="63">
        <v>3</v>
      </c>
      <c r="T701" s="63">
        <v>12</v>
      </c>
      <c r="U701" s="63">
        <v>18</v>
      </c>
      <c r="V701" s="63">
        <v>22</v>
      </c>
      <c r="W701" s="63">
        <v>23</v>
      </c>
      <c r="X701" s="62"/>
      <c r="Y701" s="63">
        <v>23</v>
      </c>
      <c r="Z701" s="63">
        <v>20</v>
      </c>
      <c r="AA701" s="63">
        <v>20</v>
      </c>
      <c r="AB701" s="63">
        <v>19</v>
      </c>
    </row>
    <row r="702" spans="1:28" x14ac:dyDescent="0.2">
      <c r="A702" s="62">
        <v>57</v>
      </c>
      <c r="B702" s="62" t="s">
        <v>372</v>
      </c>
      <c r="C702" s="62">
        <v>22</v>
      </c>
      <c r="D702" s="62" t="s">
        <v>321</v>
      </c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3">
        <v>1</v>
      </c>
      <c r="R702" s="63">
        <v>0</v>
      </c>
      <c r="S702" s="63">
        <v>0</v>
      </c>
      <c r="T702" s="62"/>
      <c r="U702" s="62"/>
      <c r="V702" s="62"/>
      <c r="W702" s="62"/>
      <c r="X702" s="62"/>
      <c r="Y702" s="62"/>
      <c r="Z702" s="62"/>
      <c r="AA702" s="62"/>
      <c r="AB702" s="62"/>
    </row>
    <row r="703" spans="1:28" x14ac:dyDescent="0.2">
      <c r="A703" s="62">
        <v>57</v>
      </c>
      <c r="B703" s="62" t="s">
        <v>372</v>
      </c>
      <c r="C703" s="62">
        <v>23</v>
      </c>
      <c r="D703" s="62" t="s">
        <v>322</v>
      </c>
      <c r="E703" s="63">
        <v>61</v>
      </c>
      <c r="F703" s="63">
        <v>54</v>
      </c>
      <c r="G703" s="63">
        <v>48</v>
      </c>
      <c r="H703" s="63">
        <v>18</v>
      </c>
      <c r="I703" s="63">
        <v>45</v>
      </c>
      <c r="J703" s="63">
        <v>51</v>
      </c>
      <c r="K703" s="63">
        <v>46</v>
      </c>
      <c r="L703" s="63">
        <v>54</v>
      </c>
      <c r="M703" s="63">
        <v>45</v>
      </c>
      <c r="N703" s="63">
        <v>41</v>
      </c>
      <c r="O703" s="63">
        <v>36</v>
      </c>
      <c r="P703" s="63">
        <v>34</v>
      </c>
      <c r="Q703" s="63">
        <v>58</v>
      </c>
      <c r="R703" s="63">
        <v>65</v>
      </c>
      <c r="S703" s="63">
        <v>62</v>
      </c>
      <c r="T703" s="63">
        <v>60</v>
      </c>
      <c r="U703" s="63">
        <v>65</v>
      </c>
      <c r="V703" s="63">
        <v>66</v>
      </c>
      <c r="W703" s="63">
        <v>72</v>
      </c>
      <c r="X703" s="63">
        <v>82</v>
      </c>
      <c r="Y703" s="63">
        <v>89</v>
      </c>
      <c r="Z703" s="63">
        <v>85</v>
      </c>
      <c r="AA703" s="63">
        <v>75</v>
      </c>
      <c r="AB703" s="63">
        <v>70</v>
      </c>
    </row>
    <row r="704" spans="1:28" x14ac:dyDescent="0.2">
      <c r="A704" s="62">
        <v>57</v>
      </c>
      <c r="B704" s="62" t="s">
        <v>372</v>
      </c>
      <c r="C704" s="62">
        <v>3</v>
      </c>
      <c r="D704" s="62" t="s">
        <v>323</v>
      </c>
      <c r="E704" s="63">
        <v>138</v>
      </c>
      <c r="F704" s="63">
        <v>133</v>
      </c>
      <c r="G704" s="63">
        <v>131</v>
      </c>
      <c r="H704" s="63">
        <v>123</v>
      </c>
      <c r="I704" s="63">
        <v>110</v>
      </c>
      <c r="J704" s="63">
        <v>112</v>
      </c>
      <c r="K704" s="63">
        <v>117</v>
      </c>
      <c r="L704" s="63">
        <v>119</v>
      </c>
      <c r="M704" s="63">
        <v>109</v>
      </c>
      <c r="N704" s="63">
        <v>117</v>
      </c>
      <c r="O704" s="63">
        <v>115</v>
      </c>
      <c r="P704" s="63">
        <v>113</v>
      </c>
      <c r="Q704" s="63">
        <v>113</v>
      </c>
      <c r="R704" s="63">
        <v>110</v>
      </c>
      <c r="S704" s="63">
        <v>99</v>
      </c>
      <c r="T704" s="63">
        <v>106</v>
      </c>
      <c r="U704" s="63">
        <v>110</v>
      </c>
      <c r="V704" s="63">
        <v>104</v>
      </c>
      <c r="W704" s="63">
        <v>101</v>
      </c>
      <c r="X704" s="63">
        <v>104</v>
      </c>
      <c r="Y704" s="63">
        <v>108</v>
      </c>
      <c r="Z704" s="63">
        <v>115</v>
      </c>
      <c r="AA704" s="63">
        <v>120</v>
      </c>
      <c r="AB704" s="63">
        <v>121</v>
      </c>
    </row>
    <row r="705" spans="1:28" x14ac:dyDescent="0.2">
      <c r="A705" s="62">
        <v>57</v>
      </c>
      <c r="B705" s="62" t="s">
        <v>372</v>
      </c>
      <c r="C705" s="62" t="s">
        <v>324</v>
      </c>
      <c r="D705" s="64" t="s">
        <v>325</v>
      </c>
      <c r="E705" s="65"/>
      <c r="F705" s="62"/>
      <c r="G705" s="62"/>
      <c r="H705" s="62"/>
      <c r="I705" s="63">
        <v>14</v>
      </c>
      <c r="J705" s="63">
        <v>7</v>
      </c>
      <c r="K705" s="62"/>
      <c r="L705" s="63">
        <v>26</v>
      </c>
      <c r="M705" s="63">
        <v>58</v>
      </c>
      <c r="N705" s="62"/>
      <c r="O705" s="62"/>
      <c r="P705" s="62"/>
      <c r="Q705" s="63">
        <v>22</v>
      </c>
      <c r="R705" s="62"/>
      <c r="S705" s="63">
        <v>19</v>
      </c>
      <c r="T705" s="62"/>
      <c r="U705" s="62"/>
      <c r="V705" s="63">
        <v>20</v>
      </c>
      <c r="W705" s="63">
        <v>22</v>
      </c>
      <c r="X705" s="63">
        <v>22</v>
      </c>
      <c r="Y705" s="63">
        <v>20</v>
      </c>
      <c r="Z705" s="63">
        <v>22</v>
      </c>
      <c r="AA705" s="63">
        <v>15</v>
      </c>
      <c r="AB705" s="63">
        <v>13</v>
      </c>
    </row>
    <row r="706" spans="1:28" x14ac:dyDescent="0.2">
      <c r="A706" s="62">
        <v>57</v>
      </c>
      <c r="B706" s="62" t="s">
        <v>372</v>
      </c>
      <c r="C706" s="62">
        <v>42</v>
      </c>
      <c r="D706" s="64" t="s">
        <v>326</v>
      </c>
      <c r="E706" s="65"/>
      <c r="F706" s="63">
        <v>0</v>
      </c>
      <c r="G706" s="62"/>
      <c r="H706" s="63">
        <v>11</v>
      </c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3">
        <v>0</v>
      </c>
      <c r="T706" s="63">
        <v>6</v>
      </c>
      <c r="U706" s="63">
        <v>0</v>
      </c>
      <c r="V706" s="63">
        <v>6</v>
      </c>
      <c r="W706" s="62"/>
      <c r="X706" s="62"/>
      <c r="Y706" s="62"/>
      <c r="Z706" s="62"/>
      <c r="AA706" s="62"/>
      <c r="AB706" s="62"/>
    </row>
    <row r="707" spans="1:28" x14ac:dyDescent="0.2">
      <c r="A707" s="62">
        <v>57</v>
      </c>
      <c r="B707" s="62" t="s">
        <v>372</v>
      </c>
      <c r="C707" s="62" t="s">
        <v>327</v>
      </c>
      <c r="D707" s="62" t="s">
        <v>328</v>
      </c>
      <c r="E707" s="63">
        <v>86</v>
      </c>
      <c r="F707" s="63">
        <v>82</v>
      </c>
      <c r="G707" s="63">
        <v>104</v>
      </c>
      <c r="H707" s="63">
        <v>98</v>
      </c>
      <c r="I707" s="63">
        <v>83</v>
      </c>
      <c r="J707" s="63">
        <v>83</v>
      </c>
      <c r="K707" s="63">
        <v>85</v>
      </c>
      <c r="L707" s="63">
        <v>78</v>
      </c>
      <c r="M707" s="63">
        <v>69</v>
      </c>
      <c r="N707" s="63">
        <v>71</v>
      </c>
      <c r="O707" s="63">
        <v>69</v>
      </c>
      <c r="P707" s="63">
        <v>68</v>
      </c>
      <c r="Q707" s="63">
        <v>65</v>
      </c>
      <c r="R707" s="63">
        <v>65</v>
      </c>
      <c r="S707" s="63">
        <v>83</v>
      </c>
      <c r="T707" s="63">
        <v>89</v>
      </c>
      <c r="U707" s="63">
        <v>88</v>
      </c>
      <c r="V707" s="63">
        <v>88</v>
      </c>
      <c r="W707" s="63">
        <v>86</v>
      </c>
      <c r="X707" s="63">
        <v>82</v>
      </c>
      <c r="Y707" s="63">
        <v>89</v>
      </c>
      <c r="Z707" s="63">
        <v>82</v>
      </c>
      <c r="AA707" s="63">
        <v>99</v>
      </c>
      <c r="AB707" s="63">
        <v>111</v>
      </c>
    </row>
    <row r="708" spans="1:28" x14ac:dyDescent="0.2">
      <c r="A708" s="62">
        <v>57</v>
      </c>
      <c r="B708" s="62" t="s">
        <v>372</v>
      </c>
      <c r="C708" s="62" t="s">
        <v>329</v>
      </c>
      <c r="D708" s="62" t="s">
        <v>330</v>
      </c>
      <c r="E708" s="63">
        <v>44</v>
      </c>
      <c r="F708" s="63">
        <v>44</v>
      </c>
      <c r="G708" s="63">
        <v>33</v>
      </c>
      <c r="H708" s="63">
        <v>42</v>
      </c>
      <c r="I708" s="63">
        <v>56</v>
      </c>
      <c r="J708" s="63">
        <v>44</v>
      </c>
      <c r="K708" s="63">
        <v>45</v>
      </c>
      <c r="L708" s="63">
        <v>49</v>
      </c>
      <c r="M708" s="63">
        <v>46</v>
      </c>
      <c r="N708" s="63">
        <v>41</v>
      </c>
      <c r="O708" s="63">
        <v>42</v>
      </c>
      <c r="P708" s="63">
        <v>44</v>
      </c>
      <c r="Q708" s="63">
        <v>21</v>
      </c>
      <c r="R708" s="63">
        <v>16</v>
      </c>
      <c r="S708" s="63">
        <v>23</v>
      </c>
      <c r="T708" s="63">
        <v>20</v>
      </c>
      <c r="U708" s="63">
        <v>18</v>
      </c>
      <c r="V708" s="63">
        <v>17</v>
      </c>
      <c r="W708" s="63">
        <v>19</v>
      </c>
      <c r="X708" s="63">
        <v>14</v>
      </c>
      <c r="Y708" s="63">
        <v>13</v>
      </c>
      <c r="Z708" s="63">
        <v>18</v>
      </c>
      <c r="AA708" s="63">
        <v>21</v>
      </c>
      <c r="AB708" s="63">
        <v>20</v>
      </c>
    </row>
    <row r="709" spans="1:28" x14ac:dyDescent="0.2">
      <c r="A709" s="62">
        <v>57</v>
      </c>
      <c r="B709" s="62" t="s">
        <v>372</v>
      </c>
      <c r="C709" s="62">
        <v>51</v>
      </c>
      <c r="D709" s="62" t="s">
        <v>331</v>
      </c>
      <c r="E709" s="62"/>
      <c r="F709" s="62"/>
      <c r="G709" s="62"/>
      <c r="H709" s="62"/>
      <c r="I709" s="62"/>
      <c r="J709" s="62"/>
      <c r="K709" s="63">
        <v>8</v>
      </c>
      <c r="L709" s="62"/>
      <c r="M709" s="62"/>
      <c r="N709" s="62"/>
      <c r="O709" s="62"/>
      <c r="P709" s="62"/>
      <c r="Q709" s="62"/>
      <c r="R709" s="63">
        <v>4</v>
      </c>
      <c r="S709" s="63">
        <v>1</v>
      </c>
      <c r="T709" s="63">
        <v>0</v>
      </c>
      <c r="U709" s="63">
        <v>1</v>
      </c>
      <c r="V709" s="63">
        <v>0</v>
      </c>
      <c r="W709" s="62"/>
      <c r="X709" s="62"/>
      <c r="Y709" s="62"/>
      <c r="Z709" s="62"/>
      <c r="AA709" s="62"/>
      <c r="AB709" s="62"/>
    </row>
    <row r="710" spans="1:28" x14ac:dyDescent="0.2">
      <c r="A710" s="62">
        <v>57</v>
      </c>
      <c r="B710" s="62" t="s">
        <v>372</v>
      </c>
      <c r="C710" s="62">
        <v>52</v>
      </c>
      <c r="D710" s="64" t="s">
        <v>332</v>
      </c>
      <c r="E710" s="65"/>
      <c r="F710" s="62"/>
      <c r="G710" s="62"/>
      <c r="H710" s="63">
        <v>16</v>
      </c>
      <c r="I710" s="63">
        <v>10</v>
      </c>
      <c r="J710" s="63">
        <v>10</v>
      </c>
      <c r="K710" s="62"/>
      <c r="L710" s="62"/>
      <c r="M710" s="62"/>
      <c r="N710" s="62"/>
      <c r="O710" s="62"/>
      <c r="P710" s="62"/>
      <c r="Q710" s="62"/>
      <c r="R710" s="63">
        <v>11</v>
      </c>
      <c r="S710" s="63">
        <v>11</v>
      </c>
      <c r="T710" s="62"/>
      <c r="U710" s="62"/>
      <c r="V710" s="62"/>
      <c r="W710" s="63">
        <v>9</v>
      </c>
      <c r="X710" s="63">
        <v>9</v>
      </c>
      <c r="Y710" s="62"/>
      <c r="Z710" s="62"/>
      <c r="AA710" s="62"/>
      <c r="AB710" s="62"/>
    </row>
    <row r="711" spans="1:28" x14ac:dyDescent="0.2">
      <c r="A711" s="62">
        <v>57</v>
      </c>
      <c r="B711" s="62" t="s">
        <v>372</v>
      </c>
      <c r="C711" s="62">
        <v>53</v>
      </c>
      <c r="D711" s="62" t="s">
        <v>333</v>
      </c>
      <c r="E711" s="63">
        <v>0</v>
      </c>
      <c r="F711" s="62"/>
      <c r="G711" s="63">
        <v>12</v>
      </c>
      <c r="H711" s="63">
        <v>15</v>
      </c>
      <c r="I711" s="63">
        <v>12</v>
      </c>
      <c r="J711" s="63">
        <v>11</v>
      </c>
      <c r="K711" s="63">
        <v>9</v>
      </c>
      <c r="L711" s="63">
        <v>12</v>
      </c>
      <c r="M711" s="63">
        <v>20</v>
      </c>
      <c r="N711" s="63">
        <v>18</v>
      </c>
      <c r="O711" s="63">
        <v>19</v>
      </c>
      <c r="P711" s="63">
        <v>19</v>
      </c>
      <c r="Q711" s="63">
        <v>17</v>
      </c>
      <c r="R711" s="63">
        <v>22</v>
      </c>
      <c r="S711" s="63">
        <v>24</v>
      </c>
      <c r="T711" s="63">
        <v>17</v>
      </c>
      <c r="U711" s="63">
        <v>15</v>
      </c>
      <c r="V711" s="63">
        <v>18</v>
      </c>
      <c r="W711" s="63">
        <v>15</v>
      </c>
      <c r="X711" s="63">
        <v>17</v>
      </c>
      <c r="Y711" s="63">
        <v>18</v>
      </c>
      <c r="Z711" s="63">
        <v>16</v>
      </c>
      <c r="AA711" s="63">
        <v>12</v>
      </c>
      <c r="AB711" s="63">
        <v>28</v>
      </c>
    </row>
    <row r="712" spans="1:28" x14ac:dyDescent="0.2">
      <c r="A712" s="62">
        <v>57</v>
      </c>
      <c r="B712" s="62" t="s">
        <v>372</v>
      </c>
      <c r="C712" s="62">
        <v>54</v>
      </c>
      <c r="D712" s="62" t="s">
        <v>334</v>
      </c>
      <c r="E712" s="63">
        <v>15</v>
      </c>
      <c r="F712" s="63">
        <v>23</v>
      </c>
      <c r="G712" s="63">
        <v>27</v>
      </c>
      <c r="H712" s="63">
        <v>24</v>
      </c>
      <c r="I712" s="63">
        <v>25</v>
      </c>
      <c r="J712" s="63">
        <v>26</v>
      </c>
      <c r="K712" s="63">
        <v>21</v>
      </c>
      <c r="L712" s="63">
        <v>22</v>
      </c>
      <c r="M712" s="63">
        <v>36</v>
      </c>
      <c r="N712" s="63">
        <v>41</v>
      </c>
      <c r="O712" s="63">
        <v>51</v>
      </c>
      <c r="P712" s="63">
        <v>54</v>
      </c>
      <c r="Q712" s="63">
        <v>56</v>
      </c>
      <c r="R712" s="63">
        <v>59</v>
      </c>
      <c r="S712" s="63">
        <v>46</v>
      </c>
      <c r="T712" s="63">
        <v>37</v>
      </c>
      <c r="U712" s="63">
        <v>46</v>
      </c>
      <c r="V712" s="63">
        <v>53</v>
      </c>
      <c r="W712" s="63">
        <v>53</v>
      </c>
      <c r="X712" s="63">
        <v>39</v>
      </c>
      <c r="Y712" s="63">
        <v>39</v>
      </c>
      <c r="Z712" s="63">
        <v>51</v>
      </c>
      <c r="AA712" s="63">
        <v>52</v>
      </c>
      <c r="AB712" s="63">
        <v>48</v>
      </c>
    </row>
    <row r="713" spans="1:28" x14ac:dyDescent="0.2">
      <c r="A713" s="62">
        <v>57</v>
      </c>
      <c r="B713" s="62" t="s">
        <v>372</v>
      </c>
      <c r="C713" s="62">
        <v>55</v>
      </c>
      <c r="D713" s="64" t="s">
        <v>335</v>
      </c>
      <c r="E713" s="65"/>
      <c r="F713" s="65"/>
      <c r="G713" s="65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3">
        <v>0</v>
      </c>
      <c r="AB713" s="62"/>
    </row>
    <row r="714" spans="1:28" x14ac:dyDescent="0.2">
      <c r="A714" s="62">
        <v>57</v>
      </c>
      <c r="B714" s="62" t="s">
        <v>372</v>
      </c>
      <c r="C714" s="62">
        <v>56</v>
      </c>
      <c r="D714" s="62" t="s">
        <v>336</v>
      </c>
      <c r="E714" s="63">
        <v>12</v>
      </c>
      <c r="F714" s="63">
        <v>15</v>
      </c>
      <c r="G714" s="63">
        <v>14</v>
      </c>
      <c r="H714" s="63">
        <v>16</v>
      </c>
      <c r="I714" s="63">
        <v>19</v>
      </c>
      <c r="J714" s="63">
        <v>26</v>
      </c>
      <c r="K714" s="63">
        <v>31</v>
      </c>
      <c r="L714" s="63">
        <v>20</v>
      </c>
      <c r="M714" s="63">
        <v>16</v>
      </c>
      <c r="N714" s="63">
        <v>13</v>
      </c>
      <c r="O714" s="63">
        <v>21</v>
      </c>
      <c r="P714" s="63">
        <v>28</v>
      </c>
      <c r="Q714" s="63">
        <v>23</v>
      </c>
      <c r="R714" s="63">
        <v>22</v>
      </c>
      <c r="S714" s="63">
        <v>25</v>
      </c>
      <c r="T714" s="63">
        <v>17</v>
      </c>
      <c r="U714" s="63">
        <v>22</v>
      </c>
      <c r="V714" s="63">
        <v>23</v>
      </c>
      <c r="W714" s="63">
        <v>23</v>
      </c>
      <c r="X714" s="63">
        <v>32</v>
      </c>
      <c r="Y714" s="63">
        <v>30</v>
      </c>
      <c r="Z714" s="63">
        <v>24</v>
      </c>
      <c r="AA714" s="63">
        <v>18</v>
      </c>
      <c r="AB714" s="63">
        <v>28</v>
      </c>
    </row>
    <row r="715" spans="1:28" x14ac:dyDescent="0.2">
      <c r="A715" s="62">
        <v>57</v>
      </c>
      <c r="B715" s="62" t="s">
        <v>372</v>
      </c>
      <c r="C715" s="62">
        <v>61</v>
      </c>
      <c r="D715" s="64" t="s">
        <v>337</v>
      </c>
      <c r="E715" s="65"/>
      <c r="F715" s="62"/>
      <c r="G715" s="62"/>
      <c r="H715" s="63">
        <v>0</v>
      </c>
      <c r="I715" s="63">
        <v>0</v>
      </c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3">
        <v>0</v>
      </c>
      <c r="X715" s="63">
        <v>0</v>
      </c>
      <c r="Y715" s="63">
        <v>0</v>
      </c>
      <c r="Z715" s="62"/>
      <c r="AA715" s="62"/>
      <c r="AB715" s="62"/>
    </row>
    <row r="716" spans="1:28" x14ac:dyDescent="0.2">
      <c r="A716" s="62">
        <v>57</v>
      </c>
      <c r="B716" s="62" t="s">
        <v>372</v>
      </c>
      <c r="C716" s="62">
        <v>62</v>
      </c>
      <c r="D716" s="62" t="s">
        <v>338</v>
      </c>
      <c r="E716" s="63">
        <v>36</v>
      </c>
      <c r="F716" s="63">
        <v>31</v>
      </c>
      <c r="G716" s="63">
        <v>32</v>
      </c>
      <c r="H716" s="63">
        <v>29</v>
      </c>
      <c r="I716" s="63">
        <v>33</v>
      </c>
      <c r="J716" s="63">
        <v>31</v>
      </c>
      <c r="K716" s="63">
        <v>33</v>
      </c>
      <c r="L716" s="63">
        <v>38</v>
      </c>
      <c r="M716" s="63">
        <v>37</v>
      </c>
      <c r="N716" s="63">
        <v>38</v>
      </c>
      <c r="O716" s="63">
        <v>38</v>
      </c>
      <c r="P716" s="63">
        <v>31</v>
      </c>
      <c r="Q716" s="63">
        <v>25</v>
      </c>
      <c r="R716" s="63">
        <v>26</v>
      </c>
      <c r="S716" s="63">
        <v>27</v>
      </c>
      <c r="T716" s="63">
        <v>26</v>
      </c>
      <c r="U716" s="63">
        <v>30</v>
      </c>
      <c r="V716" s="63">
        <v>37</v>
      </c>
      <c r="W716" s="63">
        <v>40</v>
      </c>
      <c r="X716" s="63">
        <v>37</v>
      </c>
      <c r="Y716" s="63">
        <v>40</v>
      </c>
      <c r="Z716" s="63">
        <v>29</v>
      </c>
      <c r="AA716" s="63">
        <v>23</v>
      </c>
      <c r="AB716" s="63">
        <v>15</v>
      </c>
    </row>
    <row r="717" spans="1:28" x14ac:dyDescent="0.2">
      <c r="A717" s="62">
        <v>57</v>
      </c>
      <c r="B717" s="62" t="s">
        <v>372</v>
      </c>
      <c r="C717" s="62">
        <v>71</v>
      </c>
      <c r="D717" s="62" t="s">
        <v>339</v>
      </c>
      <c r="E717" s="63">
        <v>6</v>
      </c>
      <c r="F717" s="63">
        <v>7</v>
      </c>
      <c r="G717" s="63">
        <v>9</v>
      </c>
      <c r="H717" s="63">
        <v>8</v>
      </c>
      <c r="I717" s="63">
        <v>14</v>
      </c>
      <c r="J717" s="63">
        <v>20</v>
      </c>
      <c r="K717" s="63">
        <v>13</v>
      </c>
      <c r="L717" s="63">
        <v>16</v>
      </c>
      <c r="M717" s="63">
        <v>14</v>
      </c>
      <c r="N717" s="63">
        <v>13</v>
      </c>
      <c r="O717" s="63">
        <v>15</v>
      </c>
      <c r="P717" s="63">
        <v>13</v>
      </c>
      <c r="Q717" s="63">
        <v>13</v>
      </c>
      <c r="R717" s="63">
        <v>16</v>
      </c>
      <c r="S717" s="63">
        <v>20</v>
      </c>
      <c r="T717" s="63">
        <v>25</v>
      </c>
      <c r="U717" s="63">
        <v>24</v>
      </c>
      <c r="V717" s="63">
        <v>19</v>
      </c>
      <c r="W717" s="63">
        <v>22</v>
      </c>
      <c r="X717" s="63">
        <v>22</v>
      </c>
      <c r="Y717" s="63">
        <v>23</v>
      </c>
      <c r="Z717" s="63">
        <v>36</v>
      </c>
      <c r="AA717" s="63">
        <v>42</v>
      </c>
      <c r="AB717" s="63">
        <v>46</v>
      </c>
    </row>
    <row r="718" spans="1:28" x14ac:dyDescent="0.2">
      <c r="A718" s="62">
        <v>57</v>
      </c>
      <c r="B718" s="62" t="s">
        <v>372</v>
      </c>
      <c r="C718" s="62">
        <v>72</v>
      </c>
      <c r="D718" s="62" t="s">
        <v>340</v>
      </c>
      <c r="E718" s="63">
        <v>39</v>
      </c>
      <c r="F718" s="63">
        <v>38</v>
      </c>
      <c r="G718" s="63">
        <v>52</v>
      </c>
      <c r="H718" s="63">
        <v>72</v>
      </c>
      <c r="I718" s="63">
        <v>80</v>
      </c>
      <c r="J718" s="63">
        <v>73</v>
      </c>
      <c r="K718" s="63">
        <v>66</v>
      </c>
      <c r="L718" s="63">
        <v>64</v>
      </c>
      <c r="M718" s="63">
        <v>75</v>
      </c>
      <c r="N718" s="63">
        <v>71</v>
      </c>
      <c r="O718" s="63">
        <v>69</v>
      </c>
      <c r="P718" s="63">
        <v>64</v>
      </c>
      <c r="Q718" s="63">
        <v>69</v>
      </c>
      <c r="R718" s="63">
        <v>71</v>
      </c>
      <c r="S718" s="63">
        <v>61</v>
      </c>
      <c r="T718" s="63">
        <v>68</v>
      </c>
      <c r="U718" s="63">
        <v>78</v>
      </c>
      <c r="V718" s="63">
        <v>75</v>
      </c>
      <c r="W718" s="63">
        <v>74</v>
      </c>
      <c r="X718" s="63">
        <v>63</v>
      </c>
      <c r="Y718" s="63">
        <v>81</v>
      </c>
      <c r="Z718" s="63">
        <v>75</v>
      </c>
      <c r="AA718" s="63">
        <v>67</v>
      </c>
      <c r="AB718" s="63">
        <v>59</v>
      </c>
    </row>
    <row r="719" spans="1:28" x14ac:dyDescent="0.2">
      <c r="A719" s="62">
        <v>57</v>
      </c>
      <c r="B719" s="62" t="s">
        <v>372</v>
      </c>
      <c r="C719" s="62">
        <v>81</v>
      </c>
      <c r="D719" s="62" t="s">
        <v>341</v>
      </c>
      <c r="E719" s="63">
        <v>25</v>
      </c>
      <c r="F719" s="63">
        <v>20</v>
      </c>
      <c r="G719" s="63">
        <v>23</v>
      </c>
      <c r="H719" s="63">
        <v>19</v>
      </c>
      <c r="I719" s="63">
        <v>22</v>
      </c>
      <c r="J719" s="63">
        <v>22</v>
      </c>
      <c r="K719" s="63">
        <v>21</v>
      </c>
      <c r="L719" s="62"/>
      <c r="M719" s="63">
        <v>13</v>
      </c>
      <c r="N719" s="63">
        <v>14</v>
      </c>
      <c r="O719" s="63">
        <v>16</v>
      </c>
      <c r="P719" s="63">
        <v>21</v>
      </c>
      <c r="Q719" s="63">
        <v>23</v>
      </c>
      <c r="R719" s="63">
        <v>24</v>
      </c>
      <c r="S719" s="63">
        <v>23</v>
      </c>
      <c r="T719" s="63">
        <v>28</v>
      </c>
      <c r="U719" s="63">
        <v>29</v>
      </c>
      <c r="V719" s="63">
        <v>22</v>
      </c>
      <c r="W719" s="63">
        <v>21</v>
      </c>
      <c r="X719" s="63">
        <v>22</v>
      </c>
      <c r="Y719" s="63">
        <v>26</v>
      </c>
      <c r="Z719" s="63">
        <v>28</v>
      </c>
      <c r="AA719" s="63">
        <v>17</v>
      </c>
      <c r="AB719" s="62"/>
    </row>
    <row r="720" spans="1:28" x14ac:dyDescent="0.2">
      <c r="A720" s="62">
        <v>57</v>
      </c>
      <c r="B720" s="62" t="s">
        <v>372</v>
      </c>
      <c r="C720" s="62">
        <v>99</v>
      </c>
      <c r="D720" s="62" t="s">
        <v>342</v>
      </c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3">
        <v>0</v>
      </c>
    </row>
    <row r="721" spans="1:28" x14ac:dyDescent="0.2">
      <c r="A721" s="62">
        <v>59</v>
      </c>
      <c r="B721" s="62" t="s">
        <v>373</v>
      </c>
      <c r="C721" s="62">
        <v>1</v>
      </c>
      <c r="D721" s="62" t="s">
        <v>316</v>
      </c>
      <c r="E721" s="63">
        <v>8576</v>
      </c>
      <c r="F721" s="63">
        <v>8589</v>
      </c>
      <c r="G721" s="63">
        <v>8539</v>
      </c>
      <c r="H721" s="63">
        <v>8336</v>
      </c>
      <c r="I721" s="63">
        <v>8385</v>
      </c>
      <c r="J721" s="63">
        <v>8177</v>
      </c>
      <c r="K721" s="63">
        <v>7981</v>
      </c>
      <c r="L721" s="63">
        <v>8157</v>
      </c>
      <c r="M721" s="63">
        <v>8548</v>
      </c>
      <c r="N721" s="63">
        <v>9194</v>
      </c>
      <c r="O721" s="63">
        <v>8942</v>
      </c>
      <c r="P721" s="63">
        <v>8839</v>
      </c>
      <c r="Q721" s="63">
        <v>8731</v>
      </c>
      <c r="R721" s="63">
        <v>8509</v>
      </c>
      <c r="S721" s="63">
        <v>8533</v>
      </c>
      <c r="T721" s="63">
        <v>8588</v>
      </c>
      <c r="U721" s="63">
        <v>8588</v>
      </c>
      <c r="V721" s="63">
        <v>8257</v>
      </c>
      <c r="W721" s="63">
        <v>8070</v>
      </c>
      <c r="X721" s="63">
        <v>8329</v>
      </c>
      <c r="Y721" s="63">
        <v>8300</v>
      </c>
      <c r="Z721" s="63">
        <v>7544</v>
      </c>
      <c r="AA721" s="63">
        <v>7399</v>
      </c>
      <c r="AB721" s="63">
        <v>7407</v>
      </c>
    </row>
    <row r="722" spans="1:28" x14ac:dyDescent="0.2">
      <c r="A722" s="62">
        <v>59</v>
      </c>
      <c r="B722" s="62" t="s">
        <v>373</v>
      </c>
      <c r="C722" s="62">
        <v>10</v>
      </c>
      <c r="D722" s="62" t="s">
        <v>317</v>
      </c>
      <c r="E722" s="63">
        <v>254647</v>
      </c>
      <c r="F722" s="63">
        <v>250092</v>
      </c>
      <c r="G722" s="63">
        <v>248155</v>
      </c>
      <c r="H722" s="63">
        <v>250639</v>
      </c>
      <c r="I722" s="63">
        <v>254143</v>
      </c>
      <c r="J722" s="63">
        <v>255715</v>
      </c>
      <c r="K722" s="63">
        <v>261446</v>
      </c>
      <c r="L722" s="63">
        <v>260102</v>
      </c>
      <c r="M722" s="63">
        <v>252520</v>
      </c>
      <c r="N722" s="63">
        <v>252081</v>
      </c>
      <c r="O722" s="63">
        <v>255221</v>
      </c>
      <c r="P722" s="63">
        <v>262608</v>
      </c>
      <c r="Q722" s="63">
        <v>266955</v>
      </c>
      <c r="R722" s="63">
        <v>275049</v>
      </c>
      <c r="S722" s="63">
        <v>282890</v>
      </c>
      <c r="T722" s="63">
        <v>288581</v>
      </c>
      <c r="U722" s="63">
        <v>290088</v>
      </c>
      <c r="V722" s="63">
        <v>297788</v>
      </c>
      <c r="W722" s="63">
        <v>303129</v>
      </c>
      <c r="X722" s="63">
        <v>289459</v>
      </c>
      <c r="Y722" s="63">
        <v>295676</v>
      </c>
      <c r="Z722" s="63">
        <v>302704</v>
      </c>
      <c r="AA722" s="63">
        <v>308429</v>
      </c>
      <c r="AB722" s="63">
        <v>309057</v>
      </c>
    </row>
    <row r="723" spans="1:28" x14ac:dyDescent="0.2">
      <c r="A723" s="62">
        <v>59</v>
      </c>
      <c r="B723" s="62" t="s">
        <v>373</v>
      </c>
      <c r="C723" s="62">
        <v>11</v>
      </c>
      <c r="D723" s="62" t="s">
        <v>318</v>
      </c>
      <c r="E723" s="63">
        <v>640</v>
      </c>
      <c r="F723" s="63">
        <v>611</v>
      </c>
      <c r="G723" s="63">
        <v>571</v>
      </c>
      <c r="H723" s="63">
        <v>558</v>
      </c>
      <c r="I723" s="63">
        <v>548</v>
      </c>
      <c r="J723" s="63">
        <v>531</v>
      </c>
      <c r="K723" s="63">
        <v>488</v>
      </c>
      <c r="L723" s="63">
        <v>473</v>
      </c>
      <c r="M723" s="63">
        <v>477</v>
      </c>
      <c r="N723" s="63">
        <v>516</v>
      </c>
      <c r="O723" s="63">
        <v>537</v>
      </c>
      <c r="P723" s="63">
        <v>621</v>
      </c>
      <c r="Q723" s="63">
        <v>652</v>
      </c>
      <c r="R723" s="63">
        <v>690</v>
      </c>
      <c r="S723" s="63">
        <v>746</v>
      </c>
      <c r="T723" s="63">
        <v>739</v>
      </c>
      <c r="U723" s="63">
        <v>742</v>
      </c>
      <c r="V723" s="63">
        <v>754</v>
      </c>
      <c r="W723" s="63">
        <v>760</v>
      </c>
      <c r="X723" s="63">
        <v>803</v>
      </c>
      <c r="Y723" s="63">
        <v>830</v>
      </c>
      <c r="Z723" s="63">
        <v>840</v>
      </c>
      <c r="AA723" s="63">
        <v>784</v>
      </c>
      <c r="AB723" s="63">
        <v>667</v>
      </c>
    </row>
    <row r="724" spans="1:28" x14ac:dyDescent="0.2">
      <c r="A724" s="62">
        <v>59</v>
      </c>
      <c r="B724" s="62" t="s">
        <v>373</v>
      </c>
      <c r="C724" s="62">
        <v>2</v>
      </c>
      <c r="D724" s="62" t="s">
        <v>319</v>
      </c>
      <c r="E724" s="63">
        <v>4049</v>
      </c>
      <c r="F724" s="63">
        <v>4112</v>
      </c>
      <c r="G724" s="63">
        <v>3990</v>
      </c>
      <c r="H724" s="63">
        <v>3900</v>
      </c>
      <c r="I724" s="63">
        <v>4061</v>
      </c>
      <c r="J724" s="63">
        <v>4062</v>
      </c>
      <c r="K724" s="63">
        <v>4248</v>
      </c>
      <c r="L724" s="63">
        <v>4384</v>
      </c>
      <c r="M724" s="63">
        <v>4401</v>
      </c>
      <c r="N724" s="63">
        <v>4285</v>
      </c>
      <c r="O724" s="63">
        <v>4394</v>
      </c>
      <c r="P724" s="63">
        <v>4476</v>
      </c>
      <c r="Q724" s="63">
        <v>4639</v>
      </c>
      <c r="R724" s="63">
        <v>4683</v>
      </c>
      <c r="S724" s="63">
        <v>4686</v>
      </c>
      <c r="T724" s="63">
        <v>4730</v>
      </c>
      <c r="U724" s="63">
        <v>4850</v>
      </c>
      <c r="V724" s="63">
        <v>5063</v>
      </c>
      <c r="W724" s="63">
        <v>5103</v>
      </c>
      <c r="X724" s="63">
        <v>5230</v>
      </c>
      <c r="Y724" s="63">
        <v>5268</v>
      </c>
      <c r="Z724" s="63">
        <v>5186</v>
      </c>
      <c r="AA724" s="63">
        <v>5900</v>
      </c>
      <c r="AB724" s="63">
        <v>6143</v>
      </c>
    </row>
    <row r="725" spans="1:28" x14ac:dyDescent="0.2">
      <c r="A725" s="62">
        <v>59</v>
      </c>
      <c r="B725" s="62" t="s">
        <v>373</v>
      </c>
      <c r="C725" s="62">
        <v>21</v>
      </c>
      <c r="D725" s="62" t="s">
        <v>320</v>
      </c>
      <c r="E725" s="63">
        <v>556</v>
      </c>
      <c r="F725" s="63">
        <v>514</v>
      </c>
      <c r="G725" s="62"/>
      <c r="H725" s="63">
        <v>380</v>
      </c>
      <c r="I725" s="63">
        <v>384</v>
      </c>
      <c r="J725" s="63">
        <v>503</v>
      </c>
      <c r="K725" s="63">
        <v>710</v>
      </c>
      <c r="L725" s="63">
        <v>687</v>
      </c>
      <c r="M725" s="63">
        <v>552</v>
      </c>
      <c r="N725" s="63">
        <v>531</v>
      </c>
      <c r="O725" s="63">
        <v>548</v>
      </c>
      <c r="P725" s="63">
        <v>574</v>
      </c>
      <c r="Q725" s="63">
        <v>559</v>
      </c>
      <c r="R725" s="63">
        <v>508</v>
      </c>
      <c r="S725" s="63">
        <v>523</v>
      </c>
      <c r="T725" s="63">
        <v>460</v>
      </c>
      <c r="U725" s="63">
        <v>908</v>
      </c>
      <c r="V725" s="63">
        <v>933</v>
      </c>
      <c r="W725" s="63">
        <v>847</v>
      </c>
      <c r="X725" s="63">
        <v>829</v>
      </c>
      <c r="Y725" s="63">
        <v>526</v>
      </c>
      <c r="Z725" s="63">
        <v>538</v>
      </c>
      <c r="AA725" s="63">
        <v>537</v>
      </c>
      <c r="AB725" s="63">
        <v>455</v>
      </c>
    </row>
    <row r="726" spans="1:28" x14ac:dyDescent="0.2">
      <c r="A726" s="62">
        <v>59</v>
      </c>
      <c r="B726" s="62" t="s">
        <v>373</v>
      </c>
      <c r="C726" s="62">
        <v>22</v>
      </c>
      <c r="D726" s="62" t="s">
        <v>321</v>
      </c>
      <c r="E726" s="63">
        <v>735</v>
      </c>
      <c r="F726" s="63">
        <v>762</v>
      </c>
      <c r="G726" s="63">
        <v>762</v>
      </c>
      <c r="H726" s="63">
        <v>796</v>
      </c>
      <c r="I726" s="63">
        <v>836</v>
      </c>
      <c r="J726" s="63">
        <v>877</v>
      </c>
      <c r="K726" s="63">
        <v>864</v>
      </c>
      <c r="L726" s="63">
        <v>902</v>
      </c>
      <c r="M726" s="63">
        <v>919</v>
      </c>
      <c r="N726" s="63">
        <v>879</v>
      </c>
      <c r="O726" s="63">
        <v>881</v>
      </c>
      <c r="P726" s="63">
        <v>855</v>
      </c>
      <c r="Q726" s="63">
        <v>807</v>
      </c>
      <c r="R726" s="63">
        <v>909</v>
      </c>
      <c r="S726" s="63">
        <v>892</v>
      </c>
      <c r="T726" s="63">
        <v>817</v>
      </c>
      <c r="U726" s="63">
        <v>767</v>
      </c>
      <c r="V726" s="63">
        <v>786</v>
      </c>
      <c r="W726" s="63">
        <v>790</v>
      </c>
      <c r="X726" s="63">
        <v>779</v>
      </c>
      <c r="Y726" s="63">
        <v>784</v>
      </c>
      <c r="Z726" s="63">
        <v>819</v>
      </c>
      <c r="AA726" s="63">
        <v>854</v>
      </c>
      <c r="AB726" s="63">
        <v>858</v>
      </c>
    </row>
    <row r="727" spans="1:28" x14ac:dyDescent="0.2">
      <c r="A727" s="62">
        <v>59</v>
      </c>
      <c r="B727" s="62" t="s">
        <v>373</v>
      </c>
      <c r="C727" s="62">
        <v>23</v>
      </c>
      <c r="D727" s="62" t="s">
        <v>322</v>
      </c>
      <c r="E727" s="63">
        <v>22119</v>
      </c>
      <c r="F727" s="63">
        <v>21134</v>
      </c>
      <c r="G727" s="63">
        <v>20414</v>
      </c>
      <c r="H727" s="63">
        <v>20940</v>
      </c>
      <c r="I727" s="63">
        <v>21376</v>
      </c>
      <c r="J727" s="63">
        <v>21520</v>
      </c>
      <c r="K727" s="63">
        <v>21403</v>
      </c>
      <c r="L727" s="63">
        <v>20311</v>
      </c>
      <c r="M727" s="63">
        <v>17517</v>
      </c>
      <c r="N727" s="63">
        <v>16627</v>
      </c>
      <c r="O727" s="63">
        <v>16494</v>
      </c>
      <c r="P727" s="63">
        <v>16733</v>
      </c>
      <c r="Q727" s="63">
        <v>17768</v>
      </c>
      <c r="R727" s="63">
        <v>19486</v>
      </c>
      <c r="S727" s="63">
        <v>20710</v>
      </c>
      <c r="T727" s="63">
        <v>20978</v>
      </c>
      <c r="U727" s="63">
        <v>21676</v>
      </c>
      <c r="V727" s="63">
        <v>22419</v>
      </c>
      <c r="W727" s="63">
        <v>24007</v>
      </c>
      <c r="X727" s="63">
        <v>23952</v>
      </c>
      <c r="Y727" s="63">
        <v>23127</v>
      </c>
      <c r="Z727" s="63">
        <v>23850</v>
      </c>
      <c r="AA727" s="63">
        <v>23328</v>
      </c>
      <c r="AB727" s="63">
        <v>23228</v>
      </c>
    </row>
    <row r="728" spans="1:28" x14ac:dyDescent="0.2">
      <c r="A728" s="62">
        <v>59</v>
      </c>
      <c r="B728" s="62" t="s">
        <v>373</v>
      </c>
      <c r="C728" s="62">
        <v>3</v>
      </c>
      <c r="D728" s="62" t="s">
        <v>323</v>
      </c>
      <c r="E728" s="63">
        <v>19797</v>
      </c>
      <c r="F728" s="63">
        <v>20760</v>
      </c>
      <c r="G728" s="63">
        <v>20803</v>
      </c>
      <c r="H728" s="63">
        <v>20675</v>
      </c>
      <c r="I728" s="63">
        <v>20707</v>
      </c>
      <c r="J728" s="63">
        <v>20760</v>
      </c>
      <c r="K728" s="63">
        <v>20947</v>
      </c>
      <c r="L728" s="63">
        <v>21768</v>
      </c>
      <c r="M728" s="63">
        <v>21726</v>
      </c>
      <c r="N728" s="63">
        <v>21543</v>
      </c>
      <c r="O728" s="63">
        <v>21393</v>
      </c>
      <c r="P728" s="63">
        <v>21223</v>
      </c>
      <c r="Q728" s="63">
        <v>21182</v>
      </c>
      <c r="R728" s="63">
        <v>21420</v>
      </c>
      <c r="S728" s="63">
        <v>21667</v>
      </c>
      <c r="T728" s="63">
        <v>21825</v>
      </c>
      <c r="U728" s="63">
        <v>22025</v>
      </c>
      <c r="V728" s="63">
        <v>22304</v>
      </c>
      <c r="W728" s="63">
        <v>22570</v>
      </c>
      <c r="X728" s="63">
        <v>20759</v>
      </c>
      <c r="Y728" s="63">
        <v>20414</v>
      </c>
      <c r="Z728" s="63">
        <v>20825</v>
      </c>
      <c r="AA728" s="63">
        <v>21717</v>
      </c>
      <c r="AB728" s="63">
        <v>22450</v>
      </c>
    </row>
    <row r="729" spans="1:28" x14ac:dyDescent="0.2">
      <c r="A729" s="62">
        <v>59</v>
      </c>
      <c r="B729" s="62" t="s">
        <v>373</v>
      </c>
      <c r="C729" s="62" t="s">
        <v>324</v>
      </c>
      <c r="D729" s="62" t="s">
        <v>325</v>
      </c>
      <c r="E729" s="63">
        <v>22256</v>
      </c>
      <c r="F729" s="63">
        <v>19434</v>
      </c>
      <c r="G729" s="63">
        <v>18909</v>
      </c>
      <c r="H729" s="63">
        <v>19248</v>
      </c>
      <c r="I729" s="63">
        <v>19276</v>
      </c>
      <c r="J729" s="63">
        <v>19468</v>
      </c>
      <c r="K729" s="63">
        <v>19650</v>
      </c>
      <c r="L729" s="63">
        <v>19817</v>
      </c>
      <c r="M729" s="63">
        <v>18585</v>
      </c>
      <c r="N729" s="63">
        <v>18120</v>
      </c>
      <c r="O729" s="63">
        <v>18123</v>
      </c>
      <c r="P729" s="63">
        <v>18215</v>
      </c>
      <c r="Q729" s="63">
        <v>17770</v>
      </c>
      <c r="R729" s="63">
        <v>17718</v>
      </c>
      <c r="S729" s="63">
        <v>18634</v>
      </c>
      <c r="T729" s="63">
        <v>19585</v>
      </c>
      <c r="U729" s="63">
        <v>19692</v>
      </c>
      <c r="V729" s="63">
        <v>20338</v>
      </c>
      <c r="W729" s="63">
        <v>20894</v>
      </c>
      <c r="X729" s="63">
        <v>20713</v>
      </c>
      <c r="Y729" s="63">
        <v>20737</v>
      </c>
      <c r="Z729" s="63">
        <v>21031</v>
      </c>
      <c r="AA729" s="63">
        <v>20940</v>
      </c>
      <c r="AB729" s="63">
        <v>20527</v>
      </c>
    </row>
    <row r="730" spans="1:28" x14ac:dyDescent="0.2">
      <c r="A730" s="62">
        <v>59</v>
      </c>
      <c r="B730" s="62" t="s">
        <v>373</v>
      </c>
      <c r="C730" s="62">
        <v>42</v>
      </c>
      <c r="D730" s="62" t="s">
        <v>326</v>
      </c>
      <c r="E730" s="63">
        <v>7645</v>
      </c>
      <c r="F730" s="63">
        <v>7079</v>
      </c>
      <c r="G730" s="63">
        <v>6629</v>
      </c>
      <c r="H730" s="63">
        <v>6963</v>
      </c>
      <c r="I730" s="63">
        <v>6987</v>
      </c>
      <c r="J730" s="63">
        <v>7109</v>
      </c>
      <c r="K730" s="63">
        <v>7597</v>
      </c>
      <c r="L730" s="63">
        <v>7554</v>
      </c>
      <c r="M730" s="63">
        <v>7442</v>
      </c>
      <c r="N730" s="63">
        <v>7528</v>
      </c>
      <c r="O730" s="63">
        <v>7497</v>
      </c>
      <c r="P730" s="63">
        <v>7586</v>
      </c>
      <c r="Q730" s="63">
        <v>7837</v>
      </c>
      <c r="R730" s="63">
        <v>8215</v>
      </c>
      <c r="S730" s="63">
        <v>8257</v>
      </c>
      <c r="T730" s="63">
        <v>7933</v>
      </c>
      <c r="U730" s="63">
        <v>7852</v>
      </c>
      <c r="V730" s="63">
        <v>7984</v>
      </c>
      <c r="W730" s="63">
        <v>8034</v>
      </c>
      <c r="X730" s="63">
        <v>7864</v>
      </c>
      <c r="Y730" s="63">
        <v>8126</v>
      </c>
      <c r="Z730" s="63">
        <v>8788</v>
      </c>
      <c r="AA730" s="63">
        <v>8919</v>
      </c>
      <c r="AB730" s="63">
        <v>8686</v>
      </c>
    </row>
    <row r="731" spans="1:28" x14ac:dyDescent="0.2">
      <c r="A731" s="62">
        <v>59</v>
      </c>
      <c r="B731" s="62" t="s">
        <v>373</v>
      </c>
      <c r="C731" s="62" t="s">
        <v>327</v>
      </c>
      <c r="D731" s="62" t="s">
        <v>328</v>
      </c>
      <c r="E731" s="63">
        <v>33963</v>
      </c>
      <c r="F731" s="63">
        <v>33588</v>
      </c>
      <c r="G731" s="63">
        <v>33188</v>
      </c>
      <c r="H731" s="63">
        <v>33146</v>
      </c>
      <c r="I731" s="63">
        <v>33872</v>
      </c>
      <c r="J731" s="63">
        <v>33904</v>
      </c>
      <c r="K731" s="63">
        <v>34844</v>
      </c>
      <c r="L731" s="63">
        <v>34268</v>
      </c>
      <c r="M731" s="63">
        <v>32092</v>
      </c>
      <c r="N731" s="63">
        <v>32227</v>
      </c>
      <c r="O731" s="63">
        <v>32401</v>
      </c>
      <c r="P731" s="63">
        <v>32639</v>
      </c>
      <c r="Q731" s="63">
        <v>32451</v>
      </c>
      <c r="R731" s="63">
        <v>32621</v>
      </c>
      <c r="S731" s="63">
        <v>33158</v>
      </c>
      <c r="T731" s="63">
        <v>33657</v>
      </c>
      <c r="U731" s="63">
        <v>33599</v>
      </c>
      <c r="V731" s="63">
        <v>33817</v>
      </c>
      <c r="W731" s="63">
        <v>33149</v>
      </c>
      <c r="X731" s="63">
        <v>32173</v>
      </c>
      <c r="Y731" s="63">
        <v>32910</v>
      </c>
      <c r="Z731" s="63">
        <v>32310</v>
      </c>
      <c r="AA731" s="63">
        <v>32446</v>
      </c>
      <c r="AB731" s="63">
        <v>32178</v>
      </c>
    </row>
    <row r="732" spans="1:28" x14ac:dyDescent="0.2">
      <c r="A732" s="62">
        <v>59</v>
      </c>
      <c r="B732" s="62" t="s">
        <v>373</v>
      </c>
      <c r="C732" s="62" t="s">
        <v>329</v>
      </c>
      <c r="D732" s="62" t="s">
        <v>330</v>
      </c>
      <c r="E732" s="63">
        <v>3351</v>
      </c>
      <c r="F732" s="63">
        <v>3180</v>
      </c>
      <c r="G732" s="63">
        <v>3242</v>
      </c>
      <c r="H732" s="63">
        <v>3285</v>
      </c>
      <c r="I732" s="63">
        <v>3228</v>
      </c>
      <c r="J732" s="63">
        <v>3362</v>
      </c>
      <c r="K732" s="63">
        <v>3403</v>
      </c>
      <c r="L732" s="63">
        <v>3451</v>
      </c>
      <c r="M732" s="63">
        <v>3215</v>
      </c>
      <c r="N732" s="63">
        <v>3293</v>
      </c>
      <c r="O732" s="63">
        <v>3417</v>
      </c>
      <c r="P732" s="63">
        <v>3485</v>
      </c>
      <c r="Q732" s="63">
        <v>3615</v>
      </c>
      <c r="R732" s="63">
        <v>3872</v>
      </c>
      <c r="S732" s="63">
        <v>4758</v>
      </c>
      <c r="T732" s="63">
        <v>5698</v>
      </c>
      <c r="U732" s="63">
        <v>6657</v>
      </c>
      <c r="V732" s="63">
        <v>7555</v>
      </c>
      <c r="W732" s="63">
        <v>8198</v>
      </c>
      <c r="X732" s="63">
        <v>8476</v>
      </c>
      <c r="Y732" s="63">
        <v>8507</v>
      </c>
      <c r="Z732" s="63">
        <v>8438</v>
      </c>
      <c r="AA732" s="63">
        <v>8112</v>
      </c>
      <c r="AB732" s="63">
        <v>7627</v>
      </c>
    </row>
    <row r="733" spans="1:28" x14ac:dyDescent="0.2">
      <c r="A733" s="62">
        <v>59</v>
      </c>
      <c r="B733" s="62" t="s">
        <v>373</v>
      </c>
      <c r="C733" s="62">
        <v>51</v>
      </c>
      <c r="D733" s="62" t="s">
        <v>331</v>
      </c>
      <c r="E733" s="63">
        <v>5325</v>
      </c>
      <c r="F733" s="63">
        <v>4976</v>
      </c>
      <c r="G733" s="63">
        <v>4863</v>
      </c>
      <c r="H733" s="63">
        <v>4804</v>
      </c>
      <c r="I733" s="63">
        <v>4920</v>
      </c>
      <c r="J733" s="63">
        <v>5192</v>
      </c>
      <c r="K733" s="63">
        <v>5419</v>
      </c>
      <c r="L733" s="63">
        <v>5086</v>
      </c>
      <c r="M733" s="63">
        <v>4923</v>
      </c>
      <c r="N733" s="63">
        <v>4535</v>
      </c>
      <c r="O733" s="63">
        <v>4502</v>
      </c>
      <c r="P733" s="63">
        <v>4632</v>
      </c>
      <c r="Q733" s="63">
        <v>4589</v>
      </c>
      <c r="R733" s="63">
        <v>4900</v>
      </c>
      <c r="S733" s="63">
        <v>5120</v>
      </c>
      <c r="T733" s="63">
        <v>5244</v>
      </c>
      <c r="U733" s="63">
        <v>5269</v>
      </c>
      <c r="V733" s="63">
        <v>5954</v>
      </c>
      <c r="W733" s="63">
        <v>6101</v>
      </c>
      <c r="X733" s="63">
        <v>5815</v>
      </c>
      <c r="Y733" s="63">
        <v>5359</v>
      </c>
      <c r="Z733" s="63">
        <v>5569</v>
      </c>
      <c r="AA733" s="63">
        <v>5468</v>
      </c>
      <c r="AB733" s="63">
        <v>5232</v>
      </c>
    </row>
    <row r="734" spans="1:28" x14ac:dyDescent="0.2">
      <c r="A734" s="62">
        <v>59</v>
      </c>
      <c r="B734" s="62" t="s">
        <v>373</v>
      </c>
      <c r="C734" s="62">
        <v>52</v>
      </c>
      <c r="D734" s="62" t="s">
        <v>332</v>
      </c>
      <c r="E734" s="63">
        <v>10734</v>
      </c>
      <c r="F734" s="63">
        <v>10799</v>
      </c>
      <c r="G734" s="63">
        <v>11295</v>
      </c>
      <c r="H734" s="63">
        <v>11146</v>
      </c>
      <c r="I734" s="63">
        <v>10996</v>
      </c>
      <c r="J734" s="63">
        <v>11047</v>
      </c>
      <c r="K734" s="63">
        <v>10716</v>
      </c>
      <c r="L734" s="63">
        <v>10183</v>
      </c>
      <c r="M734" s="63">
        <v>10444</v>
      </c>
      <c r="N734" s="63">
        <v>10164</v>
      </c>
      <c r="O734" s="63">
        <v>9818</v>
      </c>
      <c r="P734" s="63">
        <v>9836</v>
      </c>
      <c r="Q734" s="63">
        <v>9863</v>
      </c>
      <c r="R734" s="63">
        <v>9881</v>
      </c>
      <c r="S734" s="63">
        <v>9668</v>
      </c>
      <c r="T734" s="63">
        <v>9734</v>
      </c>
      <c r="U734" s="63">
        <v>9497</v>
      </c>
      <c r="V734" s="63">
        <v>9348</v>
      </c>
      <c r="W734" s="63">
        <v>8900</v>
      </c>
      <c r="X734" s="63">
        <v>8799</v>
      </c>
      <c r="Y734" s="63">
        <v>8764</v>
      </c>
      <c r="Z734" s="63">
        <v>8626</v>
      </c>
      <c r="AA734" s="63">
        <v>8647</v>
      </c>
      <c r="AB734" s="63">
        <v>8547</v>
      </c>
    </row>
    <row r="735" spans="1:28" x14ac:dyDescent="0.2">
      <c r="A735" s="62">
        <v>59</v>
      </c>
      <c r="B735" s="62" t="s">
        <v>373</v>
      </c>
      <c r="C735" s="62">
        <v>53</v>
      </c>
      <c r="D735" s="62" t="s">
        <v>333</v>
      </c>
      <c r="E735" s="63">
        <v>8965</v>
      </c>
      <c r="F735" s="63">
        <v>8894</v>
      </c>
      <c r="G735" s="63">
        <v>9310</v>
      </c>
      <c r="H735" s="63">
        <v>9846</v>
      </c>
      <c r="I735" s="63">
        <v>10219</v>
      </c>
      <c r="J735" s="63">
        <v>9925</v>
      </c>
      <c r="K735" s="63">
        <v>9989</v>
      </c>
      <c r="L735" s="63">
        <v>9354</v>
      </c>
      <c r="M735" s="63">
        <v>9299</v>
      </c>
      <c r="N735" s="63">
        <v>9223</v>
      </c>
      <c r="O735" s="63">
        <v>9195</v>
      </c>
      <c r="P735" s="63">
        <v>9269</v>
      </c>
      <c r="Q735" s="63">
        <v>9353</v>
      </c>
      <c r="R735" s="63">
        <v>9755</v>
      </c>
      <c r="S735" s="63">
        <v>10141</v>
      </c>
      <c r="T735" s="63">
        <v>10367</v>
      </c>
      <c r="U735" s="63">
        <v>10419</v>
      </c>
      <c r="V735" s="63">
        <v>10632</v>
      </c>
      <c r="W735" s="63">
        <v>10783</v>
      </c>
      <c r="X735" s="63">
        <v>10627</v>
      </c>
      <c r="Y735" s="63">
        <v>11173</v>
      </c>
      <c r="Z735" s="63">
        <v>11216</v>
      </c>
      <c r="AA735" s="63">
        <v>11658</v>
      </c>
      <c r="AB735" s="63">
        <v>11494</v>
      </c>
    </row>
    <row r="736" spans="1:28" x14ac:dyDescent="0.2">
      <c r="A736" s="62">
        <v>59</v>
      </c>
      <c r="B736" s="62" t="s">
        <v>373</v>
      </c>
      <c r="C736" s="62">
        <v>54</v>
      </c>
      <c r="D736" s="62" t="s">
        <v>334</v>
      </c>
      <c r="E736" s="63">
        <v>24862</v>
      </c>
      <c r="F736" s="63">
        <v>24209</v>
      </c>
      <c r="G736" s="63">
        <v>23529</v>
      </c>
      <c r="H736" s="63">
        <v>23900</v>
      </c>
      <c r="I736" s="63">
        <v>24838</v>
      </c>
      <c r="J736" s="63">
        <v>25376</v>
      </c>
      <c r="K736" s="63">
        <v>27115</v>
      </c>
      <c r="L736" s="63">
        <v>27976</v>
      </c>
      <c r="M736" s="63">
        <v>28311</v>
      </c>
      <c r="N736" s="63">
        <v>29184</v>
      </c>
      <c r="O736" s="63">
        <v>29850</v>
      </c>
      <c r="P736" s="63">
        <v>30054</v>
      </c>
      <c r="Q736" s="63">
        <v>30944</v>
      </c>
      <c r="R736" s="63">
        <v>31812</v>
      </c>
      <c r="S736" s="63">
        <v>32334</v>
      </c>
      <c r="T736" s="63">
        <v>32585</v>
      </c>
      <c r="U736" s="63">
        <v>33358</v>
      </c>
      <c r="V736" s="63">
        <v>35168</v>
      </c>
      <c r="W736" s="63">
        <v>36531</v>
      </c>
      <c r="X736" s="63">
        <v>36138</v>
      </c>
      <c r="Y736" s="63">
        <v>38129</v>
      </c>
      <c r="Z736" s="63">
        <v>40480</v>
      </c>
      <c r="AA736" s="63">
        <v>41471</v>
      </c>
      <c r="AB736" s="63">
        <v>41945</v>
      </c>
    </row>
    <row r="737" spans="1:28" x14ac:dyDescent="0.2">
      <c r="A737" s="62">
        <v>59</v>
      </c>
      <c r="B737" s="62" t="s">
        <v>373</v>
      </c>
      <c r="C737" s="62">
        <v>55</v>
      </c>
      <c r="D737" s="62" t="s">
        <v>335</v>
      </c>
      <c r="E737" s="63">
        <v>1269</v>
      </c>
      <c r="F737" s="63">
        <v>1400</v>
      </c>
      <c r="G737" s="63">
        <v>1585</v>
      </c>
      <c r="H737" s="63">
        <v>1751</v>
      </c>
      <c r="I737" s="63">
        <v>2352</v>
      </c>
      <c r="J737" s="63">
        <v>2528</v>
      </c>
      <c r="K737" s="62"/>
      <c r="L737" s="63">
        <v>2718</v>
      </c>
      <c r="M737" s="63">
        <v>2700</v>
      </c>
      <c r="N737" s="63">
        <v>2584</v>
      </c>
      <c r="O737" s="63">
        <v>2681</v>
      </c>
      <c r="P737" s="63">
        <v>2495</v>
      </c>
      <c r="Q737" s="63">
        <v>2384</v>
      </c>
      <c r="R737" s="63">
        <v>2289</v>
      </c>
      <c r="S737" s="63">
        <v>2418</v>
      </c>
      <c r="T737" s="63">
        <v>2349</v>
      </c>
      <c r="U737" s="63">
        <v>2461</v>
      </c>
      <c r="V737" s="63">
        <v>2716</v>
      </c>
      <c r="W737" s="63">
        <v>2629</v>
      </c>
      <c r="X737" s="63">
        <v>2605</v>
      </c>
      <c r="Y737" s="63">
        <v>2949</v>
      </c>
      <c r="Z737" s="63">
        <v>3056</v>
      </c>
      <c r="AA737" s="63">
        <v>3001</v>
      </c>
      <c r="AB737" s="63">
        <v>3025</v>
      </c>
    </row>
    <row r="738" spans="1:28" x14ac:dyDescent="0.2">
      <c r="A738" s="62">
        <v>59</v>
      </c>
      <c r="B738" s="62" t="s">
        <v>373</v>
      </c>
      <c r="C738" s="62">
        <v>56</v>
      </c>
      <c r="D738" s="62" t="s">
        <v>336</v>
      </c>
      <c r="E738" s="63">
        <v>19324</v>
      </c>
      <c r="F738" s="63">
        <v>19254</v>
      </c>
      <c r="G738" s="63">
        <v>18896</v>
      </c>
      <c r="H738" s="63">
        <v>18468</v>
      </c>
      <c r="I738" s="63">
        <v>17881</v>
      </c>
      <c r="J738" s="63">
        <v>16854</v>
      </c>
      <c r="K738" s="63">
        <v>17040</v>
      </c>
      <c r="L738" s="63">
        <v>16217</v>
      </c>
      <c r="M738" s="63">
        <v>15133</v>
      </c>
      <c r="N738" s="63">
        <v>14460</v>
      </c>
      <c r="O738" s="63">
        <v>14612</v>
      </c>
      <c r="P738" s="63">
        <v>15310</v>
      </c>
      <c r="Q738" s="63">
        <v>15373</v>
      </c>
      <c r="R738" s="63">
        <v>15896</v>
      </c>
      <c r="S738" s="63">
        <v>16020</v>
      </c>
      <c r="T738" s="63">
        <v>16931</v>
      </c>
      <c r="U738" s="63">
        <v>17022</v>
      </c>
      <c r="V738" s="63">
        <v>18392</v>
      </c>
      <c r="W738" s="63">
        <v>18846</v>
      </c>
      <c r="X738" s="63">
        <v>17892</v>
      </c>
      <c r="Y738" s="63">
        <v>18499</v>
      </c>
      <c r="Z738" s="63">
        <v>18833</v>
      </c>
      <c r="AA738" s="63">
        <v>18165</v>
      </c>
      <c r="AB738" s="63">
        <v>17029</v>
      </c>
    </row>
    <row r="739" spans="1:28" x14ac:dyDescent="0.2">
      <c r="A739" s="62">
        <v>59</v>
      </c>
      <c r="B739" s="62" t="s">
        <v>373</v>
      </c>
      <c r="C739" s="62">
        <v>61</v>
      </c>
      <c r="D739" s="62" t="s">
        <v>337</v>
      </c>
      <c r="E739" s="63">
        <v>2738</v>
      </c>
      <c r="F739" s="63">
        <v>2924</v>
      </c>
      <c r="G739" s="63">
        <v>3014</v>
      </c>
      <c r="H739" s="63">
        <v>3223</v>
      </c>
      <c r="I739" s="63">
        <v>3535</v>
      </c>
      <c r="J739" s="63">
        <v>3621</v>
      </c>
      <c r="K739" s="63">
        <v>3911</v>
      </c>
      <c r="L739" s="63">
        <v>4009</v>
      </c>
      <c r="M739" s="63">
        <v>4106</v>
      </c>
      <c r="N739" s="63">
        <v>4110</v>
      </c>
      <c r="O739" s="63">
        <v>4244</v>
      </c>
      <c r="P739" s="63">
        <v>4441</v>
      </c>
      <c r="Q739" s="63">
        <v>4629</v>
      </c>
      <c r="R739" s="63">
        <v>4757</v>
      </c>
      <c r="S739" s="63">
        <v>5026</v>
      </c>
      <c r="T739" s="63">
        <v>5070</v>
      </c>
      <c r="U739" s="63">
        <v>5077</v>
      </c>
      <c r="V739" s="63">
        <v>5322</v>
      </c>
      <c r="W739" s="63">
        <v>5820</v>
      </c>
      <c r="X739" s="63">
        <v>5336</v>
      </c>
      <c r="Y739" s="63">
        <v>5669</v>
      </c>
      <c r="Z739" s="63">
        <v>5931</v>
      </c>
      <c r="AA739" s="63">
        <v>6267</v>
      </c>
      <c r="AB739" s="63">
        <v>6323</v>
      </c>
    </row>
    <row r="740" spans="1:28" x14ac:dyDescent="0.2">
      <c r="A740" s="62">
        <v>59</v>
      </c>
      <c r="B740" s="62" t="s">
        <v>373</v>
      </c>
      <c r="C740" s="62">
        <v>62</v>
      </c>
      <c r="D740" s="62" t="s">
        <v>338</v>
      </c>
      <c r="E740" s="63">
        <v>20459</v>
      </c>
      <c r="F740" s="63">
        <v>20851</v>
      </c>
      <c r="G740" s="63">
        <v>21200</v>
      </c>
      <c r="H740" s="63">
        <v>21826</v>
      </c>
      <c r="I740" s="63">
        <v>22177</v>
      </c>
      <c r="J740" s="63">
        <v>22718</v>
      </c>
      <c r="K740" s="63">
        <v>23364</v>
      </c>
      <c r="L740" s="63">
        <v>24068</v>
      </c>
      <c r="M740" s="63">
        <v>24597</v>
      </c>
      <c r="N740" s="63">
        <v>25550</v>
      </c>
      <c r="O740" s="63">
        <v>27379</v>
      </c>
      <c r="P740" s="63">
        <v>32007</v>
      </c>
      <c r="Q740" s="63">
        <v>33179</v>
      </c>
      <c r="R740" s="63">
        <v>34780</v>
      </c>
      <c r="S740" s="63">
        <v>36025</v>
      </c>
      <c r="T740" s="63">
        <v>36751</v>
      </c>
      <c r="U740" s="63">
        <v>33988</v>
      </c>
      <c r="V740" s="63">
        <v>34768</v>
      </c>
      <c r="W740" s="63">
        <v>35469</v>
      </c>
      <c r="X740" s="63">
        <v>34209</v>
      </c>
      <c r="Y740" s="63">
        <v>34142</v>
      </c>
      <c r="Z740" s="63">
        <v>33862</v>
      </c>
      <c r="AA740" s="63">
        <v>35347</v>
      </c>
      <c r="AB740" s="63">
        <v>36892</v>
      </c>
    </row>
    <row r="741" spans="1:28" x14ac:dyDescent="0.2">
      <c r="A741" s="62">
        <v>59</v>
      </c>
      <c r="B741" s="62" t="s">
        <v>373</v>
      </c>
      <c r="C741" s="62">
        <v>71</v>
      </c>
      <c r="D741" s="62" t="s">
        <v>339</v>
      </c>
      <c r="E741" s="63">
        <v>5128</v>
      </c>
      <c r="F741" s="63">
        <v>5248</v>
      </c>
      <c r="G741" s="63">
        <v>5293</v>
      </c>
      <c r="H741" s="63">
        <v>5490</v>
      </c>
      <c r="I741" s="63">
        <v>5469</v>
      </c>
      <c r="J741" s="63">
        <v>5517</v>
      </c>
      <c r="K741" s="63">
        <v>5697</v>
      </c>
      <c r="L741" s="63">
        <v>5547</v>
      </c>
      <c r="M741" s="63">
        <v>5434</v>
      </c>
      <c r="N741" s="63">
        <v>5465</v>
      </c>
      <c r="O741" s="63">
        <v>5428</v>
      </c>
      <c r="P741" s="63">
        <v>5484</v>
      </c>
      <c r="Q741" s="63">
        <v>5824</v>
      </c>
      <c r="R741" s="63">
        <v>6089</v>
      </c>
      <c r="S741" s="63">
        <v>6254</v>
      </c>
      <c r="T741" s="63">
        <v>6358</v>
      </c>
      <c r="U741" s="63">
        <v>6777</v>
      </c>
      <c r="V741" s="63">
        <v>7143</v>
      </c>
      <c r="W741" s="63">
        <v>7393</v>
      </c>
      <c r="X741" s="63">
        <v>5839</v>
      </c>
      <c r="Y741" s="63">
        <v>6682</v>
      </c>
      <c r="Z741" s="63">
        <v>7665</v>
      </c>
      <c r="AA741" s="63">
        <v>8198</v>
      </c>
      <c r="AB741" s="63">
        <v>8483</v>
      </c>
    </row>
    <row r="742" spans="1:28" x14ac:dyDescent="0.2">
      <c r="A742" s="62">
        <v>59</v>
      </c>
      <c r="B742" s="62" t="s">
        <v>373</v>
      </c>
      <c r="C742" s="62">
        <v>72</v>
      </c>
      <c r="D742" s="62" t="s">
        <v>340</v>
      </c>
      <c r="E742" s="63">
        <v>20301</v>
      </c>
      <c r="F742" s="63">
        <v>20044</v>
      </c>
      <c r="G742" s="63">
        <v>19810</v>
      </c>
      <c r="H742" s="63">
        <v>19894</v>
      </c>
      <c r="I742" s="63">
        <v>20243</v>
      </c>
      <c r="J742" s="63">
        <v>20798</v>
      </c>
      <c r="K742" s="63">
        <v>21226</v>
      </c>
      <c r="L742" s="63">
        <v>21052</v>
      </c>
      <c r="M742" s="63">
        <v>20106</v>
      </c>
      <c r="N742" s="63">
        <v>19872</v>
      </c>
      <c r="O742" s="63">
        <v>20374</v>
      </c>
      <c r="P742" s="63">
        <v>21066</v>
      </c>
      <c r="Q742" s="63">
        <v>22064</v>
      </c>
      <c r="R742" s="63">
        <v>23003</v>
      </c>
      <c r="S742" s="63">
        <v>23673</v>
      </c>
      <c r="T742" s="63">
        <v>24282</v>
      </c>
      <c r="U742" s="63">
        <v>24559</v>
      </c>
      <c r="V742" s="63">
        <v>25289</v>
      </c>
      <c r="W742" s="63">
        <v>25441</v>
      </c>
      <c r="X742" s="63">
        <v>20547</v>
      </c>
      <c r="Y742" s="63">
        <v>22455</v>
      </c>
      <c r="Z742" s="63">
        <v>24546</v>
      </c>
      <c r="AA742" s="63">
        <v>25790</v>
      </c>
      <c r="AB742" s="63">
        <v>25678</v>
      </c>
    </row>
    <row r="743" spans="1:28" x14ac:dyDescent="0.2">
      <c r="A743" s="62">
        <v>59</v>
      </c>
      <c r="B743" s="62" t="s">
        <v>373</v>
      </c>
      <c r="C743" s="62">
        <v>81</v>
      </c>
      <c r="D743" s="62" t="s">
        <v>341</v>
      </c>
      <c r="E743" s="63">
        <v>11837</v>
      </c>
      <c r="F743" s="63">
        <v>11711</v>
      </c>
      <c r="G743" s="63">
        <v>11922</v>
      </c>
      <c r="H743" s="63">
        <v>12041</v>
      </c>
      <c r="I743" s="63">
        <v>11833</v>
      </c>
      <c r="J743" s="63">
        <v>11839</v>
      </c>
      <c r="K743" s="63">
        <v>12141</v>
      </c>
      <c r="L743" s="63">
        <v>12091</v>
      </c>
      <c r="M743" s="63">
        <v>11970</v>
      </c>
      <c r="N743" s="63">
        <v>12172</v>
      </c>
      <c r="O743" s="63">
        <v>12492</v>
      </c>
      <c r="P743" s="63">
        <v>12748</v>
      </c>
      <c r="Q743" s="63">
        <v>12705</v>
      </c>
      <c r="R743" s="63">
        <v>13210</v>
      </c>
      <c r="S743" s="63">
        <v>13600</v>
      </c>
      <c r="T743" s="63">
        <v>13857</v>
      </c>
      <c r="U743" s="63">
        <v>14294</v>
      </c>
      <c r="V743" s="63">
        <v>12824</v>
      </c>
      <c r="W743" s="63">
        <v>12757</v>
      </c>
      <c r="X743" s="63">
        <v>11702</v>
      </c>
      <c r="Y743" s="63">
        <v>12269</v>
      </c>
      <c r="Z743" s="63">
        <v>12681</v>
      </c>
      <c r="AA743" s="63">
        <v>13379</v>
      </c>
      <c r="AB743" s="63">
        <v>14125</v>
      </c>
    </row>
    <row r="744" spans="1:28" x14ac:dyDescent="0.2">
      <c r="A744" s="62">
        <v>59</v>
      </c>
      <c r="B744" s="62" t="s">
        <v>373</v>
      </c>
      <c r="C744" s="62">
        <v>99</v>
      </c>
      <c r="D744" s="62" t="s">
        <v>342</v>
      </c>
      <c r="E744" s="63">
        <v>7</v>
      </c>
      <c r="F744" s="63">
        <v>8</v>
      </c>
      <c r="G744" s="62"/>
      <c r="H744" s="63">
        <v>12</v>
      </c>
      <c r="I744" s="63">
        <v>11</v>
      </c>
      <c r="J744" s="63">
        <v>16</v>
      </c>
      <c r="K744" s="62"/>
      <c r="L744" s="63">
        <v>20</v>
      </c>
      <c r="M744" s="63">
        <v>12</v>
      </c>
      <c r="N744" s="63">
        <v>10</v>
      </c>
      <c r="O744" s="63">
        <v>9</v>
      </c>
      <c r="P744" s="63">
        <v>11</v>
      </c>
      <c r="Q744" s="63">
        <v>28</v>
      </c>
      <c r="R744" s="63">
        <v>35</v>
      </c>
      <c r="S744" s="63">
        <v>36</v>
      </c>
      <c r="T744" s="63">
        <v>31</v>
      </c>
      <c r="U744" s="63">
        <v>1</v>
      </c>
      <c r="V744" s="63">
        <v>11</v>
      </c>
      <c r="W744" s="63">
        <v>26</v>
      </c>
      <c r="X744" s="63">
        <v>33</v>
      </c>
      <c r="Y744" s="63">
        <v>49</v>
      </c>
      <c r="Z744" s="63">
        <v>59</v>
      </c>
      <c r="AA744" s="63">
        <v>91</v>
      </c>
      <c r="AB744" s="63">
        <v>49</v>
      </c>
    </row>
    <row r="745" spans="1:28" x14ac:dyDescent="0.2">
      <c r="A745" s="62">
        <v>61</v>
      </c>
      <c r="B745" s="62" t="s">
        <v>374</v>
      </c>
      <c r="C745" s="62">
        <v>1</v>
      </c>
      <c r="D745" s="62" t="s">
        <v>316</v>
      </c>
      <c r="E745" s="63">
        <v>20</v>
      </c>
      <c r="F745" s="63">
        <v>20</v>
      </c>
      <c r="G745" s="63">
        <v>19</v>
      </c>
      <c r="H745" s="63">
        <v>21</v>
      </c>
      <c r="I745" s="63">
        <v>19</v>
      </c>
      <c r="J745" s="63">
        <v>22</v>
      </c>
      <c r="K745" s="63">
        <v>22</v>
      </c>
      <c r="L745" s="63">
        <v>25</v>
      </c>
      <c r="M745" s="63">
        <v>27</v>
      </c>
      <c r="N745" s="63">
        <v>29</v>
      </c>
      <c r="O745" s="63">
        <v>24</v>
      </c>
      <c r="P745" s="63">
        <v>19</v>
      </c>
      <c r="Q745" s="63">
        <v>21</v>
      </c>
      <c r="R745" s="63">
        <v>21</v>
      </c>
      <c r="S745" s="63">
        <v>21</v>
      </c>
      <c r="T745" s="63">
        <v>20</v>
      </c>
      <c r="U745" s="63">
        <v>21</v>
      </c>
      <c r="V745" s="63">
        <v>21</v>
      </c>
      <c r="W745" s="63">
        <v>17</v>
      </c>
      <c r="X745" s="63">
        <v>17</v>
      </c>
      <c r="Y745" s="63">
        <v>17</v>
      </c>
      <c r="Z745" s="63">
        <v>16</v>
      </c>
      <c r="AA745" s="63">
        <v>19</v>
      </c>
      <c r="AB745" s="63">
        <v>19</v>
      </c>
    </row>
    <row r="746" spans="1:28" x14ac:dyDescent="0.2">
      <c r="A746" s="62">
        <v>61</v>
      </c>
      <c r="B746" s="62" t="s">
        <v>374</v>
      </c>
      <c r="C746" s="62">
        <v>10</v>
      </c>
      <c r="D746" s="62" t="s">
        <v>317</v>
      </c>
      <c r="E746" s="63">
        <v>597</v>
      </c>
      <c r="F746" s="63">
        <v>557</v>
      </c>
      <c r="G746" s="63">
        <v>532</v>
      </c>
      <c r="H746" s="63">
        <v>557</v>
      </c>
      <c r="I746" s="63">
        <v>547</v>
      </c>
      <c r="J746" s="63">
        <v>526</v>
      </c>
      <c r="K746" s="63">
        <v>553</v>
      </c>
      <c r="L746" s="63">
        <v>575</v>
      </c>
      <c r="M746" s="63">
        <v>580</v>
      </c>
      <c r="N746" s="63">
        <v>575</v>
      </c>
      <c r="O746" s="63">
        <v>628</v>
      </c>
      <c r="P746" s="63">
        <v>620</v>
      </c>
      <c r="Q746" s="63">
        <v>595</v>
      </c>
      <c r="R746" s="63">
        <v>559</v>
      </c>
      <c r="S746" s="63">
        <v>561</v>
      </c>
      <c r="T746" s="63">
        <v>564</v>
      </c>
      <c r="U746" s="63">
        <v>623</v>
      </c>
      <c r="V746" s="63">
        <v>645</v>
      </c>
      <c r="W746" s="63">
        <v>641</v>
      </c>
      <c r="X746" s="63">
        <v>644</v>
      </c>
      <c r="Y746" s="63">
        <v>631</v>
      </c>
      <c r="Z746" s="63">
        <v>604</v>
      </c>
      <c r="AA746" s="63">
        <v>654</v>
      </c>
      <c r="AB746" s="63">
        <v>689</v>
      </c>
    </row>
    <row r="747" spans="1:28" x14ac:dyDescent="0.2">
      <c r="A747" s="62">
        <v>61</v>
      </c>
      <c r="B747" s="62" t="s">
        <v>374</v>
      </c>
      <c r="C747" s="62">
        <v>11</v>
      </c>
      <c r="D747" s="62" t="s">
        <v>318</v>
      </c>
      <c r="E747" s="63">
        <v>21</v>
      </c>
      <c r="F747" s="62"/>
      <c r="G747" s="62"/>
      <c r="H747" s="63">
        <v>6</v>
      </c>
      <c r="I747" s="63">
        <v>24</v>
      </c>
      <c r="J747" s="63">
        <v>23</v>
      </c>
      <c r="K747" s="63">
        <v>27</v>
      </c>
      <c r="L747" s="63">
        <v>26</v>
      </c>
      <c r="M747" s="63">
        <v>30</v>
      </c>
      <c r="N747" s="63">
        <v>42</v>
      </c>
      <c r="O747" s="63">
        <v>43</v>
      </c>
      <c r="P747" s="63">
        <v>48</v>
      </c>
      <c r="Q747" s="63">
        <v>33</v>
      </c>
      <c r="R747" s="63">
        <v>28</v>
      </c>
      <c r="S747" s="63">
        <v>34</v>
      </c>
      <c r="T747" s="63">
        <v>47</v>
      </c>
      <c r="U747" s="63">
        <v>60</v>
      </c>
      <c r="V747" s="63">
        <v>67</v>
      </c>
      <c r="W747" s="63">
        <v>67</v>
      </c>
      <c r="X747" s="63">
        <v>59</v>
      </c>
      <c r="Y747" s="63">
        <v>53</v>
      </c>
      <c r="Z747" s="63">
        <v>57</v>
      </c>
      <c r="AA747" s="63">
        <v>75</v>
      </c>
      <c r="AB747" s="63">
        <v>78</v>
      </c>
    </row>
    <row r="748" spans="1:28" x14ac:dyDescent="0.2">
      <c r="A748" s="62">
        <v>61</v>
      </c>
      <c r="B748" s="62" t="s">
        <v>374</v>
      </c>
      <c r="C748" s="62">
        <v>2</v>
      </c>
      <c r="D748" s="64" t="s">
        <v>319</v>
      </c>
      <c r="E748" s="65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3">
        <v>8</v>
      </c>
      <c r="AA748" s="63">
        <v>7</v>
      </c>
      <c r="AB748" s="63">
        <v>8</v>
      </c>
    </row>
    <row r="749" spans="1:28" x14ac:dyDescent="0.2">
      <c r="A749" s="62">
        <v>61</v>
      </c>
      <c r="B749" s="62" t="s">
        <v>374</v>
      </c>
      <c r="C749" s="62">
        <v>21</v>
      </c>
      <c r="D749" s="64" t="s">
        <v>320</v>
      </c>
      <c r="E749" s="65"/>
      <c r="F749" s="65"/>
      <c r="G749" s="65"/>
      <c r="H749" s="62"/>
      <c r="I749" s="62"/>
      <c r="J749" s="62"/>
      <c r="K749" s="62"/>
      <c r="L749" s="62"/>
      <c r="M749" s="63">
        <v>10</v>
      </c>
      <c r="N749" s="63">
        <v>10</v>
      </c>
      <c r="O749" s="63">
        <v>6</v>
      </c>
      <c r="P749" s="63">
        <v>21</v>
      </c>
      <c r="Q749" s="63">
        <v>25</v>
      </c>
      <c r="R749" s="62"/>
      <c r="S749" s="63">
        <v>9</v>
      </c>
      <c r="T749" s="63">
        <v>5</v>
      </c>
      <c r="U749" s="63">
        <v>0</v>
      </c>
      <c r="V749" s="62"/>
      <c r="W749" s="62"/>
      <c r="X749" s="62"/>
      <c r="Y749" s="63">
        <v>4</v>
      </c>
      <c r="Z749" s="63">
        <v>7</v>
      </c>
      <c r="AA749" s="63">
        <v>7</v>
      </c>
      <c r="AB749" s="63">
        <v>7</v>
      </c>
    </row>
    <row r="750" spans="1:28" x14ac:dyDescent="0.2">
      <c r="A750" s="62">
        <v>61</v>
      </c>
      <c r="B750" s="62" t="s">
        <v>374</v>
      </c>
      <c r="C750" s="62">
        <v>22</v>
      </c>
      <c r="D750" s="62" t="s">
        <v>321</v>
      </c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</row>
    <row r="751" spans="1:28" x14ac:dyDescent="0.2">
      <c r="A751" s="62">
        <v>61</v>
      </c>
      <c r="B751" s="62" t="s">
        <v>374</v>
      </c>
      <c r="C751" s="62">
        <v>23</v>
      </c>
      <c r="D751" s="62" t="s">
        <v>322</v>
      </c>
      <c r="E751" s="63">
        <v>32</v>
      </c>
      <c r="F751" s="63">
        <v>19</v>
      </c>
      <c r="G751" s="63">
        <v>25</v>
      </c>
      <c r="H751" s="63">
        <v>31</v>
      </c>
      <c r="I751" s="63">
        <v>31</v>
      </c>
      <c r="J751" s="63">
        <v>16</v>
      </c>
      <c r="K751" s="63">
        <v>19</v>
      </c>
      <c r="L751" s="63">
        <v>32</v>
      </c>
      <c r="M751" s="63">
        <v>31</v>
      </c>
      <c r="N751" s="63">
        <v>19</v>
      </c>
      <c r="O751" s="63">
        <v>58</v>
      </c>
      <c r="P751" s="63">
        <v>51</v>
      </c>
      <c r="Q751" s="63">
        <v>47</v>
      </c>
      <c r="R751" s="63">
        <v>23</v>
      </c>
      <c r="S751" s="63">
        <v>18</v>
      </c>
      <c r="T751" s="63">
        <v>19</v>
      </c>
      <c r="U751" s="63">
        <v>19</v>
      </c>
      <c r="V751" s="63">
        <v>19</v>
      </c>
      <c r="W751" s="63">
        <v>19</v>
      </c>
      <c r="X751" s="63">
        <v>22</v>
      </c>
      <c r="Y751" s="63">
        <v>21</v>
      </c>
      <c r="Z751" s="63">
        <v>21</v>
      </c>
      <c r="AA751" s="63">
        <v>17</v>
      </c>
      <c r="AB751" s="63">
        <v>25</v>
      </c>
    </row>
    <row r="752" spans="1:28" x14ac:dyDescent="0.2">
      <c r="A752" s="62">
        <v>61</v>
      </c>
      <c r="B752" s="62" t="s">
        <v>374</v>
      </c>
      <c r="C752" s="62">
        <v>3</v>
      </c>
      <c r="D752" s="62" t="s">
        <v>323</v>
      </c>
      <c r="E752" s="63">
        <v>229</v>
      </c>
      <c r="F752" s="63">
        <v>235</v>
      </c>
      <c r="G752" s="63">
        <v>227</v>
      </c>
      <c r="H752" s="63">
        <v>230</v>
      </c>
      <c r="I752" s="63">
        <v>237</v>
      </c>
      <c r="J752" s="63">
        <v>236</v>
      </c>
      <c r="K752" s="63">
        <v>240</v>
      </c>
      <c r="L752" s="63">
        <v>237</v>
      </c>
      <c r="M752" s="63">
        <v>243</v>
      </c>
      <c r="N752" s="63">
        <v>252</v>
      </c>
      <c r="O752" s="63">
        <v>249</v>
      </c>
      <c r="P752" s="63">
        <v>248</v>
      </c>
      <c r="Q752" s="63">
        <v>222</v>
      </c>
      <c r="R752" s="63">
        <v>205</v>
      </c>
      <c r="S752" s="63">
        <v>205</v>
      </c>
      <c r="T752" s="63">
        <v>216</v>
      </c>
      <c r="U752" s="63">
        <v>217</v>
      </c>
      <c r="V752" s="63">
        <v>225</v>
      </c>
      <c r="W752" s="63">
        <v>236</v>
      </c>
      <c r="X752" s="63">
        <v>223</v>
      </c>
      <c r="Y752" s="63">
        <v>216</v>
      </c>
      <c r="Z752" s="63">
        <v>205</v>
      </c>
      <c r="AA752" s="63">
        <v>203</v>
      </c>
      <c r="AB752" s="63">
        <v>217</v>
      </c>
    </row>
    <row r="753" spans="1:28" x14ac:dyDescent="0.2">
      <c r="A753" s="62">
        <v>61</v>
      </c>
      <c r="B753" s="62" t="s">
        <v>374</v>
      </c>
      <c r="C753" s="62" t="s">
        <v>324</v>
      </c>
      <c r="D753" s="62" t="s">
        <v>325</v>
      </c>
      <c r="E753" s="63">
        <v>27</v>
      </c>
      <c r="F753" s="63">
        <v>25</v>
      </c>
      <c r="G753" s="63">
        <v>23</v>
      </c>
      <c r="H753" s="63">
        <v>22</v>
      </c>
      <c r="I753" s="63">
        <v>9</v>
      </c>
      <c r="J753" s="63">
        <v>10</v>
      </c>
      <c r="K753" s="62"/>
      <c r="L753" s="63">
        <v>4</v>
      </c>
      <c r="M753" s="63">
        <v>4</v>
      </c>
      <c r="N753" s="63">
        <v>4</v>
      </c>
      <c r="O753" s="63">
        <v>3</v>
      </c>
      <c r="P753" s="62"/>
      <c r="Q753" s="62"/>
      <c r="R753" s="62"/>
      <c r="S753" s="62"/>
      <c r="T753" s="62"/>
      <c r="U753" s="62"/>
      <c r="V753" s="63">
        <v>5</v>
      </c>
      <c r="W753" s="63">
        <v>7</v>
      </c>
      <c r="X753" s="63">
        <v>4</v>
      </c>
      <c r="Y753" s="62"/>
      <c r="Z753" s="62"/>
      <c r="AA753" s="62"/>
      <c r="AB753" s="62"/>
    </row>
    <row r="754" spans="1:28" x14ac:dyDescent="0.2">
      <c r="A754" s="62">
        <v>61</v>
      </c>
      <c r="B754" s="62" t="s">
        <v>374</v>
      </c>
      <c r="C754" s="62">
        <v>42</v>
      </c>
      <c r="D754" s="62" t="s">
        <v>326</v>
      </c>
      <c r="E754" s="63">
        <v>31</v>
      </c>
      <c r="F754" s="63">
        <v>26</v>
      </c>
      <c r="G754" s="63">
        <v>23</v>
      </c>
      <c r="H754" s="63">
        <v>20</v>
      </c>
      <c r="I754" s="63">
        <v>25</v>
      </c>
      <c r="J754" s="63">
        <v>18</v>
      </c>
      <c r="K754" s="63">
        <v>19</v>
      </c>
      <c r="L754" s="63">
        <v>17</v>
      </c>
      <c r="M754" s="63">
        <v>14</v>
      </c>
      <c r="N754" s="63">
        <v>16</v>
      </c>
      <c r="O754" s="63">
        <v>20</v>
      </c>
      <c r="P754" s="63">
        <v>17</v>
      </c>
      <c r="Q754" s="63">
        <v>18</v>
      </c>
      <c r="R754" s="63">
        <v>22</v>
      </c>
      <c r="S754" s="63">
        <v>25</v>
      </c>
      <c r="T754" s="63">
        <v>27</v>
      </c>
      <c r="U754" s="63">
        <v>36</v>
      </c>
      <c r="V754" s="63">
        <v>29</v>
      </c>
      <c r="W754" s="63">
        <v>7</v>
      </c>
      <c r="X754" s="63">
        <v>9</v>
      </c>
      <c r="Y754" s="62"/>
      <c r="Z754" s="62"/>
      <c r="AA754" s="62"/>
      <c r="AB754" s="62"/>
    </row>
    <row r="755" spans="1:28" x14ac:dyDescent="0.2">
      <c r="A755" s="62">
        <v>61</v>
      </c>
      <c r="B755" s="62" t="s">
        <v>374</v>
      </c>
      <c r="C755" s="62" t="s">
        <v>327</v>
      </c>
      <c r="D755" s="62" t="s">
        <v>328</v>
      </c>
      <c r="E755" s="63">
        <v>60</v>
      </c>
      <c r="F755" s="63">
        <v>52</v>
      </c>
      <c r="G755" s="63">
        <v>55</v>
      </c>
      <c r="H755" s="63">
        <v>61</v>
      </c>
      <c r="I755" s="63">
        <v>57</v>
      </c>
      <c r="J755" s="63">
        <v>55</v>
      </c>
      <c r="K755" s="63">
        <v>43</v>
      </c>
      <c r="L755" s="63">
        <v>57</v>
      </c>
      <c r="M755" s="63">
        <v>35</v>
      </c>
      <c r="N755" s="63">
        <v>46</v>
      </c>
      <c r="O755" s="63">
        <v>44</v>
      </c>
      <c r="P755" s="63">
        <v>50</v>
      </c>
      <c r="Q755" s="63">
        <v>51</v>
      </c>
      <c r="R755" s="63">
        <v>58</v>
      </c>
      <c r="S755" s="63">
        <v>53</v>
      </c>
      <c r="T755" s="63">
        <v>60</v>
      </c>
      <c r="U755" s="63">
        <v>74</v>
      </c>
      <c r="V755" s="63">
        <v>77</v>
      </c>
      <c r="W755" s="63">
        <v>100</v>
      </c>
      <c r="X755" s="63">
        <v>110</v>
      </c>
      <c r="Y755" s="63">
        <v>117</v>
      </c>
      <c r="Z755" s="63">
        <v>110</v>
      </c>
      <c r="AA755" s="63">
        <v>103</v>
      </c>
      <c r="AB755" s="63">
        <v>106</v>
      </c>
    </row>
    <row r="756" spans="1:28" x14ac:dyDescent="0.2">
      <c r="A756" s="62">
        <v>61</v>
      </c>
      <c r="B756" s="62" t="s">
        <v>374</v>
      </c>
      <c r="C756" s="62" t="s">
        <v>329</v>
      </c>
      <c r="D756" s="62" t="s">
        <v>330</v>
      </c>
      <c r="E756" s="63">
        <v>42</v>
      </c>
      <c r="F756" s="63">
        <v>32</v>
      </c>
      <c r="G756" s="62"/>
      <c r="H756" s="63">
        <v>21</v>
      </c>
      <c r="I756" s="63">
        <v>25</v>
      </c>
      <c r="J756" s="63">
        <v>27</v>
      </c>
      <c r="K756" s="63">
        <v>29</v>
      </c>
      <c r="L756" s="63">
        <v>28</v>
      </c>
      <c r="M756" s="63">
        <v>28</v>
      </c>
      <c r="N756" s="63">
        <v>25</v>
      </c>
      <c r="O756" s="63">
        <v>31</v>
      </c>
      <c r="P756" s="63">
        <v>25</v>
      </c>
      <c r="Q756" s="63">
        <v>21</v>
      </c>
      <c r="R756" s="63">
        <v>25</v>
      </c>
      <c r="S756" s="63">
        <v>26</v>
      </c>
      <c r="T756" s="63">
        <v>22</v>
      </c>
      <c r="U756" s="63">
        <v>20</v>
      </c>
      <c r="V756" s="63">
        <v>24</v>
      </c>
      <c r="W756" s="63">
        <v>20</v>
      </c>
      <c r="X756" s="63">
        <v>16</v>
      </c>
      <c r="Y756" s="63">
        <v>16</v>
      </c>
      <c r="Z756" s="63">
        <v>19</v>
      </c>
      <c r="AA756" s="63">
        <v>52</v>
      </c>
      <c r="AB756" s="63">
        <v>56</v>
      </c>
    </row>
    <row r="757" spans="1:28" x14ac:dyDescent="0.2">
      <c r="A757" s="62">
        <v>61</v>
      </c>
      <c r="B757" s="62" t="s">
        <v>374</v>
      </c>
      <c r="C757" s="62">
        <v>51</v>
      </c>
      <c r="D757" s="62" t="s">
        <v>331</v>
      </c>
      <c r="E757" s="62"/>
      <c r="F757" s="63">
        <v>0</v>
      </c>
      <c r="G757" s="63">
        <v>0</v>
      </c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</row>
    <row r="758" spans="1:28" x14ac:dyDescent="0.2">
      <c r="A758" s="62">
        <v>61</v>
      </c>
      <c r="B758" s="62" t="s">
        <v>374</v>
      </c>
      <c r="C758" s="62">
        <v>52</v>
      </c>
      <c r="D758" s="64" t="s">
        <v>332</v>
      </c>
      <c r="E758" s="65"/>
      <c r="F758" s="62"/>
      <c r="G758" s="63">
        <v>11</v>
      </c>
      <c r="H758" s="63">
        <v>11</v>
      </c>
      <c r="I758" s="63">
        <v>12</v>
      </c>
      <c r="J758" s="63">
        <v>12</v>
      </c>
      <c r="K758" s="62"/>
      <c r="L758" s="63">
        <v>18</v>
      </c>
      <c r="M758" s="63">
        <v>17</v>
      </c>
      <c r="N758" s="63">
        <v>17</v>
      </c>
      <c r="O758" s="63">
        <v>17</v>
      </c>
      <c r="P758" s="63">
        <v>18</v>
      </c>
      <c r="Q758" s="63">
        <v>17</v>
      </c>
      <c r="R758" s="63">
        <v>17</v>
      </c>
      <c r="S758" s="63">
        <v>22</v>
      </c>
      <c r="T758" s="63">
        <v>13</v>
      </c>
      <c r="U758" s="63">
        <v>11</v>
      </c>
      <c r="V758" s="63">
        <v>11</v>
      </c>
      <c r="W758" s="62"/>
      <c r="X758" s="62"/>
      <c r="Y758" s="62"/>
      <c r="Z758" s="62"/>
      <c r="AA758" s="62"/>
      <c r="AB758" s="63">
        <v>7</v>
      </c>
    </row>
    <row r="759" spans="1:28" x14ac:dyDescent="0.2">
      <c r="A759" s="62">
        <v>61</v>
      </c>
      <c r="B759" s="62" t="s">
        <v>374</v>
      </c>
      <c r="C759" s="62">
        <v>53</v>
      </c>
      <c r="D759" s="64" t="s">
        <v>333</v>
      </c>
      <c r="E759" s="65"/>
      <c r="F759" s="65"/>
      <c r="G759" s="62"/>
      <c r="H759" s="62"/>
      <c r="I759" s="63">
        <v>6</v>
      </c>
      <c r="J759" s="63">
        <v>6</v>
      </c>
      <c r="K759" s="63">
        <v>4</v>
      </c>
      <c r="L759" s="63">
        <v>5</v>
      </c>
      <c r="M759" s="63">
        <v>5</v>
      </c>
      <c r="N759" s="63">
        <v>6</v>
      </c>
      <c r="O759" s="63">
        <v>5</v>
      </c>
      <c r="P759" s="63">
        <v>7</v>
      </c>
      <c r="Q759" s="62"/>
      <c r="R759" s="63">
        <v>7</v>
      </c>
      <c r="S759" s="63">
        <v>8</v>
      </c>
      <c r="T759" s="63">
        <v>7</v>
      </c>
      <c r="U759" s="63">
        <v>9</v>
      </c>
      <c r="V759" s="63">
        <v>10</v>
      </c>
      <c r="W759" s="63">
        <v>10</v>
      </c>
      <c r="X759" s="63">
        <v>13</v>
      </c>
      <c r="Y759" s="63">
        <v>14</v>
      </c>
      <c r="Z759" s="63">
        <v>18</v>
      </c>
      <c r="AA759" s="63">
        <v>18</v>
      </c>
      <c r="AB759" s="63">
        <v>18</v>
      </c>
    </row>
    <row r="760" spans="1:28" x14ac:dyDescent="0.2">
      <c r="A760" s="62">
        <v>61</v>
      </c>
      <c r="B760" s="62" t="s">
        <v>374</v>
      </c>
      <c r="C760" s="62">
        <v>54</v>
      </c>
      <c r="D760" s="62" t="s">
        <v>334</v>
      </c>
      <c r="E760" s="63">
        <v>3</v>
      </c>
      <c r="F760" s="63">
        <v>2</v>
      </c>
      <c r="G760" s="63">
        <v>14</v>
      </c>
      <c r="H760" s="63">
        <v>16</v>
      </c>
      <c r="I760" s="63">
        <v>10</v>
      </c>
      <c r="J760" s="63">
        <v>11</v>
      </c>
      <c r="K760" s="63">
        <v>12</v>
      </c>
      <c r="L760" s="63">
        <v>14</v>
      </c>
      <c r="M760" s="63">
        <v>11</v>
      </c>
      <c r="N760" s="63">
        <v>10</v>
      </c>
      <c r="O760" s="63">
        <v>15</v>
      </c>
      <c r="P760" s="63">
        <v>16</v>
      </c>
      <c r="Q760" s="63">
        <v>12</v>
      </c>
      <c r="R760" s="63">
        <v>10</v>
      </c>
      <c r="S760" s="63">
        <v>15</v>
      </c>
      <c r="T760" s="63">
        <v>14</v>
      </c>
      <c r="U760" s="63">
        <v>17</v>
      </c>
      <c r="V760" s="63">
        <v>18</v>
      </c>
      <c r="W760" s="63">
        <v>18</v>
      </c>
      <c r="X760" s="63">
        <v>28</v>
      </c>
      <c r="Y760" s="63">
        <v>32</v>
      </c>
      <c r="Z760" s="63">
        <v>21</v>
      </c>
      <c r="AA760" s="63">
        <v>24</v>
      </c>
      <c r="AB760" s="63">
        <v>20</v>
      </c>
    </row>
    <row r="761" spans="1:28" x14ac:dyDescent="0.2">
      <c r="A761" s="62">
        <v>61</v>
      </c>
      <c r="B761" s="62" t="s">
        <v>374</v>
      </c>
      <c r="C761" s="62">
        <v>56</v>
      </c>
      <c r="D761" s="62" t="s">
        <v>336</v>
      </c>
      <c r="E761" s="63">
        <v>10</v>
      </c>
      <c r="F761" s="63">
        <v>12</v>
      </c>
      <c r="G761" s="62"/>
      <c r="H761" s="63">
        <v>14</v>
      </c>
      <c r="I761" s="63">
        <v>18</v>
      </c>
      <c r="J761" s="63">
        <v>12</v>
      </c>
      <c r="K761" s="63">
        <v>14</v>
      </c>
      <c r="L761" s="63">
        <v>21</v>
      </c>
      <c r="M761" s="63">
        <v>19</v>
      </c>
      <c r="N761" s="62"/>
      <c r="O761" s="62"/>
      <c r="P761" s="62"/>
      <c r="Q761" s="63">
        <v>17</v>
      </c>
      <c r="R761" s="63">
        <v>14</v>
      </c>
      <c r="S761" s="63">
        <v>17</v>
      </c>
      <c r="T761" s="63">
        <v>15</v>
      </c>
      <c r="U761" s="63">
        <v>17</v>
      </c>
      <c r="V761" s="63">
        <v>21</v>
      </c>
      <c r="W761" s="63">
        <v>21</v>
      </c>
      <c r="X761" s="63">
        <v>19</v>
      </c>
      <c r="Y761" s="63">
        <v>18</v>
      </c>
      <c r="Z761" s="63">
        <v>14</v>
      </c>
      <c r="AA761" s="63">
        <v>18</v>
      </c>
      <c r="AB761" s="63">
        <v>34</v>
      </c>
    </row>
    <row r="762" spans="1:28" x14ac:dyDescent="0.2">
      <c r="A762" s="62">
        <v>61</v>
      </c>
      <c r="B762" s="62" t="s">
        <v>374</v>
      </c>
      <c r="C762" s="62">
        <v>61</v>
      </c>
      <c r="D762" s="64" t="s">
        <v>337</v>
      </c>
      <c r="E762" s="65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</row>
    <row r="763" spans="1:28" x14ac:dyDescent="0.2">
      <c r="A763" s="62">
        <v>61</v>
      </c>
      <c r="B763" s="62" t="s">
        <v>374</v>
      </c>
      <c r="C763" s="62">
        <v>62</v>
      </c>
      <c r="D763" s="62" t="s">
        <v>338</v>
      </c>
      <c r="E763" s="63">
        <v>1</v>
      </c>
      <c r="F763" s="62"/>
      <c r="G763" s="62"/>
      <c r="H763" s="62"/>
      <c r="I763" s="63">
        <v>7</v>
      </c>
      <c r="J763" s="63">
        <v>12</v>
      </c>
      <c r="K763" s="62"/>
      <c r="L763" s="63">
        <v>7</v>
      </c>
      <c r="M763" s="63">
        <v>8</v>
      </c>
      <c r="N763" s="62"/>
      <c r="O763" s="62"/>
      <c r="P763" s="63">
        <v>7</v>
      </c>
      <c r="Q763" s="62"/>
      <c r="R763" s="63">
        <v>22</v>
      </c>
      <c r="S763" s="63">
        <v>23</v>
      </c>
      <c r="T763" s="63">
        <v>22</v>
      </c>
      <c r="U763" s="63">
        <v>24</v>
      </c>
      <c r="V763" s="63">
        <v>23</v>
      </c>
      <c r="W763" s="63">
        <v>22</v>
      </c>
      <c r="X763" s="63">
        <v>30</v>
      </c>
      <c r="Y763" s="63">
        <v>29</v>
      </c>
      <c r="Z763" s="63">
        <v>25</v>
      </c>
      <c r="AA763" s="63">
        <v>28</v>
      </c>
      <c r="AB763" s="63">
        <v>29</v>
      </c>
    </row>
    <row r="764" spans="1:28" x14ac:dyDescent="0.2">
      <c r="A764" s="62">
        <v>61</v>
      </c>
      <c r="B764" s="62" t="s">
        <v>374</v>
      </c>
      <c r="C764" s="62">
        <v>71</v>
      </c>
      <c r="D764" s="64" t="s">
        <v>339</v>
      </c>
      <c r="E764" s="65"/>
      <c r="F764" s="65"/>
      <c r="G764" s="62"/>
      <c r="H764" s="62"/>
      <c r="I764" s="63">
        <v>5</v>
      </c>
      <c r="J764" s="62"/>
      <c r="K764" s="63">
        <v>10</v>
      </c>
      <c r="L764" s="63">
        <v>7</v>
      </c>
      <c r="M764" s="63">
        <v>8</v>
      </c>
      <c r="N764" s="63">
        <v>6</v>
      </c>
      <c r="O764" s="63">
        <v>6</v>
      </c>
      <c r="P764" s="63">
        <v>7</v>
      </c>
      <c r="Q764" s="63">
        <v>6</v>
      </c>
      <c r="R764" s="63">
        <v>8</v>
      </c>
      <c r="S764" s="63">
        <v>6</v>
      </c>
      <c r="T764" s="63">
        <v>4</v>
      </c>
      <c r="U764" s="63">
        <v>7</v>
      </c>
      <c r="V764" s="63">
        <v>7</v>
      </c>
      <c r="W764" s="63">
        <v>5</v>
      </c>
      <c r="X764" s="63">
        <v>4</v>
      </c>
      <c r="Y764" s="63">
        <v>6</v>
      </c>
      <c r="Z764" s="63">
        <v>4</v>
      </c>
      <c r="AA764" s="63">
        <v>4</v>
      </c>
      <c r="AB764" s="63">
        <v>4</v>
      </c>
    </row>
    <row r="765" spans="1:28" x14ac:dyDescent="0.2">
      <c r="A765" s="62">
        <v>61</v>
      </c>
      <c r="B765" s="62" t="s">
        <v>374</v>
      </c>
      <c r="C765" s="62">
        <v>72</v>
      </c>
      <c r="D765" s="62" t="s">
        <v>340</v>
      </c>
      <c r="E765" s="63">
        <v>13</v>
      </c>
      <c r="F765" s="63">
        <v>10</v>
      </c>
      <c r="G765" s="62"/>
      <c r="H765" s="62"/>
      <c r="I765" s="62"/>
      <c r="J765" s="63">
        <v>14</v>
      </c>
      <c r="K765" s="62"/>
      <c r="L765" s="63">
        <v>21</v>
      </c>
      <c r="M765" s="63">
        <v>20</v>
      </c>
      <c r="N765" s="62"/>
      <c r="O765" s="62"/>
      <c r="P765" s="63">
        <v>18</v>
      </c>
      <c r="Q765" s="62"/>
      <c r="R765" s="63">
        <v>26</v>
      </c>
      <c r="S765" s="63">
        <v>21</v>
      </c>
      <c r="T765" s="63">
        <v>24</v>
      </c>
      <c r="U765" s="63">
        <v>30</v>
      </c>
      <c r="V765" s="63">
        <v>25</v>
      </c>
      <c r="W765" s="63">
        <v>26</v>
      </c>
      <c r="X765" s="63">
        <v>26</v>
      </c>
      <c r="Y765" s="62"/>
      <c r="Z765" s="62"/>
      <c r="AA765" s="63">
        <v>23</v>
      </c>
      <c r="AB765" s="63">
        <v>22</v>
      </c>
    </row>
    <row r="766" spans="1:28" x14ac:dyDescent="0.2">
      <c r="A766" s="62">
        <v>61</v>
      </c>
      <c r="B766" s="62" t="s">
        <v>374</v>
      </c>
      <c r="C766" s="62">
        <v>81</v>
      </c>
      <c r="D766" s="62" t="s">
        <v>341</v>
      </c>
      <c r="E766" s="63">
        <v>35</v>
      </c>
      <c r="F766" s="63">
        <v>31</v>
      </c>
      <c r="G766" s="63">
        <v>35</v>
      </c>
      <c r="H766" s="63">
        <v>29</v>
      </c>
      <c r="I766" s="63">
        <v>33</v>
      </c>
      <c r="J766" s="63">
        <v>29</v>
      </c>
      <c r="K766" s="63">
        <v>23</v>
      </c>
      <c r="L766" s="63">
        <v>24</v>
      </c>
      <c r="M766" s="63">
        <v>25</v>
      </c>
      <c r="N766" s="63">
        <v>20</v>
      </c>
      <c r="O766" s="63">
        <v>22</v>
      </c>
      <c r="P766" s="63">
        <v>20</v>
      </c>
      <c r="Q766" s="63">
        <v>24</v>
      </c>
      <c r="R766" s="63">
        <v>19</v>
      </c>
      <c r="S766" s="63">
        <v>20</v>
      </c>
      <c r="T766" s="63">
        <v>14</v>
      </c>
      <c r="U766" s="63">
        <v>18</v>
      </c>
      <c r="V766" s="63">
        <v>23</v>
      </c>
      <c r="W766" s="63">
        <v>21</v>
      </c>
      <c r="X766" s="63">
        <v>21</v>
      </c>
      <c r="Y766" s="63">
        <v>22</v>
      </c>
      <c r="Z766" s="63">
        <v>21</v>
      </c>
      <c r="AA766" s="63">
        <v>22</v>
      </c>
      <c r="AB766" s="63">
        <v>13</v>
      </c>
    </row>
    <row r="767" spans="1:28" x14ac:dyDescent="0.2">
      <c r="A767" s="62">
        <v>61</v>
      </c>
      <c r="B767" s="62" t="s">
        <v>374</v>
      </c>
      <c r="C767" s="62">
        <v>99</v>
      </c>
      <c r="D767" s="62" t="s">
        <v>342</v>
      </c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3">
        <v>0</v>
      </c>
    </row>
    <row r="768" spans="1:28" x14ac:dyDescent="0.2">
      <c r="A768" s="62">
        <v>63</v>
      </c>
      <c r="B768" s="62" t="s">
        <v>375</v>
      </c>
      <c r="C768" s="62">
        <v>1</v>
      </c>
      <c r="D768" s="62" t="s">
        <v>316</v>
      </c>
      <c r="E768" s="63">
        <v>49</v>
      </c>
      <c r="F768" s="63">
        <v>51</v>
      </c>
      <c r="G768" s="63">
        <v>49</v>
      </c>
      <c r="H768" s="63">
        <v>49</v>
      </c>
      <c r="I768" s="63">
        <v>47</v>
      </c>
      <c r="J768" s="63">
        <v>47</v>
      </c>
      <c r="K768" s="63">
        <v>46</v>
      </c>
      <c r="L768" s="63">
        <v>44</v>
      </c>
      <c r="M768" s="63">
        <v>45</v>
      </c>
      <c r="N768" s="63">
        <v>50</v>
      </c>
      <c r="O768" s="63">
        <v>46</v>
      </c>
      <c r="P768" s="63">
        <v>43</v>
      </c>
      <c r="Q768" s="63">
        <v>39</v>
      </c>
      <c r="R768" s="63">
        <v>37</v>
      </c>
      <c r="S768" s="63">
        <v>40</v>
      </c>
      <c r="T768" s="63">
        <v>37</v>
      </c>
      <c r="U768" s="63">
        <v>38</v>
      </c>
      <c r="V768" s="63">
        <v>40</v>
      </c>
      <c r="W768" s="63">
        <v>39</v>
      </c>
      <c r="X768" s="63">
        <v>42</v>
      </c>
      <c r="Y768" s="63">
        <v>40</v>
      </c>
      <c r="Z768" s="63">
        <v>41</v>
      </c>
      <c r="AA768" s="63">
        <v>41</v>
      </c>
      <c r="AB768" s="63">
        <v>39</v>
      </c>
    </row>
    <row r="769" spans="1:28" x14ac:dyDescent="0.2">
      <c r="A769" s="62">
        <v>63</v>
      </c>
      <c r="B769" s="62" t="s">
        <v>375</v>
      </c>
      <c r="C769" s="62">
        <v>10</v>
      </c>
      <c r="D769" s="62" t="s">
        <v>317</v>
      </c>
      <c r="E769" s="63">
        <v>3640</v>
      </c>
      <c r="F769" s="63">
        <v>3562</v>
      </c>
      <c r="G769" s="63">
        <v>3489</v>
      </c>
      <c r="H769" s="63">
        <v>3471</v>
      </c>
      <c r="I769" s="63">
        <v>3566</v>
      </c>
      <c r="J769" s="63">
        <v>3573</v>
      </c>
      <c r="K769" s="63">
        <v>3587</v>
      </c>
      <c r="L769" s="63">
        <v>3650</v>
      </c>
      <c r="M769" s="63">
        <v>3670</v>
      </c>
      <c r="N769" s="63">
        <v>3714</v>
      </c>
      <c r="O769" s="63">
        <v>3626</v>
      </c>
      <c r="P769" s="63">
        <v>3628</v>
      </c>
      <c r="Q769" s="63">
        <v>3645</v>
      </c>
      <c r="R769" s="63">
        <v>3762</v>
      </c>
      <c r="S769" s="63">
        <v>3736</v>
      </c>
      <c r="T769" s="63">
        <v>3679</v>
      </c>
      <c r="U769" s="63">
        <v>3600</v>
      </c>
      <c r="V769" s="63">
        <v>3563</v>
      </c>
      <c r="W769" s="63">
        <v>3597</v>
      </c>
      <c r="X769" s="63">
        <v>3570</v>
      </c>
      <c r="Y769" s="63">
        <v>3621</v>
      </c>
      <c r="Z769" s="63">
        <v>3661</v>
      </c>
      <c r="AA769" s="63">
        <v>3789</v>
      </c>
      <c r="AB769" s="63">
        <v>3735</v>
      </c>
    </row>
    <row r="770" spans="1:28" x14ac:dyDescent="0.2">
      <c r="A770" s="62">
        <v>63</v>
      </c>
      <c r="B770" s="62" t="s">
        <v>375</v>
      </c>
      <c r="C770" s="62">
        <v>11</v>
      </c>
      <c r="D770" s="62" t="s">
        <v>318</v>
      </c>
      <c r="E770" s="63">
        <v>283</v>
      </c>
      <c r="F770" s="63">
        <v>256</v>
      </c>
      <c r="G770" s="63">
        <v>255</v>
      </c>
      <c r="H770" s="63">
        <v>259</v>
      </c>
      <c r="I770" s="63">
        <v>275</v>
      </c>
      <c r="J770" s="63">
        <v>271</v>
      </c>
      <c r="K770" s="63">
        <v>276</v>
      </c>
      <c r="L770" s="63">
        <v>293</v>
      </c>
      <c r="M770" s="63">
        <v>305</v>
      </c>
      <c r="N770" s="63">
        <v>339</v>
      </c>
      <c r="O770" s="63">
        <v>359</v>
      </c>
      <c r="P770" s="63">
        <v>379</v>
      </c>
      <c r="Q770" s="63">
        <v>366</v>
      </c>
      <c r="R770" s="63">
        <v>358</v>
      </c>
      <c r="S770" s="63">
        <v>381</v>
      </c>
      <c r="T770" s="63">
        <v>390</v>
      </c>
      <c r="U770" s="63">
        <v>392</v>
      </c>
      <c r="V770" s="63">
        <v>412</v>
      </c>
      <c r="W770" s="63">
        <v>406</v>
      </c>
      <c r="X770" s="63">
        <v>428</v>
      </c>
      <c r="Y770" s="63">
        <v>438</v>
      </c>
      <c r="Z770" s="63">
        <v>455</v>
      </c>
      <c r="AA770" s="63">
        <v>487</v>
      </c>
      <c r="AB770" s="63">
        <v>481</v>
      </c>
    </row>
    <row r="771" spans="1:28" x14ac:dyDescent="0.2">
      <c r="A771" s="62">
        <v>63</v>
      </c>
      <c r="B771" s="62" t="s">
        <v>375</v>
      </c>
      <c r="C771" s="62">
        <v>2</v>
      </c>
      <c r="D771" s="62" t="s">
        <v>319</v>
      </c>
      <c r="E771" s="63">
        <v>31</v>
      </c>
      <c r="F771" s="63">
        <v>31</v>
      </c>
      <c r="G771" s="63">
        <v>43</v>
      </c>
      <c r="H771" s="63">
        <v>42</v>
      </c>
      <c r="I771" s="63">
        <v>43</v>
      </c>
      <c r="J771" s="63">
        <v>44</v>
      </c>
      <c r="K771" s="63">
        <v>41</v>
      </c>
      <c r="L771" s="63">
        <v>43</v>
      </c>
      <c r="M771" s="63">
        <v>43</v>
      </c>
      <c r="N771" s="63">
        <v>41</v>
      </c>
      <c r="O771" s="63">
        <v>38</v>
      </c>
      <c r="P771" s="63">
        <v>38</v>
      </c>
      <c r="Q771" s="63">
        <v>36</v>
      </c>
      <c r="R771" s="63">
        <v>34</v>
      </c>
      <c r="S771" s="63">
        <v>40</v>
      </c>
      <c r="T771" s="63">
        <v>41</v>
      </c>
      <c r="U771" s="63">
        <v>42</v>
      </c>
      <c r="V771" s="63">
        <v>40</v>
      </c>
      <c r="W771" s="63">
        <v>41</v>
      </c>
      <c r="X771" s="63">
        <v>40</v>
      </c>
      <c r="Y771" s="63">
        <v>38</v>
      </c>
      <c r="Z771" s="63">
        <v>39</v>
      </c>
      <c r="AA771" s="63">
        <v>38</v>
      </c>
      <c r="AB771" s="63">
        <v>40</v>
      </c>
    </row>
    <row r="772" spans="1:28" x14ac:dyDescent="0.2">
      <c r="A772" s="62">
        <v>63</v>
      </c>
      <c r="B772" s="62" t="s">
        <v>375</v>
      </c>
      <c r="C772" s="62">
        <v>21</v>
      </c>
      <c r="D772" s="64" t="s">
        <v>320</v>
      </c>
      <c r="E772" s="65"/>
      <c r="F772" s="65"/>
      <c r="G772" s="65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3">
        <v>24</v>
      </c>
      <c r="V772" s="63">
        <v>22</v>
      </c>
      <c r="W772" s="62"/>
      <c r="X772" s="62"/>
      <c r="Y772" s="62"/>
      <c r="Z772" s="62"/>
      <c r="AA772" s="63">
        <v>21</v>
      </c>
      <c r="AB772" s="63">
        <v>21</v>
      </c>
    </row>
    <row r="773" spans="1:28" x14ac:dyDescent="0.2">
      <c r="A773" s="62">
        <v>63</v>
      </c>
      <c r="B773" s="62" t="s">
        <v>375</v>
      </c>
      <c r="C773" s="62">
        <v>22</v>
      </c>
      <c r="D773" s="62" t="s">
        <v>321</v>
      </c>
      <c r="E773" s="63">
        <v>31</v>
      </c>
      <c r="F773" s="63">
        <v>34</v>
      </c>
      <c r="G773" s="63">
        <v>30</v>
      </c>
      <c r="H773" s="63">
        <v>29</v>
      </c>
      <c r="I773" s="63">
        <v>29</v>
      </c>
      <c r="J773" s="63">
        <v>28</v>
      </c>
      <c r="K773" s="63">
        <v>29</v>
      </c>
      <c r="L773" s="63">
        <v>28</v>
      </c>
      <c r="M773" s="63">
        <v>30</v>
      </c>
      <c r="N773" s="63">
        <v>31</v>
      </c>
      <c r="O773" s="63">
        <v>30</v>
      </c>
      <c r="P773" s="63">
        <v>30</v>
      </c>
      <c r="Q773" s="63">
        <v>31</v>
      </c>
      <c r="R773" s="63">
        <v>34</v>
      </c>
      <c r="S773" s="63">
        <v>34</v>
      </c>
      <c r="T773" s="63">
        <v>33</v>
      </c>
      <c r="U773" s="63">
        <v>33</v>
      </c>
      <c r="V773" s="63">
        <v>32</v>
      </c>
      <c r="W773" s="63">
        <v>31</v>
      </c>
      <c r="X773" s="63">
        <v>29</v>
      </c>
      <c r="Y773" s="63">
        <v>28</v>
      </c>
      <c r="Z773" s="63">
        <v>30</v>
      </c>
      <c r="AA773" s="63">
        <v>36</v>
      </c>
      <c r="AB773" s="63">
        <v>41</v>
      </c>
    </row>
    <row r="774" spans="1:28" x14ac:dyDescent="0.2">
      <c r="A774" s="62">
        <v>63</v>
      </c>
      <c r="B774" s="62" t="s">
        <v>375</v>
      </c>
      <c r="C774" s="62">
        <v>23</v>
      </c>
      <c r="D774" s="62" t="s">
        <v>322</v>
      </c>
      <c r="E774" s="63">
        <v>178</v>
      </c>
      <c r="F774" s="63">
        <v>156</v>
      </c>
      <c r="G774" s="63">
        <v>137</v>
      </c>
      <c r="H774" s="63">
        <v>143</v>
      </c>
      <c r="I774" s="63">
        <v>179</v>
      </c>
      <c r="J774" s="63">
        <v>193</v>
      </c>
      <c r="K774" s="63">
        <v>194</v>
      </c>
      <c r="L774" s="63">
        <v>195</v>
      </c>
      <c r="M774" s="63">
        <v>185</v>
      </c>
      <c r="N774" s="63">
        <v>245</v>
      </c>
      <c r="O774" s="63">
        <v>201</v>
      </c>
      <c r="P774" s="63">
        <v>182</v>
      </c>
      <c r="Q774" s="63">
        <v>211</v>
      </c>
      <c r="R774" s="63">
        <v>312</v>
      </c>
      <c r="S774" s="63">
        <v>212</v>
      </c>
      <c r="T774" s="63">
        <v>183</v>
      </c>
      <c r="U774" s="63">
        <v>172</v>
      </c>
      <c r="V774" s="63">
        <v>171</v>
      </c>
      <c r="W774" s="63">
        <v>201</v>
      </c>
      <c r="X774" s="63">
        <v>246</v>
      </c>
      <c r="Y774" s="63">
        <v>233</v>
      </c>
      <c r="Z774" s="63">
        <v>227</v>
      </c>
      <c r="AA774" s="63">
        <v>243</v>
      </c>
      <c r="AB774" s="63">
        <v>150</v>
      </c>
    </row>
    <row r="775" spans="1:28" x14ac:dyDescent="0.2">
      <c r="A775" s="62">
        <v>63</v>
      </c>
      <c r="B775" s="62" t="s">
        <v>375</v>
      </c>
      <c r="C775" s="62">
        <v>3</v>
      </c>
      <c r="D775" s="62" t="s">
        <v>323</v>
      </c>
      <c r="E775" s="63">
        <v>733</v>
      </c>
      <c r="F775" s="63">
        <v>744</v>
      </c>
      <c r="G775" s="63">
        <v>734</v>
      </c>
      <c r="H775" s="63">
        <v>729</v>
      </c>
      <c r="I775" s="63">
        <v>728</v>
      </c>
      <c r="J775" s="63">
        <v>736</v>
      </c>
      <c r="K775" s="63">
        <v>729</v>
      </c>
      <c r="L775" s="63">
        <v>733</v>
      </c>
      <c r="M775" s="63">
        <v>743</v>
      </c>
      <c r="N775" s="63">
        <v>733</v>
      </c>
      <c r="O775" s="63">
        <v>717</v>
      </c>
      <c r="P775" s="63">
        <v>697</v>
      </c>
      <c r="Q775" s="63">
        <v>681</v>
      </c>
      <c r="R775" s="63">
        <v>694</v>
      </c>
      <c r="S775" s="63">
        <v>699</v>
      </c>
      <c r="T775" s="63">
        <v>688</v>
      </c>
      <c r="U775" s="63">
        <v>702</v>
      </c>
      <c r="V775" s="63">
        <v>681</v>
      </c>
      <c r="W775" s="63">
        <v>694</v>
      </c>
      <c r="X775" s="63">
        <v>651</v>
      </c>
      <c r="Y775" s="63">
        <v>673</v>
      </c>
      <c r="Z775" s="63">
        <v>661</v>
      </c>
      <c r="AA775" s="63">
        <v>683</v>
      </c>
      <c r="AB775" s="63">
        <v>695</v>
      </c>
    </row>
    <row r="776" spans="1:28" x14ac:dyDescent="0.2">
      <c r="A776" s="62">
        <v>63</v>
      </c>
      <c r="B776" s="62" t="s">
        <v>375</v>
      </c>
      <c r="C776" s="62" t="s">
        <v>324</v>
      </c>
      <c r="D776" s="62" t="s">
        <v>325</v>
      </c>
      <c r="E776" s="63">
        <v>132</v>
      </c>
      <c r="F776" s="63">
        <v>141</v>
      </c>
      <c r="G776" s="63">
        <v>125</v>
      </c>
      <c r="H776" s="63">
        <v>142</v>
      </c>
      <c r="I776" s="63">
        <v>124</v>
      </c>
      <c r="J776" s="63">
        <v>116</v>
      </c>
      <c r="K776" s="63">
        <v>140</v>
      </c>
      <c r="L776" s="63">
        <v>131</v>
      </c>
      <c r="M776" s="63">
        <v>138</v>
      </c>
      <c r="N776" s="63">
        <v>130</v>
      </c>
      <c r="O776" s="63">
        <v>132</v>
      </c>
      <c r="P776" s="63">
        <v>151</v>
      </c>
      <c r="Q776" s="63">
        <v>134</v>
      </c>
      <c r="R776" s="63">
        <v>138</v>
      </c>
      <c r="S776" s="63">
        <v>135</v>
      </c>
      <c r="T776" s="63">
        <v>115</v>
      </c>
      <c r="U776" s="63">
        <v>136</v>
      </c>
      <c r="V776" s="63">
        <v>130</v>
      </c>
      <c r="W776" s="63">
        <v>130</v>
      </c>
      <c r="X776" s="63">
        <v>134</v>
      </c>
      <c r="Y776" s="63">
        <v>124</v>
      </c>
      <c r="Z776" s="63">
        <v>112</v>
      </c>
      <c r="AA776" s="63">
        <v>109</v>
      </c>
      <c r="AB776" s="63">
        <v>106</v>
      </c>
    </row>
    <row r="777" spans="1:28" x14ac:dyDescent="0.2">
      <c r="A777" s="62">
        <v>63</v>
      </c>
      <c r="B777" s="62" t="s">
        <v>375</v>
      </c>
      <c r="C777" s="62">
        <v>42</v>
      </c>
      <c r="D777" s="62" t="s">
        <v>326</v>
      </c>
      <c r="E777" s="63">
        <v>321</v>
      </c>
      <c r="F777" s="63">
        <v>313</v>
      </c>
      <c r="G777" s="63">
        <v>281</v>
      </c>
      <c r="H777" s="63">
        <v>284</v>
      </c>
      <c r="I777" s="63">
        <v>299</v>
      </c>
      <c r="J777" s="63">
        <v>286</v>
      </c>
      <c r="K777" s="63">
        <v>322</v>
      </c>
      <c r="L777" s="63">
        <v>352</v>
      </c>
      <c r="M777" s="63">
        <v>357</v>
      </c>
      <c r="N777" s="63">
        <v>359</v>
      </c>
      <c r="O777" s="63">
        <v>356</v>
      </c>
      <c r="P777" s="63">
        <v>347</v>
      </c>
      <c r="Q777" s="63">
        <v>335</v>
      </c>
      <c r="R777" s="63">
        <v>351</v>
      </c>
      <c r="S777" s="63">
        <v>356</v>
      </c>
      <c r="T777" s="63">
        <v>357</v>
      </c>
      <c r="U777" s="63">
        <v>334</v>
      </c>
      <c r="V777" s="63">
        <v>334</v>
      </c>
      <c r="W777" s="63">
        <v>332</v>
      </c>
      <c r="X777" s="63">
        <v>334</v>
      </c>
      <c r="Y777" s="63">
        <v>313</v>
      </c>
      <c r="Z777" s="63">
        <v>332</v>
      </c>
      <c r="AA777" s="63">
        <v>360</v>
      </c>
      <c r="AB777" s="63">
        <v>366</v>
      </c>
    </row>
    <row r="778" spans="1:28" x14ac:dyDescent="0.2">
      <c r="A778" s="62">
        <v>63</v>
      </c>
      <c r="B778" s="62" t="s">
        <v>375</v>
      </c>
      <c r="C778" s="62" t="s">
        <v>327</v>
      </c>
      <c r="D778" s="62" t="s">
        <v>328</v>
      </c>
      <c r="E778" s="63">
        <v>451</v>
      </c>
      <c r="F778" s="63">
        <v>444</v>
      </c>
      <c r="G778" s="63">
        <v>453</v>
      </c>
      <c r="H778" s="63">
        <v>430</v>
      </c>
      <c r="I778" s="63">
        <v>439</v>
      </c>
      <c r="J778" s="63">
        <v>423</v>
      </c>
      <c r="K778" s="63">
        <v>361</v>
      </c>
      <c r="L778" s="63">
        <v>365</v>
      </c>
      <c r="M778" s="63">
        <v>361</v>
      </c>
      <c r="N778" s="63">
        <v>362</v>
      </c>
      <c r="O778" s="63">
        <v>357</v>
      </c>
      <c r="P778" s="63">
        <v>354</v>
      </c>
      <c r="Q778" s="63">
        <v>352</v>
      </c>
      <c r="R778" s="63">
        <v>346</v>
      </c>
      <c r="S778" s="63">
        <v>345</v>
      </c>
      <c r="T778" s="63">
        <v>376</v>
      </c>
      <c r="U778" s="63">
        <v>394</v>
      </c>
      <c r="V778" s="63">
        <v>394</v>
      </c>
      <c r="W778" s="63">
        <v>379</v>
      </c>
      <c r="X778" s="63">
        <v>367</v>
      </c>
      <c r="Y778" s="63">
        <v>369</v>
      </c>
      <c r="Z778" s="63">
        <v>365</v>
      </c>
      <c r="AA778" s="63">
        <v>418</v>
      </c>
      <c r="AB778" s="63">
        <v>415</v>
      </c>
    </row>
    <row r="779" spans="1:28" x14ac:dyDescent="0.2">
      <c r="A779" s="62">
        <v>63</v>
      </c>
      <c r="B779" s="62" t="s">
        <v>375</v>
      </c>
      <c r="C779" s="62" t="s">
        <v>329</v>
      </c>
      <c r="D779" s="62" t="s">
        <v>330</v>
      </c>
      <c r="E779" s="63">
        <v>126</v>
      </c>
      <c r="F779" s="63">
        <v>118</v>
      </c>
      <c r="G779" s="63">
        <v>114</v>
      </c>
      <c r="H779" s="63">
        <v>104</v>
      </c>
      <c r="I779" s="63">
        <v>114</v>
      </c>
      <c r="J779" s="63">
        <v>103</v>
      </c>
      <c r="K779" s="63">
        <v>111</v>
      </c>
      <c r="L779" s="63">
        <v>116</v>
      </c>
      <c r="M779" s="63">
        <v>114</v>
      </c>
      <c r="N779" s="63">
        <v>115</v>
      </c>
      <c r="O779" s="63">
        <v>108</v>
      </c>
      <c r="P779" s="63">
        <v>99</v>
      </c>
      <c r="Q779" s="63">
        <v>104</v>
      </c>
      <c r="R779" s="63">
        <v>93</v>
      </c>
      <c r="S779" s="63">
        <v>95</v>
      </c>
      <c r="T779" s="63">
        <v>92</v>
      </c>
      <c r="U779" s="63">
        <v>98</v>
      </c>
      <c r="V779" s="63">
        <v>107</v>
      </c>
      <c r="W779" s="63">
        <v>121</v>
      </c>
      <c r="X779" s="63">
        <v>116</v>
      </c>
      <c r="Y779" s="63">
        <v>123</v>
      </c>
      <c r="Z779" s="63">
        <v>138</v>
      </c>
      <c r="AA779" s="63">
        <v>125</v>
      </c>
      <c r="AB779" s="63">
        <v>121</v>
      </c>
    </row>
    <row r="780" spans="1:28" x14ac:dyDescent="0.2">
      <c r="A780" s="62">
        <v>63</v>
      </c>
      <c r="B780" s="62" t="s">
        <v>375</v>
      </c>
      <c r="C780" s="62">
        <v>51</v>
      </c>
      <c r="D780" s="62" t="s">
        <v>331</v>
      </c>
      <c r="E780" s="63">
        <v>43</v>
      </c>
      <c r="F780" s="63">
        <v>47</v>
      </c>
      <c r="G780" s="63">
        <v>42</v>
      </c>
      <c r="H780" s="63">
        <v>51</v>
      </c>
      <c r="I780" s="63">
        <v>42</v>
      </c>
      <c r="J780" s="63">
        <v>45</v>
      </c>
      <c r="K780" s="63">
        <v>44</v>
      </c>
      <c r="L780" s="63">
        <v>45</v>
      </c>
      <c r="M780" s="63">
        <v>43</v>
      </c>
      <c r="N780" s="63">
        <v>40</v>
      </c>
      <c r="O780" s="63">
        <v>42</v>
      </c>
      <c r="P780" s="63">
        <v>42</v>
      </c>
      <c r="Q780" s="63">
        <v>40</v>
      </c>
      <c r="R780" s="63">
        <v>39</v>
      </c>
      <c r="S780" s="63">
        <v>40</v>
      </c>
      <c r="T780" s="63">
        <v>42</v>
      </c>
      <c r="U780" s="63">
        <v>40</v>
      </c>
      <c r="V780" s="63">
        <v>45</v>
      </c>
      <c r="W780" s="63">
        <v>40</v>
      </c>
      <c r="X780" s="63">
        <v>33</v>
      </c>
      <c r="Y780" s="63">
        <v>31</v>
      </c>
      <c r="Z780" s="63">
        <v>26</v>
      </c>
      <c r="AA780" s="63">
        <v>25</v>
      </c>
      <c r="AB780" s="63">
        <v>22</v>
      </c>
    </row>
    <row r="781" spans="1:28" x14ac:dyDescent="0.2">
      <c r="A781" s="62">
        <v>63</v>
      </c>
      <c r="B781" s="62" t="s">
        <v>375</v>
      </c>
      <c r="C781" s="62">
        <v>52</v>
      </c>
      <c r="D781" s="62" t="s">
        <v>332</v>
      </c>
      <c r="E781" s="63">
        <v>140</v>
      </c>
      <c r="F781" s="63">
        <v>147</v>
      </c>
      <c r="G781" s="63">
        <v>155</v>
      </c>
      <c r="H781" s="63">
        <v>139</v>
      </c>
      <c r="I781" s="63">
        <v>152</v>
      </c>
      <c r="J781" s="63">
        <v>158</v>
      </c>
      <c r="K781" s="63">
        <v>160</v>
      </c>
      <c r="L781" s="63">
        <v>148</v>
      </c>
      <c r="M781" s="63">
        <v>135</v>
      </c>
      <c r="N781" s="63">
        <v>136</v>
      </c>
      <c r="O781" s="63">
        <v>135</v>
      </c>
      <c r="P781" s="63">
        <v>139</v>
      </c>
      <c r="Q781" s="63">
        <v>137</v>
      </c>
      <c r="R781" s="63">
        <v>131</v>
      </c>
      <c r="S781" s="63">
        <v>139</v>
      </c>
      <c r="T781" s="63">
        <v>143</v>
      </c>
      <c r="U781" s="63">
        <v>143</v>
      </c>
      <c r="V781" s="63">
        <v>146</v>
      </c>
      <c r="W781" s="63">
        <v>147</v>
      </c>
      <c r="X781" s="63">
        <v>141</v>
      </c>
      <c r="Y781" s="63">
        <v>142</v>
      </c>
      <c r="Z781" s="63">
        <v>148</v>
      </c>
      <c r="AA781" s="63">
        <v>129</v>
      </c>
      <c r="AB781" s="63">
        <v>120</v>
      </c>
    </row>
    <row r="782" spans="1:28" x14ac:dyDescent="0.2">
      <c r="A782" s="62">
        <v>63</v>
      </c>
      <c r="B782" s="62" t="s">
        <v>375</v>
      </c>
      <c r="C782" s="62">
        <v>53</v>
      </c>
      <c r="D782" s="62" t="s">
        <v>333</v>
      </c>
      <c r="E782" s="63">
        <v>45</v>
      </c>
      <c r="F782" s="63">
        <v>43</v>
      </c>
      <c r="G782" s="63">
        <v>53</v>
      </c>
      <c r="H782" s="63">
        <v>48</v>
      </c>
      <c r="I782" s="63">
        <v>54</v>
      </c>
      <c r="J782" s="63">
        <v>56</v>
      </c>
      <c r="K782" s="63">
        <v>69</v>
      </c>
      <c r="L782" s="63">
        <v>72</v>
      </c>
      <c r="M782" s="63">
        <v>77</v>
      </c>
      <c r="N782" s="63">
        <v>80</v>
      </c>
      <c r="O782" s="63">
        <v>81</v>
      </c>
      <c r="P782" s="63">
        <v>85</v>
      </c>
      <c r="Q782" s="63">
        <v>96</v>
      </c>
      <c r="R782" s="63">
        <v>90</v>
      </c>
      <c r="S782" s="63">
        <v>94</v>
      </c>
      <c r="T782" s="63">
        <v>100</v>
      </c>
      <c r="U782" s="63">
        <v>106</v>
      </c>
      <c r="V782" s="63">
        <v>107</v>
      </c>
      <c r="W782" s="63">
        <v>118</v>
      </c>
      <c r="X782" s="63">
        <v>117</v>
      </c>
      <c r="Y782" s="63">
        <v>130</v>
      </c>
      <c r="Z782" s="63">
        <v>134</v>
      </c>
      <c r="AA782" s="63">
        <v>99</v>
      </c>
      <c r="AB782" s="63">
        <v>66</v>
      </c>
    </row>
    <row r="783" spans="1:28" x14ac:dyDescent="0.2">
      <c r="A783" s="62">
        <v>63</v>
      </c>
      <c r="B783" s="62" t="s">
        <v>375</v>
      </c>
      <c r="C783" s="62">
        <v>54</v>
      </c>
      <c r="D783" s="62" t="s">
        <v>334</v>
      </c>
      <c r="E783" s="63">
        <v>85</v>
      </c>
      <c r="F783" s="63">
        <v>92</v>
      </c>
      <c r="G783" s="63">
        <v>83</v>
      </c>
      <c r="H783" s="63">
        <v>92</v>
      </c>
      <c r="I783" s="63">
        <v>84</v>
      </c>
      <c r="J783" s="63">
        <v>84</v>
      </c>
      <c r="K783" s="63">
        <v>71</v>
      </c>
      <c r="L783" s="63">
        <v>66</v>
      </c>
      <c r="M783" s="63">
        <v>68</v>
      </c>
      <c r="N783" s="63">
        <v>71</v>
      </c>
      <c r="O783" s="63">
        <v>71</v>
      </c>
      <c r="P783" s="63">
        <v>66</v>
      </c>
      <c r="Q783" s="63">
        <v>72</v>
      </c>
      <c r="R783" s="63">
        <v>79</v>
      </c>
      <c r="S783" s="63">
        <v>93</v>
      </c>
      <c r="T783" s="63">
        <v>99</v>
      </c>
      <c r="U783" s="63">
        <v>95</v>
      </c>
      <c r="V783" s="63">
        <v>104</v>
      </c>
      <c r="W783" s="63">
        <v>94</v>
      </c>
      <c r="X783" s="63">
        <v>96</v>
      </c>
      <c r="Y783" s="63">
        <v>104</v>
      </c>
      <c r="Z783" s="63">
        <v>110</v>
      </c>
      <c r="AA783" s="63">
        <v>146</v>
      </c>
      <c r="AB783" s="63">
        <v>161</v>
      </c>
    </row>
    <row r="784" spans="1:28" x14ac:dyDescent="0.2">
      <c r="A784" s="62">
        <v>63</v>
      </c>
      <c r="B784" s="62" t="s">
        <v>375</v>
      </c>
      <c r="C784" s="62">
        <v>55</v>
      </c>
      <c r="D784" s="62" t="s">
        <v>335</v>
      </c>
      <c r="E784" s="63">
        <v>15</v>
      </c>
      <c r="F784" s="63">
        <v>14</v>
      </c>
      <c r="G784" s="62"/>
      <c r="H784" s="62"/>
      <c r="I784" s="62"/>
      <c r="J784" s="62"/>
      <c r="K784" s="62"/>
      <c r="L784" s="63">
        <v>0</v>
      </c>
      <c r="M784" s="62"/>
      <c r="N784" s="62"/>
      <c r="O784" s="62"/>
      <c r="P784" s="62"/>
      <c r="Q784" s="62"/>
      <c r="R784" s="62"/>
      <c r="S784" s="62"/>
      <c r="T784" s="62"/>
      <c r="U784" s="63">
        <v>0</v>
      </c>
      <c r="V784" s="63">
        <v>0</v>
      </c>
      <c r="W784" s="62"/>
      <c r="X784" s="62"/>
      <c r="Y784" s="63">
        <v>0</v>
      </c>
      <c r="Z784" s="63">
        <v>0</v>
      </c>
      <c r="AA784" s="63">
        <v>0</v>
      </c>
      <c r="AB784" s="63">
        <v>0</v>
      </c>
    </row>
    <row r="785" spans="1:28" x14ac:dyDescent="0.2">
      <c r="A785" s="62">
        <v>63</v>
      </c>
      <c r="B785" s="62" t="s">
        <v>375</v>
      </c>
      <c r="C785" s="62">
        <v>56</v>
      </c>
      <c r="D785" s="62" t="s">
        <v>336</v>
      </c>
      <c r="E785" s="63">
        <v>187</v>
      </c>
      <c r="F785" s="63">
        <v>182</v>
      </c>
      <c r="G785" s="63">
        <v>169</v>
      </c>
      <c r="H785" s="63">
        <v>202</v>
      </c>
      <c r="I785" s="63">
        <v>248</v>
      </c>
      <c r="J785" s="63">
        <v>236</v>
      </c>
      <c r="K785" s="63">
        <v>256</v>
      </c>
      <c r="L785" s="63">
        <v>278</v>
      </c>
      <c r="M785" s="63">
        <v>295</v>
      </c>
      <c r="N785" s="63">
        <v>269</v>
      </c>
      <c r="O785" s="63">
        <v>241</v>
      </c>
      <c r="P785" s="63">
        <v>214</v>
      </c>
      <c r="Q785" s="63">
        <v>228</v>
      </c>
      <c r="R785" s="63">
        <v>224</v>
      </c>
      <c r="S785" s="63">
        <v>213</v>
      </c>
      <c r="T785" s="63">
        <v>162</v>
      </c>
      <c r="U785" s="63">
        <v>65</v>
      </c>
      <c r="V785" s="63">
        <v>80</v>
      </c>
      <c r="W785" s="63">
        <v>83</v>
      </c>
      <c r="X785" s="63">
        <v>82</v>
      </c>
      <c r="Y785" s="63">
        <v>98</v>
      </c>
      <c r="Z785" s="63">
        <v>86</v>
      </c>
      <c r="AA785" s="63">
        <v>92</v>
      </c>
      <c r="AB785" s="63">
        <v>128</v>
      </c>
    </row>
    <row r="786" spans="1:28" x14ac:dyDescent="0.2">
      <c r="A786" s="62">
        <v>63</v>
      </c>
      <c r="B786" s="62" t="s">
        <v>375</v>
      </c>
      <c r="C786" s="62">
        <v>61</v>
      </c>
      <c r="D786" s="64" t="s">
        <v>337</v>
      </c>
      <c r="E786" s="65"/>
      <c r="F786" s="62"/>
      <c r="G786" s="62"/>
      <c r="H786" s="62"/>
      <c r="I786" s="63">
        <v>6</v>
      </c>
      <c r="J786" s="63">
        <v>5</v>
      </c>
      <c r="K786" s="62"/>
      <c r="L786" s="62"/>
      <c r="M786" s="62"/>
      <c r="N786" s="62"/>
      <c r="O786" s="62"/>
      <c r="P786" s="62"/>
      <c r="Q786" s="62"/>
      <c r="R786" s="62"/>
      <c r="S786" s="62"/>
      <c r="T786" s="63">
        <v>4</v>
      </c>
      <c r="U786" s="63">
        <v>8</v>
      </c>
      <c r="V786" s="63">
        <v>10</v>
      </c>
      <c r="W786" s="62"/>
      <c r="X786" s="63">
        <v>10</v>
      </c>
      <c r="Y786" s="63">
        <v>16</v>
      </c>
      <c r="Z786" s="63">
        <v>14</v>
      </c>
      <c r="AA786" s="63">
        <v>14</v>
      </c>
      <c r="AB786" s="63">
        <v>14</v>
      </c>
    </row>
    <row r="787" spans="1:28" x14ac:dyDescent="0.2">
      <c r="A787" s="62">
        <v>63</v>
      </c>
      <c r="B787" s="62" t="s">
        <v>375</v>
      </c>
      <c r="C787" s="62">
        <v>62</v>
      </c>
      <c r="D787" s="62" t="s">
        <v>338</v>
      </c>
      <c r="E787" s="63">
        <v>187</v>
      </c>
      <c r="F787" s="63">
        <v>124</v>
      </c>
      <c r="G787" s="63">
        <v>168</v>
      </c>
      <c r="H787" s="63">
        <v>175</v>
      </c>
      <c r="I787" s="63">
        <v>183</v>
      </c>
      <c r="J787" s="63">
        <v>193</v>
      </c>
      <c r="K787" s="63">
        <v>195</v>
      </c>
      <c r="L787" s="63">
        <v>195</v>
      </c>
      <c r="M787" s="63">
        <v>203</v>
      </c>
      <c r="N787" s="63">
        <v>189</v>
      </c>
      <c r="O787" s="63">
        <v>194</v>
      </c>
      <c r="P787" s="63">
        <v>185</v>
      </c>
      <c r="Q787" s="63">
        <v>189</v>
      </c>
      <c r="R787" s="63">
        <v>194</v>
      </c>
      <c r="S787" s="63">
        <v>211</v>
      </c>
      <c r="T787" s="63">
        <v>207</v>
      </c>
      <c r="U787" s="63">
        <v>210</v>
      </c>
      <c r="V787" s="63">
        <v>212</v>
      </c>
      <c r="W787" s="63">
        <v>233</v>
      </c>
      <c r="X787" s="63">
        <v>241</v>
      </c>
      <c r="Y787" s="63">
        <v>245</v>
      </c>
      <c r="Z787" s="63">
        <v>243</v>
      </c>
      <c r="AA787" s="63">
        <v>256</v>
      </c>
      <c r="AB787" s="63">
        <v>243</v>
      </c>
    </row>
    <row r="788" spans="1:28" x14ac:dyDescent="0.2">
      <c r="A788" s="62">
        <v>63</v>
      </c>
      <c r="B788" s="62" t="s">
        <v>375</v>
      </c>
      <c r="C788" s="62">
        <v>71</v>
      </c>
      <c r="D788" s="62" t="s">
        <v>339</v>
      </c>
      <c r="E788" s="63">
        <v>13</v>
      </c>
      <c r="F788" s="63">
        <v>27</v>
      </c>
      <c r="G788" s="62"/>
      <c r="H788" s="63">
        <v>22</v>
      </c>
      <c r="I788" s="63">
        <v>23</v>
      </c>
      <c r="J788" s="63">
        <v>26</v>
      </c>
      <c r="K788" s="63">
        <v>26</v>
      </c>
      <c r="L788" s="63">
        <v>26</v>
      </c>
      <c r="M788" s="62"/>
      <c r="N788" s="63">
        <v>20</v>
      </c>
      <c r="O788" s="63">
        <v>13</v>
      </c>
      <c r="P788" s="62"/>
      <c r="Q788" s="63">
        <v>21</v>
      </c>
      <c r="R788" s="63">
        <v>22</v>
      </c>
      <c r="S788" s="63">
        <v>27</v>
      </c>
      <c r="T788" s="63">
        <v>34</v>
      </c>
      <c r="U788" s="63">
        <v>33</v>
      </c>
      <c r="V788" s="63">
        <v>30</v>
      </c>
      <c r="W788" s="63">
        <v>29</v>
      </c>
      <c r="X788" s="63">
        <v>16</v>
      </c>
      <c r="Y788" s="63">
        <v>25</v>
      </c>
      <c r="Z788" s="63">
        <v>26</v>
      </c>
      <c r="AA788" s="63">
        <v>38</v>
      </c>
      <c r="AB788" s="63">
        <v>43</v>
      </c>
    </row>
    <row r="789" spans="1:28" x14ac:dyDescent="0.2">
      <c r="A789" s="62">
        <v>63</v>
      </c>
      <c r="B789" s="62" t="s">
        <v>375</v>
      </c>
      <c r="C789" s="62">
        <v>72</v>
      </c>
      <c r="D789" s="62" t="s">
        <v>340</v>
      </c>
      <c r="E789" s="63">
        <v>325</v>
      </c>
      <c r="F789" s="63">
        <v>330</v>
      </c>
      <c r="G789" s="63">
        <v>324</v>
      </c>
      <c r="H789" s="63">
        <v>307</v>
      </c>
      <c r="I789" s="63">
        <v>296</v>
      </c>
      <c r="J789" s="63">
        <v>280</v>
      </c>
      <c r="K789" s="63">
        <v>253</v>
      </c>
      <c r="L789" s="63">
        <v>275</v>
      </c>
      <c r="M789" s="63">
        <v>278</v>
      </c>
      <c r="N789" s="63">
        <v>287</v>
      </c>
      <c r="O789" s="63">
        <v>285</v>
      </c>
      <c r="P789" s="63">
        <v>328</v>
      </c>
      <c r="Q789" s="63">
        <v>323</v>
      </c>
      <c r="R789" s="63">
        <v>328</v>
      </c>
      <c r="S789" s="63">
        <v>329</v>
      </c>
      <c r="T789" s="63">
        <v>341</v>
      </c>
      <c r="U789" s="63">
        <v>348</v>
      </c>
      <c r="V789" s="63">
        <v>319</v>
      </c>
      <c r="W789" s="63">
        <v>305</v>
      </c>
      <c r="X789" s="63">
        <v>293</v>
      </c>
      <c r="Y789" s="63">
        <v>277</v>
      </c>
      <c r="Z789" s="63">
        <v>284</v>
      </c>
      <c r="AA789" s="63">
        <v>281</v>
      </c>
      <c r="AB789" s="63">
        <v>305</v>
      </c>
    </row>
    <row r="790" spans="1:28" x14ac:dyDescent="0.2">
      <c r="A790" s="62">
        <v>63</v>
      </c>
      <c r="B790" s="62" t="s">
        <v>375</v>
      </c>
      <c r="C790" s="62">
        <v>81</v>
      </c>
      <c r="D790" s="62" t="s">
        <v>341</v>
      </c>
      <c r="E790" s="63">
        <v>221</v>
      </c>
      <c r="F790" s="63">
        <v>198</v>
      </c>
      <c r="G790" s="63">
        <v>225</v>
      </c>
      <c r="H790" s="63">
        <v>182</v>
      </c>
      <c r="I790" s="63">
        <v>193</v>
      </c>
      <c r="J790" s="63">
        <v>224</v>
      </c>
      <c r="K790" s="63">
        <v>225</v>
      </c>
      <c r="L790" s="63">
        <v>215</v>
      </c>
      <c r="M790" s="63">
        <v>199</v>
      </c>
      <c r="N790" s="63">
        <v>191</v>
      </c>
      <c r="O790" s="63">
        <v>183</v>
      </c>
      <c r="P790" s="63">
        <v>180</v>
      </c>
      <c r="Q790" s="63">
        <v>188</v>
      </c>
      <c r="R790" s="63">
        <v>200</v>
      </c>
      <c r="S790" s="63">
        <v>202</v>
      </c>
      <c r="T790" s="63">
        <v>196</v>
      </c>
      <c r="U790" s="63">
        <v>172</v>
      </c>
      <c r="V790" s="63">
        <v>137</v>
      </c>
      <c r="W790" s="63">
        <v>134</v>
      </c>
      <c r="X790" s="63">
        <v>128</v>
      </c>
      <c r="Y790" s="63">
        <v>136</v>
      </c>
      <c r="Z790" s="63">
        <v>148</v>
      </c>
      <c r="AA790" s="63">
        <v>140</v>
      </c>
      <c r="AB790" s="63">
        <v>148</v>
      </c>
    </row>
    <row r="791" spans="1:28" x14ac:dyDescent="0.2">
      <c r="A791" s="62">
        <v>63</v>
      </c>
      <c r="B791" s="62" t="s">
        <v>375</v>
      </c>
      <c r="C791" s="62">
        <v>99</v>
      </c>
      <c r="D791" s="62" t="s">
        <v>342</v>
      </c>
      <c r="E791" s="62"/>
      <c r="F791" s="62"/>
      <c r="G791" s="62"/>
      <c r="H791" s="62"/>
      <c r="I791" s="62"/>
      <c r="J791" s="62"/>
      <c r="K791" s="62"/>
      <c r="L791" s="63">
        <v>0</v>
      </c>
      <c r="M791" s="62"/>
      <c r="N791" s="62"/>
      <c r="O791" s="62"/>
      <c r="P791" s="62"/>
      <c r="Q791" s="62"/>
      <c r="R791" s="62"/>
      <c r="S791" s="63">
        <v>2</v>
      </c>
      <c r="T791" s="62"/>
      <c r="U791" s="62"/>
      <c r="V791" s="62"/>
      <c r="W791" s="62"/>
      <c r="X791" s="62"/>
      <c r="Y791" s="62"/>
      <c r="Z791" s="62"/>
      <c r="AA791" s="63">
        <v>0</v>
      </c>
      <c r="AB791" s="63">
        <v>0</v>
      </c>
    </row>
    <row r="792" spans="1:28" x14ac:dyDescent="0.2">
      <c r="A792" s="62">
        <v>65</v>
      </c>
      <c r="B792" s="62" t="s">
        <v>376</v>
      </c>
      <c r="C792" s="62">
        <v>1</v>
      </c>
      <c r="D792" s="62" t="s">
        <v>316</v>
      </c>
      <c r="E792" s="63">
        <v>74</v>
      </c>
      <c r="F792" s="63">
        <v>65</v>
      </c>
      <c r="G792" s="63">
        <v>59</v>
      </c>
      <c r="H792" s="63">
        <v>63</v>
      </c>
      <c r="I792" s="63">
        <v>56</v>
      </c>
      <c r="J792" s="63">
        <v>63</v>
      </c>
      <c r="K792" s="63">
        <v>58</v>
      </c>
      <c r="L792" s="63">
        <v>58</v>
      </c>
      <c r="M792" s="63">
        <v>66</v>
      </c>
      <c r="N792" s="63">
        <v>65</v>
      </c>
      <c r="O792" s="63">
        <v>62</v>
      </c>
      <c r="P792" s="63">
        <v>59</v>
      </c>
      <c r="Q792" s="63">
        <v>56</v>
      </c>
      <c r="R792" s="63">
        <v>54</v>
      </c>
      <c r="S792" s="63">
        <v>50</v>
      </c>
      <c r="T792" s="63">
        <v>55</v>
      </c>
      <c r="U792" s="63">
        <v>54</v>
      </c>
      <c r="V792" s="63">
        <v>54</v>
      </c>
      <c r="W792" s="63">
        <v>54</v>
      </c>
      <c r="X792" s="63">
        <v>53</v>
      </c>
      <c r="Y792" s="63">
        <v>52</v>
      </c>
      <c r="Z792" s="63">
        <v>51</v>
      </c>
      <c r="AA792" s="63">
        <v>59</v>
      </c>
      <c r="AB792" s="63">
        <v>60</v>
      </c>
    </row>
    <row r="793" spans="1:28" x14ac:dyDescent="0.2">
      <c r="A793" s="62">
        <v>65</v>
      </c>
      <c r="B793" s="62" t="s">
        <v>376</v>
      </c>
      <c r="C793" s="62">
        <v>10</v>
      </c>
      <c r="D793" s="62" t="s">
        <v>317</v>
      </c>
      <c r="E793" s="63">
        <v>2464</v>
      </c>
      <c r="F793" s="63">
        <v>2445</v>
      </c>
      <c r="G793" s="63">
        <v>2449</v>
      </c>
      <c r="H793" s="63">
        <v>2460</v>
      </c>
      <c r="I793" s="63">
        <v>2438</v>
      </c>
      <c r="J793" s="63">
        <v>2537</v>
      </c>
      <c r="K793" s="63">
        <v>2662</v>
      </c>
      <c r="L793" s="63">
        <v>2616</v>
      </c>
      <c r="M793" s="63">
        <v>2446</v>
      </c>
      <c r="N793" s="63">
        <v>2345</v>
      </c>
      <c r="O793" s="63">
        <v>2456</v>
      </c>
      <c r="P793" s="63">
        <v>2630</v>
      </c>
      <c r="Q793" s="63">
        <v>2697</v>
      </c>
      <c r="R793" s="63">
        <v>2839</v>
      </c>
      <c r="S793" s="63">
        <v>2909</v>
      </c>
      <c r="T793" s="63">
        <v>2892</v>
      </c>
      <c r="U793" s="63">
        <v>2939</v>
      </c>
      <c r="V793" s="63">
        <v>2974</v>
      </c>
      <c r="W793" s="63">
        <v>3125</v>
      </c>
      <c r="X793" s="63">
        <v>2982</v>
      </c>
      <c r="Y793" s="63">
        <v>3100</v>
      </c>
      <c r="Z793" s="63">
        <v>3299</v>
      </c>
      <c r="AA793" s="63">
        <v>3499</v>
      </c>
      <c r="AB793" s="63">
        <v>3787</v>
      </c>
    </row>
    <row r="794" spans="1:28" x14ac:dyDescent="0.2">
      <c r="A794" s="62">
        <v>65</v>
      </c>
      <c r="B794" s="62" t="s">
        <v>376</v>
      </c>
      <c r="C794" s="62">
        <v>11</v>
      </c>
      <c r="D794" s="64" t="s">
        <v>318</v>
      </c>
      <c r="E794" s="65"/>
      <c r="F794" s="65"/>
      <c r="G794" s="62"/>
      <c r="H794" s="62"/>
      <c r="I794" s="63">
        <v>4</v>
      </c>
      <c r="J794" s="63">
        <v>6</v>
      </c>
      <c r="K794" s="63">
        <v>6</v>
      </c>
      <c r="L794" s="63">
        <v>10</v>
      </c>
      <c r="M794" s="63">
        <v>5</v>
      </c>
      <c r="N794" s="62"/>
      <c r="O794" s="63">
        <v>10</v>
      </c>
      <c r="P794" s="63">
        <v>6</v>
      </c>
      <c r="Q794" s="63">
        <v>5</v>
      </c>
      <c r="R794" s="62"/>
      <c r="S794" s="62"/>
      <c r="T794" s="62"/>
      <c r="U794" s="63">
        <v>9</v>
      </c>
      <c r="V794" s="63">
        <v>10</v>
      </c>
      <c r="W794" s="63">
        <v>8</v>
      </c>
      <c r="X794" s="63">
        <v>16</v>
      </c>
      <c r="Y794" s="63">
        <v>11</v>
      </c>
      <c r="Z794" s="63">
        <v>7</v>
      </c>
      <c r="AA794" s="63">
        <v>7</v>
      </c>
      <c r="AB794" s="63">
        <v>6</v>
      </c>
    </row>
    <row r="795" spans="1:28" x14ac:dyDescent="0.2">
      <c r="A795" s="62">
        <v>65</v>
      </c>
      <c r="B795" s="62" t="s">
        <v>376</v>
      </c>
      <c r="C795" s="62">
        <v>2</v>
      </c>
      <c r="D795" s="62" t="s">
        <v>319</v>
      </c>
      <c r="E795" s="63">
        <v>17</v>
      </c>
      <c r="F795" s="63">
        <v>19</v>
      </c>
      <c r="G795" s="63">
        <v>19</v>
      </c>
      <c r="H795" s="63">
        <v>19</v>
      </c>
      <c r="I795" s="63">
        <v>17</v>
      </c>
      <c r="J795" s="63">
        <v>19</v>
      </c>
      <c r="K795" s="63">
        <v>17</v>
      </c>
      <c r="L795" s="63">
        <v>18</v>
      </c>
      <c r="M795" s="63">
        <v>19</v>
      </c>
      <c r="N795" s="63">
        <v>20</v>
      </c>
      <c r="O795" s="63">
        <v>28</v>
      </c>
      <c r="P795" s="63">
        <v>27</v>
      </c>
      <c r="Q795" s="63">
        <v>27</v>
      </c>
      <c r="R795" s="63">
        <v>29</v>
      </c>
      <c r="S795" s="63">
        <v>29</v>
      </c>
      <c r="T795" s="63">
        <v>30</v>
      </c>
      <c r="U795" s="63">
        <v>34</v>
      </c>
      <c r="V795" s="63">
        <v>36</v>
      </c>
      <c r="W795" s="63">
        <v>34</v>
      </c>
      <c r="X795" s="63">
        <v>35</v>
      </c>
      <c r="Y795" s="63">
        <v>36</v>
      </c>
      <c r="Z795" s="63">
        <v>31</v>
      </c>
      <c r="AA795" s="63">
        <v>29</v>
      </c>
      <c r="AB795" s="63">
        <v>28</v>
      </c>
    </row>
    <row r="796" spans="1:28" x14ac:dyDescent="0.2">
      <c r="A796" s="62">
        <v>65</v>
      </c>
      <c r="B796" s="62" t="s">
        <v>376</v>
      </c>
      <c r="C796" s="62">
        <v>21</v>
      </c>
      <c r="D796" s="64" t="s">
        <v>320</v>
      </c>
      <c r="E796" s="65"/>
      <c r="F796" s="65"/>
      <c r="G796" s="63">
        <v>0</v>
      </c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3">
        <v>473</v>
      </c>
      <c r="AB796" s="63">
        <v>574</v>
      </c>
    </row>
    <row r="797" spans="1:28" x14ac:dyDescent="0.2">
      <c r="A797" s="62">
        <v>65</v>
      </c>
      <c r="B797" s="62" t="s">
        <v>376</v>
      </c>
      <c r="C797" s="62">
        <v>22</v>
      </c>
      <c r="D797" s="62" t="s">
        <v>321</v>
      </c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</row>
    <row r="798" spans="1:28" x14ac:dyDescent="0.2">
      <c r="A798" s="62">
        <v>65</v>
      </c>
      <c r="B798" s="62" t="s">
        <v>376</v>
      </c>
      <c r="C798" s="62">
        <v>23</v>
      </c>
      <c r="D798" s="62" t="s">
        <v>322</v>
      </c>
      <c r="E798" s="63">
        <v>321</v>
      </c>
      <c r="F798" s="63">
        <v>307</v>
      </c>
      <c r="G798" s="63">
        <v>282</v>
      </c>
      <c r="H798" s="63">
        <v>319</v>
      </c>
      <c r="I798" s="63">
        <v>295</v>
      </c>
      <c r="J798" s="63">
        <v>334</v>
      </c>
      <c r="K798" s="63">
        <v>392</v>
      </c>
      <c r="L798" s="63">
        <v>371</v>
      </c>
      <c r="M798" s="63">
        <v>296</v>
      </c>
      <c r="N798" s="63">
        <v>251</v>
      </c>
      <c r="O798" s="63">
        <v>260</v>
      </c>
      <c r="P798" s="63">
        <v>244</v>
      </c>
      <c r="Q798" s="63">
        <v>256</v>
      </c>
      <c r="R798" s="63">
        <v>285</v>
      </c>
      <c r="S798" s="63">
        <v>359</v>
      </c>
      <c r="T798" s="63">
        <v>297</v>
      </c>
      <c r="U798" s="63">
        <v>307</v>
      </c>
      <c r="V798" s="63">
        <v>320</v>
      </c>
      <c r="W798" s="63">
        <v>325</v>
      </c>
      <c r="X798" s="63">
        <v>326</v>
      </c>
      <c r="Y798" s="63">
        <v>319</v>
      </c>
      <c r="Z798" s="63">
        <v>339</v>
      </c>
      <c r="AA798" s="63">
        <v>333</v>
      </c>
      <c r="AB798" s="63">
        <v>347</v>
      </c>
    </row>
    <row r="799" spans="1:28" x14ac:dyDescent="0.2">
      <c r="A799" s="62">
        <v>65</v>
      </c>
      <c r="B799" s="62" t="s">
        <v>376</v>
      </c>
      <c r="C799" s="62">
        <v>3</v>
      </c>
      <c r="D799" s="62" t="s">
        <v>323</v>
      </c>
      <c r="E799" s="63">
        <v>610</v>
      </c>
      <c r="F799" s="63">
        <v>639</v>
      </c>
      <c r="G799" s="63">
        <v>650</v>
      </c>
      <c r="H799" s="63">
        <v>662</v>
      </c>
      <c r="I799" s="63">
        <v>702</v>
      </c>
      <c r="J799" s="63">
        <v>695</v>
      </c>
      <c r="K799" s="63">
        <v>682</v>
      </c>
      <c r="L799" s="63">
        <v>680</v>
      </c>
      <c r="M799" s="63">
        <v>702</v>
      </c>
      <c r="N799" s="63">
        <v>680</v>
      </c>
      <c r="O799" s="63">
        <v>620</v>
      </c>
      <c r="P799" s="63">
        <v>584</v>
      </c>
      <c r="Q799" s="63">
        <v>578</v>
      </c>
      <c r="R799" s="63">
        <v>589</v>
      </c>
      <c r="S799" s="63">
        <v>618</v>
      </c>
      <c r="T799" s="63">
        <v>597</v>
      </c>
      <c r="U799" s="63">
        <v>569</v>
      </c>
      <c r="V799" s="63">
        <v>588</v>
      </c>
      <c r="W799" s="63">
        <v>593</v>
      </c>
      <c r="X799" s="63">
        <v>579</v>
      </c>
      <c r="Y799" s="63">
        <v>598</v>
      </c>
      <c r="Z799" s="63">
        <v>605</v>
      </c>
      <c r="AA799" s="63">
        <v>656</v>
      </c>
      <c r="AB799" s="63">
        <v>675</v>
      </c>
    </row>
    <row r="800" spans="1:28" x14ac:dyDescent="0.2">
      <c r="A800" s="62">
        <v>65</v>
      </c>
      <c r="B800" s="62" t="s">
        <v>376</v>
      </c>
      <c r="C800" s="62" t="s">
        <v>324</v>
      </c>
      <c r="D800" s="62" t="s">
        <v>325</v>
      </c>
      <c r="E800" s="63">
        <v>37</v>
      </c>
      <c r="F800" s="63">
        <v>31</v>
      </c>
      <c r="G800" s="63">
        <v>26</v>
      </c>
      <c r="H800" s="63">
        <v>8</v>
      </c>
      <c r="I800" s="63">
        <v>18</v>
      </c>
      <c r="J800" s="63">
        <v>21</v>
      </c>
      <c r="K800" s="63">
        <v>35</v>
      </c>
      <c r="L800" s="63">
        <v>35</v>
      </c>
      <c r="M800" s="63">
        <v>35</v>
      </c>
      <c r="N800" s="63">
        <v>31</v>
      </c>
      <c r="O800" s="63">
        <v>40</v>
      </c>
      <c r="P800" s="63">
        <v>44</v>
      </c>
      <c r="Q800" s="63">
        <v>48</v>
      </c>
      <c r="R800" s="63">
        <v>65</v>
      </c>
      <c r="S800" s="63">
        <v>67</v>
      </c>
      <c r="T800" s="63">
        <v>60</v>
      </c>
      <c r="U800" s="63">
        <v>67</v>
      </c>
      <c r="V800" s="63">
        <v>79</v>
      </c>
      <c r="W800" s="63">
        <v>96</v>
      </c>
      <c r="X800" s="63">
        <v>111</v>
      </c>
      <c r="Y800" s="63">
        <v>116</v>
      </c>
      <c r="Z800" s="63">
        <v>128</v>
      </c>
      <c r="AA800" s="63">
        <v>136</v>
      </c>
      <c r="AB800" s="63">
        <v>171</v>
      </c>
    </row>
    <row r="801" spans="1:28" x14ac:dyDescent="0.2">
      <c r="A801" s="62">
        <v>65</v>
      </c>
      <c r="B801" s="62" t="s">
        <v>376</v>
      </c>
      <c r="C801" s="62">
        <v>42</v>
      </c>
      <c r="D801" s="62" t="s">
        <v>326</v>
      </c>
      <c r="E801" s="63">
        <v>27</v>
      </c>
      <c r="F801" s="63">
        <v>26</v>
      </c>
      <c r="G801" s="63">
        <v>37</v>
      </c>
      <c r="H801" s="63">
        <v>22</v>
      </c>
      <c r="I801" s="63">
        <v>30</v>
      </c>
      <c r="J801" s="63">
        <v>23</v>
      </c>
      <c r="K801" s="63">
        <v>28</v>
      </c>
      <c r="L801" s="63">
        <v>31</v>
      </c>
      <c r="M801" s="63">
        <v>40</v>
      </c>
      <c r="N801" s="63">
        <v>36</v>
      </c>
      <c r="O801" s="63">
        <v>43</v>
      </c>
      <c r="P801" s="63">
        <v>43</v>
      </c>
      <c r="Q801" s="63">
        <v>33</v>
      </c>
      <c r="R801" s="63">
        <v>37</v>
      </c>
      <c r="S801" s="63">
        <v>38</v>
      </c>
      <c r="T801" s="63">
        <v>33</v>
      </c>
      <c r="U801" s="63">
        <v>34</v>
      </c>
      <c r="V801" s="63">
        <v>27</v>
      </c>
      <c r="W801" s="63">
        <v>19</v>
      </c>
      <c r="X801" s="63">
        <v>21</v>
      </c>
      <c r="Y801" s="63">
        <v>21</v>
      </c>
      <c r="Z801" s="63">
        <v>20</v>
      </c>
      <c r="AA801" s="63">
        <v>18</v>
      </c>
      <c r="AB801" s="63">
        <v>16</v>
      </c>
    </row>
    <row r="802" spans="1:28" x14ac:dyDescent="0.2">
      <c r="A802" s="62">
        <v>65</v>
      </c>
      <c r="B802" s="62" t="s">
        <v>376</v>
      </c>
      <c r="C802" s="62" t="s">
        <v>327</v>
      </c>
      <c r="D802" s="62" t="s">
        <v>328</v>
      </c>
      <c r="E802" s="63">
        <v>218</v>
      </c>
      <c r="F802" s="63">
        <v>217</v>
      </c>
      <c r="G802" s="63">
        <v>214</v>
      </c>
      <c r="H802" s="63">
        <v>218</v>
      </c>
      <c r="I802" s="63">
        <v>216</v>
      </c>
      <c r="J802" s="63">
        <v>211</v>
      </c>
      <c r="K802" s="63">
        <v>219</v>
      </c>
      <c r="L802" s="63">
        <v>215</v>
      </c>
      <c r="M802" s="63">
        <v>204</v>
      </c>
      <c r="N802" s="63">
        <v>213</v>
      </c>
      <c r="O802" s="63">
        <v>216</v>
      </c>
      <c r="P802" s="63">
        <v>218</v>
      </c>
      <c r="Q802" s="63">
        <v>196</v>
      </c>
      <c r="R802" s="63">
        <v>196</v>
      </c>
      <c r="S802" s="63">
        <v>209</v>
      </c>
      <c r="T802" s="63">
        <v>242</v>
      </c>
      <c r="U802" s="63">
        <v>235</v>
      </c>
      <c r="V802" s="63">
        <v>240</v>
      </c>
      <c r="W802" s="63">
        <v>231</v>
      </c>
      <c r="X802" s="63">
        <v>232</v>
      </c>
      <c r="Y802" s="63">
        <v>240</v>
      </c>
      <c r="Z802" s="63">
        <v>246</v>
      </c>
      <c r="AA802" s="63">
        <v>264</v>
      </c>
      <c r="AB802" s="63">
        <v>284</v>
      </c>
    </row>
    <row r="803" spans="1:28" x14ac:dyDescent="0.2">
      <c r="A803" s="62">
        <v>65</v>
      </c>
      <c r="B803" s="62" t="s">
        <v>376</v>
      </c>
      <c r="C803" s="62" t="s">
        <v>329</v>
      </c>
      <c r="D803" s="62" t="s">
        <v>330</v>
      </c>
      <c r="E803" s="63">
        <v>28</v>
      </c>
      <c r="F803" s="63">
        <v>22</v>
      </c>
      <c r="G803" s="63">
        <v>20</v>
      </c>
      <c r="H803" s="63">
        <v>24</v>
      </c>
      <c r="I803" s="63">
        <v>21</v>
      </c>
      <c r="J803" s="63">
        <v>34</v>
      </c>
      <c r="K803" s="63">
        <v>32</v>
      </c>
      <c r="L803" s="63">
        <v>29</v>
      </c>
      <c r="M803" s="63">
        <v>20</v>
      </c>
      <c r="N803" s="63">
        <v>20</v>
      </c>
      <c r="O803" s="63">
        <v>21</v>
      </c>
      <c r="P803" s="63">
        <v>26</v>
      </c>
      <c r="Q803" s="63">
        <v>28</v>
      </c>
      <c r="R803" s="63">
        <v>37</v>
      </c>
      <c r="S803" s="63">
        <v>35</v>
      </c>
      <c r="T803" s="63">
        <v>34</v>
      </c>
      <c r="U803" s="63">
        <v>36</v>
      </c>
      <c r="V803" s="63">
        <v>39</v>
      </c>
      <c r="W803" s="63">
        <v>39</v>
      </c>
      <c r="X803" s="63">
        <v>43</v>
      </c>
      <c r="Y803" s="63">
        <v>52</v>
      </c>
      <c r="Z803" s="63">
        <v>43</v>
      </c>
      <c r="AA803" s="63">
        <v>49</v>
      </c>
      <c r="AB803" s="63">
        <v>51</v>
      </c>
    </row>
    <row r="804" spans="1:28" x14ac:dyDescent="0.2">
      <c r="A804" s="62">
        <v>65</v>
      </c>
      <c r="B804" s="62" t="s">
        <v>376</v>
      </c>
      <c r="C804" s="62">
        <v>51</v>
      </c>
      <c r="D804" s="62" t="s">
        <v>331</v>
      </c>
      <c r="E804" s="63">
        <v>11</v>
      </c>
      <c r="F804" s="63">
        <v>12</v>
      </c>
      <c r="G804" s="63">
        <v>11</v>
      </c>
      <c r="H804" s="63">
        <v>12</v>
      </c>
      <c r="I804" s="63">
        <v>12</v>
      </c>
      <c r="J804" s="63">
        <v>20</v>
      </c>
      <c r="K804" s="63">
        <v>18</v>
      </c>
      <c r="L804" s="63">
        <v>17</v>
      </c>
      <c r="M804" s="63">
        <v>12</v>
      </c>
      <c r="N804" s="63">
        <v>6</v>
      </c>
      <c r="O804" s="63">
        <v>7</v>
      </c>
      <c r="P804" s="63">
        <v>7</v>
      </c>
      <c r="Q804" s="63">
        <v>20</v>
      </c>
      <c r="R804" s="63">
        <v>17</v>
      </c>
      <c r="S804" s="63">
        <v>19</v>
      </c>
      <c r="T804" s="63">
        <v>18</v>
      </c>
      <c r="U804" s="63">
        <v>20</v>
      </c>
      <c r="V804" s="63">
        <v>21</v>
      </c>
      <c r="W804" s="63">
        <v>24</v>
      </c>
      <c r="X804" s="63">
        <v>20</v>
      </c>
      <c r="Y804" s="63">
        <v>16</v>
      </c>
      <c r="Z804" s="63">
        <v>19</v>
      </c>
      <c r="AA804" s="63">
        <v>11</v>
      </c>
      <c r="AB804" s="63">
        <v>8</v>
      </c>
    </row>
    <row r="805" spans="1:28" x14ac:dyDescent="0.2">
      <c r="A805" s="62">
        <v>65</v>
      </c>
      <c r="B805" s="62" t="s">
        <v>376</v>
      </c>
      <c r="C805" s="62">
        <v>52</v>
      </c>
      <c r="D805" s="62" t="s">
        <v>332</v>
      </c>
      <c r="E805" s="63">
        <v>69</v>
      </c>
      <c r="F805" s="63">
        <v>63</v>
      </c>
      <c r="G805" s="63">
        <v>50</v>
      </c>
      <c r="H805" s="63">
        <v>58</v>
      </c>
      <c r="I805" s="63">
        <v>40</v>
      </c>
      <c r="J805" s="63">
        <v>40</v>
      </c>
      <c r="K805" s="63">
        <v>30</v>
      </c>
      <c r="L805" s="63">
        <v>24</v>
      </c>
      <c r="M805" s="63">
        <v>23</v>
      </c>
      <c r="N805" s="63">
        <v>16</v>
      </c>
      <c r="O805" s="63">
        <v>23</v>
      </c>
      <c r="P805" s="63">
        <v>15</v>
      </c>
      <c r="Q805" s="63">
        <v>25</v>
      </c>
      <c r="R805" s="63">
        <v>22</v>
      </c>
      <c r="S805" s="63">
        <v>25</v>
      </c>
      <c r="T805" s="63">
        <v>24</v>
      </c>
      <c r="U805" s="63">
        <v>27</v>
      </c>
      <c r="V805" s="63">
        <v>24</v>
      </c>
      <c r="W805" s="63">
        <v>20</v>
      </c>
      <c r="X805" s="63">
        <v>18</v>
      </c>
      <c r="Y805" s="63">
        <v>21</v>
      </c>
      <c r="Z805" s="63">
        <v>24</v>
      </c>
      <c r="AA805" s="63">
        <v>24</v>
      </c>
      <c r="AB805" s="63">
        <v>22</v>
      </c>
    </row>
    <row r="806" spans="1:28" x14ac:dyDescent="0.2">
      <c r="A806" s="62">
        <v>65</v>
      </c>
      <c r="B806" s="62" t="s">
        <v>376</v>
      </c>
      <c r="C806" s="62">
        <v>53</v>
      </c>
      <c r="D806" s="62" t="s">
        <v>333</v>
      </c>
      <c r="E806" s="63">
        <v>60</v>
      </c>
      <c r="F806" s="63">
        <v>64</v>
      </c>
      <c r="G806" s="63">
        <v>78</v>
      </c>
      <c r="H806" s="63">
        <v>74</v>
      </c>
      <c r="I806" s="63">
        <v>84</v>
      </c>
      <c r="J806" s="63">
        <v>89</v>
      </c>
      <c r="K806" s="63">
        <v>105</v>
      </c>
      <c r="L806" s="63">
        <v>99</v>
      </c>
      <c r="M806" s="63">
        <v>91</v>
      </c>
      <c r="N806" s="63">
        <v>76</v>
      </c>
      <c r="O806" s="63">
        <v>95</v>
      </c>
      <c r="P806" s="63">
        <v>88</v>
      </c>
      <c r="Q806" s="63">
        <v>73</v>
      </c>
      <c r="R806" s="63">
        <v>73</v>
      </c>
      <c r="S806" s="63">
        <v>66</v>
      </c>
      <c r="T806" s="63">
        <v>78</v>
      </c>
      <c r="U806" s="63">
        <v>86</v>
      </c>
      <c r="V806" s="63">
        <v>74</v>
      </c>
      <c r="W806" s="63">
        <v>94</v>
      </c>
      <c r="X806" s="63">
        <v>97</v>
      </c>
      <c r="Y806" s="63">
        <v>113</v>
      </c>
      <c r="Z806" s="63">
        <v>143</v>
      </c>
      <c r="AA806" s="63">
        <v>177</v>
      </c>
      <c r="AB806" s="63">
        <v>177</v>
      </c>
    </row>
    <row r="807" spans="1:28" x14ac:dyDescent="0.2">
      <c r="A807" s="62">
        <v>65</v>
      </c>
      <c r="B807" s="62" t="s">
        <v>376</v>
      </c>
      <c r="C807" s="62">
        <v>54</v>
      </c>
      <c r="D807" s="62" t="s">
        <v>334</v>
      </c>
      <c r="E807" s="63">
        <v>81</v>
      </c>
      <c r="F807" s="63">
        <v>86</v>
      </c>
      <c r="G807" s="63">
        <v>85</v>
      </c>
      <c r="H807" s="63">
        <v>80</v>
      </c>
      <c r="I807" s="63">
        <v>82</v>
      </c>
      <c r="J807" s="63">
        <v>69</v>
      </c>
      <c r="K807" s="63">
        <v>92</v>
      </c>
      <c r="L807" s="63">
        <v>85</v>
      </c>
      <c r="M807" s="63">
        <v>69</v>
      </c>
      <c r="N807" s="63">
        <v>72</v>
      </c>
      <c r="O807" s="63">
        <v>104</v>
      </c>
      <c r="P807" s="63">
        <v>85</v>
      </c>
      <c r="Q807" s="63">
        <v>80</v>
      </c>
      <c r="R807" s="63">
        <v>80</v>
      </c>
      <c r="S807" s="63">
        <v>90</v>
      </c>
      <c r="T807" s="63">
        <v>98</v>
      </c>
      <c r="U807" s="63">
        <v>100</v>
      </c>
      <c r="V807" s="63">
        <v>99</v>
      </c>
      <c r="W807" s="63">
        <v>132</v>
      </c>
      <c r="X807" s="63">
        <v>127</v>
      </c>
      <c r="Y807" s="63">
        <v>126</v>
      </c>
      <c r="Z807" s="63">
        <v>137</v>
      </c>
      <c r="AA807" s="63">
        <v>148</v>
      </c>
      <c r="AB807" s="63">
        <v>177</v>
      </c>
    </row>
    <row r="808" spans="1:28" x14ac:dyDescent="0.2">
      <c r="A808" s="62">
        <v>65</v>
      </c>
      <c r="B808" s="62" t="s">
        <v>376</v>
      </c>
      <c r="C808" s="62">
        <v>55</v>
      </c>
      <c r="D808" s="64" t="s">
        <v>335</v>
      </c>
      <c r="E808" s="65"/>
      <c r="F808" s="65"/>
      <c r="G808" s="65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3">
        <v>0</v>
      </c>
      <c r="X808" s="63">
        <v>0</v>
      </c>
      <c r="Y808" s="63">
        <v>0</v>
      </c>
      <c r="Z808" s="63">
        <v>0</v>
      </c>
      <c r="AA808" s="62"/>
      <c r="AB808" s="62"/>
    </row>
    <row r="809" spans="1:28" x14ac:dyDescent="0.2">
      <c r="A809" s="62">
        <v>65</v>
      </c>
      <c r="B809" s="62" t="s">
        <v>376</v>
      </c>
      <c r="C809" s="62">
        <v>56</v>
      </c>
      <c r="D809" s="62" t="s">
        <v>336</v>
      </c>
      <c r="E809" s="63">
        <v>94</v>
      </c>
      <c r="F809" s="63">
        <v>91</v>
      </c>
      <c r="G809" s="63">
        <v>101</v>
      </c>
      <c r="H809" s="63">
        <v>105</v>
      </c>
      <c r="I809" s="63">
        <v>103</v>
      </c>
      <c r="J809" s="63">
        <v>115</v>
      </c>
      <c r="K809" s="63">
        <v>117</v>
      </c>
      <c r="L809" s="63">
        <v>117</v>
      </c>
      <c r="M809" s="63">
        <v>102</v>
      </c>
      <c r="N809" s="63">
        <v>91</v>
      </c>
      <c r="O809" s="63">
        <v>94</v>
      </c>
      <c r="P809" s="63">
        <v>98</v>
      </c>
      <c r="Q809" s="63">
        <v>127</v>
      </c>
      <c r="R809" s="63">
        <v>164</v>
      </c>
      <c r="S809" s="63">
        <v>133</v>
      </c>
      <c r="T809" s="63">
        <v>129</v>
      </c>
      <c r="U809" s="63">
        <v>131</v>
      </c>
      <c r="V809" s="63">
        <v>142</v>
      </c>
      <c r="W809" s="63">
        <v>171</v>
      </c>
      <c r="X809" s="63">
        <v>163</v>
      </c>
      <c r="Y809" s="63">
        <v>170</v>
      </c>
      <c r="Z809" s="63">
        <v>148</v>
      </c>
      <c r="AA809" s="63">
        <v>169</v>
      </c>
      <c r="AB809" s="63">
        <v>167</v>
      </c>
    </row>
    <row r="810" spans="1:28" x14ac:dyDescent="0.2">
      <c r="A810" s="62">
        <v>65</v>
      </c>
      <c r="B810" s="62" t="s">
        <v>376</v>
      </c>
      <c r="C810" s="62">
        <v>61</v>
      </c>
      <c r="D810" s="64" t="s">
        <v>337</v>
      </c>
      <c r="E810" s="65"/>
      <c r="F810" s="62"/>
      <c r="G810" s="62"/>
      <c r="H810" s="62"/>
      <c r="I810" s="63">
        <v>25</v>
      </c>
      <c r="J810" s="63">
        <v>29</v>
      </c>
      <c r="K810" s="62"/>
      <c r="L810" s="62"/>
      <c r="M810" s="62"/>
      <c r="N810" s="63">
        <v>32</v>
      </c>
      <c r="O810" s="63">
        <v>31</v>
      </c>
      <c r="P810" s="63">
        <v>35</v>
      </c>
      <c r="Q810" s="63">
        <v>44</v>
      </c>
      <c r="R810" s="63">
        <v>56</v>
      </c>
      <c r="S810" s="63">
        <v>54</v>
      </c>
      <c r="T810" s="63">
        <v>54</v>
      </c>
      <c r="U810" s="63">
        <v>61</v>
      </c>
      <c r="V810" s="63">
        <v>61</v>
      </c>
      <c r="W810" s="63">
        <v>65</v>
      </c>
      <c r="X810" s="63">
        <v>57</v>
      </c>
      <c r="Y810" s="63">
        <v>75</v>
      </c>
      <c r="Z810" s="63">
        <v>64</v>
      </c>
      <c r="AA810" s="63">
        <v>74</v>
      </c>
      <c r="AB810" s="63">
        <v>75</v>
      </c>
    </row>
    <row r="811" spans="1:28" x14ac:dyDescent="0.2">
      <c r="A811" s="62">
        <v>65</v>
      </c>
      <c r="B811" s="62" t="s">
        <v>376</v>
      </c>
      <c r="C811" s="62">
        <v>62</v>
      </c>
      <c r="D811" s="62" t="s">
        <v>338</v>
      </c>
      <c r="E811" s="63">
        <v>228</v>
      </c>
      <c r="F811" s="63">
        <v>230</v>
      </c>
      <c r="G811" s="63">
        <v>227</v>
      </c>
      <c r="H811" s="63">
        <v>227</v>
      </c>
      <c r="I811" s="63">
        <v>236</v>
      </c>
      <c r="J811" s="63">
        <v>234</v>
      </c>
      <c r="K811" s="63">
        <v>234</v>
      </c>
      <c r="L811" s="63">
        <v>212</v>
      </c>
      <c r="M811" s="63">
        <v>237</v>
      </c>
      <c r="N811" s="63">
        <v>230</v>
      </c>
      <c r="O811" s="63">
        <v>232</v>
      </c>
      <c r="P811" s="63">
        <v>222</v>
      </c>
      <c r="Q811" s="63">
        <v>234</v>
      </c>
      <c r="R811" s="63">
        <v>224</v>
      </c>
      <c r="S811" s="63">
        <v>162</v>
      </c>
      <c r="T811" s="63">
        <v>157</v>
      </c>
      <c r="U811" s="63">
        <v>151</v>
      </c>
      <c r="V811" s="63">
        <v>158</v>
      </c>
      <c r="W811" s="63">
        <v>167</v>
      </c>
      <c r="X811" s="63">
        <v>170</v>
      </c>
      <c r="Y811" s="63">
        <v>191</v>
      </c>
      <c r="Z811" s="63">
        <v>219</v>
      </c>
      <c r="AA811" s="63">
        <v>198</v>
      </c>
      <c r="AB811" s="63">
        <v>193</v>
      </c>
    </row>
    <row r="812" spans="1:28" x14ac:dyDescent="0.2">
      <c r="A812" s="62">
        <v>65</v>
      </c>
      <c r="B812" s="62" t="s">
        <v>376</v>
      </c>
      <c r="C812" s="62">
        <v>71</v>
      </c>
      <c r="D812" s="62" t="s">
        <v>339</v>
      </c>
      <c r="E812" s="63">
        <v>131</v>
      </c>
      <c r="F812" s="63">
        <v>121</v>
      </c>
      <c r="G812" s="63">
        <v>142</v>
      </c>
      <c r="H812" s="63">
        <v>130</v>
      </c>
      <c r="I812" s="63">
        <v>113</v>
      </c>
      <c r="J812" s="63">
        <v>128</v>
      </c>
      <c r="K812" s="63">
        <v>129</v>
      </c>
      <c r="L812" s="63">
        <v>125</v>
      </c>
      <c r="M812" s="63">
        <v>131</v>
      </c>
      <c r="N812" s="63">
        <v>139</v>
      </c>
      <c r="O812" s="63">
        <v>140</v>
      </c>
      <c r="P812" s="63">
        <v>137</v>
      </c>
      <c r="Q812" s="63">
        <v>148</v>
      </c>
      <c r="R812" s="63">
        <v>156</v>
      </c>
      <c r="S812" s="63">
        <v>167</v>
      </c>
      <c r="T812" s="63">
        <v>186</v>
      </c>
      <c r="U812" s="63">
        <v>192</v>
      </c>
      <c r="V812" s="63">
        <v>184</v>
      </c>
      <c r="W812" s="63">
        <v>184</v>
      </c>
      <c r="X812" s="63">
        <v>174</v>
      </c>
      <c r="Y812" s="63">
        <v>189</v>
      </c>
      <c r="Z812" s="63">
        <v>185</v>
      </c>
      <c r="AA812" s="63">
        <v>181</v>
      </c>
      <c r="AB812" s="63">
        <v>191</v>
      </c>
    </row>
    <row r="813" spans="1:28" x14ac:dyDescent="0.2">
      <c r="A813" s="62">
        <v>65</v>
      </c>
      <c r="B813" s="62" t="s">
        <v>376</v>
      </c>
      <c r="C813" s="62">
        <v>72</v>
      </c>
      <c r="D813" s="62" t="s">
        <v>340</v>
      </c>
      <c r="E813" s="63">
        <v>261</v>
      </c>
      <c r="F813" s="63">
        <v>259</v>
      </c>
      <c r="G813" s="63">
        <v>274</v>
      </c>
      <c r="H813" s="63">
        <v>262</v>
      </c>
      <c r="I813" s="63">
        <v>265</v>
      </c>
      <c r="J813" s="63">
        <v>301</v>
      </c>
      <c r="K813" s="63">
        <v>311</v>
      </c>
      <c r="L813" s="63">
        <v>294</v>
      </c>
      <c r="M813" s="63">
        <v>256</v>
      </c>
      <c r="N813" s="63">
        <v>232</v>
      </c>
      <c r="O813" s="63">
        <v>260</v>
      </c>
      <c r="P813" s="63">
        <v>254</v>
      </c>
      <c r="Q813" s="63">
        <v>266</v>
      </c>
      <c r="R813" s="63">
        <v>298</v>
      </c>
      <c r="S813" s="63">
        <v>290</v>
      </c>
      <c r="T813" s="63">
        <v>288</v>
      </c>
      <c r="U813" s="63">
        <v>313</v>
      </c>
      <c r="V813" s="63">
        <v>308</v>
      </c>
      <c r="W813" s="63">
        <v>325</v>
      </c>
      <c r="X813" s="63">
        <v>273</v>
      </c>
      <c r="Y813" s="63">
        <v>316</v>
      </c>
      <c r="Z813" s="63">
        <v>340</v>
      </c>
      <c r="AA813" s="63">
        <v>367</v>
      </c>
      <c r="AB813" s="63">
        <v>425</v>
      </c>
    </row>
    <row r="814" spans="1:28" x14ac:dyDescent="0.2">
      <c r="A814" s="62">
        <v>65</v>
      </c>
      <c r="B814" s="62" t="s">
        <v>376</v>
      </c>
      <c r="C814" s="62">
        <v>81</v>
      </c>
      <c r="D814" s="62" t="s">
        <v>341</v>
      </c>
      <c r="E814" s="63">
        <v>114</v>
      </c>
      <c r="F814" s="63">
        <v>117</v>
      </c>
      <c r="G814" s="63">
        <v>117</v>
      </c>
      <c r="H814" s="63">
        <v>111</v>
      </c>
      <c r="I814" s="63">
        <v>96</v>
      </c>
      <c r="J814" s="63">
        <v>88</v>
      </c>
      <c r="K814" s="63">
        <v>103</v>
      </c>
      <c r="L814" s="63">
        <v>110</v>
      </c>
      <c r="M814" s="63">
        <v>91</v>
      </c>
      <c r="N814" s="63">
        <v>99</v>
      </c>
      <c r="O814" s="63">
        <v>92</v>
      </c>
      <c r="P814" s="63">
        <v>95</v>
      </c>
      <c r="Q814" s="63">
        <v>103</v>
      </c>
      <c r="R814" s="63">
        <v>110</v>
      </c>
      <c r="S814" s="63">
        <v>108</v>
      </c>
      <c r="T814" s="63">
        <v>106</v>
      </c>
      <c r="U814" s="63">
        <v>128</v>
      </c>
      <c r="V814" s="63">
        <v>105</v>
      </c>
      <c r="W814" s="63">
        <v>86</v>
      </c>
      <c r="X814" s="63">
        <v>84</v>
      </c>
      <c r="Y814" s="63">
        <v>90</v>
      </c>
      <c r="Z814" s="63">
        <v>104</v>
      </c>
      <c r="AA814" s="63">
        <v>96</v>
      </c>
      <c r="AB814" s="63">
        <v>116</v>
      </c>
    </row>
    <row r="815" spans="1:28" x14ac:dyDescent="0.2">
      <c r="A815" s="62">
        <v>65</v>
      </c>
      <c r="B815" s="62" t="s">
        <v>376</v>
      </c>
      <c r="C815" s="62">
        <v>99</v>
      </c>
      <c r="D815" s="62" t="s">
        <v>342</v>
      </c>
      <c r="E815" s="62"/>
      <c r="F815" s="62"/>
      <c r="G815" s="62"/>
      <c r="H815" s="62"/>
      <c r="I815" s="62"/>
      <c r="J815" s="62"/>
      <c r="K815" s="62"/>
      <c r="L815" s="62"/>
      <c r="M815" s="63">
        <v>0</v>
      </c>
      <c r="N815" s="62"/>
      <c r="O815" s="62"/>
      <c r="P815" s="63">
        <v>0</v>
      </c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3">
        <v>1</v>
      </c>
    </row>
    <row r="816" spans="1:28" x14ac:dyDescent="0.2">
      <c r="A816" s="62">
        <v>67</v>
      </c>
      <c r="B816" s="62" t="s">
        <v>377</v>
      </c>
      <c r="C816" s="62">
        <v>1</v>
      </c>
      <c r="D816" s="62" t="s">
        <v>316</v>
      </c>
      <c r="E816" s="63">
        <v>373</v>
      </c>
      <c r="F816" s="63">
        <v>420</v>
      </c>
      <c r="G816" s="63">
        <v>467</v>
      </c>
      <c r="H816" s="63">
        <v>453</v>
      </c>
      <c r="I816" s="63">
        <v>449</v>
      </c>
      <c r="J816" s="63">
        <v>439</v>
      </c>
      <c r="K816" s="63">
        <v>426</v>
      </c>
      <c r="L816" s="63">
        <v>405</v>
      </c>
      <c r="M816" s="63">
        <v>406</v>
      </c>
      <c r="N816" s="63">
        <v>427</v>
      </c>
      <c r="O816" s="63">
        <v>387</v>
      </c>
      <c r="P816" s="63">
        <v>387</v>
      </c>
      <c r="Q816" s="63">
        <v>365</v>
      </c>
      <c r="R816" s="63">
        <v>341</v>
      </c>
      <c r="S816" s="63">
        <v>330</v>
      </c>
      <c r="T816" s="63">
        <v>326</v>
      </c>
      <c r="U816" s="63">
        <v>314</v>
      </c>
      <c r="V816" s="63">
        <v>315</v>
      </c>
      <c r="W816" s="63">
        <v>334</v>
      </c>
      <c r="X816" s="63">
        <v>341</v>
      </c>
      <c r="Y816" s="63">
        <v>318</v>
      </c>
      <c r="Z816" s="63">
        <v>316</v>
      </c>
      <c r="AA816" s="63">
        <v>337</v>
      </c>
      <c r="AB816" s="63">
        <v>354</v>
      </c>
    </row>
    <row r="817" spans="1:28" x14ac:dyDescent="0.2">
      <c r="A817" s="62">
        <v>67</v>
      </c>
      <c r="B817" s="62" t="s">
        <v>377</v>
      </c>
      <c r="C817" s="62">
        <v>10</v>
      </c>
      <c r="D817" s="62" t="s">
        <v>317</v>
      </c>
      <c r="E817" s="63">
        <v>26219</v>
      </c>
      <c r="F817" s="63">
        <v>26609</v>
      </c>
      <c r="G817" s="63">
        <v>27099</v>
      </c>
      <c r="H817" s="63">
        <v>28425</v>
      </c>
      <c r="I817" s="63">
        <v>29285</v>
      </c>
      <c r="J817" s="63">
        <v>30633</v>
      </c>
      <c r="K817" s="63">
        <v>31750</v>
      </c>
      <c r="L817" s="63">
        <v>31907</v>
      </c>
      <c r="M817" s="63">
        <v>30271</v>
      </c>
      <c r="N817" s="63">
        <v>29701</v>
      </c>
      <c r="O817" s="63">
        <v>29451</v>
      </c>
      <c r="P817" s="63">
        <v>29721</v>
      </c>
      <c r="Q817" s="63">
        <v>30395</v>
      </c>
      <c r="R817" s="63">
        <v>31261</v>
      </c>
      <c r="S817" s="63">
        <v>31889</v>
      </c>
      <c r="T817" s="63">
        <v>32706</v>
      </c>
      <c r="U817" s="63">
        <v>33001</v>
      </c>
      <c r="V817" s="63">
        <v>33133</v>
      </c>
      <c r="W817" s="63">
        <v>32993</v>
      </c>
      <c r="X817" s="63">
        <v>30931</v>
      </c>
      <c r="Y817" s="63">
        <v>32174</v>
      </c>
      <c r="Z817" s="63">
        <v>33586</v>
      </c>
      <c r="AA817" s="63">
        <v>34234</v>
      </c>
      <c r="AB817" s="63">
        <v>34353</v>
      </c>
    </row>
    <row r="818" spans="1:28" x14ac:dyDescent="0.2">
      <c r="A818" s="62">
        <v>67</v>
      </c>
      <c r="B818" s="62" t="s">
        <v>377</v>
      </c>
      <c r="C818" s="62">
        <v>11</v>
      </c>
      <c r="D818" s="62" t="s">
        <v>318</v>
      </c>
      <c r="E818" s="63">
        <v>132</v>
      </c>
      <c r="F818" s="63">
        <v>141</v>
      </c>
      <c r="G818" s="63">
        <v>57</v>
      </c>
      <c r="H818" s="63">
        <v>68</v>
      </c>
      <c r="I818" s="63">
        <v>149</v>
      </c>
      <c r="J818" s="63">
        <v>152</v>
      </c>
      <c r="K818" s="63">
        <v>160</v>
      </c>
      <c r="L818" s="63">
        <v>172</v>
      </c>
      <c r="M818" s="63">
        <v>174</v>
      </c>
      <c r="N818" s="63">
        <v>181</v>
      </c>
      <c r="O818" s="63">
        <v>190</v>
      </c>
      <c r="P818" s="63">
        <v>195</v>
      </c>
      <c r="Q818" s="63">
        <v>190</v>
      </c>
      <c r="R818" s="63">
        <v>185</v>
      </c>
      <c r="S818" s="63">
        <v>192</v>
      </c>
      <c r="T818" s="63">
        <v>182</v>
      </c>
      <c r="U818" s="63">
        <v>209</v>
      </c>
      <c r="V818" s="63">
        <v>192</v>
      </c>
      <c r="W818" s="63">
        <v>227</v>
      </c>
      <c r="X818" s="63">
        <v>215</v>
      </c>
      <c r="Y818" s="63">
        <v>208</v>
      </c>
      <c r="Z818" s="63">
        <v>218</v>
      </c>
      <c r="AA818" s="63">
        <v>202</v>
      </c>
      <c r="AB818" s="63">
        <v>178</v>
      </c>
    </row>
    <row r="819" spans="1:28" x14ac:dyDescent="0.2">
      <c r="A819" s="62">
        <v>67</v>
      </c>
      <c r="B819" s="62" t="s">
        <v>377</v>
      </c>
      <c r="C819" s="62">
        <v>2</v>
      </c>
      <c r="D819" s="62" t="s">
        <v>319</v>
      </c>
      <c r="E819" s="63">
        <v>930</v>
      </c>
      <c r="F819" s="63">
        <v>936</v>
      </c>
      <c r="G819" s="63">
        <v>932</v>
      </c>
      <c r="H819" s="63">
        <v>923</v>
      </c>
      <c r="I819" s="63">
        <v>956</v>
      </c>
      <c r="J819" s="63">
        <v>967</v>
      </c>
      <c r="K819" s="63">
        <v>971</v>
      </c>
      <c r="L819" s="63">
        <v>1012</v>
      </c>
      <c r="M819" s="63">
        <v>1028</v>
      </c>
      <c r="N819" s="63">
        <v>1000</v>
      </c>
      <c r="O819" s="63">
        <v>968</v>
      </c>
      <c r="P819" s="63">
        <v>1004</v>
      </c>
      <c r="Q819" s="63">
        <v>995</v>
      </c>
      <c r="R819" s="63">
        <v>989</v>
      </c>
      <c r="S819" s="63">
        <v>1034</v>
      </c>
      <c r="T819" s="63">
        <v>1052</v>
      </c>
      <c r="U819" s="63">
        <v>1062</v>
      </c>
      <c r="V819" s="63">
        <v>1095</v>
      </c>
      <c r="W819" s="63">
        <v>1076</v>
      </c>
      <c r="X819" s="63">
        <v>1061</v>
      </c>
      <c r="Y819" s="63">
        <v>1063</v>
      </c>
      <c r="Z819" s="63">
        <v>1132</v>
      </c>
      <c r="AA819" s="63">
        <v>1104</v>
      </c>
      <c r="AB819" s="63">
        <v>1115</v>
      </c>
    </row>
    <row r="820" spans="1:28" x14ac:dyDescent="0.2">
      <c r="A820" s="62">
        <v>67</v>
      </c>
      <c r="B820" s="62" t="s">
        <v>377</v>
      </c>
      <c r="C820" s="62">
        <v>21</v>
      </c>
      <c r="D820" s="62" t="s">
        <v>320</v>
      </c>
      <c r="E820" s="63">
        <v>302</v>
      </c>
      <c r="F820" s="63">
        <v>353</v>
      </c>
      <c r="G820" s="63">
        <v>389</v>
      </c>
      <c r="H820" s="63">
        <v>482</v>
      </c>
      <c r="I820" s="63">
        <v>508</v>
      </c>
      <c r="J820" s="63">
        <v>631</v>
      </c>
      <c r="K820" s="63">
        <v>783</v>
      </c>
      <c r="L820" s="63">
        <v>836</v>
      </c>
      <c r="M820" s="63">
        <v>788</v>
      </c>
      <c r="N820" s="63">
        <v>781</v>
      </c>
      <c r="O820" s="63">
        <v>818</v>
      </c>
      <c r="P820" s="63">
        <v>769</v>
      </c>
      <c r="Q820" s="63">
        <v>743</v>
      </c>
      <c r="R820" s="63">
        <v>761</v>
      </c>
      <c r="S820" s="63">
        <v>730</v>
      </c>
      <c r="T820" s="63">
        <v>689</v>
      </c>
      <c r="U820" s="63">
        <v>635</v>
      </c>
      <c r="V820" s="63">
        <v>604</v>
      </c>
      <c r="W820" s="63">
        <v>502</v>
      </c>
      <c r="X820" s="63">
        <v>506</v>
      </c>
      <c r="Y820" s="63">
        <v>452</v>
      </c>
      <c r="Z820" s="63">
        <v>499</v>
      </c>
      <c r="AA820" s="63">
        <v>543</v>
      </c>
      <c r="AB820" s="63">
        <v>510</v>
      </c>
    </row>
    <row r="821" spans="1:28" x14ac:dyDescent="0.2">
      <c r="A821" s="62">
        <v>67</v>
      </c>
      <c r="B821" s="62" t="s">
        <v>377</v>
      </c>
      <c r="C821" s="62">
        <v>22</v>
      </c>
      <c r="D821" s="62" t="s">
        <v>321</v>
      </c>
      <c r="E821" s="62"/>
      <c r="F821" s="62"/>
      <c r="G821" s="62"/>
      <c r="H821" s="62"/>
      <c r="I821" s="63">
        <v>120</v>
      </c>
      <c r="J821" s="63">
        <v>119</v>
      </c>
      <c r="K821" s="63">
        <v>127</v>
      </c>
      <c r="L821" s="63">
        <v>127</v>
      </c>
      <c r="M821" s="63">
        <v>129</v>
      </c>
      <c r="N821" s="63">
        <v>130</v>
      </c>
      <c r="O821" s="63">
        <v>122</v>
      </c>
      <c r="P821" s="63">
        <v>126</v>
      </c>
      <c r="Q821" s="63">
        <v>139</v>
      </c>
      <c r="R821" s="63">
        <v>139</v>
      </c>
      <c r="S821" s="63">
        <v>141</v>
      </c>
      <c r="T821" s="63">
        <v>144</v>
      </c>
      <c r="U821" s="63">
        <v>147</v>
      </c>
      <c r="V821" s="63">
        <v>140</v>
      </c>
      <c r="W821" s="63">
        <v>140</v>
      </c>
      <c r="X821" s="63">
        <v>142</v>
      </c>
      <c r="Y821" s="63">
        <v>154</v>
      </c>
      <c r="Z821" s="63">
        <v>146</v>
      </c>
      <c r="AA821" s="63">
        <v>150</v>
      </c>
      <c r="AB821" s="63">
        <v>149</v>
      </c>
    </row>
    <row r="822" spans="1:28" x14ac:dyDescent="0.2">
      <c r="A822" s="62">
        <v>67</v>
      </c>
      <c r="B822" s="62" t="s">
        <v>377</v>
      </c>
      <c r="C822" s="62">
        <v>23</v>
      </c>
      <c r="D822" s="62" t="s">
        <v>322</v>
      </c>
      <c r="E822" s="63">
        <v>2614</v>
      </c>
      <c r="F822" s="63">
        <v>2701</v>
      </c>
      <c r="G822" s="63">
        <v>3055</v>
      </c>
      <c r="H822" s="63">
        <v>3415</v>
      </c>
      <c r="I822" s="63">
        <v>3504</v>
      </c>
      <c r="J822" s="63">
        <v>3967</v>
      </c>
      <c r="K822" s="63">
        <v>4052</v>
      </c>
      <c r="L822" s="63">
        <v>3921</v>
      </c>
      <c r="M822" s="63">
        <v>3048</v>
      </c>
      <c r="N822" s="63">
        <v>2702</v>
      </c>
      <c r="O822" s="63">
        <v>2795</v>
      </c>
      <c r="P822" s="63">
        <v>2704</v>
      </c>
      <c r="Q822" s="63">
        <v>3084</v>
      </c>
      <c r="R822" s="63">
        <v>3382</v>
      </c>
      <c r="S822" s="63">
        <v>3363</v>
      </c>
      <c r="T822" s="63">
        <v>3547</v>
      </c>
      <c r="U822" s="63">
        <v>3176</v>
      </c>
      <c r="V822" s="63">
        <v>3229</v>
      </c>
      <c r="W822" s="63">
        <v>3216</v>
      </c>
      <c r="X822" s="63">
        <v>2971</v>
      </c>
      <c r="Y822" s="63">
        <v>2917</v>
      </c>
      <c r="Z822" s="63">
        <v>2925</v>
      </c>
      <c r="AA822" s="63">
        <v>2971</v>
      </c>
      <c r="AB822" s="63">
        <v>2908</v>
      </c>
    </row>
    <row r="823" spans="1:28" x14ac:dyDescent="0.2">
      <c r="A823" s="62">
        <v>67</v>
      </c>
      <c r="B823" s="62" t="s">
        <v>377</v>
      </c>
      <c r="C823" s="62">
        <v>3</v>
      </c>
      <c r="D823" s="62" t="s">
        <v>323</v>
      </c>
      <c r="E823" s="63">
        <v>2958</v>
      </c>
      <c r="F823" s="63">
        <v>3244</v>
      </c>
      <c r="G823" s="63">
        <v>3326</v>
      </c>
      <c r="H823" s="63">
        <v>3375</v>
      </c>
      <c r="I823" s="63">
        <v>3443</v>
      </c>
      <c r="J823" s="63">
        <v>3611</v>
      </c>
      <c r="K823" s="63">
        <v>3803</v>
      </c>
      <c r="L823" s="63">
        <v>3926</v>
      </c>
      <c r="M823" s="63">
        <v>4085</v>
      </c>
      <c r="N823" s="63">
        <v>4111</v>
      </c>
      <c r="O823" s="63">
        <v>3873</v>
      </c>
      <c r="P823" s="63">
        <v>3760</v>
      </c>
      <c r="Q823" s="63">
        <v>3804</v>
      </c>
      <c r="R823" s="63">
        <v>3837</v>
      </c>
      <c r="S823" s="63">
        <v>3854</v>
      </c>
      <c r="T823" s="63">
        <v>3923</v>
      </c>
      <c r="U823" s="63">
        <v>4008</v>
      </c>
      <c r="V823" s="63">
        <v>4090</v>
      </c>
      <c r="W823" s="63">
        <v>4112</v>
      </c>
      <c r="X823" s="63">
        <v>3813</v>
      </c>
      <c r="Y823" s="63">
        <v>3707</v>
      </c>
      <c r="Z823" s="63">
        <v>3810</v>
      </c>
      <c r="AA823" s="63">
        <v>4071</v>
      </c>
      <c r="AB823" s="63">
        <v>4255</v>
      </c>
    </row>
    <row r="824" spans="1:28" x14ac:dyDescent="0.2">
      <c r="A824" s="62">
        <v>67</v>
      </c>
      <c r="B824" s="62" t="s">
        <v>377</v>
      </c>
      <c r="C824" s="62" t="s">
        <v>324</v>
      </c>
      <c r="D824" s="62" t="s">
        <v>325</v>
      </c>
      <c r="E824" s="63">
        <v>840</v>
      </c>
      <c r="F824" s="63">
        <v>726</v>
      </c>
      <c r="G824" s="63">
        <v>683</v>
      </c>
      <c r="H824" s="63">
        <v>719</v>
      </c>
      <c r="I824" s="63">
        <v>712</v>
      </c>
      <c r="J824" s="63">
        <v>731</v>
      </c>
      <c r="K824" s="63">
        <v>693</v>
      </c>
      <c r="L824" s="63">
        <v>675</v>
      </c>
      <c r="M824" s="63">
        <v>628</v>
      </c>
      <c r="N824" s="63">
        <v>636</v>
      </c>
      <c r="O824" s="63">
        <v>667</v>
      </c>
      <c r="P824" s="63">
        <v>693</v>
      </c>
      <c r="Q824" s="63">
        <v>706</v>
      </c>
      <c r="R824" s="63">
        <v>725</v>
      </c>
      <c r="S824" s="63">
        <v>787</v>
      </c>
      <c r="T824" s="63">
        <v>850</v>
      </c>
      <c r="U824" s="63">
        <v>884</v>
      </c>
      <c r="V824" s="63">
        <v>877</v>
      </c>
      <c r="W824" s="63">
        <v>837</v>
      </c>
      <c r="X824" s="63">
        <v>804</v>
      </c>
      <c r="Y824" s="63">
        <v>876</v>
      </c>
      <c r="Z824" s="63">
        <v>865</v>
      </c>
      <c r="AA824" s="63">
        <v>916</v>
      </c>
      <c r="AB824" s="63">
        <v>944</v>
      </c>
    </row>
    <row r="825" spans="1:28" x14ac:dyDescent="0.2">
      <c r="A825" s="62">
        <v>67</v>
      </c>
      <c r="B825" s="62" t="s">
        <v>377</v>
      </c>
      <c r="C825" s="62">
        <v>42</v>
      </c>
      <c r="D825" s="62" t="s">
        <v>326</v>
      </c>
      <c r="E825" s="63">
        <v>673</v>
      </c>
      <c r="F825" s="63">
        <v>627</v>
      </c>
      <c r="G825" s="63">
        <v>632</v>
      </c>
      <c r="H825" s="63">
        <v>639</v>
      </c>
      <c r="I825" s="63">
        <v>621</v>
      </c>
      <c r="J825" s="63">
        <v>657</v>
      </c>
      <c r="K825" s="63">
        <v>706</v>
      </c>
      <c r="L825" s="63">
        <v>681</v>
      </c>
      <c r="M825" s="63">
        <v>649</v>
      </c>
      <c r="N825" s="63">
        <v>569</v>
      </c>
      <c r="O825" s="63">
        <v>595</v>
      </c>
      <c r="P825" s="63">
        <v>617</v>
      </c>
      <c r="Q825" s="63">
        <v>623</v>
      </c>
      <c r="R825" s="63">
        <v>662</v>
      </c>
      <c r="S825" s="63">
        <v>669</v>
      </c>
      <c r="T825" s="63">
        <v>664</v>
      </c>
      <c r="U825" s="63">
        <v>676</v>
      </c>
      <c r="V825" s="63">
        <v>646</v>
      </c>
      <c r="W825" s="63">
        <v>631</v>
      </c>
      <c r="X825" s="63">
        <v>642</v>
      </c>
      <c r="Y825" s="63">
        <v>662</v>
      </c>
      <c r="Z825" s="63">
        <v>693</v>
      </c>
      <c r="AA825" s="63">
        <v>706</v>
      </c>
      <c r="AB825" s="63">
        <v>666</v>
      </c>
    </row>
    <row r="826" spans="1:28" x14ac:dyDescent="0.2">
      <c r="A826" s="62">
        <v>67</v>
      </c>
      <c r="B826" s="62" t="s">
        <v>377</v>
      </c>
      <c r="C826" s="62" t="s">
        <v>327</v>
      </c>
      <c r="D826" s="62" t="s">
        <v>328</v>
      </c>
      <c r="E826" s="63">
        <v>3488</v>
      </c>
      <c r="F826" s="63">
        <v>3410</v>
      </c>
      <c r="G826" s="63">
        <v>3428</v>
      </c>
      <c r="H826" s="63">
        <v>3488</v>
      </c>
      <c r="I826" s="63">
        <v>3515</v>
      </c>
      <c r="J826" s="63">
        <v>3663</v>
      </c>
      <c r="K826" s="63">
        <v>3783</v>
      </c>
      <c r="L826" s="63">
        <v>3723</v>
      </c>
      <c r="M826" s="63">
        <v>3472</v>
      </c>
      <c r="N826" s="63">
        <v>3416</v>
      </c>
      <c r="O826" s="63">
        <v>3411</v>
      </c>
      <c r="P826" s="63">
        <v>3422</v>
      </c>
      <c r="Q826" s="63">
        <v>3439</v>
      </c>
      <c r="R826" s="63">
        <v>3519</v>
      </c>
      <c r="S826" s="63">
        <v>3565</v>
      </c>
      <c r="T826" s="63">
        <v>3646</v>
      </c>
      <c r="U826" s="63">
        <v>3715</v>
      </c>
      <c r="V826" s="63">
        <v>3751</v>
      </c>
      <c r="W826" s="63">
        <v>3716</v>
      </c>
      <c r="X826" s="63">
        <v>3642</v>
      </c>
      <c r="Y826" s="63">
        <v>3808</v>
      </c>
      <c r="Z826" s="63">
        <v>3937</v>
      </c>
      <c r="AA826" s="63">
        <v>3915</v>
      </c>
      <c r="AB826" s="63">
        <v>3840</v>
      </c>
    </row>
    <row r="827" spans="1:28" x14ac:dyDescent="0.2">
      <c r="A827" s="62">
        <v>67</v>
      </c>
      <c r="B827" s="62" t="s">
        <v>377</v>
      </c>
      <c r="C827" s="62" t="s">
        <v>329</v>
      </c>
      <c r="D827" s="62" t="s">
        <v>330</v>
      </c>
      <c r="E827" s="63">
        <v>688</v>
      </c>
      <c r="F827" s="63">
        <v>761</v>
      </c>
      <c r="G827" s="63">
        <v>722</v>
      </c>
      <c r="H827" s="63">
        <v>728</v>
      </c>
      <c r="I827" s="63">
        <v>753</v>
      </c>
      <c r="J827" s="63">
        <v>737</v>
      </c>
      <c r="K827" s="63">
        <v>788</v>
      </c>
      <c r="L827" s="63">
        <v>800</v>
      </c>
      <c r="M827" s="63">
        <v>812</v>
      </c>
      <c r="N827" s="63">
        <v>720</v>
      </c>
      <c r="O827" s="63">
        <v>707</v>
      </c>
      <c r="P827" s="63">
        <v>708</v>
      </c>
      <c r="Q827" s="63">
        <v>695</v>
      </c>
      <c r="R827" s="63">
        <v>701</v>
      </c>
      <c r="S827" s="63">
        <v>744</v>
      </c>
      <c r="T827" s="63">
        <v>781</v>
      </c>
      <c r="U827" s="63">
        <v>816</v>
      </c>
      <c r="V827" s="63">
        <v>805</v>
      </c>
      <c r="W827" s="63">
        <v>846</v>
      </c>
      <c r="X827" s="63">
        <v>788</v>
      </c>
      <c r="Y827" s="63">
        <v>853</v>
      </c>
      <c r="Z827" s="63">
        <v>964</v>
      </c>
      <c r="AA827" s="63">
        <v>984</v>
      </c>
      <c r="AB827" s="63">
        <v>1006</v>
      </c>
    </row>
    <row r="828" spans="1:28" x14ac:dyDescent="0.2">
      <c r="A828" s="62">
        <v>67</v>
      </c>
      <c r="B828" s="62" t="s">
        <v>377</v>
      </c>
      <c r="C828" s="62">
        <v>51</v>
      </c>
      <c r="D828" s="62" t="s">
        <v>331</v>
      </c>
      <c r="E828" s="63">
        <v>546</v>
      </c>
      <c r="F828" s="63">
        <v>552</v>
      </c>
      <c r="G828" s="63">
        <v>577</v>
      </c>
      <c r="H828" s="63">
        <v>567</v>
      </c>
      <c r="I828" s="63">
        <v>569</v>
      </c>
      <c r="J828" s="63">
        <v>558</v>
      </c>
      <c r="K828" s="63">
        <v>555</v>
      </c>
      <c r="L828" s="63">
        <v>530</v>
      </c>
      <c r="M828" s="63">
        <v>500</v>
      </c>
      <c r="N828" s="63">
        <v>512</v>
      </c>
      <c r="O828" s="63">
        <v>493</v>
      </c>
      <c r="P828" s="63">
        <v>481</v>
      </c>
      <c r="Q828" s="63">
        <v>496</v>
      </c>
      <c r="R828" s="63">
        <v>481</v>
      </c>
      <c r="S828" s="63">
        <v>486</v>
      </c>
      <c r="T828" s="63">
        <v>481</v>
      </c>
      <c r="U828" s="63">
        <v>474</v>
      </c>
      <c r="V828" s="63">
        <v>454</v>
      </c>
      <c r="W828" s="63">
        <v>441</v>
      </c>
      <c r="X828" s="63">
        <v>391</v>
      </c>
      <c r="Y828" s="63">
        <v>399</v>
      </c>
      <c r="Z828" s="63">
        <v>487</v>
      </c>
      <c r="AA828" s="63">
        <v>502</v>
      </c>
      <c r="AB828" s="63">
        <v>519</v>
      </c>
    </row>
    <row r="829" spans="1:28" x14ac:dyDescent="0.2">
      <c r="A829" s="62">
        <v>67</v>
      </c>
      <c r="B829" s="62" t="s">
        <v>377</v>
      </c>
      <c r="C829" s="62">
        <v>52</v>
      </c>
      <c r="D829" s="62" t="s">
        <v>332</v>
      </c>
      <c r="E829" s="63">
        <v>676</v>
      </c>
      <c r="F829" s="63">
        <v>675</v>
      </c>
      <c r="G829" s="63">
        <v>682</v>
      </c>
      <c r="H829" s="63">
        <v>730</v>
      </c>
      <c r="I829" s="63">
        <v>838</v>
      </c>
      <c r="J829" s="63">
        <v>931</v>
      </c>
      <c r="K829" s="63">
        <v>1049</v>
      </c>
      <c r="L829" s="63">
        <v>1007</v>
      </c>
      <c r="M829" s="63">
        <v>1007</v>
      </c>
      <c r="N829" s="63">
        <v>1031</v>
      </c>
      <c r="O829" s="63">
        <v>1050</v>
      </c>
      <c r="P829" s="63">
        <v>1094</v>
      </c>
      <c r="Q829" s="63">
        <v>1143</v>
      </c>
      <c r="R829" s="63">
        <v>1084</v>
      </c>
      <c r="S829" s="63">
        <v>1053</v>
      </c>
      <c r="T829" s="63">
        <v>1116</v>
      </c>
      <c r="U829" s="63">
        <v>1088</v>
      </c>
      <c r="V829" s="63">
        <v>1019</v>
      </c>
      <c r="W829" s="63">
        <v>953</v>
      </c>
      <c r="X829" s="63">
        <v>898</v>
      </c>
      <c r="Y829" s="63">
        <v>942</v>
      </c>
      <c r="Z829" s="63">
        <v>935</v>
      </c>
      <c r="AA829" s="63">
        <v>939</v>
      </c>
      <c r="AB829" s="63">
        <v>908</v>
      </c>
    </row>
    <row r="830" spans="1:28" x14ac:dyDescent="0.2">
      <c r="A830" s="62">
        <v>67</v>
      </c>
      <c r="B830" s="62" t="s">
        <v>377</v>
      </c>
      <c r="C830" s="62">
        <v>53</v>
      </c>
      <c r="D830" s="62" t="s">
        <v>333</v>
      </c>
      <c r="E830" s="63">
        <v>971</v>
      </c>
      <c r="F830" s="63">
        <v>1041</v>
      </c>
      <c r="G830" s="63">
        <v>1070</v>
      </c>
      <c r="H830" s="63">
        <v>1164</v>
      </c>
      <c r="I830" s="63">
        <v>1228</v>
      </c>
      <c r="J830" s="63">
        <v>1259</v>
      </c>
      <c r="K830" s="63">
        <v>1286</v>
      </c>
      <c r="L830" s="63">
        <v>1229</v>
      </c>
      <c r="M830" s="63">
        <v>1223</v>
      </c>
      <c r="N830" s="63">
        <v>1191</v>
      </c>
      <c r="O830" s="63">
        <v>1182</v>
      </c>
      <c r="P830" s="63">
        <v>1226</v>
      </c>
      <c r="Q830" s="63">
        <v>1251</v>
      </c>
      <c r="R830" s="63">
        <v>1277</v>
      </c>
      <c r="S830" s="63">
        <v>1343</v>
      </c>
      <c r="T830" s="63">
        <v>1327</v>
      </c>
      <c r="U830" s="63">
        <v>1374</v>
      </c>
      <c r="V830" s="63">
        <v>1427</v>
      </c>
      <c r="W830" s="63">
        <v>1421</v>
      </c>
      <c r="X830" s="63">
        <v>1411</v>
      </c>
      <c r="Y830" s="63">
        <v>1481</v>
      </c>
      <c r="Z830" s="63">
        <v>1515</v>
      </c>
      <c r="AA830" s="63">
        <v>1409</v>
      </c>
      <c r="AB830" s="63">
        <v>1330</v>
      </c>
    </row>
    <row r="831" spans="1:28" x14ac:dyDescent="0.2">
      <c r="A831" s="62">
        <v>67</v>
      </c>
      <c r="B831" s="62" t="s">
        <v>377</v>
      </c>
      <c r="C831" s="62">
        <v>54</v>
      </c>
      <c r="D831" s="62" t="s">
        <v>334</v>
      </c>
      <c r="E831" s="63">
        <v>1614</v>
      </c>
      <c r="F831" s="63">
        <v>1661</v>
      </c>
      <c r="G831" s="63">
        <v>1695</v>
      </c>
      <c r="H831" s="63">
        <v>1800</v>
      </c>
      <c r="I831" s="63">
        <v>1994</v>
      </c>
      <c r="J831" s="63">
        <v>2051</v>
      </c>
      <c r="K831" s="63">
        <v>2145</v>
      </c>
      <c r="L831" s="63">
        <v>2159</v>
      </c>
      <c r="M831" s="63">
        <v>1993</v>
      </c>
      <c r="N831" s="63">
        <v>1926</v>
      </c>
      <c r="O831" s="63">
        <v>1977</v>
      </c>
      <c r="P831" s="63">
        <v>1986</v>
      </c>
      <c r="Q831" s="63">
        <v>2009</v>
      </c>
      <c r="R831" s="63">
        <v>2084</v>
      </c>
      <c r="S831" s="63">
        <v>2113</v>
      </c>
      <c r="T831" s="63">
        <v>2152</v>
      </c>
      <c r="U831" s="63">
        <v>2246</v>
      </c>
      <c r="V831" s="63">
        <v>2368</v>
      </c>
      <c r="W831" s="63">
        <v>2347</v>
      </c>
      <c r="X831" s="63">
        <v>2376</v>
      </c>
      <c r="Y831" s="63">
        <v>2544</v>
      </c>
      <c r="Z831" s="63">
        <v>2760</v>
      </c>
      <c r="AA831" s="63">
        <v>2898</v>
      </c>
      <c r="AB831" s="63">
        <v>3018</v>
      </c>
    </row>
    <row r="832" spans="1:28" x14ac:dyDescent="0.2">
      <c r="A832" s="62">
        <v>67</v>
      </c>
      <c r="B832" s="62" t="s">
        <v>377</v>
      </c>
      <c r="C832" s="62">
        <v>55</v>
      </c>
      <c r="D832" s="62" t="s">
        <v>335</v>
      </c>
      <c r="E832" s="63">
        <v>28</v>
      </c>
      <c r="F832" s="63">
        <v>2</v>
      </c>
      <c r="G832" s="63">
        <v>3</v>
      </c>
      <c r="H832" s="63">
        <v>15</v>
      </c>
      <c r="I832" s="63">
        <v>12</v>
      </c>
      <c r="J832" s="62"/>
      <c r="K832" s="63">
        <v>41</v>
      </c>
      <c r="L832" s="63">
        <v>46</v>
      </c>
      <c r="M832" s="63">
        <v>43</v>
      </c>
      <c r="N832" s="63">
        <v>46</v>
      </c>
      <c r="O832" s="63">
        <v>42</v>
      </c>
      <c r="P832" s="63">
        <v>42</v>
      </c>
      <c r="Q832" s="63">
        <v>43</v>
      </c>
      <c r="R832" s="63">
        <v>54</v>
      </c>
      <c r="S832" s="63">
        <v>58</v>
      </c>
      <c r="T832" s="62"/>
      <c r="U832" s="63">
        <v>86</v>
      </c>
      <c r="V832" s="62"/>
      <c r="W832" s="63">
        <v>131</v>
      </c>
      <c r="X832" s="63">
        <v>143</v>
      </c>
      <c r="Y832" s="63">
        <v>155</v>
      </c>
      <c r="Z832" s="63">
        <v>224</v>
      </c>
      <c r="AA832" s="63">
        <v>180</v>
      </c>
      <c r="AB832" s="63">
        <v>99</v>
      </c>
    </row>
    <row r="833" spans="1:28" x14ac:dyDescent="0.2">
      <c r="A833" s="62">
        <v>67</v>
      </c>
      <c r="B833" s="62" t="s">
        <v>377</v>
      </c>
      <c r="C833" s="62">
        <v>56</v>
      </c>
      <c r="D833" s="62" t="s">
        <v>336</v>
      </c>
      <c r="E833" s="63">
        <v>833</v>
      </c>
      <c r="F833" s="63">
        <v>898</v>
      </c>
      <c r="G833" s="63">
        <v>988</v>
      </c>
      <c r="H833" s="63">
        <v>1142</v>
      </c>
      <c r="I833" s="63">
        <v>1192</v>
      </c>
      <c r="J833" s="63">
        <v>1239</v>
      </c>
      <c r="K833" s="63">
        <v>1399</v>
      </c>
      <c r="L833" s="63">
        <v>1568</v>
      </c>
      <c r="M833" s="63">
        <v>1457</v>
      </c>
      <c r="N833" s="63">
        <v>1452</v>
      </c>
      <c r="O833" s="63">
        <v>1173</v>
      </c>
      <c r="P833" s="63">
        <v>1158</v>
      </c>
      <c r="Q833" s="63">
        <v>1165</v>
      </c>
      <c r="R833" s="63">
        <v>1227</v>
      </c>
      <c r="S833" s="63">
        <v>1337</v>
      </c>
      <c r="T833" s="63">
        <v>1416</v>
      </c>
      <c r="U833" s="63">
        <v>1320</v>
      </c>
      <c r="V833" s="63">
        <v>1389</v>
      </c>
      <c r="W833" s="63">
        <v>1424</v>
      </c>
      <c r="X833" s="63">
        <v>1311</v>
      </c>
      <c r="Y833" s="63">
        <v>1366</v>
      </c>
      <c r="Z833" s="63">
        <v>1504</v>
      </c>
      <c r="AA833" s="63">
        <v>1510</v>
      </c>
      <c r="AB833" s="63">
        <v>1491</v>
      </c>
    </row>
    <row r="834" spans="1:28" x14ac:dyDescent="0.2">
      <c r="A834" s="62">
        <v>67</v>
      </c>
      <c r="B834" s="62" t="s">
        <v>377</v>
      </c>
      <c r="C834" s="62">
        <v>61</v>
      </c>
      <c r="D834" s="62" t="s">
        <v>337</v>
      </c>
      <c r="E834" s="63">
        <v>249</v>
      </c>
      <c r="F834" s="63">
        <v>241</v>
      </c>
      <c r="G834" s="63">
        <v>253</v>
      </c>
      <c r="H834" s="63">
        <v>262</v>
      </c>
      <c r="I834" s="63">
        <v>317</v>
      </c>
      <c r="J834" s="63">
        <v>325</v>
      </c>
      <c r="K834" s="63">
        <v>321</v>
      </c>
      <c r="L834" s="63">
        <v>343</v>
      </c>
      <c r="M834" s="63">
        <v>321</v>
      </c>
      <c r="N834" s="63">
        <v>343</v>
      </c>
      <c r="O834" s="63">
        <v>336</v>
      </c>
      <c r="P834" s="63">
        <v>351</v>
      </c>
      <c r="Q834" s="63">
        <v>362</v>
      </c>
      <c r="R834" s="63">
        <v>387</v>
      </c>
      <c r="S834" s="63">
        <v>421</v>
      </c>
      <c r="T834" s="63">
        <v>405</v>
      </c>
      <c r="U834" s="63">
        <v>433</v>
      </c>
      <c r="V834" s="63">
        <v>456</v>
      </c>
      <c r="W834" s="63">
        <v>499</v>
      </c>
      <c r="X834" s="63">
        <v>422</v>
      </c>
      <c r="Y834" s="63">
        <v>459</v>
      </c>
      <c r="Z834" s="63">
        <v>539</v>
      </c>
      <c r="AA834" s="63">
        <v>539</v>
      </c>
      <c r="AB834" s="63">
        <v>522</v>
      </c>
    </row>
    <row r="835" spans="1:28" x14ac:dyDescent="0.2">
      <c r="A835" s="62">
        <v>67</v>
      </c>
      <c r="B835" s="62" t="s">
        <v>377</v>
      </c>
      <c r="C835" s="62">
        <v>62</v>
      </c>
      <c r="D835" s="62" t="s">
        <v>338</v>
      </c>
      <c r="E835" s="63">
        <v>2619</v>
      </c>
      <c r="F835" s="63">
        <v>2711</v>
      </c>
      <c r="G835" s="63">
        <v>2708</v>
      </c>
      <c r="H835" s="63">
        <v>2746</v>
      </c>
      <c r="I835" s="63">
        <v>2856</v>
      </c>
      <c r="J835" s="63">
        <v>2922</v>
      </c>
      <c r="K835" s="63">
        <v>3009</v>
      </c>
      <c r="L835" s="63">
        <v>3044</v>
      </c>
      <c r="M835" s="63">
        <v>3139</v>
      </c>
      <c r="N835" s="63">
        <v>3264</v>
      </c>
      <c r="O835" s="63">
        <v>3313</v>
      </c>
      <c r="P835" s="63">
        <v>3393</v>
      </c>
      <c r="Q835" s="63">
        <v>3435</v>
      </c>
      <c r="R835" s="63">
        <v>3532</v>
      </c>
      <c r="S835" s="63">
        <v>3776</v>
      </c>
      <c r="T835" s="63">
        <v>3907</v>
      </c>
      <c r="U835" s="63">
        <v>4038</v>
      </c>
      <c r="V835" s="63">
        <v>4030</v>
      </c>
      <c r="W835" s="63">
        <v>3929</v>
      </c>
      <c r="X835" s="63">
        <v>3823</v>
      </c>
      <c r="Y835" s="63">
        <v>3959</v>
      </c>
      <c r="Z835" s="63">
        <v>3931</v>
      </c>
      <c r="AA835" s="63">
        <v>3851</v>
      </c>
      <c r="AB835" s="63">
        <v>3834</v>
      </c>
    </row>
    <row r="836" spans="1:28" x14ac:dyDescent="0.2">
      <c r="A836" s="62">
        <v>67</v>
      </c>
      <c r="B836" s="62" t="s">
        <v>377</v>
      </c>
      <c r="C836" s="62">
        <v>71</v>
      </c>
      <c r="D836" s="62" t="s">
        <v>339</v>
      </c>
      <c r="E836" s="63">
        <v>992</v>
      </c>
      <c r="F836" s="63">
        <v>967</v>
      </c>
      <c r="G836" s="63">
        <v>921</v>
      </c>
      <c r="H836" s="63">
        <v>1052</v>
      </c>
      <c r="I836" s="63">
        <v>1008</v>
      </c>
      <c r="J836" s="63">
        <v>1010</v>
      </c>
      <c r="K836" s="63">
        <v>1020</v>
      </c>
      <c r="L836" s="63">
        <v>1021</v>
      </c>
      <c r="M836" s="63">
        <v>1004</v>
      </c>
      <c r="N836" s="63">
        <v>1029</v>
      </c>
      <c r="O836" s="63">
        <v>1081</v>
      </c>
      <c r="P836" s="63">
        <v>1154</v>
      </c>
      <c r="Q836" s="63">
        <v>1135</v>
      </c>
      <c r="R836" s="63">
        <v>1203</v>
      </c>
      <c r="S836" s="63">
        <v>1232</v>
      </c>
      <c r="T836" s="63">
        <v>1314</v>
      </c>
      <c r="U836" s="63">
        <v>1407</v>
      </c>
      <c r="V836" s="63">
        <v>1393</v>
      </c>
      <c r="W836" s="63">
        <v>1433</v>
      </c>
      <c r="X836" s="63">
        <v>1168</v>
      </c>
      <c r="Y836" s="63">
        <v>1352</v>
      </c>
      <c r="Z836" s="63">
        <v>1445</v>
      </c>
      <c r="AA836" s="63">
        <v>1500</v>
      </c>
      <c r="AB836" s="63">
        <v>1631</v>
      </c>
    </row>
    <row r="837" spans="1:28" x14ac:dyDescent="0.2">
      <c r="A837" s="62">
        <v>67</v>
      </c>
      <c r="B837" s="62" t="s">
        <v>377</v>
      </c>
      <c r="C837" s="62">
        <v>72</v>
      </c>
      <c r="D837" s="62" t="s">
        <v>340</v>
      </c>
      <c r="E837" s="63">
        <v>3366</v>
      </c>
      <c r="F837" s="63">
        <v>3242</v>
      </c>
      <c r="G837" s="63">
        <v>3161</v>
      </c>
      <c r="H837" s="63">
        <v>3247</v>
      </c>
      <c r="I837" s="63">
        <v>3332</v>
      </c>
      <c r="J837" s="63">
        <v>3419</v>
      </c>
      <c r="K837" s="63">
        <v>3351</v>
      </c>
      <c r="L837" s="63">
        <v>3338</v>
      </c>
      <c r="M837" s="63">
        <v>3071</v>
      </c>
      <c r="N837" s="63">
        <v>2968</v>
      </c>
      <c r="O837" s="63">
        <v>3031</v>
      </c>
      <c r="P837" s="63">
        <v>3159</v>
      </c>
      <c r="Q837" s="63">
        <v>3300</v>
      </c>
      <c r="R837" s="63">
        <v>3381</v>
      </c>
      <c r="S837" s="63">
        <v>3343</v>
      </c>
      <c r="T837" s="63">
        <v>3376</v>
      </c>
      <c r="U837" s="63">
        <v>3487</v>
      </c>
      <c r="V837" s="63">
        <v>3451</v>
      </c>
      <c r="W837" s="63">
        <v>3538</v>
      </c>
      <c r="X837" s="63">
        <v>2884</v>
      </c>
      <c r="Y837" s="63">
        <v>3273</v>
      </c>
      <c r="Z837" s="63">
        <v>3459</v>
      </c>
      <c r="AA837" s="63">
        <v>3586</v>
      </c>
      <c r="AB837" s="63">
        <v>3651</v>
      </c>
    </row>
    <row r="838" spans="1:28" x14ac:dyDescent="0.2">
      <c r="A838" s="62">
        <v>67</v>
      </c>
      <c r="B838" s="62" t="s">
        <v>377</v>
      </c>
      <c r="C838" s="62">
        <v>81</v>
      </c>
      <c r="D838" s="62" t="s">
        <v>341</v>
      </c>
      <c r="E838" s="63">
        <v>1121</v>
      </c>
      <c r="F838" s="63">
        <v>1109</v>
      </c>
      <c r="G838" s="63">
        <v>1144</v>
      </c>
      <c r="H838" s="63">
        <v>1193</v>
      </c>
      <c r="I838" s="63">
        <v>1201</v>
      </c>
      <c r="J838" s="63">
        <v>1191</v>
      </c>
      <c r="K838" s="63">
        <v>1274</v>
      </c>
      <c r="L838" s="63">
        <v>1333</v>
      </c>
      <c r="M838" s="63">
        <v>1283</v>
      </c>
      <c r="N838" s="63">
        <v>1255</v>
      </c>
      <c r="O838" s="63">
        <v>1230</v>
      </c>
      <c r="P838" s="63">
        <v>1281</v>
      </c>
      <c r="Q838" s="63">
        <v>1263</v>
      </c>
      <c r="R838" s="63">
        <v>1298</v>
      </c>
      <c r="S838" s="63">
        <v>1305</v>
      </c>
      <c r="T838" s="63">
        <v>1335</v>
      </c>
      <c r="U838" s="63">
        <v>1395</v>
      </c>
      <c r="V838" s="63">
        <v>1256</v>
      </c>
      <c r="W838" s="63">
        <v>1228</v>
      </c>
      <c r="X838" s="63">
        <v>1167</v>
      </c>
      <c r="Y838" s="63">
        <v>1204</v>
      </c>
      <c r="Z838" s="63">
        <v>1270</v>
      </c>
      <c r="AA838" s="63">
        <v>1401</v>
      </c>
      <c r="AB838" s="63">
        <v>1407</v>
      </c>
    </row>
    <row r="839" spans="1:28" x14ac:dyDescent="0.2">
      <c r="A839" s="62">
        <v>67</v>
      </c>
      <c r="B839" s="62" t="s">
        <v>377</v>
      </c>
      <c r="C839" s="62">
        <v>99</v>
      </c>
      <c r="D839" s="62" t="s">
        <v>342</v>
      </c>
      <c r="E839" s="62"/>
      <c r="F839" s="62"/>
      <c r="G839" s="62"/>
      <c r="H839" s="62"/>
      <c r="I839" s="63">
        <v>0</v>
      </c>
      <c r="J839" s="62"/>
      <c r="K839" s="63">
        <v>0</v>
      </c>
      <c r="L839" s="63">
        <v>0</v>
      </c>
      <c r="M839" s="63">
        <v>0</v>
      </c>
      <c r="N839" s="63">
        <v>0</v>
      </c>
      <c r="O839" s="63">
        <v>0</v>
      </c>
      <c r="P839" s="63">
        <v>0</v>
      </c>
      <c r="Q839" s="63">
        <v>1</v>
      </c>
      <c r="R839" s="63">
        <v>4</v>
      </c>
      <c r="S839" s="63">
        <v>3</v>
      </c>
      <c r="T839" s="62"/>
      <c r="U839" s="62"/>
      <c r="V839" s="62"/>
      <c r="W839" s="63">
        <v>1</v>
      </c>
      <c r="X839" s="63">
        <v>1</v>
      </c>
      <c r="Y839" s="63">
        <v>12</v>
      </c>
      <c r="Z839" s="63">
        <v>3</v>
      </c>
      <c r="AA839" s="63">
        <v>9</v>
      </c>
      <c r="AB839" s="63">
        <v>7</v>
      </c>
    </row>
    <row r="840" spans="1:28" x14ac:dyDescent="0.2">
      <c r="A840" s="62">
        <v>69</v>
      </c>
      <c r="B840" s="62" t="s">
        <v>378</v>
      </c>
      <c r="C840" s="62">
        <v>1</v>
      </c>
      <c r="D840" s="62" t="s">
        <v>316</v>
      </c>
      <c r="E840" s="63">
        <v>2291</v>
      </c>
      <c r="F840" s="63">
        <v>2431</v>
      </c>
      <c r="G840" s="63">
        <v>2474</v>
      </c>
      <c r="H840" s="63">
        <v>2480</v>
      </c>
      <c r="I840" s="63">
        <v>2460</v>
      </c>
      <c r="J840" s="63">
        <v>2446</v>
      </c>
      <c r="K840" s="63">
        <v>2432</v>
      </c>
      <c r="L840" s="63">
        <v>2458</v>
      </c>
      <c r="M840" s="63">
        <v>2509</v>
      </c>
      <c r="N840" s="63">
        <v>2536</v>
      </c>
      <c r="O840" s="63">
        <v>2585</v>
      </c>
      <c r="P840" s="63">
        <v>2527</v>
      </c>
      <c r="Q840" s="63">
        <v>2450</v>
      </c>
      <c r="R840" s="63">
        <v>2415</v>
      </c>
      <c r="S840" s="63">
        <v>2447</v>
      </c>
      <c r="T840" s="63">
        <v>2510</v>
      </c>
      <c r="U840" s="63">
        <v>2532</v>
      </c>
      <c r="V840" s="63">
        <v>2505</v>
      </c>
      <c r="W840" s="63">
        <v>2501</v>
      </c>
      <c r="X840" s="63">
        <v>2634</v>
      </c>
      <c r="Y840" s="63">
        <v>2648</v>
      </c>
      <c r="Z840" s="63">
        <v>2551</v>
      </c>
      <c r="AA840" s="63">
        <v>2631</v>
      </c>
      <c r="AB840" s="63">
        <v>2683</v>
      </c>
    </row>
    <row r="841" spans="1:28" x14ac:dyDescent="0.2">
      <c r="A841" s="62">
        <v>69</v>
      </c>
      <c r="B841" s="62" t="s">
        <v>378</v>
      </c>
      <c r="C841" s="62">
        <v>10</v>
      </c>
      <c r="D841" s="62" t="s">
        <v>317</v>
      </c>
      <c r="E841" s="63">
        <v>143068</v>
      </c>
      <c r="F841" s="63">
        <v>143430</v>
      </c>
      <c r="G841" s="63">
        <v>143084</v>
      </c>
      <c r="H841" s="63">
        <v>146724</v>
      </c>
      <c r="I841" s="63">
        <v>150062</v>
      </c>
      <c r="J841" s="63">
        <v>152731</v>
      </c>
      <c r="K841" s="63">
        <v>157095</v>
      </c>
      <c r="L841" s="63">
        <v>157324</v>
      </c>
      <c r="M841" s="63">
        <v>153174</v>
      </c>
      <c r="N841" s="63">
        <v>153816</v>
      </c>
      <c r="O841" s="63">
        <v>156659</v>
      </c>
      <c r="P841" s="63">
        <v>160745</v>
      </c>
      <c r="Q841" s="63">
        <v>165597</v>
      </c>
      <c r="R841" s="63">
        <v>171826</v>
      </c>
      <c r="S841" s="63">
        <v>177970</v>
      </c>
      <c r="T841" s="63">
        <v>184802</v>
      </c>
      <c r="U841" s="63">
        <v>190308</v>
      </c>
      <c r="V841" s="63">
        <v>196194</v>
      </c>
      <c r="W841" s="63">
        <v>200302</v>
      </c>
      <c r="X841" s="63">
        <v>192264</v>
      </c>
      <c r="Y841" s="63">
        <v>201177</v>
      </c>
      <c r="Z841" s="63">
        <v>208688</v>
      </c>
      <c r="AA841" s="63">
        <v>212531</v>
      </c>
      <c r="AB841" s="63">
        <v>212769</v>
      </c>
    </row>
    <row r="842" spans="1:28" x14ac:dyDescent="0.2">
      <c r="A842" s="62">
        <v>69</v>
      </c>
      <c r="B842" s="62" t="s">
        <v>378</v>
      </c>
      <c r="C842" s="62">
        <v>11</v>
      </c>
      <c r="D842" s="62" t="s">
        <v>318</v>
      </c>
      <c r="E842" s="63">
        <v>1044</v>
      </c>
      <c r="F842" s="63">
        <v>1035</v>
      </c>
      <c r="G842" s="63">
        <v>968</v>
      </c>
      <c r="H842" s="63">
        <v>1003</v>
      </c>
      <c r="I842" s="63">
        <v>1010</v>
      </c>
      <c r="J842" s="63">
        <v>817</v>
      </c>
      <c r="K842" s="63">
        <v>995</v>
      </c>
      <c r="L842" s="63">
        <v>1042</v>
      </c>
      <c r="M842" s="63">
        <v>902</v>
      </c>
      <c r="N842" s="63">
        <v>874</v>
      </c>
      <c r="O842" s="63">
        <v>883</v>
      </c>
      <c r="P842" s="63">
        <v>1082</v>
      </c>
      <c r="Q842" s="63">
        <v>948</v>
      </c>
      <c r="R842" s="63">
        <v>962</v>
      </c>
      <c r="S842" s="63">
        <v>996</v>
      </c>
      <c r="T842" s="63">
        <v>1102</v>
      </c>
      <c r="U842" s="63">
        <v>1178</v>
      </c>
      <c r="V842" s="63">
        <v>1201</v>
      </c>
      <c r="W842" s="63">
        <v>1341</v>
      </c>
      <c r="X842" s="63">
        <v>1283</v>
      </c>
      <c r="Y842" s="63">
        <v>1299</v>
      </c>
      <c r="Z842" s="63">
        <v>1273</v>
      </c>
      <c r="AA842" s="63">
        <v>1263</v>
      </c>
      <c r="AB842" s="63">
        <v>1267</v>
      </c>
    </row>
    <row r="843" spans="1:28" x14ac:dyDescent="0.2">
      <c r="A843" s="62">
        <v>69</v>
      </c>
      <c r="B843" s="62" t="s">
        <v>378</v>
      </c>
      <c r="C843" s="62">
        <v>2</v>
      </c>
      <c r="D843" s="62" t="s">
        <v>319</v>
      </c>
      <c r="E843" s="63">
        <v>7430</v>
      </c>
      <c r="F843" s="63">
        <v>7495</v>
      </c>
      <c r="G843" s="63">
        <v>7435</v>
      </c>
      <c r="H843" s="63">
        <v>7397</v>
      </c>
      <c r="I843" s="63">
        <v>7475</v>
      </c>
      <c r="J843" s="63">
        <v>7561</v>
      </c>
      <c r="K843" s="63">
        <v>7854</v>
      </c>
      <c r="L843" s="63">
        <v>8031</v>
      </c>
      <c r="M843" s="63">
        <v>7855</v>
      </c>
      <c r="N843" s="63">
        <v>7791</v>
      </c>
      <c r="O843" s="63">
        <v>7885</v>
      </c>
      <c r="P843" s="63">
        <v>8106</v>
      </c>
      <c r="Q843" s="63">
        <v>13549</v>
      </c>
      <c r="R843" s="63">
        <v>13832</v>
      </c>
      <c r="S843" s="63">
        <v>14224</v>
      </c>
      <c r="T843" s="63">
        <v>14845</v>
      </c>
      <c r="U843" s="63">
        <v>15633</v>
      </c>
      <c r="V843" s="63">
        <v>16583</v>
      </c>
      <c r="W843" s="63">
        <v>17297</v>
      </c>
      <c r="X843" s="63">
        <v>17490</v>
      </c>
      <c r="Y843" s="63">
        <v>17873</v>
      </c>
      <c r="Z843" s="63">
        <v>18705</v>
      </c>
      <c r="AA843" s="63">
        <v>19693</v>
      </c>
      <c r="AB843" s="63">
        <v>19785</v>
      </c>
    </row>
    <row r="844" spans="1:28" x14ac:dyDescent="0.2">
      <c r="A844" s="62">
        <v>69</v>
      </c>
      <c r="B844" s="62" t="s">
        <v>378</v>
      </c>
      <c r="C844" s="62">
        <v>21</v>
      </c>
      <c r="D844" s="62" t="s">
        <v>320</v>
      </c>
      <c r="E844" s="63">
        <v>446</v>
      </c>
      <c r="F844" s="63">
        <v>441</v>
      </c>
      <c r="G844" s="63">
        <v>460</v>
      </c>
      <c r="H844" s="63">
        <v>500</v>
      </c>
      <c r="I844" s="63">
        <v>562</v>
      </c>
      <c r="J844" s="63">
        <v>585</v>
      </c>
      <c r="K844" s="63">
        <v>596</v>
      </c>
      <c r="L844" s="63">
        <v>561</v>
      </c>
      <c r="M844" s="63">
        <v>480</v>
      </c>
      <c r="N844" s="63">
        <v>525</v>
      </c>
      <c r="O844" s="63">
        <v>575</v>
      </c>
      <c r="P844" s="63">
        <v>594</v>
      </c>
      <c r="Q844" s="63">
        <v>677</v>
      </c>
      <c r="R844" s="63">
        <v>804</v>
      </c>
      <c r="S844" s="63">
        <v>762</v>
      </c>
      <c r="T844" s="63">
        <v>682</v>
      </c>
      <c r="U844" s="63">
        <v>678</v>
      </c>
      <c r="V844" s="63">
        <v>700</v>
      </c>
      <c r="W844" s="63">
        <v>754</v>
      </c>
      <c r="X844" s="63">
        <v>673</v>
      </c>
      <c r="Y844" s="63">
        <v>624</v>
      </c>
      <c r="Z844" s="63">
        <v>598</v>
      </c>
      <c r="AA844" s="63">
        <v>645</v>
      </c>
      <c r="AB844" s="63">
        <v>728</v>
      </c>
    </row>
    <row r="845" spans="1:28" x14ac:dyDescent="0.2">
      <c r="A845" s="62">
        <v>69</v>
      </c>
      <c r="B845" s="62" t="s">
        <v>378</v>
      </c>
      <c r="C845" s="62">
        <v>22</v>
      </c>
      <c r="D845" s="62" t="s">
        <v>321</v>
      </c>
      <c r="E845" s="63">
        <v>231</v>
      </c>
      <c r="F845" s="63">
        <v>236</v>
      </c>
      <c r="G845" s="63">
        <v>229</v>
      </c>
      <c r="H845" s="63">
        <v>233</v>
      </c>
      <c r="I845" s="63">
        <v>239</v>
      </c>
      <c r="J845" s="63">
        <v>251</v>
      </c>
      <c r="K845" s="63">
        <v>254</v>
      </c>
      <c r="L845" s="63">
        <v>251</v>
      </c>
      <c r="M845" s="63">
        <v>256</v>
      </c>
      <c r="N845" s="63">
        <v>252</v>
      </c>
      <c r="O845" s="63">
        <v>253</v>
      </c>
      <c r="P845" s="63">
        <v>245</v>
      </c>
      <c r="Q845" s="63">
        <v>235</v>
      </c>
      <c r="R845" s="63">
        <v>248</v>
      </c>
      <c r="S845" s="63">
        <v>242</v>
      </c>
      <c r="T845" s="63">
        <v>246</v>
      </c>
      <c r="U845" s="63">
        <v>268</v>
      </c>
      <c r="V845" s="63">
        <v>276</v>
      </c>
      <c r="W845" s="63">
        <v>282</v>
      </c>
      <c r="X845" s="63">
        <v>293</v>
      </c>
      <c r="Y845" s="63">
        <v>302</v>
      </c>
      <c r="Z845" s="63">
        <v>304</v>
      </c>
      <c r="AA845" s="63">
        <v>313</v>
      </c>
      <c r="AB845" s="63">
        <v>317</v>
      </c>
    </row>
    <row r="846" spans="1:28" x14ac:dyDescent="0.2">
      <c r="A846" s="62">
        <v>69</v>
      </c>
      <c r="B846" s="62" t="s">
        <v>378</v>
      </c>
      <c r="C846" s="62">
        <v>23</v>
      </c>
      <c r="D846" s="62" t="s">
        <v>322</v>
      </c>
      <c r="E846" s="63">
        <v>12993</v>
      </c>
      <c r="F846" s="63">
        <v>13022</v>
      </c>
      <c r="G846" s="63">
        <v>12472</v>
      </c>
      <c r="H846" s="63">
        <v>12787</v>
      </c>
      <c r="I846" s="63">
        <v>13502</v>
      </c>
      <c r="J846" s="63">
        <v>13697</v>
      </c>
      <c r="K846" s="63">
        <v>13726</v>
      </c>
      <c r="L846" s="63">
        <v>12726</v>
      </c>
      <c r="M846" s="63">
        <v>11271</v>
      </c>
      <c r="N846" s="63">
        <v>10385</v>
      </c>
      <c r="O846" s="63">
        <v>10164</v>
      </c>
      <c r="P846" s="63">
        <v>10591</v>
      </c>
      <c r="Q846" s="63">
        <v>11330</v>
      </c>
      <c r="R846" s="63">
        <v>12448</v>
      </c>
      <c r="S846" s="63">
        <v>12751</v>
      </c>
      <c r="T846" s="63">
        <v>13760</v>
      </c>
      <c r="U846" s="63">
        <v>14057</v>
      </c>
      <c r="V846" s="63">
        <v>14632</v>
      </c>
      <c r="W846" s="63">
        <v>14667</v>
      </c>
      <c r="X846" s="63">
        <v>14764</v>
      </c>
      <c r="Y846" s="63">
        <v>15134</v>
      </c>
      <c r="Z846" s="63">
        <v>15051</v>
      </c>
      <c r="AA846" s="63">
        <v>14642</v>
      </c>
      <c r="AB846" s="63">
        <v>14288</v>
      </c>
    </row>
    <row r="847" spans="1:28" x14ac:dyDescent="0.2">
      <c r="A847" s="62">
        <v>69</v>
      </c>
      <c r="B847" s="62" t="s">
        <v>378</v>
      </c>
      <c r="C847" s="62">
        <v>3</v>
      </c>
      <c r="D847" s="62" t="s">
        <v>323</v>
      </c>
      <c r="E847" s="63">
        <v>11361</v>
      </c>
      <c r="F847" s="63">
        <v>11744</v>
      </c>
      <c r="G847" s="63">
        <v>11823</v>
      </c>
      <c r="H847" s="63">
        <v>12122</v>
      </c>
      <c r="I847" s="63">
        <v>12409</v>
      </c>
      <c r="J847" s="63">
        <v>12543</v>
      </c>
      <c r="K847" s="63">
        <v>12733</v>
      </c>
      <c r="L847" s="63">
        <v>13122</v>
      </c>
      <c r="M847" s="63">
        <v>13474</v>
      </c>
      <c r="N847" s="63">
        <v>13439</v>
      </c>
      <c r="O847" s="63">
        <v>13274</v>
      </c>
      <c r="P847" s="63">
        <v>13431</v>
      </c>
      <c r="Q847" s="63">
        <v>13484</v>
      </c>
      <c r="R847" s="63">
        <v>13774</v>
      </c>
      <c r="S847" s="63">
        <v>13890</v>
      </c>
      <c r="T847" s="63">
        <v>14295</v>
      </c>
      <c r="U847" s="63">
        <v>14459</v>
      </c>
      <c r="V847" s="63">
        <v>14663</v>
      </c>
      <c r="W847" s="63">
        <v>14931</v>
      </c>
      <c r="X847" s="63">
        <v>14309</v>
      </c>
      <c r="Y847" s="63">
        <v>14594</v>
      </c>
      <c r="Z847" s="63">
        <v>15302</v>
      </c>
      <c r="AA847" s="63">
        <v>16275</v>
      </c>
      <c r="AB847" s="63">
        <v>16530</v>
      </c>
    </row>
    <row r="848" spans="1:28" x14ac:dyDescent="0.2">
      <c r="A848" s="62">
        <v>69</v>
      </c>
      <c r="B848" s="62" t="s">
        <v>378</v>
      </c>
      <c r="C848" s="62" t="s">
        <v>324</v>
      </c>
      <c r="D848" s="62" t="s">
        <v>325</v>
      </c>
      <c r="E848" s="63">
        <v>18191</v>
      </c>
      <c r="F848" s="63">
        <v>16426</v>
      </c>
      <c r="G848" s="63">
        <v>15348</v>
      </c>
      <c r="H848" s="63">
        <v>15106</v>
      </c>
      <c r="I848" s="63">
        <v>12950</v>
      </c>
      <c r="J848" s="63">
        <v>12436</v>
      </c>
      <c r="K848" s="63">
        <v>12537</v>
      </c>
      <c r="L848" s="63">
        <v>12498</v>
      </c>
      <c r="M848" s="63">
        <v>11417</v>
      </c>
      <c r="N848" s="63">
        <v>11176</v>
      </c>
      <c r="O848" s="63">
        <v>11546</v>
      </c>
      <c r="P848" s="63">
        <v>12042</v>
      </c>
      <c r="Q848" s="63">
        <v>12382</v>
      </c>
      <c r="R848" s="63">
        <v>12749</v>
      </c>
      <c r="S848" s="63">
        <v>13579</v>
      </c>
      <c r="T848" s="63">
        <v>13952</v>
      </c>
      <c r="U848" s="63">
        <v>14316</v>
      </c>
      <c r="V848" s="63">
        <v>14999</v>
      </c>
      <c r="W848" s="63">
        <v>15227</v>
      </c>
      <c r="X848" s="63">
        <v>14573</v>
      </c>
      <c r="Y848" s="63">
        <v>15185</v>
      </c>
      <c r="Z848" s="63">
        <v>15666</v>
      </c>
      <c r="AA848" s="63">
        <v>15851</v>
      </c>
      <c r="AB848" s="63">
        <v>15366</v>
      </c>
    </row>
    <row r="849" spans="1:28" x14ac:dyDescent="0.2">
      <c r="A849" s="62">
        <v>69</v>
      </c>
      <c r="B849" s="62" t="s">
        <v>378</v>
      </c>
      <c r="C849" s="62">
        <v>42</v>
      </c>
      <c r="D849" s="62" t="s">
        <v>326</v>
      </c>
      <c r="E849" s="63">
        <v>3331</v>
      </c>
      <c r="F849" s="63">
        <v>3262</v>
      </c>
      <c r="G849" s="63">
        <v>3180</v>
      </c>
      <c r="H849" s="63">
        <v>3387</v>
      </c>
      <c r="I849" s="63">
        <v>3386</v>
      </c>
      <c r="J849" s="63">
        <v>3493</v>
      </c>
      <c r="K849" s="63">
        <v>3475</v>
      </c>
      <c r="L849" s="63">
        <v>3570</v>
      </c>
      <c r="M849" s="63">
        <v>3381</v>
      </c>
      <c r="N849" s="63">
        <v>3324</v>
      </c>
      <c r="O849" s="63">
        <v>3440</v>
      </c>
      <c r="P849" s="63">
        <v>3840</v>
      </c>
      <c r="Q849" s="63">
        <v>4047</v>
      </c>
      <c r="R849" s="63">
        <v>4289</v>
      </c>
      <c r="S849" s="63">
        <v>4688</v>
      </c>
      <c r="T849" s="63">
        <v>4815</v>
      </c>
      <c r="U849" s="63">
        <v>5091</v>
      </c>
      <c r="V849" s="63">
        <v>5250</v>
      </c>
      <c r="W849" s="63">
        <v>5579</v>
      </c>
      <c r="X849" s="63">
        <v>5567</v>
      </c>
      <c r="Y849" s="63">
        <v>5757</v>
      </c>
      <c r="Z849" s="63">
        <v>6336</v>
      </c>
      <c r="AA849" s="63">
        <v>6506</v>
      </c>
      <c r="AB849" s="63">
        <v>6394</v>
      </c>
    </row>
    <row r="850" spans="1:28" x14ac:dyDescent="0.2">
      <c r="A850" s="62">
        <v>69</v>
      </c>
      <c r="B850" s="62" t="s">
        <v>378</v>
      </c>
      <c r="C850" s="62" t="s">
        <v>327</v>
      </c>
      <c r="D850" s="62" t="s">
        <v>328</v>
      </c>
      <c r="E850" s="63">
        <v>17773</v>
      </c>
      <c r="F850" s="63">
        <v>18141</v>
      </c>
      <c r="G850" s="63">
        <v>18185</v>
      </c>
      <c r="H850" s="63">
        <v>18315</v>
      </c>
      <c r="I850" s="63">
        <v>18621</v>
      </c>
      <c r="J850" s="63">
        <v>19122</v>
      </c>
      <c r="K850" s="63">
        <v>19657</v>
      </c>
      <c r="L850" s="63">
        <v>19653</v>
      </c>
      <c r="M850" s="63">
        <v>18902</v>
      </c>
      <c r="N850" s="63">
        <v>18769</v>
      </c>
      <c r="O850" s="63">
        <v>19075</v>
      </c>
      <c r="P850" s="63">
        <v>19355</v>
      </c>
      <c r="Q850" s="63">
        <v>19444</v>
      </c>
      <c r="R850" s="63">
        <v>19809</v>
      </c>
      <c r="S850" s="63">
        <v>20463</v>
      </c>
      <c r="T850" s="63">
        <v>21104</v>
      </c>
      <c r="U850" s="63">
        <v>21729</v>
      </c>
      <c r="V850" s="63">
        <v>22053</v>
      </c>
      <c r="W850" s="63">
        <v>21921</v>
      </c>
      <c r="X850" s="63">
        <v>21069</v>
      </c>
      <c r="Y850" s="63">
        <v>22198</v>
      </c>
      <c r="Z850" s="63">
        <v>22273</v>
      </c>
      <c r="AA850" s="63">
        <v>21586</v>
      </c>
      <c r="AB850" s="63">
        <v>21440</v>
      </c>
    </row>
    <row r="851" spans="1:28" x14ac:dyDescent="0.2">
      <c r="A851" s="62">
        <v>69</v>
      </c>
      <c r="B851" s="62" t="s">
        <v>378</v>
      </c>
      <c r="C851" s="62" t="s">
        <v>329</v>
      </c>
      <c r="D851" s="62" t="s">
        <v>330</v>
      </c>
      <c r="E851" s="63">
        <v>2684</v>
      </c>
      <c r="F851" s="63">
        <v>2690</v>
      </c>
      <c r="G851" s="63">
        <v>2738</v>
      </c>
      <c r="H851" s="63">
        <v>2889</v>
      </c>
      <c r="I851" s="63">
        <v>2930</v>
      </c>
      <c r="J851" s="63">
        <v>2792</v>
      </c>
      <c r="K851" s="63">
        <v>2829</v>
      </c>
      <c r="L851" s="63">
        <v>2677</v>
      </c>
      <c r="M851" s="63">
        <v>2516</v>
      </c>
      <c r="N851" s="63">
        <v>2558</v>
      </c>
      <c r="O851" s="63">
        <v>2609</v>
      </c>
      <c r="P851" s="63">
        <v>2664</v>
      </c>
      <c r="Q851" s="63">
        <v>2779</v>
      </c>
      <c r="R851" s="63">
        <v>3060</v>
      </c>
      <c r="S851" s="63">
        <v>3364</v>
      </c>
      <c r="T851" s="63">
        <v>3786</v>
      </c>
      <c r="U851" s="63">
        <v>4161</v>
      </c>
      <c r="V851" s="63">
        <v>4594</v>
      </c>
      <c r="W851" s="63">
        <v>5007</v>
      </c>
      <c r="X851" s="63">
        <v>6121</v>
      </c>
      <c r="Y851" s="63">
        <v>6964</v>
      </c>
      <c r="Z851" s="63">
        <v>6747</v>
      </c>
      <c r="AA851" s="63">
        <v>7085</v>
      </c>
      <c r="AB851" s="63">
        <v>7150</v>
      </c>
    </row>
    <row r="852" spans="1:28" x14ac:dyDescent="0.2">
      <c r="A852" s="62">
        <v>69</v>
      </c>
      <c r="B852" s="62" t="s">
        <v>378</v>
      </c>
      <c r="C852" s="62">
        <v>51</v>
      </c>
      <c r="D852" s="62" t="s">
        <v>331</v>
      </c>
      <c r="E852" s="63">
        <v>3107</v>
      </c>
      <c r="F852" s="63">
        <v>2739</v>
      </c>
      <c r="G852" s="63">
        <v>2781</v>
      </c>
      <c r="H852" s="63">
        <v>2790</v>
      </c>
      <c r="I852" s="63">
        <v>2802</v>
      </c>
      <c r="J852" s="63">
        <v>2944</v>
      </c>
      <c r="K852" s="63">
        <v>2981</v>
      </c>
      <c r="L852" s="63">
        <v>3085</v>
      </c>
      <c r="M852" s="63">
        <v>3105</v>
      </c>
      <c r="N852" s="63">
        <v>2952</v>
      </c>
      <c r="O852" s="63">
        <v>2977</v>
      </c>
      <c r="P852" s="63">
        <v>2937</v>
      </c>
      <c r="Q852" s="63">
        <v>2906</v>
      </c>
      <c r="R852" s="63">
        <v>3037</v>
      </c>
      <c r="S852" s="63">
        <v>3170</v>
      </c>
      <c r="T852" s="63">
        <v>3241</v>
      </c>
      <c r="U852" s="63">
        <v>3328</v>
      </c>
      <c r="V852" s="63">
        <v>3524</v>
      </c>
      <c r="W852" s="63">
        <v>3852</v>
      </c>
      <c r="X852" s="63">
        <v>3533</v>
      </c>
      <c r="Y852" s="63">
        <v>3339</v>
      </c>
      <c r="Z852" s="63">
        <v>3250</v>
      </c>
      <c r="AA852" s="63">
        <v>3027</v>
      </c>
      <c r="AB852" s="63">
        <v>2973</v>
      </c>
    </row>
    <row r="853" spans="1:28" x14ac:dyDescent="0.2">
      <c r="A853" s="62">
        <v>69</v>
      </c>
      <c r="B853" s="62" t="s">
        <v>378</v>
      </c>
      <c r="C853" s="62">
        <v>52</v>
      </c>
      <c r="D853" s="62" t="s">
        <v>332</v>
      </c>
      <c r="E853" s="63">
        <v>3592</v>
      </c>
      <c r="F853" s="63">
        <v>3743</v>
      </c>
      <c r="G853" s="63">
        <v>3978</v>
      </c>
      <c r="H853" s="63">
        <v>4102</v>
      </c>
      <c r="I853" s="63">
        <v>4115</v>
      </c>
      <c r="J853" s="63">
        <v>4362</v>
      </c>
      <c r="K853" s="63">
        <v>4344</v>
      </c>
      <c r="L853" s="63">
        <v>4128</v>
      </c>
      <c r="M853" s="63">
        <v>4032</v>
      </c>
      <c r="N853" s="63">
        <v>4072</v>
      </c>
      <c r="O853" s="63">
        <v>4067</v>
      </c>
      <c r="P853" s="63">
        <v>4088</v>
      </c>
      <c r="Q853" s="63">
        <v>4279</v>
      </c>
      <c r="R853" s="63">
        <v>4364</v>
      </c>
      <c r="S853" s="63">
        <v>4444</v>
      </c>
      <c r="T853" s="63">
        <v>4575</v>
      </c>
      <c r="U853" s="63">
        <v>4632</v>
      </c>
      <c r="V853" s="63">
        <v>4577</v>
      </c>
      <c r="W853" s="63">
        <v>4322</v>
      </c>
      <c r="X853" s="63">
        <v>4241</v>
      </c>
      <c r="Y853" s="63">
        <v>4355</v>
      </c>
      <c r="Z853" s="63">
        <v>4590</v>
      </c>
      <c r="AA853" s="63">
        <v>4568</v>
      </c>
      <c r="AB853" s="63">
        <v>4510</v>
      </c>
    </row>
    <row r="854" spans="1:28" x14ac:dyDescent="0.2">
      <c r="A854" s="62">
        <v>69</v>
      </c>
      <c r="B854" s="62" t="s">
        <v>378</v>
      </c>
      <c r="C854" s="62">
        <v>53</v>
      </c>
      <c r="D854" s="62" t="s">
        <v>333</v>
      </c>
      <c r="E854" s="63">
        <v>4588</v>
      </c>
      <c r="F854" s="63">
        <v>4861</v>
      </c>
      <c r="G854" s="63">
        <v>5123</v>
      </c>
      <c r="H854" s="63">
        <v>5307</v>
      </c>
      <c r="I854" s="63">
        <v>5702</v>
      </c>
      <c r="J854" s="63">
        <v>5741</v>
      </c>
      <c r="K854" s="63">
        <v>5797</v>
      </c>
      <c r="L854" s="63">
        <v>5522</v>
      </c>
      <c r="M854" s="63">
        <v>5970</v>
      </c>
      <c r="N854" s="63">
        <v>5858</v>
      </c>
      <c r="O854" s="63">
        <v>5936</v>
      </c>
      <c r="P854" s="63">
        <v>6126</v>
      </c>
      <c r="Q854" s="63">
        <v>6299</v>
      </c>
      <c r="R854" s="63">
        <v>6693</v>
      </c>
      <c r="S854" s="63">
        <v>7082</v>
      </c>
      <c r="T854" s="63">
        <v>7221</v>
      </c>
      <c r="U854" s="63">
        <v>7612</v>
      </c>
      <c r="V854" s="63">
        <v>7950</v>
      </c>
      <c r="W854" s="63">
        <v>8232</v>
      </c>
      <c r="X854" s="63">
        <v>8140</v>
      </c>
      <c r="Y854" s="63">
        <v>8332</v>
      </c>
      <c r="Z854" s="63">
        <v>8467</v>
      </c>
      <c r="AA854" s="63">
        <v>8087</v>
      </c>
      <c r="AB854" s="63">
        <v>7980</v>
      </c>
    </row>
    <row r="855" spans="1:28" x14ac:dyDescent="0.2">
      <c r="A855" s="62">
        <v>69</v>
      </c>
      <c r="B855" s="62" t="s">
        <v>378</v>
      </c>
      <c r="C855" s="62">
        <v>54</v>
      </c>
      <c r="D855" s="62" t="s">
        <v>334</v>
      </c>
      <c r="E855" s="63">
        <v>10494</v>
      </c>
      <c r="F855" s="63">
        <v>10345</v>
      </c>
      <c r="G855" s="63">
        <v>10232</v>
      </c>
      <c r="H855" s="63">
        <v>10957</v>
      </c>
      <c r="I855" s="63">
        <v>13830</v>
      </c>
      <c r="J855" s="63">
        <v>14233</v>
      </c>
      <c r="K855" s="63">
        <v>14737</v>
      </c>
      <c r="L855" s="63">
        <v>14110</v>
      </c>
      <c r="M855" s="63">
        <v>13701</v>
      </c>
      <c r="N855" s="63">
        <v>13987</v>
      </c>
      <c r="O855" s="63">
        <v>14183</v>
      </c>
      <c r="P855" s="63">
        <v>14372</v>
      </c>
      <c r="Q855" s="63">
        <v>14815</v>
      </c>
      <c r="R855" s="63">
        <v>15421</v>
      </c>
      <c r="S855" s="63">
        <v>15981</v>
      </c>
      <c r="T855" s="63">
        <v>16367</v>
      </c>
      <c r="U855" s="63">
        <v>16839</v>
      </c>
      <c r="V855" s="63">
        <v>16977</v>
      </c>
      <c r="W855" s="63">
        <v>17368</v>
      </c>
      <c r="X855" s="63">
        <v>17437</v>
      </c>
      <c r="Y855" s="63">
        <v>18392</v>
      </c>
      <c r="Z855" s="63">
        <v>19974</v>
      </c>
      <c r="AA855" s="63">
        <v>20819</v>
      </c>
      <c r="AB855" s="63">
        <v>20328</v>
      </c>
    </row>
    <row r="856" spans="1:28" x14ac:dyDescent="0.2">
      <c r="A856" s="62">
        <v>69</v>
      </c>
      <c r="B856" s="62" t="s">
        <v>378</v>
      </c>
      <c r="C856" s="62">
        <v>55</v>
      </c>
      <c r="D856" s="62" t="s">
        <v>335</v>
      </c>
      <c r="E856" s="63">
        <v>194</v>
      </c>
      <c r="F856" s="63">
        <v>190</v>
      </c>
      <c r="G856" s="63">
        <v>166</v>
      </c>
      <c r="H856" s="63">
        <v>281</v>
      </c>
      <c r="I856" s="63">
        <v>517</v>
      </c>
      <c r="J856" s="63">
        <v>544</v>
      </c>
      <c r="K856" s="63">
        <v>536</v>
      </c>
      <c r="L856" s="63">
        <v>515</v>
      </c>
      <c r="M856" s="63">
        <v>473</v>
      </c>
      <c r="N856" s="63">
        <v>508</v>
      </c>
      <c r="O856" s="63">
        <v>557</v>
      </c>
      <c r="P856" s="63">
        <v>623</v>
      </c>
      <c r="Q856" s="63">
        <v>720</v>
      </c>
      <c r="R856" s="63">
        <v>785</v>
      </c>
      <c r="S856" s="63">
        <v>831</v>
      </c>
      <c r="T856" s="63">
        <v>860</v>
      </c>
      <c r="U856" s="63">
        <v>864</v>
      </c>
      <c r="V856" s="63">
        <v>891</v>
      </c>
      <c r="W856" s="63">
        <v>1013</v>
      </c>
      <c r="X856" s="63">
        <v>1040</v>
      </c>
      <c r="Y856" s="63">
        <v>1121</v>
      </c>
      <c r="Z856" s="63">
        <v>1006</v>
      </c>
      <c r="AA856" s="63">
        <v>993</v>
      </c>
      <c r="AB856" s="63">
        <v>1015</v>
      </c>
    </row>
    <row r="857" spans="1:28" x14ac:dyDescent="0.2">
      <c r="A857" s="62">
        <v>69</v>
      </c>
      <c r="B857" s="62" t="s">
        <v>378</v>
      </c>
      <c r="C857" s="62">
        <v>56</v>
      </c>
      <c r="D857" s="62" t="s">
        <v>336</v>
      </c>
      <c r="E857" s="63">
        <v>8715</v>
      </c>
      <c r="F857" s="63">
        <v>8242</v>
      </c>
      <c r="G857" s="63">
        <v>8260</v>
      </c>
      <c r="H857" s="63">
        <v>8535</v>
      </c>
      <c r="I857" s="63">
        <v>8399</v>
      </c>
      <c r="J857" s="63">
        <v>8785</v>
      </c>
      <c r="K857" s="63">
        <v>8957</v>
      </c>
      <c r="L857" s="63">
        <v>9727</v>
      </c>
      <c r="M857" s="63">
        <v>8864</v>
      </c>
      <c r="N857" s="63">
        <v>9828</v>
      </c>
      <c r="O857" s="63">
        <v>9925</v>
      </c>
      <c r="P857" s="63">
        <v>10037</v>
      </c>
      <c r="Q857" s="63">
        <v>10782</v>
      </c>
      <c r="R857" s="63">
        <v>10561</v>
      </c>
      <c r="S857" s="63">
        <v>10407</v>
      </c>
      <c r="T857" s="63">
        <v>10460</v>
      </c>
      <c r="U857" s="63">
        <v>10559</v>
      </c>
      <c r="V857" s="63">
        <v>11020</v>
      </c>
      <c r="W857" s="63">
        <v>10957</v>
      </c>
      <c r="X857" s="63">
        <v>10146</v>
      </c>
      <c r="Y857" s="63">
        <v>10170</v>
      </c>
      <c r="Z857" s="63">
        <v>10205</v>
      </c>
      <c r="AA857" s="63">
        <v>10320</v>
      </c>
      <c r="AB857" s="63">
        <v>9900</v>
      </c>
    </row>
    <row r="858" spans="1:28" x14ac:dyDescent="0.2">
      <c r="A858" s="62">
        <v>69</v>
      </c>
      <c r="B858" s="62" t="s">
        <v>378</v>
      </c>
      <c r="C858" s="62">
        <v>61</v>
      </c>
      <c r="D858" s="62" t="s">
        <v>337</v>
      </c>
      <c r="E858" s="63">
        <v>1405</v>
      </c>
      <c r="F858" s="63">
        <v>1460</v>
      </c>
      <c r="G858" s="63">
        <v>1502</v>
      </c>
      <c r="H858" s="63">
        <v>1611</v>
      </c>
      <c r="I858" s="63">
        <v>1657</v>
      </c>
      <c r="J858" s="63">
        <v>1699</v>
      </c>
      <c r="K858" s="63">
        <v>1809</v>
      </c>
      <c r="L858" s="63">
        <v>1865</v>
      </c>
      <c r="M858" s="63">
        <v>1897</v>
      </c>
      <c r="N858" s="63">
        <v>1872</v>
      </c>
      <c r="O858" s="63">
        <v>2045</v>
      </c>
      <c r="P858" s="63">
        <v>2106</v>
      </c>
      <c r="Q858" s="63">
        <v>2220</v>
      </c>
      <c r="R858" s="63">
        <v>2374</v>
      </c>
      <c r="S858" s="63">
        <v>2447</v>
      </c>
      <c r="T858" s="63">
        <v>2627</v>
      </c>
      <c r="U858" s="63">
        <v>2741</v>
      </c>
      <c r="V858" s="63">
        <v>3054</v>
      </c>
      <c r="W858" s="63">
        <v>3272</v>
      </c>
      <c r="X858" s="63">
        <v>2916</v>
      </c>
      <c r="Y858" s="63">
        <v>3032</v>
      </c>
      <c r="Z858" s="63">
        <v>3311</v>
      </c>
      <c r="AA858" s="63">
        <v>3539</v>
      </c>
      <c r="AB858" s="63">
        <v>3736</v>
      </c>
    </row>
    <row r="859" spans="1:28" x14ac:dyDescent="0.2">
      <c r="A859" s="62">
        <v>69</v>
      </c>
      <c r="B859" s="62" t="s">
        <v>378</v>
      </c>
      <c r="C859" s="62">
        <v>62</v>
      </c>
      <c r="D859" s="62" t="s">
        <v>338</v>
      </c>
      <c r="E859" s="63">
        <v>12055</v>
      </c>
      <c r="F859" s="63">
        <v>13008</v>
      </c>
      <c r="G859" s="63">
        <v>13577</v>
      </c>
      <c r="H859" s="63">
        <v>14094</v>
      </c>
      <c r="I859" s="63">
        <v>14440</v>
      </c>
      <c r="J859" s="63">
        <v>14900</v>
      </c>
      <c r="K859" s="63">
        <v>16348</v>
      </c>
      <c r="L859" s="63">
        <v>17087</v>
      </c>
      <c r="M859" s="63">
        <v>17610</v>
      </c>
      <c r="N859" s="63">
        <v>18262</v>
      </c>
      <c r="O859" s="63">
        <v>18971</v>
      </c>
      <c r="P859" s="63">
        <v>19332</v>
      </c>
      <c r="Q859" s="63">
        <v>14900</v>
      </c>
      <c r="R859" s="63">
        <v>15467</v>
      </c>
      <c r="S859" s="63">
        <v>16183</v>
      </c>
      <c r="T859" s="63">
        <v>17041</v>
      </c>
      <c r="U859" s="63">
        <v>17494</v>
      </c>
      <c r="V859" s="63">
        <v>18463</v>
      </c>
      <c r="W859" s="63">
        <v>19039</v>
      </c>
      <c r="X859" s="63">
        <v>18548</v>
      </c>
      <c r="Y859" s="63">
        <v>19273</v>
      </c>
      <c r="Z859" s="63">
        <v>19701</v>
      </c>
      <c r="AA859" s="63">
        <v>20347</v>
      </c>
      <c r="AB859" s="63">
        <v>21021</v>
      </c>
    </row>
    <row r="860" spans="1:28" x14ac:dyDescent="0.2">
      <c r="A860" s="62">
        <v>69</v>
      </c>
      <c r="B860" s="62" t="s">
        <v>378</v>
      </c>
      <c r="C860" s="62">
        <v>71</v>
      </c>
      <c r="D860" s="62" t="s">
        <v>339</v>
      </c>
      <c r="E860" s="63">
        <v>2569</v>
      </c>
      <c r="F860" s="63">
        <v>2628</v>
      </c>
      <c r="G860" s="63">
        <v>2926</v>
      </c>
      <c r="H860" s="63">
        <v>3034</v>
      </c>
      <c r="I860" s="63">
        <v>3069</v>
      </c>
      <c r="J860" s="63">
        <v>3196</v>
      </c>
      <c r="K860" s="63">
        <v>3463</v>
      </c>
      <c r="L860" s="63">
        <v>3534</v>
      </c>
      <c r="M860" s="63">
        <v>3604</v>
      </c>
      <c r="N860" s="63">
        <v>3665</v>
      </c>
      <c r="O860" s="63">
        <v>3723</v>
      </c>
      <c r="P860" s="63">
        <v>3788</v>
      </c>
      <c r="Q860" s="63">
        <v>3920</v>
      </c>
      <c r="R860" s="63">
        <v>4169</v>
      </c>
      <c r="S860" s="63">
        <v>4353</v>
      </c>
      <c r="T860" s="63">
        <v>4724</v>
      </c>
      <c r="U860" s="63">
        <v>4889</v>
      </c>
      <c r="V860" s="63">
        <v>5117</v>
      </c>
      <c r="W860" s="63">
        <v>5381</v>
      </c>
      <c r="X860" s="63">
        <v>4314</v>
      </c>
      <c r="Y860" s="63">
        <v>5106</v>
      </c>
      <c r="Z860" s="63">
        <v>5780</v>
      </c>
      <c r="AA860" s="63">
        <v>6262</v>
      </c>
      <c r="AB860" s="63">
        <v>6834</v>
      </c>
    </row>
    <row r="861" spans="1:28" x14ac:dyDescent="0.2">
      <c r="A861" s="62">
        <v>69</v>
      </c>
      <c r="B861" s="62" t="s">
        <v>378</v>
      </c>
      <c r="C861" s="62">
        <v>72</v>
      </c>
      <c r="D861" s="62" t="s">
        <v>340</v>
      </c>
      <c r="E861" s="63">
        <v>13088</v>
      </c>
      <c r="F861" s="63">
        <v>13594</v>
      </c>
      <c r="G861" s="63">
        <v>13401</v>
      </c>
      <c r="H861" s="63">
        <v>13724</v>
      </c>
      <c r="I861" s="63">
        <v>13911</v>
      </c>
      <c r="J861" s="63">
        <v>14396</v>
      </c>
      <c r="K861" s="63">
        <v>14612</v>
      </c>
      <c r="L861" s="63">
        <v>14646</v>
      </c>
      <c r="M861" s="63">
        <v>14410</v>
      </c>
      <c r="N861" s="63">
        <v>14533</v>
      </c>
      <c r="O861" s="63">
        <v>15061</v>
      </c>
      <c r="P861" s="63">
        <v>15891</v>
      </c>
      <c r="Q861" s="63">
        <v>16252</v>
      </c>
      <c r="R861" s="63">
        <v>17076</v>
      </c>
      <c r="S861" s="63">
        <v>17981</v>
      </c>
      <c r="T861" s="63">
        <v>18541</v>
      </c>
      <c r="U861" s="63">
        <v>18959</v>
      </c>
      <c r="V861" s="63">
        <v>19601</v>
      </c>
      <c r="W861" s="63">
        <v>19741</v>
      </c>
      <c r="X861" s="63">
        <v>15859</v>
      </c>
      <c r="Y861" s="63">
        <v>17764</v>
      </c>
      <c r="Z861" s="63">
        <v>19385</v>
      </c>
      <c r="AA861" s="63">
        <v>19492</v>
      </c>
      <c r="AB861" s="63">
        <v>19763</v>
      </c>
    </row>
    <row r="862" spans="1:28" x14ac:dyDescent="0.2">
      <c r="A862" s="62">
        <v>69</v>
      </c>
      <c r="B862" s="62" t="s">
        <v>378</v>
      </c>
      <c r="C862" s="62">
        <v>81</v>
      </c>
      <c r="D862" s="62" t="s">
        <v>341</v>
      </c>
      <c r="E862" s="63">
        <v>5472</v>
      </c>
      <c r="F862" s="63">
        <v>5686</v>
      </c>
      <c r="G862" s="63">
        <v>5824</v>
      </c>
      <c r="H862" s="63">
        <v>6057</v>
      </c>
      <c r="I862" s="63">
        <v>6056</v>
      </c>
      <c r="J862" s="63">
        <v>6173</v>
      </c>
      <c r="K862" s="63">
        <v>6407</v>
      </c>
      <c r="L862" s="63">
        <v>6476</v>
      </c>
      <c r="M862" s="63">
        <v>6508</v>
      </c>
      <c r="N862" s="63">
        <v>6609</v>
      </c>
      <c r="O862" s="63">
        <v>6887</v>
      </c>
      <c r="P862" s="63">
        <v>6930</v>
      </c>
      <c r="Q862" s="63">
        <v>7132</v>
      </c>
      <c r="R862" s="63">
        <v>7432</v>
      </c>
      <c r="S862" s="63">
        <v>7652</v>
      </c>
      <c r="T862" s="63">
        <v>8003</v>
      </c>
      <c r="U862" s="63">
        <v>8271</v>
      </c>
      <c r="V862" s="63">
        <v>7535</v>
      </c>
      <c r="W862" s="63">
        <v>7588</v>
      </c>
      <c r="X862" s="63">
        <v>7274</v>
      </c>
      <c r="Y862" s="63">
        <v>7657</v>
      </c>
      <c r="Z862" s="63">
        <v>8164</v>
      </c>
      <c r="AA862" s="63">
        <v>8522</v>
      </c>
      <c r="AB862" s="63">
        <v>8721</v>
      </c>
    </row>
    <row r="863" spans="1:28" x14ac:dyDescent="0.2">
      <c r="A863" s="62">
        <v>69</v>
      </c>
      <c r="B863" s="62" t="s">
        <v>378</v>
      </c>
      <c r="C863" s="62">
        <v>99</v>
      </c>
      <c r="D863" s="62" t="s">
        <v>342</v>
      </c>
      <c r="E863" s="63">
        <v>2</v>
      </c>
      <c r="F863" s="63">
        <v>0</v>
      </c>
      <c r="G863" s="63">
        <v>2</v>
      </c>
      <c r="H863" s="63">
        <v>3</v>
      </c>
      <c r="I863" s="63">
        <v>11</v>
      </c>
      <c r="J863" s="63">
        <v>6</v>
      </c>
      <c r="K863" s="63">
        <v>5</v>
      </c>
      <c r="L863" s="63">
        <v>33</v>
      </c>
      <c r="M863" s="63">
        <v>27</v>
      </c>
      <c r="N863" s="63">
        <v>33</v>
      </c>
      <c r="O863" s="63">
        <v>27</v>
      </c>
      <c r="P863" s="63">
        <v>29</v>
      </c>
      <c r="Q863" s="63">
        <v>35</v>
      </c>
      <c r="R863" s="63">
        <v>46</v>
      </c>
      <c r="S863" s="63">
        <v>22</v>
      </c>
      <c r="T863" s="63">
        <v>35</v>
      </c>
      <c r="U863" s="63">
        <v>8</v>
      </c>
      <c r="V863" s="63">
        <v>20</v>
      </c>
      <c r="W863" s="63">
        <v>19</v>
      </c>
      <c r="X863" s="63">
        <v>31</v>
      </c>
      <c r="Y863" s="63">
        <v>49</v>
      </c>
      <c r="Z863" s="63">
        <v>38</v>
      </c>
      <c r="AA863" s="63">
        <v>53</v>
      </c>
      <c r="AB863" s="63">
        <v>32</v>
      </c>
    </row>
    <row r="864" spans="1:28" x14ac:dyDescent="0.2">
      <c r="A864" s="62">
        <v>71</v>
      </c>
      <c r="B864" s="62" t="s">
        <v>379</v>
      </c>
      <c r="C864" s="62">
        <v>1</v>
      </c>
      <c r="D864" s="62" t="s">
        <v>316</v>
      </c>
      <c r="E864" s="63">
        <v>74</v>
      </c>
      <c r="F864" s="63">
        <v>75</v>
      </c>
      <c r="G864" s="63">
        <v>79</v>
      </c>
      <c r="H864" s="63">
        <v>75</v>
      </c>
      <c r="I864" s="63">
        <v>71</v>
      </c>
      <c r="J864" s="63">
        <v>66</v>
      </c>
      <c r="K864" s="63">
        <v>63</v>
      </c>
      <c r="L864" s="63">
        <v>65</v>
      </c>
      <c r="M864" s="63">
        <v>65</v>
      </c>
      <c r="N864" s="63">
        <v>80</v>
      </c>
      <c r="O864" s="63">
        <v>68</v>
      </c>
      <c r="P864" s="63">
        <v>62</v>
      </c>
      <c r="Q864" s="63">
        <v>62</v>
      </c>
      <c r="R864" s="63">
        <v>68</v>
      </c>
      <c r="S864" s="63">
        <v>70</v>
      </c>
      <c r="T864" s="63">
        <v>69</v>
      </c>
      <c r="U864" s="63">
        <v>65</v>
      </c>
      <c r="V864" s="63">
        <v>64</v>
      </c>
      <c r="W864" s="63">
        <v>64</v>
      </c>
      <c r="X864" s="63">
        <v>76</v>
      </c>
      <c r="Y864" s="63">
        <v>69</v>
      </c>
      <c r="Z864" s="63">
        <v>68</v>
      </c>
      <c r="AA864" s="63">
        <v>69</v>
      </c>
      <c r="AB864" s="63">
        <v>68</v>
      </c>
    </row>
    <row r="865" spans="1:28" x14ac:dyDescent="0.2">
      <c r="A865" s="62">
        <v>71</v>
      </c>
      <c r="B865" s="62" t="s">
        <v>379</v>
      </c>
      <c r="C865" s="62">
        <v>10</v>
      </c>
      <c r="D865" s="62" t="s">
        <v>317</v>
      </c>
      <c r="E865" s="63">
        <v>6139</v>
      </c>
      <c r="F865" s="63">
        <v>6335</v>
      </c>
      <c r="G865" s="63">
        <v>6367</v>
      </c>
      <c r="H865" s="63">
        <v>6439</v>
      </c>
      <c r="I865" s="63">
        <v>6612</v>
      </c>
      <c r="J865" s="63">
        <v>6884</v>
      </c>
      <c r="K865" s="63">
        <v>7142</v>
      </c>
      <c r="L865" s="63">
        <v>7199</v>
      </c>
      <c r="M865" s="63">
        <v>6556</v>
      </c>
      <c r="N865" s="63">
        <v>6244</v>
      </c>
      <c r="O865" s="63">
        <v>6036</v>
      </c>
      <c r="P865" s="63">
        <v>5973</v>
      </c>
      <c r="Q865" s="63">
        <v>5938</v>
      </c>
      <c r="R865" s="63">
        <v>5871</v>
      </c>
      <c r="S865" s="63">
        <v>5769</v>
      </c>
      <c r="T865" s="63">
        <v>5753</v>
      </c>
      <c r="U865" s="63">
        <v>5897</v>
      </c>
      <c r="V865" s="63">
        <v>5987</v>
      </c>
      <c r="W865" s="63">
        <v>6054</v>
      </c>
      <c r="X865" s="63">
        <v>5766</v>
      </c>
      <c r="Y865" s="63">
        <v>5846</v>
      </c>
      <c r="Z865" s="63">
        <v>6023</v>
      </c>
      <c r="AA865" s="63">
        <v>5856</v>
      </c>
      <c r="AB865" s="63">
        <v>5825</v>
      </c>
    </row>
    <row r="866" spans="1:28" x14ac:dyDescent="0.2">
      <c r="A866" s="62">
        <v>71</v>
      </c>
      <c r="B866" s="62" t="s">
        <v>379</v>
      </c>
      <c r="C866" s="62">
        <v>11</v>
      </c>
      <c r="D866" s="62" t="s">
        <v>318</v>
      </c>
      <c r="E866" s="63">
        <v>108</v>
      </c>
      <c r="F866" s="63">
        <v>120</v>
      </c>
      <c r="G866" s="63">
        <v>92</v>
      </c>
      <c r="H866" s="63">
        <v>77</v>
      </c>
      <c r="I866" s="63">
        <v>65</v>
      </c>
      <c r="J866" s="63">
        <v>58</v>
      </c>
      <c r="K866" s="63">
        <v>61</v>
      </c>
      <c r="L866" s="63">
        <v>60</v>
      </c>
      <c r="M866" s="63">
        <v>62</v>
      </c>
      <c r="N866" s="63">
        <v>72</v>
      </c>
      <c r="O866" s="63">
        <v>73</v>
      </c>
      <c r="P866" s="63">
        <v>63</v>
      </c>
      <c r="Q866" s="63">
        <v>59</v>
      </c>
      <c r="R866" s="63">
        <v>58</v>
      </c>
      <c r="S866" s="63">
        <v>63</v>
      </c>
      <c r="T866" s="63">
        <v>63</v>
      </c>
      <c r="U866" s="63">
        <v>96</v>
      </c>
      <c r="V866" s="63">
        <v>92</v>
      </c>
      <c r="W866" s="63">
        <v>95</v>
      </c>
      <c r="X866" s="63">
        <v>95</v>
      </c>
      <c r="Y866" s="63">
        <v>88</v>
      </c>
      <c r="Z866" s="63">
        <v>102</v>
      </c>
      <c r="AA866" s="63">
        <v>80</v>
      </c>
      <c r="AB866" s="63">
        <v>71</v>
      </c>
    </row>
    <row r="867" spans="1:28" x14ac:dyDescent="0.2">
      <c r="A867" s="62">
        <v>71</v>
      </c>
      <c r="B867" s="62" t="s">
        <v>379</v>
      </c>
      <c r="C867" s="62">
        <v>2</v>
      </c>
      <c r="D867" s="62" t="s">
        <v>319</v>
      </c>
      <c r="E867" s="63">
        <v>553</v>
      </c>
      <c r="F867" s="63">
        <v>650</v>
      </c>
      <c r="G867" s="63">
        <v>653</v>
      </c>
      <c r="H867" s="63">
        <v>618</v>
      </c>
      <c r="I867" s="63">
        <v>600</v>
      </c>
      <c r="J867" s="63">
        <v>590</v>
      </c>
      <c r="K867" s="63">
        <v>570</v>
      </c>
      <c r="L867" s="63">
        <v>588</v>
      </c>
      <c r="M867" s="63">
        <v>596</v>
      </c>
      <c r="N867" s="63">
        <v>590</v>
      </c>
      <c r="O867" s="63">
        <v>468</v>
      </c>
      <c r="P867" s="63">
        <v>448</v>
      </c>
      <c r="Q867" s="63">
        <v>449</v>
      </c>
      <c r="R867" s="63">
        <v>455</v>
      </c>
      <c r="S867" s="63">
        <v>431</v>
      </c>
      <c r="T867" s="63">
        <v>416</v>
      </c>
      <c r="U867" s="63">
        <v>401</v>
      </c>
      <c r="V867" s="63">
        <v>407</v>
      </c>
      <c r="W867" s="63">
        <v>401</v>
      </c>
      <c r="X867" s="63">
        <v>396</v>
      </c>
      <c r="Y867" s="63">
        <v>379</v>
      </c>
      <c r="Z867" s="63">
        <v>371</v>
      </c>
      <c r="AA867" s="63">
        <v>385</v>
      </c>
      <c r="AB867" s="63">
        <v>418</v>
      </c>
    </row>
    <row r="868" spans="1:28" x14ac:dyDescent="0.2">
      <c r="A868" s="62">
        <v>71</v>
      </c>
      <c r="B868" s="62" t="s">
        <v>379</v>
      </c>
      <c r="C868" s="62">
        <v>21</v>
      </c>
      <c r="D868" s="62" t="s">
        <v>320</v>
      </c>
      <c r="E868" s="63">
        <v>122</v>
      </c>
      <c r="F868" s="63">
        <v>125</v>
      </c>
      <c r="G868" s="63">
        <v>138</v>
      </c>
      <c r="H868" s="63">
        <v>158</v>
      </c>
      <c r="I868" s="63">
        <v>265</v>
      </c>
      <c r="J868" s="63">
        <v>320</v>
      </c>
      <c r="K868" s="63">
        <v>402</v>
      </c>
      <c r="L868" s="63">
        <v>464</v>
      </c>
      <c r="M868" s="63">
        <v>277</v>
      </c>
      <c r="N868" s="63">
        <v>253</v>
      </c>
      <c r="O868" s="63">
        <v>269</v>
      </c>
      <c r="P868" s="63">
        <v>307</v>
      </c>
      <c r="Q868" s="63">
        <v>485</v>
      </c>
      <c r="R868" s="63">
        <v>439</v>
      </c>
      <c r="S868" s="63">
        <v>359</v>
      </c>
      <c r="T868" s="63">
        <v>264</v>
      </c>
      <c r="U868" s="63">
        <v>262</v>
      </c>
      <c r="V868" s="63">
        <v>264</v>
      </c>
      <c r="W868" s="63">
        <v>253</v>
      </c>
      <c r="X868" s="63">
        <v>243</v>
      </c>
      <c r="Y868" s="63">
        <v>322</v>
      </c>
      <c r="Z868" s="63">
        <v>420</v>
      </c>
      <c r="AA868" s="63">
        <v>332</v>
      </c>
      <c r="AB868" s="63">
        <v>239</v>
      </c>
    </row>
    <row r="869" spans="1:28" x14ac:dyDescent="0.2">
      <c r="A869" s="62">
        <v>71</v>
      </c>
      <c r="B869" s="62" t="s">
        <v>379</v>
      </c>
      <c r="C869" s="62">
        <v>22</v>
      </c>
      <c r="D869" s="62" t="s">
        <v>321</v>
      </c>
      <c r="E869" s="63">
        <v>15</v>
      </c>
      <c r="F869" s="63">
        <v>16</v>
      </c>
      <c r="G869" s="63">
        <v>17</v>
      </c>
      <c r="H869" s="62"/>
      <c r="I869" s="63">
        <v>18</v>
      </c>
      <c r="J869" s="63">
        <v>19</v>
      </c>
      <c r="K869" s="62"/>
      <c r="L869" s="62"/>
      <c r="M869" s="63">
        <v>23</v>
      </c>
      <c r="N869" s="62"/>
      <c r="O869" s="62"/>
      <c r="P869" s="63">
        <v>20</v>
      </c>
      <c r="Q869" s="62"/>
      <c r="R869" s="62"/>
      <c r="S869" s="62"/>
      <c r="T869" s="63">
        <v>17</v>
      </c>
      <c r="U869" s="62"/>
      <c r="V869" s="62"/>
      <c r="W869" s="62"/>
      <c r="X869" s="62"/>
      <c r="Y869" s="63">
        <v>16</v>
      </c>
      <c r="Z869" s="63">
        <v>16</v>
      </c>
      <c r="AA869" s="63">
        <v>17</v>
      </c>
      <c r="AB869" s="63">
        <v>17</v>
      </c>
    </row>
    <row r="870" spans="1:28" x14ac:dyDescent="0.2">
      <c r="A870" s="62">
        <v>71</v>
      </c>
      <c r="B870" s="62" t="s">
        <v>379</v>
      </c>
      <c r="C870" s="62">
        <v>23</v>
      </c>
      <c r="D870" s="62" t="s">
        <v>322</v>
      </c>
      <c r="E870" s="63">
        <v>552</v>
      </c>
      <c r="F870" s="63">
        <v>533</v>
      </c>
      <c r="G870" s="63">
        <v>490</v>
      </c>
      <c r="H870" s="63">
        <v>549</v>
      </c>
      <c r="I870" s="63">
        <v>617</v>
      </c>
      <c r="J870" s="63">
        <v>784</v>
      </c>
      <c r="K870" s="63">
        <v>884</v>
      </c>
      <c r="L870" s="63">
        <v>837</v>
      </c>
      <c r="M870" s="63">
        <v>583</v>
      </c>
      <c r="N870" s="63">
        <v>489</v>
      </c>
      <c r="O870" s="63">
        <v>479</v>
      </c>
      <c r="P870" s="63">
        <v>436</v>
      </c>
      <c r="Q870" s="63">
        <v>365</v>
      </c>
      <c r="R870" s="63">
        <v>331</v>
      </c>
      <c r="S870" s="63">
        <v>351</v>
      </c>
      <c r="T870" s="63">
        <v>327</v>
      </c>
      <c r="U870" s="63">
        <v>294</v>
      </c>
      <c r="V870" s="63">
        <v>323</v>
      </c>
      <c r="W870" s="63">
        <v>322</v>
      </c>
      <c r="X870" s="63">
        <v>322</v>
      </c>
      <c r="Y870" s="63">
        <v>319</v>
      </c>
      <c r="Z870" s="63">
        <v>335</v>
      </c>
      <c r="AA870" s="63">
        <v>332</v>
      </c>
      <c r="AB870" s="63">
        <v>347</v>
      </c>
    </row>
    <row r="871" spans="1:28" x14ac:dyDescent="0.2">
      <c r="A871" s="62">
        <v>71</v>
      </c>
      <c r="B871" s="62" t="s">
        <v>379</v>
      </c>
      <c r="C871" s="62">
        <v>3</v>
      </c>
      <c r="D871" s="62" t="s">
        <v>323</v>
      </c>
      <c r="E871" s="63">
        <v>1041</v>
      </c>
      <c r="F871" s="63">
        <v>1097</v>
      </c>
      <c r="G871" s="63">
        <v>1204</v>
      </c>
      <c r="H871" s="63">
        <v>1245</v>
      </c>
      <c r="I871" s="63">
        <v>1261</v>
      </c>
      <c r="J871" s="63">
        <v>1241</v>
      </c>
      <c r="K871" s="63">
        <v>1231</v>
      </c>
      <c r="L871" s="63">
        <v>1243</v>
      </c>
      <c r="M871" s="63">
        <v>1286</v>
      </c>
      <c r="N871" s="63">
        <v>1287</v>
      </c>
      <c r="O871" s="63">
        <v>1184</v>
      </c>
      <c r="P871" s="63">
        <v>1095</v>
      </c>
      <c r="Q871" s="63">
        <v>1041</v>
      </c>
      <c r="R871" s="63">
        <v>1022</v>
      </c>
      <c r="S871" s="63">
        <v>1006</v>
      </c>
      <c r="T871" s="63">
        <v>1024</v>
      </c>
      <c r="U871" s="63">
        <v>986</v>
      </c>
      <c r="V871" s="63">
        <v>971</v>
      </c>
      <c r="W871" s="63">
        <v>959</v>
      </c>
      <c r="X871" s="63">
        <v>900</v>
      </c>
      <c r="Y871" s="63">
        <v>898</v>
      </c>
      <c r="Z871" s="63">
        <v>897</v>
      </c>
      <c r="AA871" s="63">
        <v>899</v>
      </c>
      <c r="AB871" s="63">
        <v>929</v>
      </c>
    </row>
    <row r="872" spans="1:28" x14ac:dyDescent="0.2">
      <c r="A872" s="62">
        <v>71</v>
      </c>
      <c r="B872" s="62" t="s">
        <v>379</v>
      </c>
      <c r="C872" s="62" t="s">
        <v>324</v>
      </c>
      <c r="D872" s="62" t="s">
        <v>325</v>
      </c>
      <c r="E872" s="63">
        <v>142</v>
      </c>
      <c r="F872" s="63">
        <v>156</v>
      </c>
      <c r="G872" s="63">
        <v>156</v>
      </c>
      <c r="H872" s="63">
        <v>155</v>
      </c>
      <c r="I872" s="63">
        <v>188</v>
      </c>
      <c r="J872" s="63">
        <v>185</v>
      </c>
      <c r="K872" s="63">
        <v>179</v>
      </c>
      <c r="L872" s="63">
        <v>183</v>
      </c>
      <c r="M872" s="63">
        <v>168</v>
      </c>
      <c r="N872" s="63">
        <v>144</v>
      </c>
      <c r="O872" s="63">
        <v>115</v>
      </c>
      <c r="P872" s="63">
        <v>108</v>
      </c>
      <c r="Q872" s="63">
        <v>89</v>
      </c>
      <c r="R872" s="63">
        <v>75</v>
      </c>
      <c r="S872" s="63">
        <v>64</v>
      </c>
      <c r="T872" s="63">
        <v>71</v>
      </c>
      <c r="U872" s="63">
        <v>75</v>
      </c>
      <c r="V872" s="63">
        <v>88</v>
      </c>
      <c r="W872" s="63">
        <v>102</v>
      </c>
      <c r="X872" s="63">
        <v>111</v>
      </c>
      <c r="Y872" s="63">
        <v>86</v>
      </c>
      <c r="Z872" s="63">
        <v>83</v>
      </c>
      <c r="AA872" s="63">
        <v>101</v>
      </c>
      <c r="AB872" s="63">
        <v>76</v>
      </c>
    </row>
    <row r="873" spans="1:28" x14ac:dyDescent="0.2">
      <c r="A873" s="62">
        <v>71</v>
      </c>
      <c r="B873" s="62" t="s">
        <v>379</v>
      </c>
      <c r="C873" s="62">
        <v>42</v>
      </c>
      <c r="D873" s="62" t="s">
        <v>326</v>
      </c>
      <c r="E873" s="63">
        <v>173</v>
      </c>
      <c r="F873" s="63">
        <v>169</v>
      </c>
      <c r="G873" s="63">
        <v>162</v>
      </c>
      <c r="H873" s="63">
        <v>146</v>
      </c>
      <c r="I873" s="63">
        <v>134</v>
      </c>
      <c r="J873" s="63">
        <v>116</v>
      </c>
      <c r="K873" s="63">
        <v>111</v>
      </c>
      <c r="L873" s="63">
        <v>136</v>
      </c>
      <c r="M873" s="63">
        <v>111</v>
      </c>
      <c r="N873" s="63">
        <v>107</v>
      </c>
      <c r="O873" s="63">
        <v>107</v>
      </c>
      <c r="P873" s="63">
        <v>110</v>
      </c>
      <c r="Q873" s="63">
        <v>115</v>
      </c>
      <c r="R873" s="63">
        <v>129</v>
      </c>
      <c r="S873" s="63">
        <v>109</v>
      </c>
      <c r="T873" s="63">
        <v>117</v>
      </c>
      <c r="U873" s="63">
        <v>115</v>
      </c>
      <c r="V873" s="63">
        <v>130</v>
      </c>
      <c r="W873" s="63">
        <v>122</v>
      </c>
      <c r="X873" s="63">
        <v>98</v>
      </c>
      <c r="Y873" s="63">
        <v>89</v>
      </c>
      <c r="Z873" s="63">
        <v>92</v>
      </c>
      <c r="AA873" s="63">
        <v>94</v>
      </c>
      <c r="AB873" s="63">
        <v>99</v>
      </c>
    </row>
    <row r="874" spans="1:28" x14ac:dyDescent="0.2">
      <c r="A874" s="62">
        <v>71</v>
      </c>
      <c r="B874" s="62" t="s">
        <v>379</v>
      </c>
      <c r="C874" s="62" t="s">
        <v>327</v>
      </c>
      <c r="D874" s="62" t="s">
        <v>328</v>
      </c>
      <c r="E874" s="63">
        <v>833</v>
      </c>
      <c r="F874" s="63">
        <v>848</v>
      </c>
      <c r="G874" s="63">
        <v>829</v>
      </c>
      <c r="H874" s="63">
        <v>819</v>
      </c>
      <c r="I874" s="63">
        <v>827</v>
      </c>
      <c r="J874" s="63">
        <v>818</v>
      </c>
      <c r="K874" s="63">
        <v>836</v>
      </c>
      <c r="L874" s="63">
        <v>784</v>
      </c>
      <c r="M874" s="63">
        <v>758</v>
      </c>
      <c r="N874" s="63">
        <v>709</v>
      </c>
      <c r="O874" s="63">
        <v>707</v>
      </c>
      <c r="P874" s="63">
        <v>706</v>
      </c>
      <c r="Q874" s="63">
        <v>713</v>
      </c>
      <c r="R874" s="63">
        <v>696</v>
      </c>
      <c r="S874" s="63">
        <v>705</v>
      </c>
      <c r="T874" s="63">
        <v>748</v>
      </c>
      <c r="U874" s="63">
        <v>788</v>
      </c>
      <c r="V874" s="63">
        <v>838</v>
      </c>
      <c r="W874" s="63">
        <v>912</v>
      </c>
      <c r="X874" s="63">
        <v>955</v>
      </c>
      <c r="Y874" s="63">
        <v>988</v>
      </c>
      <c r="Z874" s="63">
        <v>970</v>
      </c>
      <c r="AA874" s="63">
        <v>943</v>
      </c>
      <c r="AB874" s="63">
        <v>915</v>
      </c>
    </row>
    <row r="875" spans="1:28" x14ac:dyDescent="0.2">
      <c r="A875" s="62">
        <v>71</v>
      </c>
      <c r="B875" s="62" t="s">
        <v>379</v>
      </c>
      <c r="C875" s="62" t="s">
        <v>329</v>
      </c>
      <c r="D875" s="62" t="s">
        <v>330</v>
      </c>
      <c r="E875" s="63">
        <v>173</v>
      </c>
      <c r="F875" s="63">
        <v>189</v>
      </c>
      <c r="G875" s="63">
        <v>189</v>
      </c>
      <c r="H875" s="63">
        <v>193</v>
      </c>
      <c r="I875" s="63">
        <v>202</v>
      </c>
      <c r="J875" s="63">
        <v>219</v>
      </c>
      <c r="K875" s="63">
        <v>223</v>
      </c>
      <c r="L875" s="63">
        <v>231</v>
      </c>
      <c r="M875" s="63">
        <v>169</v>
      </c>
      <c r="N875" s="63">
        <v>164</v>
      </c>
      <c r="O875" s="63">
        <v>174</v>
      </c>
      <c r="P875" s="63">
        <v>178</v>
      </c>
      <c r="Q875" s="63">
        <v>166</v>
      </c>
      <c r="R875" s="63">
        <v>151</v>
      </c>
      <c r="S875" s="63">
        <v>128</v>
      </c>
      <c r="T875" s="63">
        <v>114</v>
      </c>
      <c r="U875" s="63">
        <v>122</v>
      </c>
      <c r="V875" s="63">
        <v>108</v>
      </c>
      <c r="W875" s="63">
        <v>113</v>
      </c>
      <c r="X875" s="63">
        <v>115</v>
      </c>
      <c r="Y875" s="63">
        <v>132</v>
      </c>
      <c r="Z875" s="63">
        <v>135</v>
      </c>
      <c r="AA875" s="63">
        <v>127</v>
      </c>
      <c r="AB875" s="63">
        <v>139</v>
      </c>
    </row>
    <row r="876" spans="1:28" x14ac:dyDescent="0.2">
      <c r="A876" s="62">
        <v>71</v>
      </c>
      <c r="B876" s="62" t="s">
        <v>379</v>
      </c>
      <c r="C876" s="62">
        <v>51</v>
      </c>
      <c r="D876" s="62" t="s">
        <v>331</v>
      </c>
      <c r="E876" s="63">
        <v>49</v>
      </c>
      <c r="F876" s="63">
        <v>46</v>
      </c>
      <c r="G876" s="63">
        <v>42</v>
      </c>
      <c r="H876" s="63">
        <v>46</v>
      </c>
      <c r="I876" s="63">
        <v>55</v>
      </c>
      <c r="J876" s="63">
        <v>53</v>
      </c>
      <c r="K876" s="63">
        <v>49</v>
      </c>
      <c r="L876" s="63">
        <v>45</v>
      </c>
      <c r="M876" s="63">
        <v>53</v>
      </c>
      <c r="N876" s="63">
        <v>48</v>
      </c>
      <c r="O876" s="63">
        <v>42</v>
      </c>
      <c r="P876" s="63">
        <v>37</v>
      </c>
      <c r="Q876" s="63">
        <v>26</v>
      </c>
      <c r="R876" s="63">
        <v>30</v>
      </c>
      <c r="S876" s="63">
        <v>38</v>
      </c>
      <c r="T876" s="63">
        <v>41</v>
      </c>
      <c r="U876" s="63">
        <v>39</v>
      </c>
      <c r="V876" s="63">
        <v>39</v>
      </c>
      <c r="W876" s="63">
        <v>33</v>
      </c>
      <c r="X876" s="63">
        <v>27</v>
      </c>
      <c r="Y876" s="63">
        <v>31</v>
      </c>
      <c r="Z876" s="63">
        <v>32</v>
      </c>
      <c r="AA876" s="63">
        <v>36</v>
      </c>
      <c r="AB876" s="63">
        <v>36</v>
      </c>
    </row>
    <row r="877" spans="1:28" x14ac:dyDescent="0.2">
      <c r="A877" s="62">
        <v>71</v>
      </c>
      <c r="B877" s="62" t="s">
        <v>379</v>
      </c>
      <c r="C877" s="62">
        <v>52</v>
      </c>
      <c r="D877" s="62" t="s">
        <v>332</v>
      </c>
      <c r="E877" s="63">
        <v>171</v>
      </c>
      <c r="F877" s="63">
        <v>179</v>
      </c>
      <c r="G877" s="63">
        <v>190</v>
      </c>
      <c r="H877" s="63">
        <v>196</v>
      </c>
      <c r="I877" s="63">
        <v>201</v>
      </c>
      <c r="J877" s="63">
        <v>195</v>
      </c>
      <c r="K877" s="63">
        <v>196</v>
      </c>
      <c r="L877" s="63">
        <v>180</v>
      </c>
      <c r="M877" s="63">
        <v>192</v>
      </c>
      <c r="N877" s="63">
        <v>189</v>
      </c>
      <c r="O877" s="63">
        <v>181</v>
      </c>
      <c r="P877" s="63">
        <v>180</v>
      </c>
      <c r="Q877" s="63">
        <v>165</v>
      </c>
      <c r="R877" s="63">
        <v>162</v>
      </c>
      <c r="S877" s="63">
        <v>153</v>
      </c>
      <c r="T877" s="63">
        <v>155</v>
      </c>
      <c r="U877" s="63">
        <v>155</v>
      </c>
      <c r="V877" s="63">
        <v>157</v>
      </c>
      <c r="W877" s="63">
        <v>143</v>
      </c>
      <c r="X877" s="63">
        <v>155</v>
      </c>
      <c r="Y877" s="63">
        <v>144</v>
      </c>
      <c r="Z877" s="63">
        <v>151</v>
      </c>
      <c r="AA877" s="63">
        <v>149</v>
      </c>
      <c r="AB877" s="63">
        <v>165</v>
      </c>
    </row>
    <row r="878" spans="1:28" x14ac:dyDescent="0.2">
      <c r="A878" s="62">
        <v>71</v>
      </c>
      <c r="B878" s="62" t="s">
        <v>379</v>
      </c>
      <c r="C878" s="62">
        <v>53</v>
      </c>
      <c r="D878" s="62" t="s">
        <v>333</v>
      </c>
      <c r="E878" s="63">
        <v>145</v>
      </c>
      <c r="F878" s="63">
        <v>165</v>
      </c>
      <c r="G878" s="63">
        <v>170</v>
      </c>
      <c r="H878" s="63">
        <v>165</v>
      </c>
      <c r="I878" s="63">
        <v>167</v>
      </c>
      <c r="J878" s="63">
        <v>182</v>
      </c>
      <c r="K878" s="63">
        <v>201</v>
      </c>
      <c r="L878" s="63">
        <v>216</v>
      </c>
      <c r="M878" s="63">
        <v>180</v>
      </c>
      <c r="N878" s="63">
        <v>177</v>
      </c>
      <c r="O878" s="63">
        <v>174</v>
      </c>
      <c r="P878" s="63">
        <v>167</v>
      </c>
      <c r="Q878" s="63">
        <v>139</v>
      </c>
      <c r="R878" s="63">
        <v>136</v>
      </c>
      <c r="S878" s="63">
        <v>139</v>
      </c>
      <c r="T878" s="63">
        <v>146</v>
      </c>
      <c r="U878" s="63">
        <v>156</v>
      </c>
      <c r="V878" s="63">
        <v>151</v>
      </c>
      <c r="W878" s="63">
        <v>151</v>
      </c>
      <c r="X878" s="63">
        <v>148</v>
      </c>
      <c r="Y878" s="63">
        <v>171</v>
      </c>
      <c r="Z878" s="63">
        <v>167</v>
      </c>
      <c r="AA878" s="63">
        <v>158</v>
      </c>
      <c r="AB878" s="63">
        <v>154</v>
      </c>
    </row>
    <row r="879" spans="1:28" x14ac:dyDescent="0.2">
      <c r="A879" s="62">
        <v>71</v>
      </c>
      <c r="B879" s="62" t="s">
        <v>379</v>
      </c>
      <c r="C879" s="62">
        <v>54</v>
      </c>
      <c r="D879" s="62" t="s">
        <v>334</v>
      </c>
      <c r="E879" s="63">
        <v>169</v>
      </c>
      <c r="F879" s="63">
        <v>169</v>
      </c>
      <c r="G879" s="63">
        <v>161</v>
      </c>
      <c r="H879" s="63">
        <v>169</v>
      </c>
      <c r="I879" s="63">
        <v>151</v>
      </c>
      <c r="J879" s="63">
        <v>166</v>
      </c>
      <c r="K879" s="63">
        <v>191</v>
      </c>
      <c r="L879" s="63">
        <v>185</v>
      </c>
      <c r="M879" s="63">
        <v>171</v>
      </c>
      <c r="N879" s="63">
        <v>159</v>
      </c>
      <c r="O879" s="63">
        <v>154</v>
      </c>
      <c r="P879" s="63">
        <v>170</v>
      </c>
      <c r="Q879" s="63">
        <v>177</v>
      </c>
      <c r="R879" s="63">
        <v>190</v>
      </c>
      <c r="S879" s="63">
        <v>193</v>
      </c>
      <c r="T879" s="63">
        <v>171</v>
      </c>
      <c r="U879" s="63">
        <v>176</v>
      </c>
      <c r="V879" s="63">
        <v>182</v>
      </c>
      <c r="W879" s="63">
        <v>179</v>
      </c>
      <c r="X879" s="63">
        <v>170</v>
      </c>
      <c r="Y879" s="63">
        <v>195</v>
      </c>
      <c r="Z879" s="63">
        <v>205</v>
      </c>
      <c r="AA879" s="63">
        <v>176</v>
      </c>
      <c r="AB879" s="63">
        <v>221</v>
      </c>
    </row>
    <row r="880" spans="1:28" x14ac:dyDescent="0.2">
      <c r="A880" s="62">
        <v>71</v>
      </c>
      <c r="B880" s="62" t="s">
        <v>379</v>
      </c>
      <c r="C880" s="62">
        <v>55</v>
      </c>
      <c r="D880" s="64" t="s">
        <v>335</v>
      </c>
      <c r="E880" s="65"/>
      <c r="F880" s="65"/>
      <c r="G880" s="65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</row>
    <row r="881" spans="1:28" x14ac:dyDescent="0.2">
      <c r="A881" s="62">
        <v>71</v>
      </c>
      <c r="B881" s="62" t="s">
        <v>379</v>
      </c>
      <c r="C881" s="62">
        <v>56</v>
      </c>
      <c r="D881" s="62" t="s">
        <v>336</v>
      </c>
      <c r="E881" s="63">
        <v>152</v>
      </c>
      <c r="F881" s="63">
        <v>182</v>
      </c>
      <c r="G881" s="63">
        <v>197</v>
      </c>
      <c r="H881" s="63">
        <v>168</v>
      </c>
      <c r="I881" s="63">
        <v>204</v>
      </c>
      <c r="J881" s="63">
        <v>224</v>
      </c>
      <c r="K881" s="63">
        <v>261</v>
      </c>
      <c r="L881" s="63">
        <v>233</v>
      </c>
      <c r="M881" s="63">
        <v>188</v>
      </c>
      <c r="N881" s="63">
        <v>149</v>
      </c>
      <c r="O881" s="63">
        <v>144</v>
      </c>
      <c r="P881" s="63">
        <v>150</v>
      </c>
      <c r="Q881" s="63">
        <v>123</v>
      </c>
      <c r="R881" s="63">
        <v>103</v>
      </c>
      <c r="S881" s="63">
        <v>114</v>
      </c>
      <c r="T881" s="63">
        <v>115</v>
      </c>
      <c r="U881" s="63">
        <v>112</v>
      </c>
      <c r="V881" s="63">
        <v>141</v>
      </c>
      <c r="W881" s="63">
        <v>142</v>
      </c>
      <c r="X881" s="63">
        <v>134</v>
      </c>
      <c r="Y881" s="63">
        <v>129</v>
      </c>
      <c r="Z881" s="63">
        <v>156</v>
      </c>
      <c r="AA881" s="63">
        <v>123</v>
      </c>
      <c r="AB881" s="63">
        <v>85</v>
      </c>
    </row>
    <row r="882" spans="1:28" x14ac:dyDescent="0.2">
      <c r="A882" s="62">
        <v>71</v>
      </c>
      <c r="B882" s="62" t="s">
        <v>379</v>
      </c>
      <c r="C882" s="62">
        <v>61</v>
      </c>
      <c r="D882" s="62" t="s">
        <v>337</v>
      </c>
      <c r="E882" s="63">
        <v>19</v>
      </c>
      <c r="F882" s="62"/>
      <c r="G882" s="62"/>
      <c r="H882" s="63">
        <v>29</v>
      </c>
      <c r="I882" s="63">
        <v>45</v>
      </c>
      <c r="J882" s="63">
        <v>41</v>
      </c>
      <c r="K882" s="62"/>
      <c r="L882" s="63">
        <v>40</v>
      </c>
      <c r="M882" s="63">
        <v>27</v>
      </c>
      <c r="N882" s="63">
        <v>36</v>
      </c>
      <c r="O882" s="63">
        <v>25</v>
      </c>
      <c r="P882" s="63">
        <v>33</v>
      </c>
      <c r="Q882" s="63">
        <v>28</v>
      </c>
      <c r="R882" s="63">
        <v>29</v>
      </c>
      <c r="S882" s="63">
        <v>38</v>
      </c>
      <c r="T882" s="63">
        <v>33</v>
      </c>
      <c r="U882" s="63">
        <v>31</v>
      </c>
      <c r="V882" s="63">
        <v>35</v>
      </c>
      <c r="W882" s="63">
        <v>43</v>
      </c>
      <c r="X882" s="63">
        <v>29</v>
      </c>
      <c r="Y882" s="63">
        <v>35</v>
      </c>
      <c r="Z882" s="63">
        <v>37</v>
      </c>
      <c r="AA882" s="63">
        <v>43</v>
      </c>
      <c r="AB882" s="63">
        <v>37</v>
      </c>
    </row>
    <row r="883" spans="1:28" x14ac:dyDescent="0.2">
      <c r="A883" s="62">
        <v>71</v>
      </c>
      <c r="B883" s="62" t="s">
        <v>379</v>
      </c>
      <c r="C883" s="62">
        <v>62</v>
      </c>
      <c r="D883" s="62" t="s">
        <v>338</v>
      </c>
      <c r="E883" s="63">
        <v>542</v>
      </c>
      <c r="F883" s="63">
        <v>551</v>
      </c>
      <c r="G883" s="63">
        <v>545</v>
      </c>
      <c r="H883" s="63">
        <v>527</v>
      </c>
      <c r="I883" s="63">
        <v>518</v>
      </c>
      <c r="J883" s="63">
        <v>530</v>
      </c>
      <c r="K883" s="63">
        <v>540</v>
      </c>
      <c r="L883" s="63">
        <v>555</v>
      </c>
      <c r="M883" s="63">
        <v>576</v>
      </c>
      <c r="N883" s="63">
        <v>584</v>
      </c>
      <c r="O883" s="63">
        <v>673</v>
      </c>
      <c r="P883" s="63">
        <v>700</v>
      </c>
      <c r="Q883" s="63">
        <v>714</v>
      </c>
      <c r="R883" s="63">
        <v>780</v>
      </c>
      <c r="S883" s="63">
        <v>799</v>
      </c>
      <c r="T883" s="63">
        <v>804</v>
      </c>
      <c r="U883" s="63">
        <v>843</v>
      </c>
      <c r="V883" s="63">
        <v>916</v>
      </c>
      <c r="W883" s="63">
        <v>919</v>
      </c>
      <c r="X883" s="63">
        <v>854</v>
      </c>
      <c r="Y883" s="63">
        <v>845</v>
      </c>
      <c r="Z883" s="63">
        <v>809</v>
      </c>
      <c r="AA883" s="63">
        <v>761</v>
      </c>
      <c r="AB883" s="63">
        <v>783</v>
      </c>
    </row>
    <row r="884" spans="1:28" x14ac:dyDescent="0.2">
      <c r="A884" s="62">
        <v>71</v>
      </c>
      <c r="B884" s="62" t="s">
        <v>379</v>
      </c>
      <c r="C884" s="62">
        <v>71</v>
      </c>
      <c r="D884" s="62" t="s">
        <v>339</v>
      </c>
      <c r="E884" s="63">
        <v>61</v>
      </c>
      <c r="F884" s="63">
        <v>69</v>
      </c>
      <c r="G884" s="63">
        <v>62</v>
      </c>
      <c r="H884" s="63">
        <v>83</v>
      </c>
      <c r="I884" s="63">
        <v>78</v>
      </c>
      <c r="J884" s="63">
        <v>69</v>
      </c>
      <c r="K884" s="63">
        <v>89</v>
      </c>
      <c r="L884" s="63">
        <v>116</v>
      </c>
      <c r="M884" s="63">
        <v>110</v>
      </c>
      <c r="N884" s="63">
        <v>102</v>
      </c>
      <c r="O884" s="63">
        <v>84</v>
      </c>
      <c r="P884" s="63">
        <v>70</v>
      </c>
      <c r="Q884" s="63">
        <v>67</v>
      </c>
      <c r="R884" s="63">
        <v>76</v>
      </c>
      <c r="S884" s="63">
        <v>74</v>
      </c>
      <c r="T884" s="63">
        <v>74</v>
      </c>
      <c r="U884" s="63">
        <v>71</v>
      </c>
      <c r="V884" s="63">
        <v>80</v>
      </c>
      <c r="W884" s="63">
        <v>93</v>
      </c>
      <c r="X884" s="63">
        <v>81</v>
      </c>
      <c r="Y884" s="63">
        <v>82</v>
      </c>
      <c r="Z884" s="63">
        <v>104</v>
      </c>
      <c r="AA884" s="63">
        <v>98</v>
      </c>
      <c r="AB884" s="63">
        <v>96</v>
      </c>
    </row>
    <row r="885" spans="1:28" x14ac:dyDescent="0.2">
      <c r="A885" s="62">
        <v>71</v>
      </c>
      <c r="B885" s="62" t="s">
        <v>379</v>
      </c>
      <c r="C885" s="62">
        <v>72</v>
      </c>
      <c r="D885" s="62" t="s">
        <v>340</v>
      </c>
      <c r="E885" s="63">
        <v>616</v>
      </c>
      <c r="F885" s="63">
        <v>595</v>
      </c>
      <c r="G885" s="63">
        <v>580</v>
      </c>
      <c r="H885" s="63">
        <v>601</v>
      </c>
      <c r="I885" s="63">
        <v>585</v>
      </c>
      <c r="J885" s="63">
        <v>605</v>
      </c>
      <c r="K885" s="63">
        <v>591</v>
      </c>
      <c r="L885" s="63">
        <v>613</v>
      </c>
      <c r="M885" s="63">
        <v>597</v>
      </c>
      <c r="N885" s="63">
        <v>531</v>
      </c>
      <c r="O885" s="63">
        <v>543</v>
      </c>
      <c r="P885" s="63">
        <v>594</v>
      </c>
      <c r="Q885" s="63">
        <v>576</v>
      </c>
      <c r="R885" s="63">
        <v>551</v>
      </c>
      <c r="S885" s="63">
        <v>532</v>
      </c>
      <c r="T885" s="63">
        <v>565</v>
      </c>
      <c r="U885" s="63">
        <v>592</v>
      </c>
      <c r="V885" s="63">
        <v>610</v>
      </c>
      <c r="W885" s="63">
        <v>620</v>
      </c>
      <c r="X885" s="63">
        <v>534</v>
      </c>
      <c r="Y885" s="63">
        <v>560</v>
      </c>
      <c r="Z885" s="63">
        <v>602</v>
      </c>
      <c r="AA885" s="63">
        <v>660</v>
      </c>
      <c r="AB885" s="63">
        <v>680</v>
      </c>
    </row>
    <row r="886" spans="1:28" x14ac:dyDescent="0.2">
      <c r="A886" s="62">
        <v>71</v>
      </c>
      <c r="B886" s="62" t="s">
        <v>379</v>
      </c>
      <c r="C886" s="62">
        <v>81</v>
      </c>
      <c r="D886" s="62" t="s">
        <v>341</v>
      </c>
      <c r="E886" s="63">
        <v>410</v>
      </c>
      <c r="F886" s="63">
        <v>365</v>
      </c>
      <c r="G886" s="63">
        <v>388</v>
      </c>
      <c r="H886" s="63">
        <v>383</v>
      </c>
      <c r="I886" s="63">
        <v>348</v>
      </c>
      <c r="J886" s="63">
        <v>390</v>
      </c>
      <c r="K886" s="63">
        <v>386</v>
      </c>
      <c r="L886" s="63">
        <v>365</v>
      </c>
      <c r="M886" s="63">
        <v>350</v>
      </c>
      <c r="N886" s="63">
        <v>335</v>
      </c>
      <c r="O886" s="63">
        <v>326</v>
      </c>
      <c r="P886" s="63">
        <v>324</v>
      </c>
      <c r="Q886" s="63">
        <v>341</v>
      </c>
      <c r="R886" s="63">
        <v>355</v>
      </c>
      <c r="S886" s="63">
        <v>368</v>
      </c>
      <c r="T886" s="63">
        <v>401</v>
      </c>
      <c r="U886" s="63">
        <v>488</v>
      </c>
      <c r="V886" s="63">
        <v>360</v>
      </c>
      <c r="W886" s="63">
        <v>355</v>
      </c>
      <c r="X886" s="63">
        <v>292</v>
      </c>
      <c r="Y886" s="63">
        <v>253</v>
      </c>
      <c r="Z886" s="63">
        <v>253</v>
      </c>
      <c r="AA886" s="63">
        <v>258</v>
      </c>
      <c r="AB886" s="63">
        <v>236</v>
      </c>
    </row>
    <row r="887" spans="1:28" x14ac:dyDescent="0.2">
      <c r="A887" s="62">
        <v>71</v>
      </c>
      <c r="B887" s="62" t="s">
        <v>379</v>
      </c>
      <c r="C887" s="62">
        <v>92</v>
      </c>
      <c r="D887" s="64" t="s">
        <v>345</v>
      </c>
      <c r="E887" s="65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</row>
    <row r="888" spans="1:28" x14ac:dyDescent="0.2">
      <c r="A888" s="62">
        <v>71</v>
      </c>
      <c r="B888" s="62" t="s">
        <v>379</v>
      </c>
      <c r="C888" s="62">
        <v>99</v>
      </c>
      <c r="D888" s="62" t="s">
        <v>342</v>
      </c>
      <c r="E888" s="62"/>
      <c r="F888" s="62"/>
      <c r="G888" s="62"/>
      <c r="H888" s="62"/>
      <c r="I888" s="62"/>
      <c r="J888" s="62"/>
      <c r="K888" s="62"/>
      <c r="L888" s="62"/>
      <c r="M888" s="63">
        <v>0</v>
      </c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</row>
    <row r="889" spans="1:28" x14ac:dyDescent="0.2">
      <c r="A889" s="62">
        <v>73</v>
      </c>
      <c r="B889" s="62" t="s">
        <v>380</v>
      </c>
      <c r="C889" s="62">
        <v>1</v>
      </c>
      <c r="D889" s="62" t="s">
        <v>316</v>
      </c>
      <c r="E889" s="63">
        <v>35</v>
      </c>
      <c r="F889" s="63">
        <v>33</v>
      </c>
      <c r="G889" s="63">
        <v>33</v>
      </c>
      <c r="H889" s="63">
        <v>30</v>
      </c>
      <c r="I889" s="63">
        <v>31</v>
      </c>
      <c r="J889" s="63">
        <v>30</v>
      </c>
      <c r="K889" s="63">
        <v>30</v>
      </c>
      <c r="L889" s="63">
        <v>31</v>
      </c>
      <c r="M889" s="63">
        <v>29</v>
      </c>
      <c r="N889" s="63">
        <v>32</v>
      </c>
      <c r="O889" s="63">
        <v>26</v>
      </c>
      <c r="P889" s="63">
        <v>24</v>
      </c>
      <c r="Q889" s="63">
        <v>24</v>
      </c>
      <c r="R889" s="63">
        <v>23</v>
      </c>
      <c r="S889" s="63">
        <v>20</v>
      </c>
      <c r="T889" s="63">
        <v>21</v>
      </c>
      <c r="U889" s="63">
        <v>20</v>
      </c>
      <c r="V889" s="63">
        <v>19</v>
      </c>
      <c r="W889" s="63">
        <v>19</v>
      </c>
      <c r="X889" s="63">
        <v>21</v>
      </c>
      <c r="Y889" s="63">
        <v>17</v>
      </c>
      <c r="Z889" s="63">
        <v>17</v>
      </c>
      <c r="AA889" s="63">
        <v>18</v>
      </c>
      <c r="AB889" s="63">
        <v>18</v>
      </c>
    </row>
    <row r="890" spans="1:28" x14ac:dyDescent="0.2">
      <c r="A890" s="62">
        <v>73</v>
      </c>
      <c r="B890" s="62" t="s">
        <v>380</v>
      </c>
      <c r="C890" s="62">
        <v>10</v>
      </c>
      <c r="D890" s="62" t="s">
        <v>317</v>
      </c>
      <c r="E890" s="63">
        <v>2522</v>
      </c>
      <c r="F890" s="63">
        <v>2478</v>
      </c>
      <c r="G890" s="63">
        <v>2530</v>
      </c>
      <c r="H890" s="63">
        <v>2527</v>
      </c>
      <c r="I890" s="63">
        <v>2547</v>
      </c>
      <c r="J890" s="63">
        <v>2541</v>
      </c>
      <c r="K890" s="63">
        <v>2520</v>
      </c>
      <c r="L890" s="63">
        <v>2463</v>
      </c>
      <c r="M890" s="63">
        <v>2413</v>
      </c>
      <c r="N890" s="63">
        <v>2452</v>
      </c>
      <c r="O890" s="63">
        <v>2501</v>
      </c>
      <c r="P890" s="63">
        <v>2463</v>
      </c>
      <c r="Q890" s="63">
        <v>2482</v>
      </c>
      <c r="R890" s="63">
        <v>2483</v>
      </c>
      <c r="S890" s="63">
        <v>2506</v>
      </c>
      <c r="T890" s="63">
        <v>2524</v>
      </c>
      <c r="U890" s="63">
        <v>2591</v>
      </c>
      <c r="V890" s="63">
        <v>2642</v>
      </c>
      <c r="W890" s="63">
        <v>2588</v>
      </c>
      <c r="X890" s="63">
        <v>2553</v>
      </c>
      <c r="Y890" s="63">
        <v>2556</v>
      </c>
      <c r="Z890" s="63">
        <v>2571</v>
      </c>
      <c r="AA890" s="63">
        <v>2633</v>
      </c>
      <c r="AB890" s="63">
        <v>2596</v>
      </c>
    </row>
    <row r="891" spans="1:28" x14ac:dyDescent="0.2">
      <c r="A891" s="62">
        <v>73</v>
      </c>
      <c r="B891" s="62" t="s">
        <v>380</v>
      </c>
      <c r="C891" s="62">
        <v>11</v>
      </c>
      <c r="D891" s="62" t="s">
        <v>318</v>
      </c>
      <c r="E891" s="63">
        <v>40</v>
      </c>
      <c r="F891" s="63">
        <v>48</v>
      </c>
      <c r="G891" s="63">
        <v>52</v>
      </c>
      <c r="H891" s="63">
        <v>48</v>
      </c>
      <c r="I891" s="63">
        <v>49</v>
      </c>
      <c r="J891" s="63">
        <v>40</v>
      </c>
      <c r="K891" s="63">
        <v>39</v>
      </c>
      <c r="L891" s="63">
        <v>36</v>
      </c>
      <c r="M891" s="63">
        <v>35</v>
      </c>
      <c r="N891" s="63">
        <v>41</v>
      </c>
      <c r="O891" s="63">
        <v>42</v>
      </c>
      <c r="P891" s="63">
        <v>35</v>
      </c>
      <c r="Q891" s="63">
        <v>45</v>
      </c>
      <c r="R891" s="63">
        <v>44</v>
      </c>
      <c r="S891" s="63">
        <v>46</v>
      </c>
      <c r="T891" s="63">
        <v>37</v>
      </c>
      <c r="U891" s="63">
        <v>42</v>
      </c>
      <c r="V891" s="63">
        <v>50</v>
      </c>
      <c r="W891" s="63">
        <v>54</v>
      </c>
      <c r="X891" s="63">
        <v>86</v>
      </c>
      <c r="Y891" s="63">
        <v>89</v>
      </c>
      <c r="Z891" s="63">
        <v>98</v>
      </c>
      <c r="AA891" s="63">
        <v>95</v>
      </c>
      <c r="AB891" s="63">
        <v>89</v>
      </c>
    </row>
    <row r="892" spans="1:28" x14ac:dyDescent="0.2">
      <c r="A892" s="62">
        <v>73</v>
      </c>
      <c r="B892" s="62" t="s">
        <v>380</v>
      </c>
      <c r="C892" s="62">
        <v>2</v>
      </c>
      <c r="D892" s="62" t="s">
        <v>319</v>
      </c>
      <c r="E892" s="63">
        <v>380</v>
      </c>
      <c r="F892" s="63">
        <v>368</v>
      </c>
      <c r="G892" s="63">
        <v>377</v>
      </c>
      <c r="H892" s="63">
        <v>364</v>
      </c>
      <c r="I892" s="63">
        <v>372</v>
      </c>
      <c r="J892" s="63">
        <v>366</v>
      </c>
      <c r="K892" s="63">
        <v>372</v>
      </c>
      <c r="L892" s="63">
        <v>392</v>
      </c>
      <c r="M892" s="63">
        <v>395</v>
      </c>
      <c r="N892" s="63">
        <v>393</v>
      </c>
      <c r="O892" s="63">
        <v>396</v>
      </c>
      <c r="P892" s="63">
        <v>390</v>
      </c>
      <c r="Q892" s="63">
        <v>387</v>
      </c>
      <c r="R892" s="63">
        <v>397</v>
      </c>
      <c r="S892" s="63">
        <v>413</v>
      </c>
      <c r="T892" s="63">
        <v>412</v>
      </c>
      <c r="U892" s="63">
        <v>412</v>
      </c>
      <c r="V892" s="63">
        <v>417</v>
      </c>
      <c r="W892" s="63">
        <v>400</v>
      </c>
      <c r="X892" s="63">
        <v>408</v>
      </c>
      <c r="Y892" s="63">
        <v>390</v>
      </c>
      <c r="Z892" s="63">
        <v>343</v>
      </c>
      <c r="AA892" s="63">
        <v>369</v>
      </c>
      <c r="AB892" s="63">
        <v>408</v>
      </c>
    </row>
    <row r="893" spans="1:28" x14ac:dyDescent="0.2">
      <c r="A893" s="62">
        <v>73</v>
      </c>
      <c r="B893" s="62" t="s">
        <v>380</v>
      </c>
      <c r="C893" s="62">
        <v>21</v>
      </c>
      <c r="D893" s="64" t="s">
        <v>320</v>
      </c>
      <c r="E893" s="65"/>
      <c r="F893" s="65"/>
      <c r="G893" s="65"/>
      <c r="H893" s="62"/>
      <c r="I893" s="62"/>
      <c r="J893" s="62"/>
      <c r="K893" s="62"/>
      <c r="L893" s="62"/>
      <c r="M893" s="62"/>
      <c r="N893" s="62"/>
      <c r="O893" s="63">
        <v>7</v>
      </c>
      <c r="P893" s="63">
        <v>7</v>
      </c>
      <c r="Q893" s="62"/>
      <c r="R893" s="62"/>
      <c r="S893" s="63">
        <v>5</v>
      </c>
      <c r="T893" s="63">
        <v>4</v>
      </c>
      <c r="U893" s="63">
        <v>5</v>
      </c>
      <c r="V893" s="62"/>
      <c r="W893" s="62"/>
      <c r="X893" s="62"/>
      <c r="Y893" s="62"/>
      <c r="Z893" s="62"/>
      <c r="AA893" s="62"/>
      <c r="AB893" s="63">
        <v>4</v>
      </c>
    </row>
    <row r="894" spans="1:28" x14ac:dyDescent="0.2">
      <c r="A894" s="62">
        <v>73</v>
      </c>
      <c r="B894" s="62" t="s">
        <v>380</v>
      </c>
      <c r="C894" s="62">
        <v>22</v>
      </c>
      <c r="D894" s="62" t="s">
        <v>321</v>
      </c>
      <c r="E894" s="62"/>
      <c r="F894" s="62"/>
      <c r="G894" s="63">
        <v>47</v>
      </c>
      <c r="H894" s="63">
        <v>48</v>
      </c>
      <c r="I894" s="62"/>
      <c r="J894" s="62"/>
      <c r="K894" s="62"/>
      <c r="L894" s="62"/>
      <c r="M894" s="62"/>
      <c r="N894" s="62"/>
      <c r="O894" s="62"/>
      <c r="P894" s="62"/>
      <c r="Q894" s="63">
        <v>45</v>
      </c>
      <c r="R894" s="63">
        <v>45</v>
      </c>
      <c r="S894" s="63">
        <v>46</v>
      </c>
      <c r="T894" s="63">
        <v>45</v>
      </c>
      <c r="U894" s="63">
        <v>45</v>
      </c>
      <c r="V894" s="63">
        <v>45</v>
      </c>
      <c r="W894" s="63">
        <v>44</v>
      </c>
      <c r="X894" s="63">
        <v>44</v>
      </c>
      <c r="Y894" s="63">
        <v>45</v>
      </c>
      <c r="Z894" s="63">
        <v>47</v>
      </c>
      <c r="AA894" s="63">
        <v>56</v>
      </c>
      <c r="AB894" s="63">
        <v>62</v>
      </c>
    </row>
    <row r="895" spans="1:28" x14ac:dyDescent="0.2">
      <c r="A895" s="62">
        <v>73</v>
      </c>
      <c r="B895" s="62" t="s">
        <v>380</v>
      </c>
      <c r="C895" s="62">
        <v>23</v>
      </c>
      <c r="D895" s="62" t="s">
        <v>322</v>
      </c>
      <c r="E895" s="63">
        <v>130</v>
      </c>
      <c r="F895" s="63">
        <v>108</v>
      </c>
      <c r="G895" s="63">
        <v>97</v>
      </c>
      <c r="H895" s="63">
        <v>105</v>
      </c>
      <c r="I895" s="63">
        <v>99</v>
      </c>
      <c r="J895" s="63">
        <v>92</v>
      </c>
      <c r="K895" s="63">
        <v>107</v>
      </c>
      <c r="L895" s="63">
        <v>104</v>
      </c>
      <c r="M895" s="63">
        <v>100</v>
      </c>
      <c r="N895" s="63">
        <v>126</v>
      </c>
      <c r="O895" s="63">
        <v>179</v>
      </c>
      <c r="P895" s="63">
        <v>123</v>
      </c>
      <c r="Q895" s="63">
        <v>122</v>
      </c>
      <c r="R895" s="63">
        <v>125</v>
      </c>
      <c r="S895" s="63">
        <v>138</v>
      </c>
      <c r="T895" s="63">
        <v>127</v>
      </c>
      <c r="U895" s="63">
        <v>128</v>
      </c>
      <c r="V895" s="63">
        <v>130</v>
      </c>
      <c r="W895" s="63">
        <v>146</v>
      </c>
      <c r="X895" s="63">
        <v>160</v>
      </c>
      <c r="Y895" s="63">
        <v>177</v>
      </c>
      <c r="Z895" s="63">
        <v>157</v>
      </c>
      <c r="AA895" s="63">
        <v>140</v>
      </c>
      <c r="AB895" s="63">
        <v>125</v>
      </c>
    </row>
    <row r="896" spans="1:28" x14ac:dyDescent="0.2">
      <c r="A896" s="62">
        <v>73</v>
      </c>
      <c r="B896" s="62" t="s">
        <v>380</v>
      </c>
      <c r="C896" s="62">
        <v>3</v>
      </c>
      <c r="D896" s="62" t="s">
        <v>323</v>
      </c>
      <c r="E896" s="63">
        <v>516</v>
      </c>
      <c r="F896" s="63">
        <v>531</v>
      </c>
      <c r="G896" s="63">
        <v>508</v>
      </c>
      <c r="H896" s="63">
        <v>498</v>
      </c>
      <c r="I896" s="63">
        <v>515</v>
      </c>
      <c r="J896" s="63">
        <v>528</v>
      </c>
      <c r="K896" s="63">
        <v>541</v>
      </c>
      <c r="L896" s="63">
        <v>550</v>
      </c>
      <c r="M896" s="63">
        <v>556</v>
      </c>
      <c r="N896" s="63">
        <v>555</v>
      </c>
      <c r="O896" s="63">
        <v>539</v>
      </c>
      <c r="P896" s="63">
        <v>535</v>
      </c>
      <c r="Q896" s="63">
        <v>560</v>
      </c>
      <c r="R896" s="63">
        <v>569</v>
      </c>
      <c r="S896" s="63">
        <v>565</v>
      </c>
      <c r="T896" s="63">
        <v>580</v>
      </c>
      <c r="U896" s="63">
        <v>599</v>
      </c>
      <c r="V896" s="63">
        <v>607</v>
      </c>
      <c r="W896" s="63">
        <v>569</v>
      </c>
      <c r="X896" s="63">
        <v>568</v>
      </c>
      <c r="Y896" s="63">
        <v>578</v>
      </c>
      <c r="Z896" s="63">
        <v>598</v>
      </c>
      <c r="AA896" s="63">
        <v>631</v>
      </c>
      <c r="AB896" s="63">
        <v>636</v>
      </c>
    </row>
    <row r="897" spans="1:28" x14ac:dyDescent="0.2">
      <c r="A897" s="62">
        <v>73</v>
      </c>
      <c r="B897" s="62" t="s">
        <v>380</v>
      </c>
      <c r="C897" s="62" t="s">
        <v>324</v>
      </c>
      <c r="D897" s="64" t="s">
        <v>325</v>
      </c>
      <c r="E897" s="65"/>
      <c r="F897" s="62"/>
      <c r="G897" s="63">
        <v>7</v>
      </c>
      <c r="H897" s="63">
        <v>63</v>
      </c>
      <c r="I897" s="62"/>
      <c r="J897" s="62"/>
      <c r="K897" s="62"/>
      <c r="L897" s="62"/>
      <c r="M897" s="63">
        <v>15</v>
      </c>
      <c r="N897" s="63">
        <v>13</v>
      </c>
      <c r="O897" s="63">
        <v>14</v>
      </c>
      <c r="P897" s="63">
        <v>11</v>
      </c>
      <c r="Q897" s="63">
        <v>12</v>
      </c>
      <c r="R897" s="63">
        <v>18</v>
      </c>
      <c r="S897" s="63">
        <v>19</v>
      </c>
      <c r="T897" s="63">
        <v>21</v>
      </c>
      <c r="U897" s="63">
        <v>30</v>
      </c>
      <c r="V897" s="63">
        <v>20</v>
      </c>
      <c r="W897" s="63">
        <v>12</v>
      </c>
      <c r="X897" s="63">
        <v>14</v>
      </c>
      <c r="Y897" s="63">
        <v>14</v>
      </c>
      <c r="Z897" s="63">
        <v>16</v>
      </c>
      <c r="AA897" s="63">
        <v>17</v>
      </c>
      <c r="AB897" s="63">
        <v>16</v>
      </c>
    </row>
    <row r="898" spans="1:28" x14ac:dyDescent="0.2">
      <c r="A898" s="62">
        <v>73</v>
      </c>
      <c r="B898" s="62" t="s">
        <v>380</v>
      </c>
      <c r="C898" s="62">
        <v>42</v>
      </c>
      <c r="D898" s="62" t="s">
        <v>326</v>
      </c>
      <c r="E898" s="63">
        <v>39</v>
      </c>
      <c r="F898" s="63">
        <v>24</v>
      </c>
      <c r="G898" s="63">
        <v>25</v>
      </c>
      <c r="H898" s="63">
        <v>20</v>
      </c>
      <c r="I898" s="63">
        <v>23</v>
      </c>
      <c r="J898" s="63">
        <v>21</v>
      </c>
      <c r="K898" s="63">
        <v>14</v>
      </c>
      <c r="L898" s="63">
        <v>19</v>
      </c>
      <c r="M898" s="63">
        <v>15</v>
      </c>
      <c r="N898" s="62"/>
      <c r="O898" s="63">
        <v>12</v>
      </c>
      <c r="P898" s="63">
        <v>14</v>
      </c>
      <c r="Q898" s="63">
        <v>8</v>
      </c>
      <c r="R898" s="63">
        <v>20</v>
      </c>
      <c r="S898" s="63">
        <v>17</v>
      </c>
      <c r="T898" s="63">
        <v>18</v>
      </c>
      <c r="U898" s="63">
        <v>18</v>
      </c>
      <c r="V898" s="63">
        <v>21</v>
      </c>
      <c r="W898" s="63">
        <v>21</v>
      </c>
      <c r="X898" s="63">
        <v>21</v>
      </c>
      <c r="Y898" s="63">
        <v>25</v>
      </c>
      <c r="Z898" s="63">
        <v>40</v>
      </c>
      <c r="AA898" s="63">
        <v>32</v>
      </c>
      <c r="AB898" s="63">
        <v>32</v>
      </c>
    </row>
    <row r="899" spans="1:28" x14ac:dyDescent="0.2">
      <c r="A899" s="62">
        <v>73</v>
      </c>
      <c r="B899" s="62" t="s">
        <v>380</v>
      </c>
      <c r="C899" s="62" t="s">
        <v>327</v>
      </c>
      <c r="D899" s="62" t="s">
        <v>328</v>
      </c>
      <c r="E899" s="63">
        <v>372</v>
      </c>
      <c r="F899" s="63">
        <v>381</v>
      </c>
      <c r="G899" s="63">
        <v>392</v>
      </c>
      <c r="H899" s="63">
        <v>410</v>
      </c>
      <c r="I899" s="63">
        <v>409</v>
      </c>
      <c r="J899" s="63">
        <v>423</v>
      </c>
      <c r="K899" s="63">
        <v>400</v>
      </c>
      <c r="L899" s="63">
        <v>384</v>
      </c>
      <c r="M899" s="63">
        <v>352</v>
      </c>
      <c r="N899" s="63">
        <v>357</v>
      </c>
      <c r="O899" s="63">
        <v>366</v>
      </c>
      <c r="P899" s="63">
        <v>365</v>
      </c>
      <c r="Q899" s="63">
        <v>364</v>
      </c>
      <c r="R899" s="63">
        <v>362</v>
      </c>
      <c r="S899" s="63">
        <v>354</v>
      </c>
      <c r="T899" s="63">
        <v>353</v>
      </c>
      <c r="U899" s="63">
        <v>362</v>
      </c>
      <c r="V899" s="63">
        <v>361</v>
      </c>
      <c r="W899" s="63">
        <v>358</v>
      </c>
      <c r="X899" s="63">
        <v>355</v>
      </c>
      <c r="Y899" s="63">
        <v>347</v>
      </c>
      <c r="Z899" s="63">
        <v>344</v>
      </c>
      <c r="AA899" s="63">
        <v>350</v>
      </c>
      <c r="AB899" s="63">
        <v>359</v>
      </c>
    </row>
    <row r="900" spans="1:28" x14ac:dyDescent="0.2">
      <c r="A900" s="62">
        <v>73</v>
      </c>
      <c r="B900" s="62" t="s">
        <v>380</v>
      </c>
      <c r="C900" s="62" t="s">
        <v>329</v>
      </c>
      <c r="D900" s="62" t="s">
        <v>330</v>
      </c>
      <c r="E900" s="63">
        <v>50</v>
      </c>
      <c r="F900" s="63">
        <v>38</v>
      </c>
      <c r="G900" s="63">
        <v>43</v>
      </c>
      <c r="H900" s="63">
        <v>41</v>
      </c>
      <c r="I900" s="63">
        <v>39</v>
      </c>
      <c r="J900" s="63">
        <v>39</v>
      </c>
      <c r="K900" s="63">
        <v>44</v>
      </c>
      <c r="L900" s="63">
        <v>46</v>
      </c>
      <c r="M900" s="63">
        <v>36</v>
      </c>
      <c r="N900" s="63">
        <v>31</v>
      </c>
      <c r="O900" s="63">
        <v>30</v>
      </c>
      <c r="P900" s="63">
        <v>31</v>
      </c>
      <c r="Q900" s="63">
        <v>26</v>
      </c>
      <c r="R900" s="63">
        <v>29</v>
      </c>
      <c r="S900" s="63">
        <v>35</v>
      </c>
      <c r="T900" s="63">
        <v>33</v>
      </c>
      <c r="U900" s="63">
        <v>37</v>
      </c>
      <c r="V900" s="63">
        <v>45</v>
      </c>
      <c r="W900" s="63">
        <v>47</v>
      </c>
      <c r="X900" s="63">
        <v>61</v>
      </c>
      <c r="Y900" s="63">
        <v>57</v>
      </c>
      <c r="Z900" s="63">
        <v>66</v>
      </c>
      <c r="AA900" s="63">
        <v>68</v>
      </c>
      <c r="AB900" s="63">
        <v>56</v>
      </c>
    </row>
    <row r="901" spans="1:28" x14ac:dyDescent="0.2">
      <c r="A901" s="62">
        <v>73</v>
      </c>
      <c r="B901" s="62" t="s">
        <v>380</v>
      </c>
      <c r="C901" s="62">
        <v>51</v>
      </c>
      <c r="D901" s="62" t="s">
        <v>331</v>
      </c>
      <c r="E901" s="63">
        <v>38</v>
      </c>
      <c r="F901" s="63">
        <v>40</v>
      </c>
      <c r="G901" s="63">
        <v>42</v>
      </c>
      <c r="H901" s="63">
        <v>34</v>
      </c>
      <c r="I901" s="63">
        <v>32</v>
      </c>
      <c r="J901" s="63">
        <v>28</v>
      </c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3">
        <v>30</v>
      </c>
      <c r="W901" s="63">
        <v>28</v>
      </c>
      <c r="X901" s="63">
        <v>31</v>
      </c>
      <c r="Y901" s="63">
        <v>31</v>
      </c>
      <c r="Z901" s="63">
        <v>32</v>
      </c>
      <c r="AA901" s="63">
        <v>40</v>
      </c>
      <c r="AB901" s="63">
        <v>41</v>
      </c>
    </row>
    <row r="902" spans="1:28" x14ac:dyDescent="0.2">
      <c r="A902" s="62">
        <v>73</v>
      </c>
      <c r="B902" s="62" t="s">
        <v>380</v>
      </c>
      <c r="C902" s="62">
        <v>52</v>
      </c>
      <c r="D902" s="62" t="s">
        <v>332</v>
      </c>
      <c r="E902" s="63">
        <v>85</v>
      </c>
      <c r="F902" s="63">
        <v>94</v>
      </c>
      <c r="G902" s="63">
        <v>114</v>
      </c>
      <c r="H902" s="63">
        <v>61</v>
      </c>
      <c r="I902" s="63">
        <v>73</v>
      </c>
      <c r="J902" s="63">
        <v>75</v>
      </c>
      <c r="K902" s="63">
        <v>75</v>
      </c>
      <c r="L902" s="63">
        <v>72</v>
      </c>
      <c r="M902" s="63">
        <v>75</v>
      </c>
      <c r="N902" s="63">
        <v>76</v>
      </c>
      <c r="O902" s="63">
        <v>73</v>
      </c>
      <c r="P902" s="63">
        <v>59</v>
      </c>
      <c r="Q902" s="63">
        <v>74</v>
      </c>
      <c r="R902" s="63">
        <v>73</v>
      </c>
      <c r="S902" s="63">
        <v>75</v>
      </c>
      <c r="T902" s="63">
        <v>86</v>
      </c>
      <c r="U902" s="63">
        <v>77</v>
      </c>
      <c r="V902" s="63">
        <v>77</v>
      </c>
      <c r="W902" s="63">
        <v>77</v>
      </c>
      <c r="X902" s="63">
        <v>72</v>
      </c>
      <c r="Y902" s="63">
        <v>68</v>
      </c>
      <c r="Z902" s="63">
        <v>71</v>
      </c>
      <c r="AA902" s="63">
        <v>76</v>
      </c>
      <c r="AB902" s="63">
        <v>78</v>
      </c>
    </row>
    <row r="903" spans="1:28" x14ac:dyDescent="0.2">
      <c r="A903" s="62">
        <v>73</v>
      </c>
      <c r="B903" s="62" t="s">
        <v>380</v>
      </c>
      <c r="C903" s="62">
        <v>53</v>
      </c>
      <c r="D903" s="62" t="s">
        <v>333</v>
      </c>
      <c r="E903" s="63">
        <v>47</v>
      </c>
      <c r="F903" s="63">
        <v>41</v>
      </c>
      <c r="G903" s="63">
        <v>48</v>
      </c>
      <c r="H903" s="63">
        <v>61</v>
      </c>
      <c r="I903" s="63">
        <v>59</v>
      </c>
      <c r="J903" s="63">
        <v>64</v>
      </c>
      <c r="K903" s="63">
        <v>60</v>
      </c>
      <c r="L903" s="63">
        <v>56</v>
      </c>
      <c r="M903" s="63">
        <v>65</v>
      </c>
      <c r="N903" s="63">
        <v>65</v>
      </c>
      <c r="O903" s="63">
        <v>69</v>
      </c>
      <c r="P903" s="63">
        <v>67</v>
      </c>
      <c r="Q903" s="63">
        <v>71</v>
      </c>
      <c r="R903" s="63">
        <v>62</v>
      </c>
      <c r="S903" s="63">
        <v>49</v>
      </c>
      <c r="T903" s="63">
        <v>58</v>
      </c>
      <c r="U903" s="63">
        <v>80</v>
      </c>
      <c r="V903" s="63">
        <v>103</v>
      </c>
      <c r="W903" s="63">
        <v>95</v>
      </c>
      <c r="X903" s="63">
        <v>65</v>
      </c>
      <c r="Y903" s="63">
        <v>46</v>
      </c>
      <c r="Z903" s="63">
        <v>51</v>
      </c>
      <c r="AA903" s="63">
        <v>54</v>
      </c>
      <c r="AB903" s="63">
        <v>29</v>
      </c>
    </row>
    <row r="904" spans="1:28" x14ac:dyDescent="0.2">
      <c r="A904" s="62">
        <v>73</v>
      </c>
      <c r="B904" s="62" t="s">
        <v>380</v>
      </c>
      <c r="C904" s="62">
        <v>54</v>
      </c>
      <c r="D904" s="62" t="s">
        <v>334</v>
      </c>
      <c r="E904" s="63">
        <v>58</v>
      </c>
      <c r="F904" s="63">
        <v>54</v>
      </c>
      <c r="G904" s="63">
        <v>60</v>
      </c>
      <c r="H904" s="63">
        <v>62</v>
      </c>
      <c r="I904" s="63">
        <v>55</v>
      </c>
      <c r="J904" s="63">
        <v>61</v>
      </c>
      <c r="K904" s="63">
        <v>58</v>
      </c>
      <c r="L904" s="63">
        <v>57</v>
      </c>
      <c r="M904" s="63">
        <v>57</v>
      </c>
      <c r="N904" s="63">
        <v>56</v>
      </c>
      <c r="O904" s="63">
        <v>53</v>
      </c>
      <c r="P904" s="63">
        <v>55</v>
      </c>
      <c r="Q904" s="63">
        <v>54</v>
      </c>
      <c r="R904" s="63">
        <v>54</v>
      </c>
      <c r="S904" s="63">
        <v>54</v>
      </c>
      <c r="T904" s="63">
        <v>57</v>
      </c>
      <c r="U904" s="63">
        <v>65</v>
      </c>
      <c r="V904" s="63">
        <v>74</v>
      </c>
      <c r="W904" s="63">
        <v>67</v>
      </c>
      <c r="X904" s="63">
        <v>59</v>
      </c>
      <c r="Y904" s="63">
        <v>60</v>
      </c>
      <c r="Z904" s="63">
        <v>57</v>
      </c>
      <c r="AA904" s="63">
        <v>57</v>
      </c>
      <c r="AB904" s="63">
        <v>65</v>
      </c>
    </row>
    <row r="905" spans="1:28" x14ac:dyDescent="0.2">
      <c r="A905" s="62">
        <v>73</v>
      </c>
      <c r="B905" s="62" t="s">
        <v>380</v>
      </c>
      <c r="C905" s="62">
        <v>55</v>
      </c>
      <c r="D905" s="64" t="s">
        <v>335</v>
      </c>
      <c r="E905" s="65"/>
      <c r="F905" s="65"/>
      <c r="G905" s="65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</row>
    <row r="906" spans="1:28" x14ac:dyDescent="0.2">
      <c r="A906" s="62">
        <v>73</v>
      </c>
      <c r="B906" s="62" t="s">
        <v>380</v>
      </c>
      <c r="C906" s="62">
        <v>56</v>
      </c>
      <c r="D906" s="62" t="s">
        <v>336</v>
      </c>
      <c r="E906" s="63">
        <v>21</v>
      </c>
      <c r="F906" s="63">
        <v>26</v>
      </c>
      <c r="G906" s="63">
        <v>34</v>
      </c>
      <c r="H906" s="63">
        <v>40</v>
      </c>
      <c r="I906" s="63">
        <v>39</v>
      </c>
      <c r="J906" s="63">
        <v>33</v>
      </c>
      <c r="K906" s="63">
        <v>40</v>
      </c>
      <c r="L906" s="63">
        <v>30</v>
      </c>
      <c r="M906" s="63">
        <v>25</v>
      </c>
      <c r="N906" s="63">
        <v>24</v>
      </c>
      <c r="O906" s="63">
        <v>19</v>
      </c>
      <c r="P906" s="63">
        <v>26</v>
      </c>
      <c r="Q906" s="63">
        <v>21</v>
      </c>
      <c r="R906" s="63">
        <v>24</v>
      </c>
      <c r="S906" s="63">
        <v>37</v>
      </c>
      <c r="T906" s="63">
        <v>27</v>
      </c>
      <c r="U906" s="63">
        <v>26</v>
      </c>
      <c r="V906" s="63">
        <v>39</v>
      </c>
      <c r="W906" s="63">
        <v>36</v>
      </c>
      <c r="X906" s="63">
        <v>41</v>
      </c>
      <c r="Y906" s="63">
        <v>40</v>
      </c>
      <c r="Z906" s="63">
        <v>53</v>
      </c>
      <c r="AA906" s="63">
        <v>53</v>
      </c>
      <c r="AB906" s="63">
        <v>60</v>
      </c>
    </row>
    <row r="907" spans="1:28" x14ac:dyDescent="0.2">
      <c r="A907" s="62">
        <v>73</v>
      </c>
      <c r="B907" s="62" t="s">
        <v>380</v>
      </c>
      <c r="C907" s="62">
        <v>61</v>
      </c>
      <c r="D907" s="64" t="s">
        <v>337</v>
      </c>
      <c r="E907" s="65"/>
      <c r="F907" s="62"/>
      <c r="G907" s="62"/>
      <c r="H907" s="62"/>
      <c r="I907" s="63">
        <v>7</v>
      </c>
      <c r="J907" s="63">
        <v>9</v>
      </c>
      <c r="K907" s="63">
        <v>7</v>
      </c>
      <c r="L907" s="63">
        <v>6</v>
      </c>
      <c r="M907" s="63">
        <v>7</v>
      </c>
      <c r="N907" s="63">
        <v>8</v>
      </c>
      <c r="O907" s="63">
        <v>4</v>
      </c>
      <c r="P907" s="62"/>
      <c r="Q907" s="62"/>
      <c r="R907" s="63">
        <v>6</v>
      </c>
      <c r="S907" s="63">
        <v>4</v>
      </c>
      <c r="T907" s="63">
        <v>4</v>
      </c>
      <c r="U907" s="63">
        <v>7</v>
      </c>
      <c r="V907" s="62"/>
      <c r="W907" s="63">
        <v>6</v>
      </c>
      <c r="X907" s="63">
        <v>7</v>
      </c>
      <c r="Y907" s="63">
        <v>17</v>
      </c>
      <c r="Z907" s="63">
        <v>14</v>
      </c>
      <c r="AA907" s="63">
        <v>14</v>
      </c>
      <c r="AB907" s="63">
        <v>14</v>
      </c>
    </row>
    <row r="908" spans="1:28" x14ac:dyDescent="0.2">
      <c r="A908" s="62">
        <v>73</v>
      </c>
      <c r="B908" s="62" t="s">
        <v>380</v>
      </c>
      <c r="C908" s="62">
        <v>62</v>
      </c>
      <c r="D908" s="62" t="s">
        <v>338</v>
      </c>
      <c r="E908" s="63">
        <v>173</v>
      </c>
      <c r="F908" s="63">
        <v>164</v>
      </c>
      <c r="G908" s="63">
        <v>173</v>
      </c>
      <c r="H908" s="63">
        <v>163</v>
      </c>
      <c r="I908" s="63">
        <v>191</v>
      </c>
      <c r="J908" s="63">
        <v>173</v>
      </c>
      <c r="K908" s="63">
        <v>147</v>
      </c>
      <c r="L908" s="63">
        <v>132</v>
      </c>
      <c r="M908" s="63">
        <v>166</v>
      </c>
      <c r="N908" s="63">
        <v>174</v>
      </c>
      <c r="O908" s="63">
        <v>179</v>
      </c>
      <c r="P908" s="63">
        <v>179</v>
      </c>
      <c r="Q908" s="63">
        <v>191</v>
      </c>
      <c r="R908" s="63">
        <v>180</v>
      </c>
      <c r="S908" s="63">
        <v>178</v>
      </c>
      <c r="T908" s="63">
        <v>178</v>
      </c>
      <c r="U908" s="63">
        <v>183</v>
      </c>
      <c r="V908" s="63">
        <v>162</v>
      </c>
      <c r="W908" s="63">
        <v>161</v>
      </c>
      <c r="X908" s="63">
        <v>142</v>
      </c>
      <c r="Y908" s="63">
        <v>141</v>
      </c>
      <c r="Z908" s="63">
        <v>137</v>
      </c>
      <c r="AA908" s="63">
        <v>133</v>
      </c>
      <c r="AB908" s="63">
        <v>118</v>
      </c>
    </row>
    <row r="909" spans="1:28" x14ac:dyDescent="0.2">
      <c r="A909" s="62">
        <v>73</v>
      </c>
      <c r="B909" s="62" t="s">
        <v>380</v>
      </c>
      <c r="C909" s="62">
        <v>71</v>
      </c>
      <c r="D909" s="62" t="s">
        <v>339</v>
      </c>
      <c r="E909" s="63">
        <v>14</v>
      </c>
      <c r="F909" s="63">
        <v>10</v>
      </c>
      <c r="G909" s="63">
        <v>13</v>
      </c>
      <c r="H909" s="63">
        <v>13</v>
      </c>
      <c r="I909" s="63">
        <v>12</v>
      </c>
      <c r="J909" s="63">
        <v>17</v>
      </c>
      <c r="K909" s="63">
        <v>17</v>
      </c>
      <c r="L909" s="62"/>
      <c r="M909" s="63">
        <v>13</v>
      </c>
      <c r="N909" s="63">
        <v>18</v>
      </c>
      <c r="O909" s="63">
        <v>17</v>
      </c>
      <c r="P909" s="63">
        <v>17</v>
      </c>
      <c r="Q909" s="63">
        <v>15</v>
      </c>
      <c r="R909" s="63">
        <v>13</v>
      </c>
      <c r="S909" s="63">
        <v>13</v>
      </c>
      <c r="T909" s="63">
        <v>13</v>
      </c>
      <c r="U909" s="63">
        <v>11</v>
      </c>
      <c r="V909" s="63">
        <v>17</v>
      </c>
      <c r="W909" s="63">
        <v>17</v>
      </c>
      <c r="X909" s="63">
        <v>12</v>
      </c>
      <c r="Y909" s="63">
        <v>14</v>
      </c>
      <c r="Z909" s="63">
        <v>15</v>
      </c>
      <c r="AA909" s="63">
        <v>9</v>
      </c>
      <c r="AB909" s="63">
        <v>22</v>
      </c>
    </row>
    <row r="910" spans="1:28" x14ac:dyDescent="0.2">
      <c r="A910" s="62">
        <v>73</v>
      </c>
      <c r="B910" s="62" t="s">
        <v>380</v>
      </c>
      <c r="C910" s="62">
        <v>72</v>
      </c>
      <c r="D910" s="62" t="s">
        <v>340</v>
      </c>
      <c r="E910" s="63">
        <v>325</v>
      </c>
      <c r="F910" s="63">
        <v>325</v>
      </c>
      <c r="G910" s="63">
        <v>329</v>
      </c>
      <c r="H910" s="63">
        <v>302</v>
      </c>
      <c r="I910" s="63">
        <v>309</v>
      </c>
      <c r="J910" s="63">
        <v>302</v>
      </c>
      <c r="K910" s="63">
        <v>298</v>
      </c>
      <c r="L910" s="63">
        <v>305</v>
      </c>
      <c r="M910" s="63">
        <v>297</v>
      </c>
      <c r="N910" s="63">
        <v>294</v>
      </c>
      <c r="O910" s="63">
        <v>300</v>
      </c>
      <c r="P910" s="63">
        <v>331</v>
      </c>
      <c r="Q910" s="63">
        <v>318</v>
      </c>
      <c r="R910" s="63">
        <v>311</v>
      </c>
      <c r="S910" s="63">
        <v>324</v>
      </c>
      <c r="T910" s="63">
        <v>326</v>
      </c>
      <c r="U910" s="63">
        <v>320</v>
      </c>
      <c r="V910" s="63">
        <v>348</v>
      </c>
      <c r="W910" s="63">
        <v>342</v>
      </c>
      <c r="X910" s="63">
        <v>300</v>
      </c>
      <c r="Y910" s="63">
        <v>307</v>
      </c>
      <c r="Z910" s="63">
        <v>321</v>
      </c>
      <c r="AA910" s="63">
        <v>313</v>
      </c>
      <c r="AB910" s="63">
        <v>279</v>
      </c>
    </row>
    <row r="911" spans="1:28" x14ac:dyDescent="0.2">
      <c r="A911" s="62">
        <v>73</v>
      </c>
      <c r="B911" s="62" t="s">
        <v>380</v>
      </c>
      <c r="C911" s="62">
        <v>81</v>
      </c>
      <c r="D911" s="62" t="s">
        <v>341</v>
      </c>
      <c r="E911" s="63">
        <v>103</v>
      </c>
      <c r="F911" s="63">
        <v>100</v>
      </c>
      <c r="G911" s="63">
        <v>106</v>
      </c>
      <c r="H911" s="63">
        <v>108</v>
      </c>
      <c r="I911" s="63">
        <v>103</v>
      </c>
      <c r="J911" s="63">
        <v>108</v>
      </c>
      <c r="K911" s="63">
        <v>104</v>
      </c>
      <c r="L911" s="63">
        <v>96</v>
      </c>
      <c r="M911" s="63">
        <v>86</v>
      </c>
      <c r="N911" s="63">
        <v>88</v>
      </c>
      <c r="O911" s="63">
        <v>89</v>
      </c>
      <c r="P911" s="63">
        <v>89</v>
      </c>
      <c r="Q911" s="63">
        <v>81</v>
      </c>
      <c r="R911" s="63">
        <v>82</v>
      </c>
      <c r="S911" s="63">
        <v>71</v>
      </c>
      <c r="T911" s="63">
        <v>77</v>
      </c>
      <c r="U911" s="63">
        <v>81</v>
      </c>
      <c r="V911" s="63">
        <v>56</v>
      </c>
      <c r="W911" s="63">
        <v>66</v>
      </c>
      <c r="X911" s="63">
        <v>69</v>
      </c>
      <c r="Y911" s="63">
        <v>72</v>
      </c>
      <c r="Z911" s="63">
        <v>76</v>
      </c>
      <c r="AA911" s="63">
        <v>91</v>
      </c>
      <c r="AB911" s="63">
        <v>68</v>
      </c>
    </row>
    <row r="912" spans="1:28" x14ac:dyDescent="0.2">
      <c r="A912" s="62">
        <v>73</v>
      </c>
      <c r="B912" s="62" t="s">
        <v>380</v>
      </c>
      <c r="C912" s="62">
        <v>99</v>
      </c>
      <c r="D912" s="62" t="s">
        <v>342</v>
      </c>
      <c r="E912" s="62"/>
      <c r="F912" s="62"/>
      <c r="G912" s="62"/>
      <c r="H912" s="63">
        <v>0</v>
      </c>
      <c r="I912" s="62"/>
      <c r="J912" s="62"/>
      <c r="K912" s="62"/>
      <c r="L912" s="63">
        <v>0</v>
      </c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</row>
    <row r="913" spans="1:28" x14ac:dyDescent="0.2">
      <c r="A913" s="62">
        <v>75</v>
      </c>
      <c r="B913" s="62" t="s">
        <v>381</v>
      </c>
      <c r="C913" s="62">
        <v>1</v>
      </c>
      <c r="D913" s="62" t="s">
        <v>316</v>
      </c>
      <c r="E913" s="63">
        <v>76</v>
      </c>
      <c r="F913" s="63">
        <v>80</v>
      </c>
      <c r="G913" s="63">
        <v>82</v>
      </c>
      <c r="H913" s="63">
        <v>79</v>
      </c>
      <c r="I913" s="63">
        <v>80</v>
      </c>
      <c r="J913" s="63">
        <v>81</v>
      </c>
      <c r="K913" s="63">
        <v>75</v>
      </c>
      <c r="L913" s="63">
        <v>75</v>
      </c>
      <c r="M913" s="63">
        <v>75</v>
      </c>
      <c r="N913" s="63">
        <v>70</v>
      </c>
      <c r="O913" s="63">
        <v>67</v>
      </c>
      <c r="P913" s="63">
        <v>63</v>
      </c>
      <c r="Q913" s="63">
        <v>68</v>
      </c>
      <c r="R913" s="63">
        <v>65</v>
      </c>
      <c r="S913" s="63">
        <v>64</v>
      </c>
      <c r="T913" s="63">
        <v>61</v>
      </c>
      <c r="U913" s="63">
        <v>59</v>
      </c>
      <c r="V913" s="63">
        <v>57</v>
      </c>
      <c r="W913" s="63">
        <v>58</v>
      </c>
      <c r="X913" s="63">
        <v>61</v>
      </c>
      <c r="Y913" s="63">
        <v>56</v>
      </c>
      <c r="Z913" s="63">
        <v>57</v>
      </c>
      <c r="AA913" s="63">
        <v>57</v>
      </c>
      <c r="AB913" s="63">
        <v>56</v>
      </c>
    </row>
    <row r="914" spans="1:28" x14ac:dyDescent="0.2">
      <c r="A914" s="62">
        <v>75</v>
      </c>
      <c r="B914" s="62" t="s">
        <v>381</v>
      </c>
      <c r="C914" s="62">
        <v>10</v>
      </c>
      <c r="D914" s="62" t="s">
        <v>317</v>
      </c>
      <c r="E914" s="63">
        <v>9708</v>
      </c>
      <c r="F914" s="63">
        <v>9714</v>
      </c>
      <c r="G914" s="63">
        <v>9603</v>
      </c>
      <c r="H914" s="63">
        <v>9365</v>
      </c>
      <c r="I914" s="63">
        <v>9642</v>
      </c>
      <c r="J914" s="63">
        <v>9435</v>
      </c>
      <c r="K914" s="63">
        <v>9749</v>
      </c>
      <c r="L914" s="63">
        <v>9738</v>
      </c>
      <c r="M914" s="63">
        <v>9629</v>
      </c>
      <c r="N914" s="63">
        <v>9266</v>
      </c>
      <c r="O914" s="63">
        <v>9222</v>
      </c>
      <c r="P914" s="63">
        <v>9314</v>
      </c>
      <c r="Q914" s="63">
        <v>9366</v>
      </c>
      <c r="R914" s="63">
        <v>9551</v>
      </c>
      <c r="S914" s="63">
        <v>9581</v>
      </c>
      <c r="T914" s="63">
        <v>9461</v>
      </c>
      <c r="U914" s="63">
        <v>9418</v>
      </c>
      <c r="V914" s="63">
        <v>9400</v>
      </c>
      <c r="W914" s="63">
        <v>9307</v>
      </c>
      <c r="X914" s="63">
        <v>9095</v>
      </c>
      <c r="Y914" s="63">
        <v>9033</v>
      </c>
      <c r="Z914" s="63">
        <v>9095</v>
      </c>
      <c r="AA914" s="63">
        <v>9123</v>
      </c>
      <c r="AB914" s="63">
        <v>9206</v>
      </c>
    </row>
    <row r="915" spans="1:28" x14ac:dyDescent="0.2">
      <c r="A915" s="62">
        <v>75</v>
      </c>
      <c r="B915" s="62" t="s">
        <v>381</v>
      </c>
      <c r="C915" s="62">
        <v>11</v>
      </c>
      <c r="D915" s="62" t="s">
        <v>318</v>
      </c>
      <c r="E915" s="63">
        <v>234</v>
      </c>
      <c r="F915" s="63">
        <v>204</v>
      </c>
      <c r="G915" s="63">
        <v>246</v>
      </c>
      <c r="H915" s="63">
        <v>269</v>
      </c>
      <c r="I915" s="63">
        <v>265</v>
      </c>
      <c r="J915" s="63">
        <v>277</v>
      </c>
      <c r="K915" s="63">
        <v>271</v>
      </c>
      <c r="L915" s="63">
        <v>274</v>
      </c>
      <c r="M915" s="63">
        <v>252</v>
      </c>
      <c r="N915" s="63">
        <v>255</v>
      </c>
      <c r="O915" s="63">
        <v>270</v>
      </c>
      <c r="P915" s="63">
        <v>301</v>
      </c>
      <c r="Q915" s="63">
        <v>296</v>
      </c>
      <c r="R915" s="63">
        <v>301</v>
      </c>
      <c r="S915" s="63">
        <v>306</v>
      </c>
      <c r="T915" s="63">
        <v>337</v>
      </c>
      <c r="U915" s="63">
        <v>340</v>
      </c>
      <c r="V915" s="63">
        <v>370</v>
      </c>
      <c r="W915" s="63">
        <v>391</v>
      </c>
      <c r="X915" s="63">
        <v>403</v>
      </c>
      <c r="Y915" s="63">
        <v>346</v>
      </c>
      <c r="Z915" s="63">
        <v>347</v>
      </c>
      <c r="AA915" s="63">
        <v>339</v>
      </c>
      <c r="AB915" s="63">
        <v>381</v>
      </c>
    </row>
    <row r="916" spans="1:28" x14ac:dyDescent="0.2">
      <c r="A916" s="62">
        <v>75</v>
      </c>
      <c r="B916" s="62" t="s">
        <v>381</v>
      </c>
      <c r="C916" s="62">
        <v>2</v>
      </c>
      <c r="D916" s="62" t="s">
        <v>319</v>
      </c>
      <c r="E916" s="63">
        <v>1301</v>
      </c>
      <c r="F916" s="63">
        <v>1252</v>
      </c>
      <c r="G916" s="63">
        <v>1185</v>
      </c>
      <c r="H916" s="63">
        <v>1148</v>
      </c>
      <c r="I916" s="63">
        <v>1151</v>
      </c>
      <c r="J916" s="63">
        <v>943</v>
      </c>
      <c r="K916" s="63">
        <v>1155</v>
      </c>
      <c r="L916" s="63">
        <v>1196</v>
      </c>
      <c r="M916" s="63">
        <v>1202</v>
      </c>
      <c r="N916" s="63">
        <v>1171</v>
      </c>
      <c r="O916" s="63">
        <v>1167</v>
      </c>
      <c r="P916" s="63">
        <v>1151</v>
      </c>
      <c r="Q916" s="63">
        <v>1144</v>
      </c>
      <c r="R916" s="63">
        <v>1147</v>
      </c>
      <c r="S916" s="63">
        <v>1154</v>
      </c>
      <c r="T916" s="63">
        <v>1153</v>
      </c>
      <c r="U916" s="63">
        <v>1141</v>
      </c>
      <c r="V916" s="63">
        <v>1170</v>
      </c>
      <c r="W916" s="63">
        <v>1110</v>
      </c>
      <c r="X916" s="63">
        <v>1113</v>
      </c>
      <c r="Y916" s="63">
        <v>1066</v>
      </c>
      <c r="Z916" s="63">
        <v>994</v>
      </c>
      <c r="AA916" s="63">
        <v>1019</v>
      </c>
      <c r="AB916" s="63">
        <v>1099</v>
      </c>
    </row>
    <row r="917" spans="1:28" x14ac:dyDescent="0.2">
      <c r="A917" s="62">
        <v>75</v>
      </c>
      <c r="B917" s="62" t="s">
        <v>381</v>
      </c>
      <c r="C917" s="62">
        <v>21</v>
      </c>
      <c r="D917" s="62" t="s">
        <v>320</v>
      </c>
      <c r="E917" s="63">
        <v>110</v>
      </c>
      <c r="F917" s="63">
        <v>138</v>
      </c>
      <c r="G917" s="63">
        <v>136</v>
      </c>
      <c r="H917" s="63">
        <v>115</v>
      </c>
      <c r="I917" s="63">
        <v>149</v>
      </c>
      <c r="J917" s="63">
        <v>184</v>
      </c>
      <c r="K917" s="63">
        <v>192</v>
      </c>
      <c r="L917" s="63">
        <v>190</v>
      </c>
      <c r="M917" s="63">
        <v>175</v>
      </c>
      <c r="N917" s="63">
        <v>203</v>
      </c>
      <c r="O917" s="63">
        <v>220</v>
      </c>
      <c r="P917" s="63">
        <v>228</v>
      </c>
      <c r="Q917" s="63">
        <v>240</v>
      </c>
      <c r="R917" s="63">
        <v>246</v>
      </c>
      <c r="S917" s="63">
        <v>258</v>
      </c>
      <c r="T917" s="63">
        <v>170</v>
      </c>
      <c r="U917" s="63">
        <v>197</v>
      </c>
      <c r="V917" s="63">
        <v>217</v>
      </c>
      <c r="W917" s="63">
        <v>185</v>
      </c>
      <c r="X917" s="63">
        <v>145</v>
      </c>
      <c r="Y917" s="63">
        <v>154</v>
      </c>
      <c r="Z917" s="63">
        <v>156</v>
      </c>
      <c r="AA917" s="63">
        <v>133</v>
      </c>
      <c r="AB917" s="63">
        <v>114</v>
      </c>
    </row>
    <row r="918" spans="1:28" x14ac:dyDescent="0.2">
      <c r="A918" s="62">
        <v>75</v>
      </c>
      <c r="B918" s="62" t="s">
        <v>381</v>
      </c>
      <c r="C918" s="62">
        <v>22</v>
      </c>
      <c r="D918" s="62" t="s">
        <v>321</v>
      </c>
      <c r="E918" s="63">
        <v>31</v>
      </c>
      <c r="F918" s="63">
        <v>28</v>
      </c>
      <c r="G918" s="63">
        <v>31</v>
      </c>
      <c r="H918" s="63">
        <v>27</v>
      </c>
      <c r="I918" s="63">
        <v>28</v>
      </c>
      <c r="J918" s="63">
        <v>28</v>
      </c>
      <c r="K918" s="63">
        <v>37</v>
      </c>
      <c r="L918" s="63">
        <v>61</v>
      </c>
      <c r="M918" s="63">
        <v>68</v>
      </c>
      <c r="N918" s="63">
        <v>75</v>
      </c>
      <c r="O918" s="63">
        <v>85</v>
      </c>
      <c r="P918" s="63">
        <v>101</v>
      </c>
      <c r="Q918" s="63">
        <v>110</v>
      </c>
      <c r="R918" s="63">
        <v>126</v>
      </c>
      <c r="S918" s="63">
        <v>153</v>
      </c>
      <c r="T918" s="63">
        <v>171</v>
      </c>
      <c r="U918" s="63">
        <v>130</v>
      </c>
      <c r="V918" s="63">
        <v>124</v>
      </c>
      <c r="W918" s="63">
        <v>125</v>
      </c>
      <c r="X918" s="63">
        <v>133</v>
      </c>
      <c r="Y918" s="63">
        <v>141</v>
      </c>
      <c r="Z918" s="63">
        <v>146</v>
      </c>
      <c r="AA918" s="63">
        <v>176</v>
      </c>
      <c r="AB918" s="63">
        <v>181</v>
      </c>
    </row>
    <row r="919" spans="1:28" x14ac:dyDescent="0.2">
      <c r="A919" s="62">
        <v>75</v>
      </c>
      <c r="B919" s="62" t="s">
        <v>381</v>
      </c>
      <c r="C919" s="62">
        <v>23</v>
      </c>
      <c r="D919" s="62" t="s">
        <v>322</v>
      </c>
      <c r="E919" s="63">
        <v>464</v>
      </c>
      <c r="F919" s="63">
        <v>534</v>
      </c>
      <c r="G919" s="63">
        <v>595</v>
      </c>
      <c r="H919" s="63">
        <v>571</v>
      </c>
      <c r="I919" s="63">
        <v>682</v>
      </c>
      <c r="J919" s="63">
        <v>506</v>
      </c>
      <c r="K919" s="63">
        <v>611</v>
      </c>
      <c r="L919" s="63">
        <v>489</v>
      </c>
      <c r="M919" s="63">
        <v>512</v>
      </c>
      <c r="N919" s="63">
        <v>429</v>
      </c>
      <c r="O919" s="63">
        <v>426</v>
      </c>
      <c r="P919" s="63">
        <v>468</v>
      </c>
      <c r="Q919" s="63">
        <v>424</v>
      </c>
      <c r="R919" s="63">
        <v>466</v>
      </c>
      <c r="S919" s="63">
        <v>421</v>
      </c>
      <c r="T919" s="63">
        <v>477</v>
      </c>
      <c r="U919" s="63">
        <v>474</v>
      </c>
      <c r="V919" s="63">
        <v>456</v>
      </c>
      <c r="W919" s="63">
        <v>454</v>
      </c>
      <c r="X919" s="63">
        <v>451</v>
      </c>
      <c r="Y919" s="63">
        <v>474</v>
      </c>
      <c r="Z919" s="63">
        <v>455</v>
      </c>
      <c r="AA919" s="63">
        <v>471</v>
      </c>
      <c r="AB919" s="63">
        <v>492</v>
      </c>
    </row>
    <row r="920" spans="1:28" x14ac:dyDescent="0.2">
      <c r="A920" s="62">
        <v>75</v>
      </c>
      <c r="B920" s="62" t="s">
        <v>381</v>
      </c>
      <c r="C920" s="62">
        <v>3</v>
      </c>
      <c r="D920" s="62" t="s">
        <v>323</v>
      </c>
      <c r="E920" s="63">
        <v>1204</v>
      </c>
      <c r="F920" s="63">
        <v>1247</v>
      </c>
      <c r="G920" s="63">
        <v>1272</v>
      </c>
      <c r="H920" s="63">
        <v>1181</v>
      </c>
      <c r="I920" s="63">
        <v>1189</v>
      </c>
      <c r="J920" s="63">
        <v>1175</v>
      </c>
      <c r="K920" s="63">
        <v>1168</v>
      </c>
      <c r="L920" s="63">
        <v>1164</v>
      </c>
      <c r="M920" s="63">
        <v>1170</v>
      </c>
      <c r="N920" s="63">
        <v>1157</v>
      </c>
      <c r="O920" s="63">
        <v>1111</v>
      </c>
      <c r="P920" s="63">
        <v>1094</v>
      </c>
      <c r="Q920" s="63">
        <v>1098</v>
      </c>
      <c r="R920" s="63">
        <v>1106</v>
      </c>
      <c r="S920" s="63">
        <v>1100</v>
      </c>
      <c r="T920" s="63">
        <v>1108</v>
      </c>
      <c r="U920" s="63">
        <v>1100</v>
      </c>
      <c r="V920" s="63">
        <v>1087</v>
      </c>
      <c r="W920" s="63">
        <v>1084</v>
      </c>
      <c r="X920" s="63">
        <v>1034</v>
      </c>
      <c r="Y920" s="63">
        <v>1031</v>
      </c>
      <c r="Z920" s="63">
        <v>1027</v>
      </c>
      <c r="AA920" s="63">
        <v>1051</v>
      </c>
      <c r="AB920" s="63">
        <v>1066</v>
      </c>
    </row>
    <row r="921" spans="1:28" x14ac:dyDescent="0.2">
      <c r="A921" s="62">
        <v>75</v>
      </c>
      <c r="B921" s="62" t="s">
        <v>381</v>
      </c>
      <c r="C921" s="62" t="s">
        <v>324</v>
      </c>
      <c r="D921" s="62" t="s">
        <v>325</v>
      </c>
      <c r="E921" s="63">
        <v>459</v>
      </c>
      <c r="F921" s="63">
        <v>369</v>
      </c>
      <c r="G921" s="63">
        <v>355</v>
      </c>
      <c r="H921" s="63">
        <v>344</v>
      </c>
      <c r="I921" s="63">
        <v>356</v>
      </c>
      <c r="J921" s="63">
        <v>400</v>
      </c>
      <c r="K921" s="63">
        <v>389</v>
      </c>
      <c r="L921" s="63">
        <v>405</v>
      </c>
      <c r="M921" s="63">
        <v>306</v>
      </c>
      <c r="N921" s="63">
        <v>266</v>
      </c>
      <c r="O921" s="63">
        <v>334</v>
      </c>
      <c r="P921" s="63">
        <v>349</v>
      </c>
      <c r="Q921" s="63">
        <v>358</v>
      </c>
      <c r="R921" s="63">
        <v>356</v>
      </c>
      <c r="S921" s="63">
        <v>344</v>
      </c>
      <c r="T921" s="63">
        <v>314</v>
      </c>
      <c r="U921" s="63">
        <v>326</v>
      </c>
      <c r="V921" s="63">
        <v>324</v>
      </c>
      <c r="W921" s="63">
        <v>319</v>
      </c>
      <c r="X921" s="63">
        <v>284</v>
      </c>
      <c r="Y921" s="63">
        <v>311</v>
      </c>
      <c r="Z921" s="63">
        <v>337</v>
      </c>
      <c r="AA921" s="63">
        <v>349</v>
      </c>
      <c r="AB921" s="63">
        <v>346</v>
      </c>
    </row>
    <row r="922" spans="1:28" x14ac:dyDescent="0.2">
      <c r="A922" s="62">
        <v>75</v>
      </c>
      <c r="B922" s="62" t="s">
        <v>381</v>
      </c>
      <c r="C922" s="62">
        <v>42</v>
      </c>
      <c r="D922" s="62" t="s">
        <v>326</v>
      </c>
      <c r="E922" s="63">
        <v>405</v>
      </c>
      <c r="F922" s="63">
        <v>381</v>
      </c>
      <c r="G922" s="63">
        <v>362</v>
      </c>
      <c r="H922" s="63">
        <v>352</v>
      </c>
      <c r="I922" s="63">
        <v>344</v>
      </c>
      <c r="J922" s="63">
        <v>348</v>
      </c>
      <c r="K922" s="63">
        <v>349</v>
      </c>
      <c r="L922" s="63">
        <v>371</v>
      </c>
      <c r="M922" s="63">
        <v>356</v>
      </c>
      <c r="N922" s="63">
        <v>348</v>
      </c>
      <c r="O922" s="63">
        <v>335</v>
      </c>
      <c r="P922" s="63">
        <v>334</v>
      </c>
      <c r="Q922" s="63">
        <v>311</v>
      </c>
      <c r="R922" s="63">
        <v>314</v>
      </c>
      <c r="S922" s="63">
        <v>310</v>
      </c>
      <c r="T922" s="63">
        <v>279</v>
      </c>
      <c r="U922" s="63">
        <v>270</v>
      </c>
      <c r="V922" s="63">
        <v>282</v>
      </c>
      <c r="W922" s="63">
        <v>296</v>
      </c>
      <c r="X922" s="63">
        <v>300</v>
      </c>
      <c r="Y922" s="63">
        <v>288</v>
      </c>
      <c r="Z922" s="63">
        <v>300</v>
      </c>
      <c r="AA922" s="63">
        <v>324</v>
      </c>
      <c r="AB922" s="63">
        <v>314</v>
      </c>
    </row>
    <row r="923" spans="1:28" x14ac:dyDescent="0.2">
      <c r="A923" s="62">
        <v>75</v>
      </c>
      <c r="B923" s="62" t="s">
        <v>381</v>
      </c>
      <c r="C923" s="62" t="s">
        <v>327</v>
      </c>
      <c r="D923" s="62" t="s">
        <v>328</v>
      </c>
      <c r="E923" s="63">
        <v>1257</v>
      </c>
      <c r="F923" s="63">
        <v>1272</v>
      </c>
      <c r="G923" s="63">
        <v>1206</v>
      </c>
      <c r="H923" s="63">
        <v>1198</v>
      </c>
      <c r="I923" s="63">
        <v>1273</v>
      </c>
      <c r="J923" s="63">
        <v>1255</v>
      </c>
      <c r="K923" s="63">
        <v>1246</v>
      </c>
      <c r="L923" s="63">
        <v>1275</v>
      </c>
      <c r="M923" s="63">
        <v>1255</v>
      </c>
      <c r="N923" s="63">
        <v>1248</v>
      </c>
      <c r="O923" s="63">
        <v>1215</v>
      </c>
      <c r="P923" s="63">
        <v>1204</v>
      </c>
      <c r="Q923" s="63">
        <v>1217</v>
      </c>
      <c r="R923" s="63">
        <v>1200</v>
      </c>
      <c r="S923" s="63">
        <v>1264</v>
      </c>
      <c r="T923" s="63">
        <v>1307</v>
      </c>
      <c r="U923" s="63">
        <v>1272</v>
      </c>
      <c r="V923" s="63">
        <v>1221</v>
      </c>
      <c r="W923" s="63">
        <v>1202</v>
      </c>
      <c r="X923" s="63">
        <v>1270</v>
      </c>
      <c r="Y923" s="63">
        <v>1268</v>
      </c>
      <c r="Z923" s="63">
        <v>1229</v>
      </c>
      <c r="AA923" s="63">
        <v>1231</v>
      </c>
      <c r="AB923" s="63">
        <v>1151</v>
      </c>
    </row>
    <row r="924" spans="1:28" x14ac:dyDescent="0.2">
      <c r="A924" s="62">
        <v>75</v>
      </c>
      <c r="B924" s="62" t="s">
        <v>381</v>
      </c>
      <c r="C924" s="62" t="s">
        <v>329</v>
      </c>
      <c r="D924" s="62" t="s">
        <v>330</v>
      </c>
      <c r="E924" s="63">
        <v>323</v>
      </c>
      <c r="F924" s="63">
        <v>303</v>
      </c>
      <c r="G924" s="63">
        <v>285</v>
      </c>
      <c r="H924" s="63">
        <v>299</v>
      </c>
      <c r="I924" s="63">
        <v>302</v>
      </c>
      <c r="J924" s="63">
        <v>307</v>
      </c>
      <c r="K924" s="63">
        <v>312</v>
      </c>
      <c r="L924" s="63">
        <v>327</v>
      </c>
      <c r="M924" s="63">
        <v>298</v>
      </c>
      <c r="N924" s="63">
        <v>293</v>
      </c>
      <c r="O924" s="63">
        <v>307</v>
      </c>
      <c r="P924" s="63">
        <v>308</v>
      </c>
      <c r="Q924" s="63">
        <v>306</v>
      </c>
      <c r="R924" s="63">
        <v>315</v>
      </c>
      <c r="S924" s="63">
        <v>335</v>
      </c>
      <c r="T924" s="63">
        <v>325</v>
      </c>
      <c r="U924" s="63">
        <v>329</v>
      </c>
      <c r="V924" s="63">
        <v>321</v>
      </c>
      <c r="W924" s="63">
        <v>338</v>
      </c>
      <c r="X924" s="63">
        <v>345</v>
      </c>
      <c r="Y924" s="63">
        <v>373</v>
      </c>
      <c r="Z924" s="63">
        <v>391</v>
      </c>
      <c r="AA924" s="63">
        <v>360</v>
      </c>
      <c r="AB924" s="63">
        <v>392</v>
      </c>
    </row>
    <row r="925" spans="1:28" x14ac:dyDescent="0.2">
      <c r="A925" s="62">
        <v>75</v>
      </c>
      <c r="B925" s="62" t="s">
        <v>381</v>
      </c>
      <c r="C925" s="62">
        <v>51</v>
      </c>
      <c r="D925" s="62" t="s">
        <v>331</v>
      </c>
      <c r="E925" s="63">
        <v>119</v>
      </c>
      <c r="F925" s="63">
        <v>102</v>
      </c>
      <c r="G925" s="63">
        <v>102</v>
      </c>
      <c r="H925" s="63">
        <v>98</v>
      </c>
      <c r="I925" s="63">
        <v>103</v>
      </c>
      <c r="J925" s="63">
        <v>102</v>
      </c>
      <c r="K925" s="63">
        <v>111</v>
      </c>
      <c r="L925" s="63">
        <v>111</v>
      </c>
      <c r="M925" s="63">
        <v>115</v>
      </c>
      <c r="N925" s="63">
        <v>111</v>
      </c>
      <c r="O925" s="63">
        <v>91</v>
      </c>
      <c r="P925" s="63">
        <v>79</v>
      </c>
      <c r="Q925" s="63">
        <v>51</v>
      </c>
      <c r="R925" s="63">
        <v>65</v>
      </c>
      <c r="S925" s="63">
        <v>67</v>
      </c>
      <c r="T925" s="63">
        <v>67</v>
      </c>
      <c r="U925" s="63">
        <v>61</v>
      </c>
      <c r="V925" s="63">
        <v>62</v>
      </c>
      <c r="W925" s="63">
        <v>61</v>
      </c>
      <c r="X925" s="63">
        <v>57</v>
      </c>
      <c r="Y925" s="63">
        <v>57</v>
      </c>
      <c r="Z925" s="63">
        <v>50</v>
      </c>
      <c r="AA925" s="63">
        <v>50</v>
      </c>
      <c r="AB925" s="63">
        <v>50</v>
      </c>
    </row>
    <row r="926" spans="1:28" x14ac:dyDescent="0.2">
      <c r="A926" s="62">
        <v>75</v>
      </c>
      <c r="B926" s="62" t="s">
        <v>381</v>
      </c>
      <c r="C926" s="62">
        <v>52</v>
      </c>
      <c r="D926" s="62" t="s">
        <v>332</v>
      </c>
      <c r="E926" s="63">
        <v>275</v>
      </c>
      <c r="F926" s="63">
        <v>263</v>
      </c>
      <c r="G926" s="63">
        <v>254</v>
      </c>
      <c r="H926" s="63">
        <v>247</v>
      </c>
      <c r="I926" s="63">
        <v>239</v>
      </c>
      <c r="J926" s="63">
        <v>247</v>
      </c>
      <c r="K926" s="63">
        <v>261</v>
      </c>
      <c r="L926" s="63">
        <v>249</v>
      </c>
      <c r="M926" s="63">
        <v>249</v>
      </c>
      <c r="N926" s="63">
        <v>249</v>
      </c>
      <c r="O926" s="63">
        <v>257</v>
      </c>
      <c r="P926" s="63">
        <v>257</v>
      </c>
      <c r="Q926" s="63">
        <v>249</v>
      </c>
      <c r="R926" s="63">
        <v>244</v>
      </c>
      <c r="S926" s="63">
        <v>242</v>
      </c>
      <c r="T926" s="63">
        <v>230</v>
      </c>
      <c r="U926" s="63">
        <v>222</v>
      </c>
      <c r="V926" s="63">
        <v>219</v>
      </c>
      <c r="W926" s="63">
        <v>213</v>
      </c>
      <c r="X926" s="63">
        <v>206</v>
      </c>
      <c r="Y926" s="63">
        <v>206</v>
      </c>
      <c r="Z926" s="63">
        <v>216</v>
      </c>
      <c r="AA926" s="63">
        <v>193</v>
      </c>
      <c r="AB926" s="63">
        <v>189</v>
      </c>
    </row>
    <row r="927" spans="1:28" x14ac:dyDescent="0.2">
      <c r="A927" s="62">
        <v>75</v>
      </c>
      <c r="B927" s="62" t="s">
        <v>381</v>
      </c>
      <c r="C927" s="62">
        <v>53</v>
      </c>
      <c r="D927" s="62" t="s">
        <v>333</v>
      </c>
      <c r="E927" s="63">
        <v>188</v>
      </c>
      <c r="F927" s="63">
        <v>194</v>
      </c>
      <c r="G927" s="63">
        <v>198</v>
      </c>
      <c r="H927" s="63">
        <v>194</v>
      </c>
      <c r="I927" s="63">
        <v>203</v>
      </c>
      <c r="J927" s="63">
        <v>192</v>
      </c>
      <c r="K927" s="63">
        <v>175</v>
      </c>
      <c r="L927" s="63">
        <v>190</v>
      </c>
      <c r="M927" s="63">
        <v>194</v>
      </c>
      <c r="N927" s="63">
        <v>186</v>
      </c>
      <c r="O927" s="63">
        <v>180</v>
      </c>
      <c r="P927" s="63">
        <v>190</v>
      </c>
      <c r="Q927" s="63">
        <v>210</v>
      </c>
      <c r="R927" s="63">
        <v>227</v>
      </c>
      <c r="S927" s="63">
        <v>220</v>
      </c>
      <c r="T927" s="63">
        <v>222</v>
      </c>
      <c r="U927" s="63">
        <v>236</v>
      </c>
      <c r="V927" s="63">
        <v>255</v>
      </c>
      <c r="W927" s="63">
        <v>259</v>
      </c>
      <c r="X927" s="63">
        <v>240</v>
      </c>
      <c r="Y927" s="63">
        <v>255</v>
      </c>
      <c r="Z927" s="63">
        <v>262</v>
      </c>
      <c r="AA927" s="63">
        <v>229</v>
      </c>
      <c r="AB927" s="63">
        <v>236</v>
      </c>
    </row>
    <row r="928" spans="1:28" x14ac:dyDescent="0.2">
      <c r="A928" s="62">
        <v>75</v>
      </c>
      <c r="B928" s="62" t="s">
        <v>381</v>
      </c>
      <c r="C928" s="62">
        <v>54</v>
      </c>
      <c r="D928" s="62" t="s">
        <v>334</v>
      </c>
      <c r="E928" s="63">
        <v>426</v>
      </c>
      <c r="F928" s="63">
        <v>411</v>
      </c>
      <c r="G928" s="63">
        <v>457</v>
      </c>
      <c r="H928" s="63">
        <v>356</v>
      </c>
      <c r="I928" s="63">
        <v>430</v>
      </c>
      <c r="J928" s="63">
        <v>476</v>
      </c>
      <c r="K928" s="63">
        <v>463</v>
      </c>
      <c r="L928" s="63">
        <v>446</v>
      </c>
      <c r="M928" s="63">
        <v>460</v>
      </c>
      <c r="N928" s="63">
        <v>351</v>
      </c>
      <c r="O928" s="63">
        <v>306</v>
      </c>
      <c r="P928" s="63">
        <v>307</v>
      </c>
      <c r="Q928" s="63">
        <v>199</v>
      </c>
      <c r="R928" s="63">
        <v>206</v>
      </c>
      <c r="S928" s="63">
        <v>206</v>
      </c>
      <c r="T928" s="63">
        <v>210</v>
      </c>
      <c r="U928" s="63">
        <v>207</v>
      </c>
      <c r="V928" s="63">
        <v>237</v>
      </c>
      <c r="W928" s="63">
        <v>242</v>
      </c>
      <c r="X928" s="63">
        <v>229</v>
      </c>
      <c r="Y928" s="63">
        <v>225</v>
      </c>
      <c r="Z928" s="63">
        <v>233</v>
      </c>
      <c r="AA928" s="63">
        <v>234</v>
      </c>
      <c r="AB928" s="63">
        <v>241</v>
      </c>
    </row>
    <row r="929" spans="1:28" x14ac:dyDescent="0.2">
      <c r="A929" s="62">
        <v>75</v>
      </c>
      <c r="B929" s="62" t="s">
        <v>381</v>
      </c>
      <c r="C929" s="62">
        <v>55</v>
      </c>
      <c r="D929" s="64" t="s">
        <v>335</v>
      </c>
      <c r="E929" s="65"/>
      <c r="F929" s="65"/>
      <c r="G929" s="63">
        <v>17</v>
      </c>
      <c r="H929" s="63">
        <v>17</v>
      </c>
      <c r="I929" s="62"/>
      <c r="J929" s="62"/>
      <c r="K929" s="62"/>
      <c r="L929" s="63">
        <v>27</v>
      </c>
      <c r="M929" s="62"/>
      <c r="N929" s="62"/>
      <c r="O929" s="63">
        <v>59</v>
      </c>
      <c r="P929" s="63">
        <v>61</v>
      </c>
      <c r="Q929" s="63">
        <v>61</v>
      </c>
      <c r="R929" s="63">
        <v>60</v>
      </c>
      <c r="S929" s="63">
        <v>63</v>
      </c>
      <c r="T929" s="63">
        <v>61</v>
      </c>
      <c r="U929" s="63">
        <v>64</v>
      </c>
      <c r="V929" s="63">
        <v>65</v>
      </c>
      <c r="W929" s="63">
        <v>66</v>
      </c>
      <c r="X929" s="63">
        <v>67</v>
      </c>
      <c r="Y929" s="63">
        <v>65</v>
      </c>
      <c r="Z929" s="63">
        <v>66</v>
      </c>
      <c r="AA929" s="63">
        <v>66</v>
      </c>
      <c r="AB929" s="63">
        <v>62</v>
      </c>
    </row>
    <row r="930" spans="1:28" x14ac:dyDescent="0.2">
      <c r="A930" s="62">
        <v>75</v>
      </c>
      <c r="B930" s="62" t="s">
        <v>381</v>
      </c>
      <c r="C930" s="62">
        <v>56</v>
      </c>
      <c r="D930" s="62" t="s">
        <v>336</v>
      </c>
      <c r="E930" s="63">
        <v>167</v>
      </c>
      <c r="F930" s="63">
        <v>147</v>
      </c>
      <c r="G930" s="63">
        <v>142</v>
      </c>
      <c r="H930" s="63">
        <v>139</v>
      </c>
      <c r="I930" s="63">
        <v>138</v>
      </c>
      <c r="J930" s="63">
        <v>206</v>
      </c>
      <c r="K930" s="63">
        <v>191</v>
      </c>
      <c r="L930" s="63">
        <v>159</v>
      </c>
      <c r="M930" s="63">
        <v>185</v>
      </c>
      <c r="N930" s="63">
        <v>183</v>
      </c>
      <c r="O930" s="63">
        <v>203</v>
      </c>
      <c r="P930" s="63">
        <v>233</v>
      </c>
      <c r="Q930" s="63">
        <v>483</v>
      </c>
      <c r="R930" s="63">
        <v>453</v>
      </c>
      <c r="S930" s="63">
        <v>372</v>
      </c>
      <c r="T930" s="63">
        <v>260</v>
      </c>
      <c r="U930" s="63">
        <v>244</v>
      </c>
      <c r="V930" s="63">
        <v>261</v>
      </c>
      <c r="W930" s="63">
        <v>276</v>
      </c>
      <c r="X930" s="63">
        <v>265</v>
      </c>
      <c r="Y930" s="63">
        <v>252</v>
      </c>
      <c r="Z930" s="63">
        <v>263</v>
      </c>
      <c r="AA930" s="63">
        <v>234</v>
      </c>
      <c r="AB930" s="63">
        <v>228</v>
      </c>
    </row>
    <row r="931" spans="1:28" x14ac:dyDescent="0.2">
      <c r="A931" s="62">
        <v>75</v>
      </c>
      <c r="B931" s="62" t="s">
        <v>381</v>
      </c>
      <c r="C931" s="62">
        <v>61</v>
      </c>
      <c r="D931" s="64" t="s">
        <v>337</v>
      </c>
      <c r="E931" s="65"/>
      <c r="F931" s="62"/>
      <c r="G931" s="63">
        <v>0</v>
      </c>
      <c r="H931" s="63">
        <v>18</v>
      </c>
      <c r="I931" s="62"/>
      <c r="J931" s="62"/>
      <c r="K931" s="62"/>
      <c r="L931" s="63">
        <v>17</v>
      </c>
      <c r="M931" s="62"/>
      <c r="N931" s="63">
        <v>26</v>
      </c>
      <c r="O931" s="63">
        <v>20</v>
      </c>
      <c r="P931" s="63">
        <v>25</v>
      </c>
      <c r="Q931" s="63">
        <v>20</v>
      </c>
      <c r="R931" s="63">
        <v>18</v>
      </c>
      <c r="S931" s="62"/>
      <c r="T931" s="63">
        <v>20</v>
      </c>
      <c r="U931" s="63">
        <v>25</v>
      </c>
      <c r="V931" s="63">
        <v>29</v>
      </c>
      <c r="W931" s="63">
        <v>20</v>
      </c>
      <c r="X931" s="63">
        <v>26</v>
      </c>
      <c r="Y931" s="63">
        <v>29</v>
      </c>
      <c r="Z931" s="63">
        <v>35</v>
      </c>
      <c r="AA931" s="63">
        <v>49</v>
      </c>
      <c r="AB931" s="63">
        <v>56</v>
      </c>
    </row>
    <row r="932" spans="1:28" x14ac:dyDescent="0.2">
      <c r="A932" s="62">
        <v>75</v>
      </c>
      <c r="B932" s="62" t="s">
        <v>381</v>
      </c>
      <c r="C932" s="62">
        <v>62</v>
      </c>
      <c r="D932" s="62" t="s">
        <v>338</v>
      </c>
      <c r="E932" s="63">
        <v>1235</v>
      </c>
      <c r="F932" s="63">
        <v>1323</v>
      </c>
      <c r="G932" s="63">
        <v>1320</v>
      </c>
      <c r="H932" s="63">
        <v>1342</v>
      </c>
      <c r="I932" s="63">
        <v>1329</v>
      </c>
      <c r="J932" s="63">
        <v>1296</v>
      </c>
      <c r="K932" s="63">
        <v>1373</v>
      </c>
      <c r="L932" s="63">
        <v>1389</v>
      </c>
      <c r="M932" s="63">
        <v>1400</v>
      </c>
      <c r="N932" s="63">
        <v>1374</v>
      </c>
      <c r="O932" s="63">
        <v>1301</v>
      </c>
      <c r="P932" s="63">
        <v>1283</v>
      </c>
      <c r="Q932" s="63">
        <v>1225</v>
      </c>
      <c r="R932" s="63">
        <v>1258</v>
      </c>
      <c r="S932" s="63">
        <v>1276</v>
      </c>
      <c r="T932" s="63">
        <v>1314</v>
      </c>
      <c r="U932" s="63">
        <v>1327</v>
      </c>
      <c r="V932" s="63">
        <v>1334</v>
      </c>
      <c r="W932" s="63">
        <v>1359</v>
      </c>
      <c r="X932" s="63">
        <v>1300</v>
      </c>
      <c r="Y932" s="63">
        <v>1312</v>
      </c>
      <c r="Z932" s="63">
        <v>1332</v>
      </c>
      <c r="AA932" s="63">
        <v>1347</v>
      </c>
      <c r="AB932" s="63">
        <v>1309</v>
      </c>
    </row>
    <row r="933" spans="1:28" x14ac:dyDescent="0.2">
      <c r="A933" s="62">
        <v>75</v>
      </c>
      <c r="B933" s="62" t="s">
        <v>381</v>
      </c>
      <c r="C933" s="62">
        <v>71</v>
      </c>
      <c r="D933" s="62" t="s">
        <v>339</v>
      </c>
      <c r="E933" s="63">
        <v>105</v>
      </c>
      <c r="F933" s="63">
        <v>115</v>
      </c>
      <c r="G933" s="63">
        <v>130</v>
      </c>
      <c r="H933" s="63">
        <v>105</v>
      </c>
      <c r="I933" s="63">
        <v>104</v>
      </c>
      <c r="J933" s="63">
        <v>106</v>
      </c>
      <c r="K933" s="63">
        <v>112</v>
      </c>
      <c r="L933" s="63">
        <v>93</v>
      </c>
      <c r="M933" s="63">
        <v>92</v>
      </c>
      <c r="N933" s="63">
        <v>65</v>
      </c>
      <c r="O933" s="63">
        <v>60</v>
      </c>
      <c r="P933" s="63">
        <v>59</v>
      </c>
      <c r="Q933" s="63">
        <v>54</v>
      </c>
      <c r="R933" s="63">
        <v>67</v>
      </c>
      <c r="S933" s="63">
        <v>71</v>
      </c>
      <c r="T933" s="63">
        <v>74</v>
      </c>
      <c r="U933" s="63">
        <v>74</v>
      </c>
      <c r="V933" s="63">
        <v>85</v>
      </c>
      <c r="W933" s="63">
        <v>81</v>
      </c>
      <c r="X933" s="63">
        <v>60</v>
      </c>
      <c r="Y933" s="63">
        <v>75</v>
      </c>
      <c r="Z933" s="63">
        <v>87</v>
      </c>
      <c r="AA933" s="63">
        <v>101</v>
      </c>
      <c r="AB933" s="63">
        <v>112</v>
      </c>
    </row>
    <row r="934" spans="1:28" x14ac:dyDescent="0.2">
      <c r="A934" s="62">
        <v>75</v>
      </c>
      <c r="B934" s="62" t="s">
        <v>381</v>
      </c>
      <c r="C934" s="62">
        <v>72</v>
      </c>
      <c r="D934" s="62" t="s">
        <v>340</v>
      </c>
      <c r="E934" s="63">
        <v>817</v>
      </c>
      <c r="F934" s="63">
        <v>813</v>
      </c>
      <c r="G934" s="63">
        <v>756</v>
      </c>
      <c r="H934" s="63">
        <v>787</v>
      </c>
      <c r="I934" s="63">
        <v>782</v>
      </c>
      <c r="J934" s="63">
        <v>790</v>
      </c>
      <c r="K934" s="63">
        <v>747</v>
      </c>
      <c r="L934" s="63">
        <v>774</v>
      </c>
      <c r="M934" s="63">
        <v>779</v>
      </c>
      <c r="N934" s="63">
        <v>755</v>
      </c>
      <c r="O934" s="63">
        <v>748</v>
      </c>
      <c r="P934" s="63">
        <v>773</v>
      </c>
      <c r="Q934" s="63">
        <v>792</v>
      </c>
      <c r="R934" s="63">
        <v>836</v>
      </c>
      <c r="S934" s="63">
        <v>871</v>
      </c>
      <c r="T934" s="63">
        <v>843</v>
      </c>
      <c r="U934" s="63">
        <v>841</v>
      </c>
      <c r="V934" s="63">
        <v>825</v>
      </c>
      <c r="W934" s="63">
        <v>781</v>
      </c>
      <c r="X934" s="63">
        <v>719</v>
      </c>
      <c r="Y934" s="63">
        <v>676</v>
      </c>
      <c r="Z934" s="63">
        <v>727</v>
      </c>
      <c r="AA934" s="63">
        <v>701</v>
      </c>
      <c r="AB934" s="63">
        <v>716</v>
      </c>
    </row>
    <row r="935" spans="1:28" x14ac:dyDescent="0.2">
      <c r="A935" s="62">
        <v>75</v>
      </c>
      <c r="B935" s="62" t="s">
        <v>381</v>
      </c>
      <c r="C935" s="62">
        <v>81</v>
      </c>
      <c r="D935" s="62" t="s">
        <v>341</v>
      </c>
      <c r="E935" s="63">
        <v>431</v>
      </c>
      <c r="F935" s="63">
        <v>456</v>
      </c>
      <c r="G935" s="63">
        <v>430</v>
      </c>
      <c r="H935" s="63">
        <v>432</v>
      </c>
      <c r="I935" s="63">
        <v>453</v>
      </c>
      <c r="J935" s="63">
        <v>464</v>
      </c>
      <c r="K935" s="63">
        <v>458</v>
      </c>
      <c r="L935" s="63">
        <v>449</v>
      </c>
      <c r="M935" s="63">
        <v>418</v>
      </c>
      <c r="N935" s="63">
        <v>398</v>
      </c>
      <c r="O935" s="63">
        <v>430</v>
      </c>
      <c r="P935" s="63">
        <v>434</v>
      </c>
      <c r="Q935" s="63">
        <v>429</v>
      </c>
      <c r="R935" s="63">
        <v>453</v>
      </c>
      <c r="S935" s="63">
        <v>449</v>
      </c>
      <c r="T935" s="63">
        <v>444</v>
      </c>
      <c r="U935" s="63">
        <v>471</v>
      </c>
      <c r="V935" s="63">
        <v>389</v>
      </c>
      <c r="W935" s="63">
        <v>378</v>
      </c>
      <c r="X935" s="63">
        <v>379</v>
      </c>
      <c r="Y935" s="63">
        <v>361</v>
      </c>
      <c r="Z935" s="63">
        <v>376</v>
      </c>
      <c r="AA935" s="63">
        <v>399</v>
      </c>
      <c r="AB935" s="63">
        <v>404</v>
      </c>
    </row>
    <row r="936" spans="1:28" x14ac:dyDescent="0.2">
      <c r="A936" s="62">
        <v>75</v>
      </c>
      <c r="B936" s="62" t="s">
        <v>381</v>
      </c>
      <c r="C936" s="62">
        <v>99</v>
      </c>
      <c r="D936" s="62" t="s">
        <v>342</v>
      </c>
      <c r="E936" s="62"/>
      <c r="F936" s="62"/>
      <c r="G936" s="62"/>
      <c r="H936" s="62"/>
      <c r="I936" s="62"/>
      <c r="J936" s="62"/>
      <c r="K936" s="62"/>
      <c r="L936" s="63">
        <v>1</v>
      </c>
      <c r="M936" s="62"/>
      <c r="N936" s="62"/>
      <c r="O936" s="63">
        <v>0</v>
      </c>
      <c r="P936" s="63">
        <v>0</v>
      </c>
      <c r="Q936" s="63">
        <v>1</v>
      </c>
      <c r="R936" s="63">
        <v>0</v>
      </c>
      <c r="S936" s="62"/>
      <c r="T936" s="62"/>
      <c r="U936" s="62"/>
      <c r="V936" s="63">
        <v>0</v>
      </c>
      <c r="W936" s="62"/>
      <c r="X936" s="62"/>
      <c r="Y936" s="63">
        <v>1</v>
      </c>
      <c r="Z936" s="62"/>
      <c r="AA936" s="63">
        <v>0</v>
      </c>
      <c r="AB936" s="63">
        <v>1</v>
      </c>
    </row>
    <row r="937" spans="1:28" x14ac:dyDescent="0.2">
      <c r="A937" s="62">
        <v>77</v>
      </c>
      <c r="B937" s="62" t="s">
        <v>382</v>
      </c>
      <c r="C937" s="62">
        <v>1</v>
      </c>
      <c r="D937" s="62" t="s">
        <v>316</v>
      </c>
      <c r="E937" s="63">
        <v>1157</v>
      </c>
      <c r="F937" s="63">
        <v>1181</v>
      </c>
      <c r="G937" s="63">
        <v>1202</v>
      </c>
      <c r="H937" s="63">
        <v>1206</v>
      </c>
      <c r="I937" s="63">
        <v>1233</v>
      </c>
      <c r="J937" s="63">
        <v>1221</v>
      </c>
      <c r="K937" s="63">
        <v>1238</v>
      </c>
      <c r="L937" s="63">
        <v>1288</v>
      </c>
      <c r="M937" s="63">
        <v>1381</v>
      </c>
      <c r="N937" s="63">
        <v>1601</v>
      </c>
      <c r="O937" s="63">
        <v>1505</v>
      </c>
      <c r="P937" s="63">
        <v>1502</v>
      </c>
      <c r="Q937" s="63">
        <v>1468</v>
      </c>
      <c r="R937" s="63">
        <v>1451</v>
      </c>
      <c r="S937" s="63">
        <v>1463</v>
      </c>
      <c r="T937" s="63">
        <v>1509</v>
      </c>
      <c r="U937" s="63">
        <v>1558</v>
      </c>
      <c r="V937" s="63">
        <v>1568</v>
      </c>
      <c r="W937" s="63">
        <v>1622</v>
      </c>
      <c r="X937" s="63">
        <v>1758</v>
      </c>
      <c r="Y937" s="63">
        <v>1809</v>
      </c>
      <c r="Z937" s="63">
        <v>1859</v>
      </c>
      <c r="AA937" s="63">
        <v>1951</v>
      </c>
      <c r="AB937" s="63">
        <v>2002</v>
      </c>
    </row>
    <row r="938" spans="1:28" x14ac:dyDescent="0.2">
      <c r="A938" s="62">
        <v>77</v>
      </c>
      <c r="B938" s="62" t="s">
        <v>382</v>
      </c>
      <c r="C938" s="62">
        <v>10</v>
      </c>
      <c r="D938" s="62" t="s">
        <v>317</v>
      </c>
      <c r="E938" s="63">
        <v>62087</v>
      </c>
      <c r="F938" s="63">
        <v>61599</v>
      </c>
      <c r="G938" s="63">
        <v>62485</v>
      </c>
      <c r="H938" s="63">
        <v>64550</v>
      </c>
      <c r="I938" s="63">
        <v>66762</v>
      </c>
      <c r="J938" s="63">
        <v>69051</v>
      </c>
      <c r="K938" s="63">
        <v>73466</v>
      </c>
      <c r="L938" s="63">
        <v>75897</v>
      </c>
      <c r="M938" s="63">
        <v>71561</v>
      </c>
      <c r="N938" s="63">
        <v>68630</v>
      </c>
      <c r="O938" s="63">
        <v>68884</v>
      </c>
      <c r="P938" s="63">
        <v>69515</v>
      </c>
      <c r="Q938" s="63">
        <v>69400</v>
      </c>
      <c r="R938" s="63">
        <v>71111</v>
      </c>
      <c r="S938" s="63">
        <v>71224</v>
      </c>
      <c r="T938" s="63">
        <v>71403</v>
      </c>
      <c r="U938" s="63">
        <v>73203</v>
      </c>
      <c r="V938" s="63">
        <v>74959</v>
      </c>
      <c r="W938" s="63">
        <v>76291</v>
      </c>
      <c r="X938" s="63">
        <v>73220</v>
      </c>
      <c r="Y938" s="63">
        <v>76906</v>
      </c>
      <c r="Z938" s="63">
        <v>78825</v>
      </c>
      <c r="AA938" s="63">
        <v>79841</v>
      </c>
      <c r="AB938" s="63">
        <v>81359</v>
      </c>
    </row>
    <row r="939" spans="1:28" x14ac:dyDescent="0.2">
      <c r="A939" s="62">
        <v>77</v>
      </c>
      <c r="B939" s="62" t="s">
        <v>382</v>
      </c>
      <c r="C939" s="62">
        <v>11</v>
      </c>
      <c r="D939" s="62" t="s">
        <v>318</v>
      </c>
      <c r="E939" s="63">
        <v>594</v>
      </c>
      <c r="F939" s="63">
        <v>568</v>
      </c>
      <c r="G939" s="63">
        <v>603</v>
      </c>
      <c r="H939" s="63">
        <v>721</v>
      </c>
      <c r="I939" s="63">
        <v>700</v>
      </c>
      <c r="J939" s="63">
        <v>675</v>
      </c>
      <c r="K939" s="63">
        <v>629</v>
      </c>
      <c r="L939" s="63">
        <v>586</v>
      </c>
      <c r="M939" s="63">
        <v>556</v>
      </c>
      <c r="N939" s="63">
        <v>534</v>
      </c>
      <c r="O939" s="63">
        <v>558</v>
      </c>
      <c r="P939" s="63">
        <v>585</v>
      </c>
      <c r="Q939" s="63">
        <v>565</v>
      </c>
      <c r="R939" s="63">
        <v>550</v>
      </c>
      <c r="S939" s="63">
        <v>578</v>
      </c>
      <c r="T939" s="63">
        <v>575</v>
      </c>
      <c r="U939" s="63">
        <v>596</v>
      </c>
      <c r="V939" s="63">
        <v>652</v>
      </c>
      <c r="W939" s="63">
        <v>821</v>
      </c>
      <c r="X939" s="63">
        <v>754</v>
      </c>
      <c r="Y939" s="63">
        <v>692</v>
      </c>
      <c r="Z939" s="63">
        <v>597</v>
      </c>
      <c r="AA939" s="63">
        <v>541</v>
      </c>
      <c r="AB939" s="63">
        <v>493</v>
      </c>
    </row>
    <row r="940" spans="1:28" x14ac:dyDescent="0.2">
      <c r="A940" s="62">
        <v>77</v>
      </c>
      <c r="B940" s="62" t="s">
        <v>382</v>
      </c>
      <c r="C940" s="62">
        <v>2</v>
      </c>
      <c r="D940" s="62" t="s">
        <v>319</v>
      </c>
      <c r="E940" s="63">
        <v>1635</v>
      </c>
      <c r="F940" s="63">
        <v>1645</v>
      </c>
      <c r="G940" s="63">
        <v>1623</v>
      </c>
      <c r="H940" s="63">
        <v>1615</v>
      </c>
      <c r="I940" s="63">
        <v>1626</v>
      </c>
      <c r="J940" s="63">
        <v>1648</v>
      </c>
      <c r="K940" s="63">
        <v>1689</v>
      </c>
      <c r="L940" s="63">
        <v>1732</v>
      </c>
      <c r="M940" s="63">
        <v>1774</v>
      </c>
      <c r="N940" s="63">
        <v>1743</v>
      </c>
      <c r="O940" s="63">
        <v>1808</v>
      </c>
      <c r="P940" s="63">
        <v>1858</v>
      </c>
      <c r="Q940" s="63">
        <v>1875</v>
      </c>
      <c r="R940" s="63">
        <v>1925</v>
      </c>
      <c r="S940" s="63">
        <v>1895</v>
      </c>
      <c r="T940" s="63">
        <v>1952</v>
      </c>
      <c r="U940" s="63">
        <v>1986</v>
      </c>
      <c r="V940" s="63">
        <v>1975</v>
      </c>
      <c r="W940" s="63">
        <v>2002</v>
      </c>
      <c r="X940" s="63">
        <v>2073</v>
      </c>
      <c r="Y940" s="63">
        <v>2238</v>
      </c>
      <c r="Z940" s="63">
        <v>2316</v>
      </c>
      <c r="AA940" s="63">
        <v>2253</v>
      </c>
      <c r="AB940" s="63">
        <v>2015</v>
      </c>
    </row>
    <row r="941" spans="1:28" x14ac:dyDescent="0.2">
      <c r="A941" s="62">
        <v>77</v>
      </c>
      <c r="B941" s="62" t="s">
        <v>382</v>
      </c>
      <c r="C941" s="62">
        <v>21</v>
      </c>
      <c r="D941" s="62" t="s">
        <v>320</v>
      </c>
      <c r="E941" s="63">
        <v>519</v>
      </c>
      <c r="F941" s="63">
        <v>519</v>
      </c>
      <c r="G941" s="63">
        <v>594</v>
      </c>
      <c r="H941" s="63">
        <v>949</v>
      </c>
      <c r="I941" s="63">
        <v>1405</v>
      </c>
      <c r="J941" s="63">
        <v>2048</v>
      </c>
      <c r="K941" s="63">
        <v>3277</v>
      </c>
      <c r="L941" s="63">
        <v>4197</v>
      </c>
      <c r="M941" s="63">
        <v>3360</v>
      </c>
      <c r="N941" s="63">
        <v>3043</v>
      </c>
      <c r="O941" s="63">
        <v>3691</v>
      </c>
      <c r="P941" s="63">
        <v>3795</v>
      </c>
      <c r="Q941" s="63">
        <v>2978</v>
      </c>
      <c r="R941" s="63">
        <v>3374</v>
      </c>
      <c r="S941" s="63">
        <v>2654</v>
      </c>
      <c r="T941" s="63">
        <v>1872</v>
      </c>
      <c r="U941" s="63">
        <v>2501</v>
      </c>
      <c r="V941" s="63">
        <v>2555</v>
      </c>
      <c r="W941" s="63">
        <v>2273</v>
      </c>
      <c r="X941" s="63">
        <v>1350</v>
      </c>
      <c r="Y941" s="63">
        <v>1515</v>
      </c>
      <c r="Z941" s="63">
        <v>1829</v>
      </c>
      <c r="AA941" s="63">
        <v>1824</v>
      </c>
      <c r="AB941" s="63">
        <v>1751</v>
      </c>
    </row>
    <row r="942" spans="1:28" x14ac:dyDescent="0.2">
      <c r="A942" s="62">
        <v>77</v>
      </c>
      <c r="B942" s="62" t="s">
        <v>382</v>
      </c>
      <c r="C942" s="62">
        <v>22</v>
      </c>
      <c r="D942" s="62" t="s">
        <v>321</v>
      </c>
      <c r="E942" s="63">
        <v>221</v>
      </c>
      <c r="F942" s="63">
        <v>212</v>
      </c>
      <c r="G942" s="63">
        <v>209</v>
      </c>
      <c r="H942" s="63">
        <v>212</v>
      </c>
      <c r="I942" s="63">
        <v>228</v>
      </c>
      <c r="J942" s="63">
        <v>228</v>
      </c>
      <c r="K942" s="63">
        <v>232</v>
      </c>
      <c r="L942" s="63">
        <v>238</v>
      </c>
      <c r="M942" s="63">
        <v>242</v>
      </c>
      <c r="N942" s="63">
        <v>232</v>
      </c>
      <c r="O942" s="63">
        <v>226</v>
      </c>
      <c r="P942" s="63">
        <v>211</v>
      </c>
      <c r="Q942" s="63">
        <v>212</v>
      </c>
      <c r="R942" s="63">
        <v>218</v>
      </c>
      <c r="S942" s="63">
        <v>218</v>
      </c>
      <c r="T942" s="63">
        <v>210</v>
      </c>
      <c r="U942" s="63">
        <v>201</v>
      </c>
      <c r="V942" s="63">
        <v>196</v>
      </c>
      <c r="W942" s="63">
        <v>196</v>
      </c>
      <c r="X942" s="63">
        <v>208</v>
      </c>
      <c r="Y942" s="63">
        <v>218</v>
      </c>
      <c r="Z942" s="63">
        <v>219</v>
      </c>
      <c r="AA942" s="63">
        <v>230</v>
      </c>
      <c r="AB942" s="63">
        <v>233</v>
      </c>
    </row>
    <row r="943" spans="1:28" x14ac:dyDescent="0.2">
      <c r="A943" s="62">
        <v>77</v>
      </c>
      <c r="B943" s="62" t="s">
        <v>382</v>
      </c>
      <c r="C943" s="62">
        <v>23</v>
      </c>
      <c r="D943" s="62" t="s">
        <v>322</v>
      </c>
      <c r="E943" s="63">
        <v>5971</v>
      </c>
      <c r="F943" s="63">
        <v>5942</v>
      </c>
      <c r="G943" s="63">
        <v>6035</v>
      </c>
      <c r="H943" s="63">
        <v>6199</v>
      </c>
      <c r="I943" s="63">
        <v>6701</v>
      </c>
      <c r="J943" s="63">
        <v>7299</v>
      </c>
      <c r="K943" s="63">
        <v>7685</v>
      </c>
      <c r="L943" s="63">
        <v>7815</v>
      </c>
      <c r="M943" s="63">
        <v>6389</v>
      </c>
      <c r="N943" s="63">
        <v>5119</v>
      </c>
      <c r="O943" s="63">
        <v>4913</v>
      </c>
      <c r="P943" s="63">
        <v>4660</v>
      </c>
      <c r="Q943" s="63">
        <v>4792</v>
      </c>
      <c r="R943" s="63">
        <v>5119</v>
      </c>
      <c r="S943" s="63">
        <v>5334</v>
      </c>
      <c r="T943" s="63">
        <v>5559</v>
      </c>
      <c r="U943" s="63">
        <v>5601</v>
      </c>
      <c r="V943" s="63">
        <v>6172</v>
      </c>
      <c r="W943" s="63">
        <v>6498</v>
      </c>
      <c r="X943" s="63">
        <v>6289</v>
      </c>
      <c r="Y943" s="63">
        <v>6607</v>
      </c>
      <c r="Z943" s="63">
        <v>6871</v>
      </c>
      <c r="AA943" s="63">
        <v>6918</v>
      </c>
      <c r="AB943" s="63">
        <v>6954</v>
      </c>
    </row>
    <row r="944" spans="1:28" x14ac:dyDescent="0.2">
      <c r="A944" s="62">
        <v>77</v>
      </c>
      <c r="B944" s="62" t="s">
        <v>382</v>
      </c>
      <c r="C944" s="62">
        <v>3</v>
      </c>
      <c r="D944" s="62" t="s">
        <v>323</v>
      </c>
      <c r="E944" s="63">
        <v>5017</v>
      </c>
      <c r="F944" s="63">
        <v>5121</v>
      </c>
      <c r="G944" s="63">
        <v>5166</v>
      </c>
      <c r="H944" s="63">
        <v>5201</v>
      </c>
      <c r="I944" s="63">
        <v>5265</v>
      </c>
      <c r="J944" s="63">
        <v>5445</v>
      </c>
      <c r="K944" s="63">
        <v>5710</v>
      </c>
      <c r="L944" s="63">
        <v>5923</v>
      </c>
      <c r="M944" s="63">
        <v>6072</v>
      </c>
      <c r="N944" s="63">
        <v>5931</v>
      </c>
      <c r="O944" s="63">
        <v>5772</v>
      </c>
      <c r="P944" s="63">
        <v>5660</v>
      </c>
      <c r="Q944" s="63">
        <v>5698</v>
      </c>
      <c r="R944" s="63">
        <v>5784</v>
      </c>
      <c r="S944" s="63">
        <v>5890</v>
      </c>
      <c r="T944" s="63">
        <v>5920</v>
      </c>
      <c r="U944" s="63">
        <v>5896</v>
      </c>
      <c r="V944" s="63">
        <v>5989</v>
      </c>
      <c r="W944" s="63">
        <v>6152</v>
      </c>
      <c r="X944" s="63">
        <v>5971</v>
      </c>
      <c r="Y944" s="63">
        <v>6139</v>
      </c>
      <c r="Z944" s="63">
        <v>6273</v>
      </c>
      <c r="AA944" s="63">
        <v>6499</v>
      </c>
      <c r="AB944" s="63">
        <v>6772</v>
      </c>
    </row>
    <row r="945" spans="1:28" x14ac:dyDescent="0.2">
      <c r="A945" s="62">
        <v>77</v>
      </c>
      <c r="B945" s="62" t="s">
        <v>382</v>
      </c>
      <c r="C945" s="62" t="s">
        <v>324</v>
      </c>
      <c r="D945" s="62" t="s">
        <v>325</v>
      </c>
      <c r="E945" s="63">
        <v>4016</v>
      </c>
      <c r="F945" s="63">
        <v>3727</v>
      </c>
      <c r="G945" s="63">
        <v>3588</v>
      </c>
      <c r="H945" s="63">
        <v>3652</v>
      </c>
      <c r="I945" s="63">
        <v>3628</v>
      </c>
      <c r="J945" s="63">
        <v>3522</v>
      </c>
      <c r="K945" s="63">
        <v>3522</v>
      </c>
      <c r="L945" s="63">
        <v>3382</v>
      </c>
      <c r="M945" s="63">
        <v>2841</v>
      </c>
      <c r="N945" s="63">
        <v>2742</v>
      </c>
      <c r="O945" s="63">
        <v>2786</v>
      </c>
      <c r="P945" s="63">
        <v>2822</v>
      </c>
      <c r="Q945" s="63">
        <v>2904</v>
      </c>
      <c r="R945" s="63">
        <v>2993</v>
      </c>
      <c r="S945" s="63">
        <v>3029</v>
      </c>
      <c r="T945" s="63">
        <v>3029</v>
      </c>
      <c r="U945" s="63">
        <v>3200</v>
      </c>
      <c r="V945" s="63">
        <v>3296</v>
      </c>
      <c r="W945" s="63">
        <v>3309</v>
      </c>
      <c r="X945" s="63">
        <v>3216</v>
      </c>
      <c r="Y945" s="63">
        <v>3365</v>
      </c>
      <c r="Z945" s="63">
        <v>3356</v>
      </c>
      <c r="AA945" s="63">
        <v>3365</v>
      </c>
      <c r="AB945" s="63">
        <v>3301</v>
      </c>
    </row>
    <row r="946" spans="1:28" x14ac:dyDescent="0.2">
      <c r="A946" s="62">
        <v>77</v>
      </c>
      <c r="B946" s="62" t="s">
        <v>382</v>
      </c>
      <c r="C946" s="62">
        <v>42</v>
      </c>
      <c r="D946" s="62" t="s">
        <v>326</v>
      </c>
      <c r="E946" s="63">
        <v>2186</v>
      </c>
      <c r="F946" s="63">
        <v>2130</v>
      </c>
      <c r="G946" s="63">
        <v>2105</v>
      </c>
      <c r="H946" s="63">
        <v>2148</v>
      </c>
      <c r="I946" s="63">
        <v>2229</v>
      </c>
      <c r="J946" s="63">
        <v>2273</v>
      </c>
      <c r="K946" s="63">
        <v>2542</v>
      </c>
      <c r="L946" s="63">
        <v>2642</v>
      </c>
      <c r="M946" s="63">
        <v>2553</v>
      </c>
      <c r="N946" s="63">
        <v>2404</v>
      </c>
      <c r="O946" s="63">
        <v>2398</v>
      </c>
      <c r="P946" s="63">
        <v>2428</v>
      </c>
      <c r="Q946" s="63">
        <v>2461</v>
      </c>
      <c r="R946" s="63">
        <v>2721</v>
      </c>
      <c r="S946" s="63">
        <v>2683</v>
      </c>
      <c r="T946" s="63">
        <v>2479</v>
      </c>
      <c r="U946" s="63">
        <v>2554</v>
      </c>
      <c r="V946" s="63">
        <v>2586</v>
      </c>
      <c r="W946" s="63">
        <v>2565</v>
      </c>
      <c r="X946" s="63">
        <v>2360</v>
      </c>
      <c r="Y946" s="63">
        <v>2390</v>
      </c>
      <c r="Z946" s="63">
        <v>2563</v>
      </c>
      <c r="AA946" s="63">
        <v>2646</v>
      </c>
      <c r="AB946" s="63">
        <v>2604</v>
      </c>
    </row>
    <row r="947" spans="1:28" x14ac:dyDescent="0.2">
      <c r="A947" s="62">
        <v>77</v>
      </c>
      <c r="B947" s="62" t="s">
        <v>382</v>
      </c>
      <c r="C947" s="62" t="s">
        <v>327</v>
      </c>
      <c r="D947" s="62" t="s">
        <v>328</v>
      </c>
      <c r="E947" s="63">
        <v>8754</v>
      </c>
      <c r="F947" s="63">
        <v>8690</v>
      </c>
      <c r="G947" s="63">
        <v>8852</v>
      </c>
      <c r="H947" s="63">
        <v>8979</v>
      </c>
      <c r="I947" s="63">
        <v>9021</v>
      </c>
      <c r="J947" s="63">
        <v>9138</v>
      </c>
      <c r="K947" s="63">
        <v>9597</v>
      </c>
      <c r="L947" s="63">
        <v>9569</v>
      </c>
      <c r="M947" s="63">
        <v>8999</v>
      </c>
      <c r="N947" s="63">
        <v>8900</v>
      </c>
      <c r="O947" s="63">
        <v>8747</v>
      </c>
      <c r="P947" s="63">
        <v>8854</v>
      </c>
      <c r="Q947" s="63">
        <v>8845</v>
      </c>
      <c r="R947" s="63">
        <v>8819</v>
      </c>
      <c r="S947" s="63">
        <v>9109</v>
      </c>
      <c r="T947" s="63">
        <v>9342</v>
      </c>
      <c r="U947" s="63">
        <v>9235</v>
      </c>
      <c r="V947" s="63">
        <v>9298</v>
      </c>
      <c r="W947" s="63">
        <v>9292</v>
      </c>
      <c r="X947" s="63">
        <v>9243</v>
      </c>
      <c r="Y947" s="63">
        <v>9850</v>
      </c>
      <c r="Z947" s="63">
        <v>9889</v>
      </c>
      <c r="AA947" s="63">
        <v>9889</v>
      </c>
      <c r="AB947" s="63">
        <v>9828</v>
      </c>
    </row>
    <row r="948" spans="1:28" x14ac:dyDescent="0.2">
      <c r="A948" s="62">
        <v>77</v>
      </c>
      <c r="B948" s="62" t="s">
        <v>382</v>
      </c>
      <c r="C948" s="62" t="s">
        <v>329</v>
      </c>
      <c r="D948" s="62" t="s">
        <v>330</v>
      </c>
      <c r="E948" s="63">
        <v>2149</v>
      </c>
      <c r="F948" s="63">
        <v>2103</v>
      </c>
      <c r="G948" s="63">
        <v>2123</v>
      </c>
      <c r="H948" s="63">
        <v>2278</v>
      </c>
      <c r="I948" s="63">
        <v>2432</v>
      </c>
      <c r="J948" s="63">
        <v>2513</v>
      </c>
      <c r="K948" s="63">
        <v>2707</v>
      </c>
      <c r="L948" s="63">
        <v>2827</v>
      </c>
      <c r="M948" s="63">
        <v>2653</v>
      </c>
      <c r="N948" s="63">
        <v>2608</v>
      </c>
      <c r="O948" s="63">
        <v>2778</v>
      </c>
      <c r="P948" s="63">
        <v>2768</v>
      </c>
      <c r="Q948" s="63">
        <v>2680</v>
      </c>
      <c r="R948" s="63">
        <v>2572</v>
      </c>
      <c r="S948" s="63">
        <v>2648</v>
      </c>
      <c r="T948" s="63">
        <v>2544</v>
      </c>
      <c r="U948" s="63">
        <v>2642</v>
      </c>
      <c r="V948" s="63">
        <v>2725</v>
      </c>
      <c r="W948" s="63">
        <v>2918</v>
      </c>
      <c r="X948" s="63">
        <v>3009</v>
      </c>
      <c r="Y948" s="63">
        <v>3246</v>
      </c>
      <c r="Z948" s="63">
        <v>3371</v>
      </c>
      <c r="AA948" s="63">
        <v>3430</v>
      </c>
      <c r="AB948" s="63">
        <v>3721</v>
      </c>
    </row>
    <row r="949" spans="1:28" x14ac:dyDescent="0.2">
      <c r="A949" s="62">
        <v>77</v>
      </c>
      <c r="B949" s="62" t="s">
        <v>382</v>
      </c>
      <c r="C949" s="62">
        <v>51</v>
      </c>
      <c r="D949" s="62" t="s">
        <v>331</v>
      </c>
      <c r="E949" s="63">
        <v>957</v>
      </c>
      <c r="F949" s="63">
        <v>873</v>
      </c>
      <c r="G949" s="63">
        <v>998</v>
      </c>
      <c r="H949" s="63">
        <v>947</v>
      </c>
      <c r="I949" s="63">
        <v>1023</v>
      </c>
      <c r="J949" s="63">
        <v>1036</v>
      </c>
      <c r="K949" s="63">
        <v>1052</v>
      </c>
      <c r="L949" s="63">
        <v>1074</v>
      </c>
      <c r="M949" s="63">
        <v>1003</v>
      </c>
      <c r="N949" s="63">
        <v>979</v>
      </c>
      <c r="O949" s="63">
        <v>958</v>
      </c>
      <c r="P949" s="63">
        <v>931</v>
      </c>
      <c r="Q949" s="63">
        <v>907</v>
      </c>
      <c r="R949" s="63">
        <v>875</v>
      </c>
      <c r="S949" s="63">
        <v>779</v>
      </c>
      <c r="T949" s="63">
        <v>771</v>
      </c>
      <c r="U949" s="63">
        <v>792</v>
      </c>
      <c r="V949" s="63">
        <v>748</v>
      </c>
      <c r="W949" s="63">
        <v>733</v>
      </c>
      <c r="X949" s="63">
        <v>685</v>
      </c>
      <c r="Y949" s="63">
        <v>693</v>
      </c>
      <c r="Z949" s="63">
        <v>729</v>
      </c>
      <c r="AA949" s="63">
        <v>741</v>
      </c>
      <c r="AB949" s="63">
        <v>732</v>
      </c>
    </row>
    <row r="950" spans="1:28" x14ac:dyDescent="0.2">
      <c r="A950" s="62">
        <v>77</v>
      </c>
      <c r="B950" s="62" t="s">
        <v>382</v>
      </c>
      <c r="C950" s="62">
        <v>52</v>
      </c>
      <c r="D950" s="62" t="s">
        <v>332</v>
      </c>
      <c r="E950" s="63">
        <v>2289</v>
      </c>
      <c r="F950" s="63">
        <v>2198</v>
      </c>
      <c r="G950" s="63">
        <v>2267</v>
      </c>
      <c r="H950" s="63">
        <v>2320</v>
      </c>
      <c r="I950" s="63">
        <v>2405</v>
      </c>
      <c r="J950" s="63">
        <v>2518</v>
      </c>
      <c r="K950" s="63">
        <v>2578</v>
      </c>
      <c r="L950" s="63">
        <v>2591</v>
      </c>
      <c r="M950" s="63">
        <v>2454</v>
      </c>
      <c r="N950" s="63">
        <v>2262</v>
      </c>
      <c r="O950" s="63">
        <v>2161</v>
      </c>
      <c r="P950" s="63">
        <v>2206</v>
      </c>
      <c r="Q950" s="63">
        <v>2218</v>
      </c>
      <c r="R950" s="63">
        <v>2238</v>
      </c>
      <c r="S950" s="63">
        <v>2262</v>
      </c>
      <c r="T950" s="63">
        <v>2316</v>
      </c>
      <c r="U950" s="63">
        <v>2346</v>
      </c>
      <c r="V950" s="63">
        <v>2292</v>
      </c>
      <c r="W950" s="63">
        <v>2267</v>
      </c>
      <c r="X950" s="63">
        <v>2258</v>
      </c>
      <c r="Y950" s="63">
        <v>2284</v>
      </c>
      <c r="Z950" s="63">
        <v>2249</v>
      </c>
      <c r="AA950" s="63">
        <v>2028</v>
      </c>
      <c r="AB950" s="63">
        <v>1923</v>
      </c>
    </row>
    <row r="951" spans="1:28" x14ac:dyDescent="0.2">
      <c r="A951" s="62">
        <v>77</v>
      </c>
      <c r="B951" s="62" t="s">
        <v>382</v>
      </c>
      <c r="C951" s="62">
        <v>53</v>
      </c>
      <c r="D951" s="62" t="s">
        <v>333</v>
      </c>
      <c r="E951" s="63">
        <v>2229</v>
      </c>
      <c r="F951" s="63">
        <v>2088</v>
      </c>
      <c r="G951" s="63">
        <v>2298</v>
      </c>
      <c r="H951" s="63">
        <v>2404</v>
      </c>
      <c r="I951" s="63">
        <v>2625</v>
      </c>
      <c r="J951" s="63">
        <v>2618</v>
      </c>
      <c r="K951" s="63">
        <v>2734</v>
      </c>
      <c r="L951" s="63">
        <v>2714</v>
      </c>
      <c r="M951" s="63">
        <v>2737</v>
      </c>
      <c r="N951" s="63">
        <v>2613</v>
      </c>
      <c r="O951" s="63">
        <v>2572</v>
      </c>
      <c r="P951" s="63">
        <v>2643</v>
      </c>
      <c r="Q951" s="63">
        <v>2678</v>
      </c>
      <c r="R951" s="63">
        <v>2759</v>
      </c>
      <c r="S951" s="63">
        <v>2804</v>
      </c>
      <c r="T951" s="63">
        <v>2815</v>
      </c>
      <c r="U951" s="63">
        <v>2842</v>
      </c>
      <c r="V951" s="63">
        <v>2952</v>
      </c>
      <c r="W951" s="63">
        <v>2988</v>
      </c>
      <c r="X951" s="63">
        <v>2941</v>
      </c>
      <c r="Y951" s="63">
        <v>3041</v>
      </c>
      <c r="Z951" s="63">
        <v>3007</v>
      </c>
      <c r="AA951" s="63">
        <v>2946</v>
      </c>
      <c r="AB951" s="63">
        <v>2973</v>
      </c>
    </row>
    <row r="952" spans="1:28" x14ac:dyDescent="0.2">
      <c r="A952" s="62">
        <v>77</v>
      </c>
      <c r="B952" s="62" t="s">
        <v>382</v>
      </c>
      <c r="C952" s="62">
        <v>54</v>
      </c>
      <c r="D952" s="62" t="s">
        <v>334</v>
      </c>
      <c r="E952" s="63">
        <v>3238</v>
      </c>
      <c r="F952" s="63">
        <v>2945</v>
      </c>
      <c r="G952" s="63">
        <v>3058</v>
      </c>
      <c r="H952" s="63">
        <v>3042</v>
      </c>
      <c r="I952" s="63">
        <v>3248</v>
      </c>
      <c r="J952" s="63">
        <v>3445</v>
      </c>
      <c r="K952" s="63">
        <v>3792</v>
      </c>
      <c r="L952" s="63">
        <v>3820</v>
      </c>
      <c r="M952" s="63">
        <v>3761</v>
      </c>
      <c r="N952" s="63">
        <v>3628</v>
      </c>
      <c r="O952" s="63">
        <v>3642</v>
      </c>
      <c r="P952" s="63">
        <v>3651</v>
      </c>
      <c r="Q952" s="63">
        <v>3652</v>
      </c>
      <c r="R952" s="63">
        <v>3703</v>
      </c>
      <c r="S952" s="63">
        <v>3643</v>
      </c>
      <c r="T952" s="63">
        <v>3534</v>
      </c>
      <c r="U952" s="63">
        <v>3607</v>
      </c>
      <c r="V952" s="63">
        <v>3769</v>
      </c>
      <c r="W952" s="63">
        <v>3962</v>
      </c>
      <c r="X952" s="63">
        <v>3858</v>
      </c>
      <c r="Y952" s="63">
        <v>4065</v>
      </c>
      <c r="Z952" s="63">
        <v>4298</v>
      </c>
      <c r="AA952" s="63">
        <v>4262</v>
      </c>
      <c r="AB952" s="63">
        <v>4489</v>
      </c>
    </row>
    <row r="953" spans="1:28" x14ac:dyDescent="0.2">
      <c r="A953" s="62">
        <v>77</v>
      </c>
      <c r="B953" s="62" t="s">
        <v>382</v>
      </c>
      <c r="C953" s="62">
        <v>55</v>
      </c>
      <c r="D953" s="62" t="s">
        <v>335</v>
      </c>
      <c r="E953" s="63">
        <v>131</v>
      </c>
      <c r="F953" s="63">
        <v>113</v>
      </c>
      <c r="G953" s="63">
        <v>104</v>
      </c>
      <c r="H953" s="63">
        <v>113</v>
      </c>
      <c r="I953" s="63">
        <v>109</v>
      </c>
      <c r="J953" s="63">
        <v>93</v>
      </c>
      <c r="K953" s="63">
        <v>90</v>
      </c>
      <c r="L953" s="63">
        <v>85</v>
      </c>
      <c r="M953" s="63">
        <v>183</v>
      </c>
      <c r="N953" s="63">
        <v>152</v>
      </c>
      <c r="O953" s="63">
        <v>121</v>
      </c>
      <c r="P953" s="63">
        <v>127</v>
      </c>
      <c r="Q953" s="63">
        <v>133</v>
      </c>
      <c r="R953" s="63">
        <v>126</v>
      </c>
      <c r="S953" s="63">
        <v>150</v>
      </c>
      <c r="T953" s="63">
        <v>150</v>
      </c>
      <c r="U953" s="63">
        <v>155</v>
      </c>
      <c r="V953" s="63">
        <v>167</v>
      </c>
      <c r="W953" s="63">
        <v>144</v>
      </c>
      <c r="X953" s="63">
        <v>147</v>
      </c>
      <c r="Y953" s="63">
        <v>151</v>
      </c>
      <c r="Z953" s="63">
        <v>143</v>
      </c>
      <c r="AA953" s="63">
        <v>188</v>
      </c>
      <c r="AB953" s="63">
        <v>201</v>
      </c>
    </row>
    <row r="954" spans="1:28" x14ac:dyDescent="0.2">
      <c r="A954" s="62">
        <v>77</v>
      </c>
      <c r="B954" s="62" t="s">
        <v>382</v>
      </c>
      <c r="C954" s="62">
        <v>56</v>
      </c>
      <c r="D954" s="62" t="s">
        <v>336</v>
      </c>
      <c r="E954" s="63">
        <v>3724</v>
      </c>
      <c r="F954" s="63">
        <v>3657</v>
      </c>
      <c r="G954" s="63">
        <v>3591</v>
      </c>
      <c r="H954" s="63">
        <v>3810</v>
      </c>
      <c r="I954" s="63">
        <v>3625</v>
      </c>
      <c r="J954" s="63">
        <v>3790</v>
      </c>
      <c r="K954" s="63">
        <v>3918</v>
      </c>
      <c r="L954" s="63">
        <v>4242</v>
      </c>
      <c r="M954" s="63">
        <v>3755</v>
      </c>
      <c r="N954" s="63">
        <v>3716</v>
      </c>
      <c r="O954" s="63">
        <v>3616</v>
      </c>
      <c r="P954" s="63">
        <v>3748</v>
      </c>
      <c r="Q954" s="63">
        <v>3880</v>
      </c>
      <c r="R954" s="63">
        <v>4017</v>
      </c>
      <c r="S954" s="63">
        <v>3913</v>
      </c>
      <c r="T954" s="63">
        <v>3948</v>
      </c>
      <c r="U954" s="63">
        <v>3854</v>
      </c>
      <c r="V954" s="63">
        <v>3897</v>
      </c>
      <c r="W954" s="63">
        <v>3826</v>
      </c>
      <c r="X954" s="63">
        <v>3628</v>
      </c>
      <c r="Y954" s="63">
        <v>3630</v>
      </c>
      <c r="Z954" s="63">
        <v>3752</v>
      </c>
      <c r="AA954" s="63">
        <v>3815</v>
      </c>
      <c r="AB954" s="63">
        <v>3971</v>
      </c>
    </row>
    <row r="955" spans="1:28" x14ac:dyDescent="0.2">
      <c r="A955" s="62">
        <v>77</v>
      </c>
      <c r="B955" s="62" t="s">
        <v>382</v>
      </c>
      <c r="C955" s="62">
        <v>61</v>
      </c>
      <c r="D955" s="62" t="s">
        <v>337</v>
      </c>
      <c r="E955" s="63">
        <v>389</v>
      </c>
      <c r="F955" s="63">
        <v>366</v>
      </c>
      <c r="G955" s="63">
        <v>376</v>
      </c>
      <c r="H955" s="63">
        <v>408</v>
      </c>
      <c r="I955" s="63">
        <v>401</v>
      </c>
      <c r="J955" s="63">
        <v>392</v>
      </c>
      <c r="K955" s="63">
        <v>393</v>
      </c>
      <c r="L955" s="63">
        <v>417</v>
      </c>
      <c r="M955" s="63">
        <v>445</v>
      </c>
      <c r="N955" s="63">
        <v>413</v>
      </c>
      <c r="O955" s="63">
        <v>425</v>
      </c>
      <c r="P955" s="63">
        <v>473</v>
      </c>
      <c r="Q955" s="63">
        <v>517</v>
      </c>
      <c r="R955" s="63">
        <v>544</v>
      </c>
      <c r="S955" s="63">
        <v>601</v>
      </c>
      <c r="T955" s="63">
        <v>570</v>
      </c>
      <c r="U955" s="63">
        <v>620</v>
      </c>
      <c r="V955" s="63">
        <v>626</v>
      </c>
      <c r="W955" s="63">
        <v>753</v>
      </c>
      <c r="X955" s="63">
        <v>715</v>
      </c>
      <c r="Y955" s="63">
        <v>843</v>
      </c>
      <c r="Z955" s="63">
        <v>924</v>
      </c>
      <c r="AA955" s="63">
        <v>1041</v>
      </c>
      <c r="AB955" s="63">
        <v>1242</v>
      </c>
    </row>
    <row r="956" spans="1:28" x14ac:dyDescent="0.2">
      <c r="A956" s="62">
        <v>77</v>
      </c>
      <c r="B956" s="62" t="s">
        <v>382</v>
      </c>
      <c r="C956" s="62">
        <v>62</v>
      </c>
      <c r="D956" s="62" t="s">
        <v>338</v>
      </c>
      <c r="E956" s="63">
        <v>7581</v>
      </c>
      <c r="F956" s="63">
        <v>7927</v>
      </c>
      <c r="G956" s="63">
        <v>8088</v>
      </c>
      <c r="H956" s="63">
        <v>8215</v>
      </c>
      <c r="I956" s="63">
        <v>8652</v>
      </c>
      <c r="J956" s="63">
        <v>8713</v>
      </c>
      <c r="K956" s="63">
        <v>9077</v>
      </c>
      <c r="L956" s="63">
        <v>9351</v>
      </c>
      <c r="M956" s="63">
        <v>9452</v>
      </c>
      <c r="N956" s="63">
        <v>9439</v>
      </c>
      <c r="O956" s="63">
        <v>9555</v>
      </c>
      <c r="P956" s="63">
        <v>9630</v>
      </c>
      <c r="Q956" s="63">
        <v>9765</v>
      </c>
      <c r="R956" s="63">
        <v>9975</v>
      </c>
      <c r="S956" s="63">
        <v>10245</v>
      </c>
      <c r="T956" s="63">
        <v>10754</v>
      </c>
      <c r="U956" s="63">
        <v>11104</v>
      </c>
      <c r="V956" s="63">
        <v>11684</v>
      </c>
      <c r="W956" s="63">
        <v>12003</v>
      </c>
      <c r="X956" s="63">
        <v>12129</v>
      </c>
      <c r="Y956" s="63">
        <v>12363</v>
      </c>
      <c r="Z956" s="63">
        <v>12242</v>
      </c>
      <c r="AA956" s="63">
        <v>12587</v>
      </c>
      <c r="AB956" s="63">
        <v>13351</v>
      </c>
    </row>
    <row r="957" spans="1:28" x14ac:dyDescent="0.2">
      <c r="A957" s="62">
        <v>77</v>
      </c>
      <c r="B957" s="62" t="s">
        <v>382</v>
      </c>
      <c r="C957" s="62">
        <v>71</v>
      </c>
      <c r="D957" s="62" t="s">
        <v>339</v>
      </c>
      <c r="E957" s="63">
        <v>1015</v>
      </c>
      <c r="F957" s="63">
        <v>989</v>
      </c>
      <c r="G957" s="63">
        <v>1041</v>
      </c>
      <c r="H957" s="63">
        <v>1179</v>
      </c>
      <c r="I957" s="63">
        <v>1320</v>
      </c>
      <c r="J957" s="63">
        <v>1393</v>
      </c>
      <c r="K957" s="63">
        <v>1518</v>
      </c>
      <c r="L957" s="63">
        <v>1492</v>
      </c>
      <c r="M957" s="63">
        <v>1412</v>
      </c>
      <c r="N957" s="63">
        <v>1389</v>
      </c>
      <c r="O957" s="63">
        <v>1383</v>
      </c>
      <c r="P957" s="63">
        <v>1364</v>
      </c>
      <c r="Q957" s="63">
        <v>1405</v>
      </c>
      <c r="R957" s="63">
        <v>1437</v>
      </c>
      <c r="S957" s="63">
        <v>1420</v>
      </c>
      <c r="T957" s="63">
        <v>1453</v>
      </c>
      <c r="U957" s="63">
        <v>1548</v>
      </c>
      <c r="V957" s="63">
        <v>1618</v>
      </c>
      <c r="W957" s="63">
        <v>1681</v>
      </c>
      <c r="X957" s="63">
        <v>1316</v>
      </c>
      <c r="Y957" s="63">
        <v>1545</v>
      </c>
      <c r="Z957" s="63">
        <v>1695</v>
      </c>
      <c r="AA957" s="63">
        <v>1863</v>
      </c>
      <c r="AB957" s="63">
        <v>1985</v>
      </c>
    </row>
    <row r="958" spans="1:28" x14ac:dyDescent="0.2">
      <c r="A958" s="62">
        <v>77</v>
      </c>
      <c r="B958" s="62" t="s">
        <v>382</v>
      </c>
      <c r="C958" s="62">
        <v>72</v>
      </c>
      <c r="D958" s="62" t="s">
        <v>340</v>
      </c>
      <c r="E958" s="63">
        <v>5088</v>
      </c>
      <c r="F958" s="63">
        <v>5580</v>
      </c>
      <c r="G958" s="63">
        <v>5495</v>
      </c>
      <c r="H958" s="63">
        <v>5785</v>
      </c>
      <c r="I958" s="63">
        <v>5776</v>
      </c>
      <c r="J958" s="63">
        <v>5870</v>
      </c>
      <c r="K958" s="63">
        <v>6268</v>
      </c>
      <c r="L958" s="63">
        <v>6586</v>
      </c>
      <c r="M958" s="63">
        <v>6276</v>
      </c>
      <c r="N958" s="63">
        <v>6000</v>
      </c>
      <c r="O958" s="63">
        <v>6042</v>
      </c>
      <c r="P958" s="63">
        <v>6322</v>
      </c>
      <c r="Q958" s="63">
        <v>6552</v>
      </c>
      <c r="R958" s="63">
        <v>6665</v>
      </c>
      <c r="S958" s="63">
        <v>6577</v>
      </c>
      <c r="T958" s="63">
        <v>6746</v>
      </c>
      <c r="U958" s="63">
        <v>6837</v>
      </c>
      <c r="V958" s="63">
        <v>7012</v>
      </c>
      <c r="W958" s="63">
        <v>7044</v>
      </c>
      <c r="X958" s="63">
        <v>6250</v>
      </c>
      <c r="Y958" s="63">
        <v>7046</v>
      </c>
      <c r="Z958" s="63">
        <v>7281</v>
      </c>
      <c r="AA958" s="63">
        <v>7387</v>
      </c>
      <c r="AB958" s="63">
        <v>7375</v>
      </c>
    </row>
    <row r="959" spans="1:28" x14ac:dyDescent="0.2">
      <c r="A959" s="62">
        <v>77</v>
      </c>
      <c r="B959" s="62" t="s">
        <v>382</v>
      </c>
      <c r="C959" s="62">
        <v>81</v>
      </c>
      <c r="D959" s="62" t="s">
        <v>341</v>
      </c>
      <c r="E959" s="63">
        <v>3050</v>
      </c>
      <c r="F959" s="63">
        <v>2909</v>
      </c>
      <c r="G959" s="63">
        <v>2978</v>
      </c>
      <c r="H959" s="63">
        <v>3034</v>
      </c>
      <c r="I959" s="63">
        <v>3094</v>
      </c>
      <c r="J959" s="63">
        <v>3143</v>
      </c>
      <c r="K959" s="63">
        <v>3200</v>
      </c>
      <c r="L959" s="63">
        <v>3310</v>
      </c>
      <c r="M959" s="63">
        <v>3250</v>
      </c>
      <c r="N959" s="63">
        <v>3172</v>
      </c>
      <c r="O959" s="63">
        <v>3216</v>
      </c>
      <c r="P959" s="63">
        <v>3258</v>
      </c>
      <c r="Q959" s="63">
        <v>3186</v>
      </c>
      <c r="R959" s="63">
        <v>3213</v>
      </c>
      <c r="S959" s="63">
        <v>3267</v>
      </c>
      <c r="T959" s="63">
        <v>3279</v>
      </c>
      <c r="U959" s="63">
        <v>3495</v>
      </c>
      <c r="V959" s="63">
        <v>3142</v>
      </c>
      <c r="W959" s="63">
        <v>3204</v>
      </c>
      <c r="X959" s="63">
        <v>3045</v>
      </c>
      <c r="Y959" s="63">
        <v>3152</v>
      </c>
      <c r="Z959" s="63">
        <v>3337</v>
      </c>
      <c r="AA959" s="63">
        <v>3407</v>
      </c>
      <c r="AB959" s="63">
        <v>3424</v>
      </c>
    </row>
    <row r="960" spans="1:28" x14ac:dyDescent="0.2">
      <c r="A960" s="62">
        <v>77</v>
      </c>
      <c r="B960" s="62" t="s">
        <v>382</v>
      </c>
      <c r="C960" s="62">
        <v>99</v>
      </c>
      <c r="D960" s="62" t="s">
        <v>342</v>
      </c>
      <c r="E960" s="63">
        <v>0</v>
      </c>
      <c r="F960" s="63">
        <v>1</v>
      </c>
      <c r="G960" s="63">
        <v>0</v>
      </c>
      <c r="H960" s="63">
        <v>1</v>
      </c>
      <c r="I960" s="63">
        <v>6</v>
      </c>
      <c r="J960" s="63">
        <v>17</v>
      </c>
      <c r="K960" s="63">
        <v>7</v>
      </c>
      <c r="L960" s="63">
        <v>6</v>
      </c>
      <c r="M960" s="63">
        <v>2</v>
      </c>
      <c r="N960" s="62"/>
      <c r="O960" s="63">
        <v>1</v>
      </c>
      <c r="P960" s="63">
        <v>8</v>
      </c>
      <c r="Q960" s="63">
        <v>19</v>
      </c>
      <c r="R960" s="63">
        <v>23</v>
      </c>
      <c r="S960" s="63">
        <v>51</v>
      </c>
      <c r="T960" s="63">
        <v>65</v>
      </c>
      <c r="U960" s="63">
        <v>24</v>
      </c>
      <c r="V960" s="63">
        <v>29</v>
      </c>
      <c r="W960" s="63">
        <v>28</v>
      </c>
      <c r="X960" s="63">
        <v>6</v>
      </c>
      <c r="Y960" s="63">
        <v>14</v>
      </c>
      <c r="Z960" s="63">
        <v>14</v>
      </c>
      <c r="AA960" s="63">
        <v>19</v>
      </c>
      <c r="AB960" s="63">
        <v>9</v>
      </c>
    </row>
    <row r="961" spans="1:28" x14ac:dyDescent="0.2">
      <c r="A961" s="62">
        <v>79</v>
      </c>
      <c r="B961" s="62" t="s">
        <v>383</v>
      </c>
      <c r="C961" s="62">
        <v>1</v>
      </c>
      <c r="D961" s="62" t="s">
        <v>316</v>
      </c>
      <c r="E961" s="63">
        <v>7</v>
      </c>
      <c r="F961" s="63">
        <v>7</v>
      </c>
      <c r="G961" s="63">
        <v>8</v>
      </c>
      <c r="H961" s="63">
        <v>7</v>
      </c>
      <c r="I961" s="63">
        <v>6</v>
      </c>
      <c r="J961" s="63">
        <v>5</v>
      </c>
      <c r="K961" s="63">
        <v>6</v>
      </c>
      <c r="L961" s="63">
        <v>6</v>
      </c>
      <c r="M961" s="63">
        <v>6</v>
      </c>
      <c r="N961" s="63">
        <v>5</v>
      </c>
      <c r="O961" s="63">
        <v>4</v>
      </c>
      <c r="P961" s="63">
        <v>4</v>
      </c>
      <c r="Q961" s="63">
        <v>4</v>
      </c>
      <c r="R961" s="63">
        <v>4</v>
      </c>
      <c r="S961" s="63">
        <v>5</v>
      </c>
      <c r="T961" s="63">
        <v>5</v>
      </c>
      <c r="U961" s="63">
        <v>6</v>
      </c>
      <c r="V961" s="63">
        <v>4</v>
      </c>
      <c r="W961" s="63">
        <v>4</v>
      </c>
      <c r="X961" s="63">
        <v>6</v>
      </c>
      <c r="Y961" s="63">
        <v>4</v>
      </c>
      <c r="Z961" s="63">
        <v>4</v>
      </c>
      <c r="AA961" s="63">
        <v>3</v>
      </c>
      <c r="AB961" s="63">
        <v>4</v>
      </c>
    </row>
    <row r="962" spans="1:28" x14ac:dyDescent="0.2">
      <c r="A962" s="62">
        <v>79</v>
      </c>
      <c r="B962" s="62" t="s">
        <v>383</v>
      </c>
      <c r="C962" s="62">
        <v>10</v>
      </c>
      <c r="D962" s="62" t="s">
        <v>317</v>
      </c>
      <c r="E962" s="63">
        <v>600</v>
      </c>
      <c r="F962" s="63">
        <v>594</v>
      </c>
      <c r="G962" s="63">
        <v>602</v>
      </c>
      <c r="H962" s="63">
        <v>629</v>
      </c>
      <c r="I962" s="63">
        <v>509</v>
      </c>
      <c r="J962" s="63">
        <v>637</v>
      </c>
      <c r="K962" s="63">
        <v>646</v>
      </c>
      <c r="L962" s="63">
        <v>646</v>
      </c>
      <c r="M962" s="63">
        <v>601</v>
      </c>
      <c r="N962" s="63">
        <v>604</v>
      </c>
      <c r="O962" s="63">
        <v>630</v>
      </c>
      <c r="P962" s="63">
        <v>664</v>
      </c>
      <c r="Q962" s="63">
        <v>639</v>
      </c>
      <c r="R962" s="63">
        <v>653</v>
      </c>
      <c r="S962" s="63">
        <v>692</v>
      </c>
      <c r="T962" s="63">
        <v>698</v>
      </c>
      <c r="U962" s="63">
        <v>691</v>
      </c>
      <c r="V962" s="63">
        <v>767</v>
      </c>
      <c r="W962" s="63">
        <v>780</v>
      </c>
      <c r="X962" s="63">
        <v>666</v>
      </c>
      <c r="Y962" s="63">
        <v>672</v>
      </c>
      <c r="Z962" s="63">
        <v>729</v>
      </c>
      <c r="AA962" s="63">
        <v>799</v>
      </c>
      <c r="AB962" s="63">
        <v>841</v>
      </c>
    </row>
    <row r="963" spans="1:28" x14ac:dyDescent="0.2">
      <c r="A963" s="62">
        <v>79</v>
      </c>
      <c r="B963" s="62" t="s">
        <v>383</v>
      </c>
      <c r="C963" s="62">
        <v>11</v>
      </c>
      <c r="D963" s="62" t="s">
        <v>318</v>
      </c>
      <c r="E963" s="63">
        <v>0</v>
      </c>
      <c r="F963" s="62"/>
      <c r="G963" s="62"/>
      <c r="H963" s="62"/>
      <c r="I963" s="63">
        <v>6</v>
      </c>
      <c r="J963" s="63">
        <v>9</v>
      </c>
      <c r="K963" s="63">
        <v>8</v>
      </c>
      <c r="L963" s="63">
        <v>8</v>
      </c>
      <c r="M963" s="63">
        <v>10</v>
      </c>
      <c r="N963" s="63">
        <v>12</v>
      </c>
      <c r="O963" s="63">
        <v>12</v>
      </c>
      <c r="P963" s="63">
        <v>13</v>
      </c>
      <c r="Q963" s="63">
        <v>13</v>
      </c>
      <c r="R963" s="63">
        <v>16</v>
      </c>
      <c r="S963" s="63">
        <v>17</v>
      </c>
      <c r="T963" s="63">
        <v>9</v>
      </c>
      <c r="U963" s="63">
        <v>7</v>
      </c>
      <c r="V963" s="63">
        <v>5</v>
      </c>
      <c r="W963" s="63">
        <v>6</v>
      </c>
      <c r="X963" s="63">
        <v>5</v>
      </c>
      <c r="Y963" s="63">
        <v>4</v>
      </c>
      <c r="Z963" s="63">
        <v>5</v>
      </c>
      <c r="AA963" s="63">
        <v>5</v>
      </c>
      <c r="AB963" s="63">
        <v>5</v>
      </c>
    </row>
    <row r="964" spans="1:28" x14ac:dyDescent="0.2">
      <c r="A964" s="62">
        <v>79</v>
      </c>
      <c r="B964" s="62" t="s">
        <v>383</v>
      </c>
      <c r="C964" s="62">
        <v>2</v>
      </c>
      <c r="D964" s="62" t="s">
        <v>319</v>
      </c>
      <c r="E964" s="63">
        <v>5</v>
      </c>
      <c r="F964" s="62"/>
      <c r="G964" s="63">
        <v>1</v>
      </c>
      <c r="H964" s="63">
        <v>1</v>
      </c>
      <c r="I964" s="62"/>
      <c r="J964" s="62"/>
      <c r="K964" s="62"/>
      <c r="L964" s="62"/>
      <c r="M964" s="62"/>
      <c r="N964" s="63">
        <v>5</v>
      </c>
      <c r="O964" s="63">
        <v>6</v>
      </c>
      <c r="P964" s="63">
        <v>6</v>
      </c>
      <c r="Q964" s="63">
        <v>7</v>
      </c>
      <c r="R964" s="63">
        <v>6</v>
      </c>
      <c r="S964" s="63">
        <v>7</v>
      </c>
      <c r="T964" s="63">
        <v>7</v>
      </c>
      <c r="U964" s="63">
        <v>6</v>
      </c>
      <c r="V964" s="63">
        <v>6</v>
      </c>
      <c r="W964" s="63">
        <v>7</v>
      </c>
      <c r="X964" s="63">
        <v>6</v>
      </c>
      <c r="Y964" s="62"/>
      <c r="Z964" s="63">
        <v>5</v>
      </c>
      <c r="AA964" s="63">
        <v>5</v>
      </c>
      <c r="AB964" s="63">
        <v>4</v>
      </c>
    </row>
    <row r="965" spans="1:28" x14ac:dyDescent="0.2">
      <c r="A965" s="62">
        <v>79</v>
      </c>
      <c r="B965" s="62" t="s">
        <v>383</v>
      </c>
      <c r="C965" s="62">
        <v>21</v>
      </c>
      <c r="D965" s="64" t="s">
        <v>320</v>
      </c>
      <c r="E965" s="65"/>
      <c r="F965" s="65"/>
      <c r="G965" s="65"/>
      <c r="H965" s="62"/>
      <c r="I965" s="62"/>
      <c r="J965" s="62"/>
      <c r="K965" s="62"/>
      <c r="L965" s="62"/>
      <c r="M965" s="62"/>
      <c r="N965" s="63">
        <v>0</v>
      </c>
      <c r="O965" s="62"/>
      <c r="P965" s="62"/>
      <c r="Q965" s="62"/>
      <c r="R965" s="62"/>
      <c r="S965" s="62"/>
      <c r="T965" s="62"/>
      <c r="U965" s="63">
        <v>5</v>
      </c>
      <c r="V965" s="63">
        <v>5</v>
      </c>
      <c r="W965" s="63">
        <v>4</v>
      </c>
      <c r="X965" s="63">
        <v>5</v>
      </c>
      <c r="Y965" s="62"/>
      <c r="Z965" s="62"/>
      <c r="AA965" s="62"/>
      <c r="AB965" s="62"/>
    </row>
    <row r="966" spans="1:28" x14ac:dyDescent="0.2">
      <c r="A966" s="62">
        <v>79</v>
      </c>
      <c r="B966" s="62" t="s">
        <v>383</v>
      </c>
      <c r="C966" s="62">
        <v>23</v>
      </c>
      <c r="D966" s="62" t="s">
        <v>322</v>
      </c>
      <c r="E966" s="63">
        <v>77</v>
      </c>
      <c r="F966" s="63">
        <v>72</v>
      </c>
      <c r="G966" s="63">
        <v>73</v>
      </c>
      <c r="H966" s="63">
        <v>75</v>
      </c>
      <c r="I966" s="63">
        <v>94</v>
      </c>
      <c r="J966" s="63">
        <v>105</v>
      </c>
      <c r="K966" s="63">
        <v>96</v>
      </c>
      <c r="L966" s="63">
        <v>69</v>
      </c>
      <c r="M966" s="63">
        <v>56</v>
      </c>
      <c r="N966" s="63">
        <v>55</v>
      </c>
      <c r="O966" s="63">
        <v>56</v>
      </c>
      <c r="P966" s="63">
        <v>52</v>
      </c>
      <c r="Q966" s="63">
        <v>46</v>
      </c>
      <c r="R966" s="63">
        <v>53</v>
      </c>
      <c r="S966" s="63">
        <v>55</v>
      </c>
      <c r="T966" s="63">
        <v>55</v>
      </c>
      <c r="U966" s="63">
        <v>61</v>
      </c>
      <c r="V966" s="63">
        <v>70</v>
      </c>
      <c r="W966" s="63">
        <v>55</v>
      </c>
      <c r="X966" s="63">
        <v>59</v>
      </c>
      <c r="Y966" s="63">
        <v>65</v>
      </c>
      <c r="Z966" s="63">
        <v>73</v>
      </c>
      <c r="AA966" s="63">
        <v>83</v>
      </c>
      <c r="AB966" s="63">
        <v>87</v>
      </c>
    </row>
    <row r="967" spans="1:28" x14ac:dyDescent="0.2">
      <c r="A967" s="62">
        <v>79</v>
      </c>
      <c r="B967" s="62" t="s">
        <v>383</v>
      </c>
      <c r="C967" s="62">
        <v>3</v>
      </c>
      <c r="D967" s="62" t="s">
        <v>323</v>
      </c>
      <c r="E967" s="63">
        <v>83</v>
      </c>
      <c r="F967" s="63">
        <v>81</v>
      </c>
      <c r="G967" s="62"/>
      <c r="H967" s="62"/>
      <c r="I967" s="62"/>
      <c r="J967" s="62"/>
      <c r="K967" s="62"/>
      <c r="L967" s="62"/>
      <c r="M967" s="62"/>
      <c r="N967" s="63">
        <v>78</v>
      </c>
      <c r="O967" s="63">
        <v>71</v>
      </c>
      <c r="P967" s="63">
        <v>70</v>
      </c>
      <c r="Q967" s="63">
        <v>75</v>
      </c>
      <c r="R967" s="63">
        <v>77</v>
      </c>
      <c r="S967" s="63">
        <v>77</v>
      </c>
      <c r="T967" s="63">
        <v>82</v>
      </c>
      <c r="U967" s="63">
        <v>92</v>
      </c>
      <c r="V967" s="63">
        <v>100</v>
      </c>
      <c r="W967" s="63">
        <v>110</v>
      </c>
      <c r="X967" s="63">
        <v>93</v>
      </c>
      <c r="Y967" s="62"/>
      <c r="Z967" s="63">
        <v>89</v>
      </c>
      <c r="AA967" s="63">
        <v>82</v>
      </c>
      <c r="AB967" s="63">
        <v>88</v>
      </c>
    </row>
    <row r="968" spans="1:28" x14ac:dyDescent="0.2">
      <c r="A968" s="62">
        <v>79</v>
      </c>
      <c r="B968" s="62" t="s">
        <v>383</v>
      </c>
      <c r="C968" s="62" t="s">
        <v>324</v>
      </c>
      <c r="D968" s="64" t="s">
        <v>325</v>
      </c>
      <c r="E968" s="65"/>
      <c r="F968" s="62"/>
      <c r="G968" s="62"/>
      <c r="H968" s="62"/>
      <c r="I968" s="63">
        <v>5</v>
      </c>
      <c r="J968" s="63">
        <v>4</v>
      </c>
      <c r="K968" s="62"/>
      <c r="L968" s="62"/>
      <c r="M968" s="62"/>
      <c r="N968" s="63">
        <v>5</v>
      </c>
      <c r="O968" s="63">
        <v>1</v>
      </c>
      <c r="P968" s="63">
        <v>4</v>
      </c>
      <c r="Q968" s="62"/>
      <c r="R968" s="63">
        <v>1</v>
      </c>
      <c r="S968" s="62"/>
      <c r="T968" s="63">
        <v>6</v>
      </c>
      <c r="U968" s="63">
        <v>0</v>
      </c>
      <c r="V968" s="63">
        <v>3</v>
      </c>
      <c r="W968" s="63">
        <v>5</v>
      </c>
      <c r="X968" s="63">
        <v>0</v>
      </c>
      <c r="Y968" s="63">
        <v>0</v>
      </c>
      <c r="Z968" s="63">
        <v>0</v>
      </c>
      <c r="AA968" s="63">
        <v>1</v>
      </c>
      <c r="AB968" s="63">
        <v>0</v>
      </c>
    </row>
    <row r="969" spans="1:28" x14ac:dyDescent="0.2">
      <c r="A969" s="62">
        <v>79</v>
      </c>
      <c r="B969" s="62" t="s">
        <v>383</v>
      </c>
      <c r="C969" s="62">
        <v>42</v>
      </c>
      <c r="D969" s="64" t="s">
        <v>326</v>
      </c>
      <c r="E969" s="65"/>
      <c r="F969" s="62"/>
      <c r="G969" s="62"/>
      <c r="H969" s="62"/>
      <c r="I969" s="62"/>
      <c r="J969" s="63">
        <v>0</v>
      </c>
      <c r="K969" s="63">
        <v>0</v>
      </c>
      <c r="L969" s="63">
        <v>0</v>
      </c>
      <c r="M969" s="63">
        <v>0</v>
      </c>
      <c r="N969" s="62"/>
      <c r="O969" s="62"/>
      <c r="P969" s="62"/>
      <c r="Q969" s="62"/>
      <c r="R969" s="62"/>
      <c r="S969" s="63">
        <v>0</v>
      </c>
      <c r="T969" s="63">
        <v>0</v>
      </c>
      <c r="U969" s="63">
        <v>0</v>
      </c>
      <c r="V969" s="63">
        <v>0</v>
      </c>
      <c r="W969" s="63">
        <v>0</v>
      </c>
      <c r="X969" s="63">
        <v>1</v>
      </c>
      <c r="Y969" s="62"/>
      <c r="Z969" s="62"/>
      <c r="AA969" s="62"/>
      <c r="AB969" s="62"/>
    </row>
    <row r="970" spans="1:28" x14ac:dyDescent="0.2">
      <c r="A970" s="62">
        <v>79</v>
      </c>
      <c r="B970" s="62" t="s">
        <v>383</v>
      </c>
      <c r="C970" s="62" t="s">
        <v>327</v>
      </c>
      <c r="D970" s="62" t="s">
        <v>328</v>
      </c>
      <c r="E970" s="63">
        <v>62</v>
      </c>
      <c r="F970" s="63">
        <v>66</v>
      </c>
      <c r="G970" s="63">
        <v>70</v>
      </c>
      <c r="H970" s="63">
        <v>73</v>
      </c>
      <c r="I970" s="63">
        <v>74</v>
      </c>
      <c r="J970" s="63">
        <v>77</v>
      </c>
      <c r="K970" s="63">
        <v>77</v>
      </c>
      <c r="L970" s="63">
        <v>71</v>
      </c>
      <c r="M970" s="63">
        <v>72</v>
      </c>
      <c r="N970" s="63">
        <v>74</v>
      </c>
      <c r="O970" s="63">
        <v>80</v>
      </c>
      <c r="P970" s="63">
        <v>81</v>
      </c>
      <c r="Q970" s="63">
        <v>71</v>
      </c>
      <c r="R970" s="63">
        <v>54</v>
      </c>
      <c r="S970" s="63">
        <v>68</v>
      </c>
      <c r="T970" s="63">
        <v>69</v>
      </c>
      <c r="U970" s="63">
        <v>68</v>
      </c>
      <c r="V970" s="63">
        <v>76</v>
      </c>
      <c r="W970" s="63">
        <v>92</v>
      </c>
      <c r="X970" s="63">
        <v>79</v>
      </c>
      <c r="Y970" s="63">
        <v>76</v>
      </c>
      <c r="Z970" s="63">
        <v>78</v>
      </c>
      <c r="AA970" s="63">
        <v>90</v>
      </c>
      <c r="AB970" s="63">
        <v>87</v>
      </c>
    </row>
    <row r="971" spans="1:28" x14ac:dyDescent="0.2">
      <c r="A971" s="62">
        <v>79</v>
      </c>
      <c r="B971" s="62" t="s">
        <v>383</v>
      </c>
      <c r="C971" s="62" t="s">
        <v>329</v>
      </c>
      <c r="D971" s="64" t="s">
        <v>330</v>
      </c>
      <c r="E971" s="65"/>
      <c r="F971" s="65"/>
      <c r="G971" s="62"/>
      <c r="H971" s="62"/>
      <c r="I971" s="62"/>
      <c r="J971" s="63">
        <v>4</v>
      </c>
      <c r="K971" s="63">
        <v>4</v>
      </c>
      <c r="L971" s="63">
        <v>4</v>
      </c>
      <c r="M971" s="62"/>
      <c r="N971" s="62"/>
      <c r="O971" s="63">
        <v>4</v>
      </c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</row>
    <row r="972" spans="1:28" x14ac:dyDescent="0.2">
      <c r="A972" s="62">
        <v>79</v>
      </c>
      <c r="B972" s="62" t="s">
        <v>383</v>
      </c>
      <c r="C972" s="62">
        <v>51</v>
      </c>
      <c r="D972" s="62" t="s">
        <v>331</v>
      </c>
      <c r="E972" s="63">
        <v>1</v>
      </c>
      <c r="F972" s="63">
        <v>1</v>
      </c>
      <c r="G972" s="63">
        <v>3</v>
      </c>
      <c r="H972" s="62"/>
      <c r="I972" s="63">
        <v>1</v>
      </c>
      <c r="J972" s="63">
        <v>0</v>
      </c>
      <c r="K972" s="63">
        <v>0</v>
      </c>
      <c r="L972" s="63">
        <v>0</v>
      </c>
      <c r="M972" s="63">
        <v>1</v>
      </c>
      <c r="N972" s="63">
        <v>1</v>
      </c>
      <c r="O972" s="63">
        <v>1</v>
      </c>
      <c r="P972" s="63">
        <v>1</v>
      </c>
      <c r="Q972" s="63">
        <v>0</v>
      </c>
      <c r="R972" s="62"/>
      <c r="S972" s="63">
        <v>7</v>
      </c>
      <c r="T972" s="63">
        <v>6</v>
      </c>
      <c r="U972" s="63">
        <v>6</v>
      </c>
      <c r="V972" s="63">
        <v>6</v>
      </c>
      <c r="W972" s="63">
        <v>8</v>
      </c>
      <c r="X972" s="63">
        <v>5</v>
      </c>
      <c r="Y972" s="62"/>
      <c r="Z972" s="62"/>
      <c r="AA972" s="62"/>
      <c r="AB972" s="62"/>
    </row>
    <row r="973" spans="1:28" x14ac:dyDescent="0.2">
      <c r="A973" s="62">
        <v>79</v>
      </c>
      <c r="B973" s="62" t="s">
        <v>383</v>
      </c>
      <c r="C973" s="62">
        <v>52</v>
      </c>
      <c r="D973" s="64" t="s">
        <v>332</v>
      </c>
      <c r="E973" s="65"/>
      <c r="F973" s="62"/>
      <c r="G973" s="62"/>
      <c r="H973" s="62"/>
      <c r="I973" s="63">
        <v>3</v>
      </c>
      <c r="J973" s="63">
        <v>4</v>
      </c>
      <c r="K973" s="62"/>
      <c r="L973" s="62"/>
      <c r="M973" s="62"/>
      <c r="N973" s="62"/>
      <c r="O973" s="62"/>
      <c r="P973" s="62"/>
      <c r="Q973" s="62"/>
      <c r="R973" s="62"/>
      <c r="S973" s="63">
        <v>6</v>
      </c>
      <c r="T973" s="62"/>
      <c r="U973" s="62"/>
      <c r="V973" s="62"/>
      <c r="W973" s="63">
        <v>5</v>
      </c>
      <c r="X973" s="63">
        <v>7</v>
      </c>
      <c r="Y973" s="63">
        <v>8</v>
      </c>
      <c r="Z973" s="63">
        <v>9</v>
      </c>
      <c r="AA973" s="63">
        <v>10</v>
      </c>
      <c r="AB973" s="63">
        <v>12</v>
      </c>
    </row>
    <row r="974" spans="1:28" x14ac:dyDescent="0.2">
      <c r="A974" s="62">
        <v>79</v>
      </c>
      <c r="B974" s="62" t="s">
        <v>383</v>
      </c>
      <c r="C974" s="62">
        <v>53</v>
      </c>
      <c r="D974" s="62" t="s">
        <v>333</v>
      </c>
      <c r="E974" s="63">
        <v>14</v>
      </c>
      <c r="F974" s="63">
        <v>12</v>
      </c>
      <c r="G974" s="63">
        <v>16</v>
      </c>
      <c r="H974" s="63">
        <v>20</v>
      </c>
      <c r="I974" s="63">
        <v>23</v>
      </c>
      <c r="J974" s="63">
        <v>23</v>
      </c>
      <c r="K974" s="63">
        <v>19</v>
      </c>
      <c r="L974" s="63">
        <v>23</v>
      </c>
      <c r="M974" s="63">
        <v>16</v>
      </c>
      <c r="N974" s="63">
        <v>17</v>
      </c>
      <c r="O974" s="63">
        <v>17</v>
      </c>
      <c r="P974" s="63">
        <v>18</v>
      </c>
      <c r="Q974" s="63">
        <v>19</v>
      </c>
      <c r="R974" s="63">
        <v>19</v>
      </c>
      <c r="S974" s="63">
        <v>21</v>
      </c>
      <c r="T974" s="63">
        <v>21</v>
      </c>
      <c r="U974" s="63">
        <v>22</v>
      </c>
      <c r="V974" s="63">
        <v>26</v>
      </c>
      <c r="W974" s="63">
        <v>28</v>
      </c>
      <c r="X974" s="63">
        <v>25</v>
      </c>
      <c r="Y974" s="63">
        <v>24</v>
      </c>
      <c r="Z974" s="63">
        <v>30</v>
      </c>
      <c r="AA974" s="63">
        <v>33</v>
      </c>
      <c r="AB974" s="63">
        <v>45</v>
      </c>
    </row>
    <row r="975" spans="1:28" x14ac:dyDescent="0.2">
      <c r="A975" s="62">
        <v>79</v>
      </c>
      <c r="B975" s="62" t="s">
        <v>383</v>
      </c>
      <c r="C975" s="62">
        <v>54</v>
      </c>
      <c r="D975" s="62" t="s">
        <v>334</v>
      </c>
      <c r="E975" s="63">
        <v>14</v>
      </c>
      <c r="F975" s="63">
        <v>15</v>
      </c>
      <c r="G975" s="62"/>
      <c r="H975" s="63">
        <v>18</v>
      </c>
      <c r="I975" s="63">
        <v>15</v>
      </c>
      <c r="J975" s="63">
        <v>11</v>
      </c>
      <c r="K975" s="63">
        <v>15</v>
      </c>
      <c r="L975" s="63">
        <v>16</v>
      </c>
      <c r="M975" s="63">
        <v>12</v>
      </c>
      <c r="N975" s="63">
        <v>11</v>
      </c>
      <c r="O975" s="63">
        <v>21</v>
      </c>
      <c r="P975" s="63">
        <v>29</v>
      </c>
      <c r="Q975" s="63">
        <v>17</v>
      </c>
      <c r="R975" s="63">
        <v>19</v>
      </c>
      <c r="S975" s="63">
        <v>25</v>
      </c>
      <c r="T975" s="63">
        <v>18</v>
      </c>
      <c r="U975" s="63">
        <v>18</v>
      </c>
      <c r="V975" s="63">
        <v>23</v>
      </c>
      <c r="W975" s="63">
        <v>19</v>
      </c>
      <c r="X975" s="63">
        <v>17</v>
      </c>
      <c r="Y975" s="63">
        <v>21</v>
      </c>
      <c r="Z975" s="63">
        <v>26</v>
      </c>
      <c r="AA975" s="63">
        <v>69</v>
      </c>
      <c r="AB975" s="63">
        <v>55</v>
      </c>
    </row>
    <row r="976" spans="1:28" x14ac:dyDescent="0.2">
      <c r="A976" s="62">
        <v>79</v>
      </c>
      <c r="B976" s="62" t="s">
        <v>383</v>
      </c>
      <c r="C976" s="62">
        <v>55</v>
      </c>
      <c r="D976" s="64" t="s">
        <v>335</v>
      </c>
      <c r="E976" s="65"/>
      <c r="F976" s="65"/>
      <c r="G976" s="65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3">
        <v>0</v>
      </c>
      <c r="V976" s="62"/>
      <c r="W976" s="62"/>
      <c r="X976" s="62"/>
      <c r="Y976" s="62"/>
      <c r="Z976" s="62"/>
      <c r="AA976" s="62"/>
      <c r="AB976" s="62"/>
    </row>
    <row r="977" spans="1:28" x14ac:dyDescent="0.2">
      <c r="A977" s="62">
        <v>79</v>
      </c>
      <c r="B977" s="62" t="s">
        <v>383</v>
      </c>
      <c r="C977" s="62">
        <v>56</v>
      </c>
      <c r="D977" s="64" t="s">
        <v>336</v>
      </c>
      <c r="E977" s="65"/>
      <c r="F977" s="63">
        <v>12</v>
      </c>
      <c r="G977" s="63">
        <v>11</v>
      </c>
      <c r="H977" s="63">
        <v>13</v>
      </c>
      <c r="I977" s="63">
        <v>9</v>
      </c>
      <c r="J977" s="63">
        <v>8</v>
      </c>
      <c r="K977" s="63">
        <v>14</v>
      </c>
      <c r="L977" s="63">
        <v>12</v>
      </c>
      <c r="M977" s="63">
        <v>11</v>
      </c>
      <c r="N977" s="63">
        <v>17</v>
      </c>
      <c r="O977" s="63">
        <v>19</v>
      </c>
      <c r="P977" s="63">
        <v>23</v>
      </c>
      <c r="Q977" s="63">
        <v>25</v>
      </c>
      <c r="R977" s="63">
        <v>24</v>
      </c>
      <c r="S977" s="63">
        <v>24</v>
      </c>
      <c r="T977" s="63">
        <v>27</v>
      </c>
      <c r="U977" s="63">
        <v>19</v>
      </c>
      <c r="V977" s="63">
        <v>20</v>
      </c>
      <c r="W977" s="63">
        <v>22</v>
      </c>
      <c r="X977" s="63">
        <v>27</v>
      </c>
      <c r="Y977" s="63">
        <v>26</v>
      </c>
      <c r="Z977" s="63">
        <v>31</v>
      </c>
      <c r="AA977" s="63">
        <v>27</v>
      </c>
      <c r="AB977" s="63">
        <v>32</v>
      </c>
    </row>
    <row r="978" spans="1:28" x14ac:dyDescent="0.2">
      <c r="A978" s="62">
        <v>79</v>
      </c>
      <c r="B978" s="62" t="s">
        <v>383</v>
      </c>
      <c r="C978" s="62">
        <v>61</v>
      </c>
      <c r="D978" s="64" t="s">
        <v>337</v>
      </c>
      <c r="E978" s="65"/>
      <c r="F978" s="62"/>
      <c r="G978" s="62"/>
      <c r="H978" s="62"/>
      <c r="I978" s="62"/>
      <c r="J978" s="63">
        <v>5</v>
      </c>
      <c r="K978" s="63">
        <v>8</v>
      </c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3">
        <v>4</v>
      </c>
      <c r="W978" s="62"/>
      <c r="X978" s="62"/>
      <c r="Y978" s="62"/>
      <c r="Z978" s="62"/>
      <c r="AA978" s="62"/>
      <c r="AB978" s="62"/>
    </row>
    <row r="979" spans="1:28" x14ac:dyDescent="0.2">
      <c r="A979" s="62">
        <v>79</v>
      </c>
      <c r="B979" s="62" t="s">
        <v>383</v>
      </c>
      <c r="C979" s="62">
        <v>62</v>
      </c>
      <c r="D979" s="64" t="s">
        <v>338</v>
      </c>
      <c r="E979" s="65"/>
      <c r="F979" s="65"/>
      <c r="G979" s="63">
        <v>15</v>
      </c>
      <c r="H979" s="62"/>
      <c r="I979" s="63">
        <v>10</v>
      </c>
      <c r="J979" s="62"/>
      <c r="K979" s="62"/>
      <c r="L979" s="62"/>
      <c r="M979" s="63">
        <v>6</v>
      </c>
      <c r="N979" s="62"/>
      <c r="O979" s="62"/>
      <c r="P979" s="62"/>
      <c r="Q979" s="62"/>
      <c r="R979" s="62"/>
      <c r="S979" s="62"/>
      <c r="T979" s="63">
        <v>11</v>
      </c>
      <c r="U979" s="63">
        <v>11</v>
      </c>
      <c r="V979" s="63">
        <v>11</v>
      </c>
      <c r="W979" s="63">
        <v>12</v>
      </c>
      <c r="X979" s="62"/>
      <c r="Y979" s="63">
        <v>13</v>
      </c>
      <c r="Z979" s="63">
        <v>15</v>
      </c>
      <c r="AA979" s="63">
        <v>21</v>
      </c>
      <c r="AB979" s="63">
        <v>20</v>
      </c>
    </row>
    <row r="980" spans="1:28" x14ac:dyDescent="0.2">
      <c r="A980" s="62">
        <v>79</v>
      </c>
      <c r="B980" s="62" t="s">
        <v>383</v>
      </c>
      <c r="C980" s="62">
        <v>71</v>
      </c>
      <c r="D980" s="62" t="s">
        <v>339</v>
      </c>
      <c r="E980" s="63">
        <v>152</v>
      </c>
      <c r="F980" s="63">
        <v>148</v>
      </c>
      <c r="G980" s="62"/>
      <c r="H980" s="63">
        <v>162</v>
      </c>
      <c r="I980" s="63">
        <v>32</v>
      </c>
      <c r="J980" s="63">
        <v>142</v>
      </c>
      <c r="K980" s="63">
        <v>144</v>
      </c>
      <c r="L980" s="63">
        <v>150</v>
      </c>
      <c r="M980" s="63">
        <v>166</v>
      </c>
      <c r="N980" s="63">
        <v>170</v>
      </c>
      <c r="O980" s="63">
        <v>183</v>
      </c>
      <c r="P980" s="63">
        <v>173</v>
      </c>
      <c r="Q980" s="63">
        <v>171</v>
      </c>
      <c r="R980" s="63">
        <v>176</v>
      </c>
      <c r="S980" s="63">
        <v>201</v>
      </c>
      <c r="T980" s="63">
        <v>196</v>
      </c>
      <c r="U980" s="63">
        <v>199</v>
      </c>
      <c r="V980" s="62"/>
      <c r="W980" s="62"/>
      <c r="X980" s="62"/>
      <c r="Y980" s="62"/>
      <c r="Z980" s="62"/>
      <c r="AA980" s="63">
        <v>201</v>
      </c>
      <c r="AB980" s="62"/>
    </row>
    <row r="981" spans="1:28" x14ac:dyDescent="0.2">
      <c r="A981" s="62">
        <v>79</v>
      </c>
      <c r="B981" s="62" t="s">
        <v>383</v>
      </c>
      <c r="C981" s="62">
        <v>72</v>
      </c>
      <c r="D981" s="62" t="s">
        <v>340</v>
      </c>
      <c r="E981" s="63">
        <v>103</v>
      </c>
      <c r="F981" s="63">
        <v>107</v>
      </c>
      <c r="G981" s="63">
        <v>116</v>
      </c>
      <c r="H981" s="63">
        <v>92</v>
      </c>
      <c r="I981" s="63">
        <v>103</v>
      </c>
      <c r="J981" s="63">
        <v>103</v>
      </c>
      <c r="K981" s="63">
        <v>112</v>
      </c>
      <c r="L981" s="63">
        <v>130</v>
      </c>
      <c r="M981" s="63">
        <v>118</v>
      </c>
      <c r="N981" s="63">
        <v>109</v>
      </c>
      <c r="O981" s="63">
        <v>110</v>
      </c>
      <c r="P981" s="63">
        <v>130</v>
      </c>
      <c r="Q981" s="63">
        <v>121</v>
      </c>
      <c r="R981" s="63">
        <v>129</v>
      </c>
      <c r="S981" s="63">
        <v>136</v>
      </c>
      <c r="T981" s="63">
        <v>147</v>
      </c>
      <c r="U981" s="63">
        <v>132</v>
      </c>
      <c r="V981" s="63">
        <v>133</v>
      </c>
      <c r="W981" s="63">
        <v>128</v>
      </c>
      <c r="X981" s="63">
        <v>104</v>
      </c>
      <c r="Y981" s="63">
        <v>131</v>
      </c>
      <c r="Z981" s="63">
        <v>130</v>
      </c>
      <c r="AA981" s="63">
        <v>139</v>
      </c>
      <c r="AB981" s="63">
        <v>155</v>
      </c>
    </row>
    <row r="982" spans="1:28" x14ac:dyDescent="0.2">
      <c r="A982" s="62">
        <v>79</v>
      </c>
      <c r="B982" s="62" t="s">
        <v>383</v>
      </c>
      <c r="C982" s="62">
        <v>81</v>
      </c>
      <c r="D982" s="62" t="s">
        <v>341</v>
      </c>
      <c r="E982" s="63">
        <v>29</v>
      </c>
      <c r="F982" s="63">
        <v>9</v>
      </c>
      <c r="G982" s="63">
        <v>21</v>
      </c>
      <c r="H982" s="63">
        <v>20</v>
      </c>
      <c r="I982" s="63">
        <v>26</v>
      </c>
      <c r="J982" s="63">
        <v>26</v>
      </c>
      <c r="K982" s="63">
        <v>20</v>
      </c>
      <c r="L982" s="63">
        <v>24</v>
      </c>
      <c r="M982" s="63">
        <v>17</v>
      </c>
      <c r="N982" s="63">
        <v>20</v>
      </c>
      <c r="O982" s="63">
        <v>17</v>
      </c>
      <c r="P982" s="63">
        <v>19</v>
      </c>
      <c r="Q982" s="63">
        <v>19</v>
      </c>
      <c r="R982" s="63">
        <v>19</v>
      </c>
      <c r="S982" s="63">
        <v>12</v>
      </c>
      <c r="T982" s="63">
        <v>17</v>
      </c>
      <c r="U982" s="63">
        <v>18</v>
      </c>
      <c r="V982" s="63">
        <v>15</v>
      </c>
      <c r="W982" s="63">
        <v>15</v>
      </c>
      <c r="X982" s="63">
        <v>12</v>
      </c>
      <c r="Y982" s="63">
        <v>10</v>
      </c>
      <c r="Z982" s="63">
        <v>15</v>
      </c>
      <c r="AA982" s="63">
        <v>18</v>
      </c>
      <c r="AB982" s="63">
        <v>12</v>
      </c>
    </row>
    <row r="983" spans="1:28" x14ac:dyDescent="0.2">
      <c r="A983" s="62">
        <v>79</v>
      </c>
      <c r="B983" s="62" t="s">
        <v>383</v>
      </c>
      <c r="C983" s="62">
        <v>99</v>
      </c>
      <c r="D983" s="62" t="s">
        <v>342</v>
      </c>
      <c r="E983" s="63">
        <v>0</v>
      </c>
      <c r="F983" s="62"/>
      <c r="G983" s="62"/>
      <c r="H983" s="62"/>
      <c r="I983" s="62"/>
      <c r="J983" s="62"/>
      <c r="K983" s="62"/>
      <c r="L983" s="62"/>
      <c r="M983" s="63">
        <v>0</v>
      </c>
      <c r="N983" s="62"/>
      <c r="O983" s="62"/>
      <c r="P983" s="63">
        <v>0</v>
      </c>
      <c r="Q983" s="62"/>
      <c r="R983" s="62"/>
      <c r="S983" s="62"/>
      <c r="T983" s="62"/>
      <c r="U983" s="62"/>
      <c r="V983" s="62"/>
      <c r="W983" s="62"/>
      <c r="X983" s="62"/>
      <c r="Y983" s="62"/>
      <c r="Z983" s="63">
        <v>0</v>
      </c>
      <c r="AA983" s="62"/>
      <c r="AB983" s="63">
        <v>0</v>
      </c>
    </row>
    <row r="984" spans="1:28" x14ac:dyDescent="0.2">
      <c r="A984" s="62">
        <v>81</v>
      </c>
      <c r="B984" s="62" t="s">
        <v>384</v>
      </c>
      <c r="C984" s="62">
        <v>1</v>
      </c>
      <c r="D984" s="62" t="s">
        <v>316</v>
      </c>
      <c r="E984" s="63">
        <v>162</v>
      </c>
      <c r="F984" s="63">
        <v>176</v>
      </c>
      <c r="G984" s="63">
        <v>175</v>
      </c>
      <c r="H984" s="63">
        <v>180</v>
      </c>
      <c r="I984" s="63">
        <v>179</v>
      </c>
      <c r="J984" s="63">
        <v>165</v>
      </c>
      <c r="K984" s="63">
        <v>169</v>
      </c>
      <c r="L984" s="63">
        <v>168</v>
      </c>
      <c r="M984" s="63">
        <v>178</v>
      </c>
      <c r="N984" s="63">
        <v>180</v>
      </c>
      <c r="O984" s="63">
        <v>161</v>
      </c>
      <c r="P984" s="63">
        <v>163</v>
      </c>
      <c r="Q984" s="63">
        <v>152</v>
      </c>
      <c r="R984" s="63">
        <v>144</v>
      </c>
      <c r="S984" s="63">
        <v>148</v>
      </c>
      <c r="T984" s="63">
        <v>144</v>
      </c>
      <c r="U984" s="63">
        <v>133</v>
      </c>
      <c r="V984" s="63">
        <v>135</v>
      </c>
      <c r="W984" s="63">
        <v>130</v>
      </c>
      <c r="X984" s="63">
        <v>134</v>
      </c>
      <c r="Y984" s="63">
        <v>121</v>
      </c>
      <c r="Z984" s="63">
        <v>121</v>
      </c>
      <c r="AA984" s="63">
        <v>125</v>
      </c>
      <c r="AB984" s="63">
        <v>123</v>
      </c>
    </row>
    <row r="985" spans="1:28" x14ac:dyDescent="0.2">
      <c r="A985" s="62">
        <v>81</v>
      </c>
      <c r="B985" s="62" t="s">
        <v>384</v>
      </c>
      <c r="C985" s="62">
        <v>10</v>
      </c>
      <c r="D985" s="62" t="s">
        <v>317</v>
      </c>
      <c r="E985" s="63">
        <v>5697</v>
      </c>
      <c r="F985" s="63">
        <v>5703</v>
      </c>
      <c r="G985" s="63">
        <v>5634</v>
      </c>
      <c r="H985" s="63">
        <v>5757</v>
      </c>
      <c r="I985" s="63">
        <v>6016</v>
      </c>
      <c r="J985" s="63">
        <v>6159</v>
      </c>
      <c r="K985" s="63">
        <v>6334</v>
      </c>
      <c r="L985" s="63">
        <v>6604</v>
      </c>
      <c r="M985" s="63">
        <v>6557</v>
      </c>
      <c r="N985" s="63">
        <v>6093</v>
      </c>
      <c r="O985" s="63">
        <v>5977</v>
      </c>
      <c r="P985" s="63">
        <v>5926</v>
      </c>
      <c r="Q985" s="63">
        <v>5900</v>
      </c>
      <c r="R985" s="63">
        <v>5762</v>
      </c>
      <c r="S985" s="63">
        <v>5739</v>
      </c>
      <c r="T985" s="63">
        <v>5686</v>
      </c>
      <c r="U985" s="63">
        <v>5717</v>
      </c>
      <c r="V985" s="63">
        <v>5786</v>
      </c>
      <c r="W985" s="63">
        <v>5732</v>
      </c>
      <c r="X985" s="63">
        <v>5551</v>
      </c>
      <c r="Y985" s="63">
        <v>5606</v>
      </c>
      <c r="Z985" s="63">
        <v>5659</v>
      </c>
      <c r="AA985" s="63">
        <v>6051</v>
      </c>
      <c r="AB985" s="63">
        <v>5871</v>
      </c>
    </row>
    <row r="986" spans="1:28" x14ac:dyDescent="0.2">
      <c r="A986" s="62">
        <v>81</v>
      </c>
      <c r="B986" s="62" t="s">
        <v>384</v>
      </c>
      <c r="C986" s="62">
        <v>11</v>
      </c>
      <c r="D986" s="62" t="s">
        <v>318</v>
      </c>
      <c r="E986" s="63">
        <v>90</v>
      </c>
      <c r="F986" s="63">
        <v>90</v>
      </c>
      <c r="G986" s="63">
        <v>97</v>
      </c>
      <c r="H986" s="63">
        <v>104</v>
      </c>
      <c r="I986" s="63">
        <v>109</v>
      </c>
      <c r="J986" s="63">
        <v>108</v>
      </c>
      <c r="K986" s="63">
        <v>118</v>
      </c>
      <c r="L986" s="63">
        <v>130</v>
      </c>
      <c r="M986" s="63">
        <v>122</v>
      </c>
      <c r="N986" s="63">
        <v>102</v>
      </c>
      <c r="O986" s="63">
        <v>90</v>
      </c>
      <c r="P986" s="63">
        <v>93</v>
      </c>
      <c r="Q986" s="63">
        <v>97</v>
      </c>
      <c r="R986" s="63">
        <v>121</v>
      </c>
      <c r="S986" s="63">
        <v>118</v>
      </c>
      <c r="T986" s="63">
        <v>114</v>
      </c>
      <c r="U986" s="63">
        <v>120</v>
      </c>
      <c r="V986" s="63">
        <v>121</v>
      </c>
      <c r="W986" s="63">
        <v>126</v>
      </c>
      <c r="X986" s="63">
        <v>123</v>
      </c>
      <c r="Y986" s="63">
        <v>134</v>
      </c>
      <c r="Z986" s="63">
        <v>143</v>
      </c>
      <c r="AA986" s="63">
        <v>123</v>
      </c>
      <c r="AB986" s="63">
        <v>98</v>
      </c>
    </row>
    <row r="987" spans="1:28" x14ac:dyDescent="0.2">
      <c r="A987" s="62">
        <v>81</v>
      </c>
      <c r="B987" s="62" t="s">
        <v>384</v>
      </c>
      <c r="C987" s="62">
        <v>2</v>
      </c>
      <c r="D987" s="62" t="s">
        <v>319</v>
      </c>
      <c r="E987" s="63">
        <v>184</v>
      </c>
      <c r="F987" s="63">
        <v>188</v>
      </c>
      <c r="G987" s="63">
        <v>200</v>
      </c>
      <c r="H987" s="63">
        <v>197</v>
      </c>
      <c r="I987" s="63">
        <v>200</v>
      </c>
      <c r="J987" s="63">
        <v>187</v>
      </c>
      <c r="K987" s="63">
        <v>179</v>
      </c>
      <c r="L987" s="63">
        <v>186</v>
      </c>
      <c r="M987" s="63">
        <v>185</v>
      </c>
      <c r="N987" s="63">
        <v>187</v>
      </c>
      <c r="O987" s="63">
        <v>178</v>
      </c>
      <c r="P987" s="63">
        <v>181</v>
      </c>
      <c r="Q987" s="63">
        <v>172</v>
      </c>
      <c r="R987" s="63">
        <v>170</v>
      </c>
      <c r="S987" s="63">
        <v>164</v>
      </c>
      <c r="T987" s="63">
        <v>170</v>
      </c>
      <c r="U987" s="63">
        <v>169</v>
      </c>
      <c r="V987" s="63">
        <v>161</v>
      </c>
      <c r="W987" s="63">
        <v>162</v>
      </c>
      <c r="X987" s="63">
        <v>158</v>
      </c>
      <c r="Y987" s="63">
        <v>149</v>
      </c>
      <c r="Z987" s="63">
        <v>159</v>
      </c>
      <c r="AA987" s="63">
        <v>157</v>
      </c>
      <c r="AB987" s="63">
        <v>162</v>
      </c>
    </row>
    <row r="988" spans="1:28" x14ac:dyDescent="0.2">
      <c r="A988" s="62">
        <v>81</v>
      </c>
      <c r="B988" s="62" t="s">
        <v>384</v>
      </c>
      <c r="C988" s="62">
        <v>21</v>
      </c>
      <c r="D988" s="62" t="s">
        <v>320</v>
      </c>
      <c r="E988" s="63">
        <v>522</v>
      </c>
      <c r="F988" s="63">
        <v>564</v>
      </c>
      <c r="G988" s="63">
        <v>529</v>
      </c>
      <c r="H988" s="63">
        <v>519</v>
      </c>
      <c r="I988" s="63">
        <v>583</v>
      </c>
      <c r="J988" s="63">
        <v>635</v>
      </c>
      <c r="K988" s="63">
        <v>667</v>
      </c>
      <c r="L988" s="63">
        <v>695</v>
      </c>
      <c r="M988" s="63">
        <v>643</v>
      </c>
      <c r="N988" s="63">
        <v>616</v>
      </c>
      <c r="O988" s="63">
        <v>613</v>
      </c>
      <c r="P988" s="63">
        <v>567</v>
      </c>
      <c r="Q988" s="63">
        <v>551</v>
      </c>
      <c r="R988" s="63">
        <v>514</v>
      </c>
      <c r="S988" s="63">
        <v>499</v>
      </c>
      <c r="T988" s="63">
        <v>485</v>
      </c>
      <c r="U988" s="63">
        <v>489</v>
      </c>
      <c r="V988" s="63">
        <v>495</v>
      </c>
      <c r="W988" s="63">
        <v>466</v>
      </c>
      <c r="X988" s="63">
        <v>436</v>
      </c>
      <c r="Y988" s="63">
        <v>385</v>
      </c>
      <c r="Z988" s="63">
        <v>393</v>
      </c>
      <c r="AA988" s="63">
        <v>408</v>
      </c>
      <c r="AB988" s="63">
        <v>374</v>
      </c>
    </row>
    <row r="989" spans="1:28" x14ac:dyDescent="0.2">
      <c r="A989" s="62">
        <v>81</v>
      </c>
      <c r="B989" s="62" t="s">
        <v>384</v>
      </c>
      <c r="C989" s="62">
        <v>22</v>
      </c>
      <c r="D989" s="62" t="s">
        <v>321</v>
      </c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3">
        <v>200</v>
      </c>
    </row>
    <row r="990" spans="1:28" x14ac:dyDescent="0.2">
      <c r="A990" s="62">
        <v>81</v>
      </c>
      <c r="B990" s="62" t="s">
        <v>384</v>
      </c>
      <c r="C990" s="62">
        <v>23</v>
      </c>
      <c r="D990" s="62" t="s">
        <v>322</v>
      </c>
      <c r="E990" s="63">
        <v>336</v>
      </c>
      <c r="F990" s="63">
        <v>315</v>
      </c>
      <c r="G990" s="63">
        <v>275</v>
      </c>
      <c r="H990" s="63">
        <v>302</v>
      </c>
      <c r="I990" s="63">
        <v>355</v>
      </c>
      <c r="J990" s="63">
        <v>367</v>
      </c>
      <c r="K990" s="63">
        <v>360</v>
      </c>
      <c r="L990" s="63">
        <v>440</v>
      </c>
      <c r="M990" s="63">
        <v>516</v>
      </c>
      <c r="N990" s="63">
        <v>319</v>
      </c>
      <c r="O990" s="63">
        <v>357</v>
      </c>
      <c r="P990" s="63">
        <v>336</v>
      </c>
      <c r="Q990" s="63">
        <v>366</v>
      </c>
      <c r="R990" s="63">
        <v>378</v>
      </c>
      <c r="S990" s="63">
        <v>363</v>
      </c>
      <c r="T990" s="63">
        <v>353</v>
      </c>
      <c r="U990" s="63">
        <v>368</v>
      </c>
      <c r="V990" s="63">
        <v>368</v>
      </c>
      <c r="W990" s="63">
        <v>337</v>
      </c>
      <c r="X990" s="63">
        <v>381</v>
      </c>
      <c r="Y990" s="63">
        <v>404</v>
      </c>
      <c r="Z990" s="63">
        <v>391</v>
      </c>
      <c r="AA990" s="63">
        <v>680</v>
      </c>
      <c r="AB990" s="63">
        <v>594</v>
      </c>
    </row>
    <row r="991" spans="1:28" x14ac:dyDescent="0.2">
      <c r="A991" s="62">
        <v>81</v>
      </c>
      <c r="B991" s="62" t="s">
        <v>384</v>
      </c>
      <c r="C991" s="62">
        <v>3</v>
      </c>
      <c r="D991" s="62" t="s">
        <v>323</v>
      </c>
      <c r="E991" s="63">
        <v>839</v>
      </c>
      <c r="F991" s="63">
        <v>854</v>
      </c>
      <c r="G991" s="63">
        <v>850</v>
      </c>
      <c r="H991" s="63">
        <v>829</v>
      </c>
      <c r="I991" s="63">
        <v>843</v>
      </c>
      <c r="J991" s="63">
        <v>838</v>
      </c>
      <c r="K991" s="63">
        <v>827</v>
      </c>
      <c r="L991" s="63">
        <v>799</v>
      </c>
      <c r="M991" s="63">
        <v>859</v>
      </c>
      <c r="N991" s="63">
        <v>880</v>
      </c>
      <c r="O991" s="63">
        <v>822</v>
      </c>
      <c r="P991" s="63">
        <v>782</v>
      </c>
      <c r="Q991" s="63">
        <v>787</v>
      </c>
      <c r="R991" s="63">
        <v>769</v>
      </c>
      <c r="S991" s="63">
        <v>772</v>
      </c>
      <c r="T991" s="63">
        <v>755</v>
      </c>
      <c r="U991" s="63">
        <v>732</v>
      </c>
      <c r="V991" s="63">
        <v>735</v>
      </c>
      <c r="W991" s="63">
        <v>735</v>
      </c>
      <c r="X991" s="63">
        <v>729</v>
      </c>
      <c r="Y991" s="63">
        <v>717</v>
      </c>
      <c r="Z991" s="63">
        <v>720</v>
      </c>
      <c r="AA991" s="63">
        <v>751</v>
      </c>
      <c r="AB991" s="63">
        <v>766</v>
      </c>
    </row>
    <row r="992" spans="1:28" x14ac:dyDescent="0.2">
      <c r="A992" s="62">
        <v>81</v>
      </c>
      <c r="B992" s="62" t="s">
        <v>384</v>
      </c>
      <c r="C992" s="62" t="s">
        <v>324</v>
      </c>
      <c r="D992" s="62" t="s">
        <v>325</v>
      </c>
      <c r="E992" s="63">
        <v>72</v>
      </c>
      <c r="F992" s="63">
        <v>76</v>
      </c>
      <c r="G992" s="63">
        <v>78</v>
      </c>
      <c r="H992" s="63">
        <v>75</v>
      </c>
      <c r="I992" s="63">
        <v>81</v>
      </c>
      <c r="J992" s="63">
        <v>92</v>
      </c>
      <c r="K992" s="63">
        <v>109</v>
      </c>
      <c r="L992" s="63">
        <v>112</v>
      </c>
      <c r="M992" s="63">
        <v>101</v>
      </c>
      <c r="N992" s="63">
        <v>84</v>
      </c>
      <c r="O992" s="63">
        <v>90</v>
      </c>
      <c r="P992" s="63">
        <v>106</v>
      </c>
      <c r="Q992" s="63">
        <v>100</v>
      </c>
      <c r="R992" s="63">
        <v>106</v>
      </c>
      <c r="S992" s="63">
        <v>97</v>
      </c>
      <c r="T992" s="63">
        <v>89</v>
      </c>
      <c r="U992" s="63">
        <v>85</v>
      </c>
      <c r="V992" s="63">
        <v>83</v>
      </c>
      <c r="W992" s="63">
        <v>72</v>
      </c>
      <c r="X992" s="63">
        <v>71</v>
      </c>
      <c r="Y992" s="63">
        <v>84</v>
      </c>
      <c r="Z992" s="63">
        <v>101</v>
      </c>
      <c r="AA992" s="63">
        <v>120</v>
      </c>
      <c r="AB992" s="63">
        <v>116</v>
      </c>
    </row>
    <row r="993" spans="1:28" x14ac:dyDescent="0.2">
      <c r="A993" s="62">
        <v>81</v>
      </c>
      <c r="B993" s="62" t="s">
        <v>384</v>
      </c>
      <c r="C993" s="62">
        <v>42</v>
      </c>
      <c r="D993" s="62" t="s">
        <v>326</v>
      </c>
      <c r="E993" s="63">
        <v>205</v>
      </c>
      <c r="F993" s="63">
        <v>183</v>
      </c>
      <c r="G993" s="63">
        <v>175</v>
      </c>
      <c r="H993" s="63">
        <v>167</v>
      </c>
      <c r="I993" s="63">
        <v>204</v>
      </c>
      <c r="J993" s="63">
        <v>235</v>
      </c>
      <c r="K993" s="63">
        <v>256</v>
      </c>
      <c r="L993" s="63">
        <v>282</v>
      </c>
      <c r="M993" s="63">
        <v>279</v>
      </c>
      <c r="N993" s="63">
        <v>238</v>
      </c>
      <c r="O993" s="63">
        <v>230</v>
      </c>
      <c r="P993" s="63">
        <v>230</v>
      </c>
      <c r="Q993" s="63">
        <v>205</v>
      </c>
      <c r="R993" s="63">
        <v>192</v>
      </c>
      <c r="S993" s="63">
        <v>211</v>
      </c>
      <c r="T993" s="63">
        <v>196</v>
      </c>
      <c r="U993" s="63">
        <v>204</v>
      </c>
      <c r="V993" s="63">
        <v>212</v>
      </c>
      <c r="W993" s="63">
        <v>177</v>
      </c>
      <c r="X993" s="63">
        <v>165</v>
      </c>
      <c r="Y993" s="63">
        <v>159</v>
      </c>
      <c r="Z993" s="63">
        <v>167</v>
      </c>
      <c r="AA993" s="63">
        <v>172</v>
      </c>
      <c r="AB993" s="63">
        <v>166</v>
      </c>
    </row>
    <row r="994" spans="1:28" x14ac:dyDescent="0.2">
      <c r="A994" s="62">
        <v>81</v>
      </c>
      <c r="B994" s="62" t="s">
        <v>384</v>
      </c>
      <c r="C994" s="62" t="s">
        <v>327</v>
      </c>
      <c r="D994" s="62" t="s">
        <v>328</v>
      </c>
      <c r="E994" s="63">
        <v>817</v>
      </c>
      <c r="F994" s="63">
        <v>784</v>
      </c>
      <c r="G994" s="63">
        <v>783</v>
      </c>
      <c r="H994" s="63">
        <v>804</v>
      </c>
      <c r="I994" s="63">
        <v>774</v>
      </c>
      <c r="J994" s="63">
        <v>789</v>
      </c>
      <c r="K994" s="63">
        <v>861</v>
      </c>
      <c r="L994" s="63">
        <v>926</v>
      </c>
      <c r="M994" s="63">
        <v>890</v>
      </c>
      <c r="N994" s="63">
        <v>817</v>
      </c>
      <c r="O994" s="63">
        <v>783</v>
      </c>
      <c r="P994" s="63">
        <v>787</v>
      </c>
      <c r="Q994" s="63">
        <v>806</v>
      </c>
      <c r="R994" s="63">
        <v>780</v>
      </c>
      <c r="S994" s="63">
        <v>796</v>
      </c>
      <c r="T994" s="63">
        <v>813</v>
      </c>
      <c r="U994" s="63">
        <v>783</v>
      </c>
      <c r="V994" s="63">
        <v>800</v>
      </c>
      <c r="W994" s="63">
        <v>804</v>
      </c>
      <c r="X994" s="63">
        <v>847</v>
      </c>
      <c r="Y994" s="63">
        <v>869</v>
      </c>
      <c r="Z994" s="63">
        <v>885</v>
      </c>
      <c r="AA994" s="63">
        <v>878</v>
      </c>
      <c r="AB994" s="63">
        <v>894</v>
      </c>
    </row>
    <row r="995" spans="1:28" x14ac:dyDescent="0.2">
      <c r="A995" s="62">
        <v>81</v>
      </c>
      <c r="B995" s="62" t="s">
        <v>384</v>
      </c>
      <c r="C995" s="62" t="s">
        <v>329</v>
      </c>
      <c r="D995" s="62" t="s">
        <v>330</v>
      </c>
      <c r="E995" s="63">
        <v>98</v>
      </c>
      <c r="F995" s="63">
        <v>97</v>
      </c>
      <c r="G995" s="63">
        <v>111</v>
      </c>
      <c r="H995" s="63">
        <v>144</v>
      </c>
      <c r="I995" s="63">
        <v>159</v>
      </c>
      <c r="J995" s="63">
        <v>162</v>
      </c>
      <c r="K995" s="63">
        <v>190</v>
      </c>
      <c r="L995" s="63">
        <v>194</v>
      </c>
      <c r="M995" s="63">
        <v>177</v>
      </c>
      <c r="N995" s="63">
        <v>158</v>
      </c>
      <c r="O995" s="63">
        <v>154</v>
      </c>
      <c r="P995" s="63">
        <v>142</v>
      </c>
      <c r="Q995" s="63">
        <v>149</v>
      </c>
      <c r="R995" s="63">
        <v>142</v>
      </c>
      <c r="S995" s="63">
        <v>121</v>
      </c>
      <c r="T995" s="63">
        <v>124</v>
      </c>
      <c r="U995" s="63">
        <v>130</v>
      </c>
      <c r="V995" s="63">
        <v>126</v>
      </c>
      <c r="W995" s="63">
        <v>115</v>
      </c>
      <c r="X995" s="63">
        <v>125</v>
      </c>
      <c r="Y995" s="63">
        <v>128</v>
      </c>
      <c r="Z995" s="63">
        <v>148</v>
      </c>
      <c r="AA995" s="63">
        <v>211</v>
      </c>
      <c r="AB995" s="63">
        <v>183</v>
      </c>
    </row>
    <row r="996" spans="1:28" x14ac:dyDescent="0.2">
      <c r="A996" s="62">
        <v>81</v>
      </c>
      <c r="B996" s="62" t="s">
        <v>384</v>
      </c>
      <c r="C996" s="62">
        <v>51</v>
      </c>
      <c r="D996" s="62" t="s">
        <v>331</v>
      </c>
      <c r="E996" s="63">
        <v>52</v>
      </c>
      <c r="F996" s="63">
        <v>50</v>
      </c>
      <c r="G996" s="63">
        <v>50</v>
      </c>
      <c r="H996" s="63">
        <v>53</v>
      </c>
      <c r="I996" s="63">
        <v>62</v>
      </c>
      <c r="J996" s="63">
        <v>56</v>
      </c>
      <c r="K996" s="63">
        <v>48</v>
      </c>
      <c r="L996" s="63">
        <v>60</v>
      </c>
      <c r="M996" s="63">
        <v>64</v>
      </c>
      <c r="N996" s="63">
        <v>58</v>
      </c>
      <c r="O996" s="63">
        <v>55</v>
      </c>
      <c r="P996" s="63">
        <v>62</v>
      </c>
      <c r="Q996" s="63">
        <v>55</v>
      </c>
      <c r="R996" s="63">
        <v>53</v>
      </c>
      <c r="S996" s="63">
        <v>57</v>
      </c>
      <c r="T996" s="63">
        <v>57</v>
      </c>
      <c r="U996" s="63">
        <v>54</v>
      </c>
      <c r="V996" s="63">
        <v>48</v>
      </c>
      <c r="W996" s="63">
        <v>41</v>
      </c>
      <c r="X996" s="63">
        <v>31</v>
      </c>
      <c r="Y996" s="63">
        <v>31</v>
      </c>
      <c r="Z996" s="63">
        <v>35</v>
      </c>
      <c r="AA996" s="63">
        <v>39</v>
      </c>
      <c r="AB996" s="63">
        <v>39</v>
      </c>
    </row>
    <row r="997" spans="1:28" x14ac:dyDescent="0.2">
      <c r="A997" s="62">
        <v>81</v>
      </c>
      <c r="B997" s="62" t="s">
        <v>384</v>
      </c>
      <c r="C997" s="62">
        <v>52</v>
      </c>
      <c r="D997" s="62" t="s">
        <v>332</v>
      </c>
      <c r="E997" s="63">
        <v>92</v>
      </c>
      <c r="F997" s="63">
        <v>110</v>
      </c>
      <c r="G997" s="63">
        <v>112</v>
      </c>
      <c r="H997" s="63">
        <v>112</v>
      </c>
      <c r="I997" s="63">
        <v>100</v>
      </c>
      <c r="J997" s="63">
        <v>107</v>
      </c>
      <c r="K997" s="63">
        <v>114</v>
      </c>
      <c r="L997" s="63">
        <v>120</v>
      </c>
      <c r="M997" s="63">
        <v>122</v>
      </c>
      <c r="N997" s="63">
        <v>116</v>
      </c>
      <c r="O997" s="63">
        <v>117</v>
      </c>
      <c r="P997" s="63">
        <v>110</v>
      </c>
      <c r="Q997" s="63">
        <v>100</v>
      </c>
      <c r="R997" s="63">
        <v>97</v>
      </c>
      <c r="S997" s="63">
        <v>85</v>
      </c>
      <c r="T997" s="63">
        <v>96</v>
      </c>
      <c r="U997" s="63">
        <v>100</v>
      </c>
      <c r="V997" s="63">
        <v>97</v>
      </c>
      <c r="W997" s="63">
        <v>87</v>
      </c>
      <c r="X997" s="63">
        <v>89</v>
      </c>
      <c r="Y997" s="63">
        <v>90</v>
      </c>
      <c r="Z997" s="63">
        <v>91</v>
      </c>
      <c r="AA997" s="63">
        <v>87</v>
      </c>
      <c r="AB997" s="63">
        <v>81</v>
      </c>
    </row>
    <row r="998" spans="1:28" x14ac:dyDescent="0.2">
      <c r="A998" s="62">
        <v>81</v>
      </c>
      <c r="B998" s="62" t="s">
        <v>384</v>
      </c>
      <c r="C998" s="62">
        <v>53</v>
      </c>
      <c r="D998" s="62" t="s">
        <v>333</v>
      </c>
      <c r="E998" s="63">
        <v>127</v>
      </c>
      <c r="F998" s="63">
        <v>122</v>
      </c>
      <c r="G998" s="63">
        <v>131</v>
      </c>
      <c r="H998" s="63">
        <v>120</v>
      </c>
      <c r="I998" s="63">
        <v>122</v>
      </c>
      <c r="J998" s="63">
        <v>126</v>
      </c>
      <c r="K998" s="63">
        <v>141</v>
      </c>
      <c r="L998" s="63">
        <v>149</v>
      </c>
      <c r="M998" s="63">
        <v>141</v>
      </c>
      <c r="N998" s="63">
        <v>117</v>
      </c>
      <c r="O998" s="63">
        <v>113</v>
      </c>
      <c r="P998" s="63">
        <v>109</v>
      </c>
      <c r="Q998" s="63">
        <v>112</v>
      </c>
      <c r="R998" s="63">
        <v>106</v>
      </c>
      <c r="S998" s="63">
        <v>111</v>
      </c>
      <c r="T998" s="63">
        <v>117</v>
      </c>
      <c r="U998" s="63">
        <v>116</v>
      </c>
      <c r="V998" s="63">
        <v>124</v>
      </c>
      <c r="W998" s="63">
        <v>142</v>
      </c>
      <c r="X998" s="63">
        <v>140</v>
      </c>
      <c r="Y998" s="63">
        <v>141</v>
      </c>
      <c r="Z998" s="63">
        <v>153</v>
      </c>
      <c r="AA998" s="63">
        <v>179</v>
      </c>
      <c r="AB998" s="63">
        <v>120</v>
      </c>
    </row>
    <row r="999" spans="1:28" x14ac:dyDescent="0.2">
      <c r="A999" s="62">
        <v>81</v>
      </c>
      <c r="B999" s="62" t="s">
        <v>384</v>
      </c>
      <c r="C999" s="62">
        <v>54</v>
      </c>
      <c r="D999" s="62" t="s">
        <v>334</v>
      </c>
      <c r="E999" s="63">
        <v>143</v>
      </c>
      <c r="F999" s="63">
        <v>140</v>
      </c>
      <c r="G999" s="63">
        <v>132</v>
      </c>
      <c r="H999" s="63">
        <v>147</v>
      </c>
      <c r="I999" s="63">
        <v>174</v>
      </c>
      <c r="J999" s="63">
        <v>168</v>
      </c>
      <c r="K999" s="63">
        <v>171</v>
      </c>
      <c r="L999" s="63">
        <v>168</v>
      </c>
      <c r="M999" s="63">
        <v>162</v>
      </c>
      <c r="N999" s="63">
        <v>150</v>
      </c>
      <c r="O999" s="63">
        <v>145</v>
      </c>
      <c r="P999" s="63">
        <v>144</v>
      </c>
      <c r="Q999" s="63">
        <v>149</v>
      </c>
      <c r="R999" s="63">
        <v>135</v>
      </c>
      <c r="S999" s="63">
        <v>140</v>
      </c>
      <c r="T999" s="63">
        <v>130</v>
      </c>
      <c r="U999" s="63">
        <v>134</v>
      </c>
      <c r="V999" s="63">
        <v>159</v>
      </c>
      <c r="W999" s="63">
        <v>167</v>
      </c>
      <c r="X999" s="63">
        <v>169</v>
      </c>
      <c r="Y999" s="63">
        <v>181</v>
      </c>
      <c r="Z999" s="63">
        <v>195</v>
      </c>
      <c r="AA999" s="63">
        <v>184</v>
      </c>
      <c r="AB999" s="63">
        <v>204</v>
      </c>
    </row>
    <row r="1000" spans="1:28" x14ac:dyDescent="0.2">
      <c r="A1000" s="62">
        <v>81</v>
      </c>
      <c r="B1000" s="62" t="s">
        <v>384</v>
      </c>
      <c r="C1000" s="62">
        <v>55</v>
      </c>
      <c r="D1000" s="64" t="s">
        <v>335</v>
      </c>
      <c r="E1000" s="65"/>
      <c r="F1000" s="65"/>
      <c r="G1000" s="65"/>
      <c r="H1000" s="62"/>
      <c r="I1000" s="62"/>
      <c r="J1000" s="62"/>
      <c r="K1000" s="62"/>
      <c r="L1000" s="62"/>
      <c r="M1000" s="62"/>
      <c r="N1000" s="62"/>
      <c r="O1000" s="62"/>
      <c r="P1000" s="62"/>
      <c r="Q1000" s="63">
        <v>11</v>
      </c>
      <c r="R1000" s="63">
        <v>12</v>
      </c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</row>
    <row r="1001" spans="1:28" x14ac:dyDescent="0.2">
      <c r="A1001" s="62">
        <v>81</v>
      </c>
      <c r="B1001" s="62" t="s">
        <v>384</v>
      </c>
      <c r="C1001" s="62">
        <v>56</v>
      </c>
      <c r="D1001" s="62" t="s">
        <v>336</v>
      </c>
      <c r="E1001" s="63">
        <v>138</v>
      </c>
      <c r="F1001" s="63">
        <v>129</v>
      </c>
      <c r="G1001" s="63">
        <v>157</v>
      </c>
      <c r="H1001" s="63">
        <v>213</v>
      </c>
      <c r="I1001" s="63">
        <v>219</v>
      </c>
      <c r="J1001" s="63">
        <v>237</v>
      </c>
      <c r="K1001" s="63">
        <v>238</v>
      </c>
      <c r="L1001" s="63">
        <v>240</v>
      </c>
      <c r="M1001" s="63">
        <v>212</v>
      </c>
      <c r="N1001" s="63">
        <v>177</v>
      </c>
      <c r="O1001" s="63">
        <v>203</v>
      </c>
      <c r="P1001" s="63">
        <v>218</v>
      </c>
      <c r="Q1001" s="63">
        <v>222</v>
      </c>
      <c r="R1001" s="63">
        <v>203</v>
      </c>
      <c r="S1001" s="63">
        <v>195</v>
      </c>
      <c r="T1001" s="63">
        <v>175</v>
      </c>
      <c r="U1001" s="63">
        <v>161</v>
      </c>
      <c r="V1001" s="63">
        <v>168</v>
      </c>
      <c r="W1001" s="63">
        <v>188</v>
      </c>
      <c r="X1001" s="63">
        <v>181</v>
      </c>
      <c r="Y1001" s="63">
        <v>232</v>
      </c>
      <c r="Z1001" s="63">
        <v>201</v>
      </c>
      <c r="AA1001" s="63">
        <v>167</v>
      </c>
      <c r="AB1001" s="63">
        <v>161</v>
      </c>
    </row>
    <row r="1002" spans="1:28" x14ac:dyDescent="0.2">
      <c r="A1002" s="62">
        <v>81</v>
      </c>
      <c r="B1002" s="62" t="s">
        <v>384</v>
      </c>
      <c r="C1002" s="62">
        <v>61</v>
      </c>
      <c r="D1002" s="62" t="s">
        <v>337</v>
      </c>
      <c r="E1002" s="63">
        <v>5</v>
      </c>
      <c r="F1002" s="62"/>
      <c r="G1002" s="63">
        <v>1</v>
      </c>
      <c r="H1002" s="63">
        <v>13</v>
      </c>
      <c r="I1002" s="63">
        <v>18</v>
      </c>
      <c r="J1002" s="63">
        <v>14</v>
      </c>
      <c r="K1002" s="63">
        <v>12</v>
      </c>
      <c r="L1002" s="63">
        <v>11</v>
      </c>
      <c r="M1002" s="63">
        <v>18</v>
      </c>
      <c r="N1002" s="63">
        <v>13</v>
      </c>
      <c r="O1002" s="63">
        <v>13</v>
      </c>
      <c r="P1002" s="63">
        <v>7</v>
      </c>
      <c r="Q1002" s="62"/>
      <c r="R1002" s="63">
        <v>17</v>
      </c>
      <c r="S1002" s="63">
        <v>19</v>
      </c>
      <c r="T1002" s="63">
        <v>27</v>
      </c>
      <c r="U1002" s="63">
        <v>35</v>
      </c>
      <c r="V1002" s="63">
        <v>25</v>
      </c>
      <c r="W1002" s="63">
        <v>41</v>
      </c>
      <c r="X1002" s="63">
        <v>32</v>
      </c>
      <c r="Y1002" s="63">
        <v>32</v>
      </c>
      <c r="Z1002" s="63">
        <v>29</v>
      </c>
      <c r="AA1002" s="63">
        <v>28</v>
      </c>
      <c r="AB1002" s="63">
        <v>27</v>
      </c>
    </row>
    <row r="1003" spans="1:28" x14ac:dyDescent="0.2">
      <c r="A1003" s="62">
        <v>81</v>
      </c>
      <c r="B1003" s="62" t="s">
        <v>384</v>
      </c>
      <c r="C1003" s="62">
        <v>62</v>
      </c>
      <c r="D1003" s="62" t="s">
        <v>338</v>
      </c>
      <c r="E1003" s="63">
        <v>581</v>
      </c>
      <c r="F1003" s="63">
        <v>572</v>
      </c>
      <c r="G1003" s="63">
        <v>549</v>
      </c>
      <c r="H1003" s="63">
        <v>505</v>
      </c>
      <c r="I1003" s="63">
        <v>545</v>
      </c>
      <c r="J1003" s="63">
        <v>552</v>
      </c>
      <c r="K1003" s="63">
        <v>547</v>
      </c>
      <c r="L1003" s="63">
        <v>566</v>
      </c>
      <c r="M1003" s="63">
        <v>565</v>
      </c>
      <c r="N1003" s="63">
        <v>587</v>
      </c>
      <c r="O1003" s="63">
        <v>581</v>
      </c>
      <c r="P1003" s="63">
        <v>565</v>
      </c>
      <c r="Q1003" s="63">
        <v>572</v>
      </c>
      <c r="R1003" s="63">
        <v>565</v>
      </c>
      <c r="S1003" s="63">
        <v>603</v>
      </c>
      <c r="T1003" s="63">
        <v>617</v>
      </c>
      <c r="U1003" s="63">
        <v>653</v>
      </c>
      <c r="V1003" s="63">
        <v>712</v>
      </c>
      <c r="W1003" s="63">
        <v>771</v>
      </c>
      <c r="X1003" s="63">
        <v>652</v>
      </c>
      <c r="Y1003" s="63">
        <v>617</v>
      </c>
      <c r="Z1003" s="63">
        <v>617</v>
      </c>
      <c r="AA1003" s="63">
        <v>654</v>
      </c>
      <c r="AB1003" s="63">
        <v>693</v>
      </c>
    </row>
    <row r="1004" spans="1:28" x14ac:dyDescent="0.2">
      <c r="A1004" s="62">
        <v>81</v>
      </c>
      <c r="B1004" s="62" t="s">
        <v>384</v>
      </c>
      <c r="C1004" s="62">
        <v>71</v>
      </c>
      <c r="D1004" s="62" t="s">
        <v>339</v>
      </c>
      <c r="E1004" s="63">
        <v>41</v>
      </c>
      <c r="F1004" s="63">
        <v>56</v>
      </c>
      <c r="G1004" s="63">
        <v>59</v>
      </c>
      <c r="H1004" s="63">
        <v>66</v>
      </c>
      <c r="I1004" s="63">
        <v>72</v>
      </c>
      <c r="J1004" s="63">
        <v>90</v>
      </c>
      <c r="K1004" s="63">
        <v>110</v>
      </c>
      <c r="L1004" s="63">
        <v>122</v>
      </c>
      <c r="M1004" s="63">
        <v>95</v>
      </c>
      <c r="N1004" s="63">
        <v>93</v>
      </c>
      <c r="O1004" s="63">
        <v>86</v>
      </c>
      <c r="P1004" s="63">
        <v>97</v>
      </c>
      <c r="Q1004" s="63">
        <v>94</v>
      </c>
      <c r="R1004" s="63">
        <v>90</v>
      </c>
      <c r="S1004" s="63">
        <v>89</v>
      </c>
      <c r="T1004" s="63">
        <v>92</v>
      </c>
      <c r="U1004" s="63">
        <v>113</v>
      </c>
      <c r="V1004" s="63">
        <v>126</v>
      </c>
      <c r="W1004" s="63">
        <v>116</v>
      </c>
      <c r="X1004" s="63">
        <v>94</v>
      </c>
      <c r="Y1004" s="63">
        <v>102</v>
      </c>
      <c r="Z1004" s="63">
        <v>103</v>
      </c>
      <c r="AA1004" s="63">
        <v>115</v>
      </c>
      <c r="AB1004" s="63">
        <v>120</v>
      </c>
    </row>
    <row r="1005" spans="1:28" x14ac:dyDescent="0.2">
      <c r="A1005" s="62">
        <v>81</v>
      </c>
      <c r="B1005" s="62" t="s">
        <v>384</v>
      </c>
      <c r="C1005" s="62">
        <v>72</v>
      </c>
      <c r="D1005" s="62" t="s">
        <v>340</v>
      </c>
      <c r="E1005" s="63">
        <v>533</v>
      </c>
      <c r="F1005" s="63">
        <v>535</v>
      </c>
      <c r="G1005" s="63">
        <v>523</v>
      </c>
      <c r="H1005" s="63">
        <v>533</v>
      </c>
      <c r="I1005" s="63">
        <v>531</v>
      </c>
      <c r="J1005" s="63">
        <v>544</v>
      </c>
      <c r="K1005" s="63">
        <v>508</v>
      </c>
      <c r="L1005" s="63">
        <v>541</v>
      </c>
      <c r="M1005" s="63">
        <v>544</v>
      </c>
      <c r="N1005" s="63">
        <v>491</v>
      </c>
      <c r="O1005" s="63">
        <v>469</v>
      </c>
      <c r="P1005" s="63">
        <v>489</v>
      </c>
      <c r="Q1005" s="63">
        <v>504</v>
      </c>
      <c r="R1005" s="63">
        <v>488</v>
      </c>
      <c r="S1005" s="63">
        <v>488</v>
      </c>
      <c r="T1005" s="63">
        <v>476</v>
      </c>
      <c r="U1005" s="63">
        <v>481</v>
      </c>
      <c r="V1005" s="63">
        <v>482</v>
      </c>
      <c r="W1005" s="63">
        <v>454</v>
      </c>
      <c r="X1005" s="63">
        <v>418</v>
      </c>
      <c r="Y1005" s="63">
        <v>491</v>
      </c>
      <c r="Z1005" s="63">
        <v>479</v>
      </c>
      <c r="AA1005" s="63">
        <v>469</v>
      </c>
      <c r="AB1005" s="63">
        <v>466</v>
      </c>
    </row>
    <row r="1006" spans="1:28" x14ac:dyDescent="0.2">
      <c r="A1006" s="62">
        <v>81</v>
      </c>
      <c r="B1006" s="62" t="s">
        <v>384</v>
      </c>
      <c r="C1006" s="62">
        <v>81</v>
      </c>
      <c r="D1006" s="62" t="s">
        <v>341</v>
      </c>
      <c r="E1006" s="63">
        <v>276</v>
      </c>
      <c r="F1006" s="63">
        <v>275</v>
      </c>
      <c r="G1006" s="63">
        <v>279</v>
      </c>
      <c r="H1006" s="63">
        <v>292</v>
      </c>
      <c r="I1006" s="63">
        <v>330</v>
      </c>
      <c r="J1006" s="63">
        <v>339</v>
      </c>
      <c r="K1006" s="63">
        <v>341</v>
      </c>
      <c r="L1006" s="63">
        <v>341</v>
      </c>
      <c r="M1006" s="63">
        <v>329</v>
      </c>
      <c r="N1006" s="63">
        <v>336</v>
      </c>
      <c r="O1006" s="63">
        <v>358</v>
      </c>
      <c r="P1006" s="63">
        <v>356</v>
      </c>
      <c r="Q1006" s="63">
        <v>334</v>
      </c>
      <c r="R1006" s="63">
        <v>328</v>
      </c>
      <c r="S1006" s="63">
        <v>310</v>
      </c>
      <c r="T1006" s="63">
        <v>309</v>
      </c>
      <c r="U1006" s="63">
        <v>318</v>
      </c>
      <c r="V1006" s="63">
        <v>282</v>
      </c>
      <c r="W1006" s="63">
        <v>286</v>
      </c>
      <c r="X1006" s="63">
        <v>280</v>
      </c>
      <c r="Y1006" s="63">
        <v>257</v>
      </c>
      <c r="Z1006" s="63">
        <v>260</v>
      </c>
      <c r="AA1006" s="63">
        <v>256</v>
      </c>
      <c r="AB1006" s="63">
        <v>262</v>
      </c>
    </row>
    <row r="1007" spans="1:28" x14ac:dyDescent="0.2">
      <c r="A1007" s="62">
        <v>81</v>
      </c>
      <c r="B1007" s="62" t="s">
        <v>384</v>
      </c>
      <c r="C1007" s="62">
        <v>99</v>
      </c>
      <c r="D1007" s="62" t="s">
        <v>342</v>
      </c>
      <c r="E1007" s="62"/>
      <c r="F1007" s="62"/>
      <c r="G1007" s="62"/>
      <c r="H1007" s="62"/>
      <c r="I1007" s="63">
        <v>1</v>
      </c>
      <c r="J1007" s="62"/>
      <c r="K1007" s="62"/>
      <c r="L1007" s="62"/>
      <c r="M1007" s="63">
        <v>1</v>
      </c>
      <c r="N1007" s="63">
        <v>0</v>
      </c>
      <c r="O1007" s="62"/>
      <c r="P1007" s="63">
        <v>0</v>
      </c>
      <c r="Q1007" s="62"/>
      <c r="R1007" s="62"/>
      <c r="S1007" s="63">
        <v>0</v>
      </c>
      <c r="T1007" s="62"/>
      <c r="U1007" s="62"/>
      <c r="V1007" s="62"/>
      <c r="W1007" s="62"/>
      <c r="X1007" s="62"/>
      <c r="Y1007" s="62"/>
      <c r="Z1007" s="63">
        <v>0</v>
      </c>
      <c r="AA1007" s="63">
        <v>3</v>
      </c>
      <c r="AB1007" s="62"/>
    </row>
    <row r="1008" spans="1:28" x14ac:dyDescent="0.2">
      <c r="A1008" s="62">
        <v>83</v>
      </c>
      <c r="B1008" s="62" t="s">
        <v>385</v>
      </c>
      <c r="C1008" s="62">
        <v>1</v>
      </c>
      <c r="D1008" s="62" t="s">
        <v>316</v>
      </c>
      <c r="E1008" s="63">
        <v>383</v>
      </c>
      <c r="F1008" s="63">
        <v>393</v>
      </c>
      <c r="G1008" s="63">
        <v>379</v>
      </c>
      <c r="H1008" s="63">
        <v>353</v>
      </c>
      <c r="I1008" s="63">
        <v>350</v>
      </c>
      <c r="J1008" s="63">
        <v>362</v>
      </c>
      <c r="K1008" s="63">
        <v>357</v>
      </c>
      <c r="L1008" s="63">
        <v>361</v>
      </c>
      <c r="M1008" s="63">
        <v>357</v>
      </c>
      <c r="N1008" s="63">
        <v>399</v>
      </c>
      <c r="O1008" s="63">
        <v>376</v>
      </c>
      <c r="P1008" s="63">
        <v>371</v>
      </c>
      <c r="Q1008" s="63">
        <v>346</v>
      </c>
      <c r="R1008" s="63">
        <v>332</v>
      </c>
      <c r="S1008" s="63">
        <v>334</v>
      </c>
      <c r="T1008" s="63">
        <v>345</v>
      </c>
      <c r="U1008" s="63">
        <v>351</v>
      </c>
      <c r="V1008" s="63">
        <v>335</v>
      </c>
      <c r="W1008" s="63">
        <v>334</v>
      </c>
      <c r="X1008" s="63">
        <v>325</v>
      </c>
      <c r="Y1008" s="63">
        <v>339</v>
      </c>
      <c r="Z1008" s="63">
        <v>332</v>
      </c>
      <c r="AA1008" s="63">
        <v>335</v>
      </c>
      <c r="AB1008" s="63">
        <v>336</v>
      </c>
    </row>
    <row r="1009" spans="1:28" x14ac:dyDescent="0.2">
      <c r="A1009" s="62">
        <v>83</v>
      </c>
      <c r="B1009" s="62" t="s">
        <v>385</v>
      </c>
      <c r="C1009" s="62">
        <v>10</v>
      </c>
      <c r="D1009" s="62" t="s">
        <v>317</v>
      </c>
      <c r="E1009" s="63">
        <v>10969</v>
      </c>
      <c r="F1009" s="63">
        <v>10962</v>
      </c>
      <c r="G1009" s="63">
        <v>11006</v>
      </c>
      <c r="H1009" s="63">
        <v>11159</v>
      </c>
      <c r="I1009" s="63">
        <v>11510</v>
      </c>
      <c r="J1009" s="63">
        <v>11701</v>
      </c>
      <c r="K1009" s="63">
        <v>11761</v>
      </c>
      <c r="L1009" s="63">
        <v>11352</v>
      </c>
      <c r="M1009" s="63">
        <v>11088</v>
      </c>
      <c r="N1009" s="63">
        <v>10971</v>
      </c>
      <c r="O1009" s="63">
        <v>11013</v>
      </c>
      <c r="P1009" s="63">
        <v>11055</v>
      </c>
      <c r="Q1009" s="63">
        <v>11171</v>
      </c>
      <c r="R1009" s="63">
        <v>11595</v>
      </c>
      <c r="S1009" s="63">
        <v>11159</v>
      </c>
      <c r="T1009" s="63">
        <v>11347</v>
      </c>
      <c r="U1009" s="63">
        <v>11474</v>
      </c>
      <c r="V1009" s="63">
        <v>11640</v>
      </c>
      <c r="W1009" s="63">
        <v>11623</v>
      </c>
      <c r="X1009" s="63">
        <v>11225</v>
      </c>
      <c r="Y1009" s="63">
        <v>11709</v>
      </c>
      <c r="Z1009" s="63">
        <v>11957</v>
      </c>
      <c r="AA1009" s="63">
        <v>11952</v>
      </c>
      <c r="AB1009" s="63">
        <v>12255</v>
      </c>
    </row>
    <row r="1010" spans="1:28" x14ac:dyDescent="0.2">
      <c r="A1010" s="62">
        <v>83</v>
      </c>
      <c r="B1010" s="62" t="s">
        <v>385</v>
      </c>
      <c r="C1010" s="62">
        <v>11</v>
      </c>
      <c r="D1010" s="62" t="s">
        <v>318</v>
      </c>
      <c r="E1010" s="63">
        <v>99</v>
      </c>
      <c r="F1010" s="63">
        <v>94</v>
      </c>
      <c r="G1010" s="63">
        <v>100</v>
      </c>
      <c r="H1010" s="63">
        <v>122</v>
      </c>
      <c r="I1010" s="63">
        <v>117</v>
      </c>
      <c r="J1010" s="63">
        <v>122</v>
      </c>
      <c r="K1010" s="63">
        <v>117</v>
      </c>
      <c r="L1010" s="63">
        <v>122</v>
      </c>
      <c r="M1010" s="63">
        <v>112</v>
      </c>
      <c r="N1010" s="63">
        <v>116</v>
      </c>
      <c r="O1010" s="63">
        <v>115</v>
      </c>
      <c r="P1010" s="63">
        <v>110</v>
      </c>
      <c r="Q1010" s="63">
        <v>93</v>
      </c>
      <c r="R1010" s="63">
        <v>113</v>
      </c>
      <c r="S1010" s="63">
        <v>116</v>
      </c>
      <c r="T1010" s="63">
        <v>108</v>
      </c>
      <c r="U1010" s="63">
        <v>118</v>
      </c>
      <c r="V1010" s="63">
        <v>135</v>
      </c>
      <c r="W1010" s="63">
        <v>156</v>
      </c>
      <c r="X1010" s="63">
        <v>220</v>
      </c>
      <c r="Y1010" s="63">
        <v>210</v>
      </c>
      <c r="Z1010" s="63">
        <v>177</v>
      </c>
      <c r="AA1010" s="63">
        <v>174</v>
      </c>
      <c r="AB1010" s="63">
        <v>240</v>
      </c>
    </row>
    <row r="1011" spans="1:28" x14ac:dyDescent="0.2">
      <c r="A1011" s="62">
        <v>83</v>
      </c>
      <c r="B1011" s="62" t="s">
        <v>385</v>
      </c>
      <c r="C1011" s="62">
        <v>2</v>
      </c>
      <c r="D1011" s="62" t="s">
        <v>319</v>
      </c>
      <c r="E1011" s="63">
        <v>75</v>
      </c>
      <c r="F1011" s="63">
        <v>78</v>
      </c>
      <c r="G1011" s="63">
        <v>77</v>
      </c>
      <c r="H1011" s="63">
        <v>80</v>
      </c>
      <c r="I1011" s="63">
        <v>78</v>
      </c>
      <c r="J1011" s="63">
        <v>79</v>
      </c>
      <c r="K1011" s="63">
        <v>76</v>
      </c>
      <c r="L1011" s="63">
        <v>83</v>
      </c>
      <c r="M1011" s="63">
        <v>91</v>
      </c>
      <c r="N1011" s="63">
        <v>124</v>
      </c>
      <c r="O1011" s="63">
        <v>125</v>
      </c>
      <c r="P1011" s="63">
        <v>129</v>
      </c>
      <c r="Q1011" s="63">
        <v>130</v>
      </c>
      <c r="R1011" s="63">
        <v>126</v>
      </c>
      <c r="S1011" s="63">
        <v>124</v>
      </c>
      <c r="T1011" s="63">
        <v>118</v>
      </c>
      <c r="U1011" s="63">
        <v>114</v>
      </c>
      <c r="V1011" s="63">
        <v>114</v>
      </c>
      <c r="W1011" s="63">
        <v>113</v>
      </c>
      <c r="X1011" s="63">
        <v>118</v>
      </c>
      <c r="Y1011" s="63">
        <v>114</v>
      </c>
      <c r="Z1011" s="63">
        <v>121</v>
      </c>
      <c r="AA1011" s="63">
        <v>127</v>
      </c>
      <c r="AB1011" s="63">
        <v>137</v>
      </c>
    </row>
    <row r="1012" spans="1:28" x14ac:dyDescent="0.2">
      <c r="A1012" s="62">
        <v>83</v>
      </c>
      <c r="B1012" s="62" t="s">
        <v>385</v>
      </c>
      <c r="C1012" s="62">
        <v>21</v>
      </c>
      <c r="D1012" s="62" t="s">
        <v>320</v>
      </c>
      <c r="E1012" s="63">
        <v>112</v>
      </c>
      <c r="F1012" s="63">
        <v>76</v>
      </c>
      <c r="G1012" s="63">
        <v>101</v>
      </c>
      <c r="H1012" s="63">
        <v>108</v>
      </c>
      <c r="I1012" s="63">
        <v>123</v>
      </c>
      <c r="J1012" s="63">
        <v>121</v>
      </c>
      <c r="K1012" s="63">
        <v>124</v>
      </c>
      <c r="L1012" s="63">
        <v>163</v>
      </c>
      <c r="M1012" s="63">
        <v>153</v>
      </c>
      <c r="N1012" s="63">
        <v>163</v>
      </c>
      <c r="O1012" s="63">
        <v>204</v>
      </c>
      <c r="P1012" s="63">
        <v>260</v>
      </c>
      <c r="Q1012" s="63">
        <v>254</v>
      </c>
      <c r="R1012" s="63">
        <v>277</v>
      </c>
      <c r="S1012" s="63">
        <v>225</v>
      </c>
      <c r="T1012" s="63">
        <v>217</v>
      </c>
      <c r="U1012" s="63">
        <v>207</v>
      </c>
      <c r="V1012" s="63">
        <v>154</v>
      </c>
      <c r="W1012" s="63">
        <v>141</v>
      </c>
      <c r="X1012" s="63">
        <v>102</v>
      </c>
      <c r="Y1012" s="63">
        <v>100</v>
      </c>
      <c r="Z1012" s="63">
        <v>113</v>
      </c>
      <c r="AA1012" s="63">
        <v>84</v>
      </c>
      <c r="AB1012" s="63">
        <v>82</v>
      </c>
    </row>
    <row r="1013" spans="1:28" x14ac:dyDescent="0.2">
      <c r="A1013" s="62">
        <v>83</v>
      </c>
      <c r="B1013" s="62" t="s">
        <v>385</v>
      </c>
      <c r="C1013" s="62">
        <v>22</v>
      </c>
      <c r="D1013" s="62" t="s">
        <v>321</v>
      </c>
      <c r="E1013" s="63">
        <v>81</v>
      </c>
      <c r="F1013" s="63">
        <v>86</v>
      </c>
      <c r="G1013" s="63">
        <v>92</v>
      </c>
      <c r="H1013" s="63">
        <v>87</v>
      </c>
      <c r="I1013" s="63">
        <v>89</v>
      </c>
      <c r="J1013" s="63">
        <v>91</v>
      </c>
      <c r="K1013" s="63">
        <v>95</v>
      </c>
      <c r="L1013" s="63">
        <v>104</v>
      </c>
      <c r="M1013" s="63">
        <v>103</v>
      </c>
      <c r="N1013" s="63">
        <v>100</v>
      </c>
      <c r="O1013" s="63">
        <v>110</v>
      </c>
      <c r="P1013" s="63">
        <v>100</v>
      </c>
      <c r="Q1013" s="63">
        <v>94</v>
      </c>
      <c r="R1013" s="63">
        <v>88</v>
      </c>
      <c r="S1013" s="63">
        <v>89</v>
      </c>
      <c r="T1013" s="63">
        <v>88</v>
      </c>
      <c r="U1013" s="63">
        <v>85</v>
      </c>
      <c r="V1013" s="63">
        <v>82</v>
      </c>
      <c r="W1013" s="63">
        <v>82</v>
      </c>
      <c r="X1013" s="63">
        <v>86</v>
      </c>
      <c r="Y1013" s="63">
        <v>80</v>
      </c>
      <c r="Z1013" s="63">
        <v>84</v>
      </c>
      <c r="AA1013" s="63">
        <v>85</v>
      </c>
      <c r="AB1013" s="63">
        <v>88</v>
      </c>
    </row>
    <row r="1014" spans="1:28" x14ac:dyDescent="0.2">
      <c r="A1014" s="62">
        <v>83</v>
      </c>
      <c r="B1014" s="62" t="s">
        <v>385</v>
      </c>
      <c r="C1014" s="62">
        <v>23</v>
      </c>
      <c r="D1014" s="62" t="s">
        <v>322</v>
      </c>
      <c r="E1014" s="63">
        <v>1049</v>
      </c>
      <c r="F1014" s="63">
        <v>1097</v>
      </c>
      <c r="G1014" s="63">
        <v>1112</v>
      </c>
      <c r="H1014" s="63">
        <v>1072</v>
      </c>
      <c r="I1014" s="63">
        <v>1178</v>
      </c>
      <c r="J1014" s="63">
        <v>1187</v>
      </c>
      <c r="K1014" s="63">
        <v>1180</v>
      </c>
      <c r="L1014" s="63">
        <v>1113</v>
      </c>
      <c r="M1014" s="63">
        <v>936</v>
      </c>
      <c r="N1014" s="63">
        <v>838</v>
      </c>
      <c r="O1014" s="63">
        <v>792</v>
      </c>
      <c r="P1014" s="63">
        <v>747</v>
      </c>
      <c r="Q1014" s="63">
        <v>803</v>
      </c>
      <c r="R1014" s="63">
        <v>1083</v>
      </c>
      <c r="S1014" s="63">
        <v>731</v>
      </c>
      <c r="T1014" s="63">
        <v>672</v>
      </c>
      <c r="U1014" s="63">
        <v>708</v>
      </c>
      <c r="V1014" s="63">
        <v>760</v>
      </c>
      <c r="W1014" s="63">
        <v>766</v>
      </c>
      <c r="X1014" s="63">
        <v>771</v>
      </c>
      <c r="Y1014" s="63">
        <v>830</v>
      </c>
      <c r="Z1014" s="63">
        <v>878</v>
      </c>
      <c r="AA1014" s="63">
        <v>905</v>
      </c>
      <c r="AB1014" s="63">
        <v>972</v>
      </c>
    </row>
    <row r="1015" spans="1:28" x14ac:dyDescent="0.2">
      <c r="A1015" s="62">
        <v>83</v>
      </c>
      <c r="B1015" s="62" t="s">
        <v>385</v>
      </c>
      <c r="C1015" s="62">
        <v>3</v>
      </c>
      <c r="D1015" s="62" t="s">
        <v>323</v>
      </c>
      <c r="E1015" s="63">
        <v>2266</v>
      </c>
      <c r="F1015" s="63">
        <v>2309</v>
      </c>
      <c r="G1015" s="63">
        <v>2412</v>
      </c>
      <c r="H1015" s="63">
        <v>2510</v>
      </c>
      <c r="I1015" s="63">
        <v>2680</v>
      </c>
      <c r="J1015" s="63">
        <v>2719</v>
      </c>
      <c r="K1015" s="63">
        <v>2627</v>
      </c>
      <c r="L1015" s="63">
        <v>2446</v>
      </c>
      <c r="M1015" s="63">
        <v>2524</v>
      </c>
      <c r="N1015" s="63">
        <v>2454</v>
      </c>
      <c r="O1015" s="63">
        <v>2345</v>
      </c>
      <c r="P1015" s="63">
        <v>2209</v>
      </c>
      <c r="Q1015" s="63">
        <v>2257</v>
      </c>
      <c r="R1015" s="63">
        <v>2239</v>
      </c>
      <c r="S1015" s="63">
        <v>2212</v>
      </c>
      <c r="T1015" s="63">
        <v>2261</v>
      </c>
      <c r="U1015" s="63">
        <v>2233</v>
      </c>
      <c r="V1015" s="63">
        <v>2192</v>
      </c>
      <c r="W1015" s="63">
        <v>2143</v>
      </c>
      <c r="X1015" s="63">
        <v>2038</v>
      </c>
      <c r="Y1015" s="63">
        <v>2070</v>
      </c>
      <c r="Z1015" s="63">
        <v>2140</v>
      </c>
      <c r="AA1015" s="63">
        <v>2253</v>
      </c>
      <c r="AB1015" s="63">
        <v>2228</v>
      </c>
    </row>
    <row r="1016" spans="1:28" x14ac:dyDescent="0.2">
      <c r="A1016" s="62">
        <v>83</v>
      </c>
      <c r="B1016" s="62" t="s">
        <v>385</v>
      </c>
      <c r="C1016" s="62" t="s">
        <v>324</v>
      </c>
      <c r="D1016" s="62" t="s">
        <v>325</v>
      </c>
      <c r="E1016" s="63">
        <v>519</v>
      </c>
      <c r="F1016" s="63">
        <v>532</v>
      </c>
      <c r="G1016" s="63">
        <v>464</v>
      </c>
      <c r="H1016" s="63">
        <v>472</v>
      </c>
      <c r="I1016" s="63">
        <v>492</v>
      </c>
      <c r="J1016" s="63">
        <v>517</v>
      </c>
      <c r="K1016" s="63">
        <v>512</v>
      </c>
      <c r="L1016" s="63">
        <v>475</v>
      </c>
      <c r="M1016" s="63">
        <v>422</v>
      </c>
      <c r="N1016" s="63">
        <v>420</v>
      </c>
      <c r="O1016" s="63">
        <v>409</v>
      </c>
      <c r="P1016" s="63">
        <v>400</v>
      </c>
      <c r="Q1016" s="63">
        <v>398</v>
      </c>
      <c r="R1016" s="63">
        <v>394</v>
      </c>
      <c r="S1016" s="63">
        <v>377</v>
      </c>
      <c r="T1016" s="63">
        <v>406</v>
      </c>
      <c r="U1016" s="63">
        <v>451</v>
      </c>
      <c r="V1016" s="63">
        <v>434</v>
      </c>
      <c r="W1016" s="63">
        <v>455</v>
      </c>
      <c r="X1016" s="63">
        <v>411</v>
      </c>
      <c r="Y1016" s="63">
        <v>464</v>
      </c>
      <c r="Z1016" s="63">
        <v>464</v>
      </c>
      <c r="AA1016" s="63">
        <v>400</v>
      </c>
      <c r="AB1016" s="63">
        <v>370</v>
      </c>
    </row>
    <row r="1017" spans="1:28" x14ac:dyDescent="0.2">
      <c r="A1017" s="62">
        <v>83</v>
      </c>
      <c r="B1017" s="62" t="s">
        <v>385</v>
      </c>
      <c r="C1017" s="62">
        <v>42</v>
      </c>
      <c r="D1017" s="62" t="s">
        <v>326</v>
      </c>
      <c r="E1017" s="63">
        <v>219</v>
      </c>
      <c r="F1017" s="63">
        <v>214</v>
      </c>
      <c r="G1017" s="63">
        <v>202</v>
      </c>
      <c r="H1017" s="63">
        <v>212</v>
      </c>
      <c r="I1017" s="63">
        <v>198</v>
      </c>
      <c r="J1017" s="63">
        <v>202</v>
      </c>
      <c r="K1017" s="63">
        <v>209</v>
      </c>
      <c r="L1017" s="63">
        <v>208</v>
      </c>
      <c r="M1017" s="63">
        <v>207</v>
      </c>
      <c r="N1017" s="63">
        <v>231</v>
      </c>
      <c r="O1017" s="63">
        <v>230</v>
      </c>
      <c r="P1017" s="63">
        <v>230</v>
      </c>
      <c r="Q1017" s="63">
        <v>251</v>
      </c>
      <c r="R1017" s="63">
        <v>272</v>
      </c>
      <c r="S1017" s="63">
        <v>271</v>
      </c>
      <c r="T1017" s="63">
        <v>230</v>
      </c>
      <c r="U1017" s="63">
        <v>241</v>
      </c>
      <c r="V1017" s="63">
        <v>253</v>
      </c>
      <c r="W1017" s="63">
        <v>258</v>
      </c>
      <c r="X1017" s="63">
        <v>245</v>
      </c>
      <c r="Y1017" s="63">
        <v>248</v>
      </c>
      <c r="Z1017" s="63">
        <v>253</v>
      </c>
      <c r="AA1017" s="63">
        <v>257</v>
      </c>
      <c r="AB1017" s="63">
        <v>283</v>
      </c>
    </row>
    <row r="1018" spans="1:28" x14ac:dyDescent="0.2">
      <c r="A1018" s="62">
        <v>83</v>
      </c>
      <c r="B1018" s="62" t="s">
        <v>385</v>
      </c>
      <c r="C1018" s="62" t="s">
        <v>327</v>
      </c>
      <c r="D1018" s="62" t="s">
        <v>328</v>
      </c>
      <c r="E1018" s="63">
        <v>1640</v>
      </c>
      <c r="F1018" s="63">
        <v>1563</v>
      </c>
      <c r="G1018" s="63">
        <v>1581</v>
      </c>
      <c r="H1018" s="63">
        <v>1555</v>
      </c>
      <c r="I1018" s="63">
        <v>1524</v>
      </c>
      <c r="J1018" s="63">
        <v>1526</v>
      </c>
      <c r="K1018" s="63">
        <v>1546</v>
      </c>
      <c r="L1018" s="63">
        <v>1488</v>
      </c>
      <c r="M1018" s="63">
        <v>1423</v>
      </c>
      <c r="N1018" s="63">
        <v>1355</v>
      </c>
      <c r="O1018" s="63">
        <v>1457</v>
      </c>
      <c r="P1018" s="63">
        <v>1446</v>
      </c>
      <c r="Q1018" s="63">
        <v>1455</v>
      </c>
      <c r="R1018" s="63">
        <v>1501</v>
      </c>
      <c r="S1018" s="63">
        <v>1503</v>
      </c>
      <c r="T1018" s="63">
        <v>1571</v>
      </c>
      <c r="U1018" s="63">
        <v>1546</v>
      </c>
      <c r="V1018" s="63">
        <v>1585</v>
      </c>
      <c r="W1018" s="63">
        <v>1591</v>
      </c>
      <c r="X1018" s="63">
        <v>1602</v>
      </c>
      <c r="Y1018" s="63">
        <v>1650</v>
      </c>
      <c r="Z1018" s="63">
        <v>1616</v>
      </c>
      <c r="AA1018" s="63">
        <v>1620</v>
      </c>
      <c r="AB1018" s="63">
        <v>1693</v>
      </c>
    </row>
    <row r="1019" spans="1:28" x14ac:dyDescent="0.2">
      <c r="A1019" s="62">
        <v>83</v>
      </c>
      <c r="B1019" s="62" t="s">
        <v>385</v>
      </c>
      <c r="C1019" s="62" t="s">
        <v>329</v>
      </c>
      <c r="D1019" s="62" t="s">
        <v>330</v>
      </c>
      <c r="E1019" s="63">
        <v>219</v>
      </c>
      <c r="F1019" s="63">
        <v>232</v>
      </c>
      <c r="G1019" s="63">
        <v>232</v>
      </c>
      <c r="H1019" s="63">
        <v>229</v>
      </c>
      <c r="I1019" s="63">
        <v>256</v>
      </c>
      <c r="J1019" s="63">
        <v>239</v>
      </c>
      <c r="K1019" s="63">
        <v>236</v>
      </c>
      <c r="L1019" s="63">
        <v>214</v>
      </c>
      <c r="M1019" s="63">
        <v>218</v>
      </c>
      <c r="N1019" s="63">
        <v>227</v>
      </c>
      <c r="O1019" s="63">
        <v>216</v>
      </c>
      <c r="P1019" s="63">
        <v>216</v>
      </c>
      <c r="Q1019" s="63">
        <v>225</v>
      </c>
      <c r="R1019" s="63">
        <v>252</v>
      </c>
      <c r="S1019" s="63">
        <v>259</v>
      </c>
      <c r="T1019" s="63">
        <v>258</v>
      </c>
      <c r="U1019" s="63">
        <v>236</v>
      </c>
      <c r="V1019" s="63">
        <v>311</v>
      </c>
      <c r="W1019" s="63">
        <v>323</v>
      </c>
      <c r="X1019" s="63">
        <v>339</v>
      </c>
      <c r="Y1019" s="63">
        <v>313</v>
      </c>
      <c r="Z1019" s="63">
        <v>305</v>
      </c>
      <c r="AA1019" s="63">
        <v>296</v>
      </c>
      <c r="AB1019" s="63">
        <v>296</v>
      </c>
    </row>
    <row r="1020" spans="1:28" x14ac:dyDescent="0.2">
      <c r="A1020" s="62">
        <v>83</v>
      </c>
      <c r="B1020" s="62" t="s">
        <v>385</v>
      </c>
      <c r="C1020" s="62">
        <v>51</v>
      </c>
      <c r="D1020" s="62" t="s">
        <v>331</v>
      </c>
      <c r="E1020" s="63">
        <v>121</v>
      </c>
      <c r="F1020" s="63">
        <v>105</v>
      </c>
      <c r="G1020" s="63">
        <v>116</v>
      </c>
      <c r="H1020" s="63">
        <v>119</v>
      </c>
      <c r="I1020" s="63">
        <v>125</v>
      </c>
      <c r="J1020" s="63">
        <v>121</v>
      </c>
      <c r="K1020" s="63">
        <v>126</v>
      </c>
      <c r="L1020" s="63">
        <v>117</v>
      </c>
      <c r="M1020" s="63">
        <v>113</v>
      </c>
      <c r="N1020" s="63">
        <v>107</v>
      </c>
      <c r="O1020" s="63">
        <v>97</v>
      </c>
      <c r="P1020" s="63">
        <v>114</v>
      </c>
      <c r="Q1020" s="63">
        <v>92</v>
      </c>
      <c r="R1020" s="63">
        <v>107</v>
      </c>
      <c r="S1020" s="63">
        <v>71</v>
      </c>
      <c r="T1020" s="63">
        <v>63</v>
      </c>
      <c r="U1020" s="63">
        <v>63</v>
      </c>
      <c r="V1020" s="63">
        <v>84</v>
      </c>
      <c r="W1020" s="63">
        <v>80</v>
      </c>
      <c r="X1020" s="63">
        <v>78</v>
      </c>
      <c r="Y1020" s="63">
        <v>94</v>
      </c>
      <c r="Z1020" s="63">
        <v>69</v>
      </c>
      <c r="AA1020" s="63">
        <v>71</v>
      </c>
      <c r="AB1020" s="63">
        <v>82</v>
      </c>
    </row>
    <row r="1021" spans="1:28" x14ac:dyDescent="0.2">
      <c r="A1021" s="62">
        <v>83</v>
      </c>
      <c r="B1021" s="62" t="s">
        <v>385</v>
      </c>
      <c r="C1021" s="62">
        <v>52</v>
      </c>
      <c r="D1021" s="62" t="s">
        <v>332</v>
      </c>
      <c r="E1021" s="63">
        <v>272</v>
      </c>
      <c r="F1021" s="63">
        <v>284</v>
      </c>
      <c r="G1021" s="63">
        <v>289</v>
      </c>
      <c r="H1021" s="63">
        <v>292</v>
      </c>
      <c r="I1021" s="63">
        <v>299</v>
      </c>
      <c r="J1021" s="63">
        <v>280</v>
      </c>
      <c r="K1021" s="63">
        <v>277</v>
      </c>
      <c r="L1021" s="63">
        <v>269</v>
      </c>
      <c r="M1021" s="63">
        <v>266</v>
      </c>
      <c r="N1021" s="63">
        <v>233</v>
      </c>
      <c r="O1021" s="63">
        <v>227</v>
      </c>
      <c r="P1021" s="63">
        <v>219</v>
      </c>
      <c r="Q1021" s="63">
        <v>219</v>
      </c>
      <c r="R1021" s="63">
        <v>221</v>
      </c>
      <c r="S1021" s="63">
        <v>218</v>
      </c>
      <c r="T1021" s="63">
        <v>231</v>
      </c>
      <c r="U1021" s="63">
        <v>226</v>
      </c>
      <c r="V1021" s="63">
        <v>228</v>
      </c>
      <c r="W1021" s="63">
        <v>216</v>
      </c>
      <c r="X1021" s="63">
        <v>222</v>
      </c>
      <c r="Y1021" s="63">
        <v>205</v>
      </c>
      <c r="Z1021" s="63">
        <v>196</v>
      </c>
      <c r="AA1021" s="63">
        <v>202</v>
      </c>
      <c r="AB1021" s="63">
        <v>200</v>
      </c>
    </row>
    <row r="1022" spans="1:28" x14ac:dyDescent="0.2">
      <c r="A1022" s="62">
        <v>83</v>
      </c>
      <c r="B1022" s="62" t="s">
        <v>385</v>
      </c>
      <c r="C1022" s="62">
        <v>53</v>
      </c>
      <c r="D1022" s="62" t="s">
        <v>333</v>
      </c>
      <c r="E1022" s="63">
        <v>245</v>
      </c>
      <c r="F1022" s="63">
        <v>234</v>
      </c>
      <c r="G1022" s="63">
        <v>267</v>
      </c>
      <c r="H1022" s="63">
        <v>288</v>
      </c>
      <c r="I1022" s="63">
        <v>331</v>
      </c>
      <c r="J1022" s="63">
        <v>361</v>
      </c>
      <c r="K1022" s="63">
        <v>360</v>
      </c>
      <c r="L1022" s="63">
        <v>349</v>
      </c>
      <c r="M1022" s="63">
        <v>360</v>
      </c>
      <c r="N1022" s="63">
        <v>323</v>
      </c>
      <c r="O1022" s="63">
        <v>334</v>
      </c>
      <c r="P1022" s="63">
        <v>337</v>
      </c>
      <c r="Q1022" s="63">
        <v>317</v>
      </c>
      <c r="R1022" s="63">
        <v>317</v>
      </c>
      <c r="S1022" s="63">
        <v>321</v>
      </c>
      <c r="T1022" s="63">
        <v>324</v>
      </c>
      <c r="U1022" s="63">
        <v>353</v>
      </c>
      <c r="V1022" s="63">
        <v>354</v>
      </c>
      <c r="W1022" s="63">
        <v>361</v>
      </c>
      <c r="X1022" s="63">
        <v>345</v>
      </c>
      <c r="Y1022" s="63">
        <v>361</v>
      </c>
      <c r="Z1022" s="63">
        <v>387</v>
      </c>
      <c r="AA1022" s="63">
        <v>335</v>
      </c>
      <c r="AB1022" s="63">
        <v>326</v>
      </c>
    </row>
    <row r="1023" spans="1:28" x14ac:dyDescent="0.2">
      <c r="A1023" s="62">
        <v>83</v>
      </c>
      <c r="B1023" s="62" t="s">
        <v>385</v>
      </c>
      <c r="C1023" s="62">
        <v>54</v>
      </c>
      <c r="D1023" s="62" t="s">
        <v>334</v>
      </c>
      <c r="E1023" s="63">
        <v>474</v>
      </c>
      <c r="F1023" s="63">
        <v>485</v>
      </c>
      <c r="G1023" s="63">
        <v>465</v>
      </c>
      <c r="H1023" s="63">
        <v>456</v>
      </c>
      <c r="I1023" s="63">
        <v>490</v>
      </c>
      <c r="J1023" s="63">
        <v>513</v>
      </c>
      <c r="K1023" s="63">
        <v>540</v>
      </c>
      <c r="L1023" s="63">
        <v>561</v>
      </c>
      <c r="M1023" s="63">
        <v>532</v>
      </c>
      <c r="N1023" s="63">
        <v>533</v>
      </c>
      <c r="O1023" s="63">
        <v>460</v>
      </c>
      <c r="P1023" s="63">
        <v>438</v>
      </c>
      <c r="Q1023" s="63">
        <v>459</v>
      </c>
      <c r="R1023" s="63">
        <v>488</v>
      </c>
      <c r="S1023" s="63">
        <v>472</v>
      </c>
      <c r="T1023" s="63">
        <v>473</v>
      </c>
      <c r="U1023" s="63">
        <v>451</v>
      </c>
      <c r="V1023" s="63">
        <v>506</v>
      </c>
      <c r="W1023" s="63">
        <v>511</v>
      </c>
      <c r="X1023" s="63">
        <v>519</v>
      </c>
      <c r="Y1023" s="63">
        <v>537</v>
      </c>
      <c r="Z1023" s="63">
        <v>581</v>
      </c>
      <c r="AA1023" s="63">
        <v>598</v>
      </c>
      <c r="AB1023" s="63">
        <v>688</v>
      </c>
    </row>
    <row r="1024" spans="1:28" x14ac:dyDescent="0.2">
      <c r="A1024" s="62">
        <v>83</v>
      </c>
      <c r="B1024" s="62" t="s">
        <v>385</v>
      </c>
      <c r="C1024" s="62">
        <v>55</v>
      </c>
      <c r="D1024" s="64" t="s">
        <v>335</v>
      </c>
      <c r="E1024" s="65"/>
      <c r="F1024" s="65"/>
      <c r="G1024" s="65"/>
      <c r="H1024" s="62"/>
      <c r="I1024" s="62"/>
      <c r="J1024" s="63">
        <v>18</v>
      </c>
      <c r="K1024" s="62"/>
      <c r="L1024" s="63">
        <v>16</v>
      </c>
      <c r="M1024" s="63">
        <v>13</v>
      </c>
      <c r="N1024" s="63">
        <v>9</v>
      </c>
      <c r="O1024" s="63">
        <v>31</v>
      </c>
      <c r="P1024" s="63">
        <v>36</v>
      </c>
      <c r="Q1024" s="62"/>
      <c r="R1024" s="63">
        <v>51</v>
      </c>
      <c r="S1024" s="63">
        <v>44</v>
      </c>
      <c r="T1024" s="63">
        <v>38</v>
      </c>
      <c r="U1024" s="63">
        <v>51</v>
      </c>
      <c r="V1024" s="63">
        <v>49</v>
      </c>
      <c r="W1024" s="63">
        <v>56</v>
      </c>
      <c r="X1024" s="63">
        <v>46</v>
      </c>
      <c r="Y1024" s="62"/>
      <c r="Z1024" s="63">
        <v>51</v>
      </c>
      <c r="AA1024" s="63">
        <v>44</v>
      </c>
      <c r="AB1024" s="63">
        <v>45</v>
      </c>
    </row>
    <row r="1025" spans="1:28" x14ac:dyDescent="0.2">
      <c r="A1025" s="62">
        <v>83</v>
      </c>
      <c r="B1025" s="62" t="s">
        <v>385</v>
      </c>
      <c r="C1025" s="62">
        <v>56</v>
      </c>
      <c r="D1025" s="62" t="s">
        <v>336</v>
      </c>
      <c r="E1025" s="63">
        <v>226</v>
      </c>
      <c r="F1025" s="63">
        <v>238</v>
      </c>
      <c r="G1025" s="63">
        <v>193</v>
      </c>
      <c r="H1025" s="63">
        <v>218</v>
      </c>
      <c r="I1025" s="63">
        <v>249</v>
      </c>
      <c r="J1025" s="63">
        <v>278</v>
      </c>
      <c r="K1025" s="63">
        <v>338</v>
      </c>
      <c r="L1025" s="63">
        <v>297</v>
      </c>
      <c r="M1025" s="63">
        <v>283</v>
      </c>
      <c r="N1025" s="63">
        <v>277</v>
      </c>
      <c r="O1025" s="63">
        <v>289</v>
      </c>
      <c r="P1025" s="63">
        <v>315</v>
      </c>
      <c r="Q1025" s="63">
        <v>328</v>
      </c>
      <c r="R1025" s="63">
        <v>332</v>
      </c>
      <c r="S1025" s="63">
        <v>313</v>
      </c>
      <c r="T1025" s="63">
        <v>306</v>
      </c>
      <c r="U1025" s="63">
        <v>238</v>
      </c>
      <c r="V1025" s="63">
        <v>273</v>
      </c>
      <c r="W1025" s="63">
        <v>283</v>
      </c>
      <c r="X1025" s="63">
        <v>312</v>
      </c>
      <c r="Y1025" s="63">
        <v>358</v>
      </c>
      <c r="Z1025" s="63">
        <v>378</v>
      </c>
      <c r="AA1025" s="63">
        <v>366</v>
      </c>
      <c r="AB1025" s="63">
        <v>368</v>
      </c>
    </row>
    <row r="1026" spans="1:28" x14ac:dyDescent="0.2">
      <c r="A1026" s="62">
        <v>83</v>
      </c>
      <c r="B1026" s="62" t="s">
        <v>385</v>
      </c>
      <c r="C1026" s="62">
        <v>61</v>
      </c>
      <c r="D1026" s="64" t="s">
        <v>337</v>
      </c>
      <c r="E1026" s="65"/>
      <c r="F1026" s="62"/>
      <c r="G1026" s="63">
        <v>42</v>
      </c>
      <c r="H1026" s="63">
        <v>40</v>
      </c>
      <c r="I1026" s="62"/>
      <c r="J1026" s="63">
        <v>54</v>
      </c>
      <c r="K1026" s="62"/>
      <c r="L1026" s="63">
        <v>53</v>
      </c>
      <c r="M1026" s="63">
        <v>52</v>
      </c>
      <c r="N1026" s="63">
        <v>47</v>
      </c>
      <c r="O1026" s="63">
        <v>110</v>
      </c>
      <c r="P1026" s="63">
        <v>115</v>
      </c>
      <c r="Q1026" s="63">
        <v>115</v>
      </c>
      <c r="R1026" s="63">
        <v>129</v>
      </c>
      <c r="S1026" s="63">
        <v>154</v>
      </c>
      <c r="T1026" s="63">
        <v>191</v>
      </c>
      <c r="U1026" s="63">
        <v>176</v>
      </c>
      <c r="V1026" s="63">
        <v>193</v>
      </c>
      <c r="W1026" s="63">
        <v>191</v>
      </c>
      <c r="X1026" s="63">
        <v>151</v>
      </c>
      <c r="Y1026" s="63">
        <v>160</v>
      </c>
      <c r="Z1026" s="63">
        <v>158</v>
      </c>
      <c r="AA1026" s="63">
        <v>133</v>
      </c>
      <c r="AB1026" s="63">
        <v>151</v>
      </c>
    </row>
    <row r="1027" spans="1:28" x14ac:dyDescent="0.2">
      <c r="A1027" s="62">
        <v>83</v>
      </c>
      <c r="B1027" s="62" t="s">
        <v>385</v>
      </c>
      <c r="C1027" s="62">
        <v>62</v>
      </c>
      <c r="D1027" s="62" t="s">
        <v>338</v>
      </c>
      <c r="E1027" s="63">
        <v>1077</v>
      </c>
      <c r="F1027" s="63">
        <v>1109</v>
      </c>
      <c r="G1027" s="63">
        <v>1139</v>
      </c>
      <c r="H1027" s="63">
        <v>1154</v>
      </c>
      <c r="I1027" s="63">
        <v>1154</v>
      </c>
      <c r="J1027" s="63">
        <v>1225</v>
      </c>
      <c r="K1027" s="63">
        <v>1296</v>
      </c>
      <c r="L1027" s="63">
        <v>1292</v>
      </c>
      <c r="M1027" s="63">
        <v>1377</v>
      </c>
      <c r="N1027" s="63">
        <v>1485</v>
      </c>
      <c r="O1027" s="63">
        <v>1534</v>
      </c>
      <c r="P1027" s="63">
        <v>1685</v>
      </c>
      <c r="Q1027" s="63">
        <v>1614</v>
      </c>
      <c r="R1027" s="63">
        <v>1554</v>
      </c>
      <c r="S1027" s="63">
        <v>1559</v>
      </c>
      <c r="T1027" s="63">
        <v>1627</v>
      </c>
      <c r="U1027" s="63">
        <v>1684</v>
      </c>
      <c r="V1027" s="63">
        <v>1767</v>
      </c>
      <c r="W1027" s="63">
        <v>1694</v>
      </c>
      <c r="X1027" s="63">
        <v>1663</v>
      </c>
      <c r="Y1027" s="63">
        <v>1678</v>
      </c>
      <c r="Z1027" s="63">
        <v>1706</v>
      </c>
      <c r="AA1027" s="63">
        <v>1756</v>
      </c>
      <c r="AB1027" s="63">
        <v>1748</v>
      </c>
    </row>
    <row r="1028" spans="1:28" x14ac:dyDescent="0.2">
      <c r="A1028" s="62">
        <v>83</v>
      </c>
      <c r="B1028" s="62" t="s">
        <v>385</v>
      </c>
      <c r="C1028" s="62">
        <v>71</v>
      </c>
      <c r="D1028" s="62" t="s">
        <v>339</v>
      </c>
      <c r="E1028" s="63">
        <v>128</v>
      </c>
      <c r="F1028" s="63">
        <v>122</v>
      </c>
      <c r="G1028" s="63">
        <v>124</v>
      </c>
      <c r="H1028" s="63">
        <v>124</v>
      </c>
      <c r="I1028" s="63">
        <v>119</v>
      </c>
      <c r="J1028" s="63">
        <v>126</v>
      </c>
      <c r="K1028" s="63">
        <v>141</v>
      </c>
      <c r="L1028" s="63">
        <v>135</v>
      </c>
      <c r="M1028" s="63">
        <v>138</v>
      </c>
      <c r="N1028" s="63">
        <v>140</v>
      </c>
      <c r="O1028" s="63">
        <v>136</v>
      </c>
      <c r="P1028" s="63">
        <v>145</v>
      </c>
      <c r="Q1028" s="63">
        <v>123</v>
      </c>
      <c r="R1028" s="63">
        <v>124</v>
      </c>
      <c r="S1028" s="63">
        <v>133</v>
      </c>
      <c r="T1028" s="63">
        <v>137</v>
      </c>
      <c r="U1028" s="63">
        <v>152</v>
      </c>
      <c r="V1028" s="63">
        <v>148</v>
      </c>
      <c r="W1028" s="63">
        <v>166</v>
      </c>
      <c r="X1028" s="63">
        <v>124</v>
      </c>
      <c r="Y1028" s="63">
        <v>155</v>
      </c>
      <c r="Z1028" s="63">
        <v>178</v>
      </c>
      <c r="AA1028" s="63">
        <v>195</v>
      </c>
      <c r="AB1028" s="63">
        <v>204</v>
      </c>
    </row>
    <row r="1029" spans="1:28" x14ac:dyDescent="0.2">
      <c r="A1029" s="62">
        <v>83</v>
      </c>
      <c r="B1029" s="62" t="s">
        <v>385</v>
      </c>
      <c r="C1029" s="62">
        <v>72</v>
      </c>
      <c r="D1029" s="62" t="s">
        <v>340</v>
      </c>
      <c r="E1029" s="63">
        <v>1175</v>
      </c>
      <c r="F1029" s="63">
        <v>1133</v>
      </c>
      <c r="G1029" s="63">
        <v>1103</v>
      </c>
      <c r="H1029" s="63">
        <v>1145</v>
      </c>
      <c r="I1029" s="63">
        <v>1072</v>
      </c>
      <c r="J1029" s="63">
        <v>1067</v>
      </c>
      <c r="K1029" s="63">
        <v>1051</v>
      </c>
      <c r="L1029" s="63">
        <v>986</v>
      </c>
      <c r="M1029" s="63">
        <v>932</v>
      </c>
      <c r="N1029" s="63">
        <v>908</v>
      </c>
      <c r="O1029" s="63">
        <v>945</v>
      </c>
      <c r="P1029" s="63">
        <v>959</v>
      </c>
      <c r="Q1029" s="63">
        <v>1022</v>
      </c>
      <c r="R1029" s="63">
        <v>1056</v>
      </c>
      <c r="S1029" s="63">
        <v>1067</v>
      </c>
      <c r="T1029" s="63">
        <v>1100</v>
      </c>
      <c r="U1029" s="63">
        <v>1123</v>
      </c>
      <c r="V1029" s="63">
        <v>1129</v>
      </c>
      <c r="W1029" s="63">
        <v>1101</v>
      </c>
      <c r="X1029" s="63">
        <v>927</v>
      </c>
      <c r="Y1029" s="63">
        <v>1079</v>
      </c>
      <c r="Z1029" s="63">
        <v>1135</v>
      </c>
      <c r="AA1029" s="63">
        <v>1092</v>
      </c>
      <c r="AB1029" s="63">
        <v>1074</v>
      </c>
    </row>
    <row r="1030" spans="1:28" x14ac:dyDescent="0.2">
      <c r="A1030" s="62">
        <v>83</v>
      </c>
      <c r="B1030" s="62" t="s">
        <v>385</v>
      </c>
      <c r="C1030" s="62">
        <v>81</v>
      </c>
      <c r="D1030" s="62" t="s">
        <v>341</v>
      </c>
      <c r="E1030" s="63">
        <v>464</v>
      </c>
      <c r="F1030" s="63">
        <v>485</v>
      </c>
      <c r="G1030" s="63">
        <v>489</v>
      </c>
      <c r="H1030" s="63">
        <v>483</v>
      </c>
      <c r="I1030" s="63">
        <v>509</v>
      </c>
      <c r="J1030" s="63">
        <v>481</v>
      </c>
      <c r="K1030" s="63">
        <v>470</v>
      </c>
      <c r="L1030" s="63">
        <v>489</v>
      </c>
      <c r="M1030" s="63">
        <v>463</v>
      </c>
      <c r="N1030" s="63">
        <v>470</v>
      </c>
      <c r="O1030" s="63">
        <v>462</v>
      </c>
      <c r="P1030" s="63">
        <v>462</v>
      </c>
      <c r="Q1030" s="63">
        <v>511</v>
      </c>
      <c r="R1030" s="63">
        <v>526</v>
      </c>
      <c r="S1030" s="63">
        <v>555</v>
      </c>
      <c r="T1030" s="63">
        <v>575</v>
      </c>
      <c r="U1030" s="63">
        <v>657</v>
      </c>
      <c r="V1030" s="63">
        <v>543</v>
      </c>
      <c r="W1030" s="63">
        <v>589</v>
      </c>
      <c r="X1030" s="63">
        <v>567</v>
      </c>
      <c r="Y1030" s="63">
        <v>601</v>
      </c>
      <c r="Z1030" s="63">
        <v>624</v>
      </c>
      <c r="AA1030" s="63">
        <v>614</v>
      </c>
      <c r="AB1030" s="63">
        <v>636</v>
      </c>
    </row>
    <row r="1031" spans="1:28" x14ac:dyDescent="0.2">
      <c r="A1031" s="62">
        <v>83</v>
      </c>
      <c r="B1031" s="62" t="s">
        <v>385</v>
      </c>
      <c r="C1031" s="62">
        <v>99</v>
      </c>
      <c r="D1031" s="62" t="s">
        <v>342</v>
      </c>
      <c r="E1031" s="62"/>
      <c r="F1031" s="62"/>
      <c r="G1031" s="62"/>
      <c r="H1031" s="62"/>
      <c r="I1031" s="62"/>
      <c r="J1031" s="62"/>
      <c r="K1031" s="62"/>
      <c r="L1031" s="63">
        <v>0</v>
      </c>
      <c r="M1031" s="62"/>
      <c r="N1031" s="62"/>
      <c r="O1031" s="62"/>
      <c r="P1031" s="63">
        <v>0</v>
      </c>
      <c r="Q1031" s="62"/>
      <c r="R1031" s="63">
        <v>1</v>
      </c>
      <c r="S1031" s="63">
        <v>0</v>
      </c>
      <c r="T1031" s="62"/>
      <c r="U1031" s="62"/>
      <c r="V1031" s="62"/>
      <c r="W1031" s="62"/>
      <c r="X1031" s="63">
        <v>0</v>
      </c>
      <c r="Y1031" s="62"/>
      <c r="Z1031" s="63">
        <v>0</v>
      </c>
      <c r="AA1031" s="63">
        <v>0</v>
      </c>
      <c r="AB1031" s="63">
        <v>0</v>
      </c>
    </row>
    <row r="1032" spans="1:28" x14ac:dyDescent="0.2">
      <c r="A1032" s="62">
        <v>85</v>
      </c>
      <c r="B1032" s="62" t="s">
        <v>386</v>
      </c>
      <c r="C1032" s="62">
        <v>1</v>
      </c>
      <c r="D1032" s="62" t="s">
        <v>316</v>
      </c>
      <c r="E1032" s="63">
        <v>302</v>
      </c>
      <c r="F1032" s="63">
        <v>313</v>
      </c>
      <c r="G1032" s="63">
        <v>320</v>
      </c>
      <c r="H1032" s="63">
        <v>317</v>
      </c>
      <c r="I1032" s="63">
        <v>307</v>
      </c>
      <c r="J1032" s="63">
        <v>298</v>
      </c>
      <c r="K1032" s="63">
        <v>294</v>
      </c>
      <c r="L1032" s="63">
        <v>300</v>
      </c>
      <c r="M1032" s="63">
        <v>317</v>
      </c>
      <c r="N1032" s="63">
        <v>345</v>
      </c>
      <c r="O1032" s="63">
        <v>320</v>
      </c>
      <c r="P1032" s="63">
        <v>319</v>
      </c>
      <c r="Q1032" s="63">
        <v>311</v>
      </c>
      <c r="R1032" s="63">
        <v>299</v>
      </c>
      <c r="S1032" s="63">
        <v>301</v>
      </c>
      <c r="T1032" s="63">
        <v>310</v>
      </c>
      <c r="U1032" s="63">
        <v>307</v>
      </c>
      <c r="V1032" s="63">
        <v>302</v>
      </c>
      <c r="W1032" s="63">
        <v>304</v>
      </c>
      <c r="X1032" s="63">
        <v>326</v>
      </c>
      <c r="Y1032" s="63">
        <v>315</v>
      </c>
      <c r="Z1032" s="63">
        <v>314</v>
      </c>
      <c r="AA1032" s="63">
        <v>346</v>
      </c>
      <c r="AB1032" s="63">
        <v>352</v>
      </c>
    </row>
    <row r="1033" spans="1:28" x14ac:dyDescent="0.2">
      <c r="A1033" s="62">
        <v>85</v>
      </c>
      <c r="B1033" s="62" t="s">
        <v>386</v>
      </c>
      <c r="C1033" s="62">
        <v>10</v>
      </c>
      <c r="D1033" s="62" t="s">
        <v>317</v>
      </c>
      <c r="E1033" s="63">
        <v>16229</v>
      </c>
      <c r="F1033" s="63">
        <v>16318</v>
      </c>
      <c r="G1033" s="63">
        <v>16970</v>
      </c>
      <c r="H1033" s="63">
        <v>17663</v>
      </c>
      <c r="I1033" s="63">
        <v>18383</v>
      </c>
      <c r="J1033" s="63">
        <v>19043</v>
      </c>
      <c r="K1033" s="63">
        <v>19576</v>
      </c>
      <c r="L1033" s="63">
        <v>19309</v>
      </c>
      <c r="M1033" s="63">
        <v>18282</v>
      </c>
      <c r="N1033" s="63">
        <v>17607</v>
      </c>
      <c r="O1033" s="63">
        <v>17075</v>
      </c>
      <c r="P1033" s="63">
        <v>17058</v>
      </c>
      <c r="Q1033" s="63">
        <v>16983</v>
      </c>
      <c r="R1033" s="63">
        <v>17336</v>
      </c>
      <c r="S1033" s="63">
        <v>17684</v>
      </c>
      <c r="T1033" s="63">
        <v>18159</v>
      </c>
      <c r="U1033" s="63">
        <v>18629</v>
      </c>
      <c r="V1033" s="63">
        <v>19282</v>
      </c>
      <c r="W1033" s="63">
        <v>19643</v>
      </c>
      <c r="X1033" s="63">
        <v>19085</v>
      </c>
      <c r="Y1033" s="63">
        <v>19889</v>
      </c>
      <c r="Z1033" s="63">
        <v>20423</v>
      </c>
      <c r="AA1033" s="63">
        <v>21319</v>
      </c>
      <c r="AB1033" s="63">
        <v>21883</v>
      </c>
    </row>
    <row r="1034" spans="1:28" x14ac:dyDescent="0.2">
      <c r="A1034" s="62">
        <v>85</v>
      </c>
      <c r="B1034" s="62" t="s">
        <v>386</v>
      </c>
      <c r="C1034" s="62">
        <v>11</v>
      </c>
      <c r="D1034" s="62" t="s">
        <v>318</v>
      </c>
      <c r="E1034" s="63">
        <v>379</v>
      </c>
      <c r="F1034" s="63">
        <v>362</v>
      </c>
      <c r="G1034" s="63">
        <v>379</v>
      </c>
      <c r="H1034" s="63">
        <v>373</v>
      </c>
      <c r="I1034" s="63">
        <v>370</v>
      </c>
      <c r="J1034" s="63">
        <v>360</v>
      </c>
      <c r="K1034" s="63">
        <v>382</v>
      </c>
      <c r="L1034" s="63">
        <v>331</v>
      </c>
      <c r="M1034" s="63">
        <v>365</v>
      </c>
      <c r="N1034" s="63">
        <v>353</v>
      </c>
      <c r="O1034" s="63">
        <v>357</v>
      </c>
      <c r="P1034" s="63">
        <v>375</v>
      </c>
      <c r="Q1034" s="63">
        <v>346</v>
      </c>
      <c r="R1034" s="63">
        <v>367</v>
      </c>
      <c r="S1034" s="63">
        <v>340</v>
      </c>
      <c r="T1034" s="63">
        <v>351</v>
      </c>
      <c r="U1034" s="63">
        <v>356</v>
      </c>
      <c r="V1034" s="63">
        <v>370</v>
      </c>
      <c r="W1034" s="63">
        <v>404</v>
      </c>
      <c r="X1034" s="63">
        <v>380</v>
      </c>
      <c r="Y1034" s="63">
        <v>361</v>
      </c>
      <c r="Z1034" s="63">
        <v>349</v>
      </c>
      <c r="AA1034" s="63">
        <v>355</v>
      </c>
      <c r="AB1034" s="63">
        <v>380</v>
      </c>
    </row>
    <row r="1035" spans="1:28" x14ac:dyDescent="0.2">
      <c r="A1035" s="62">
        <v>85</v>
      </c>
      <c r="B1035" s="62" t="s">
        <v>386</v>
      </c>
      <c r="C1035" s="62">
        <v>2</v>
      </c>
      <c r="D1035" s="62" t="s">
        <v>319</v>
      </c>
      <c r="E1035" s="63">
        <v>210</v>
      </c>
      <c r="F1035" s="63">
        <v>215</v>
      </c>
      <c r="G1035" s="63">
        <v>214</v>
      </c>
      <c r="H1035" s="63">
        <v>229</v>
      </c>
      <c r="I1035" s="63">
        <v>219</v>
      </c>
      <c r="J1035" s="63">
        <v>209</v>
      </c>
      <c r="K1035" s="63">
        <v>208</v>
      </c>
      <c r="L1035" s="63">
        <v>214</v>
      </c>
      <c r="M1035" s="63">
        <v>210</v>
      </c>
      <c r="N1035" s="63">
        <v>220</v>
      </c>
      <c r="O1035" s="63">
        <v>224</v>
      </c>
      <c r="P1035" s="63">
        <v>219</v>
      </c>
      <c r="Q1035" s="63">
        <v>224</v>
      </c>
      <c r="R1035" s="63">
        <v>219</v>
      </c>
      <c r="S1035" s="63">
        <v>211</v>
      </c>
      <c r="T1035" s="63">
        <v>215</v>
      </c>
      <c r="U1035" s="63">
        <v>222</v>
      </c>
      <c r="V1035" s="63">
        <v>223</v>
      </c>
      <c r="W1035" s="63">
        <v>218</v>
      </c>
      <c r="X1035" s="63">
        <v>227</v>
      </c>
      <c r="Y1035" s="63">
        <v>228</v>
      </c>
      <c r="Z1035" s="63">
        <v>232</v>
      </c>
      <c r="AA1035" s="63">
        <v>231</v>
      </c>
      <c r="AB1035" s="63">
        <v>250</v>
      </c>
    </row>
    <row r="1036" spans="1:28" x14ac:dyDescent="0.2">
      <c r="A1036" s="62">
        <v>85</v>
      </c>
      <c r="B1036" s="62" t="s">
        <v>386</v>
      </c>
      <c r="C1036" s="62">
        <v>21</v>
      </c>
      <c r="D1036" s="62" t="s">
        <v>320</v>
      </c>
      <c r="E1036" s="63">
        <v>89</v>
      </c>
      <c r="F1036" s="63">
        <v>81</v>
      </c>
      <c r="G1036" s="63">
        <v>89</v>
      </c>
      <c r="H1036" s="63">
        <v>109</v>
      </c>
      <c r="I1036" s="63">
        <v>160</v>
      </c>
      <c r="J1036" s="63">
        <v>117</v>
      </c>
      <c r="K1036" s="63">
        <v>156</v>
      </c>
      <c r="L1036" s="63">
        <v>203</v>
      </c>
      <c r="M1036" s="63">
        <v>160</v>
      </c>
      <c r="N1036" s="63">
        <v>162</v>
      </c>
      <c r="O1036" s="63">
        <v>164</v>
      </c>
      <c r="P1036" s="63">
        <v>204</v>
      </c>
      <c r="Q1036" s="63">
        <v>96</v>
      </c>
      <c r="R1036" s="63">
        <v>86</v>
      </c>
      <c r="S1036" s="63">
        <v>77</v>
      </c>
      <c r="T1036" s="63">
        <v>65</v>
      </c>
      <c r="U1036" s="63">
        <v>77</v>
      </c>
      <c r="V1036" s="63">
        <v>71</v>
      </c>
      <c r="W1036" s="63">
        <v>50</v>
      </c>
      <c r="X1036" s="63">
        <v>42</v>
      </c>
      <c r="Y1036" s="63">
        <v>41</v>
      </c>
      <c r="Z1036" s="63">
        <v>53</v>
      </c>
      <c r="AA1036" s="63">
        <v>20</v>
      </c>
      <c r="AB1036" s="63">
        <v>35</v>
      </c>
    </row>
    <row r="1037" spans="1:28" x14ac:dyDescent="0.2">
      <c r="A1037" s="62">
        <v>85</v>
      </c>
      <c r="B1037" s="62" t="s">
        <v>386</v>
      </c>
      <c r="C1037" s="62">
        <v>22</v>
      </c>
      <c r="D1037" s="62" t="s">
        <v>321</v>
      </c>
      <c r="E1037" s="63">
        <v>197</v>
      </c>
      <c r="F1037" s="63">
        <v>198</v>
      </c>
      <c r="G1037" s="63">
        <v>195</v>
      </c>
      <c r="H1037" s="63">
        <v>201</v>
      </c>
      <c r="I1037" s="63">
        <v>200</v>
      </c>
      <c r="J1037" s="63">
        <v>207</v>
      </c>
      <c r="K1037" s="63">
        <v>214</v>
      </c>
      <c r="L1037" s="63">
        <v>217</v>
      </c>
      <c r="M1037" s="63">
        <v>225</v>
      </c>
      <c r="N1037" s="63">
        <v>219</v>
      </c>
      <c r="O1037" s="63">
        <v>216</v>
      </c>
      <c r="P1037" s="63">
        <v>224</v>
      </c>
      <c r="Q1037" s="63">
        <v>217</v>
      </c>
      <c r="R1037" s="63">
        <v>210</v>
      </c>
      <c r="S1037" s="63">
        <v>212</v>
      </c>
      <c r="T1037" s="63">
        <v>220</v>
      </c>
      <c r="U1037" s="63">
        <v>214</v>
      </c>
      <c r="V1037" s="63">
        <v>214</v>
      </c>
      <c r="W1037" s="63">
        <v>203</v>
      </c>
      <c r="X1037" s="63">
        <v>193</v>
      </c>
      <c r="Y1037" s="63">
        <v>180</v>
      </c>
      <c r="Z1037" s="63">
        <v>174</v>
      </c>
      <c r="AA1037" s="63">
        <v>193</v>
      </c>
      <c r="AB1037" s="63">
        <v>192</v>
      </c>
    </row>
    <row r="1038" spans="1:28" x14ac:dyDescent="0.2">
      <c r="A1038" s="62">
        <v>85</v>
      </c>
      <c r="B1038" s="62" t="s">
        <v>386</v>
      </c>
      <c r="C1038" s="62">
        <v>23</v>
      </c>
      <c r="D1038" s="62" t="s">
        <v>322</v>
      </c>
      <c r="E1038" s="63">
        <v>1967</v>
      </c>
      <c r="F1038" s="63">
        <v>1972</v>
      </c>
      <c r="G1038" s="63">
        <v>1929</v>
      </c>
      <c r="H1038" s="63">
        <v>2137</v>
      </c>
      <c r="I1038" s="63">
        <v>2400</v>
      </c>
      <c r="J1038" s="63">
        <v>2583</v>
      </c>
      <c r="K1038" s="63">
        <v>2615</v>
      </c>
      <c r="L1038" s="63">
        <v>2419</v>
      </c>
      <c r="M1038" s="63">
        <v>2020</v>
      </c>
      <c r="N1038" s="63">
        <v>1719</v>
      </c>
      <c r="O1038" s="63">
        <v>1529</v>
      </c>
      <c r="P1038" s="63">
        <v>1445</v>
      </c>
      <c r="Q1038" s="63">
        <v>1500</v>
      </c>
      <c r="R1038" s="63">
        <v>1619</v>
      </c>
      <c r="S1038" s="63">
        <v>1674</v>
      </c>
      <c r="T1038" s="63">
        <v>1704</v>
      </c>
      <c r="U1038" s="63">
        <v>1760</v>
      </c>
      <c r="V1038" s="63">
        <v>2082</v>
      </c>
      <c r="W1038" s="63">
        <v>2188</v>
      </c>
      <c r="X1038" s="63">
        <v>2169</v>
      </c>
      <c r="Y1038" s="63">
        <v>2279</v>
      </c>
      <c r="Z1038" s="63">
        <v>2535</v>
      </c>
      <c r="AA1038" s="63">
        <v>3018</v>
      </c>
      <c r="AB1038" s="63">
        <v>3243</v>
      </c>
    </row>
    <row r="1039" spans="1:28" x14ac:dyDescent="0.2">
      <c r="A1039" s="62">
        <v>85</v>
      </c>
      <c r="B1039" s="62" t="s">
        <v>386</v>
      </c>
      <c r="C1039" s="62">
        <v>3</v>
      </c>
      <c r="D1039" s="62" t="s">
        <v>323</v>
      </c>
      <c r="E1039" s="63">
        <v>2232</v>
      </c>
      <c r="F1039" s="63">
        <v>2257</v>
      </c>
      <c r="G1039" s="63">
        <v>2314</v>
      </c>
      <c r="H1039" s="63">
        <v>2332</v>
      </c>
      <c r="I1039" s="63">
        <v>2394</v>
      </c>
      <c r="J1039" s="63">
        <v>2385</v>
      </c>
      <c r="K1039" s="63">
        <v>2411</v>
      </c>
      <c r="L1039" s="63">
        <v>2510</v>
      </c>
      <c r="M1039" s="63">
        <v>2567</v>
      </c>
      <c r="N1039" s="63">
        <v>2533</v>
      </c>
      <c r="O1039" s="63">
        <v>2463</v>
      </c>
      <c r="P1039" s="63">
        <v>2347</v>
      </c>
      <c r="Q1039" s="63">
        <v>2350</v>
      </c>
      <c r="R1039" s="63">
        <v>2429</v>
      </c>
      <c r="S1039" s="63">
        <v>2529</v>
      </c>
      <c r="T1039" s="63">
        <v>2518</v>
      </c>
      <c r="U1039" s="63">
        <v>2616</v>
      </c>
      <c r="V1039" s="63">
        <v>2643</v>
      </c>
      <c r="W1039" s="63">
        <v>2670</v>
      </c>
      <c r="X1039" s="63">
        <v>2550</v>
      </c>
      <c r="Y1039" s="63">
        <v>2654</v>
      </c>
      <c r="Z1039" s="63">
        <v>2695</v>
      </c>
      <c r="AA1039" s="63">
        <v>2763</v>
      </c>
      <c r="AB1039" s="63">
        <v>2886</v>
      </c>
    </row>
    <row r="1040" spans="1:28" x14ac:dyDescent="0.2">
      <c r="A1040" s="62">
        <v>85</v>
      </c>
      <c r="B1040" s="62" t="s">
        <v>386</v>
      </c>
      <c r="C1040" s="62" t="s">
        <v>324</v>
      </c>
      <c r="D1040" s="62" t="s">
        <v>325</v>
      </c>
      <c r="E1040" s="63">
        <v>1553</v>
      </c>
      <c r="F1040" s="63">
        <v>1422</v>
      </c>
      <c r="G1040" s="63">
        <v>1605</v>
      </c>
      <c r="H1040" s="63">
        <v>1616</v>
      </c>
      <c r="I1040" s="63">
        <v>1632</v>
      </c>
      <c r="J1040" s="63">
        <v>1691</v>
      </c>
      <c r="K1040" s="63">
        <v>1513</v>
      </c>
      <c r="L1040" s="63">
        <v>1406</v>
      </c>
      <c r="M1040" s="63">
        <v>1265</v>
      </c>
      <c r="N1040" s="63">
        <v>1294</v>
      </c>
      <c r="O1040" s="63">
        <v>1239</v>
      </c>
      <c r="P1040" s="63">
        <v>1312</v>
      </c>
      <c r="Q1040" s="63">
        <v>1335</v>
      </c>
      <c r="R1040" s="63">
        <v>1359</v>
      </c>
      <c r="S1040" s="63">
        <v>1353</v>
      </c>
      <c r="T1040" s="63">
        <v>1353</v>
      </c>
      <c r="U1040" s="63">
        <v>1358</v>
      </c>
      <c r="V1040" s="63">
        <v>1461</v>
      </c>
      <c r="W1040" s="63">
        <v>1377</v>
      </c>
      <c r="X1040" s="63">
        <v>1171</v>
      </c>
      <c r="Y1040" s="63">
        <v>1111</v>
      </c>
      <c r="Z1040" s="63">
        <v>1138</v>
      </c>
      <c r="AA1040" s="63">
        <v>1132</v>
      </c>
      <c r="AB1040" s="63">
        <v>1202</v>
      </c>
    </row>
    <row r="1041" spans="1:28" x14ac:dyDescent="0.2">
      <c r="A1041" s="62">
        <v>85</v>
      </c>
      <c r="B1041" s="62" t="s">
        <v>386</v>
      </c>
      <c r="C1041" s="62">
        <v>42</v>
      </c>
      <c r="D1041" s="62" t="s">
        <v>326</v>
      </c>
      <c r="E1041" s="63">
        <v>431</v>
      </c>
      <c r="F1041" s="63">
        <v>430</v>
      </c>
      <c r="G1041" s="63">
        <v>453</v>
      </c>
      <c r="H1041" s="63">
        <v>521</v>
      </c>
      <c r="I1041" s="63">
        <v>538</v>
      </c>
      <c r="J1041" s="63">
        <v>522</v>
      </c>
      <c r="K1041" s="63">
        <v>546</v>
      </c>
      <c r="L1041" s="63">
        <v>564</v>
      </c>
      <c r="M1041" s="63">
        <v>487</v>
      </c>
      <c r="N1041" s="63">
        <v>439</v>
      </c>
      <c r="O1041" s="63">
        <v>437</v>
      </c>
      <c r="P1041" s="63">
        <v>457</v>
      </c>
      <c r="Q1041" s="63">
        <v>443</v>
      </c>
      <c r="R1041" s="63">
        <v>440</v>
      </c>
      <c r="S1041" s="63">
        <v>456</v>
      </c>
      <c r="T1041" s="63">
        <v>514</v>
      </c>
      <c r="U1041" s="63">
        <v>536</v>
      </c>
      <c r="V1041" s="63">
        <v>499</v>
      </c>
      <c r="W1041" s="63">
        <v>438</v>
      </c>
      <c r="X1041" s="63">
        <v>426</v>
      </c>
      <c r="Y1041" s="63">
        <v>443</v>
      </c>
      <c r="Z1041" s="63">
        <v>466</v>
      </c>
      <c r="AA1041" s="63">
        <v>489</v>
      </c>
      <c r="AB1041" s="63">
        <v>474</v>
      </c>
    </row>
    <row r="1042" spans="1:28" x14ac:dyDescent="0.2">
      <c r="A1042" s="62">
        <v>85</v>
      </c>
      <c r="B1042" s="62" t="s">
        <v>386</v>
      </c>
      <c r="C1042" s="62" t="s">
        <v>327</v>
      </c>
      <c r="D1042" s="62" t="s">
        <v>328</v>
      </c>
      <c r="E1042" s="63">
        <v>2220</v>
      </c>
      <c r="F1042" s="63">
        <v>2262</v>
      </c>
      <c r="G1042" s="63">
        <v>2372</v>
      </c>
      <c r="H1042" s="63">
        <v>2325</v>
      </c>
      <c r="I1042" s="63">
        <v>2290</v>
      </c>
      <c r="J1042" s="63">
        <v>2368</v>
      </c>
      <c r="K1042" s="63">
        <v>2604</v>
      </c>
      <c r="L1042" s="63">
        <v>2670</v>
      </c>
      <c r="M1042" s="63">
        <v>2509</v>
      </c>
      <c r="N1042" s="63">
        <v>2397</v>
      </c>
      <c r="O1042" s="63">
        <v>2344</v>
      </c>
      <c r="P1042" s="63">
        <v>2323</v>
      </c>
      <c r="Q1042" s="63">
        <v>2246</v>
      </c>
      <c r="R1042" s="63">
        <v>2317</v>
      </c>
      <c r="S1042" s="63">
        <v>2423</v>
      </c>
      <c r="T1042" s="63">
        <v>2408</v>
      </c>
      <c r="U1042" s="63">
        <v>2384</v>
      </c>
      <c r="V1042" s="63">
        <v>2428</v>
      </c>
      <c r="W1042" s="63">
        <v>2528</v>
      </c>
      <c r="X1042" s="63">
        <v>2569</v>
      </c>
      <c r="Y1042" s="63">
        <v>2681</v>
      </c>
      <c r="Z1042" s="63">
        <v>2694</v>
      </c>
      <c r="AA1042" s="63">
        <v>2615</v>
      </c>
      <c r="AB1042" s="63">
        <v>2623</v>
      </c>
    </row>
    <row r="1043" spans="1:28" x14ac:dyDescent="0.2">
      <c r="A1043" s="62">
        <v>85</v>
      </c>
      <c r="B1043" s="62" t="s">
        <v>386</v>
      </c>
      <c r="C1043" s="62" t="s">
        <v>329</v>
      </c>
      <c r="D1043" s="62" t="s">
        <v>330</v>
      </c>
      <c r="E1043" s="63">
        <v>526</v>
      </c>
      <c r="F1043" s="63">
        <v>525</v>
      </c>
      <c r="G1043" s="63">
        <v>557</v>
      </c>
      <c r="H1043" s="63">
        <v>541</v>
      </c>
      <c r="I1043" s="63">
        <v>595</v>
      </c>
      <c r="J1043" s="63">
        <v>638</v>
      </c>
      <c r="K1043" s="63">
        <v>684</v>
      </c>
      <c r="L1043" s="63">
        <v>665</v>
      </c>
      <c r="M1043" s="63">
        <v>605</v>
      </c>
      <c r="N1043" s="63">
        <v>552</v>
      </c>
      <c r="O1043" s="63">
        <v>581</v>
      </c>
      <c r="P1043" s="63">
        <v>573</v>
      </c>
      <c r="Q1043" s="63">
        <v>571</v>
      </c>
      <c r="R1043" s="63">
        <v>588</v>
      </c>
      <c r="S1043" s="63">
        <v>576</v>
      </c>
      <c r="T1043" s="63">
        <v>622</v>
      </c>
      <c r="U1043" s="63">
        <v>605</v>
      </c>
      <c r="V1043" s="63">
        <v>631</v>
      </c>
      <c r="W1043" s="63">
        <v>685</v>
      </c>
      <c r="X1043" s="63">
        <v>691</v>
      </c>
      <c r="Y1043" s="63">
        <v>841</v>
      </c>
      <c r="Z1043" s="63">
        <v>929</v>
      </c>
      <c r="AA1043" s="63">
        <v>911</v>
      </c>
      <c r="AB1043" s="63">
        <v>877</v>
      </c>
    </row>
    <row r="1044" spans="1:28" x14ac:dyDescent="0.2">
      <c r="A1044" s="62">
        <v>85</v>
      </c>
      <c r="B1044" s="62" t="s">
        <v>386</v>
      </c>
      <c r="C1044" s="62">
        <v>51</v>
      </c>
      <c r="D1044" s="62" t="s">
        <v>331</v>
      </c>
      <c r="E1044" s="63">
        <v>217</v>
      </c>
      <c r="F1044" s="63">
        <v>220</v>
      </c>
      <c r="G1044" s="63">
        <v>225</v>
      </c>
      <c r="H1044" s="63">
        <v>226</v>
      </c>
      <c r="I1044" s="63">
        <v>245</v>
      </c>
      <c r="J1044" s="63">
        <v>254</v>
      </c>
      <c r="K1044" s="63">
        <v>246</v>
      </c>
      <c r="L1044" s="63">
        <v>235</v>
      </c>
      <c r="M1044" s="63">
        <v>215</v>
      </c>
      <c r="N1044" s="63">
        <v>210</v>
      </c>
      <c r="O1044" s="63">
        <v>201</v>
      </c>
      <c r="P1044" s="63">
        <v>198</v>
      </c>
      <c r="Q1044" s="63">
        <v>191</v>
      </c>
      <c r="R1044" s="63">
        <v>194</v>
      </c>
      <c r="S1044" s="63">
        <v>186</v>
      </c>
      <c r="T1044" s="63">
        <v>194</v>
      </c>
      <c r="U1044" s="63">
        <v>190</v>
      </c>
      <c r="V1044" s="63">
        <v>201</v>
      </c>
      <c r="W1044" s="63">
        <v>212</v>
      </c>
      <c r="X1044" s="63">
        <v>177</v>
      </c>
      <c r="Y1044" s="63">
        <v>187</v>
      </c>
      <c r="Z1044" s="63">
        <v>170</v>
      </c>
      <c r="AA1044" s="63">
        <v>214</v>
      </c>
      <c r="AB1044" s="63">
        <v>205</v>
      </c>
    </row>
    <row r="1045" spans="1:28" x14ac:dyDescent="0.2">
      <c r="A1045" s="62">
        <v>85</v>
      </c>
      <c r="B1045" s="62" t="s">
        <v>386</v>
      </c>
      <c r="C1045" s="62">
        <v>52</v>
      </c>
      <c r="D1045" s="62" t="s">
        <v>332</v>
      </c>
      <c r="E1045" s="63">
        <v>399</v>
      </c>
      <c r="F1045" s="63">
        <v>399</v>
      </c>
      <c r="G1045" s="63">
        <v>435</v>
      </c>
      <c r="H1045" s="63">
        <v>468</v>
      </c>
      <c r="I1045" s="63">
        <v>478</v>
      </c>
      <c r="J1045" s="63">
        <v>492</v>
      </c>
      <c r="K1045" s="63">
        <v>508</v>
      </c>
      <c r="L1045" s="63">
        <v>509</v>
      </c>
      <c r="M1045" s="63">
        <v>475</v>
      </c>
      <c r="N1045" s="63">
        <v>477</v>
      </c>
      <c r="O1045" s="63">
        <v>462</v>
      </c>
      <c r="P1045" s="63">
        <v>439</v>
      </c>
      <c r="Q1045" s="63">
        <v>425</v>
      </c>
      <c r="R1045" s="63">
        <v>416</v>
      </c>
      <c r="S1045" s="63">
        <v>398</v>
      </c>
      <c r="T1045" s="63">
        <v>385</v>
      </c>
      <c r="U1045" s="63">
        <v>379</v>
      </c>
      <c r="V1045" s="63">
        <v>389</v>
      </c>
      <c r="W1045" s="63">
        <v>382</v>
      </c>
      <c r="X1045" s="63">
        <v>380</v>
      </c>
      <c r="Y1045" s="63">
        <v>415</v>
      </c>
      <c r="Z1045" s="63">
        <v>407</v>
      </c>
      <c r="AA1045" s="63">
        <v>417</v>
      </c>
      <c r="AB1045" s="63">
        <v>415</v>
      </c>
    </row>
    <row r="1046" spans="1:28" x14ac:dyDescent="0.2">
      <c r="A1046" s="62">
        <v>85</v>
      </c>
      <c r="B1046" s="62" t="s">
        <v>386</v>
      </c>
      <c r="C1046" s="62">
        <v>53</v>
      </c>
      <c r="D1046" s="62" t="s">
        <v>333</v>
      </c>
      <c r="E1046" s="63">
        <v>590</v>
      </c>
      <c r="F1046" s="63">
        <v>647</v>
      </c>
      <c r="G1046" s="63">
        <v>648</v>
      </c>
      <c r="H1046" s="63">
        <v>735</v>
      </c>
      <c r="I1046" s="63">
        <v>801</v>
      </c>
      <c r="J1046" s="63">
        <v>831</v>
      </c>
      <c r="K1046" s="63">
        <v>867</v>
      </c>
      <c r="L1046" s="63">
        <v>783</v>
      </c>
      <c r="M1046" s="63">
        <v>757</v>
      </c>
      <c r="N1046" s="63">
        <v>770</v>
      </c>
      <c r="O1046" s="63">
        <v>737</v>
      </c>
      <c r="P1046" s="63">
        <v>739</v>
      </c>
      <c r="Q1046" s="63">
        <v>727</v>
      </c>
      <c r="R1046" s="63">
        <v>749</v>
      </c>
      <c r="S1046" s="63">
        <v>741</v>
      </c>
      <c r="T1046" s="63">
        <v>782</v>
      </c>
      <c r="U1046" s="63">
        <v>824</v>
      </c>
      <c r="V1046" s="63">
        <v>852</v>
      </c>
      <c r="W1046" s="63">
        <v>903</v>
      </c>
      <c r="X1046" s="63">
        <v>896</v>
      </c>
      <c r="Y1046" s="63">
        <v>931</v>
      </c>
      <c r="Z1046" s="63">
        <v>919</v>
      </c>
      <c r="AA1046" s="63">
        <v>899</v>
      </c>
      <c r="AB1046" s="63">
        <v>827</v>
      </c>
    </row>
    <row r="1047" spans="1:28" x14ac:dyDescent="0.2">
      <c r="A1047" s="62">
        <v>85</v>
      </c>
      <c r="B1047" s="62" t="s">
        <v>386</v>
      </c>
      <c r="C1047" s="62">
        <v>54</v>
      </c>
      <c r="D1047" s="62" t="s">
        <v>334</v>
      </c>
      <c r="E1047" s="63">
        <v>730</v>
      </c>
      <c r="F1047" s="63">
        <v>750</v>
      </c>
      <c r="G1047" s="63">
        <v>832</v>
      </c>
      <c r="H1047" s="63">
        <v>867</v>
      </c>
      <c r="I1047" s="63">
        <v>914</v>
      </c>
      <c r="J1047" s="63">
        <v>974</v>
      </c>
      <c r="K1047" s="63">
        <v>998</v>
      </c>
      <c r="L1047" s="63">
        <v>982</v>
      </c>
      <c r="M1047" s="63">
        <v>918</v>
      </c>
      <c r="N1047" s="63">
        <v>862</v>
      </c>
      <c r="O1047" s="63">
        <v>834</v>
      </c>
      <c r="P1047" s="63">
        <v>811</v>
      </c>
      <c r="Q1047" s="63">
        <v>780</v>
      </c>
      <c r="R1047" s="63">
        <v>805</v>
      </c>
      <c r="S1047" s="63">
        <v>822</v>
      </c>
      <c r="T1047" s="63">
        <v>813</v>
      </c>
      <c r="U1047" s="63">
        <v>841</v>
      </c>
      <c r="V1047" s="63">
        <v>890</v>
      </c>
      <c r="W1047" s="63">
        <v>937</v>
      </c>
      <c r="X1047" s="63">
        <v>940</v>
      </c>
      <c r="Y1047" s="63">
        <v>971</v>
      </c>
      <c r="Z1047" s="63">
        <v>1037</v>
      </c>
      <c r="AA1047" s="63">
        <v>1194</v>
      </c>
      <c r="AB1047" s="63">
        <v>1215</v>
      </c>
    </row>
    <row r="1048" spans="1:28" x14ac:dyDescent="0.2">
      <c r="A1048" s="62">
        <v>85</v>
      </c>
      <c r="B1048" s="62" t="s">
        <v>386</v>
      </c>
      <c r="C1048" s="62">
        <v>55</v>
      </c>
      <c r="D1048" s="64" t="s">
        <v>335</v>
      </c>
      <c r="E1048" s="65"/>
      <c r="F1048" s="63">
        <v>24</v>
      </c>
      <c r="G1048" s="63">
        <v>25</v>
      </c>
      <c r="H1048" s="63">
        <v>13</v>
      </c>
      <c r="I1048" s="63">
        <v>18</v>
      </c>
      <c r="J1048" s="63">
        <v>16</v>
      </c>
      <c r="K1048" s="63">
        <v>20</v>
      </c>
      <c r="L1048" s="63">
        <v>25</v>
      </c>
      <c r="M1048" s="63">
        <v>59</v>
      </c>
      <c r="N1048" s="63">
        <v>52</v>
      </c>
      <c r="O1048" s="63">
        <v>59</v>
      </c>
      <c r="P1048" s="63">
        <v>61</v>
      </c>
      <c r="Q1048" s="63">
        <v>64</v>
      </c>
      <c r="R1048" s="63">
        <v>61</v>
      </c>
      <c r="S1048" s="63">
        <v>103</v>
      </c>
      <c r="T1048" s="63">
        <v>120</v>
      </c>
      <c r="U1048" s="63">
        <v>109</v>
      </c>
      <c r="V1048" s="63">
        <v>131</v>
      </c>
      <c r="W1048" s="63">
        <v>140</v>
      </c>
      <c r="X1048" s="63">
        <v>117</v>
      </c>
      <c r="Y1048" s="63">
        <v>91</v>
      </c>
      <c r="Z1048" s="63">
        <v>71</v>
      </c>
      <c r="AA1048" s="63">
        <v>57</v>
      </c>
      <c r="AB1048" s="63">
        <v>36</v>
      </c>
    </row>
    <row r="1049" spans="1:28" x14ac:dyDescent="0.2">
      <c r="A1049" s="62">
        <v>85</v>
      </c>
      <c r="B1049" s="62" t="s">
        <v>386</v>
      </c>
      <c r="C1049" s="62">
        <v>56</v>
      </c>
      <c r="D1049" s="62" t="s">
        <v>336</v>
      </c>
      <c r="E1049" s="63">
        <v>501</v>
      </c>
      <c r="F1049" s="63">
        <v>528</v>
      </c>
      <c r="G1049" s="63">
        <v>590</v>
      </c>
      <c r="H1049" s="63">
        <v>664</v>
      </c>
      <c r="I1049" s="63">
        <v>700</v>
      </c>
      <c r="J1049" s="63">
        <v>725</v>
      </c>
      <c r="K1049" s="63">
        <v>786</v>
      </c>
      <c r="L1049" s="63">
        <v>808</v>
      </c>
      <c r="M1049" s="63">
        <v>691</v>
      </c>
      <c r="N1049" s="63">
        <v>635</v>
      </c>
      <c r="O1049" s="63">
        <v>608</v>
      </c>
      <c r="P1049" s="63">
        <v>650</v>
      </c>
      <c r="Q1049" s="63">
        <v>738</v>
      </c>
      <c r="R1049" s="63">
        <v>705</v>
      </c>
      <c r="S1049" s="63">
        <v>706</v>
      </c>
      <c r="T1049" s="63">
        <v>779</v>
      </c>
      <c r="U1049" s="63">
        <v>775</v>
      </c>
      <c r="V1049" s="63">
        <v>896</v>
      </c>
      <c r="W1049" s="63">
        <v>931</v>
      </c>
      <c r="X1049" s="63">
        <v>861</v>
      </c>
      <c r="Y1049" s="63">
        <v>939</v>
      </c>
      <c r="Z1049" s="63">
        <v>948</v>
      </c>
      <c r="AA1049" s="63">
        <v>845</v>
      </c>
      <c r="AB1049" s="63">
        <v>902</v>
      </c>
    </row>
    <row r="1050" spans="1:28" x14ac:dyDescent="0.2">
      <c r="A1050" s="62">
        <v>85</v>
      </c>
      <c r="B1050" s="62" t="s">
        <v>386</v>
      </c>
      <c r="C1050" s="62">
        <v>61</v>
      </c>
      <c r="D1050" s="64" t="s">
        <v>337</v>
      </c>
      <c r="E1050" s="65"/>
      <c r="F1050" s="63">
        <v>35</v>
      </c>
      <c r="G1050" s="63">
        <v>48</v>
      </c>
      <c r="H1050" s="63">
        <v>27</v>
      </c>
      <c r="I1050" s="63">
        <v>84</v>
      </c>
      <c r="J1050" s="63">
        <v>90</v>
      </c>
      <c r="K1050" s="63">
        <v>104</v>
      </c>
      <c r="L1050" s="63">
        <v>98</v>
      </c>
      <c r="M1050" s="63">
        <v>91</v>
      </c>
      <c r="N1050" s="63">
        <v>114</v>
      </c>
      <c r="O1050" s="63">
        <v>98</v>
      </c>
      <c r="P1050" s="63">
        <v>113</v>
      </c>
      <c r="Q1050" s="63">
        <v>94</v>
      </c>
      <c r="R1050" s="63">
        <v>101</v>
      </c>
      <c r="S1050" s="63">
        <v>95</v>
      </c>
      <c r="T1050" s="63">
        <v>92</v>
      </c>
      <c r="U1050" s="63">
        <v>97</v>
      </c>
      <c r="V1050" s="63">
        <v>93</v>
      </c>
      <c r="W1050" s="63">
        <v>116</v>
      </c>
      <c r="X1050" s="63">
        <v>106</v>
      </c>
      <c r="Y1050" s="63">
        <v>109</v>
      </c>
      <c r="Z1050" s="63">
        <v>109</v>
      </c>
      <c r="AA1050" s="63">
        <v>142</v>
      </c>
      <c r="AB1050" s="63">
        <v>144</v>
      </c>
    </row>
    <row r="1051" spans="1:28" x14ac:dyDescent="0.2">
      <c r="A1051" s="62">
        <v>85</v>
      </c>
      <c r="B1051" s="62" t="s">
        <v>386</v>
      </c>
      <c r="C1051" s="62">
        <v>62</v>
      </c>
      <c r="D1051" s="62" t="s">
        <v>338</v>
      </c>
      <c r="E1051" s="63">
        <v>1427</v>
      </c>
      <c r="F1051" s="63">
        <v>1551</v>
      </c>
      <c r="G1051" s="63">
        <v>1595</v>
      </c>
      <c r="H1051" s="63">
        <v>1611</v>
      </c>
      <c r="I1051" s="63">
        <v>1663</v>
      </c>
      <c r="J1051" s="63">
        <v>1799</v>
      </c>
      <c r="K1051" s="63">
        <v>1815</v>
      </c>
      <c r="L1051" s="63">
        <v>1881</v>
      </c>
      <c r="M1051" s="63">
        <v>1914</v>
      </c>
      <c r="N1051" s="63">
        <v>1968</v>
      </c>
      <c r="O1051" s="63">
        <v>1967</v>
      </c>
      <c r="P1051" s="63">
        <v>1951</v>
      </c>
      <c r="Q1051" s="63">
        <v>1919</v>
      </c>
      <c r="R1051" s="63">
        <v>1982</v>
      </c>
      <c r="S1051" s="63">
        <v>2044</v>
      </c>
      <c r="T1051" s="63">
        <v>2176</v>
      </c>
      <c r="U1051" s="63">
        <v>2305</v>
      </c>
      <c r="V1051" s="63">
        <v>2365</v>
      </c>
      <c r="W1051" s="63">
        <v>2314</v>
      </c>
      <c r="X1051" s="63">
        <v>2365</v>
      </c>
      <c r="Y1051" s="63">
        <v>2389</v>
      </c>
      <c r="Z1051" s="63">
        <v>2379</v>
      </c>
      <c r="AA1051" s="63">
        <v>2511</v>
      </c>
      <c r="AB1051" s="63">
        <v>2524</v>
      </c>
    </row>
    <row r="1052" spans="1:28" x14ac:dyDescent="0.2">
      <c r="A1052" s="62">
        <v>85</v>
      </c>
      <c r="B1052" s="62" t="s">
        <v>386</v>
      </c>
      <c r="C1052" s="62">
        <v>71</v>
      </c>
      <c r="D1052" s="62" t="s">
        <v>339</v>
      </c>
      <c r="E1052" s="63">
        <v>177</v>
      </c>
      <c r="F1052" s="63">
        <v>169</v>
      </c>
      <c r="G1052" s="63">
        <v>187</v>
      </c>
      <c r="H1052" s="63">
        <v>190</v>
      </c>
      <c r="I1052" s="63">
        <v>214</v>
      </c>
      <c r="J1052" s="63">
        <v>224</v>
      </c>
      <c r="K1052" s="63">
        <v>326</v>
      </c>
      <c r="L1052" s="63">
        <v>311</v>
      </c>
      <c r="M1052" s="63">
        <v>282</v>
      </c>
      <c r="N1052" s="63">
        <v>228</v>
      </c>
      <c r="O1052" s="63">
        <v>234</v>
      </c>
      <c r="P1052" s="63">
        <v>280</v>
      </c>
      <c r="Q1052" s="63">
        <v>305</v>
      </c>
      <c r="R1052" s="63">
        <v>281</v>
      </c>
      <c r="S1052" s="63">
        <v>283</v>
      </c>
      <c r="T1052" s="63">
        <v>319</v>
      </c>
      <c r="U1052" s="63">
        <v>329</v>
      </c>
      <c r="V1052" s="63">
        <v>341</v>
      </c>
      <c r="W1052" s="63">
        <v>354</v>
      </c>
      <c r="X1052" s="63">
        <v>308</v>
      </c>
      <c r="Y1052" s="63">
        <v>357</v>
      </c>
      <c r="Z1052" s="63">
        <v>373</v>
      </c>
      <c r="AA1052" s="63">
        <v>351</v>
      </c>
      <c r="AB1052" s="63">
        <v>349</v>
      </c>
    </row>
    <row r="1053" spans="1:28" x14ac:dyDescent="0.2">
      <c r="A1053" s="62">
        <v>85</v>
      </c>
      <c r="B1053" s="62" t="s">
        <v>386</v>
      </c>
      <c r="C1053" s="62">
        <v>72</v>
      </c>
      <c r="D1053" s="62" t="s">
        <v>340</v>
      </c>
      <c r="E1053" s="63">
        <v>1179</v>
      </c>
      <c r="F1053" s="63">
        <v>1101</v>
      </c>
      <c r="G1053" s="63">
        <v>1101</v>
      </c>
      <c r="H1053" s="63">
        <v>1219</v>
      </c>
      <c r="I1053" s="63">
        <v>1244</v>
      </c>
      <c r="J1053" s="63">
        <v>1311</v>
      </c>
      <c r="K1053" s="63">
        <v>1317</v>
      </c>
      <c r="L1053" s="63">
        <v>1236</v>
      </c>
      <c r="M1053" s="63">
        <v>1243</v>
      </c>
      <c r="N1053" s="63">
        <v>1189</v>
      </c>
      <c r="O1053" s="63">
        <v>1122</v>
      </c>
      <c r="P1053" s="63">
        <v>1160</v>
      </c>
      <c r="Q1053" s="63">
        <v>1230</v>
      </c>
      <c r="R1053" s="63">
        <v>1218</v>
      </c>
      <c r="S1053" s="63">
        <v>1259</v>
      </c>
      <c r="T1053" s="63">
        <v>1300</v>
      </c>
      <c r="U1053" s="63">
        <v>1388</v>
      </c>
      <c r="V1053" s="63">
        <v>1440</v>
      </c>
      <c r="W1053" s="63">
        <v>1504</v>
      </c>
      <c r="X1053" s="63">
        <v>1373</v>
      </c>
      <c r="Y1053" s="63">
        <v>1558</v>
      </c>
      <c r="Z1053" s="63">
        <v>1622</v>
      </c>
      <c r="AA1053" s="63">
        <v>1741</v>
      </c>
      <c r="AB1053" s="63">
        <v>1827</v>
      </c>
    </row>
    <row r="1054" spans="1:28" x14ac:dyDescent="0.2">
      <c r="A1054" s="62">
        <v>85</v>
      </c>
      <c r="B1054" s="62" t="s">
        <v>386</v>
      </c>
      <c r="C1054" s="62">
        <v>81</v>
      </c>
      <c r="D1054" s="62" t="s">
        <v>341</v>
      </c>
      <c r="E1054" s="63">
        <v>837</v>
      </c>
      <c r="F1054" s="63">
        <v>841</v>
      </c>
      <c r="G1054" s="63">
        <v>850</v>
      </c>
      <c r="H1054" s="63">
        <v>880</v>
      </c>
      <c r="I1054" s="63">
        <v>908</v>
      </c>
      <c r="J1054" s="63">
        <v>939</v>
      </c>
      <c r="K1054" s="63">
        <v>949</v>
      </c>
      <c r="L1054" s="63">
        <v>930</v>
      </c>
      <c r="M1054" s="63">
        <v>894</v>
      </c>
      <c r="N1054" s="63">
        <v>859</v>
      </c>
      <c r="O1054" s="63">
        <v>866</v>
      </c>
      <c r="P1054" s="63">
        <v>846</v>
      </c>
      <c r="Q1054" s="63">
        <v>861</v>
      </c>
      <c r="R1054" s="63">
        <v>875</v>
      </c>
      <c r="S1054" s="63">
        <v>870</v>
      </c>
      <c r="T1054" s="63">
        <v>895</v>
      </c>
      <c r="U1054" s="63">
        <v>943</v>
      </c>
      <c r="V1054" s="63">
        <v>745</v>
      </c>
      <c r="W1054" s="63">
        <v>768</v>
      </c>
      <c r="X1054" s="63">
        <v>807</v>
      </c>
      <c r="Y1054" s="63">
        <v>792</v>
      </c>
      <c r="Z1054" s="63">
        <v>796</v>
      </c>
      <c r="AA1054" s="63">
        <v>848</v>
      </c>
      <c r="AB1054" s="63">
        <v>915</v>
      </c>
    </row>
    <row r="1055" spans="1:28" x14ac:dyDescent="0.2">
      <c r="A1055" s="62">
        <v>85</v>
      </c>
      <c r="B1055" s="62" t="s">
        <v>386</v>
      </c>
      <c r="C1055" s="62">
        <v>99</v>
      </c>
      <c r="D1055" s="62" t="s">
        <v>342</v>
      </c>
      <c r="E1055" s="62"/>
      <c r="F1055" s="63">
        <v>0</v>
      </c>
      <c r="G1055" s="63">
        <v>0</v>
      </c>
      <c r="H1055" s="62"/>
      <c r="I1055" s="62"/>
      <c r="J1055" s="63">
        <v>0</v>
      </c>
      <c r="K1055" s="63">
        <v>0</v>
      </c>
      <c r="L1055" s="63">
        <v>0</v>
      </c>
      <c r="M1055" s="63">
        <v>1</v>
      </c>
      <c r="N1055" s="62"/>
      <c r="O1055" s="63">
        <v>1</v>
      </c>
      <c r="P1055" s="62"/>
      <c r="Q1055" s="63">
        <v>0</v>
      </c>
      <c r="R1055" s="63">
        <v>2</v>
      </c>
      <c r="S1055" s="63">
        <v>13</v>
      </c>
      <c r="T1055" s="63">
        <v>15</v>
      </c>
      <c r="U1055" s="63">
        <v>0</v>
      </c>
      <c r="V1055" s="63">
        <v>3</v>
      </c>
      <c r="W1055" s="63">
        <v>5</v>
      </c>
      <c r="X1055" s="63">
        <v>1</v>
      </c>
      <c r="Y1055" s="63">
        <v>5</v>
      </c>
      <c r="Z1055" s="63">
        <v>2</v>
      </c>
      <c r="AA1055" s="63">
        <v>16</v>
      </c>
      <c r="AB1055" s="63">
        <v>1</v>
      </c>
    </row>
    <row r="1056" spans="1:28" x14ac:dyDescent="0.2">
      <c r="A1056" s="62">
        <v>87</v>
      </c>
      <c r="B1056" s="62" t="s">
        <v>387</v>
      </c>
      <c r="C1056" s="62">
        <v>1</v>
      </c>
      <c r="D1056" s="62" t="s">
        <v>316</v>
      </c>
      <c r="E1056" s="63">
        <v>140</v>
      </c>
      <c r="F1056" s="63">
        <v>140</v>
      </c>
      <c r="G1056" s="63">
        <v>141</v>
      </c>
      <c r="H1056" s="63">
        <v>142</v>
      </c>
      <c r="I1056" s="63">
        <v>146</v>
      </c>
      <c r="J1056" s="63">
        <v>144</v>
      </c>
      <c r="K1056" s="63">
        <v>142</v>
      </c>
      <c r="L1056" s="63">
        <v>146</v>
      </c>
      <c r="M1056" s="63">
        <v>147</v>
      </c>
      <c r="N1056" s="63">
        <v>137</v>
      </c>
      <c r="O1056" s="63">
        <v>134</v>
      </c>
      <c r="P1056" s="63">
        <v>126</v>
      </c>
      <c r="Q1056" s="63">
        <v>119</v>
      </c>
      <c r="R1056" s="63">
        <v>115</v>
      </c>
      <c r="S1056" s="63">
        <v>114</v>
      </c>
      <c r="T1056" s="63">
        <v>111</v>
      </c>
      <c r="U1056" s="63">
        <v>117</v>
      </c>
      <c r="V1056" s="63">
        <v>109</v>
      </c>
      <c r="W1056" s="63">
        <v>103</v>
      </c>
      <c r="X1056" s="63">
        <v>106</v>
      </c>
      <c r="Y1056" s="63">
        <v>100</v>
      </c>
      <c r="Z1056" s="63">
        <v>94</v>
      </c>
      <c r="AA1056" s="63">
        <v>90</v>
      </c>
      <c r="AB1056" s="63">
        <v>92</v>
      </c>
    </row>
    <row r="1057" spans="1:28" x14ac:dyDescent="0.2">
      <c r="A1057" s="62">
        <v>87</v>
      </c>
      <c r="B1057" s="62" t="s">
        <v>387</v>
      </c>
      <c r="C1057" s="62">
        <v>10</v>
      </c>
      <c r="D1057" s="62" t="s">
        <v>317</v>
      </c>
      <c r="E1057" s="63">
        <v>12549</v>
      </c>
      <c r="F1057" s="63">
        <v>12687</v>
      </c>
      <c r="G1057" s="63">
        <v>13032</v>
      </c>
      <c r="H1057" s="63">
        <v>12948</v>
      </c>
      <c r="I1057" s="63">
        <v>13062</v>
      </c>
      <c r="J1057" s="63">
        <v>13061</v>
      </c>
      <c r="K1057" s="63">
        <v>12924</v>
      </c>
      <c r="L1057" s="63">
        <v>13027</v>
      </c>
      <c r="M1057" s="63">
        <v>12938</v>
      </c>
      <c r="N1057" s="63">
        <v>13099</v>
      </c>
      <c r="O1057" s="63">
        <v>13740</v>
      </c>
      <c r="P1057" s="63">
        <v>13682</v>
      </c>
      <c r="Q1057" s="63">
        <v>13703</v>
      </c>
      <c r="R1057" s="63">
        <v>13980</v>
      </c>
      <c r="S1057" s="63">
        <v>13865</v>
      </c>
      <c r="T1057" s="63">
        <v>13746</v>
      </c>
      <c r="U1057" s="63">
        <v>14110</v>
      </c>
      <c r="V1057" s="63">
        <v>14545</v>
      </c>
      <c r="W1057" s="63">
        <v>14690</v>
      </c>
      <c r="X1057" s="63">
        <v>14174</v>
      </c>
      <c r="Y1057" s="63">
        <v>14426</v>
      </c>
      <c r="Z1057" s="63">
        <v>14664</v>
      </c>
      <c r="AA1057" s="63">
        <v>14850</v>
      </c>
      <c r="AB1057" s="63">
        <v>15342</v>
      </c>
    </row>
    <row r="1058" spans="1:28" x14ac:dyDescent="0.2">
      <c r="A1058" s="62">
        <v>87</v>
      </c>
      <c r="B1058" s="62" t="s">
        <v>387</v>
      </c>
      <c r="C1058" s="62">
        <v>11</v>
      </c>
      <c r="D1058" s="62" t="s">
        <v>318</v>
      </c>
      <c r="E1058" s="63">
        <v>660</v>
      </c>
      <c r="F1058" s="63">
        <v>732</v>
      </c>
      <c r="G1058" s="63">
        <v>741</v>
      </c>
      <c r="H1058" s="63">
        <v>704</v>
      </c>
      <c r="I1058" s="63">
        <v>726</v>
      </c>
      <c r="J1058" s="63">
        <v>690</v>
      </c>
      <c r="K1058" s="63">
        <v>763</v>
      </c>
      <c r="L1058" s="63">
        <v>840</v>
      </c>
      <c r="M1058" s="63">
        <v>868</v>
      </c>
      <c r="N1058" s="63">
        <v>864</v>
      </c>
      <c r="O1058" s="63">
        <v>872</v>
      </c>
      <c r="P1058" s="63">
        <v>833</v>
      </c>
      <c r="Q1058" s="63">
        <v>803</v>
      </c>
      <c r="R1058" s="63">
        <v>832</v>
      </c>
      <c r="S1058" s="63">
        <v>846</v>
      </c>
      <c r="T1058" s="63">
        <v>878</v>
      </c>
      <c r="U1058" s="63">
        <v>888</v>
      </c>
      <c r="V1058" s="63">
        <v>910</v>
      </c>
      <c r="W1058" s="63">
        <v>958</v>
      </c>
      <c r="X1058" s="63">
        <v>984</v>
      </c>
      <c r="Y1058" s="63">
        <v>945</v>
      </c>
      <c r="Z1058" s="63">
        <v>946</v>
      </c>
      <c r="AA1058" s="63">
        <v>967</v>
      </c>
      <c r="AB1058" s="63">
        <v>928</v>
      </c>
    </row>
    <row r="1059" spans="1:28" x14ac:dyDescent="0.2">
      <c r="A1059" s="62">
        <v>87</v>
      </c>
      <c r="B1059" s="62" t="s">
        <v>387</v>
      </c>
      <c r="C1059" s="62">
        <v>2</v>
      </c>
      <c r="D1059" s="62" t="s">
        <v>319</v>
      </c>
      <c r="E1059" s="63">
        <v>397</v>
      </c>
      <c r="F1059" s="63">
        <v>361</v>
      </c>
      <c r="G1059" s="63">
        <v>340</v>
      </c>
      <c r="H1059" s="63">
        <v>354</v>
      </c>
      <c r="I1059" s="63">
        <v>373</v>
      </c>
      <c r="J1059" s="63">
        <v>373</v>
      </c>
      <c r="K1059" s="63">
        <v>372</v>
      </c>
      <c r="L1059" s="63">
        <v>375</v>
      </c>
      <c r="M1059" s="63">
        <v>372</v>
      </c>
      <c r="N1059" s="63">
        <v>360</v>
      </c>
      <c r="O1059" s="63">
        <v>362</v>
      </c>
      <c r="P1059" s="63">
        <v>354</v>
      </c>
      <c r="Q1059" s="63">
        <v>343</v>
      </c>
      <c r="R1059" s="63">
        <v>338</v>
      </c>
      <c r="S1059" s="63">
        <v>281</v>
      </c>
      <c r="T1059" s="63">
        <v>257</v>
      </c>
      <c r="U1059" s="63">
        <v>254</v>
      </c>
      <c r="V1059" s="63">
        <v>245</v>
      </c>
      <c r="W1059" s="63">
        <v>247</v>
      </c>
      <c r="X1059" s="63">
        <v>246</v>
      </c>
      <c r="Y1059" s="63">
        <v>231</v>
      </c>
      <c r="Z1059" s="63">
        <v>251</v>
      </c>
      <c r="AA1059" s="63">
        <v>246</v>
      </c>
      <c r="AB1059" s="63">
        <v>268</v>
      </c>
    </row>
    <row r="1060" spans="1:28" x14ac:dyDescent="0.2">
      <c r="A1060" s="62">
        <v>87</v>
      </c>
      <c r="B1060" s="62" t="s">
        <v>387</v>
      </c>
      <c r="C1060" s="62">
        <v>21</v>
      </c>
      <c r="D1060" s="62" t="s">
        <v>320</v>
      </c>
      <c r="E1060" s="63">
        <v>93</v>
      </c>
      <c r="F1060" s="63">
        <v>110</v>
      </c>
      <c r="G1060" s="63">
        <v>157</v>
      </c>
      <c r="H1060" s="63">
        <v>250</v>
      </c>
      <c r="I1060" s="63">
        <v>271</v>
      </c>
      <c r="J1060" s="63">
        <v>319</v>
      </c>
      <c r="K1060" s="63">
        <v>331</v>
      </c>
      <c r="L1060" s="63">
        <v>329</v>
      </c>
      <c r="M1060" s="63">
        <v>272</v>
      </c>
      <c r="N1060" s="63">
        <v>333</v>
      </c>
      <c r="O1060" s="63">
        <v>425</v>
      </c>
      <c r="P1060" s="63">
        <v>460</v>
      </c>
      <c r="Q1060" s="63">
        <v>518</v>
      </c>
      <c r="R1060" s="63">
        <v>453</v>
      </c>
      <c r="S1060" s="63">
        <v>382</v>
      </c>
      <c r="T1060" s="63">
        <v>264</v>
      </c>
      <c r="U1060" s="63">
        <v>339</v>
      </c>
      <c r="V1060" s="63">
        <v>419</v>
      </c>
      <c r="W1060" s="63">
        <v>427</v>
      </c>
      <c r="X1060" s="63">
        <v>274</v>
      </c>
      <c r="Y1060" s="63">
        <v>192</v>
      </c>
      <c r="Z1060" s="63">
        <v>213</v>
      </c>
      <c r="AA1060" s="63">
        <v>235</v>
      </c>
      <c r="AB1060" s="63">
        <v>251</v>
      </c>
    </row>
    <row r="1061" spans="1:28" x14ac:dyDescent="0.2">
      <c r="A1061" s="62">
        <v>87</v>
      </c>
      <c r="B1061" s="62" t="s">
        <v>387</v>
      </c>
      <c r="C1061" s="62">
        <v>22</v>
      </c>
      <c r="D1061" s="62" t="s">
        <v>321</v>
      </c>
      <c r="E1061" s="63">
        <v>221</v>
      </c>
      <c r="F1061" s="63">
        <v>232</v>
      </c>
      <c r="G1061" s="63">
        <v>227</v>
      </c>
      <c r="H1061" s="63">
        <v>233</v>
      </c>
      <c r="I1061" s="63">
        <v>215</v>
      </c>
      <c r="J1061" s="63">
        <v>206</v>
      </c>
      <c r="K1061" s="63">
        <v>207</v>
      </c>
      <c r="L1061" s="63">
        <v>211</v>
      </c>
      <c r="M1061" s="63">
        <v>207</v>
      </c>
      <c r="N1061" s="63">
        <v>203</v>
      </c>
      <c r="O1061" s="63">
        <v>207</v>
      </c>
      <c r="P1061" s="63">
        <v>202</v>
      </c>
      <c r="Q1061" s="63">
        <v>194</v>
      </c>
      <c r="R1061" s="63">
        <v>196</v>
      </c>
      <c r="S1061" s="63">
        <v>198</v>
      </c>
      <c r="T1061" s="63">
        <v>203</v>
      </c>
      <c r="U1061" s="63">
        <v>194</v>
      </c>
      <c r="V1061" s="63">
        <v>188</v>
      </c>
      <c r="W1061" s="63">
        <v>192</v>
      </c>
      <c r="X1061" s="63">
        <v>185</v>
      </c>
      <c r="Y1061" s="63">
        <v>180</v>
      </c>
      <c r="Z1061" s="63">
        <v>170</v>
      </c>
      <c r="AA1061" s="63">
        <v>176</v>
      </c>
      <c r="AB1061" s="63">
        <v>182</v>
      </c>
    </row>
    <row r="1062" spans="1:28" x14ac:dyDescent="0.2">
      <c r="A1062" s="62">
        <v>87</v>
      </c>
      <c r="B1062" s="62" t="s">
        <v>387</v>
      </c>
      <c r="C1062" s="62">
        <v>23</v>
      </c>
      <c r="D1062" s="62" t="s">
        <v>322</v>
      </c>
      <c r="E1062" s="63">
        <v>798</v>
      </c>
      <c r="F1062" s="63">
        <v>754</v>
      </c>
      <c r="G1062" s="63">
        <v>782</v>
      </c>
      <c r="H1062" s="63">
        <v>794</v>
      </c>
      <c r="I1062" s="63">
        <v>851</v>
      </c>
      <c r="J1062" s="63">
        <v>1000</v>
      </c>
      <c r="K1062" s="63">
        <v>950</v>
      </c>
      <c r="L1062" s="63">
        <v>883</v>
      </c>
      <c r="M1062" s="63">
        <v>771</v>
      </c>
      <c r="N1062" s="63">
        <v>848</v>
      </c>
      <c r="O1062" s="63">
        <v>1190</v>
      </c>
      <c r="P1062" s="63">
        <v>924</v>
      </c>
      <c r="Q1062" s="63">
        <v>746</v>
      </c>
      <c r="R1062" s="63">
        <v>756</v>
      </c>
      <c r="S1062" s="63">
        <v>724</v>
      </c>
      <c r="T1062" s="63">
        <v>707</v>
      </c>
      <c r="U1062" s="63">
        <v>686</v>
      </c>
      <c r="V1062" s="63">
        <v>750</v>
      </c>
      <c r="W1062" s="63">
        <v>894</v>
      </c>
      <c r="X1062" s="63">
        <v>967</v>
      </c>
      <c r="Y1062" s="63">
        <v>947</v>
      </c>
      <c r="Z1062" s="63">
        <v>917</v>
      </c>
      <c r="AA1062" s="63">
        <v>937</v>
      </c>
      <c r="AB1062" s="63">
        <v>1016</v>
      </c>
    </row>
    <row r="1063" spans="1:28" x14ac:dyDescent="0.2">
      <c r="A1063" s="62">
        <v>87</v>
      </c>
      <c r="B1063" s="62" t="s">
        <v>387</v>
      </c>
      <c r="C1063" s="62">
        <v>3</v>
      </c>
      <c r="D1063" s="62" t="s">
        <v>323</v>
      </c>
      <c r="E1063" s="63">
        <v>1663</v>
      </c>
      <c r="F1063" s="63">
        <v>1681</v>
      </c>
      <c r="G1063" s="63">
        <v>1718</v>
      </c>
      <c r="H1063" s="63">
        <v>1808</v>
      </c>
      <c r="I1063" s="63">
        <v>1818</v>
      </c>
      <c r="J1063" s="63">
        <v>1799</v>
      </c>
      <c r="K1063" s="63">
        <v>1781</v>
      </c>
      <c r="L1063" s="63">
        <v>1773</v>
      </c>
      <c r="M1063" s="63">
        <v>1784</v>
      </c>
      <c r="N1063" s="63">
        <v>1760</v>
      </c>
      <c r="O1063" s="63">
        <v>1744</v>
      </c>
      <c r="P1063" s="63">
        <v>1714</v>
      </c>
      <c r="Q1063" s="63">
        <v>1695</v>
      </c>
      <c r="R1063" s="63">
        <v>1696</v>
      </c>
      <c r="S1063" s="63">
        <v>1704</v>
      </c>
      <c r="T1063" s="63">
        <v>1745</v>
      </c>
      <c r="U1063" s="63">
        <v>1762</v>
      </c>
      <c r="V1063" s="63">
        <v>1779</v>
      </c>
      <c r="W1063" s="63">
        <v>1800</v>
      </c>
      <c r="X1063" s="63">
        <v>1704</v>
      </c>
      <c r="Y1063" s="63">
        <v>1770</v>
      </c>
      <c r="Z1063" s="63">
        <v>1807</v>
      </c>
      <c r="AA1063" s="63">
        <v>1885</v>
      </c>
      <c r="AB1063" s="63">
        <v>1912</v>
      </c>
    </row>
    <row r="1064" spans="1:28" x14ac:dyDescent="0.2">
      <c r="A1064" s="62">
        <v>87</v>
      </c>
      <c r="B1064" s="62" t="s">
        <v>387</v>
      </c>
      <c r="C1064" s="62" t="s">
        <v>324</v>
      </c>
      <c r="D1064" s="62" t="s">
        <v>325</v>
      </c>
      <c r="E1064" s="63">
        <v>2776</v>
      </c>
      <c r="F1064" s="63">
        <v>2767</v>
      </c>
      <c r="G1064" s="63">
        <v>2722</v>
      </c>
      <c r="H1064" s="63">
        <v>2533</v>
      </c>
      <c r="I1064" s="63">
        <v>2562</v>
      </c>
      <c r="J1064" s="63">
        <v>2538</v>
      </c>
      <c r="K1064" s="63">
        <v>2371</v>
      </c>
      <c r="L1064" s="63">
        <v>2496</v>
      </c>
      <c r="M1064" s="63">
        <v>2633</v>
      </c>
      <c r="N1064" s="63">
        <v>2693</v>
      </c>
      <c r="O1064" s="63">
        <v>2836</v>
      </c>
      <c r="P1064" s="63">
        <v>2866</v>
      </c>
      <c r="Q1064" s="63">
        <v>2989</v>
      </c>
      <c r="R1064" s="63">
        <v>3034</v>
      </c>
      <c r="S1064" s="63">
        <v>3078</v>
      </c>
      <c r="T1064" s="63">
        <v>3027</v>
      </c>
      <c r="U1064" s="63">
        <v>3107</v>
      </c>
      <c r="V1064" s="63">
        <v>3119</v>
      </c>
      <c r="W1064" s="63">
        <v>3089</v>
      </c>
      <c r="X1064" s="63">
        <v>2975</v>
      </c>
      <c r="Y1064" s="63">
        <v>2965</v>
      </c>
      <c r="Z1064" s="63">
        <v>3105</v>
      </c>
      <c r="AA1064" s="63">
        <v>3204</v>
      </c>
      <c r="AB1064" s="63">
        <v>3475</v>
      </c>
    </row>
    <row r="1065" spans="1:28" x14ac:dyDescent="0.2">
      <c r="A1065" s="62">
        <v>87</v>
      </c>
      <c r="B1065" s="62" t="s">
        <v>387</v>
      </c>
      <c r="C1065" s="62">
        <v>42</v>
      </c>
      <c r="D1065" s="62" t="s">
        <v>326</v>
      </c>
      <c r="E1065" s="63">
        <v>458</v>
      </c>
      <c r="F1065" s="63">
        <v>419</v>
      </c>
      <c r="G1065" s="63">
        <v>388</v>
      </c>
      <c r="H1065" s="63">
        <v>377</v>
      </c>
      <c r="I1065" s="63">
        <v>378</v>
      </c>
      <c r="J1065" s="63">
        <v>373</v>
      </c>
      <c r="K1065" s="63">
        <v>359</v>
      </c>
      <c r="L1065" s="63">
        <v>365</v>
      </c>
      <c r="M1065" s="63">
        <v>340</v>
      </c>
      <c r="N1065" s="63">
        <v>359</v>
      </c>
      <c r="O1065" s="63">
        <v>375</v>
      </c>
      <c r="P1065" s="63">
        <v>389</v>
      </c>
      <c r="Q1065" s="63">
        <v>391</v>
      </c>
      <c r="R1065" s="63">
        <v>454</v>
      </c>
      <c r="S1065" s="63">
        <v>439</v>
      </c>
      <c r="T1065" s="63">
        <v>425</v>
      </c>
      <c r="U1065" s="63">
        <v>403</v>
      </c>
      <c r="V1065" s="63">
        <v>398</v>
      </c>
      <c r="W1065" s="63">
        <v>381</v>
      </c>
      <c r="X1065" s="63">
        <v>353</v>
      </c>
      <c r="Y1065" s="63">
        <v>354</v>
      </c>
      <c r="Z1065" s="63">
        <v>381</v>
      </c>
      <c r="AA1065" s="63">
        <v>369</v>
      </c>
      <c r="AB1065" s="63">
        <v>367</v>
      </c>
    </row>
    <row r="1066" spans="1:28" x14ac:dyDescent="0.2">
      <c r="A1066" s="62">
        <v>87</v>
      </c>
      <c r="B1066" s="62" t="s">
        <v>387</v>
      </c>
      <c r="C1066" s="62" t="s">
        <v>327</v>
      </c>
      <c r="D1066" s="62" t="s">
        <v>328</v>
      </c>
      <c r="E1066" s="63">
        <v>1171</v>
      </c>
      <c r="F1066" s="63">
        <v>1157</v>
      </c>
      <c r="G1066" s="63">
        <v>1393</v>
      </c>
      <c r="H1066" s="63">
        <v>1303</v>
      </c>
      <c r="I1066" s="63">
        <v>1195</v>
      </c>
      <c r="J1066" s="63">
        <v>1218</v>
      </c>
      <c r="K1066" s="63">
        <v>1192</v>
      </c>
      <c r="L1066" s="63">
        <v>1184</v>
      </c>
      <c r="M1066" s="63">
        <v>1124</v>
      </c>
      <c r="N1066" s="63">
        <v>1067</v>
      </c>
      <c r="O1066" s="63">
        <v>1096</v>
      </c>
      <c r="P1066" s="63">
        <v>1141</v>
      </c>
      <c r="Q1066" s="63">
        <v>1143</v>
      </c>
      <c r="R1066" s="63">
        <v>1168</v>
      </c>
      <c r="S1066" s="63">
        <v>1219</v>
      </c>
      <c r="T1066" s="63">
        <v>1190</v>
      </c>
      <c r="U1066" s="63">
        <v>1249</v>
      </c>
      <c r="V1066" s="63">
        <v>1332</v>
      </c>
      <c r="W1066" s="63">
        <v>1354</v>
      </c>
      <c r="X1066" s="63">
        <v>1399</v>
      </c>
      <c r="Y1066" s="63">
        <v>1457</v>
      </c>
      <c r="Z1066" s="63">
        <v>1425</v>
      </c>
      <c r="AA1066" s="63">
        <v>1480</v>
      </c>
      <c r="AB1066" s="63">
        <v>1508</v>
      </c>
    </row>
    <row r="1067" spans="1:28" x14ac:dyDescent="0.2">
      <c r="A1067" s="62">
        <v>87</v>
      </c>
      <c r="B1067" s="62" t="s">
        <v>387</v>
      </c>
      <c r="C1067" s="62" t="s">
        <v>329</v>
      </c>
      <c r="D1067" s="62" t="s">
        <v>330</v>
      </c>
      <c r="E1067" s="63">
        <v>329</v>
      </c>
      <c r="F1067" s="63">
        <v>385</v>
      </c>
      <c r="G1067" s="63">
        <v>447</v>
      </c>
      <c r="H1067" s="63">
        <v>342</v>
      </c>
      <c r="I1067" s="63">
        <v>346</v>
      </c>
      <c r="J1067" s="63">
        <v>377</v>
      </c>
      <c r="K1067" s="63">
        <v>430</v>
      </c>
      <c r="L1067" s="63">
        <v>369</v>
      </c>
      <c r="M1067" s="63">
        <v>338</v>
      </c>
      <c r="N1067" s="63">
        <v>330</v>
      </c>
      <c r="O1067" s="63">
        <v>309</v>
      </c>
      <c r="P1067" s="63">
        <v>341</v>
      </c>
      <c r="Q1067" s="63">
        <v>338</v>
      </c>
      <c r="R1067" s="63">
        <v>397</v>
      </c>
      <c r="S1067" s="63">
        <v>448</v>
      </c>
      <c r="T1067" s="63">
        <v>454</v>
      </c>
      <c r="U1067" s="63">
        <v>473</v>
      </c>
      <c r="V1067" s="63">
        <v>535</v>
      </c>
      <c r="W1067" s="63">
        <v>557</v>
      </c>
      <c r="X1067" s="63">
        <v>577</v>
      </c>
      <c r="Y1067" s="63">
        <v>668</v>
      </c>
      <c r="Z1067" s="63">
        <v>668</v>
      </c>
      <c r="AA1067" s="63">
        <v>692</v>
      </c>
      <c r="AB1067" s="63">
        <v>957</v>
      </c>
    </row>
    <row r="1068" spans="1:28" x14ac:dyDescent="0.2">
      <c r="A1068" s="62">
        <v>87</v>
      </c>
      <c r="B1068" s="62" t="s">
        <v>387</v>
      </c>
      <c r="C1068" s="62">
        <v>51</v>
      </c>
      <c r="D1068" s="62" t="s">
        <v>331</v>
      </c>
      <c r="E1068" s="63">
        <v>168</v>
      </c>
      <c r="F1068" s="63">
        <v>185</v>
      </c>
      <c r="G1068" s="63">
        <v>199</v>
      </c>
      <c r="H1068" s="63">
        <v>187</v>
      </c>
      <c r="I1068" s="63">
        <v>208</v>
      </c>
      <c r="J1068" s="63">
        <v>214</v>
      </c>
      <c r="K1068" s="63">
        <v>240</v>
      </c>
      <c r="L1068" s="63">
        <v>243</v>
      </c>
      <c r="M1068" s="63">
        <v>260</v>
      </c>
      <c r="N1068" s="63">
        <v>273</v>
      </c>
      <c r="O1068" s="63">
        <v>272</v>
      </c>
      <c r="P1068" s="63">
        <v>274</v>
      </c>
      <c r="Q1068" s="63">
        <v>285</v>
      </c>
      <c r="R1068" s="63">
        <v>279</v>
      </c>
      <c r="S1068" s="63">
        <v>296</v>
      </c>
      <c r="T1068" s="63">
        <v>312</v>
      </c>
      <c r="U1068" s="63">
        <v>315</v>
      </c>
      <c r="V1068" s="63">
        <v>300</v>
      </c>
      <c r="W1068" s="63">
        <v>287</v>
      </c>
      <c r="X1068" s="63">
        <v>277</v>
      </c>
      <c r="Y1068" s="63">
        <v>271</v>
      </c>
      <c r="Z1068" s="63">
        <v>266</v>
      </c>
      <c r="AA1068" s="63">
        <v>275</v>
      </c>
      <c r="AB1068" s="63">
        <v>274</v>
      </c>
    </row>
    <row r="1069" spans="1:28" x14ac:dyDescent="0.2">
      <c r="A1069" s="62">
        <v>87</v>
      </c>
      <c r="B1069" s="62" t="s">
        <v>387</v>
      </c>
      <c r="C1069" s="62">
        <v>52</v>
      </c>
      <c r="D1069" s="62" t="s">
        <v>332</v>
      </c>
      <c r="E1069" s="63">
        <v>275</v>
      </c>
      <c r="F1069" s="63">
        <v>271</v>
      </c>
      <c r="G1069" s="63">
        <v>272</v>
      </c>
      <c r="H1069" s="63">
        <v>292</v>
      </c>
      <c r="I1069" s="63">
        <v>294</v>
      </c>
      <c r="J1069" s="63">
        <v>284</v>
      </c>
      <c r="K1069" s="63">
        <v>297</v>
      </c>
      <c r="L1069" s="63">
        <v>300</v>
      </c>
      <c r="M1069" s="63">
        <v>295</v>
      </c>
      <c r="N1069" s="63">
        <v>293</v>
      </c>
      <c r="O1069" s="63">
        <v>289</v>
      </c>
      <c r="P1069" s="63">
        <v>293</v>
      </c>
      <c r="Q1069" s="63">
        <v>294</v>
      </c>
      <c r="R1069" s="63">
        <v>281</v>
      </c>
      <c r="S1069" s="63">
        <v>281</v>
      </c>
      <c r="T1069" s="63">
        <v>274</v>
      </c>
      <c r="U1069" s="63">
        <v>272</v>
      </c>
      <c r="V1069" s="63">
        <v>274</v>
      </c>
      <c r="W1069" s="63">
        <v>262</v>
      </c>
      <c r="X1069" s="63">
        <v>259</v>
      </c>
      <c r="Y1069" s="63">
        <v>270</v>
      </c>
      <c r="Z1069" s="63">
        <v>261</v>
      </c>
      <c r="AA1069" s="63">
        <v>281</v>
      </c>
      <c r="AB1069" s="63">
        <v>298</v>
      </c>
    </row>
    <row r="1070" spans="1:28" x14ac:dyDescent="0.2">
      <c r="A1070" s="62">
        <v>87</v>
      </c>
      <c r="B1070" s="62" t="s">
        <v>387</v>
      </c>
      <c r="C1070" s="62">
        <v>53</v>
      </c>
      <c r="D1070" s="62" t="s">
        <v>333</v>
      </c>
      <c r="E1070" s="63">
        <v>197</v>
      </c>
      <c r="F1070" s="63">
        <v>197</v>
      </c>
      <c r="G1070" s="63">
        <v>209</v>
      </c>
      <c r="H1070" s="63">
        <v>245</v>
      </c>
      <c r="I1070" s="63">
        <v>243</v>
      </c>
      <c r="J1070" s="63">
        <v>222</v>
      </c>
      <c r="K1070" s="63">
        <v>215</v>
      </c>
      <c r="L1070" s="63">
        <v>206</v>
      </c>
      <c r="M1070" s="63">
        <v>203</v>
      </c>
      <c r="N1070" s="63">
        <v>214</v>
      </c>
      <c r="O1070" s="63">
        <v>211</v>
      </c>
      <c r="P1070" s="63">
        <v>207</v>
      </c>
      <c r="Q1070" s="63">
        <v>202</v>
      </c>
      <c r="R1070" s="63">
        <v>218</v>
      </c>
      <c r="S1070" s="63">
        <v>233</v>
      </c>
      <c r="T1070" s="63">
        <v>259</v>
      </c>
      <c r="U1070" s="63">
        <v>275</v>
      </c>
      <c r="V1070" s="63">
        <v>281</v>
      </c>
      <c r="W1070" s="63">
        <v>271</v>
      </c>
      <c r="X1070" s="63">
        <v>277</v>
      </c>
      <c r="Y1070" s="63">
        <v>302</v>
      </c>
      <c r="Z1070" s="63">
        <v>293</v>
      </c>
      <c r="AA1070" s="63">
        <v>242</v>
      </c>
      <c r="AB1070" s="63">
        <v>246</v>
      </c>
    </row>
    <row r="1071" spans="1:28" x14ac:dyDescent="0.2">
      <c r="A1071" s="62">
        <v>87</v>
      </c>
      <c r="B1071" s="62" t="s">
        <v>387</v>
      </c>
      <c r="C1071" s="62">
        <v>54</v>
      </c>
      <c r="D1071" s="62" t="s">
        <v>334</v>
      </c>
      <c r="E1071" s="63">
        <v>256</v>
      </c>
      <c r="F1071" s="63">
        <v>247</v>
      </c>
      <c r="G1071" s="63">
        <v>233</v>
      </c>
      <c r="H1071" s="63">
        <v>243</v>
      </c>
      <c r="I1071" s="63">
        <v>265</v>
      </c>
      <c r="J1071" s="63">
        <v>257</v>
      </c>
      <c r="K1071" s="63">
        <v>263</v>
      </c>
      <c r="L1071" s="63">
        <v>247</v>
      </c>
      <c r="M1071" s="63">
        <v>242</v>
      </c>
      <c r="N1071" s="63">
        <v>254</v>
      </c>
      <c r="O1071" s="63">
        <v>243</v>
      </c>
      <c r="P1071" s="63">
        <v>246</v>
      </c>
      <c r="Q1071" s="63">
        <v>258</v>
      </c>
      <c r="R1071" s="63">
        <v>263</v>
      </c>
      <c r="S1071" s="63">
        <v>260</v>
      </c>
      <c r="T1071" s="63">
        <v>270</v>
      </c>
      <c r="U1071" s="63">
        <v>285</v>
      </c>
      <c r="V1071" s="63">
        <v>427</v>
      </c>
      <c r="W1071" s="63">
        <v>404</v>
      </c>
      <c r="X1071" s="63">
        <v>356</v>
      </c>
      <c r="Y1071" s="63">
        <v>379</v>
      </c>
      <c r="Z1071" s="63">
        <v>368</v>
      </c>
      <c r="AA1071" s="63">
        <v>301</v>
      </c>
      <c r="AB1071" s="63">
        <v>253</v>
      </c>
    </row>
    <row r="1072" spans="1:28" x14ac:dyDescent="0.2">
      <c r="A1072" s="62">
        <v>87</v>
      </c>
      <c r="B1072" s="62" t="s">
        <v>387</v>
      </c>
      <c r="C1072" s="62">
        <v>55</v>
      </c>
      <c r="D1072" s="64" t="s">
        <v>335</v>
      </c>
      <c r="E1072" s="65"/>
      <c r="F1072" s="65"/>
      <c r="G1072" s="65"/>
      <c r="H1072" s="63">
        <v>0</v>
      </c>
      <c r="I1072" s="63">
        <v>4</v>
      </c>
      <c r="J1072" s="62"/>
      <c r="K1072" s="62"/>
      <c r="L1072" s="62"/>
      <c r="M1072" s="62"/>
      <c r="N1072" s="62"/>
      <c r="O1072" s="62"/>
      <c r="P1072" s="62"/>
      <c r="Q1072" s="62"/>
      <c r="R1072" s="63">
        <v>11</v>
      </c>
      <c r="S1072" s="63">
        <v>16</v>
      </c>
      <c r="T1072" s="62"/>
      <c r="U1072" s="63">
        <v>11</v>
      </c>
      <c r="V1072" s="63">
        <v>16</v>
      </c>
      <c r="W1072" s="63">
        <v>15</v>
      </c>
      <c r="X1072" s="63">
        <v>13</v>
      </c>
      <c r="Y1072" s="63">
        <v>8</v>
      </c>
      <c r="Z1072" s="63">
        <v>12</v>
      </c>
      <c r="AA1072" s="63">
        <v>13</v>
      </c>
      <c r="AB1072" s="63">
        <v>16</v>
      </c>
    </row>
    <row r="1073" spans="1:28" x14ac:dyDescent="0.2">
      <c r="A1073" s="62">
        <v>87</v>
      </c>
      <c r="B1073" s="62" t="s">
        <v>387</v>
      </c>
      <c r="C1073" s="62">
        <v>56</v>
      </c>
      <c r="D1073" s="62" t="s">
        <v>336</v>
      </c>
      <c r="E1073" s="63">
        <v>377</v>
      </c>
      <c r="F1073" s="63">
        <v>349</v>
      </c>
      <c r="G1073" s="63">
        <v>363</v>
      </c>
      <c r="H1073" s="63">
        <v>415</v>
      </c>
      <c r="I1073" s="63">
        <v>463</v>
      </c>
      <c r="J1073" s="63">
        <v>478</v>
      </c>
      <c r="K1073" s="63">
        <v>548</v>
      </c>
      <c r="L1073" s="63">
        <v>577</v>
      </c>
      <c r="M1073" s="63">
        <v>521</v>
      </c>
      <c r="N1073" s="63">
        <v>472</v>
      </c>
      <c r="O1073" s="63">
        <v>459</v>
      </c>
      <c r="P1073" s="63">
        <v>510</v>
      </c>
      <c r="Q1073" s="63">
        <v>546</v>
      </c>
      <c r="R1073" s="63">
        <v>649</v>
      </c>
      <c r="S1073" s="63">
        <v>479</v>
      </c>
      <c r="T1073" s="63">
        <v>464</v>
      </c>
      <c r="U1073" s="63">
        <v>460</v>
      </c>
      <c r="V1073" s="63">
        <v>557</v>
      </c>
      <c r="W1073" s="63">
        <v>573</v>
      </c>
      <c r="X1073" s="63">
        <v>575</v>
      </c>
      <c r="Y1073" s="63">
        <v>666</v>
      </c>
      <c r="Z1073" s="63">
        <v>750</v>
      </c>
      <c r="AA1073" s="63">
        <v>742</v>
      </c>
      <c r="AB1073" s="63">
        <v>474</v>
      </c>
    </row>
    <row r="1074" spans="1:28" x14ac:dyDescent="0.2">
      <c r="A1074" s="62">
        <v>87</v>
      </c>
      <c r="B1074" s="62" t="s">
        <v>387</v>
      </c>
      <c r="C1074" s="62">
        <v>61</v>
      </c>
      <c r="D1074" s="64" t="s">
        <v>337</v>
      </c>
      <c r="E1074" s="65"/>
      <c r="F1074" s="63">
        <v>0</v>
      </c>
      <c r="G1074" s="63">
        <v>0</v>
      </c>
      <c r="H1074" s="62"/>
      <c r="I1074" s="63">
        <v>24</v>
      </c>
      <c r="J1074" s="62"/>
      <c r="K1074" s="63">
        <v>22</v>
      </c>
      <c r="L1074" s="63">
        <v>30</v>
      </c>
      <c r="M1074" s="63">
        <v>28</v>
      </c>
      <c r="N1074" s="63">
        <v>22</v>
      </c>
      <c r="O1074" s="62"/>
      <c r="P1074" s="63">
        <v>45</v>
      </c>
      <c r="Q1074" s="63">
        <v>42</v>
      </c>
      <c r="R1074" s="63">
        <v>41</v>
      </c>
      <c r="S1074" s="63">
        <v>44</v>
      </c>
      <c r="T1074" s="63">
        <v>40</v>
      </c>
      <c r="U1074" s="63">
        <v>34</v>
      </c>
      <c r="V1074" s="63">
        <v>43</v>
      </c>
      <c r="W1074" s="63">
        <v>56</v>
      </c>
      <c r="X1074" s="63">
        <v>47</v>
      </c>
      <c r="Y1074" s="63">
        <v>65</v>
      </c>
      <c r="Z1074" s="63">
        <v>57</v>
      </c>
      <c r="AA1074" s="63">
        <v>58</v>
      </c>
      <c r="AB1074" s="63">
        <v>89</v>
      </c>
    </row>
    <row r="1075" spans="1:28" x14ac:dyDescent="0.2">
      <c r="A1075" s="62">
        <v>87</v>
      </c>
      <c r="B1075" s="62" t="s">
        <v>387</v>
      </c>
      <c r="C1075" s="62">
        <v>62</v>
      </c>
      <c r="D1075" s="62" t="s">
        <v>338</v>
      </c>
      <c r="E1075" s="63">
        <v>1264</v>
      </c>
      <c r="F1075" s="63">
        <v>1353</v>
      </c>
      <c r="G1075" s="63">
        <v>1336</v>
      </c>
      <c r="H1075" s="63">
        <v>1364</v>
      </c>
      <c r="I1075" s="63">
        <v>1325</v>
      </c>
      <c r="J1075" s="63">
        <v>1168</v>
      </c>
      <c r="K1075" s="63">
        <v>1099</v>
      </c>
      <c r="L1075" s="63">
        <v>1116</v>
      </c>
      <c r="M1075" s="63">
        <v>1238</v>
      </c>
      <c r="N1075" s="63">
        <v>1308</v>
      </c>
      <c r="O1075" s="63">
        <v>1320</v>
      </c>
      <c r="P1075" s="63">
        <v>1319</v>
      </c>
      <c r="Q1075" s="63">
        <v>1282</v>
      </c>
      <c r="R1075" s="63">
        <v>1304</v>
      </c>
      <c r="S1075" s="63">
        <v>1308</v>
      </c>
      <c r="T1075" s="63">
        <v>1325</v>
      </c>
      <c r="U1075" s="63">
        <v>1366</v>
      </c>
      <c r="V1075" s="63">
        <v>1360</v>
      </c>
      <c r="W1075" s="63">
        <v>1321</v>
      </c>
      <c r="X1075" s="63">
        <v>1231</v>
      </c>
      <c r="Y1075" s="63">
        <v>1147</v>
      </c>
      <c r="Z1075" s="63">
        <v>1105</v>
      </c>
      <c r="AA1075" s="63">
        <v>1083</v>
      </c>
      <c r="AB1075" s="63">
        <v>1159</v>
      </c>
    </row>
    <row r="1076" spans="1:28" x14ac:dyDescent="0.2">
      <c r="A1076" s="62">
        <v>87</v>
      </c>
      <c r="B1076" s="62" t="s">
        <v>387</v>
      </c>
      <c r="C1076" s="62">
        <v>71</v>
      </c>
      <c r="D1076" s="62" t="s">
        <v>339</v>
      </c>
      <c r="E1076" s="63">
        <v>85</v>
      </c>
      <c r="F1076" s="63">
        <v>109</v>
      </c>
      <c r="G1076" s="63">
        <v>113</v>
      </c>
      <c r="H1076" s="63">
        <v>110</v>
      </c>
      <c r="I1076" s="63">
        <v>112</v>
      </c>
      <c r="J1076" s="63">
        <v>120</v>
      </c>
      <c r="K1076" s="63">
        <v>125</v>
      </c>
      <c r="L1076" s="63">
        <v>117</v>
      </c>
      <c r="M1076" s="63">
        <v>107</v>
      </c>
      <c r="N1076" s="63">
        <v>120</v>
      </c>
      <c r="O1076" s="63">
        <v>114</v>
      </c>
      <c r="P1076" s="63">
        <v>114</v>
      </c>
      <c r="Q1076" s="63">
        <v>110</v>
      </c>
      <c r="R1076" s="63">
        <v>113</v>
      </c>
      <c r="S1076" s="63">
        <v>118</v>
      </c>
      <c r="T1076" s="63">
        <v>115</v>
      </c>
      <c r="U1076" s="63">
        <v>125</v>
      </c>
      <c r="V1076" s="63">
        <v>138</v>
      </c>
      <c r="W1076" s="63">
        <v>140</v>
      </c>
      <c r="X1076" s="63">
        <v>107</v>
      </c>
      <c r="Y1076" s="63">
        <v>128</v>
      </c>
      <c r="Z1076" s="63">
        <v>136</v>
      </c>
      <c r="AA1076" s="63">
        <v>153</v>
      </c>
      <c r="AB1076" s="63">
        <v>170</v>
      </c>
    </row>
    <row r="1077" spans="1:28" x14ac:dyDescent="0.2">
      <c r="A1077" s="62">
        <v>87</v>
      </c>
      <c r="B1077" s="62" t="s">
        <v>387</v>
      </c>
      <c r="C1077" s="62">
        <v>72</v>
      </c>
      <c r="D1077" s="62" t="s">
        <v>340</v>
      </c>
      <c r="E1077" s="63">
        <v>718</v>
      </c>
      <c r="F1077" s="63">
        <v>723</v>
      </c>
      <c r="G1077" s="63">
        <v>758</v>
      </c>
      <c r="H1077" s="63">
        <v>803</v>
      </c>
      <c r="I1077" s="63">
        <v>800</v>
      </c>
      <c r="J1077" s="63">
        <v>807</v>
      </c>
      <c r="K1077" s="63">
        <v>807</v>
      </c>
      <c r="L1077" s="63">
        <v>796</v>
      </c>
      <c r="M1077" s="63">
        <v>784</v>
      </c>
      <c r="N1077" s="63">
        <v>773</v>
      </c>
      <c r="O1077" s="63">
        <v>803</v>
      </c>
      <c r="P1077" s="63">
        <v>867</v>
      </c>
      <c r="Q1077" s="63">
        <v>928</v>
      </c>
      <c r="R1077" s="63">
        <v>909</v>
      </c>
      <c r="S1077" s="63">
        <v>918</v>
      </c>
      <c r="T1077" s="63">
        <v>949</v>
      </c>
      <c r="U1077" s="63">
        <v>972</v>
      </c>
      <c r="V1077" s="63">
        <v>930</v>
      </c>
      <c r="W1077" s="63">
        <v>925</v>
      </c>
      <c r="X1077" s="63">
        <v>822</v>
      </c>
      <c r="Y1077" s="63">
        <v>922</v>
      </c>
      <c r="Z1077" s="63">
        <v>976</v>
      </c>
      <c r="AA1077" s="63">
        <v>983</v>
      </c>
      <c r="AB1077" s="63">
        <v>955</v>
      </c>
    </row>
    <row r="1078" spans="1:28" x14ac:dyDescent="0.2">
      <c r="A1078" s="62">
        <v>87</v>
      </c>
      <c r="B1078" s="62" t="s">
        <v>387</v>
      </c>
      <c r="C1078" s="62">
        <v>81</v>
      </c>
      <c r="D1078" s="62" t="s">
        <v>341</v>
      </c>
      <c r="E1078" s="63">
        <v>434</v>
      </c>
      <c r="F1078" s="63">
        <v>444</v>
      </c>
      <c r="G1078" s="63">
        <v>440</v>
      </c>
      <c r="H1078" s="63">
        <v>414</v>
      </c>
      <c r="I1078" s="63">
        <v>433</v>
      </c>
      <c r="J1078" s="63">
        <v>438</v>
      </c>
      <c r="K1078" s="63">
        <v>392</v>
      </c>
      <c r="L1078" s="63">
        <v>408</v>
      </c>
      <c r="M1078" s="63">
        <v>385</v>
      </c>
      <c r="N1078" s="63">
        <v>401</v>
      </c>
      <c r="O1078" s="63">
        <v>433</v>
      </c>
      <c r="P1078" s="63">
        <v>441</v>
      </c>
      <c r="Q1078" s="63">
        <v>462</v>
      </c>
      <c r="R1078" s="63">
        <v>452</v>
      </c>
      <c r="S1078" s="63">
        <v>468</v>
      </c>
      <c r="T1078" s="63">
        <v>447</v>
      </c>
      <c r="U1078" s="63">
        <v>511</v>
      </c>
      <c r="V1078" s="63">
        <v>421</v>
      </c>
      <c r="W1078" s="63">
        <v>421</v>
      </c>
      <c r="X1078" s="63">
        <v>428</v>
      </c>
      <c r="Y1078" s="63">
        <v>446</v>
      </c>
      <c r="Z1078" s="63">
        <v>451</v>
      </c>
      <c r="AA1078" s="63">
        <v>427</v>
      </c>
      <c r="AB1078" s="63">
        <v>440</v>
      </c>
    </row>
    <row r="1079" spans="1:28" x14ac:dyDescent="0.2">
      <c r="A1079" s="62">
        <v>87</v>
      </c>
      <c r="B1079" s="62" t="s">
        <v>387</v>
      </c>
      <c r="C1079" s="62">
        <v>99</v>
      </c>
      <c r="D1079" s="62" t="s">
        <v>342</v>
      </c>
      <c r="E1079" s="62"/>
      <c r="F1079" s="63">
        <v>0</v>
      </c>
      <c r="G1079" s="63">
        <v>0</v>
      </c>
      <c r="H1079" s="62"/>
      <c r="I1079" s="63">
        <v>0</v>
      </c>
      <c r="J1079" s="62"/>
      <c r="K1079" s="62"/>
      <c r="L1079" s="62"/>
      <c r="M1079" s="62"/>
      <c r="N1079" s="62"/>
      <c r="O1079" s="62"/>
      <c r="P1079" s="62"/>
      <c r="Q1079" s="62"/>
      <c r="R1079" s="62"/>
      <c r="S1079" s="63">
        <v>3</v>
      </c>
      <c r="T1079" s="62"/>
      <c r="U1079" s="62"/>
      <c r="V1079" s="62"/>
      <c r="W1079" s="63">
        <v>1</v>
      </c>
      <c r="X1079" s="63">
        <v>0</v>
      </c>
      <c r="Y1079" s="63">
        <v>0</v>
      </c>
      <c r="Z1079" s="63">
        <v>0</v>
      </c>
      <c r="AA1079" s="63">
        <v>2</v>
      </c>
      <c r="AB1079" s="63">
        <v>1</v>
      </c>
    </row>
    <row r="1080" spans="1:28" x14ac:dyDescent="0.2">
      <c r="A1080" s="62">
        <v>89</v>
      </c>
      <c r="B1080" s="62" t="s">
        <v>388</v>
      </c>
      <c r="C1080" s="62">
        <v>1</v>
      </c>
      <c r="D1080" s="62" t="s">
        <v>316</v>
      </c>
      <c r="E1080" s="63">
        <v>125</v>
      </c>
      <c r="F1080" s="63">
        <v>125</v>
      </c>
      <c r="G1080" s="63">
        <v>127</v>
      </c>
      <c r="H1080" s="63">
        <v>116</v>
      </c>
      <c r="I1080" s="63">
        <v>114</v>
      </c>
      <c r="J1080" s="63">
        <v>110</v>
      </c>
      <c r="K1080" s="63">
        <v>107</v>
      </c>
      <c r="L1080" s="63">
        <v>113</v>
      </c>
      <c r="M1080" s="63">
        <v>109</v>
      </c>
      <c r="N1080" s="63">
        <v>119</v>
      </c>
      <c r="O1080" s="63">
        <v>123</v>
      </c>
      <c r="P1080" s="63">
        <v>117</v>
      </c>
      <c r="Q1080" s="63">
        <v>108</v>
      </c>
      <c r="R1080" s="63">
        <v>112</v>
      </c>
      <c r="S1080" s="63">
        <v>112</v>
      </c>
      <c r="T1080" s="63">
        <v>109</v>
      </c>
      <c r="U1080" s="63">
        <v>102</v>
      </c>
      <c r="V1080" s="63">
        <v>103</v>
      </c>
      <c r="W1080" s="63">
        <v>99</v>
      </c>
      <c r="X1080" s="63">
        <v>98</v>
      </c>
      <c r="Y1080" s="63">
        <v>98</v>
      </c>
      <c r="Z1080" s="63">
        <v>93</v>
      </c>
      <c r="AA1080" s="63">
        <v>95</v>
      </c>
      <c r="AB1080" s="63">
        <v>98</v>
      </c>
    </row>
    <row r="1081" spans="1:28" x14ac:dyDescent="0.2">
      <c r="A1081" s="62">
        <v>89</v>
      </c>
      <c r="B1081" s="62" t="s">
        <v>388</v>
      </c>
      <c r="C1081" s="62">
        <v>10</v>
      </c>
      <c r="D1081" s="62" t="s">
        <v>317</v>
      </c>
      <c r="E1081" s="63">
        <v>8145</v>
      </c>
      <c r="F1081" s="63">
        <v>8115</v>
      </c>
      <c r="G1081" s="63">
        <v>8017</v>
      </c>
      <c r="H1081" s="63">
        <v>8006</v>
      </c>
      <c r="I1081" s="63">
        <v>7863</v>
      </c>
      <c r="J1081" s="63">
        <v>7682</v>
      </c>
      <c r="K1081" s="63">
        <v>7523</v>
      </c>
      <c r="L1081" s="63">
        <v>7347</v>
      </c>
      <c r="M1081" s="63">
        <v>7471</v>
      </c>
      <c r="N1081" s="63">
        <v>7334</v>
      </c>
      <c r="O1081" s="63">
        <v>7202</v>
      </c>
      <c r="P1081" s="63">
        <v>7071</v>
      </c>
      <c r="Q1081" s="63">
        <v>7096</v>
      </c>
      <c r="R1081" s="63">
        <v>6937</v>
      </c>
      <c r="S1081" s="63">
        <v>6996</v>
      </c>
      <c r="T1081" s="63">
        <v>7106</v>
      </c>
      <c r="U1081" s="63">
        <v>7108</v>
      </c>
      <c r="V1081" s="63">
        <v>7129</v>
      </c>
      <c r="W1081" s="63">
        <v>7197</v>
      </c>
      <c r="X1081" s="63">
        <v>7022</v>
      </c>
      <c r="Y1081" s="63">
        <v>7120</v>
      </c>
      <c r="Z1081" s="63">
        <v>7168</v>
      </c>
      <c r="AA1081" s="63">
        <v>7193</v>
      </c>
      <c r="AB1081" s="63">
        <v>7199</v>
      </c>
    </row>
    <row r="1082" spans="1:28" x14ac:dyDescent="0.2">
      <c r="A1082" s="62">
        <v>89</v>
      </c>
      <c r="B1082" s="62" t="s">
        <v>388</v>
      </c>
      <c r="C1082" s="62">
        <v>11</v>
      </c>
      <c r="D1082" s="62" t="s">
        <v>318</v>
      </c>
      <c r="E1082" s="63">
        <v>309</v>
      </c>
      <c r="F1082" s="63">
        <v>276</v>
      </c>
      <c r="G1082" s="63">
        <v>259</v>
      </c>
      <c r="H1082" s="63">
        <v>251</v>
      </c>
      <c r="I1082" s="63">
        <v>247</v>
      </c>
      <c r="J1082" s="63">
        <v>254</v>
      </c>
      <c r="K1082" s="63">
        <v>227</v>
      </c>
      <c r="L1082" s="63">
        <v>206</v>
      </c>
      <c r="M1082" s="63">
        <v>305</v>
      </c>
      <c r="N1082" s="63">
        <v>281</v>
      </c>
      <c r="O1082" s="63">
        <v>274</v>
      </c>
      <c r="P1082" s="63">
        <v>265</v>
      </c>
      <c r="Q1082" s="63">
        <v>252</v>
      </c>
      <c r="R1082" s="63">
        <v>263</v>
      </c>
      <c r="S1082" s="63">
        <v>275</v>
      </c>
      <c r="T1082" s="63">
        <v>278</v>
      </c>
      <c r="U1082" s="63">
        <v>298</v>
      </c>
      <c r="V1082" s="63">
        <v>277</v>
      </c>
      <c r="W1082" s="63">
        <v>278</v>
      </c>
      <c r="X1082" s="63">
        <v>269</v>
      </c>
      <c r="Y1082" s="63">
        <v>257</v>
      </c>
      <c r="Z1082" s="63">
        <v>213</v>
      </c>
      <c r="AA1082" s="63">
        <v>275</v>
      </c>
      <c r="AB1082" s="63">
        <v>315</v>
      </c>
    </row>
    <row r="1083" spans="1:28" x14ac:dyDescent="0.2">
      <c r="A1083" s="62">
        <v>89</v>
      </c>
      <c r="B1083" s="62" t="s">
        <v>388</v>
      </c>
      <c r="C1083" s="62">
        <v>2</v>
      </c>
      <c r="D1083" s="62" t="s">
        <v>319</v>
      </c>
      <c r="E1083" s="63">
        <v>437</v>
      </c>
      <c r="F1083" s="63">
        <v>436</v>
      </c>
      <c r="G1083" s="63">
        <v>452</v>
      </c>
      <c r="H1083" s="63">
        <v>456</v>
      </c>
      <c r="I1083" s="63">
        <v>457</v>
      </c>
      <c r="J1083" s="63">
        <v>436</v>
      </c>
      <c r="K1083" s="63">
        <v>433</v>
      </c>
      <c r="L1083" s="63">
        <v>428</v>
      </c>
      <c r="M1083" s="63">
        <v>446</v>
      </c>
      <c r="N1083" s="63">
        <v>436</v>
      </c>
      <c r="O1083" s="63">
        <v>415</v>
      </c>
      <c r="P1083" s="63">
        <v>413</v>
      </c>
      <c r="Q1083" s="63">
        <v>428</v>
      </c>
      <c r="R1083" s="63">
        <v>416</v>
      </c>
      <c r="S1083" s="63">
        <v>417</v>
      </c>
      <c r="T1083" s="63">
        <v>425</v>
      </c>
      <c r="U1083" s="63">
        <v>423</v>
      </c>
      <c r="V1083" s="63">
        <v>419</v>
      </c>
      <c r="W1083" s="63">
        <v>426</v>
      </c>
      <c r="X1083" s="63">
        <v>405</v>
      </c>
      <c r="Y1083" s="63">
        <v>428</v>
      </c>
      <c r="Z1083" s="63">
        <v>468</v>
      </c>
      <c r="AA1083" s="63">
        <v>482</v>
      </c>
      <c r="AB1083" s="63">
        <v>481</v>
      </c>
    </row>
    <row r="1084" spans="1:28" x14ac:dyDescent="0.2">
      <c r="A1084" s="62">
        <v>89</v>
      </c>
      <c r="B1084" s="62" t="s">
        <v>388</v>
      </c>
      <c r="C1084" s="62">
        <v>21</v>
      </c>
      <c r="D1084" s="64" t="s">
        <v>320</v>
      </c>
      <c r="E1084" s="65"/>
      <c r="F1084" s="65"/>
      <c r="G1084" s="65"/>
      <c r="H1084" s="62"/>
      <c r="I1084" s="62"/>
      <c r="J1084" s="62"/>
      <c r="K1084" s="62"/>
      <c r="L1084" s="63">
        <v>0</v>
      </c>
      <c r="M1084" s="62"/>
      <c r="N1084" s="63">
        <v>1</v>
      </c>
      <c r="O1084" s="62"/>
      <c r="P1084" s="63">
        <v>0</v>
      </c>
      <c r="Q1084" s="63">
        <v>0</v>
      </c>
      <c r="R1084" s="62"/>
      <c r="S1084" s="62"/>
      <c r="T1084" s="62"/>
      <c r="U1084" s="63">
        <v>0</v>
      </c>
      <c r="V1084" s="63">
        <v>3</v>
      </c>
      <c r="W1084" s="63">
        <v>4</v>
      </c>
      <c r="X1084" s="63">
        <v>4</v>
      </c>
      <c r="Y1084" s="62"/>
      <c r="Z1084" s="63">
        <v>4</v>
      </c>
      <c r="AA1084" s="63">
        <v>4</v>
      </c>
      <c r="AB1084" s="63">
        <v>4</v>
      </c>
    </row>
    <row r="1085" spans="1:28" x14ac:dyDescent="0.2">
      <c r="A1085" s="62">
        <v>89</v>
      </c>
      <c r="B1085" s="62" t="s">
        <v>388</v>
      </c>
      <c r="C1085" s="62">
        <v>22</v>
      </c>
      <c r="D1085" s="62" t="s">
        <v>321</v>
      </c>
      <c r="E1085" s="63">
        <v>79</v>
      </c>
      <c r="F1085" s="63">
        <v>76</v>
      </c>
      <c r="G1085" s="63">
        <v>74</v>
      </c>
      <c r="H1085" s="63">
        <v>74</v>
      </c>
      <c r="I1085" s="63">
        <v>70</v>
      </c>
      <c r="J1085" s="63">
        <v>72</v>
      </c>
      <c r="K1085" s="62"/>
      <c r="L1085" s="63">
        <v>68</v>
      </c>
      <c r="M1085" s="63">
        <v>80</v>
      </c>
      <c r="N1085" s="63">
        <v>81</v>
      </c>
      <c r="O1085" s="63">
        <v>77</v>
      </c>
      <c r="P1085" s="63">
        <v>83</v>
      </c>
      <c r="Q1085" s="63">
        <v>84</v>
      </c>
      <c r="R1085" s="63">
        <v>87</v>
      </c>
      <c r="S1085" s="63">
        <v>64</v>
      </c>
      <c r="T1085" s="63">
        <v>63</v>
      </c>
      <c r="U1085" s="63">
        <v>66</v>
      </c>
      <c r="V1085" s="63">
        <v>65</v>
      </c>
      <c r="W1085" s="63">
        <v>66</v>
      </c>
      <c r="X1085" s="63">
        <v>63</v>
      </c>
      <c r="Y1085" s="63">
        <v>55</v>
      </c>
      <c r="Z1085" s="63">
        <v>54</v>
      </c>
      <c r="AA1085" s="63">
        <v>58</v>
      </c>
      <c r="AB1085" s="63">
        <v>59</v>
      </c>
    </row>
    <row r="1086" spans="1:28" x14ac:dyDescent="0.2">
      <c r="A1086" s="62">
        <v>89</v>
      </c>
      <c r="B1086" s="62" t="s">
        <v>388</v>
      </c>
      <c r="C1086" s="62">
        <v>23</v>
      </c>
      <c r="D1086" s="62" t="s">
        <v>322</v>
      </c>
      <c r="E1086" s="63">
        <v>315</v>
      </c>
      <c r="F1086" s="63">
        <v>311</v>
      </c>
      <c r="G1086" s="63">
        <v>272</v>
      </c>
      <c r="H1086" s="63">
        <v>285</v>
      </c>
      <c r="I1086" s="63">
        <v>274</v>
      </c>
      <c r="J1086" s="63">
        <v>298</v>
      </c>
      <c r="K1086" s="63">
        <v>307</v>
      </c>
      <c r="L1086" s="63">
        <v>287</v>
      </c>
      <c r="M1086" s="63">
        <v>261</v>
      </c>
      <c r="N1086" s="63">
        <v>255</v>
      </c>
      <c r="O1086" s="63">
        <v>255</v>
      </c>
      <c r="P1086" s="63">
        <v>237</v>
      </c>
      <c r="Q1086" s="63">
        <v>436</v>
      </c>
      <c r="R1086" s="63">
        <v>341</v>
      </c>
      <c r="S1086" s="63">
        <v>298</v>
      </c>
      <c r="T1086" s="63">
        <v>291</v>
      </c>
      <c r="U1086" s="63">
        <v>286</v>
      </c>
      <c r="V1086" s="63">
        <v>292</v>
      </c>
      <c r="W1086" s="63">
        <v>354</v>
      </c>
      <c r="X1086" s="63">
        <v>362</v>
      </c>
      <c r="Y1086" s="63">
        <v>367</v>
      </c>
      <c r="Z1086" s="63">
        <v>346</v>
      </c>
      <c r="AA1086" s="63">
        <v>365</v>
      </c>
      <c r="AB1086" s="63">
        <v>360</v>
      </c>
    </row>
    <row r="1087" spans="1:28" x14ac:dyDescent="0.2">
      <c r="A1087" s="62">
        <v>89</v>
      </c>
      <c r="B1087" s="62" t="s">
        <v>388</v>
      </c>
      <c r="C1087" s="62">
        <v>3</v>
      </c>
      <c r="D1087" s="62" t="s">
        <v>323</v>
      </c>
      <c r="E1087" s="63">
        <v>1250</v>
      </c>
      <c r="F1087" s="63">
        <v>1292</v>
      </c>
      <c r="G1087" s="63">
        <v>1254</v>
      </c>
      <c r="H1087" s="63">
        <v>1219</v>
      </c>
      <c r="I1087" s="63">
        <v>1212</v>
      </c>
      <c r="J1087" s="63">
        <v>1192</v>
      </c>
      <c r="K1087" s="63">
        <v>1167</v>
      </c>
      <c r="L1087" s="63">
        <v>1156</v>
      </c>
      <c r="M1087" s="63">
        <v>1157</v>
      </c>
      <c r="N1087" s="63">
        <v>1129</v>
      </c>
      <c r="O1087" s="63">
        <v>1087</v>
      </c>
      <c r="P1087" s="63">
        <v>1101</v>
      </c>
      <c r="Q1087" s="63">
        <v>1101</v>
      </c>
      <c r="R1087" s="63">
        <v>1120</v>
      </c>
      <c r="S1087" s="63">
        <v>1131</v>
      </c>
      <c r="T1087" s="63">
        <v>1153</v>
      </c>
      <c r="U1087" s="63">
        <v>1163</v>
      </c>
      <c r="V1087" s="63">
        <v>1176</v>
      </c>
      <c r="W1087" s="63">
        <v>1202</v>
      </c>
      <c r="X1087" s="63">
        <v>1179</v>
      </c>
      <c r="Y1087" s="63">
        <v>1227</v>
      </c>
      <c r="Z1087" s="63">
        <v>1266</v>
      </c>
      <c r="AA1087" s="63">
        <v>1204</v>
      </c>
      <c r="AB1087" s="63">
        <v>1131</v>
      </c>
    </row>
    <row r="1088" spans="1:28" x14ac:dyDescent="0.2">
      <c r="A1088" s="62">
        <v>89</v>
      </c>
      <c r="B1088" s="62" t="s">
        <v>388</v>
      </c>
      <c r="C1088" s="62" t="s">
        <v>324</v>
      </c>
      <c r="D1088" s="62" t="s">
        <v>325</v>
      </c>
      <c r="E1088" s="63">
        <v>571</v>
      </c>
      <c r="F1088" s="63">
        <v>548</v>
      </c>
      <c r="G1088" s="63">
        <v>575</v>
      </c>
      <c r="H1088" s="63">
        <v>631</v>
      </c>
      <c r="I1088" s="63">
        <v>558</v>
      </c>
      <c r="J1088" s="63">
        <v>461</v>
      </c>
      <c r="K1088" s="63">
        <v>451</v>
      </c>
      <c r="L1088" s="63">
        <v>479</v>
      </c>
      <c r="M1088" s="63">
        <v>488</v>
      </c>
      <c r="N1088" s="63">
        <v>464</v>
      </c>
      <c r="O1088" s="63">
        <v>447</v>
      </c>
      <c r="P1088" s="63">
        <v>506</v>
      </c>
      <c r="Q1088" s="63">
        <v>506</v>
      </c>
      <c r="R1088" s="63">
        <v>519</v>
      </c>
      <c r="S1088" s="63">
        <v>560</v>
      </c>
      <c r="T1088" s="63">
        <v>512</v>
      </c>
      <c r="U1088" s="63">
        <v>502</v>
      </c>
      <c r="V1088" s="63">
        <v>559</v>
      </c>
      <c r="W1088" s="63">
        <v>580</v>
      </c>
      <c r="X1088" s="63">
        <v>559</v>
      </c>
      <c r="Y1088" s="63">
        <v>525</v>
      </c>
      <c r="Z1088" s="63">
        <v>519</v>
      </c>
      <c r="AA1088" s="63">
        <v>524</v>
      </c>
      <c r="AB1088" s="63">
        <v>505</v>
      </c>
    </row>
    <row r="1089" spans="1:28" x14ac:dyDescent="0.2">
      <c r="A1089" s="62">
        <v>89</v>
      </c>
      <c r="B1089" s="62" t="s">
        <v>388</v>
      </c>
      <c r="C1089" s="62">
        <v>42</v>
      </c>
      <c r="D1089" s="62" t="s">
        <v>326</v>
      </c>
      <c r="E1089" s="63">
        <v>431</v>
      </c>
      <c r="F1089" s="63">
        <v>433</v>
      </c>
      <c r="G1089" s="63">
        <v>430</v>
      </c>
      <c r="H1089" s="63">
        <v>390</v>
      </c>
      <c r="I1089" s="63">
        <v>372</v>
      </c>
      <c r="J1089" s="63">
        <v>375</v>
      </c>
      <c r="K1089" s="63">
        <v>332</v>
      </c>
      <c r="L1089" s="63">
        <v>332</v>
      </c>
      <c r="M1089" s="63">
        <v>303</v>
      </c>
      <c r="N1089" s="63">
        <v>292</v>
      </c>
      <c r="O1089" s="63">
        <v>278</v>
      </c>
      <c r="P1089" s="63">
        <v>244</v>
      </c>
      <c r="Q1089" s="63">
        <v>233</v>
      </c>
      <c r="R1089" s="63">
        <v>237</v>
      </c>
      <c r="S1089" s="63">
        <v>253</v>
      </c>
      <c r="T1089" s="63">
        <v>266</v>
      </c>
      <c r="U1089" s="63">
        <v>262</v>
      </c>
      <c r="V1089" s="63">
        <v>280</v>
      </c>
      <c r="W1089" s="63">
        <v>269</v>
      </c>
      <c r="X1089" s="63">
        <v>275</v>
      </c>
      <c r="Y1089" s="63">
        <v>272</v>
      </c>
      <c r="Z1089" s="63">
        <v>283</v>
      </c>
      <c r="AA1089" s="63">
        <v>310</v>
      </c>
      <c r="AB1089" s="63">
        <v>320</v>
      </c>
    </row>
    <row r="1090" spans="1:28" x14ac:dyDescent="0.2">
      <c r="A1090" s="62">
        <v>89</v>
      </c>
      <c r="B1090" s="62" t="s">
        <v>388</v>
      </c>
      <c r="C1090" s="62" t="s">
        <v>327</v>
      </c>
      <c r="D1090" s="62" t="s">
        <v>328</v>
      </c>
      <c r="E1090" s="63">
        <v>1069</v>
      </c>
      <c r="F1090" s="63">
        <v>1065</v>
      </c>
      <c r="G1090" s="63">
        <v>1015</v>
      </c>
      <c r="H1090" s="63">
        <v>1007</v>
      </c>
      <c r="I1090" s="63">
        <v>992</v>
      </c>
      <c r="J1090" s="63">
        <v>950</v>
      </c>
      <c r="K1090" s="63">
        <v>972</v>
      </c>
      <c r="L1090" s="63">
        <v>884</v>
      </c>
      <c r="M1090" s="63">
        <v>913</v>
      </c>
      <c r="N1090" s="63">
        <v>897</v>
      </c>
      <c r="O1090" s="63">
        <v>837</v>
      </c>
      <c r="P1090" s="63">
        <v>836</v>
      </c>
      <c r="Q1090" s="63">
        <v>842</v>
      </c>
      <c r="R1090" s="63">
        <v>813</v>
      </c>
      <c r="S1090" s="63">
        <v>793</v>
      </c>
      <c r="T1090" s="63">
        <v>793</v>
      </c>
      <c r="U1090" s="63">
        <v>813</v>
      </c>
      <c r="V1090" s="63">
        <v>817</v>
      </c>
      <c r="W1090" s="63">
        <v>792</v>
      </c>
      <c r="X1090" s="63">
        <v>825</v>
      </c>
      <c r="Y1090" s="63">
        <v>842</v>
      </c>
      <c r="Z1090" s="63">
        <v>795</v>
      </c>
      <c r="AA1090" s="63">
        <v>789</v>
      </c>
      <c r="AB1090" s="63">
        <v>782</v>
      </c>
    </row>
    <row r="1091" spans="1:28" x14ac:dyDescent="0.2">
      <c r="A1091" s="62">
        <v>89</v>
      </c>
      <c r="B1091" s="62" t="s">
        <v>388</v>
      </c>
      <c r="C1091" s="62" t="s">
        <v>329</v>
      </c>
      <c r="D1091" s="62" t="s">
        <v>330</v>
      </c>
      <c r="E1091" s="63">
        <v>278</v>
      </c>
      <c r="F1091" s="63">
        <v>245</v>
      </c>
      <c r="G1091" s="63">
        <v>259</v>
      </c>
      <c r="H1091" s="63">
        <v>280</v>
      </c>
      <c r="I1091" s="63">
        <v>223</v>
      </c>
      <c r="J1091" s="63">
        <v>206</v>
      </c>
      <c r="K1091" s="63">
        <v>223</v>
      </c>
      <c r="L1091" s="63">
        <v>206</v>
      </c>
      <c r="M1091" s="63">
        <v>191</v>
      </c>
      <c r="N1091" s="63">
        <v>188</v>
      </c>
      <c r="O1091" s="63">
        <v>180</v>
      </c>
      <c r="P1091" s="63">
        <v>172</v>
      </c>
      <c r="Q1091" s="63">
        <v>177</v>
      </c>
      <c r="R1091" s="63">
        <v>161</v>
      </c>
      <c r="S1091" s="63">
        <v>124</v>
      </c>
      <c r="T1091" s="63">
        <v>111</v>
      </c>
      <c r="U1091" s="63">
        <v>117</v>
      </c>
      <c r="V1091" s="63">
        <v>104</v>
      </c>
      <c r="W1091" s="63">
        <v>108</v>
      </c>
      <c r="X1091" s="63">
        <v>101</v>
      </c>
      <c r="Y1091" s="63">
        <v>150</v>
      </c>
      <c r="Z1091" s="63">
        <v>155</v>
      </c>
      <c r="AA1091" s="63">
        <v>151</v>
      </c>
      <c r="AB1091" s="63">
        <v>163</v>
      </c>
    </row>
    <row r="1092" spans="1:28" x14ac:dyDescent="0.2">
      <c r="A1092" s="62">
        <v>89</v>
      </c>
      <c r="B1092" s="62" t="s">
        <v>388</v>
      </c>
      <c r="C1092" s="62">
        <v>51</v>
      </c>
      <c r="D1092" s="62" t="s">
        <v>331</v>
      </c>
      <c r="E1092" s="63">
        <v>167</v>
      </c>
      <c r="F1092" s="63">
        <v>143</v>
      </c>
      <c r="G1092" s="63">
        <v>143</v>
      </c>
      <c r="H1092" s="63">
        <v>109</v>
      </c>
      <c r="I1092" s="63">
        <v>122</v>
      </c>
      <c r="J1092" s="63">
        <v>115</v>
      </c>
      <c r="K1092" s="63">
        <v>105</v>
      </c>
      <c r="L1092" s="63">
        <v>107</v>
      </c>
      <c r="M1092" s="63">
        <v>112</v>
      </c>
      <c r="N1092" s="63">
        <v>123</v>
      </c>
      <c r="O1092" s="63">
        <v>123</v>
      </c>
      <c r="P1092" s="63">
        <v>107</v>
      </c>
      <c r="Q1092" s="63">
        <v>94</v>
      </c>
      <c r="R1092" s="63">
        <v>70</v>
      </c>
      <c r="S1092" s="63">
        <v>128</v>
      </c>
      <c r="T1092" s="63">
        <v>153</v>
      </c>
      <c r="U1092" s="63">
        <v>146</v>
      </c>
      <c r="V1092" s="63">
        <v>136</v>
      </c>
      <c r="W1092" s="63">
        <v>120</v>
      </c>
      <c r="X1092" s="63">
        <v>110</v>
      </c>
      <c r="Y1092" s="63">
        <v>94</v>
      </c>
      <c r="Z1092" s="63">
        <v>86</v>
      </c>
      <c r="AA1092" s="63">
        <v>89</v>
      </c>
      <c r="AB1092" s="63">
        <v>83</v>
      </c>
    </row>
    <row r="1093" spans="1:28" x14ac:dyDescent="0.2">
      <c r="A1093" s="62">
        <v>89</v>
      </c>
      <c r="B1093" s="62" t="s">
        <v>388</v>
      </c>
      <c r="C1093" s="62">
        <v>52</v>
      </c>
      <c r="D1093" s="62" t="s">
        <v>332</v>
      </c>
      <c r="E1093" s="63">
        <v>250</v>
      </c>
      <c r="F1093" s="63">
        <v>277</v>
      </c>
      <c r="G1093" s="63">
        <v>274</v>
      </c>
      <c r="H1093" s="63">
        <v>265</v>
      </c>
      <c r="I1093" s="63">
        <v>227</v>
      </c>
      <c r="J1093" s="63">
        <v>238</v>
      </c>
      <c r="K1093" s="63">
        <v>244</v>
      </c>
      <c r="L1093" s="63">
        <v>249</v>
      </c>
      <c r="M1093" s="63">
        <v>233</v>
      </c>
      <c r="N1093" s="63">
        <v>224</v>
      </c>
      <c r="O1093" s="63">
        <v>219</v>
      </c>
      <c r="P1093" s="63">
        <v>211</v>
      </c>
      <c r="Q1093" s="63">
        <v>206</v>
      </c>
      <c r="R1093" s="63">
        <v>209</v>
      </c>
      <c r="S1093" s="63">
        <v>205</v>
      </c>
      <c r="T1093" s="63">
        <v>199</v>
      </c>
      <c r="U1093" s="63">
        <v>193</v>
      </c>
      <c r="V1093" s="63">
        <v>191</v>
      </c>
      <c r="W1093" s="63">
        <v>189</v>
      </c>
      <c r="X1093" s="63">
        <v>190</v>
      </c>
      <c r="Y1093" s="63">
        <v>197</v>
      </c>
      <c r="Z1093" s="63">
        <v>185</v>
      </c>
      <c r="AA1093" s="63">
        <v>184</v>
      </c>
      <c r="AB1093" s="63">
        <v>178</v>
      </c>
    </row>
    <row r="1094" spans="1:28" x14ac:dyDescent="0.2">
      <c r="A1094" s="62">
        <v>89</v>
      </c>
      <c r="B1094" s="62" t="s">
        <v>388</v>
      </c>
      <c r="C1094" s="62">
        <v>53</v>
      </c>
      <c r="D1094" s="62" t="s">
        <v>333</v>
      </c>
      <c r="E1094" s="63">
        <v>166</v>
      </c>
      <c r="F1094" s="63">
        <v>143</v>
      </c>
      <c r="G1094" s="63">
        <v>150</v>
      </c>
      <c r="H1094" s="63">
        <v>151</v>
      </c>
      <c r="I1094" s="63">
        <v>147</v>
      </c>
      <c r="J1094" s="63">
        <v>139</v>
      </c>
      <c r="K1094" s="63">
        <v>126</v>
      </c>
      <c r="L1094" s="63">
        <v>128</v>
      </c>
      <c r="M1094" s="63">
        <v>134</v>
      </c>
      <c r="N1094" s="63">
        <v>140</v>
      </c>
      <c r="O1094" s="63">
        <v>137</v>
      </c>
      <c r="P1094" s="63">
        <v>125</v>
      </c>
      <c r="Q1094" s="63">
        <v>130</v>
      </c>
      <c r="R1094" s="63">
        <v>113</v>
      </c>
      <c r="S1094" s="63">
        <v>114</v>
      </c>
      <c r="T1094" s="63">
        <v>115</v>
      </c>
      <c r="U1094" s="63">
        <v>113</v>
      </c>
      <c r="V1094" s="63">
        <v>119</v>
      </c>
      <c r="W1094" s="63">
        <v>118</v>
      </c>
      <c r="X1094" s="63">
        <v>107</v>
      </c>
      <c r="Y1094" s="63">
        <v>114</v>
      </c>
      <c r="Z1094" s="63">
        <v>107</v>
      </c>
      <c r="AA1094" s="63">
        <v>108</v>
      </c>
      <c r="AB1094" s="63">
        <v>92</v>
      </c>
    </row>
    <row r="1095" spans="1:28" x14ac:dyDescent="0.2">
      <c r="A1095" s="62">
        <v>89</v>
      </c>
      <c r="B1095" s="62" t="s">
        <v>388</v>
      </c>
      <c r="C1095" s="62">
        <v>54</v>
      </c>
      <c r="D1095" s="62" t="s">
        <v>334</v>
      </c>
      <c r="E1095" s="63">
        <v>181</v>
      </c>
      <c r="F1095" s="63">
        <v>180</v>
      </c>
      <c r="G1095" s="63">
        <v>178</v>
      </c>
      <c r="H1095" s="63">
        <v>187</v>
      </c>
      <c r="I1095" s="63">
        <v>193</v>
      </c>
      <c r="J1095" s="63">
        <v>192</v>
      </c>
      <c r="K1095" s="63">
        <v>184</v>
      </c>
      <c r="L1095" s="63">
        <v>189</v>
      </c>
      <c r="M1095" s="63">
        <v>191</v>
      </c>
      <c r="N1095" s="63">
        <v>189</v>
      </c>
      <c r="O1095" s="63">
        <v>183</v>
      </c>
      <c r="P1095" s="63">
        <v>179</v>
      </c>
      <c r="Q1095" s="63">
        <v>176</v>
      </c>
      <c r="R1095" s="63">
        <v>202</v>
      </c>
      <c r="S1095" s="63">
        <v>203</v>
      </c>
      <c r="T1095" s="63">
        <v>192</v>
      </c>
      <c r="U1095" s="63">
        <v>204</v>
      </c>
      <c r="V1095" s="63">
        <v>200</v>
      </c>
      <c r="W1095" s="63">
        <v>204</v>
      </c>
      <c r="X1095" s="63">
        <v>211</v>
      </c>
      <c r="Y1095" s="63">
        <v>218</v>
      </c>
      <c r="Z1095" s="63">
        <v>216</v>
      </c>
      <c r="AA1095" s="63">
        <v>191</v>
      </c>
      <c r="AB1095" s="63">
        <v>204</v>
      </c>
    </row>
    <row r="1096" spans="1:28" x14ac:dyDescent="0.2">
      <c r="A1096" s="62">
        <v>89</v>
      </c>
      <c r="B1096" s="62" t="s">
        <v>388</v>
      </c>
      <c r="C1096" s="62">
        <v>55</v>
      </c>
      <c r="D1096" s="62" t="s">
        <v>335</v>
      </c>
      <c r="E1096" s="63">
        <v>0</v>
      </c>
      <c r="F1096" s="62"/>
      <c r="G1096" s="62"/>
      <c r="H1096" s="62"/>
      <c r="I1096" s="62"/>
      <c r="J1096" s="63">
        <v>10</v>
      </c>
      <c r="K1096" s="62"/>
      <c r="L1096" s="63">
        <v>11</v>
      </c>
      <c r="M1096" s="62"/>
      <c r="N1096" s="63">
        <v>10</v>
      </c>
      <c r="O1096" s="62"/>
      <c r="P1096" s="63">
        <v>9</v>
      </c>
      <c r="Q1096" s="63">
        <v>8</v>
      </c>
      <c r="R1096" s="62"/>
      <c r="S1096" s="62"/>
      <c r="T1096" s="63">
        <v>1</v>
      </c>
      <c r="U1096" s="63">
        <v>1</v>
      </c>
      <c r="V1096" s="63">
        <v>1</v>
      </c>
      <c r="W1096" s="63">
        <v>1</v>
      </c>
      <c r="X1096" s="63">
        <v>1</v>
      </c>
      <c r="Y1096" s="63">
        <v>1</v>
      </c>
      <c r="Z1096" s="63">
        <v>1</v>
      </c>
      <c r="AA1096" s="63">
        <v>0</v>
      </c>
      <c r="AB1096" s="62"/>
    </row>
    <row r="1097" spans="1:28" x14ac:dyDescent="0.2">
      <c r="A1097" s="62">
        <v>89</v>
      </c>
      <c r="B1097" s="62" t="s">
        <v>388</v>
      </c>
      <c r="C1097" s="62">
        <v>56</v>
      </c>
      <c r="D1097" s="62" t="s">
        <v>336</v>
      </c>
      <c r="E1097" s="63">
        <v>101</v>
      </c>
      <c r="F1097" s="63">
        <v>106</v>
      </c>
      <c r="G1097" s="63">
        <v>103</v>
      </c>
      <c r="H1097" s="63">
        <v>103</v>
      </c>
      <c r="I1097" s="63">
        <v>117</v>
      </c>
      <c r="J1097" s="63">
        <v>155</v>
      </c>
      <c r="K1097" s="63">
        <v>147</v>
      </c>
      <c r="L1097" s="63">
        <v>151</v>
      </c>
      <c r="M1097" s="63">
        <v>231</v>
      </c>
      <c r="N1097" s="63">
        <v>220</v>
      </c>
      <c r="O1097" s="63">
        <v>204</v>
      </c>
      <c r="P1097" s="63">
        <v>212</v>
      </c>
      <c r="Q1097" s="63">
        <v>192</v>
      </c>
      <c r="R1097" s="63">
        <v>129</v>
      </c>
      <c r="S1097" s="63">
        <v>124</v>
      </c>
      <c r="T1097" s="63">
        <v>138</v>
      </c>
      <c r="U1097" s="63">
        <v>130</v>
      </c>
      <c r="V1097" s="63">
        <v>147</v>
      </c>
      <c r="W1097" s="63">
        <v>158</v>
      </c>
      <c r="X1097" s="63">
        <v>152</v>
      </c>
      <c r="Y1097" s="63">
        <v>159</v>
      </c>
      <c r="Z1097" s="63">
        <v>167</v>
      </c>
      <c r="AA1097" s="63">
        <v>164</v>
      </c>
      <c r="AB1097" s="63">
        <v>185</v>
      </c>
    </row>
    <row r="1098" spans="1:28" x14ac:dyDescent="0.2">
      <c r="A1098" s="62">
        <v>89</v>
      </c>
      <c r="B1098" s="62" t="s">
        <v>388</v>
      </c>
      <c r="C1098" s="62">
        <v>61</v>
      </c>
      <c r="D1098" s="62" t="s">
        <v>337</v>
      </c>
      <c r="E1098" s="63">
        <v>13</v>
      </c>
      <c r="F1098" s="63">
        <v>17</v>
      </c>
      <c r="G1098" s="62"/>
      <c r="H1098" s="62"/>
      <c r="I1098" s="63">
        <v>28</v>
      </c>
      <c r="J1098" s="63">
        <v>32</v>
      </c>
      <c r="K1098" s="63">
        <v>23</v>
      </c>
      <c r="L1098" s="63">
        <v>27</v>
      </c>
      <c r="M1098" s="63">
        <v>33</v>
      </c>
      <c r="N1098" s="63">
        <v>25</v>
      </c>
      <c r="O1098" s="63">
        <v>21</v>
      </c>
      <c r="P1098" s="63">
        <v>26</v>
      </c>
      <c r="Q1098" s="63">
        <v>17</v>
      </c>
      <c r="R1098" s="63">
        <v>19</v>
      </c>
      <c r="S1098" s="63">
        <v>15</v>
      </c>
      <c r="T1098" s="63">
        <v>17</v>
      </c>
      <c r="U1098" s="63">
        <v>15</v>
      </c>
      <c r="V1098" s="63">
        <v>14</v>
      </c>
      <c r="W1098" s="63">
        <v>24</v>
      </c>
      <c r="X1098" s="63">
        <v>27</v>
      </c>
      <c r="Y1098" s="63">
        <v>26</v>
      </c>
      <c r="Z1098" s="63">
        <v>33</v>
      </c>
      <c r="AA1098" s="63">
        <v>46</v>
      </c>
      <c r="AB1098" s="63">
        <v>46</v>
      </c>
    </row>
    <row r="1099" spans="1:28" x14ac:dyDescent="0.2">
      <c r="A1099" s="62">
        <v>89</v>
      </c>
      <c r="B1099" s="62" t="s">
        <v>388</v>
      </c>
      <c r="C1099" s="62">
        <v>62</v>
      </c>
      <c r="D1099" s="62" t="s">
        <v>338</v>
      </c>
      <c r="E1099" s="63">
        <v>1388</v>
      </c>
      <c r="F1099" s="63">
        <v>1447</v>
      </c>
      <c r="G1099" s="63">
        <v>1432</v>
      </c>
      <c r="H1099" s="63">
        <v>1426</v>
      </c>
      <c r="I1099" s="63">
        <v>1454</v>
      </c>
      <c r="J1099" s="63">
        <v>1457</v>
      </c>
      <c r="K1099" s="63">
        <v>1395</v>
      </c>
      <c r="L1099" s="63">
        <v>1369</v>
      </c>
      <c r="M1099" s="63">
        <v>1333</v>
      </c>
      <c r="N1099" s="63">
        <v>1343</v>
      </c>
      <c r="O1099" s="63">
        <v>1372</v>
      </c>
      <c r="P1099" s="63">
        <v>1316</v>
      </c>
      <c r="Q1099" s="63">
        <v>1205</v>
      </c>
      <c r="R1099" s="63">
        <v>1230</v>
      </c>
      <c r="S1099" s="63">
        <v>1262</v>
      </c>
      <c r="T1099" s="63">
        <v>1300</v>
      </c>
      <c r="U1099" s="63">
        <v>1279</v>
      </c>
      <c r="V1099" s="63">
        <v>1294</v>
      </c>
      <c r="W1099" s="63">
        <v>1274</v>
      </c>
      <c r="X1099" s="63">
        <v>1239</v>
      </c>
      <c r="Y1099" s="63">
        <v>1158</v>
      </c>
      <c r="Z1099" s="63">
        <v>1169</v>
      </c>
      <c r="AA1099" s="63">
        <v>1170</v>
      </c>
      <c r="AB1099" s="63">
        <v>1213</v>
      </c>
    </row>
    <row r="1100" spans="1:28" x14ac:dyDescent="0.2">
      <c r="A1100" s="62">
        <v>89</v>
      </c>
      <c r="B1100" s="62" t="s">
        <v>388</v>
      </c>
      <c r="C1100" s="62">
        <v>71</v>
      </c>
      <c r="D1100" s="62" t="s">
        <v>339</v>
      </c>
      <c r="E1100" s="63">
        <v>62</v>
      </c>
      <c r="F1100" s="63">
        <v>49</v>
      </c>
      <c r="G1100" s="63">
        <v>59</v>
      </c>
      <c r="H1100" s="63">
        <v>62</v>
      </c>
      <c r="I1100" s="63">
        <v>76</v>
      </c>
      <c r="J1100" s="63">
        <v>60</v>
      </c>
      <c r="K1100" s="63">
        <v>61</v>
      </c>
      <c r="L1100" s="63">
        <v>66</v>
      </c>
      <c r="M1100" s="63">
        <v>80</v>
      </c>
      <c r="N1100" s="63">
        <v>76</v>
      </c>
      <c r="O1100" s="63">
        <v>75</v>
      </c>
      <c r="P1100" s="63">
        <v>66</v>
      </c>
      <c r="Q1100" s="63">
        <v>53</v>
      </c>
      <c r="R1100" s="63">
        <v>52</v>
      </c>
      <c r="S1100" s="63">
        <v>49</v>
      </c>
      <c r="T1100" s="63">
        <v>59</v>
      </c>
      <c r="U1100" s="63">
        <v>59</v>
      </c>
      <c r="V1100" s="63">
        <v>58</v>
      </c>
      <c r="W1100" s="63">
        <v>65</v>
      </c>
      <c r="X1100" s="63">
        <v>45</v>
      </c>
      <c r="Y1100" s="63">
        <v>60</v>
      </c>
      <c r="Z1100" s="63">
        <v>67</v>
      </c>
      <c r="AA1100" s="63">
        <v>70</v>
      </c>
      <c r="AB1100" s="63">
        <v>67</v>
      </c>
    </row>
    <row r="1101" spans="1:28" x14ac:dyDescent="0.2">
      <c r="A1101" s="62">
        <v>89</v>
      </c>
      <c r="B1101" s="62" t="s">
        <v>388</v>
      </c>
      <c r="C1101" s="62">
        <v>72</v>
      </c>
      <c r="D1101" s="62" t="s">
        <v>340</v>
      </c>
      <c r="E1101" s="63">
        <v>593</v>
      </c>
      <c r="F1101" s="63">
        <v>588</v>
      </c>
      <c r="G1101" s="63">
        <v>588</v>
      </c>
      <c r="H1101" s="63">
        <v>594</v>
      </c>
      <c r="I1101" s="63">
        <v>609</v>
      </c>
      <c r="J1101" s="63">
        <v>601</v>
      </c>
      <c r="K1101" s="63">
        <v>593</v>
      </c>
      <c r="L1101" s="63">
        <v>554</v>
      </c>
      <c r="M1101" s="63">
        <v>542</v>
      </c>
      <c r="N1101" s="63">
        <v>527</v>
      </c>
      <c r="O1101" s="63">
        <v>535</v>
      </c>
      <c r="P1101" s="63">
        <v>511</v>
      </c>
      <c r="Q1101" s="63">
        <v>527</v>
      </c>
      <c r="R1101" s="63">
        <v>522</v>
      </c>
      <c r="S1101" s="63">
        <v>557</v>
      </c>
      <c r="T1101" s="63">
        <v>575</v>
      </c>
      <c r="U1101" s="63">
        <v>584</v>
      </c>
      <c r="V1101" s="63">
        <v>590</v>
      </c>
      <c r="W1101" s="63">
        <v>577</v>
      </c>
      <c r="X1101" s="63">
        <v>521</v>
      </c>
      <c r="Y1101" s="63">
        <v>583</v>
      </c>
      <c r="Z1101" s="63">
        <v>635</v>
      </c>
      <c r="AA1101" s="63">
        <v>615</v>
      </c>
      <c r="AB1101" s="63">
        <v>607</v>
      </c>
    </row>
    <row r="1102" spans="1:28" x14ac:dyDescent="0.2">
      <c r="A1102" s="62">
        <v>89</v>
      </c>
      <c r="B1102" s="62" t="s">
        <v>388</v>
      </c>
      <c r="C1102" s="62">
        <v>81</v>
      </c>
      <c r="D1102" s="62" t="s">
        <v>341</v>
      </c>
      <c r="E1102" s="63">
        <v>344</v>
      </c>
      <c r="F1102" s="63">
        <v>339</v>
      </c>
      <c r="G1102" s="63">
        <v>337</v>
      </c>
      <c r="H1102" s="63">
        <v>344</v>
      </c>
      <c r="I1102" s="63">
        <v>343</v>
      </c>
      <c r="J1102" s="63">
        <v>318</v>
      </c>
      <c r="K1102" s="63">
        <v>343</v>
      </c>
      <c r="L1102" s="63">
        <v>323</v>
      </c>
      <c r="M1102" s="63">
        <v>303</v>
      </c>
      <c r="N1102" s="63">
        <v>301</v>
      </c>
      <c r="O1102" s="63">
        <v>318</v>
      </c>
      <c r="P1102" s="63">
        <v>303</v>
      </c>
      <c r="Q1102" s="63">
        <v>309</v>
      </c>
      <c r="R1102" s="63">
        <v>296</v>
      </c>
      <c r="S1102" s="63">
        <v>295</v>
      </c>
      <c r="T1102" s="63">
        <v>336</v>
      </c>
      <c r="U1102" s="63">
        <v>340</v>
      </c>
      <c r="V1102" s="63">
        <v>277</v>
      </c>
      <c r="W1102" s="63">
        <v>277</v>
      </c>
      <c r="X1102" s="63">
        <v>270</v>
      </c>
      <c r="Y1102" s="63">
        <v>276</v>
      </c>
      <c r="Z1102" s="63">
        <v>294</v>
      </c>
      <c r="AA1102" s="63">
        <v>291</v>
      </c>
      <c r="AB1102" s="63">
        <v>297</v>
      </c>
    </row>
    <row r="1103" spans="1:28" x14ac:dyDescent="0.2">
      <c r="A1103" s="62">
        <v>89</v>
      </c>
      <c r="B1103" s="62" t="s">
        <v>388</v>
      </c>
      <c r="C1103" s="62">
        <v>99</v>
      </c>
      <c r="D1103" s="62" t="s">
        <v>342</v>
      </c>
      <c r="E1103" s="63">
        <v>0</v>
      </c>
      <c r="F1103" s="62"/>
      <c r="G1103" s="62"/>
      <c r="H1103" s="62"/>
      <c r="I1103" s="62"/>
      <c r="J1103" s="62"/>
      <c r="K1103" s="62"/>
      <c r="L1103" s="62"/>
      <c r="M1103" s="62"/>
      <c r="N1103" s="62"/>
      <c r="O1103" s="62"/>
      <c r="P1103" s="62"/>
      <c r="Q1103" s="62"/>
      <c r="R1103" s="62"/>
      <c r="S1103" s="63">
        <v>4</v>
      </c>
      <c r="T1103" s="62"/>
      <c r="U1103" s="62"/>
      <c r="V1103" s="62"/>
      <c r="W1103" s="62"/>
      <c r="X1103" s="62"/>
      <c r="Y1103" s="62"/>
      <c r="Z1103" s="62"/>
      <c r="AA1103" s="63">
        <v>0</v>
      </c>
      <c r="AB1103" s="63">
        <v>0</v>
      </c>
    </row>
    <row r="1104" spans="1:28" x14ac:dyDescent="0.2">
      <c r="A1104" s="62">
        <v>91</v>
      </c>
      <c r="B1104" s="62" t="s">
        <v>389</v>
      </c>
      <c r="C1104" s="62">
        <v>1</v>
      </c>
      <c r="D1104" s="62" t="s">
        <v>316</v>
      </c>
      <c r="E1104" s="63">
        <v>9</v>
      </c>
      <c r="F1104" s="63">
        <v>9</v>
      </c>
      <c r="G1104" s="63">
        <v>9</v>
      </c>
      <c r="H1104" s="63">
        <v>11</v>
      </c>
      <c r="I1104" s="63">
        <v>11</v>
      </c>
      <c r="J1104" s="63">
        <v>11</v>
      </c>
      <c r="K1104" s="63">
        <v>11</v>
      </c>
      <c r="L1104" s="63">
        <v>11</v>
      </c>
      <c r="M1104" s="63">
        <v>12</v>
      </c>
      <c r="N1104" s="63">
        <v>15</v>
      </c>
      <c r="O1104" s="63">
        <v>11</v>
      </c>
      <c r="P1104" s="63">
        <v>11</v>
      </c>
      <c r="Q1104" s="63">
        <v>11</v>
      </c>
      <c r="R1104" s="63">
        <v>12</v>
      </c>
      <c r="S1104" s="63">
        <v>11</v>
      </c>
      <c r="T1104" s="63">
        <v>12</v>
      </c>
      <c r="U1104" s="63">
        <v>14</v>
      </c>
      <c r="V1104" s="63">
        <v>11</v>
      </c>
      <c r="W1104" s="63">
        <v>13</v>
      </c>
      <c r="X1104" s="63">
        <v>17</v>
      </c>
      <c r="Y1104" s="63">
        <v>12</v>
      </c>
      <c r="Z1104" s="63">
        <v>10</v>
      </c>
      <c r="AA1104" s="63">
        <v>9</v>
      </c>
      <c r="AB1104" s="63">
        <v>10</v>
      </c>
    </row>
    <row r="1105" spans="1:28" x14ac:dyDescent="0.2">
      <c r="A1105" s="62">
        <v>91</v>
      </c>
      <c r="B1105" s="62" t="s">
        <v>389</v>
      </c>
      <c r="C1105" s="62">
        <v>10</v>
      </c>
      <c r="D1105" s="62" t="s">
        <v>317</v>
      </c>
      <c r="E1105" s="63">
        <v>2058</v>
      </c>
      <c r="F1105" s="63">
        <v>2062</v>
      </c>
      <c r="G1105" s="63">
        <v>2105</v>
      </c>
      <c r="H1105" s="63">
        <v>2307</v>
      </c>
      <c r="I1105" s="63">
        <v>2471</v>
      </c>
      <c r="J1105" s="63">
        <v>2640</v>
      </c>
      <c r="K1105" s="63">
        <v>2713</v>
      </c>
      <c r="L1105" s="63">
        <v>2639</v>
      </c>
      <c r="M1105" s="63">
        <v>2479</v>
      </c>
      <c r="N1105" s="63">
        <v>2386</v>
      </c>
      <c r="O1105" s="63">
        <v>2308</v>
      </c>
      <c r="P1105" s="63">
        <v>2388</v>
      </c>
      <c r="Q1105" s="63">
        <v>2482</v>
      </c>
      <c r="R1105" s="63">
        <v>2544</v>
      </c>
      <c r="S1105" s="63">
        <v>2660</v>
      </c>
      <c r="T1105" s="63">
        <v>2644</v>
      </c>
      <c r="U1105" s="63">
        <v>2736</v>
      </c>
      <c r="V1105" s="63">
        <v>2821</v>
      </c>
      <c r="W1105" s="63">
        <v>2901</v>
      </c>
      <c r="X1105" s="63">
        <v>2894</v>
      </c>
      <c r="Y1105" s="63">
        <v>3198</v>
      </c>
      <c r="Z1105" s="63">
        <v>3140</v>
      </c>
      <c r="AA1105" s="63">
        <v>3271</v>
      </c>
      <c r="AB1105" s="63">
        <v>3266</v>
      </c>
    </row>
    <row r="1106" spans="1:28" x14ac:dyDescent="0.2">
      <c r="A1106" s="62">
        <v>91</v>
      </c>
      <c r="B1106" s="62" t="s">
        <v>389</v>
      </c>
      <c r="C1106" s="62">
        <v>11</v>
      </c>
      <c r="D1106" s="62" t="s">
        <v>318</v>
      </c>
      <c r="E1106" s="63">
        <v>85</v>
      </c>
      <c r="F1106" s="63">
        <v>71</v>
      </c>
      <c r="G1106" s="63">
        <v>54</v>
      </c>
      <c r="H1106" s="63">
        <v>48</v>
      </c>
      <c r="I1106" s="63">
        <v>63</v>
      </c>
      <c r="J1106" s="63">
        <v>63</v>
      </c>
      <c r="K1106" s="62"/>
      <c r="L1106" s="63">
        <v>66</v>
      </c>
      <c r="M1106" s="63">
        <v>61</v>
      </c>
      <c r="N1106" s="63">
        <v>60</v>
      </c>
      <c r="O1106" s="63">
        <v>65</v>
      </c>
      <c r="P1106" s="63">
        <v>56</v>
      </c>
      <c r="Q1106" s="63">
        <v>62</v>
      </c>
      <c r="R1106" s="63">
        <v>51</v>
      </c>
      <c r="S1106" s="63">
        <v>48</v>
      </c>
      <c r="T1106" s="63">
        <v>47</v>
      </c>
      <c r="U1106" s="63">
        <v>60</v>
      </c>
      <c r="V1106" s="63">
        <v>72</v>
      </c>
      <c r="W1106" s="63">
        <v>81</v>
      </c>
      <c r="X1106" s="63">
        <v>93</v>
      </c>
      <c r="Y1106" s="63">
        <v>116</v>
      </c>
      <c r="Z1106" s="63">
        <v>102</v>
      </c>
      <c r="AA1106" s="63">
        <v>98</v>
      </c>
      <c r="AB1106" s="63">
        <v>81</v>
      </c>
    </row>
    <row r="1107" spans="1:28" x14ac:dyDescent="0.2">
      <c r="A1107" s="62">
        <v>91</v>
      </c>
      <c r="B1107" s="62" t="s">
        <v>389</v>
      </c>
      <c r="C1107" s="62">
        <v>2</v>
      </c>
      <c r="D1107" s="62" t="s">
        <v>319</v>
      </c>
      <c r="E1107" s="63">
        <v>14</v>
      </c>
      <c r="F1107" s="63">
        <v>13</v>
      </c>
      <c r="G1107" s="63">
        <v>15</v>
      </c>
      <c r="H1107" s="63">
        <v>14</v>
      </c>
      <c r="I1107" s="63">
        <v>14</v>
      </c>
      <c r="J1107" s="63">
        <v>26</v>
      </c>
      <c r="K1107" s="63">
        <v>25</v>
      </c>
      <c r="L1107" s="63">
        <v>26</v>
      </c>
      <c r="M1107" s="63">
        <v>28</v>
      </c>
      <c r="N1107" s="63">
        <v>31</v>
      </c>
      <c r="O1107" s="63">
        <v>33</v>
      </c>
      <c r="P1107" s="63">
        <v>34</v>
      </c>
      <c r="Q1107" s="63">
        <v>35</v>
      </c>
      <c r="R1107" s="63">
        <v>36</v>
      </c>
      <c r="S1107" s="63">
        <v>37</v>
      </c>
      <c r="T1107" s="63">
        <v>39</v>
      </c>
      <c r="U1107" s="63">
        <v>36</v>
      </c>
      <c r="V1107" s="63">
        <v>35</v>
      </c>
      <c r="W1107" s="63">
        <v>36</v>
      </c>
      <c r="X1107" s="63">
        <v>41</v>
      </c>
      <c r="Y1107" s="63">
        <v>36</v>
      </c>
      <c r="Z1107" s="63">
        <v>39</v>
      </c>
      <c r="AA1107" s="63">
        <v>35</v>
      </c>
      <c r="AB1107" s="63">
        <v>36</v>
      </c>
    </row>
    <row r="1108" spans="1:28" x14ac:dyDescent="0.2">
      <c r="A1108" s="62">
        <v>91</v>
      </c>
      <c r="B1108" s="62" t="s">
        <v>389</v>
      </c>
      <c r="C1108" s="62">
        <v>21</v>
      </c>
      <c r="D1108" s="62" t="s">
        <v>320</v>
      </c>
      <c r="E1108" s="63">
        <v>13</v>
      </c>
      <c r="F1108" s="62"/>
      <c r="G1108" s="62"/>
      <c r="H1108" s="63">
        <v>7</v>
      </c>
      <c r="I1108" s="62"/>
      <c r="J1108" s="62"/>
      <c r="K1108" s="63">
        <v>7</v>
      </c>
      <c r="L1108" s="63">
        <v>12</v>
      </c>
      <c r="M1108" s="63">
        <v>10</v>
      </c>
      <c r="N1108" s="63">
        <v>8</v>
      </c>
      <c r="O1108" s="63">
        <v>5</v>
      </c>
      <c r="P1108" s="63">
        <v>43</v>
      </c>
      <c r="Q1108" s="62"/>
      <c r="R1108" s="63">
        <v>108</v>
      </c>
      <c r="S1108" s="62"/>
      <c r="T1108" s="63">
        <v>46</v>
      </c>
      <c r="U1108" s="63">
        <v>37</v>
      </c>
      <c r="V1108" s="63">
        <v>31</v>
      </c>
      <c r="W1108" s="63">
        <v>29</v>
      </c>
      <c r="X1108" s="62"/>
      <c r="Y1108" s="62"/>
      <c r="Z1108" s="62"/>
      <c r="AA1108" s="63">
        <v>7</v>
      </c>
      <c r="AB1108" s="63">
        <v>8</v>
      </c>
    </row>
    <row r="1109" spans="1:28" x14ac:dyDescent="0.2">
      <c r="A1109" s="62">
        <v>91</v>
      </c>
      <c r="B1109" s="62" t="s">
        <v>389</v>
      </c>
      <c r="C1109" s="62">
        <v>22</v>
      </c>
      <c r="D1109" s="62" t="s">
        <v>321</v>
      </c>
      <c r="E1109" s="62"/>
      <c r="F1109" s="62"/>
      <c r="G1109" s="62"/>
      <c r="H1109" s="63">
        <v>0</v>
      </c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</row>
    <row r="1110" spans="1:28" x14ac:dyDescent="0.2">
      <c r="A1110" s="62">
        <v>91</v>
      </c>
      <c r="B1110" s="62" t="s">
        <v>389</v>
      </c>
      <c r="C1110" s="62">
        <v>23</v>
      </c>
      <c r="D1110" s="62" t="s">
        <v>322</v>
      </c>
      <c r="E1110" s="63">
        <v>404</v>
      </c>
      <c r="F1110" s="63">
        <v>385</v>
      </c>
      <c r="G1110" s="63">
        <v>358</v>
      </c>
      <c r="H1110" s="63">
        <v>421</v>
      </c>
      <c r="I1110" s="63">
        <v>445</v>
      </c>
      <c r="J1110" s="63">
        <v>467</v>
      </c>
      <c r="K1110" s="63">
        <v>519</v>
      </c>
      <c r="L1110" s="63">
        <v>486</v>
      </c>
      <c r="M1110" s="63">
        <v>413</v>
      </c>
      <c r="N1110" s="63">
        <v>340</v>
      </c>
      <c r="O1110" s="63">
        <v>293</v>
      </c>
      <c r="P1110" s="63">
        <v>278</v>
      </c>
      <c r="Q1110" s="63">
        <v>277</v>
      </c>
      <c r="R1110" s="63">
        <v>289</v>
      </c>
      <c r="S1110" s="63">
        <v>302</v>
      </c>
      <c r="T1110" s="63">
        <v>318</v>
      </c>
      <c r="U1110" s="63">
        <v>308</v>
      </c>
      <c r="V1110" s="63">
        <v>322</v>
      </c>
      <c r="W1110" s="63">
        <v>341</v>
      </c>
      <c r="X1110" s="63">
        <v>330</v>
      </c>
      <c r="Y1110" s="63">
        <v>328</v>
      </c>
      <c r="Z1110" s="63">
        <v>314</v>
      </c>
      <c r="AA1110" s="63">
        <v>308</v>
      </c>
      <c r="AB1110" s="63">
        <v>318</v>
      </c>
    </row>
    <row r="1111" spans="1:28" x14ac:dyDescent="0.2">
      <c r="A1111" s="62">
        <v>91</v>
      </c>
      <c r="B1111" s="62" t="s">
        <v>389</v>
      </c>
      <c r="C1111" s="62">
        <v>3</v>
      </c>
      <c r="D1111" s="62" t="s">
        <v>323</v>
      </c>
      <c r="E1111" s="63">
        <v>256</v>
      </c>
      <c r="F1111" s="63">
        <v>255</v>
      </c>
      <c r="G1111" s="63">
        <v>270</v>
      </c>
      <c r="H1111" s="63">
        <v>270</v>
      </c>
      <c r="I1111" s="63">
        <v>289</v>
      </c>
      <c r="J1111" s="63">
        <v>307</v>
      </c>
      <c r="K1111" s="63">
        <v>322</v>
      </c>
      <c r="L1111" s="63">
        <v>330</v>
      </c>
      <c r="M1111" s="63">
        <v>333</v>
      </c>
      <c r="N1111" s="63">
        <v>328</v>
      </c>
      <c r="O1111" s="63">
        <v>323</v>
      </c>
      <c r="P1111" s="63">
        <v>320</v>
      </c>
      <c r="Q1111" s="63">
        <v>323</v>
      </c>
      <c r="R1111" s="63">
        <v>326</v>
      </c>
      <c r="S1111" s="63">
        <v>333</v>
      </c>
      <c r="T1111" s="63">
        <v>329</v>
      </c>
      <c r="U1111" s="63">
        <v>339</v>
      </c>
      <c r="V1111" s="63">
        <v>348</v>
      </c>
      <c r="W1111" s="63">
        <v>353</v>
      </c>
      <c r="X1111" s="63">
        <v>325</v>
      </c>
      <c r="Y1111" s="63">
        <v>349</v>
      </c>
      <c r="Z1111" s="63">
        <v>382</v>
      </c>
      <c r="AA1111" s="63">
        <v>384</v>
      </c>
      <c r="AB1111" s="63">
        <v>396</v>
      </c>
    </row>
    <row r="1112" spans="1:28" x14ac:dyDescent="0.2">
      <c r="A1112" s="62">
        <v>91</v>
      </c>
      <c r="B1112" s="62" t="s">
        <v>389</v>
      </c>
      <c r="C1112" s="62" t="s">
        <v>324</v>
      </c>
      <c r="D1112" s="62" t="s">
        <v>325</v>
      </c>
      <c r="E1112" s="63">
        <v>68</v>
      </c>
      <c r="F1112" s="63">
        <v>63</v>
      </c>
      <c r="G1112" s="63">
        <v>55</v>
      </c>
      <c r="H1112" s="63">
        <v>75</v>
      </c>
      <c r="I1112" s="63">
        <v>50</v>
      </c>
      <c r="J1112" s="63">
        <v>60</v>
      </c>
      <c r="K1112" s="63">
        <v>42</v>
      </c>
      <c r="L1112" s="63">
        <v>55</v>
      </c>
      <c r="M1112" s="63">
        <v>52</v>
      </c>
      <c r="N1112" s="63">
        <v>50</v>
      </c>
      <c r="O1112" s="63">
        <v>59</v>
      </c>
      <c r="P1112" s="63">
        <v>71</v>
      </c>
      <c r="Q1112" s="63">
        <v>87</v>
      </c>
      <c r="R1112" s="63">
        <v>100</v>
      </c>
      <c r="S1112" s="63">
        <v>109</v>
      </c>
      <c r="T1112" s="63">
        <v>112</v>
      </c>
      <c r="U1112" s="63">
        <v>113</v>
      </c>
      <c r="V1112" s="63">
        <v>118</v>
      </c>
      <c r="W1112" s="63">
        <v>105</v>
      </c>
      <c r="X1112" s="63">
        <v>115</v>
      </c>
      <c r="Y1112" s="63">
        <v>117</v>
      </c>
      <c r="Z1112" s="63">
        <v>131</v>
      </c>
      <c r="AA1112" s="63">
        <v>131</v>
      </c>
      <c r="AB1112" s="63">
        <v>98</v>
      </c>
    </row>
    <row r="1113" spans="1:28" x14ac:dyDescent="0.2">
      <c r="A1113" s="62">
        <v>91</v>
      </c>
      <c r="B1113" s="62" t="s">
        <v>389</v>
      </c>
      <c r="C1113" s="62">
        <v>42</v>
      </c>
      <c r="D1113" s="62" t="s">
        <v>326</v>
      </c>
      <c r="E1113" s="63">
        <v>19</v>
      </c>
      <c r="F1113" s="63">
        <v>8</v>
      </c>
      <c r="G1113" s="63">
        <v>23</v>
      </c>
      <c r="H1113" s="63">
        <v>22</v>
      </c>
      <c r="I1113" s="63">
        <v>24</v>
      </c>
      <c r="J1113" s="63">
        <v>25</v>
      </c>
      <c r="K1113" s="63">
        <v>22</v>
      </c>
      <c r="L1113" s="63">
        <v>18</v>
      </c>
      <c r="M1113" s="63">
        <v>11</v>
      </c>
      <c r="N1113" s="63">
        <v>12</v>
      </c>
      <c r="O1113" s="63">
        <v>10</v>
      </c>
      <c r="P1113" s="63">
        <v>12</v>
      </c>
      <c r="Q1113" s="63">
        <v>14</v>
      </c>
      <c r="R1113" s="63">
        <v>11</v>
      </c>
      <c r="S1113" s="63">
        <v>23</v>
      </c>
      <c r="T1113" s="63">
        <v>17</v>
      </c>
      <c r="U1113" s="63">
        <v>21</v>
      </c>
      <c r="V1113" s="63">
        <v>31</v>
      </c>
      <c r="W1113" s="63">
        <v>27</v>
      </c>
      <c r="X1113" s="63">
        <v>21</v>
      </c>
      <c r="Y1113" s="63">
        <v>27</v>
      </c>
      <c r="Z1113" s="63">
        <v>41</v>
      </c>
      <c r="AA1113" s="63">
        <v>43</v>
      </c>
      <c r="AB1113" s="63">
        <v>42</v>
      </c>
    </row>
    <row r="1114" spans="1:28" x14ac:dyDescent="0.2">
      <c r="A1114" s="62">
        <v>91</v>
      </c>
      <c r="B1114" s="62" t="s">
        <v>389</v>
      </c>
      <c r="C1114" s="62" t="s">
        <v>327</v>
      </c>
      <c r="D1114" s="62" t="s">
        <v>328</v>
      </c>
      <c r="E1114" s="63">
        <v>177</v>
      </c>
      <c r="F1114" s="63">
        <v>188</v>
      </c>
      <c r="G1114" s="63">
        <v>197</v>
      </c>
      <c r="H1114" s="63">
        <v>196</v>
      </c>
      <c r="I1114" s="63">
        <v>219</v>
      </c>
      <c r="J1114" s="63">
        <v>251</v>
      </c>
      <c r="K1114" s="63">
        <v>265</v>
      </c>
      <c r="L1114" s="63">
        <v>255</v>
      </c>
      <c r="M1114" s="63">
        <v>253</v>
      </c>
      <c r="N1114" s="63">
        <v>237</v>
      </c>
      <c r="O1114" s="63">
        <v>207</v>
      </c>
      <c r="P1114" s="63">
        <v>222</v>
      </c>
      <c r="Q1114" s="63">
        <v>208</v>
      </c>
      <c r="R1114" s="63">
        <v>207</v>
      </c>
      <c r="S1114" s="63">
        <v>229</v>
      </c>
      <c r="T1114" s="63">
        <v>218</v>
      </c>
      <c r="U1114" s="63">
        <v>238</v>
      </c>
      <c r="V1114" s="63">
        <v>251</v>
      </c>
      <c r="W1114" s="63">
        <v>252</v>
      </c>
      <c r="X1114" s="63">
        <v>259</v>
      </c>
      <c r="Y1114" s="63">
        <v>274</v>
      </c>
      <c r="Z1114" s="63">
        <v>267</v>
      </c>
      <c r="AA1114" s="63">
        <v>279</v>
      </c>
      <c r="AB1114" s="63">
        <v>270</v>
      </c>
    </row>
    <row r="1115" spans="1:28" x14ac:dyDescent="0.2">
      <c r="A1115" s="62">
        <v>91</v>
      </c>
      <c r="B1115" s="62" t="s">
        <v>389</v>
      </c>
      <c r="C1115" s="62" t="s">
        <v>329</v>
      </c>
      <c r="D1115" s="64" t="s">
        <v>330</v>
      </c>
      <c r="E1115" s="65"/>
      <c r="F1115" s="63">
        <v>11</v>
      </c>
      <c r="G1115" s="62"/>
      <c r="H1115" s="63">
        <v>19</v>
      </c>
      <c r="I1115" s="63">
        <v>16</v>
      </c>
      <c r="J1115" s="63">
        <v>21</v>
      </c>
      <c r="K1115" s="63">
        <v>22</v>
      </c>
      <c r="L1115" s="63">
        <v>18</v>
      </c>
      <c r="M1115" s="63">
        <v>20</v>
      </c>
      <c r="N1115" s="63">
        <v>24</v>
      </c>
      <c r="O1115" s="63">
        <v>24</v>
      </c>
      <c r="P1115" s="63">
        <v>8</v>
      </c>
      <c r="Q1115" s="63">
        <v>21</v>
      </c>
      <c r="R1115" s="63">
        <v>20</v>
      </c>
      <c r="S1115" s="63">
        <v>25</v>
      </c>
      <c r="T1115" s="63">
        <v>25</v>
      </c>
      <c r="U1115" s="63">
        <v>26</v>
      </c>
      <c r="V1115" s="63">
        <v>27</v>
      </c>
      <c r="W1115" s="63">
        <v>31</v>
      </c>
      <c r="X1115" s="63">
        <v>32</v>
      </c>
      <c r="Y1115" s="63">
        <v>74</v>
      </c>
      <c r="Z1115" s="63">
        <v>77</v>
      </c>
      <c r="AA1115" s="63">
        <v>101</v>
      </c>
      <c r="AB1115" s="63">
        <v>102</v>
      </c>
    </row>
    <row r="1116" spans="1:28" x14ac:dyDescent="0.2">
      <c r="A1116" s="62">
        <v>91</v>
      </c>
      <c r="B1116" s="62" t="s">
        <v>389</v>
      </c>
      <c r="C1116" s="62">
        <v>51</v>
      </c>
      <c r="D1116" s="62" t="s">
        <v>331</v>
      </c>
      <c r="E1116" s="63">
        <v>23</v>
      </c>
      <c r="F1116" s="63">
        <v>36</v>
      </c>
      <c r="G1116" s="63">
        <v>26</v>
      </c>
      <c r="H1116" s="63">
        <v>29</v>
      </c>
      <c r="I1116" s="63">
        <v>37</v>
      </c>
      <c r="J1116" s="63">
        <v>38</v>
      </c>
      <c r="K1116" s="63">
        <v>23</v>
      </c>
      <c r="L1116" s="63">
        <v>22</v>
      </c>
      <c r="M1116" s="63">
        <v>26</v>
      </c>
      <c r="N1116" s="63">
        <v>27</v>
      </c>
      <c r="O1116" s="63">
        <v>29</v>
      </c>
      <c r="P1116" s="63">
        <v>29</v>
      </c>
      <c r="Q1116" s="63">
        <v>27</v>
      </c>
      <c r="R1116" s="63">
        <v>28</v>
      </c>
      <c r="S1116" s="63">
        <v>27</v>
      </c>
      <c r="T1116" s="63">
        <v>28</v>
      </c>
      <c r="U1116" s="63">
        <v>30</v>
      </c>
      <c r="V1116" s="63">
        <v>33</v>
      </c>
      <c r="W1116" s="63">
        <v>27</v>
      </c>
      <c r="X1116" s="63">
        <v>27</v>
      </c>
      <c r="Y1116" s="63">
        <v>28</v>
      </c>
      <c r="Z1116" s="63">
        <v>28</v>
      </c>
      <c r="AA1116" s="63">
        <v>28</v>
      </c>
      <c r="AB1116" s="63">
        <v>29</v>
      </c>
    </row>
    <row r="1117" spans="1:28" x14ac:dyDescent="0.2">
      <c r="A1117" s="62">
        <v>91</v>
      </c>
      <c r="B1117" s="62" t="s">
        <v>389</v>
      </c>
      <c r="C1117" s="62">
        <v>52</v>
      </c>
      <c r="D1117" s="62" t="s">
        <v>332</v>
      </c>
      <c r="E1117" s="63">
        <v>50</v>
      </c>
      <c r="F1117" s="63">
        <v>48</v>
      </c>
      <c r="G1117" s="63">
        <v>56</v>
      </c>
      <c r="H1117" s="63">
        <v>58</v>
      </c>
      <c r="I1117" s="63">
        <v>52</v>
      </c>
      <c r="J1117" s="63">
        <v>73</v>
      </c>
      <c r="K1117" s="63">
        <v>75</v>
      </c>
      <c r="L1117" s="63">
        <v>70</v>
      </c>
      <c r="M1117" s="63">
        <v>70</v>
      </c>
      <c r="N1117" s="63">
        <v>68</v>
      </c>
      <c r="O1117" s="63">
        <v>65</v>
      </c>
      <c r="P1117" s="63">
        <v>61</v>
      </c>
      <c r="Q1117" s="63">
        <v>64</v>
      </c>
      <c r="R1117" s="63">
        <v>61</v>
      </c>
      <c r="S1117" s="63">
        <v>56</v>
      </c>
      <c r="T1117" s="63">
        <v>63</v>
      </c>
      <c r="U1117" s="63">
        <v>53</v>
      </c>
      <c r="V1117" s="63">
        <v>53</v>
      </c>
      <c r="W1117" s="63">
        <v>55</v>
      </c>
      <c r="X1117" s="63">
        <v>56</v>
      </c>
      <c r="Y1117" s="63">
        <v>63</v>
      </c>
      <c r="Z1117" s="63">
        <v>67</v>
      </c>
      <c r="AA1117" s="63">
        <v>73</v>
      </c>
      <c r="AB1117" s="63">
        <v>77</v>
      </c>
    </row>
    <row r="1118" spans="1:28" x14ac:dyDescent="0.2">
      <c r="A1118" s="62">
        <v>91</v>
      </c>
      <c r="B1118" s="62" t="s">
        <v>389</v>
      </c>
      <c r="C1118" s="62">
        <v>53</v>
      </c>
      <c r="D1118" s="62" t="s">
        <v>333</v>
      </c>
      <c r="E1118" s="63">
        <v>132</v>
      </c>
      <c r="F1118" s="63">
        <v>120</v>
      </c>
      <c r="G1118" s="63">
        <v>126</v>
      </c>
      <c r="H1118" s="63">
        <v>142</v>
      </c>
      <c r="I1118" s="63">
        <v>159</v>
      </c>
      <c r="J1118" s="63">
        <v>154</v>
      </c>
      <c r="K1118" s="63">
        <v>165</v>
      </c>
      <c r="L1118" s="63">
        <v>143</v>
      </c>
      <c r="M1118" s="63">
        <v>167</v>
      </c>
      <c r="N1118" s="63">
        <v>164</v>
      </c>
      <c r="O1118" s="63">
        <v>156</v>
      </c>
      <c r="P1118" s="63">
        <v>155</v>
      </c>
      <c r="Q1118" s="63">
        <v>143</v>
      </c>
      <c r="R1118" s="63">
        <v>149</v>
      </c>
      <c r="S1118" s="63">
        <v>168</v>
      </c>
      <c r="T1118" s="63">
        <v>160</v>
      </c>
      <c r="U1118" s="63">
        <v>169</v>
      </c>
      <c r="V1118" s="63">
        <v>163</v>
      </c>
      <c r="W1118" s="63">
        <v>180</v>
      </c>
      <c r="X1118" s="63">
        <v>197</v>
      </c>
      <c r="Y1118" s="63">
        <v>213</v>
      </c>
      <c r="Z1118" s="63">
        <v>208</v>
      </c>
      <c r="AA1118" s="63">
        <v>226</v>
      </c>
      <c r="AB1118" s="63">
        <v>185</v>
      </c>
    </row>
    <row r="1119" spans="1:28" x14ac:dyDescent="0.2">
      <c r="A1119" s="62">
        <v>91</v>
      </c>
      <c r="B1119" s="62" t="s">
        <v>389</v>
      </c>
      <c r="C1119" s="62">
        <v>54</v>
      </c>
      <c r="D1119" s="62" t="s">
        <v>334</v>
      </c>
      <c r="E1119" s="63">
        <v>111</v>
      </c>
      <c r="F1119" s="63">
        <v>125</v>
      </c>
      <c r="G1119" s="63">
        <v>148</v>
      </c>
      <c r="H1119" s="63">
        <v>153</v>
      </c>
      <c r="I1119" s="63">
        <v>171</v>
      </c>
      <c r="J1119" s="63">
        <v>196</v>
      </c>
      <c r="K1119" s="63">
        <v>217</v>
      </c>
      <c r="L1119" s="63">
        <v>222</v>
      </c>
      <c r="M1119" s="63">
        <v>198</v>
      </c>
      <c r="N1119" s="63">
        <v>201</v>
      </c>
      <c r="O1119" s="63">
        <v>206</v>
      </c>
      <c r="P1119" s="63">
        <v>216</v>
      </c>
      <c r="Q1119" s="63">
        <v>219</v>
      </c>
      <c r="R1119" s="63">
        <v>239</v>
      </c>
      <c r="S1119" s="63">
        <v>247</v>
      </c>
      <c r="T1119" s="63">
        <v>249</v>
      </c>
      <c r="U1119" s="63">
        <v>250</v>
      </c>
      <c r="V1119" s="63">
        <v>245</v>
      </c>
      <c r="W1119" s="63">
        <v>252</v>
      </c>
      <c r="X1119" s="63">
        <v>262</v>
      </c>
      <c r="Y1119" s="63">
        <v>285</v>
      </c>
      <c r="Z1119" s="63">
        <v>309</v>
      </c>
      <c r="AA1119" s="63">
        <v>318</v>
      </c>
      <c r="AB1119" s="63">
        <v>314</v>
      </c>
    </row>
    <row r="1120" spans="1:28" x14ac:dyDescent="0.2">
      <c r="A1120" s="62">
        <v>91</v>
      </c>
      <c r="B1120" s="62" t="s">
        <v>389</v>
      </c>
      <c r="C1120" s="62">
        <v>55</v>
      </c>
      <c r="D1120" s="64" t="s">
        <v>335</v>
      </c>
      <c r="E1120" s="65"/>
      <c r="F1120" s="65"/>
      <c r="G1120" s="65"/>
      <c r="H1120" s="63">
        <v>0</v>
      </c>
      <c r="I1120" s="63">
        <v>1</v>
      </c>
      <c r="J1120" s="63">
        <v>1</v>
      </c>
      <c r="K1120" s="62"/>
      <c r="L1120" s="62"/>
      <c r="M1120" s="63">
        <v>3</v>
      </c>
      <c r="N1120" s="62"/>
      <c r="O1120" s="62"/>
      <c r="P1120" s="63">
        <v>3</v>
      </c>
      <c r="Q1120" s="63">
        <v>5</v>
      </c>
      <c r="R1120" s="63">
        <v>6</v>
      </c>
      <c r="S1120" s="63">
        <v>5</v>
      </c>
      <c r="T1120" s="63">
        <v>6</v>
      </c>
      <c r="U1120" s="62"/>
      <c r="V1120" s="63">
        <v>8</v>
      </c>
      <c r="W1120" s="62"/>
      <c r="X1120" s="63">
        <v>4</v>
      </c>
      <c r="Y1120" s="63">
        <v>3</v>
      </c>
      <c r="Z1120" s="63">
        <v>4</v>
      </c>
      <c r="AA1120" s="63">
        <v>4</v>
      </c>
      <c r="AB1120" s="63">
        <v>5</v>
      </c>
    </row>
    <row r="1121" spans="1:28" x14ac:dyDescent="0.2">
      <c r="A1121" s="62">
        <v>91</v>
      </c>
      <c r="B1121" s="62" t="s">
        <v>389</v>
      </c>
      <c r="C1121" s="62">
        <v>56</v>
      </c>
      <c r="D1121" s="62" t="s">
        <v>336</v>
      </c>
      <c r="E1121" s="63">
        <v>42</v>
      </c>
      <c r="F1121" s="63">
        <v>41</v>
      </c>
      <c r="G1121" s="63">
        <v>39</v>
      </c>
      <c r="H1121" s="63">
        <v>42</v>
      </c>
      <c r="I1121" s="63">
        <v>47</v>
      </c>
      <c r="J1121" s="63">
        <v>66</v>
      </c>
      <c r="K1121" s="63">
        <v>70</v>
      </c>
      <c r="L1121" s="63">
        <v>59</v>
      </c>
      <c r="M1121" s="63">
        <v>60</v>
      </c>
      <c r="N1121" s="63">
        <v>65</v>
      </c>
      <c r="O1121" s="63">
        <v>75</v>
      </c>
      <c r="P1121" s="63">
        <v>93</v>
      </c>
      <c r="Q1121" s="63">
        <v>84</v>
      </c>
      <c r="R1121" s="63">
        <v>87</v>
      </c>
      <c r="S1121" s="63">
        <v>84</v>
      </c>
      <c r="T1121" s="63">
        <v>81</v>
      </c>
      <c r="U1121" s="63">
        <v>94</v>
      </c>
      <c r="V1121" s="63">
        <v>108</v>
      </c>
      <c r="W1121" s="63">
        <v>111</v>
      </c>
      <c r="X1121" s="63">
        <v>133</v>
      </c>
      <c r="Y1121" s="63">
        <v>134</v>
      </c>
      <c r="Z1121" s="63">
        <v>133</v>
      </c>
      <c r="AA1121" s="63">
        <v>149</v>
      </c>
      <c r="AB1121" s="63">
        <v>171</v>
      </c>
    </row>
    <row r="1122" spans="1:28" x14ac:dyDescent="0.2">
      <c r="A1122" s="62">
        <v>91</v>
      </c>
      <c r="B1122" s="62" t="s">
        <v>389</v>
      </c>
      <c r="C1122" s="62">
        <v>61</v>
      </c>
      <c r="D1122" s="64" t="s">
        <v>337</v>
      </c>
      <c r="E1122" s="65"/>
      <c r="F1122" s="62"/>
      <c r="G1122" s="63">
        <v>15</v>
      </c>
      <c r="H1122" s="63">
        <v>16</v>
      </c>
      <c r="I1122" s="63">
        <v>19</v>
      </c>
      <c r="J1122" s="63">
        <v>18</v>
      </c>
      <c r="K1122" s="63">
        <v>22</v>
      </c>
      <c r="L1122" s="63">
        <v>19</v>
      </c>
      <c r="M1122" s="63">
        <v>20</v>
      </c>
      <c r="N1122" s="63">
        <v>24</v>
      </c>
      <c r="O1122" s="63">
        <v>25</v>
      </c>
      <c r="P1122" s="63">
        <v>23</v>
      </c>
      <c r="Q1122" s="63">
        <v>27</v>
      </c>
      <c r="R1122" s="63">
        <v>29</v>
      </c>
      <c r="S1122" s="63">
        <v>25</v>
      </c>
      <c r="T1122" s="63">
        <v>26</v>
      </c>
      <c r="U1122" s="63">
        <v>42</v>
      </c>
      <c r="V1122" s="63">
        <v>47</v>
      </c>
      <c r="W1122" s="63">
        <v>58</v>
      </c>
      <c r="X1122" s="63">
        <v>50</v>
      </c>
      <c r="Y1122" s="63">
        <v>48</v>
      </c>
      <c r="Z1122" s="63">
        <v>58</v>
      </c>
      <c r="AA1122" s="63">
        <v>53</v>
      </c>
      <c r="AB1122" s="63">
        <v>70</v>
      </c>
    </row>
    <row r="1123" spans="1:28" x14ac:dyDescent="0.2">
      <c r="A1123" s="62">
        <v>91</v>
      </c>
      <c r="B1123" s="62" t="s">
        <v>389</v>
      </c>
      <c r="C1123" s="62">
        <v>62</v>
      </c>
      <c r="D1123" s="62" t="s">
        <v>338</v>
      </c>
      <c r="E1123" s="63">
        <v>56</v>
      </c>
      <c r="F1123" s="63">
        <v>74</v>
      </c>
      <c r="G1123" s="63">
        <v>76</v>
      </c>
      <c r="H1123" s="63">
        <v>77</v>
      </c>
      <c r="I1123" s="63">
        <v>80</v>
      </c>
      <c r="J1123" s="63">
        <v>95</v>
      </c>
      <c r="K1123" s="63">
        <v>90</v>
      </c>
      <c r="L1123" s="63">
        <v>106</v>
      </c>
      <c r="M1123" s="63">
        <v>104</v>
      </c>
      <c r="N1123" s="63">
        <v>103</v>
      </c>
      <c r="O1123" s="63">
        <v>94</v>
      </c>
      <c r="P1123" s="63">
        <v>85</v>
      </c>
      <c r="Q1123" s="63">
        <v>87</v>
      </c>
      <c r="R1123" s="63">
        <v>95</v>
      </c>
      <c r="S1123" s="63">
        <v>98</v>
      </c>
      <c r="T1123" s="63">
        <v>105</v>
      </c>
      <c r="U1123" s="63">
        <v>109</v>
      </c>
      <c r="V1123" s="63">
        <v>109</v>
      </c>
      <c r="W1123" s="63">
        <v>102</v>
      </c>
      <c r="X1123" s="63">
        <v>118</v>
      </c>
      <c r="Y1123" s="63">
        <v>123</v>
      </c>
      <c r="Z1123" s="63">
        <v>116</v>
      </c>
      <c r="AA1123" s="63">
        <v>123</v>
      </c>
      <c r="AB1123" s="63">
        <v>112</v>
      </c>
    </row>
    <row r="1124" spans="1:28" x14ac:dyDescent="0.2">
      <c r="A1124" s="62">
        <v>91</v>
      </c>
      <c r="B1124" s="62" t="s">
        <v>389</v>
      </c>
      <c r="C1124" s="62">
        <v>71</v>
      </c>
      <c r="D1124" s="62" t="s">
        <v>339</v>
      </c>
      <c r="E1124" s="63">
        <v>80</v>
      </c>
      <c r="F1124" s="63">
        <v>91</v>
      </c>
      <c r="G1124" s="63">
        <v>87</v>
      </c>
      <c r="H1124" s="63">
        <v>77</v>
      </c>
      <c r="I1124" s="63">
        <v>68</v>
      </c>
      <c r="J1124" s="63">
        <v>88</v>
      </c>
      <c r="K1124" s="63">
        <v>92</v>
      </c>
      <c r="L1124" s="63">
        <v>97</v>
      </c>
      <c r="M1124" s="63">
        <v>96</v>
      </c>
      <c r="N1124" s="63">
        <v>89</v>
      </c>
      <c r="O1124" s="63">
        <v>89</v>
      </c>
      <c r="P1124" s="63">
        <v>96</v>
      </c>
      <c r="Q1124" s="63">
        <v>95</v>
      </c>
      <c r="R1124" s="63">
        <v>98</v>
      </c>
      <c r="S1124" s="63">
        <v>112</v>
      </c>
      <c r="T1124" s="63">
        <v>127</v>
      </c>
      <c r="U1124" s="63">
        <v>127</v>
      </c>
      <c r="V1124" s="63">
        <v>119</v>
      </c>
      <c r="W1124" s="63">
        <v>141</v>
      </c>
      <c r="X1124" s="63">
        <v>131</v>
      </c>
      <c r="Y1124" s="63">
        <v>136</v>
      </c>
      <c r="Z1124" s="63">
        <v>139</v>
      </c>
      <c r="AA1124" s="63">
        <v>133</v>
      </c>
      <c r="AB1124" s="63">
        <v>149</v>
      </c>
    </row>
    <row r="1125" spans="1:28" x14ac:dyDescent="0.2">
      <c r="A1125" s="62">
        <v>91</v>
      </c>
      <c r="B1125" s="62" t="s">
        <v>389</v>
      </c>
      <c r="C1125" s="62">
        <v>72</v>
      </c>
      <c r="D1125" s="62" t="s">
        <v>340</v>
      </c>
      <c r="E1125" s="63">
        <v>378</v>
      </c>
      <c r="F1125" s="63">
        <v>391</v>
      </c>
      <c r="G1125" s="63">
        <v>406</v>
      </c>
      <c r="H1125" s="63">
        <v>491</v>
      </c>
      <c r="I1125" s="63">
        <v>573</v>
      </c>
      <c r="J1125" s="63">
        <v>532</v>
      </c>
      <c r="K1125" s="63">
        <v>517</v>
      </c>
      <c r="L1125" s="63">
        <v>488</v>
      </c>
      <c r="M1125" s="63">
        <v>408</v>
      </c>
      <c r="N1125" s="63">
        <v>402</v>
      </c>
      <c r="O1125" s="63">
        <v>389</v>
      </c>
      <c r="P1125" s="63">
        <v>395</v>
      </c>
      <c r="Q1125" s="63">
        <v>420</v>
      </c>
      <c r="R1125" s="63">
        <v>445</v>
      </c>
      <c r="S1125" s="63">
        <v>439</v>
      </c>
      <c r="T1125" s="63">
        <v>481</v>
      </c>
      <c r="U1125" s="63">
        <v>522</v>
      </c>
      <c r="V1125" s="63">
        <v>567</v>
      </c>
      <c r="W1125" s="63">
        <v>569</v>
      </c>
      <c r="X1125" s="63">
        <v>495</v>
      </c>
      <c r="Y1125" s="63">
        <v>535</v>
      </c>
      <c r="Z1125" s="63">
        <v>533</v>
      </c>
      <c r="AA1125" s="63">
        <v>602</v>
      </c>
      <c r="AB1125" s="63">
        <v>599</v>
      </c>
    </row>
    <row r="1126" spans="1:28" x14ac:dyDescent="0.2">
      <c r="A1126" s="62">
        <v>91</v>
      </c>
      <c r="B1126" s="62" t="s">
        <v>389</v>
      </c>
      <c r="C1126" s="62">
        <v>81</v>
      </c>
      <c r="D1126" s="62" t="s">
        <v>341</v>
      </c>
      <c r="E1126" s="63">
        <v>91</v>
      </c>
      <c r="F1126" s="63">
        <v>96</v>
      </c>
      <c r="G1126" s="63">
        <v>98</v>
      </c>
      <c r="H1126" s="63">
        <v>114</v>
      </c>
      <c r="I1126" s="63">
        <v>115</v>
      </c>
      <c r="J1126" s="63">
        <v>129</v>
      </c>
      <c r="K1126" s="63">
        <v>122</v>
      </c>
      <c r="L1126" s="63">
        <v>114</v>
      </c>
      <c r="M1126" s="63">
        <v>118</v>
      </c>
      <c r="N1126" s="63">
        <v>117</v>
      </c>
      <c r="O1126" s="63">
        <v>132</v>
      </c>
      <c r="P1126" s="63">
        <v>136</v>
      </c>
      <c r="Q1126" s="63">
        <v>143</v>
      </c>
      <c r="R1126" s="63">
        <v>130</v>
      </c>
      <c r="S1126" s="63">
        <v>133</v>
      </c>
      <c r="T1126" s="63">
        <v>140</v>
      </c>
      <c r="U1126" s="63">
        <v>124</v>
      </c>
      <c r="V1126" s="63">
        <v>105</v>
      </c>
      <c r="W1126" s="63">
        <v>120</v>
      </c>
      <c r="X1126" s="63">
        <v>119</v>
      </c>
      <c r="Y1126" s="63">
        <v>130</v>
      </c>
      <c r="Z1126" s="63">
        <v>137</v>
      </c>
      <c r="AA1126" s="63">
        <v>148</v>
      </c>
      <c r="AB1126" s="63">
        <v>178</v>
      </c>
    </row>
    <row r="1127" spans="1:28" x14ac:dyDescent="0.2">
      <c r="A1127" s="62">
        <v>91</v>
      </c>
      <c r="B1127" s="62" t="s">
        <v>389</v>
      </c>
      <c r="C1127" s="62">
        <v>99</v>
      </c>
      <c r="D1127" s="62" t="s">
        <v>342</v>
      </c>
      <c r="E1127" s="62"/>
      <c r="F1127" s="63">
        <v>0</v>
      </c>
      <c r="G1127" s="63">
        <v>0</v>
      </c>
      <c r="H1127" s="62"/>
      <c r="I1127" s="62"/>
      <c r="J1127" s="63">
        <v>0</v>
      </c>
      <c r="K1127" s="62"/>
      <c r="L1127" s="63">
        <v>0</v>
      </c>
      <c r="M1127" s="62"/>
      <c r="N1127" s="62"/>
      <c r="O1127" s="62"/>
      <c r="P1127" s="62"/>
      <c r="Q1127" s="62"/>
      <c r="R1127" s="62"/>
      <c r="S1127" s="63">
        <v>0</v>
      </c>
      <c r="T1127" s="62"/>
      <c r="U1127" s="62"/>
      <c r="V1127" s="62"/>
      <c r="W1127" s="62"/>
      <c r="X1127" s="63">
        <v>2</v>
      </c>
      <c r="Y1127" s="62"/>
      <c r="Z1127" s="63">
        <v>0</v>
      </c>
      <c r="AA1127" s="62"/>
      <c r="AB1127" s="62"/>
    </row>
    <row r="1128" spans="1:28" x14ac:dyDescent="0.2">
      <c r="A1128" s="62">
        <v>93</v>
      </c>
      <c r="B1128" s="62" t="s">
        <v>390</v>
      </c>
      <c r="C1128" s="62">
        <v>1</v>
      </c>
      <c r="D1128" s="62" t="s">
        <v>316</v>
      </c>
      <c r="E1128" s="63">
        <v>61</v>
      </c>
      <c r="F1128" s="63">
        <v>64</v>
      </c>
      <c r="G1128" s="63">
        <v>63</v>
      </c>
      <c r="H1128" s="63">
        <v>60</v>
      </c>
      <c r="I1128" s="63">
        <v>58</v>
      </c>
      <c r="J1128" s="63">
        <v>62</v>
      </c>
      <c r="K1128" s="63">
        <v>61</v>
      </c>
      <c r="L1128" s="63">
        <v>59</v>
      </c>
      <c r="M1128" s="63">
        <v>64</v>
      </c>
      <c r="N1128" s="63">
        <v>71</v>
      </c>
      <c r="O1128" s="63">
        <v>58</v>
      </c>
      <c r="P1128" s="63">
        <v>55</v>
      </c>
      <c r="Q1128" s="63">
        <v>53</v>
      </c>
      <c r="R1128" s="63">
        <v>53</v>
      </c>
      <c r="S1128" s="63">
        <v>50</v>
      </c>
      <c r="T1128" s="63">
        <v>49</v>
      </c>
      <c r="U1128" s="63">
        <v>48</v>
      </c>
      <c r="V1128" s="63">
        <v>49</v>
      </c>
      <c r="W1128" s="63">
        <v>46</v>
      </c>
      <c r="X1128" s="63">
        <v>58</v>
      </c>
      <c r="Y1128" s="63">
        <v>56</v>
      </c>
      <c r="Z1128" s="63">
        <v>61</v>
      </c>
      <c r="AA1128" s="63">
        <v>63</v>
      </c>
      <c r="AB1128" s="63">
        <v>68</v>
      </c>
    </row>
    <row r="1129" spans="1:28" x14ac:dyDescent="0.2">
      <c r="A1129" s="62">
        <v>93</v>
      </c>
      <c r="B1129" s="62" t="s">
        <v>390</v>
      </c>
      <c r="C1129" s="62">
        <v>10</v>
      </c>
      <c r="D1129" s="62" t="s">
        <v>317</v>
      </c>
      <c r="E1129" s="63">
        <v>3656</v>
      </c>
      <c r="F1129" s="63">
        <v>3742</v>
      </c>
      <c r="G1129" s="63">
        <v>3787</v>
      </c>
      <c r="H1129" s="63">
        <v>3930</v>
      </c>
      <c r="I1129" s="63">
        <v>4094</v>
      </c>
      <c r="J1129" s="63">
        <v>4209</v>
      </c>
      <c r="K1129" s="63">
        <v>4391</v>
      </c>
      <c r="L1129" s="63">
        <v>4284</v>
      </c>
      <c r="M1129" s="63">
        <v>4024</v>
      </c>
      <c r="N1129" s="63">
        <v>3990</v>
      </c>
      <c r="O1129" s="63">
        <v>3928</v>
      </c>
      <c r="P1129" s="63">
        <v>3867</v>
      </c>
      <c r="Q1129" s="63">
        <v>3856</v>
      </c>
      <c r="R1129" s="63">
        <v>4009</v>
      </c>
      <c r="S1129" s="63">
        <v>4121</v>
      </c>
      <c r="T1129" s="63">
        <v>4325</v>
      </c>
      <c r="U1129" s="63">
        <v>4496</v>
      </c>
      <c r="V1129" s="63">
        <v>4595</v>
      </c>
      <c r="W1129" s="63">
        <v>4652</v>
      </c>
      <c r="X1129" s="63">
        <v>4512</v>
      </c>
      <c r="Y1129" s="63">
        <v>4786</v>
      </c>
      <c r="Z1129" s="63">
        <v>4922</v>
      </c>
      <c r="AA1129" s="63">
        <v>5257</v>
      </c>
      <c r="AB1129" s="63">
        <v>5485</v>
      </c>
    </row>
    <row r="1130" spans="1:28" x14ac:dyDescent="0.2">
      <c r="A1130" s="62">
        <v>93</v>
      </c>
      <c r="B1130" s="62" t="s">
        <v>390</v>
      </c>
      <c r="C1130" s="62">
        <v>11</v>
      </c>
      <c r="D1130" s="62" t="s">
        <v>318</v>
      </c>
      <c r="E1130" s="63">
        <v>31</v>
      </c>
      <c r="F1130" s="63">
        <v>24</v>
      </c>
      <c r="G1130" s="63">
        <v>26</v>
      </c>
      <c r="H1130" s="63">
        <v>25</v>
      </c>
      <c r="I1130" s="63">
        <v>30</v>
      </c>
      <c r="J1130" s="63">
        <v>29</v>
      </c>
      <c r="K1130" s="63">
        <v>42</v>
      </c>
      <c r="L1130" s="63">
        <v>38</v>
      </c>
      <c r="M1130" s="63">
        <v>42</v>
      </c>
      <c r="N1130" s="63">
        <v>49</v>
      </c>
      <c r="O1130" s="63">
        <v>50</v>
      </c>
      <c r="P1130" s="63">
        <v>42</v>
      </c>
      <c r="Q1130" s="63">
        <v>48</v>
      </c>
      <c r="R1130" s="63">
        <v>55</v>
      </c>
      <c r="S1130" s="63">
        <v>59</v>
      </c>
      <c r="T1130" s="63">
        <v>55</v>
      </c>
      <c r="U1130" s="63">
        <v>70</v>
      </c>
      <c r="V1130" s="63">
        <v>72</v>
      </c>
      <c r="W1130" s="63">
        <v>75</v>
      </c>
      <c r="X1130" s="63">
        <v>77</v>
      </c>
      <c r="Y1130" s="63">
        <v>83</v>
      </c>
      <c r="Z1130" s="63">
        <v>70</v>
      </c>
      <c r="AA1130" s="63">
        <v>74</v>
      </c>
      <c r="AB1130" s="63">
        <v>76</v>
      </c>
    </row>
    <row r="1131" spans="1:28" x14ac:dyDescent="0.2">
      <c r="A1131" s="62">
        <v>93</v>
      </c>
      <c r="B1131" s="62" t="s">
        <v>390</v>
      </c>
      <c r="C1131" s="62">
        <v>2</v>
      </c>
      <c r="D1131" s="62" t="s">
        <v>319</v>
      </c>
      <c r="E1131" s="63">
        <v>48</v>
      </c>
      <c r="F1131" s="63">
        <v>54</v>
      </c>
      <c r="G1131" s="63">
        <v>52</v>
      </c>
      <c r="H1131" s="63">
        <v>57</v>
      </c>
      <c r="I1131" s="63">
        <v>52</v>
      </c>
      <c r="J1131" s="63">
        <v>58</v>
      </c>
      <c r="K1131" s="63">
        <v>56</v>
      </c>
      <c r="L1131" s="63">
        <v>62</v>
      </c>
      <c r="M1131" s="63">
        <v>61</v>
      </c>
      <c r="N1131" s="63">
        <v>58</v>
      </c>
      <c r="O1131" s="63">
        <v>63</v>
      </c>
      <c r="P1131" s="63">
        <v>61</v>
      </c>
      <c r="Q1131" s="63">
        <v>61</v>
      </c>
      <c r="R1131" s="63">
        <v>68</v>
      </c>
      <c r="S1131" s="63">
        <v>66</v>
      </c>
      <c r="T1131" s="63">
        <v>66</v>
      </c>
      <c r="U1131" s="63">
        <v>67</v>
      </c>
      <c r="V1131" s="63">
        <v>66</v>
      </c>
      <c r="W1131" s="63">
        <v>66</v>
      </c>
      <c r="X1131" s="63">
        <v>63</v>
      </c>
      <c r="Y1131" s="63">
        <v>63</v>
      </c>
      <c r="Z1131" s="63">
        <v>69</v>
      </c>
      <c r="AA1131" s="63">
        <v>68</v>
      </c>
      <c r="AB1131" s="63">
        <v>65</v>
      </c>
    </row>
    <row r="1132" spans="1:28" x14ac:dyDescent="0.2">
      <c r="A1132" s="62">
        <v>93</v>
      </c>
      <c r="B1132" s="62" t="s">
        <v>390</v>
      </c>
      <c r="C1132" s="62">
        <v>21</v>
      </c>
      <c r="D1132" s="62" t="s">
        <v>320</v>
      </c>
      <c r="E1132" s="63">
        <v>3</v>
      </c>
      <c r="F1132" s="63">
        <v>8</v>
      </c>
      <c r="G1132" s="62"/>
      <c r="H1132" s="62"/>
      <c r="I1132" s="63">
        <v>9</v>
      </c>
      <c r="J1132" s="63">
        <v>7</v>
      </c>
      <c r="K1132" s="63">
        <v>13</v>
      </c>
      <c r="L1132" s="63">
        <v>9</v>
      </c>
      <c r="M1132" s="62"/>
      <c r="N1132" s="62"/>
      <c r="O1132" s="62"/>
      <c r="P1132" s="62"/>
      <c r="Q1132" s="62"/>
      <c r="R1132" s="62"/>
      <c r="S1132" s="63">
        <v>4</v>
      </c>
      <c r="T1132" s="62"/>
      <c r="U1132" s="63">
        <v>12</v>
      </c>
      <c r="V1132" s="63">
        <v>16</v>
      </c>
      <c r="W1132" s="63">
        <v>16</v>
      </c>
      <c r="X1132" s="63">
        <v>15</v>
      </c>
      <c r="Y1132" s="63">
        <v>22</v>
      </c>
      <c r="Z1132" s="63">
        <v>31</v>
      </c>
      <c r="AA1132" s="63">
        <v>42</v>
      </c>
      <c r="AB1132" s="63">
        <v>36</v>
      </c>
    </row>
    <row r="1133" spans="1:28" x14ac:dyDescent="0.2">
      <c r="A1133" s="62">
        <v>93</v>
      </c>
      <c r="B1133" s="62" t="s">
        <v>390</v>
      </c>
      <c r="C1133" s="62">
        <v>22</v>
      </c>
      <c r="D1133" s="62" t="s">
        <v>321</v>
      </c>
      <c r="E1133" s="62"/>
      <c r="F1133" s="62"/>
      <c r="G1133" s="62"/>
      <c r="H1133" s="62"/>
      <c r="I1133" s="62"/>
      <c r="J1133" s="62"/>
      <c r="K1133" s="62"/>
      <c r="L1133" s="62"/>
      <c r="M1133" s="62"/>
      <c r="N1133" s="62"/>
      <c r="O1133" s="62"/>
      <c r="P1133" s="62"/>
      <c r="Q1133" s="62"/>
      <c r="R1133" s="62"/>
      <c r="S1133" s="62"/>
      <c r="T1133" s="63">
        <v>6</v>
      </c>
      <c r="U1133" s="62"/>
      <c r="V1133" s="62"/>
      <c r="W1133" s="62"/>
      <c r="X1133" s="62"/>
      <c r="Y1133" s="62"/>
      <c r="Z1133" s="63">
        <v>5</v>
      </c>
      <c r="AA1133" s="62"/>
      <c r="AB1133" s="63">
        <v>5</v>
      </c>
    </row>
    <row r="1134" spans="1:28" x14ac:dyDescent="0.2">
      <c r="A1134" s="62">
        <v>93</v>
      </c>
      <c r="B1134" s="62" t="s">
        <v>390</v>
      </c>
      <c r="C1134" s="62">
        <v>23</v>
      </c>
      <c r="D1134" s="62" t="s">
        <v>322</v>
      </c>
      <c r="E1134" s="63">
        <v>796</v>
      </c>
      <c r="F1134" s="63">
        <v>792</v>
      </c>
      <c r="G1134" s="63">
        <v>743</v>
      </c>
      <c r="H1134" s="63">
        <v>760</v>
      </c>
      <c r="I1134" s="63">
        <v>820</v>
      </c>
      <c r="J1134" s="63">
        <v>792</v>
      </c>
      <c r="K1134" s="63">
        <v>873</v>
      </c>
      <c r="L1134" s="63">
        <v>769</v>
      </c>
      <c r="M1134" s="63">
        <v>672</v>
      </c>
      <c r="N1134" s="63">
        <v>626</v>
      </c>
      <c r="O1134" s="63">
        <v>621</v>
      </c>
      <c r="P1134" s="63">
        <v>592</v>
      </c>
      <c r="Q1134" s="63">
        <v>598</v>
      </c>
      <c r="R1134" s="63">
        <v>611</v>
      </c>
      <c r="S1134" s="63">
        <v>639</v>
      </c>
      <c r="T1134" s="63">
        <v>675</v>
      </c>
      <c r="U1134" s="63">
        <v>722</v>
      </c>
      <c r="V1134" s="63">
        <v>753</v>
      </c>
      <c r="W1134" s="63">
        <v>752</v>
      </c>
      <c r="X1134" s="63">
        <v>742</v>
      </c>
      <c r="Y1134" s="63">
        <v>742</v>
      </c>
      <c r="Z1134" s="63">
        <v>717</v>
      </c>
      <c r="AA1134" s="63">
        <v>676</v>
      </c>
      <c r="AB1134" s="63">
        <v>742</v>
      </c>
    </row>
    <row r="1135" spans="1:28" x14ac:dyDescent="0.2">
      <c r="A1135" s="62">
        <v>93</v>
      </c>
      <c r="B1135" s="62" t="s">
        <v>390</v>
      </c>
      <c r="C1135" s="62">
        <v>3</v>
      </c>
      <c r="D1135" s="62" t="s">
        <v>323</v>
      </c>
      <c r="E1135" s="63">
        <v>648</v>
      </c>
      <c r="F1135" s="63">
        <v>681</v>
      </c>
      <c r="G1135" s="63">
        <v>668</v>
      </c>
      <c r="H1135" s="63">
        <v>668</v>
      </c>
      <c r="I1135" s="63">
        <v>692</v>
      </c>
      <c r="J1135" s="63">
        <v>722</v>
      </c>
      <c r="K1135" s="63">
        <v>737</v>
      </c>
      <c r="L1135" s="63">
        <v>749</v>
      </c>
      <c r="M1135" s="63">
        <v>755</v>
      </c>
      <c r="N1135" s="63">
        <v>750</v>
      </c>
      <c r="O1135" s="63">
        <v>707</v>
      </c>
      <c r="P1135" s="63">
        <v>690</v>
      </c>
      <c r="Q1135" s="63">
        <v>681</v>
      </c>
      <c r="R1135" s="63">
        <v>699</v>
      </c>
      <c r="S1135" s="63">
        <v>715</v>
      </c>
      <c r="T1135" s="63">
        <v>715</v>
      </c>
      <c r="U1135" s="63">
        <v>694</v>
      </c>
      <c r="V1135" s="63">
        <v>669</v>
      </c>
      <c r="W1135" s="63">
        <v>671</v>
      </c>
      <c r="X1135" s="63">
        <v>648</v>
      </c>
      <c r="Y1135" s="63">
        <v>642</v>
      </c>
      <c r="Z1135" s="63">
        <v>645</v>
      </c>
      <c r="AA1135" s="63">
        <v>678</v>
      </c>
      <c r="AB1135" s="63">
        <v>709</v>
      </c>
    </row>
    <row r="1136" spans="1:28" x14ac:dyDescent="0.2">
      <c r="A1136" s="62">
        <v>93</v>
      </c>
      <c r="B1136" s="62" t="s">
        <v>390</v>
      </c>
      <c r="C1136" s="62" t="s">
        <v>324</v>
      </c>
      <c r="D1136" s="62" t="s">
        <v>325</v>
      </c>
      <c r="E1136" s="63">
        <v>92</v>
      </c>
      <c r="F1136" s="63">
        <v>102</v>
      </c>
      <c r="G1136" s="63">
        <v>114</v>
      </c>
      <c r="H1136" s="63">
        <v>87</v>
      </c>
      <c r="I1136" s="63">
        <v>102</v>
      </c>
      <c r="J1136" s="63">
        <v>120</v>
      </c>
      <c r="K1136" s="63">
        <v>126</v>
      </c>
      <c r="L1136" s="63">
        <v>133</v>
      </c>
      <c r="M1136" s="63">
        <v>93</v>
      </c>
      <c r="N1136" s="63">
        <v>97</v>
      </c>
      <c r="O1136" s="63">
        <v>95</v>
      </c>
      <c r="P1136" s="63">
        <v>115</v>
      </c>
      <c r="Q1136" s="63">
        <v>109</v>
      </c>
      <c r="R1136" s="63">
        <v>117</v>
      </c>
      <c r="S1136" s="63">
        <v>139</v>
      </c>
      <c r="T1136" s="63">
        <v>155</v>
      </c>
      <c r="U1136" s="63">
        <v>143</v>
      </c>
      <c r="V1136" s="63">
        <v>157</v>
      </c>
      <c r="W1136" s="63">
        <v>152</v>
      </c>
      <c r="X1136" s="63">
        <v>148</v>
      </c>
      <c r="Y1136" s="63">
        <v>158</v>
      </c>
      <c r="Z1136" s="63">
        <v>146</v>
      </c>
      <c r="AA1136" s="63">
        <v>148</v>
      </c>
      <c r="AB1136" s="63">
        <v>134</v>
      </c>
    </row>
    <row r="1137" spans="1:28" x14ac:dyDescent="0.2">
      <c r="A1137" s="62">
        <v>93</v>
      </c>
      <c r="B1137" s="62" t="s">
        <v>390</v>
      </c>
      <c r="C1137" s="62">
        <v>42</v>
      </c>
      <c r="D1137" s="62" t="s">
        <v>326</v>
      </c>
      <c r="E1137" s="63">
        <v>99</v>
      </c>
      <c r="F1137" s="63">
        <v>85</v>
      </c>
      <c r="G1137" s="63">
        <v>79</v>
      </c>
      <c r="H1137" s="63">
        <v>80</v>
      </c>
      <c r="I1137" s="63">
        <v>76</v>
      </c>
      <c r="J1137" s="63">
        <v>68</v>
      </c>
      <c r="K1137" s="63">
        <v>62</v>
      </c>
      <c r="L1137" s="63">
        <v>73</v>
      </c>
      <c r="M1137" s="63">
        <v>76</v>
      </c>
      <c r="N1137" s="63">
        <v>77</v>
      </c>
      <c r="O1137" s="63">
        <v>64</v>
      </c>
      <c r="P1137" s="63">
        <v>71</v>
      </c>
      <c r="Q1137" s="63">
        <v>76</v>
      </c>
      <c r="R1137" s="63">
        <v>107</v>
      </c>
      <c r="S1137" s="63">
        <v>122</v>
      </c>
      <c r="T1137" s="63">
        <v>133</v>
      </c>
      <c r="U1137" s="63">
        <v>132</v>
      </c>
      <c r="V1137" s="63">
        <v>116</v>
      </c>
      <c r="W1137" s="63">
        <v>109</v>
      </c>
      <c r="X1137" s="63">
        <v>100</v>
      </c>
      <c r="Y1137" s="63">
        <v>109</v>
      </c>
      <c r="Z1137" s="63">
        <v>103</v>
      </c>
      <c r="AA1137" s="63">
        <v>110</v>
      </c>
      <c r="AB1137" s="63">
        <v>127</v>
      </c>
    </row>
    <row r="1138" spans="1:28" x14ac:dyDescent="0.2">
      <c r="A1138" s="62">
        <v>93</v>
      </c>
      <c r="B1138" s="62" t="s">
        <v>390</v>
      </c>
      <c r="C1138" s="62" t="s">
        <v>327</v>
      </c>
      <c r="D1138" s="62" t="s">
        <v>328</v>
      </c>
      <c r="E1138" s="63">
        <v>300</v>
      </c>
      <c r="F1138" s="63">
        <v>313</v>
      </c>
      <c r="G1138" s="63">
        <v>321</v>
      </c>
      <c r="H1138" s="63">
        <v>328</v>
      </c>
      <c r="I1138" s="63">
        <v>362</v>
      </c>
      <c r="J1138" s="63">
        <v>386</v>
      </c>
      <c r="K1138" s="63">
        <v>398</v>
      </c>
      <c r="L1138" s="63">
        <v>384</v>
      </c>
      <c r="M1138" s="63">
        <v>370</v>
      </c>
      <c r="N1138" s="63">
        <v>333</v>
      </c>
      <c r="O1138" s="63">
        <v>330</v>
      </c>
      <c r="P1138" s="63">
        <v>314</v>
      </c>
      <c r="Q1138" s="63">
        <v>341</v>
      </c>
      <c r="R1138" s="63">
        <v>354</v>
      </c>
      <c r="S1138" s="63">
        <v>372</v>
      </c>
      <c r="T1138" s="63">
        <v>413</v>
      </c>
      <c r="U1138" s="63">
        <v>427</v>
      </c>
      <c r="V1138" s="63">
        <v>453</v>
      </c>
      <c r="W1138" s="63">
        <v>458</v>
      </c>
      <c r="X1138" s="63">
        <v>475</v>
      </c>
      <c r="Y1138" s="63">
        <v>522</v>
      </c>
      <c r="Z1138" s="63">
        <v>538</v>
      </c>
      <c r="AA1138" s="63">
        <v>571</v>
      </c>
      <c r="AB1138" s="63">
        <v>586</v>
      </c>
    </row>
    <row r="1139" spans="1:28" x14ac:dyDescent="0.2">
      <c r="A1139" s="62">
        <v>93</v>
      </c>
      <c r="B1139" s="62" t="s">
        <v>390</v>
      </c>
      <c r="C1139" s="62" t="s">
        <v>329</v>
      </c>
      <c r="D1139" s="62" t="s">
        <v>330</v>
      </c>
      <c r="E1139" s="63">
        <v>57</v>
      </c>
      <c r="F1139" s="63">
        <v>77</v>
      </c>
      <c r="G1139" s="63">
        <v>74</v>
      </c>
      <c r="H1139" s="63">
        <v>66</v>
      </c>
      <c r="I1139" s="63">
        <v>61</v>
      </c>
      <c r="J1139" s="63">
        <v>70</v>
      </c>
      <c r="K1139" s="63">
        <v>84</v>
      </c>
      <c r="L1139" s="63">
        <v>70</v>
      </c>
      <c r="M1139" s="63">
        <v>57</v>
      </c>
      <c r="N1139" s="63">
        <v>53</v>
      </c>
      <c r="O1139" s="63">
        <v>55</v>
      </c>
      <c r="P1139" s="63">
        <v>65</v>
      </c>
      <c r="Q1139" s="63">
        <v>64</v>
      </c>
      <c r="R1139" s="63">
        <v>73</v>
      </c>
      <c r="S1139" s="63">
        <v>66</v>
      </c>
      <c r="T1139" s="63">
        <v>93</v>
      </c>
      <c r="U1139" s="63">
        <v>92</v>
      </c>
      <c r="V1139" s="63">
        <v>127</v>
      </c>
      <c r="W1139" s="63">
        <v>135</v>
      </c>
      <c r="X1139" s="63">
        <v>99</v>
      </c>
      <c r="Y1139" s="63">
        <v>106</v>
      </c>
      <c r="Z1139" s="63">
        <v>108</v>
      </c>
      <c r="AA1139" s="63">
        <v>192</v>
      </c>
      <c r="AB1139" s="63">
        <v>169</v>
      </c>
    </row>
    <row r="1140" spans="1:28" x14ac:dyDescent="0.2">
      <c r="A1140" s="62">
        <v>93</v>
      </c>
      <c r="B1140" s="62" t="s">
        <v>390</v>
      </c>
      <c r="C1140" s="62">
        <v>51</v>
      </c>
      <c r="D1140" s="62" t="s">
        <v>331</v>
      </c>
      <c r="E1140" s="63">
        <v>57</v>
      </c>
      <c r="F1140" s="63">
        <v>26</v>
      </c>
      <c r="G1140" s="63">
        <v>26</v>
      </c>
      <c r="H1140" s="63">
        <v>47</v>
      </c>
      <c r="I1140" s="63">
        <v>47</v>
      </c>
      <c r="J1140" s="63">
        <v>61</v>
      </c>
      <c r="K1140" s="63">
        <v>65</v>
      </c>
      <c r="L1140" s="63">
        <v>63</v>
      </c>
      <c r="M1140" s="63">
        <v>67</v>
      </c>
      <c r="N1140" s="63">
        <v>59</v>
      </c>
      <c r="O1140" s="63">
        <v>63</v>
      </c>
      <c r="P1140" s="63">
        <v>57</v>
      </c>
      <c r="Q1140" s="63">
        <v>51</v>
      </c>
      <c r="R1140" s="63">
        <v>52</v>
      </c>
      <c r="S1140" s="63">
        <v>54</v>
      </c>
      <c r="T1140" s="63">
        <v>63</v>
      </c>
      <c r="U1140" s="63">
        <v>61</v>
      </c>
      <c r="V1140" s="63">
        <v>57</v>
      </c>
      <c r="W1140" s="63">
        <v>41</v>
      </c>
      <c r="X1140" s="63">
        <v>53</v>
      </c>
      <c r="Y1140" s="63">
        <v>51</v>
      </c>
      <c r="Z1140" s="63">
        <v>43</v>
      </c>
      <c r="AA1140" s="63">
        <v>46</v>
      </c>
      <c r="AB1140" s="63">
        <v>33</v>
      </c>
    </row>
    <row r="1141" spans="1:28" x14ac:dyDescent="0.2">
      <c r="A1141" s="62">
        <v>93</v>
      </c>
      <c r="B1141" s="62" t="s">
        <v>390</v>
      </c>
      <c r="C1141" s="62">
        <v>52</v>
      </c>
      <c r="D1141" s="62" t="s">
        <v>332</v>
      </c>
      <c r="E1141" s="63">
        <v>79</v>
      </c>
      <c r="F1141" s="63">
        <v>73</v>
      </c>
      <c r="G1141" s="63">
        <v>78</v>
      </c>
      <c r="H1141" s="63">
        <v>78</v>
      </c>
      <c r="I1141" s="63">
        <v>91</v>
      </c>
      <c r="J1141" s="63">
        <v>89</v>
      </c>
      <c r="K1141" s="63">
        <v>79</v>
      </c>
      <c r="L1141" s="63">
        <v>77</v>
      </c>
      <c r="M1141" s="63">
        <v>73</v>
      </c>
      <c r="N1141" s="63">
        <v>69</v>
      </c>
      <c r="O1141" s="63">
        <v>71</v>
      </c>
      <c r="P1141" s="63">
        <v>71</v>
      </c>
      <c r="Q1141" s="63">
        <v>62</v>
      </c>
      <c r="R1141" s="63">
        <v>52</v>
      </c>
      <c r="S1141" s="63">
        <v>51</v>
      </c>
      <c r="T1141" s="63">
        <v>62</v>
      </c>
      <c r="U1141" s="63">
        <v>51</v>
      </c>
      <c r="V1141" s="63">
        <v>51</v>
      </c>
      <c r="W1141" s="63">
        <v>49</v>
      </c>
      <c r="X1141" s="63">
        <v>56</v>
      </c>
      <c r="Y1141" s="63">
        <v>62</v>
      </c>
      <c r="Z1141" s="63">
        <v>63</v>
      </c>
      <c r="AA1141" s="63">
        <v>61</v>
      </c>
      <c r="AB1141" s="63">
        <v>60</v>
      </c>
    </row>
    <row r="1142" spans="1:28" x14ac:dyDescent="0.2">
      <c r="A1142" s="62">
        <v>93</v>
      </c>
      <c r="B1142" s="62" t="s">
        <v>390</v>
      </c>
      <c r="C1142" s="62">
        <v>53</v>
      </c>
      <c r="D1142" s="62" t="s">
        <v>333</v>
      </c>
      <c r="E1142" s="63">
        <v>145</v>
      </c>
      <c r="F1142" s="63">
        <v>154</v>
      </c>
      <c r="G1142" s="63">
        <v>172</v>
      </c>
      <c r="H1142" s="63">
        <v>190</v>
      </c>
      <c r="I1142" s="63">
        <v>189</v>
      </c>
      <c r="J1142" s="63">
        <v>199</v>
      </c>
      <c r="K1142" s="63">
        <v>197</v>
      </c>
      <c r="L1142" s="63">
        <v>179</v>
      </c>
      <c r="M1142" s="63">
        <v>184</v>
      </c>
      <c r="N1142" s="63">
        <v>182</v>
      </c>
      <c r="O1142" s="63">
        <v>172</v>
      </c>
      <c r="P1142" s="63">
        <v>166</v>
      </c>
      <c r="Q1142" s="63">
        <v>163</v>
      </c>
      <c r="R1142" s="63">
        <v>181</v>
      </c>
      <c r="S1142" s="63">
        <v>191</v>
      </c>
      <c r="T1142" s="63">
        <v>201</v>
      </c>
      <c r="U1142" s="63">
        <v>217</v>
      </c>
      <c r="V1142" s="63">
        <v>226</v>
      </c>
      <c r="W1142" s="63">
        <v>241</v>
      </c>
      <c r="X1142" s="63">
        <v>238</v>
      </c>
      <c r="Y1142" s="63">
        <v>254</v>
      </c>
      <c r="Z1142" s="63">
        <v>255</v>
      </c>
      <c r="AA1142" s="63">
        <v>265</v>
      </c>
      <c r="AB1142" s="63">
        <v>216</v>
      </c>
    </row>
    <row r="1143" spans="1:28" x14ac:dyDescent="0.2">
      <c r="A1143" s="62">
        <v>93</v>
      </c>
      <c r="B1143" s="62" t="s">
        <v>390</v>
      </c>
      <c r="C1143" s="62">
        <v>54</v>
      </c>
      <c r="D1143" s="62" t="s">
        <v>334</v>
      </c>
      <c r="E1143" s="63">
        <v>340</v>
      </c>
      <c r="F1143" s="63">
        <v>351</v>
      </c>
      <c r="G1143" s="63">
        <v>380</v>
      </c>
      <c r="H1143" s="63">
        <v>394</v>
      </c>
      <c r="I1143" s="63">
        <v>403</v>
      </c>
      <c r="J1143" s="63">
        <v>421</v>
      </c>
      <c r="K1143" s="63">
        <v>404</v>
      </c>
      <c r="L1143" s="63">
        <v>403</v>
      </c>
      <c r="M1143" s="63">
        <v>367</v>
      </c>
      <c r="N1143" s="63">
        <v>376</v>
      </c>
      <c r="O1143" s="63">
        <v>402</v>
      </c>
      <c r="P1143" s="63">
        <v>394</v>
      </c>
      <c r="Q1143" s="63">
        <v>391</v>
      </c>
      <c r="R1143" s="63">
        <v>369</v>
      </c>
      <c r="S1143" s="63">
        <v>406</v>
      </c>
      <c r="T1143" s="63">
        <v>427</v>
      </c>
      <c r="U1143" s="63">
        <v>416</v>
      </c>
      <c r="V1143" s="63">
        <v>441</v>
      </c>
      <c r="W1143" s="63">
        <v>459</v>
      </c>
      <c r="X1143" s="63">
        <v>458</v>
      </c>
      <c r="Y1143" s="63">
        <v>474</v>
      </c>
      <c r="Z1143" s="63">
        <v>521</v>
      </c>
      <c r="AA1143" s="63">
        <v>508</v>
      </c>
      <c r="AB1143" s="63">
        <v>644</v>
      </c>
    </row>
    <row r="1144" spans="1:28" x14ac:dyDescent="0.2">
      <c r="A1144" s="62">
        <v>93</v>
      </c>
      <c r="B1144" s="62" t="s">
        <v>390</v>
      </c>
      <c r="C1144" s="62">
        <v>55</v>
      </c>
      <c r="D1144" s="64" t="s">
        <v>335</v>
      </c>
      <c r="E1144" s="65"/>
      <c r="F1144" s="65"/>
      <c r="G1144" s="63">
        <v>1</v>
      </c>
      <c r="H1144" s="62"/>
      <c r="I1144" s="62"/>
      <c r="J1144" s="62"/>
      <c r="K1144" s="62"/>
      <c r="L1144" s="62"/>
      <c r="M1144" s="62"/>
      <c r="N1144" s="62"/>
      <c r="O1144" s="63">
        <v>0</v>
      </c>
      <c r="P1144" s="63">
        <v>0</v>
      </c>
      <c r="Q1144" s="62"/>
      <c r="R1144" s="62"/>
      <c r="S1144" s="63">
        <v>1</v>
      </c>
      <c r="T1144" s="62"/>
      <c r="U1144" s="62"/>
      <c r="V1144" s="62"/>
      <c r="W1144" s="62"/>
      <c r="X1144" s="62"/>
      <c r="Y1144" s="63">
        <v>7</v>
      </c>
      <c r="Z1144" s="63">
        <v>9</v>
      </c>
      <c r="AA1144" s="63">
        <v>9</v>
      </c>
      <c r="AB1144" s="63">
        <v>9</v>
      </c>
    </row>
    <row r="1145" spans="1:28" x14ac:dyDescent="0.2">
      <c r="A1145" s="62">
        <v>93</v>
      </c>
      <c r="B1145" s="62" t="s">
        <v>390</v>
      </c>
      <c r="C1145" s="62">
        <v>56</v>
      </c>
      <c r="D1145" s="62" t="s">
        <v>336</v>
      </c>
      <c r="E1145" s="63">
        <v>108</v>
      </c>
      <c r="F1145" s="63">
        <v>138</v>
      </c>
      <c r="G1145" s="63">
        <v>139</v>
      </c>
      <c r="H1145" s="63">
        <v>165</v>
      </c>
      <c r="I1145" s="63">
        <v>175</v>
      </c>
      <c r="J1145" s="63">
        <v>177</v>
      </c>
      <c r="K1145" s="63">
        <v>214</v>
      </c>
      <c r="L1145" s="63">
        <v>233</v>
      </c>
      <c r="M1145" s="63">
        <v>225</v>
      </c>
      <c r="N1145" s="63">
        <v>252</v>
      </c>
      <c r="O1145" s="63">
        <v>221</v>
      </c>
      <c r="P1145" s="63">
        <v>246</v>
      </c>
      <c r="Q1145" s="63">
        <v>248</v>
      </c>
      <c r="R1145" s="63">
        <v>254</v>
      </c>
      <c r="S1145" s="63">
        <v>251</v>
      </c>
      <c r="T1145" s="63">
        <v>245</v>
      </c>
      <c r="U1145" s="63">
        <v>287</v>
      </c>
      <c r="V1145" s="63">
        <v>336</v>
      </c>
      <c r="W1145" s="63">
        <v>342</v>
      </c>
      <c r="X1145" s="63">
        <v>345</v>
      </c>
      <c r="Y1145" s="63">
        <v>386</v>
      </c>
      <c r="Z1145" s="63">
        <v>394</v>
      </c>
      <c r="AA1145" s="63">
        <v>404</v>
      </c>
      <c r="AB1145" s="63">
        <v>391</v>
      </c>
    </row>
    <row r="1146" spans="1:28" x14ac:dyDescent="0.2">
      <c r="A1146" s="62">
        <v>93</v>
      </c>
      <c r="B1146" s="62" t="s">
        <v>390</v>
      </c>
      <c r="C1146" s="62">
        <v>61</v>
      </c>
      <c r="D1146" s="62" t="s">
        <v>337</v>
      </c>
      <c r="E1146" s="63">
        <v>44</v>
      </c>
      <c r="F1146" s="63">
        <v>26</v>
      </c>
      <c r="G1146" s="63">
        <v>33</v>
      </c>
      <c r="H1146" s="63">
        <v>42</v>
      </c>
      <c r="I1146" s="63">
        <v>42</v>
      </c>
      <c r="J1146" s="63">
        <v>36</v>
      </c>
      <c r="K1146" s="63">
        <v>42</v>
      </c>
      <c r="L1146" s="63">
        <v>49</v>
      </c>
      <c r="M1146" s="63">
        <v>37</v>
      </c>
      <c r="N1146" s="63">
        <v>38</v>
      </c>
      <c r="O1146" s="63">
        <v>35</v>
      </c>
      <c r="P1146" s="63">
        <v>30</v>
      </c>
      <c r="Q1146" s="63">
        <v>44</v>
      </c>
      <c r="R1146" s="63">
        <v>51</v>
      </c>
      <c r="S1146" s="63">
        <v>52</v>
      </c>
      <c r="T1146" s="63">
        <v>53</v>
      </c>
      <c r="U1146" s="63">
        <v>64</v>
      </c>
      <c r="V1146" s="63">
        <v>53</v>
      </c>
      <c r="W1146" s="63">
        <v>54</v>
      </c>
      <c r="X1146" s="63">
        <v>41</v>
      </c>
      <c r="Y1146" s="63">
        <v>55</v>
      </c>
      <c r="Z1146" s="63">
        <v>79</v>
      </c>
      <c r="AA1146" s="63">
        <v>99</v>
      </c>
      <c r="AB1146" s="63">
        <v>102</v>
      </c>
    </row>
    <row r="1147" spans="1:28" x14ac:dyDescent="0.2">
      <c r="A1147" s="62">
        <v>93</v>
      </c>
      <c r="B1147" s="62" t="s">
        <v>390</v>
      </c>
      <c r="C1147" s="62">
        <v>62</v>
      </c>
      <c r="D1147" s="62" t="s">
        <v>338</v>
      </c>
      <c r="E1147" s="63">
        <v>140</v>
      </c>
      <c r="F1147" s="63">
        <v>149</v>
      </c>
      <c r="G1147" s="63">
        <v>139</v>
      </c>
      <c r="H1147" s="63">
        <v>139</v>
      </c>
      <c r="I1147" s="63">
        <v>130</v>
      </c>
      <c r="J1147" s="63">
        <v>147</v>
      </c>
      <c r="K1147" s="63">
        <v>159</v>
      </c>
      <c r="L1147" s="63">
        <v>174</v>
      </c>
      <c r="M1147" s="63">
        <v>168</v>
      </c>
      <c r="N1147" s="63">
        <v>164</v>
      </c>
      <c r="O1147" s="63">
        <v>175</v>
      </c>
      <c r="P1147" s="63">
        <v>128</v>
      </c>
      <c r="Q1147" s="63">
        <v>116</v>
      </c>
      <c r="R1147" s="63">
        <v>120</v>
      </c>
      <c r="S1147" s="63">
        <v>102</v>
      </c>
      <c r="T1147" s="63">
        <v>135</v>
      </c>
      <c r="U1147" s="63">
        <v>142</v>
      </c>
      <c r="V1147" s="63">
        <v>150</v>
      </c>
      <c r="W1147" s="63">
        <v>153</v>
      </c>
      <c r="X1147" s="63">
        <v>148</v>
      </c>
      <c r="Y1147" s="63">
        <v>176</v>
      </c>
      <c r="Z1147" s="63">
        <v>189</v>
      </c>
      <c r="AA1147" s="63">
        <v>193</v>
      </c>
      <c r="AB1147" s="63">
        <v>218</v>
      </c>
    </row>
    <row r="1148" spans="1:28" x14ac:dyDescent="0.2">
      <c r="A1148" s="62">
        <v>93</v>
      </c>
      <c r="B1148" s="62" t="s">
        <v>390</v>
      </c>
      <c r="C1148" s="62">
        <v>71</v>
      </c>
      <c r="D1148" s="62" t="s">
        <v>339</v>
      </c>
      <c r="E1148" s="63">
        <v>79</v>
      </c>
      <c r="F1148" s="63">
        <v>88</v>
      </c>
      <c r="G1148" s="63">
        <v>102</v>
      </c>
      <c r="H1148" s="63">
        <v>103</v>
      </c>
      <c r="I1148" s="63">
        <v>110</v>
      </c>
      <c r="J1148" s="63">
        <v>112</v>
      </c>
      <c r="K1148" s="63">
        <v>112</v>
      </c>
      <c r="L1148" s="63">
        <v>111</v>
      </c>
      <c r="M1148" s="63">
        <v>110</v>
      </c>
      <c r="N1148" s="63">
        <v>107</v>
      </c>
      <c r="O1148" s="63">
        <v>104</v>
      </c>
      <c r="P1148" s="63">
        <v>104</v>
      </c>
      <c r="Q1148" s="63">
        <v>116</v>
      </c>
      <c r="R1148" s="63">
        <v>117</v>
      </c>
      <c r="S1148" s="63">
        <v>106</v>
      </c>
      <c r="T1148" s="63">
        <v>114</v>
      </c>
      <c r="U1148" s="63">
        <v>136</v>
      </c>
      <c r="V1148" s="63">
        <v>140</v>
      </c>
      <c r="W1148" s="63">
        <v>146</v>
      </c>
      <c r="X1148" s="63">
        <v>142</v>
      </c>
      <c r="Y1148" s="63">
        <v>158</v>
      </c>
      <c r="Z1148" s="63">
        <v>172</v>
      </c>
      <c r="AA1148" s="63">
        <v>254</v>
      </c>
      <c r="AB1148" s="63">
        <v>229</v>
      </c>
    </row>
    <row r="1149" spans="1:28" x14ac:dyDescent="0.2">
      <c r="A1149" s="62">
        <v>93</v>
      </c>
      <c r="B1149" s="62" t="s">
        <v>390</v>
      </c>
      <c r="C1149" s="62">
        <v>72</v>
      </c>
      <c r="D1149" s="62" t="s">
        <v>340</v>
      </c>
      <c r="E1149" s="63">
        <v>319</v>
      </c>
      <c r="F1149" s="63">
        <v>287</v>
      </c>
      <c r="G1149" s="63">
        <v>291</v>
      </c>
      <c r="H1149" s="63">
        <v>321</v>
      </c>
      <c r="I1149" s="63">
        <v>358</v>
      </c>
      <c r="J1149" s="63">
        <v>347</v>
      </c>
      <c r="K1149" s="63">
        <v>368</v>
      </c>
      <c r="L1149" s="63">
        <v>339</v>
      </c>
      <c r="M1149" s="63">
        <v>282</v>
      </c>
      <c r="N1149" s="63">
        <v>305</v>
      </c>
      <c r="O1149" s="63">
        <v>321</v>
      </c>
      <c r="P1149" s="63">
        <v>366</v>
      </c>
      <c r="Q1149" s="63">
        <v>325</v>
      </c>
      <c r="R1149" s="63">
        <v>341</v>
      </c>
      <c r="S1149" s="63">
        <v>336</v>
      </c>
      <c r="T1149" s="63">
        <v>329</v>
      </c>
      <c r="U1149" s="63">
        <v>337</v>
      </c>
      <c r="V1149" s="63">
        <v>372</v>
      </c>
      <c r="W1149" s="63">
        <v>393</v>
      </c>
      <c r="X1149" s="63">
        <v>314</v>
      </c>
      <c r="Y1149" s="63">
        <v>371</v>
      </c>
      <c r="Z1149" s="63">
        <v>402</v>
      </c>
      <c r="AA1149" s="63">
        <v>464</v>
      </c>
      <c r="AB1149" s="63">
        <v>478</v>
      </c>
    </row>
    <row r="1150" spans="1:28" x14ac:dyDescent="0.2">
      <c r="A1150" s="62">
        <v>93</v>
      </c>
      <c r="B1150" s="62" t="s">
        <v>390</v>
      </c>
      <c r="C1150" s="62">
        <v>81</v>
      </c>
      <c r="D1150" s="62" t="s">
        <v>341</v>
      </c>
      <c r="E1150" s="63">
        <v>195</v>
      </c>
      <c r="F1150" s="63">
        <v>212</v>
      </c>
      <c r="G1150" s="63">
        <v>249</v>
      </c>
      <c r="H1150" s="63">
        <v>276</v>
      </c>
      <c r="I1150" s="63">
        <v>260</v>
      </c>
      <c r="J1150" s="63">
        <v>272</v>
      </c>
      <c r="K1150" s="63">
        <v>267</v>
      </c>
      <c r="L1150" s="63">
        <v>278</v>
      </c>
      <c r="M1150" s="63">
        <v>283</v>
      </c>
      <c r="N1150" s="63">
        <v>288</v>
      </c>
      <c r="O1150" s="63">
        <v>300</v>
      </c>
      <c r="P1150" s="63">
        <v>284</v>
      </c>
      <c r="Q1150" s="63">
        <v>288</v>
      </c>
      <c r="R1150" s="63">
        <v>312</v>
      </c>
      <c r="S1150" s="63">
        <v>325</v>
      </c>
      <c r="T1150" s="63">
        <v>318</v>
      </c>
      <c r="U1150" s="63">
        <v>363</v>
      </c>
      <c r="V1150" s="63">
        <v>278</v>
      </c>
      <c r="W1150" s="63">
        <v>277</v>
      </c>
      <c r="X1150" s="63">
        <v>275</v>
      </c>
      <c r="Y1150" s="63">
        <v>275</v>
      </c>
      <c r="Z1150" s="63">
        <v>290</v>
      </c>
      <c r="AA1150" s="63">
        <v>319</v>
      </c>
      <c r="AB1150" s="63">
        <v>376</v>
      </c>
    </row>
    <row r="1151" spans="1:28" x14ac:dyDescent="0.2">
      <c r="A1151" s="62">
        <v>93</v>
      </c>
      <c r="B1151" s="62" t="s">
        <v>390</v>
      </c>
      <c r="C1151" s="62">
        <v>99</v>
      </c>
      <c r="D1151" s="62" t="s">
        <v>342</v>
      </c>
      <c r="E1151" s="62"/>
      <c r="F1151" s="63">
        <v>0</v>
      </c>
      <c r="G1151" s="62"/>
      <c r="H1151" s="62"/>
      <c r="I1151" s="62"/>
      <c r="J1151" s="62"/>
      <c r="K1151" s="63">
        <v>0</v>
      </c>
      <c r="L1151" s="63">
        <v>0</v>
      </c>
      <c r="M1151" s="63">
        <v>0</v>
      </c>
      <c r="N1151" s="63">
        <v>0</v>
      </c>
      <c r="O1151" s="63">
        <v>0</v>
      </c>
      <c r="P1151" s="63">
        <v>2</v>
      </c>
      <c r="Q1151" s="63">
        <v>2</v>
      </c>
      <c r="R1151" s="63">
        <v>3</v>
      </c>
      <c r="S1151" s="62"/>
      <c r="T1151" s="62"/>
      <c r="U1151" s="62"/>
      <c r="V1151" s="62"/>
      <c r="W1151" s="62"/>
      <c r="X1151" s="62"/>
      <c r="Y1151" s="62"/>
      <c r="Z1151" s="63">
        <v>1</v>
      </c>
      <c r="AA1151" s="62"/>
      <c r="AB1151" s="63">
        <v>0</v>
      </c>
    </row>
    <row r="1152" spans="1:28" x14ac:dyDescent="0.2">
      <c r="A1152" s="62">
        <v>95</v>
      </c>
      <c r="B1152" s="62" t="s">
        <v>391</v>
      </c>
      <c r="C1152" s="62">
        <v>1</v>
      </c>
      <c r="D1152" s="62" t="s">
        <v>316</v>
      </c>
      <c r="E1152" s="63">
        <v>31</v>
      </c>
      <c r="F1152" s="63">
        <v>31</v>
      </c>
      <c r="G1152" s="63">
        <v>32</v>
      </c>
      <c r="H1152" s="63">
        <v>31</v>
      </c>
      <c r="I1152" s="63">
        <v>29</v>
      </c>
      <c r="J1152" s="63">
        <v>28</v>
      </c>
      <c r="K1152" s="63">
        <v>25</v>
      </c>
      <c r="L1152" s="63">
        <v>25</v>
      </c>
      <c r="M1152" s="63">
        <v>23</v>
      </c>
      <c r="N1152" s="63">
        <v>23</v>
      </c>
      <c r="O1152" s="63">
        <v>20</v>
      </c>
      <c r="P1152" s="63">
        <v>21</v>
      </c>
      <c r="Q1152" s="63">
        <v>22</v>
      </c>
      <c r="R1152" s="63">
        <v>21</v>
      </c>
      <c r="S1152" s="63">
        <v>21</v>
      </c>
      <c r="T1152" s="63">
        <v>23</v>
      </c>
      <c r="U1152" s="63">
        <v>22</v>
      </c>
      <c r="V1152" s="63">
        <v>21</v>
      </c>
      <c r="W1152" s="63">
        <v>22</v>
      </c>
      <c r="X1152" s="63">
        <v>23</v>
      </c>
      <c r="Y1152" s="63">
        <v>22</v>
      </c>
      <c r="Z1152" s="63">
        <v>22</v>
      </c>
      <c r="AA1152" s="63">
        <v>21</v>
      </c>
      <c r="AB1152" s="63">
        <v>21</v>
      </c>
    </row>
    <row r="1153" spans="1:28" x14ac:dyDescent="0.2">
      <c r="A1153" s="62">
        <v>95</v>
      </c>
      <c r="B1153" s="62" t="s">
        <v>391</v>
      </c>
      <c r="C1153" s="62">
        <v>10</v>
      </c>
      <c r="D1153" s="62" t="s">
        <v>317</v>
      </c>
      <c r="E1153" s="63">
        <v>2016</v>
      </c>
      <c r="F1153" s="63">
        <v>2000</v>
      </c>
      <c r="G1153" s="63">
        <v>1957</v>
      </c>
      <c r="H1153" s="63">
        <v>1911</v>
      </c>
      <c r="I1153" s="63">
        <v>1905</v>
      </c>
      <c r="J1153" s="63">
        <v>1883</v>
      </c>
      <c r="K1153" s="63">
        <v>1909</v>
      </c>
      <c r="L1153" s="63">
        <v>1870</v>
      </c>
      <c r="M1153" s="63">
        <v>1932</v>
      </c>
      <c r="N1153" s="63">
        <v>1971</v>
      </c>
      <c r="O1153" s="63">
        <v>1918</v>
      </c>
      <c r="P1153" s="63">
        <v>1950</v>
      </c>
      <c r="Q1153" s="63">
        <v>2051</v>
      </c>
      <c r="R1153" s="63">
        <v>2083</v>
      </c>
      <c r="S1153" s="63">
        <v>2076</v>
      </c>
      <c r="T1153" s="63">
        <v>2054</v>
      </c>
      <c r="U1153" s="63">
        <v>2091</v>
      </c>
      <c r="V1153" s="63">
        <v>2129</v>
      </c>
      <c r="W1153" s="63">
        <v>2164</v>
      </c>
      <c r="X1153" s="63">
        <v>2063</v>
      </c>
      <c r="Y1153" s="63">
        <v>2109</v>
      </c>
      <c r="Z1153" s="63">
        <v>2133</v>
      </c>
      <c r="AA1153" s="63">
        <v>2209</v>
      </c>
      <c r="AB1153" s="63">
        <v>2283</v>
      </c>
    </row>
    <row r="1154" spans="1:28" x14ac:dyDescent="0.2">
      <c r="A1154" s="62">
        <v>95</v>
      </c>
      <c r="B1154" s="62" t="s">
        <v>391</v>
      </c>
      <c r="C1154" s="62">
        <v>11</v>
      </c>
      <c r="D1154" s="62" t="s">
        <v>318</v>
      </c>
      <c r="E1154" s="63">
        <v>313</v>
      </c>
      <c r="F1154" s="63">
        <v>299</v>
      </c>
      <c r="G1154" s="63">
        <v>281</v>
      </c>
      <c r="H1154" s="63">
        <v>281</v>
      </c>
      <c r="I1154" s="63">
        <v>279</v>
      </c>
      <c r="J1154" s="63">
        <v>278</v>
      </c>
      <c r="K1154" s="63">
        <v>275</v>
      </c>
      <c r="L1154" s="63">
        <v>258</v>
      </c>
      <c r="M1154" s="63">
        <v>286</v>
      </c>
      <c r="N1154" s="63">
        <v>279</v>
      </c>
      <c r="O1154" s="63">
        <v>281</v>
      </c>
      <c r="P1154" s="63">
        <v>301</v>
      </c>
      <c r="Q1154" s="63">
        <v>305</v>
      </c>
      <c r="R1154" s="63">
        <v>306</v>
      </c>
      <c r="S1154" s="63">
        <v>293</v>
      </c>
      <c r="T1154" s="63">
        <v>314</v>
      </c>
      <c r="U1154" s="63">
        <v>328</v>
      </c>
      <c r="V1154" s="63">
        <v>363</v>
      </c>
      <c r="W1154" s="63">
        <v>376</v>
      </c>
      <c r="X1154" s="63">
        <v>384</v>
      </c>
      <c r="Y1154" s="63">
        <v>421</v>
      </c>
      <c r="Z1154" s="63">
        <v>411</v>
      </c>
      <c r="AA1154" s="63">
        <v>422</v>
      </c>
      <c r="AB1154" s="63">
        <v>446</v>
      </c>
    </row>
    <row r="1155" spans="1:28" x14ac:dyDescent="0.2">
      <c r="A1155" s="62">
        <v>95</v>
      </c>
      <c r="B1155" s="62" t="s">
        <v>391</v>
      </c>
      <c r="C1155" s="62">
        <v>2</v>
      </c>
      <c r="D1155" s="62" t="s">
        <v>319</v>
      </c>
      <c r="E1155" s="63">
        <v>10</v>
      </c>
      <c r="F1155" s="62"/>
      <c r="G1155" s="63">
        <v>13</v>
      </c>
      <c r="H1155" s="63">
        <v>13</v>
      </c>
      <c r="I1155" s="63">
        <v>14</v>
      </c>
      <c r="J1155" s="63">
        <v>12</v>
      </c>
      <c r="K1155" s="63">
        <v>11</v>
      </c>
      <c r="L1155" s="63">
        <v>11</v>
      </c>
      <c r="M1155" s="63">
        <v>12</v>
      </c>
      <c r="N1155" s="63">
        <v>13</v>
      </c>
      <c r="O1155" s="63">
        <v>12</v>
      </c>
      <c r="P1155" s="63">
        <v>12</v>
      </c>
      <c r="Q1155" s="63">
        <v>11</v>
      </c>
      <c r="R1155" s="63">
        <v>12</v>
      </c>
      <c r="S1155" s="63">
        <v>13</v>
      </c>
      <c r="T1155" s="63">
        <v>14</v>
      </c>
      <c r="U1155" s="63">
        <v>13</v>
      </c>
      <c r="V1155" s="63">
        <v>12</v>
      </c>
      <c r="W1155" s="63">
        <v>12</v>
      </c>
      <c r="X1155" s="63">
        <v>12</v>
      </c>
      <c r="Y1155" s="63">
        <v>13</v>
      </c>
      <c r="Z1155" s="63">
        <v>12</v>
      </c>
      <c r="AA1155" s="63">
        <v>10</v>
      </c>
      <c r="AB1155" s="63">
        <v>10</v>
      </c>
    </row>
    <row r="1156" spans="1:28" x14ac:dyDescent="0.2">
      <c r="A1156" s="62">
        <v>95</v>
      </c>
      <c r="B1156" s="62" t="s">
        <v>391</v>
      </c>
      <c r="C1156" s="62">
        <v>21</v>
      </c>
      <c r="D1156" s="64" t="s">
        <v>320</v>
      </c>
      <c r="E1156" s="65"/>
      <c r="F1156" s="65"/>
      <c r="G1156" s="65"/>
      <c r="H1156" s="62"/>
      <c r="I1156" s="62"/>
      <c r="J1156" s="63">
        <v>0</v>
      </c>
      <c r="K1156" s="63">
        <v>0</v>
      </c>
      <c r="L1156" s="63">
        <v>0</v>
      </c>
      <c r="M1156" s="62"/>
      <c r="N1156" s="62"/>
      <c r="O1156" s="62"/>
      <c r="P1156" s="62"/>
      <c r="Q1156" s="62"/>
      <c r="R1156" s="63">
        <v>18</v>
      </c>
      <c r="S1156" s="63">
        <v>19</v>
      </c>
      <c r="T1156" s="62"/>
      <c r="U1156" s="62"/>
      <c r="V1156" s="62"/>
      <c r="W1156" s="62"/>
      <c r="X1156" s="62"/>
      <c r="Y1156" s="62"/>
      <c r="Z1156" s="62"/>
      <c r="AA1156" s="62"/>
      <c r="AB1156" s="62"/>
    </row>
    <row r="1157" spans="1:28" x14ac:dyDescent="0.2">
      <c r="A1157" s="62">
        <v>95</v>
      </c>
      <c r="B1157" s="62" t="s">
        <v>391</v>
      </c>
      <c r="C1157" s="62">
        <v>22</v>
      </c>
      <c r="D1157" s="62" t="s">
        <v>321</v>
      </c>
      <c r="E1157" s="62"/>
      <c r="F1157" s="63">
        <v>40</v>
      </c>
      <c r="G1157" s="62"/>
      <c r="H1157" s="62"/>
      <c r="I1157" s="62"/>
      <c r="J1157" s="62"/>
      <c r="K1157" s="62"/>
      <c r="L1157" s="62"/>
      <c r="M1157" s="62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</row>
    <row r="1158" spans="1:28" x14ac:dyDescent="0.2">
      <c r="A1158" s="62">
        <v>95</v>
      </c>
      <c r="B1158" s="62" t="s">
        <v>391</v>
      </c>
      <c r="C1158" s="62">
        <v>23</v>
      </c>
      <c r="D1158" s="62" t="s">
        <v>322</v>
      </c>
      <c r="E1158" s="63">
        <v>87</v>
      </c>
      <c r="F1158" s="63">
        <v>90</v>
      </c>
      <c r="G1158" s="63">
        <v>75</v>
      </c>
      <c r="H1158" s="63">
        <v>78</v>
      </c>
      <c r="I1158" s="63">
        <v>74</v>
      </c>
      <c r="J1158" s="63">
        <v>74</v>
      </c>
      <c r="K1158" s="63">
        <v>74</v>
      </c>
      <c r="L1158" s="63">
        <v>80</v>
      </c>
      <c r="M1158" s="63">
        <v>95</v>
      </c>
      <c r="N1158" s="63">
        <v>86</v>
      </c>
      <c r="O1158" s="63">
        <v>65</v>
      </c>
      <c r="P1158" s="63">
        <v>88</v>
      </c>
      <c r="Q1158" s="63">
        <v>111</v>
      </c>
      <c r="R1158" s="63">
        <v>99</v>
      </c>
      <c r="S1158" s="63">
        <v>81</v>
      </c>
      <c r="T1158" s="63">
        <v>74</v>
      </c>
      <c r="U1158" s="63">
        <v>96</v>
      </c>
      <c r="V1158" s="63">
        <v>95</v>
      </c>
      <c r="W1158" s="63">
        <v>101</v>
      </c>
      <c r="X1158" s="63">
        <v>108</v>
      </c>
      <c r="Y1158" s="63">
        <v>107</v>
      </c>
      <c r="Z1158" s="63">
        <v>109</v>
      </c>
      <c r="AA1158" s="63">
        <v>115</v>
      </c>
      <c r="AB1158" s="63">
        <v>115</v>
      </c>
    </row>
    <row r="1159" spans="1:28" x14ac:dyDescent="0.2">
      <c r="A1159" s="62">
        <v>95</v>
      </c>
      <c r="B1159" s="62" t="s">
        <v>391</v>
      </c>
      <c r="C1159" s="62">
        <v>3</v>
      </c>
      <c r="D1159" s="62" t="s">
        <v>323</v>
      </c>
      <c r="E1159" s="63">
        <v>529</v>
      </c>
      <c r="F1159" s="63">
        <v>552</v>
      </c>
      <c r="G1159" s="63">
        <v>555</v>
      </c>
      <c r="H1159" s="63">
        <v>557</v>
      </c>
      <c r="I1159" s="63">
        <v>560</v>
      </c>
      <c r="J1159" s="63">
        <v>558</v>
      </c>
      <c r="K1159" s="63">
        <v>558</v>
      </c>
      <c r="L1159" s="63">
        <v>556</v>
      </c>
      <c r="M1159" s="63">
        <v>571</v>
      </c>
      <c r="N1159" s="63">
        <v>592</v>
      </c>
      <c r="O1159" s="63">
        <v>543</v>
      </c>
      <c r="P1159" s="63">
        <v>534</v>
      </c>
      <c r="Q1159" s="63">
        <v>526</v>
      </c>
      <c r="R1159" s="63">
        <v>552</v>
      </c>
      <c r="S1159" s="63">
        <v>563</v>
      </c>
      <c r="T1159" s="63">
        <v>556</v>
      </c>
      <c r="U1159" s="63">
        <v>563</v>
      </c>
      <c r="V1159" s="63">
        <v>572</v>
      </c>
      <c r="W1159" s="63">
        <v>571</v>
      </c>
      <c r="X1159" s="63">
        <v>541</v>
      </c>
      <c r="Y1159" s="63">
        <v>567</v>
      </c>
      <c r="Z1159" s="63">
        <v>580</v>
      </c>
      <c r="AA1159" s="63">
        <v>590</v>
      </c>
      <c r="AB1159" s="63">
        <v>616</v>
      </c>
    </row>
    <row r="1160" spans="1:28" x14ac:dyDescent="0.2">
      <c r="A1160" s="62">
        <v>95</v>
      </c>
      <c r="B1160" s="62" t="s">
        <v>391</v>
      </c>
      <c r="C1160" s="62" t="s">
        <v>324</v>
      </c>
      <c r="D1160" s="62" t="s">
        <v>325</v>
      </c>
      <c r="E1160" s="63">
        <v>37</v>
      </c>
      <c r="F1160" s="63">
        <v>33</v>
      </c>
      <c r="G1160" s="63">
        <v>28</v>
      </c>
      <c r="H1160" s="63">
        <v>26</v>
      </c>
      <c r="I1160" s="63">
        <v>30</v>
      </c>
      <c r="J1160" s="63">
        <v>29</v>
      </c>
      <c r="K1160" s="63">
        <v>31</v>
      </c>
      <c r="L1160" s="63">
        <v>24</v>
      </c>
      <c r="M1160" s="63">
        <v>14</v>
      </c>
      <c r="N1160" s="63">
        <v>20</v>
      </c>
      <c r="O1160" s="63">
        <v>11</v>
      </c>
      <c r="P1160" s="63">
        <v>12</v>
      </c>
      <c r="Q1160" s="63">
        <v>22</v>
      </c>
      <c r="R1160" s="63">
        <v>28</v>
      </c>
      <c r="S1160" s="63">
        <v>35</v>
      </c>
      <c r="T1160" s="63">
        <v>35</v>
      </c>
      <c r="U1160" s="63">
        <v>36</v>
      </c>
      <c r="V1160" s="63">
        <v>32</v>
      </c>
      <c r="W1160" s="63">
        <v>31</v>
      </c>
      <c r="X1160" s="63">
        <v>28</v>
      </c>
      <c r="Y1160" s="63">
        <v>29</v>
      </c>
      <c r="Z1160" s="63">
        <v>30</v>
      </c>
      <c r="AA1160" s="63">
        <v>29</v>
      </c>
      <c r="AB1160" s="63">
        <v>25</v>
      </c>
    </row>
    <row r="1161" spans="1:28" x14ac:dyDescent="0.2">
      <c r="A1161" s="62">
        <v>95</v>
      </c>
      <c r="B1161" s="62" t="s">
        <v>391</v>
      </c>
      <c r="C1161" s="62">
        <v>42</v>
      </c>
      <c r="D1161" s="62" t="s">
        <v>326</v>
      </c>
      <c r="E1161" s="63">
        <v>174</v>
      </c>
      <c r="F1161" s="63">
        <v>130</v>
      </c>
      <c r="G1161" s="63">
        <v>133</v>
      </c>
      <c r="H1161" s="63">
        <v>134</v>
      </c>
      <c r="I1161" s="63">
        <v>145</v>
      </c>
      <c r="J1161" s="63">
        <v>141</v>
      </c>
      <c r="K1161" s="63">
        <v>132</v>
      </c>
      <c r="L1161" s="63">
        <v>145</v>
      </c>
      <c r="M1161" s="63">
        <v>154</v>
      </c>
      <c r="N1161" s="63">
        <v>174</v>
      </c>
      <c r="O1161" s="63">
        <v>172</v>
      </c>
      <c r="P1161" s="63">
        <v>169</v>
      </c>
      <c r="Q1161" s="63">
        <v>180</v>
      </c>
      <c r="R1161" s="63">
        <v>185</v>
      </c>
      <c r="S1161" s="63">
        <v>175</v>
      </c>
      <c r="T1161" s="63">
        <v>131</v>
      </c>
      <c r="U1161" s="63">
        <v>133</v>
      </c>
      <c r="V1161" s="63">
        <v>127</v>
      </c>
      <c r="W1161" s="63">
        <v>132</v>
      </c>
      <c r="X1161" s="63">
        <v>126</v>
      </c>
      <c r="Y1161" s="63">
        <v>109</v>
      </c>
      <c r="Z1161" s="63">
        <v>127</v>
      </c>
      <c r="AA1161" s="63">
        <v>137</v>
      </c>
      <c r="AB1161" s="63">
        <v>135</v>
      </c>
    </row>
    <row r="1162" spans="1:28" x14ac:dyDescent="0.2">
      <c r="A1162" s="62">
        <v>95</v>
      </c>
      <c r="B1162" s="62" t="s">
        <v>391</v>
      </c>
      <c r="C1162" s="62" t="s">
        <v>327</v>
      </c>
      <c r="D1162" s="62" t="s">
        <v>328</v>
      </c>
      <c r="E1162" s="63">
        <v>227</v>
      </c>
      <c r="F1162" s="63">
        <v>213</v>
      </c>
      <c r="G1162" s="63">
        <v>212</v>
      </c>
      <c r="H1162" s="63">
        <v>193</v>
      </c>
      <c r="I1162" s="63">
        <v>173</v>
      </c>
      <c r="J1162" s="63">
        <v>159</v>
      </c>
      <c r="K1162" s="63">
        <v>161</v>
      </c>
      <c r="L1162" s="63">
        <v>160</v>
      </c>
      <c r="M1162" s="63">
        <v>163</v>
      </c>
      <c r="N1162" s="63">
        <v>162</v>
      </c>
      <c r="O1162" s="63">
        <v>173</v>
      </c>
      <c r="P1162" s="63">
        <v>174</v>
      </c>
      <c r="Q1162" s="63">
        <v>178</v>
      </c>
      <c r="R1162" s="63">
        <v>183</v>
      </c>
      <c r="S1162" s="63">
        <v>184</v>
      </c>
      <c r="T1162" s="63">
        <v>184</v>
      </c>
      <c r="U1162" s="63">
        <v>185</v>
      </c>
      <c r="V1162" s="63">
        <v>185</v>
      </c>
      <c r="W1162" s="63">
        <v>185</v>
      </c>
      <c r="X1162" s="63">
        <v>168</v>
      </c>
      <c r="Y1162" s="63">
        <v>162</v>
      </c>
      <c r="Z1162" s="63">
        <v>155</v>
      </c>
      <c r="AA1162" s="63">
        <v>158</v>
      </c>
      <c r="AB1162" s="63">
        <v>177</v>
      </c>
    </row>
    <row r="1163" spans="1:28" x14ac:dyDescent="0.2">
      <c r="A1163" s="62">
        <v>95</v>
      </c>
      <c r="B1163" s="62" t="s">
        <v>391</v>
      </c>
      <c r="C1163" s="62" t="s">
        <v>329</v>
      </c>
      <c r="D1163" s="62" t="s">
        <v>330</v>
      </c>
      <c r="E1163" s="63">
        <v>71</v>
      </c>
      <c r="F1163" s="63">
        <v>93</v>
      </c>
      <c r="G1163" s="63">
        <v>91</v>
      </c>
      <c r="H1163" s="63">
        <v>66</v>
      </c>
      <c r="I1163" s="63">
        <v>73</v>
      </c>
      <c r="J1163" s="63">
        <v>72</v>
      </c>
      <c r="K1163" s="63">
        <v>86</v>
      </c>
      <c r="L1163" s="63">
        <v>87</v>
      </c>
      <c r="M1163" s="63">
        <v>83</v>
      </c>
      <c r="N1163" s="63">
        <v>80</v>
      </c>
      <c r="O1163" s="63">
        <v>77</v>
      </c>
      <c r="P1163" s="63">
        <v>74</v>
      </c>
      <c r="Q1163" s="63">
        <v>76</v>
      </c>
      <c r="R1163" s="63">
        <v>71</v>
      </c>
      <c r="S1163" s="63">
        <v>66</v>
      </c>
      <c r="T1163" s="63">
        <v>69</v>
      </c>
      <c r="U1163" s="63">
        <v>75</v>
      </c>
      <c r="V1163" s="63">
        <v>79</v>
      </c>
      <c r="W1163" s="63">
        <v>71</v>
      </c>
      <c r="X1163" s="63">
        <v>73</v>
      </c>
      <c r="Y1163" s="63">
        <v>72</v>
      </c>
      <c r="Z1163" s="63">
        <v>59</v>
      </c>
      <c r="AA1163" s="63">
        <v>59</v>
      </c>
      <c r="AB1163" s="63">
        <v>49</v>
      </c>
    </row>
    <row r="1164" spans="1:28" x14ac:dyDescent="0.2">
      <c r="A1164" s="62">
        <v>95</v>
      </c>
      <c r="B1164" s="62" t="s">
        <v>391</v>
      </c>
      <c r="C1164" s="62">
        <v>51</v>
      </c>
      <c r="D1164" s="62" t="s">
        <v>331</v>
      </c>
      <c r="E1164" s="63">
        <v>33</v>
      </c>
      <c r="F1164" s="63">
        <v>34</v>
      </c>
      <c r="G1164" s="63">
        <v>30</v>
      </c>
      <c r="H1164" s="63">
        <v>32</v>
      </c>
      <c r="I1164" s="63">
        <v>38</v>
      </c>
      <c r="J1164" s="63">
        <v>42</v>
      </c>
      <c r="K1164" s="63">
        <v>42</v>
      </c>
      <c r="L1164" s="63">
        <v>39</v>
      </c>
      <c r="M1164" s="63">
        <v>38</v>
      </c>
      <c r="N1164" s="63">
        <v>37</v>
      </c>
      <c r="O1164" s="63">
        <v>35</v>
      </c>
      <c r="P1164" s="63">
        <v>34</v>
      </c>
      <c r="Q1164" s="63">
        <v>31</v>
      </c>
      <c r="R1164" s="63">
        <v>30</v>
      </c>
      <c r="S1164" s="63">
        <v>34</v>
      </c>
      <c r="T1164" s="63">
        <v>31</v>
      </c>
      <c r="U1164" s="63">
        <v>24</v>
      </c>
      <c r="V1164" s="63">
        <v>18</v>
      </c>
      <c r="W1164" s="63">
        <v>21</v>
      </c>
      <c r="X1164" s="63">
        <v>23</v>
      </c>
      <c r="Y1164" s="63">
        <v>25</v>
      </c>
      <c r="Z1164" s="63">
        <v>23</v>
      </c>
      <c r="AA1164" s="63">
        <v>22</v>
      </c>
      <c r="AB1164" s="63">
        <v>23</v>
      </c>
    </row>
    <row r="1165" spans="1:28" x14ac:dyDescent="0.2">
      <c r="A1165" s="62">
        <v>95</v>
      </c>
      <c r="B1165" s="62" t="s">
        <v>391</v>
      </c>
      <c r="C1165" s="62">
        <v>52</v>
      </c>
      <c r="D1165" s="62" t="s">
        <v>332</v>
      </c>
      <c r="E1165" s="63">
        <v>51</v>
      </c>
      <c r="F1165" s="63">
        <v>52</v>
      </c>
      <c r="G1165" s="63">
        <v>61</v>
      </c>
      <c r="H1165" s="63">
        <v>40</v>
      </c>
      <c r="I1165" s="63">
        <v>48</v>
      </c>
      <c r="J1165" s="63">
        <v>53</v>
      </c>
      <c r="K1165" s="63">
        <v>55</v>
      </c>
      <c r="L1165" s="63">
        <v>54</v>
      </c>
      <c r="M1165" s="63">
        <v>53</v>
      </c>
      <c r="N1165" s="63">
        <v>55</v>
      </c>
      <c r="O1165" s="63">
        <v>54</v>
      </c>
      <c r="P1165" s="63">
        <v>56</v>
      </c>
      <c r="Q1165" s="63">
        <v>59</v>
      </c>
      <c r="R1165" s="63">
        <v>56</v>
      </c>
      <c r="S1165" s="63">
        <v>61</v>
      </c>
      <c r="T1165" s="63">
        <v>60</v>
      </c>
      <c r="U1165" s="63">
        <v>58</v>
      </c>
      <c r="V1165" s="63">
        <v>57</v>
      </c>
      <c r="W1165" s="63">
        <v>56</v>
      </c>
      <c r="X1165" s="63">
        <v>53</v>
      </c>
      <c r="Y1165" s="63">
        <v>54</v>
      </c>
      <c r="Z1165" s="63">
        <v>52</v>
      </c>
      <c r="AA1165" s="63">
        <v>52</v>
      </c>
      <c r="AB1165" s="63">
        <v>52</v>
      </c>
    </row>
    <row r="1166" spans="1:28" x14ac:dyDescent="0.2">
      <c r="A1166" s="62">
        <v>95</v>
      </c>
      <c r="B1166" s="62" t="s">
        <v>391</v>
      </c>
      <c r="C1166" s="62">
        <v>53</v>
      </c>
      <c r="D1166" s="62" t="s">
        <v>333</v>
      </c>
      <c r="E1166" s="63">
        <v>34</v>
      </c>
      <c r="F1166" s="63">
        <v>32</v>
      </c>
      <c r="G1166" s="63">
        <v>25</v>
      </c>
      <c r="H1166" s="63">
        <v>24</v>
      </c>
      <c r="I1166" s="63">
        <v>29</v>
      </c>
      <c r="J1166" s="63">
        <v>37</v>
      </c>
      <c r="K1166" s="63">
        <v>40</v>
      </c>
      <c r="L1166" s="63">
        <v>34</v>
      </c>
      <c r="M1166" s="63">
        <v>32</v>
      </c>
      <c r="N1166" s="63">
        <v>30</v>
      </c>
      <c r="O1166" s="63">
        <v>35</v>
      </c>
      <c r="P1166" s="63">
        <v>34</v>
      </c>
      <c r="Q1166" s="63">
        <v>44</v>
      </c>
      <c r="R1166" s="63">
        <v>41</v>
      </c>
      <c r="S1166" s="63">
        <v>37</v>
      </c>
      <c r="T1166" s="63">
        <v>39</v>
      </c>
      <c r="U1166" s="63">
        <v>45</v>
      </c>
      <c r="V1166" s="63">
        <v>51</v>
      </c>
      <c r="W1166" s="63">
        <v>52</v>
      </c>
      <c r="X1166" s="63">
        <v>51</v>
      </c>
      <c r="Y1166" s="63">
        <v>53</v>
      </c>
      <c r="Z1166" s="63">
        <v>58</v>
      </c>
      <c r="AA1166" s="63">
        <v>68</v>
      </c>
      <c r="AB1166" s="63">
        <v>68</v>
      </c>
    </row>
    <row r="1167" spans="1:28" x14ac:dyDescent="0.2">
      <c r="A1167" s="62">
        <v>95</v>
      </c>
      <c r="B1167" s="62" t="s">
        <v>391</v>
      </c>
      <c r="C1167" s="62">
        <v>54</v>
      </c>
      <c r="D1167" s="62" t="s">
        <v>334</v>
      </c>
      <c r="E1167" s="63">
        <v>34</v>
      </c>
      <c r="F1167" s="63">
        <v>38</v>
      </c>
      <c r="G1167" s="63">
        <v>37</v>
      </c>
      <c r="H1167" s="63">
        <v>41</v>
      </c>
      <c r="I1167" s="63">
        <v>31</v>
      </c>
      <c r="J1167" s="63">
        <v>38</v>
      </c>
      <c r="K1167" s="63">
        <v>36</v>
      </c>
      <c r="L1167" s="63">
        <v>38</v>
      </c>
      <c r="M1167" s="63">
        <v>40</v>
      </c>
      <c r="N1167" s="63">
        <v>43</v>
      </c>
      <c r="O1167" s="63">
        <v>50</v>
      </c>
      <c r="P1167" s="63">
        <v>43</v>
      </c>
      <c r="Q1167" s="63">
        <v>46</v>
      </c>
      <c r="R1167" s="63">
        <v>48</v>
      </c>
      <c r="S1167" s="63">
        <v>53</v>
      </c>
      <c r="T1167" s="63">
        <v>43</v>
      </c>
      <c r="U1167" s="63">
        <v>43</v>
      </c>
      <c r="V1167" s="63">
        <v>50</v>
      </c>
      <c r="W1167" s="63">
        <v>67</v>
      </c>
      <c r="X1167" s="63">
        <v>81</v>
      </c>
      <c r="Y1167" s="63">
        <v>75</v>
      </c>
      <c r="Z1167" s="63">
        <v>92</v>
      </c>
      <c r="AA1167" s="63">
        <v>102</v>
      </c>
      <c r="AB1167" s="63">
        <v>102</v>
      </c>
    </row>
    <row r="1168" spans="1:28" x14ac:dyDescent="0.2">
      <c r="A1168" s="62">
        <v>95</v>
      </c>
      <c r="B1168" s="62" t="s">
        <v>391</v>
      </c>
      <c r="C1168" s="62">
        <v>55</v>
      </c>
      <c r="D1168" s="64" t="s">
        <v>335</v>
      </c>
      <c r="E1168" s="65"/>
      <c r="F1168" s="65"/>
      <c r="G1168" s="65"/>
      <c r="H1168" s="62"/>
      <c r="I1168" s="62"/>
      <c r="J1168" s="62"/>
      <c r="K1168" s="62"/>
      <c r="L1168" s="62"/>
      <c r="M1168" s="62"/>
      <c r="N1168" s="62"/>
      <c r="O1168" s="62"/>
      <c r="P1168" s="62"/>
      <c r="Q1168" s="62"/>
      <c r="R1168" s="62"/>
      <c r="S1168" s="62"/>
      <c r="T1168" s="62"/>
      <c r="U1168" s="62"/>
      <c r="V1168" s="62"/>
      <c r="W1168" s="62"/>
      <c r="X1168" s="63">
        <v>0</v>
      </c>
      <c r="Y1168" s="62"/>
      <c r="Z1168" s="62"/>
      <c r="AA1168" s="63">
        <v>1</v>
      </c>
      <c r="AB1168" s="62"/>
    </row>
    <row r="1169" spans="1:28" x14ac:dyDescent="0.2">
      <c r="A1169" s="62">
        <v>95</v>
      </c>
      <c r="B1169" s="62" t="s">
        <v>391</v>
      </c>
      <c r="C1169" s="62">
        <v>56</v>
      </c>
      <c r="D1169" s="62" t="s">
        <v>336</v>
      </c>
      <c r="E1169" s="63">
        <v>15</v>
      </c>
      <c r="F1169" s="63">
        <v>16</v>
      </c>
      <c r="G1169" s="63">
        <v>21</v>
      </c>
      <c r="H1169" s="63">
        <v>18</v>
      </c>
      <c r="I1169" s="63">
        <v>25</v>
      </c>
      <c r="J1169" s="63">
        <v>23</v>
      </c>
      <c r="K1169" s="62"/>
      <c r="L1169" s="63">
        <v>29</v>
      </c>
      <c r="M1169" s="63">
        <v>28</v>
      </c>
      <c r="N1169" s="63">
        <v>29</v>
      </c>
      <c r="O1169" s="63">
        <v>31</v>
      </c>
      <c r="P1169" s="63">
        <v>35</v>
      </c>
      <c r="Q1169" s="63">
        <v>43</v>
      </c>
      <c r="R1169" s="63">
        <v>43</v>
      </c>
      <c r="S1169" s="63">
        <v>51</v>
      </c>
      <c r="T1169" s="63">
        <v>40</v>
      </c>
      <c r="U1169" s="63">
        <v>48</v>
      </c>
      <c r="V1169" s="63">
        <v>65</v>
      </c>
      <c r="W1169" s="63">
        <v>74</v>
      </c>
      <c r="X1169" s="63">
        <v>67</v>
      </c>
      <c r="Y1169" s="63">
        <v>78</v>
      </c>
      <c r="Z1169" s="63">
        <v>83</v>
      </c>
      <c r="AA1169" s="63">
        <v>72</v>
      </c>
      <c r="AB1169" s="63">
        <v>70</v>
      </c>
    </row>
    <row r="1170" spans="1:28" x14ac:dyDescent="0.2">
      <c r="A1170" s="62">
        <v>95</v>
      </c>
      <c r="B1170" s="62" t="s">
        <v>391</v>
      </c>
      <c r="C1170" s="62">
        <v>61</v>
      </c>
      <c r="D1170" s="64" t="s">
        <v>337</v>
      </c>
      <c r="E1170" s="65"/>
      <c r="F1170" s="62"/>
      <c r="G1170" s="62"/>
      <c r="H1170" s="62"/>
      <c r="I1170" s="62"/>
      <c r="J1170" s="62"/>
      <c r="K1170" s="62"/>
      <c r="L1170" s="63">
        <v>8</v>
      </c>
      <c r="M1170" s="63">
        <v>6</v>
      </c>
      <c r="N1170" s="62"/>
      <c r="O1170" s="62"/>
      <c r="P1170" s="63">
        <v>8</v>
      </c>
      <c r="Q1170" s="63">
        <v>9</v>
      </c>
      <c r="R1170" s="62"/>
      <c r="S1170" s="63">
        <v>14</v>
      </c>
      <c r="T1170" s="63">
        <v>13</v>
      </c>
      <c r="U1170" s="63">
        <v>6</v>
      </c>
      <c r="V1170" s="63">
        <v>12</v>
      </c>
      <c r="W1170" s="63">
        <v>11</v>
      </c>
      <c r="X1170" s="63">
        <v>13</v>
      </c>
      <c r="Y1170" s="63">
        <v>9</v>
      </c>
      <c r="Z1170" s="62"/>
      <c r="AA1170" s="63">
        <v>21</v>
      </c>
      <c r="AB1170" s="63">
        <v>32</v>
      </c>
    </row>
    <row r="1171" spans="1:28" x14ac:dyDescent="0.2">
      <c r="A1171" s="62">
        <v>95</v>
      </c>
      <c r="B1171" s="62" t="s">
        <v>391</v>
      </c>
      <c r="C1171" s="62">
        <v>62</v>
      </c>
      <c r="D1171" s="62" t="s">
        <v>338</v>
      </c>
      <c r="E1171" s="63">
        <v>108</v>
      </c>
      <c r="F1171" s="63">
        <v>108</v>
      </c>
      <c r="G1171" s="63">
        <v>108</v>
      </c>
      <c r="H1171" s="63">
        <v>104</v>
      </c>
      <c r="I1171" s="63">
        <v>96</v>
      </c>
      <c r="J1171" s="63">
        <v>95</v>
      </c>
      <c r="K1171" s="63">
        <v>70</v>
      </c>
      <c r="L1171" s="63">
        <v>77</v>
      </c>
      <c r="M1171" s="63">
        <v>88</v>
      </c>
      <c r="N1171" s="63">
        <v>101</v>
      </c>
      <c r="O1171" s="63">
        <v>111</v>
      </c>
      <c r="P1171" s="63">
        <v>102</v>
      </c>
      <c r="Q1171" s="63">
        <v>109</v>
      </c>
      <c r="R1171" s="63">
        <v>107</v>
      </c>
      <c r="S1171" s="63">
        <v>113</v>
      </c>
      <c r="T1171" s="63">
        <v>112</v>
      </c>
      <c r="U1171" s="63">
        <v>101</v>
      </c>
      <c r="V1171" s="63">
        <v>105</v>
      </c>
      <c r="W1171" s="63">
        <v>102</v>
      </c>
      <c r="X1171" s="63">
        <v>95</v>
      </c>
      <c r="Y1171" s="63">
        <v>102</v>
      </c>
      <c r="Z1171" s="63">
        <v>99</v>
      </c>
      <c r="AA1171" s="63">
        <v>101</v>
      </c>
      <c r="AB1171" s="63">
        <v>108</v>
      </c>
    </row>
    <row r="1172" spans="1:28" x14ac:dyDescent="0.2">
      <c r="A1172" s="62">
        <v>95</v>
      </c>
      <c r="B1172" s="62" t="s">
        <v>391</v>
      </c>
      <c r="C1172" s="62">
        <v>71</v>
      </c>
      <c r="D1172" s="64" t="s">
        <v>339</v>
      </c>
      <c r="E1172" s="65"/>
      <c r="F1172" s="63">
        <v>17</v>
      </c>
      <c r="G1172" s="62"/>
      <c r="H1172" s="63">
        <v>10</v>
      </c>
      <c r="I1172" s="63">
        <v>42</v>
      </c>
      <c r="J1172" s="63">
        <v>40</v>
      </c>
      <c r="K1172" s="63">
        <v>54</v>
      </c>
      <c r="L1172" s="62"/>
      <c r="M1172" s="63">
        <v>20</v>
      </c>
      <c r="N1172" s="63">
        <v>22</v>
      </c>
      <c r="O1172" s="63">
        <v>20</v>
      </c>
      <c r="P1172" s="63">
        <v>19</v>
      </c>
      <c r="Q1172" s="63">
        <v>16</v>
      </c>
      <c r="R1172" s="63">
        <v>15</v>
      </c>
      <c r="S1172" s="63">
        <v>19</v>
      </c>
      <c r="T1172" s="63">
        <v>19</v>
      </c>
      <c r="U1172" s="63">
        <v>16</v>
      </c>
      <c r="V1172" s="63">
        <v>12</v>
      </c>
      <c r="W1172" s="63">
        <v>16</v>
      </c>
      <c r="X1172" s="63">
        <v>13</v>
      </c>
      <c r="Y1172" s="63">
        <v>17</v>
      </c>
      <c r="Z1172" s="63">
        <v>24</v>
      </c>
      <c r="AA1172" s="63">
        <v>24</v>
      </c>
      <c r="AB1172" s="63">
        <v>22</v>
      </c>
    </row>
    <row r="1173" spans="1:28" x14ac:dyDescent="0.2">
      <c r="A1173" s="62">
        <v>95</v>
      </c>
      <c r="B1173" s="62" t="s">
        <v>391</v>
      </c>
      <c r="C1173" s="62">
        <v>72</v>
      </c>
      <c r="D1173" s="62" t="s">
        <v>340</v>
      </c>
      <c r="E1173" s="63">
        <v>67</v>
      </c>
      <c r="F1173" s="63">
        <v>73</v>
      </c>
      <c r="G1173" s="63">
        <v>80</v>
      </c>
      <c r="H1173" s="63">
        <v>73</v>
      </c>
      <c r="I1173" s="63">
        <v>81</v>
      </c>
      <c r="J1173" s="63">
        <v>71</v>
      </c>
      <c r="K1173" s="63">
        <v>76</v>
      </c>
      <c r="L1173" s="63">
        <v>73</v>
      </c>
      <c r="M1173" s="63">
        <v>69</v>
      </c>
      <c r="N1173" s="63">
        <v>69</v>
      </c>
      <c r="O1173" s="63">
        <v>63</v>
      </c>
      <c r="P1173" s="63">
        <v>65</v>
      </c>
      <c r="Q1173" s="63">
        <v>104</v>
      </c>
      <c r="R1173" s="63">
        <v>121</v>
      </c>
      <c r="S1173" s="63">
        <v>124</v>
      </c>
      <c r="T1173" s="63">
        <v>141</v>
      </c>
      <c r="U1173" s="63">
        <v>135</v>
      </c>
      <c r="V1173" s="63">
        <v>142</v>
      </c>
      <c r="W1173" s="63">
        <v>138</v>
      </c>
      <c r="X1173" s="63">
        <v>86</v>
      </c>
      <c r="Y1173" s="63">
        <v>73</v>
      </c>
      <c r="Z1173" s="63">
        <v>61</v>
      </c>
      <c r="AA1173" s="63">
        <v>68</v>
      </c>
      <c r="AB1173" s="63">
        <v>80</v>
      </c>
    </row>
    <row r="1174" spans="1:28" x14ac:dyDescent="0.2">
      <c r="A1174" s="62">
        <v>95</v>
      </c>
      <c r="B1174" s="62" t="s">
        <v>391</v>
      </c>
      <c r="C1174" s="62">
        <v>81</v>
      </c>
      <c r="D1174" s="62" t="s">
        <v>341</v>
      </c>
      <c r="E1174" s="63">
        <v>99</v>
      </c>
      <c r="F1174" s="63">
        <v>86</v>
      </c>
      <c r="G1174" s="63">
        <v>89</v>
      </c>
      <c r="H1174" s="63">
        <v>95</v>
      </c>
      <c r="I1174" s="63">
        <v>81</v>
      </c>
      <c r="J1174" s="63">
        <v>77</v>
      </c>
      <c r="K1174" s="63">
        <v>90</v>
      </c>
      <c r="L1174" s="63">
        <v>86</v>
      </c>
      <c r="M1174" s="63">
        <v>77</v>
      </c>
      <c r="N1174" s="63">
        <v>76</v>
      </c>
      <c r="O1174" s="63">
        <v>75</v>
      </c>
      <c r="P1174" s="63">
        <v>84</v>
      </c>
      <c r="Q1174" s="63">
        <v>79</v>
      </c>
      <c r="R1174" s="63">
        <v>74</v>
      </c>
      <c r="S1174" s="63">
        <v>66</v>
      </c>
      <c r="T1174" s="63">
        <v>88</v>
      </c>
      <c r="U1174" s="63">
        <v>94</v>
      </c>
      <c r="V1174" s="63">
        <v>63</v>
      </c>
      <c r="W1174" s="63">
        <v>54</v>
      </c>
      <c r="X1174" s="63">
        <v>53</v>
      </c>
      <c r="Y1174" s="63">
        <v>65</v>
      </c>
      <c r="Z1174" s="63">
        <v>66</v>
      </c>
      <c r="AA1174" s="63">
        <v>81</v>
      </c>
      <c r="AB1174" s="63">
        <v>75</v>
      </c>
    </row>
    <row r="1175" spans="1:28" x14ac:dyDescent="0.2">
      <c r="A1175" s="62">
        <v>95</v>
      </c>
      <c r="B1175" s="62" t="s">
        <v>391</v>
      </c>
      <c r="C1175" s="62">
        <v>99</v>
      </c>
      <c r="D1175" s="62" t="s">
        <v>342</v>
      </c>
      <c r="E1175" s="62"/>
      <c r="F1175" s="62"/>
      <c r="G1175" s="62"/>
      <c r="H1175" s="62"/>
      <c r="I1175" s="62"/>
      <c r="J1175" s="62"/>
      <c r="K1175" s="62"/>
      <c r="L1175" s="62"/>
      <c r="M1175" s="62"/>
      <c r="N1175" s="63">
        <v>1</v>
      </c>
      <c r="O1175" s="62"/>
      <c r="P1175" s="62"/>
      <c r="Q1175" s="63">
        <v>0</v>
      </c>
      <c r="R1175" s="63">
        <v>1</v>
      </c>
      <c r="S1175" s="62"/>
      <c r="T1175" s="62"/>
      <c r="U1175" s="62"/>
      <c r="V1175" s="62"/>
      <c r="W1175" s="62"/>
      <c r="X1175" s="62"/>
      <c r="Y1175" s="62"/>
      <c r="Z1175" s="62"/>
      <c r="AA1175" s="62"/>
      <c r="AB1175" s="62"/>
    </row>
    <row r="1176" spans="1:28" x14ac:dyDescent="0.2">
      <c r="A1176" s="62">
        <v>97</v>
      </c>
      <c r="B1176" s="62" t="s">
        <v>392</v>
      </c>
      <c r="C1176" s="62">
        <v>1</v>
      </c>
      <c r="D1176" s="62" t="s">
        <v>316</v>
      </c>
      <c r="E1176" s="63">
        <v>91</v>
      </c>
      <c r="F1176" s="63">
        <v>85</v>
      </c>
      <c r="G1176" s="63">
        <v>99</v>
      </c>
      <c r="H1176" s="63">
        <v>90</v>
      </c>
      <c r="I1176" s="63">
        <v>89</v>
      </c>
      <c r="J1176" s="63">
        <v>80</v>
      </c>
      <c r="K1176" s="63">
        <v>79</v>
      </c>
      <c r="L1176" s="63">
        <v>80</v>
      </c>
      <c r="M1176" s="63">
        <v>92</v>
      </c>
      <c r="N1176" s="63">
        <v>100</v>
      </c>
      <c r="O1176" s="63">
        <v>101</v>
      </c>
      <c r="P1176" s="63">
        <v>109</v>
      </c>
      <c r="Q1176" s="63">
        <v>98</v>
      </c>
      <c r="R1176" s="63">
        <v>91</v>
      </c>
      <c r="S1176" s="63">
        <v>83</v>
      </c>
      <c r="T1176" s="63">
        <v>88</v>
      </c>
      <c r="U1176" s="63">
        <v>84</v>
      </c>
      <c r="V1176" s="63">
        <v>81</v>
      </c>
      <c r="W1176" s="63">
        <v>73</v>
      </c>
      <c r="X1176" s="63">
        <v>83</v>
      </c>
      <c r="Y1176" s="63">
        <v>90</v>
      </c>
      <c r="Z1176" s="63">
        <v>78</v>
      </c>
      <c r="AA1176" s="63">
        <v>68</v>
      </c>
      <c r="AB1176" s="63">
        <v>64</v>
      </c>
    </row>
    <row r="1177" spans="1:28" x14ac:dyDescent="0.2">
      <c r="A1177" s="62">
        <v>97</v>
      </c>
      <c r="B1177" s="62" t="s">
        <v>392</v>
      </c>
      <c r="C1177" s="62">
        <v>10</v>
      </c>
      <c r="D1177" s="62" t="s">
        <v>317</v>
      </c>
      <c r="E1177" s="63">
        <v>19096</v>
      </c>
      <c r="F1177" s="63">
        <v>18684</v>
      </c>
      <c r="G1177" s="63">
        <v>18584</v>
      </c>
      <c r="H1177" s="63">
        <v>19092</v>
      </c>
      <c r="I1177" s="63">
        <v>19600</v>
      </c>
      <c r="J1177" s="63">
        <v>20155</v>
      </c>
      <c r="K1177" s="63">
        <v>20329</v>
      </c>
      <c r="L1177" s="63">
        <v>20675</v>
      </c>
      <c r="M1177" s="63">
        <v>18948</v>
      </c>
      <c r="N1177" s="63">
        <v>18479</v>
      </c>
      <c r="O1177" s="63">
        <v>18581</v>
      </c>
      <c r="P1177" s="63">
        <v>18876</v>
      </c>
      <c r="Q1177" s="63">
        <v>19222</v>
      </c>
      <c r="R1177" s="63">
        <v>20081</v>
      </c>
      <c r="S1177" s="63">
        <v>19494</v>
      </c>
      <c r="T1177" s="63">
        <v>19829</v>
      </c>
      <c r="U1177" s="63">
        <v>20113</v>
      </c>
      <c r="V1177" s="63">
        <v>20304</v>
      </c>
      <c r="W1177" s="63">
        <v>20591</v>
      </c>
      <c r="X1177" s="63">
        <v>18829</v>
      </c>
      <c r="Y1177" s="63">
        <v>19389</v>
      </c>
      <c r="Z1177" s="63">
        <v>20574</v>
      </c>
      <c r="AA1177" s="63">
        <v>21585</v>
      </c>
      <c r="AB1177" s="63">
        <v>21966</v>
      </c>
    </row>
    <row r="1178" spans="1:28" x14ac:dyDescent="0.2">
      <c r="A1178" s="62">
        <v>97</v>
      </c>
      <c r="B1178" s="62" t="s">
        <v>392</v>
      </c>
      <c r="C1178" s="62">
        <v>11</v>
      </c>
      <c r="D1178" s="62" t="s">
        <v>318</v>
      </c>
      <c r="E1178" s="63">
        <v>63</v>
      </c>
      <c r="F1178" s="63">
        <v>48</v>
      </c>
      <c r="G1178" s="63">
        <v>67</v>
      </c>
      <c r="H1178" s="63">
        <v>50</v>
      </c>
      <c r="I1178" s="63">
        <v>68</v>
      </c>
      <c r="J1178" s="63">
        <v>73</v>
      </c>
      <c r="K1178" s="63">
        <v>74</v>
      </c>
      <c r="L1178" s="63">
        <v>84</v>
      </c>
      <c r="M1178" s="63">
        <v>87</v>
      </c>
      <c r="N1178" s="63">
        <v>79</v>
      </c>
      <c r="O1178" s="63">
        <v>91</v>
      </c>
      <c r="P1178" s="63">
        <v>89</v>
      </c>
      <c r="Q1178" s="63">
        <v>88</v>
      </c>
      <c r="R1178" s="63">
        <v>103</v>
      </c>
      <c r="S1178" s="63">
        <v>123</v>
      </c>
      <c r="T1178" s="63">
        <v>144</v>
      </c>
      <c r="U1178" s="63">
        <v>151</v>
      </c>
      <c r="V1178" s="63">
        <v>147</v>
      </c>
      <c r="W1178" s="63">
        <v>145</v>
      </c>
      <c r="X1178" s="63">
        <v>149</v>
      </c>
      <c r="Y1178" s="63">
        <v>176</v>
      </c>
      <c r="Z1178" s="63">
        <v>160</v>
      </c>
      <c r="AA1178" s="63">
        <v>128</v>
      </c>
      <c r="AB1178" s="63">
        <v>62</v>
      </c>
    </row>
    <row r="1179" spans="1:28" x14ac:dyDescent="0.2">
      <c r="A1179" s="62">
        <v>97</v>
      </c>
      <c r="B1179" s="62" t="s">
        <v>392</v>
      </c>
      <c r="C1179" s="62">
        <v>2</v>
      </c>
      <c r="D1179" s="62" t="s">
        <v>319</v>
      </c>
      <c r="E1179" s="63">
        <v>9</v>
      </c>
      <c r="F1179" s="63">
        <v>10</v>
      </c>
      <c r="G1179" s="63">
        <v>11</v>
      </c>
      <c r="H1179" s="63">
        <v>8</v>
      </c>
      <c r="I1179" s="63">
        <v>11</v>
      </c>
      <c r="J1179" s="63">
        <v>9</v>
      </c>
      <c r="K1179" s="63">
        <v>9</v>
      </c>
      <c r="L1179" s="62"/>
      <c r="M1179" s="62"/>
      <c r="N1179" s="62"/>
      <c r="O1179" s="62"/>
      <c r="P1179" s="62"/>
      <c r="Q1179" s="62"/>
      <c r="R1179" s="62"/>
      <c r="S1179" s="62"/>
      <c r="T1179" s="62"/>
      <c r="U1179" s="62"/>
      <c r="V1179" s="62"/>
      <c r="W1179" s="62"/>
      <c r="X1179" s="62"/>
      <c r="Y1179" s="62"/>
      <c r="Z1179" s="63">
        <v>8</v>
      </c>
      <c r="AA1179" s="63">
        <v>7</v>
      </c>
      <c r="AB1179" s="63">
        <v>7</v>
      </c>
    </row>
    <row r="1180" spans="1:28" x14ac:dyDescent="0.2">
      <c r="A1180" s="62">
        <v>97</v>
      </c>
      <c r="B1180" s="62" t="s">
        <v>392</v>
      </c>
      <c r="C1180" s="62">
        <v>21</v>
      </c>
      <c r="D1180" s="64" t="s">
        <v>320</v>
      </c>
      <c r="E1180" s="65"/>
      <c r="F1180" s="65"/>
      <c r="G1180" s="65"/>
      <c r="H1180" s="62"/>
      <c r="I1180" s="63">
        <v>10</v>
      </c>
      <c r="J1180" s="63">
        <v>10</v>
      </c>
      <c r="K1180" s="62"/>
      <c r="L1180" s="62"/>
      <c r="M1180" s="62"/>
      <c r="N1180" s="63">
        <v>10</v>
      </c>
      <c r="O1180" s="62"/>
      <c r="P1180" s="62"/>
      <c r="Q1180" s="62"/>
      <c r="R1180" s="63">
        <v>1</v>
      </c>
      <c r="S1180" s="63">
        <v>4</v>
      </c>
      <c r="T1180" s="63">
        <v>1</v>
      </c>
      <c r="U1180" s="63">
        <v>29</v>
      </c>
      <c r="V1180" s="63">
        <v>24</v>
      </c>
      <c r="W1180" s="63">
        <v>19</v>
      </c>
      <c r="X1180" s="63">
        <v>17</v>
      </c>
      <c r="Y1180" s="62"/>
      <c r="Z1180" s="63">
        <v>5</v>
      </c>
      <c r="AA1180" s="62"/>
      <c r="AB1180" s="62"/>
    </row>
    <row r="1181" spans="1:28" x14ac:dyDescent="0.2">
      <c r="A1181" s="62">
        <v>97</v>
      </c>
      <c r="B1181" s="62" t="s">
        <v>392</v>
      </c>
      <c r="C1181" s="62">
        <v>22</v>
      </c>
      <c r="D1181" s="62" t="s">
        <v>321</v>
      </c>
      <c r="E1181" s="63">
        <v>15</v>
      </c>
      <c r="F1181" s="63">
        <v>14</v>
      </c>
      <c r="G1181" s="62"/>
      <c r="H1181" s="62"/>
      <c r="I1181" s="63">
        <v>14</v>
      </c>
      <c r="J1181" s="63">
        <v>11</v>
      </c>
      <c r="K1181" s="62"/>
      <c r="L1181" s="62"/>
      <c r="M1181" s="62"/>
      <c r="N1181" s="62"/>
      <c r="O1181" s="63">
        <v>15</v>
      </c>
      <c r="P1181" s="63">
        <v>9</v>
      </c>
      <c r="Q1181" s="63">
        <v>10</v>
      </c>
      <c r="R1181" s="62"/>
      <c r="S1181" s="63">
        <v>12</v>
      </c>
      <c r="T1181" s="63">
        <v>11</v>
      </c>
      <c r="U1181" s="63">
        <v>7</v>
      </c>
      <c r="V1181" s="63">
        <v>10</v>
      </c>
      <c r="W1181" s="63">
        <v>8</v>
      </c>
      <c r="X1181" s="63">
        <v>9</v>
      </c>
      <c r="Y1181" s="63">
        <v>10</v>
      </c>
      <c r="Z1181" s="63">
        <v>10</v>
      </c>
      <c r="AA1181" s="62"/>
      <c r="AB1181" s="63">
        <v>7</v>
      </c>
    </row>
    <row r="1182" spans="1:28" x14ac:dyDescent="0.2">
      <c r="A1182" s="62">
        <v>97</v>
      </c>
      <c r="B1182" s="62" t="s">
        <v>392</v>
      </c>
      <c r="C1182" s="62">
        <v>23</v>
      </c>
      <c r="D1182" s="62" t="s">
        <v>322</v>
      </c>
      <c r="E1182" s="63">
        <v>1799</v>
      </c>
      <c r="F1182" s="63">
        <v>1631</v>
      </c>
      <c r="G1182" s="63">
        <v>1516</v>
      </c>
      <c r="H1182" s="63">
        <v>1522</v>
      </c>
      <c r="I1182" s="63">
        <v>1460</v>
      </c>
      <c r="J1182" s="63">
        <v>1523</v>
      </c>
      <c r="K1182" s="63">
        <v>1598</v>
      </c>
      <c r="L1182" s="63">
        <v>1636</v>
      </c>
      <c r="M1182" s="63">
        <v>1377</v>
      </c>
      <c r="N1182" s="63">
        <v>1084</v>
      </c>
      <c r="O1182" s="63">
        <v>1008</v>
      </c>
      <c r="P1182" s="63">
        <v>963</v>
      </c>
      <c r="Q1182" s="63">
        <v>932</v>
      </c>
      <c r="R1182" s="63">
        <v>984</v>
      </c>
      <c r="S1182" s="63">
        <v>1040</v>
      </c>
      <c r="T1182" s="63">
        <v>1062</v>
      </c>
      <c r="U1182" s="63">
        <v>1027</v>
      </c>
      <c r="V1182" s="63">
        <v>1022</v>
      </c>
      <c r="W1182" s="63">
        <v>961</v>
      </c>
      <c r="X1182" s="63">
        <v>915</v>
      </c>
      <c r="Y1182" s="63">
        <v>914</v>
      </c>
      <c r="Z1182" s="63">
        <v>894</v>
      </c>
      <c r="AA1182" s="63">
        <v>1001</v>
      </c>
      <c r="AB1182" s="63">
        <v>1065</v>
      </c>
    </row>
    <row r="1183" spans="1:28" x14ac:dyDescent="0.2">
      <c r="A1183" s="62">
        <v>97</v>
      </c>
      <c r="B1183" s="62" t="s">
        <v>392</v>
      </c>
      <c r="C1183" s="62">
        <v>3</v>
      </c>
      <c r="D1183" s="62" t="s">
        <v>323</v>
      </c>
      <c r="E1183" s="63">
        <v>1565</v>
      </c>
      <c r="F1183" s="63">
        <v>1590</v>
      </c>
      <c r="G1183" s="63">
        <v>1683</v>
      </c>
      <c r="H1183" s="63">
        <v>1649</v>
      </c>
      <c r="I1183" s="63">
        <v>1616</v>
      </c>
      <c r="J1183" s="63">
        <v>1662</v>
      </c>
      <c r="K1183" s="63">
        <v>1711</v>
      </c>
      <c r="L1183" s="63">
        <v>1778</v>
      </c>
      <c r="M1183" s="63">
        <v>1855</v>
      </c>
      <c r="N1183" s="63">
        <v>1867</v>
      </c>
      <c r="O1183" s="63">
        <v>1866</v>
      </c>
      <c r="P1183" s="63">
        <v>1876</v>
      </c>
      <c r="Q1183" s="63">
        <v>1917</v>
      </c>
      <c r="R1183" s="63">
        <v>1999</v>
      </c>
      <c r="S1183" s="63">
        <v>2051</v>
      </c>
      <c r="T1183" s="63">
        <v>2099</v>
      </c>
      <c r="U1183" s="63">
        <v>2228</v>
      </c>
      <c r="V1183" s="63">
        <v>2253</v>
      </c>
      <c r="W1183" s="63">
        <v>2326</v>
      </c>
      <c r="X1183" s="63">
        <v>2257</v>
      </c>
      <c r="Y1183" s="63">
        <v>2286</v>
      </c>
      <c r="Z1183" s="63">
        <v>2291</v>
      </c>
      <c r="AA1183" s="63">
        <v>2404</v>
      </c>
      <c r="AB1183" s="63">
        <v>2560</v>
      </c>
    </row>
    <row r="1184" spans="1:28" x14ac:dyDescent="0.2">
      <c r="A1184" s="62">
        <v>97</v>
      </c>
      <c r="B1184" s="62" t="s">
        <v>392</v>
      </c>
      <c r="C1184" s="62" t="s">
        <v>324</v>
      </c>
      <c r="D1184" s="62" t="s">
        <v>325</v>
      </c>
      <c r="E1184" s="63">
        <v>201</v>
      </c>
      <c r="F1184" s="63">
        <v>194</v>
      </c>
      <c r="G1184" s="63">
        <v>181</v>
      </c>
      <c r="H1184" s="63">
        <v>178</v>
      </c>
      <c r="I1184" s="63">
        <v>166</v>
      </c>
      <c r="J1184" s="63">
        <v>180</v>
      </c>
      <c r="K1184" s="63">
        <v>193</v>
      </c>
      <c r="L1184" s="63">
        <v>182</v>
      </c>
      <c r="M1184" s="63">
        <v>158</v>
      </c>
      <c r="N1184" s="63">
        <v>129</v>
      </c>
      <c r="O1184" s="63">
        <v>124</v>
      </c>
      <c r="P1184" s="63">
        <v>124</v>
      </c>
      <c r="Q1184" s="63">
        <v>126</v>
      </c>
      <c r="R1184" s="63">
        <v>149</v>
      </c>
      <c r="S1184" s="63">
        <v>148</v>
      </c>
      <c r="T1184" s="63">
        <v>153</v>
      </c>
      <c r="U1184" s="63">
        <v>165</v>
      </c>
      <c r="V1184" s="63">
        <v>157</v>
      </c>
      <c r="W1184" s="63">
        <v>158</v>
      </c>
      <c r="X1184" s="63">
        <v>123</v>
      </c>
      <c r="Y1184" s="63">
        <v>121</v>
      </c>
      <c r="Z1184" s="63">
        <v>133</v>
      </c>
      <c r="AA1184" s="63">
        <v>153</v>
      </c>
      <c r="AB1184" s="63">
        <v>149</v>
      </c>
    </row>
    <row r="1185" spans="1:28" x14ac:dyDescent="0.2">
      <c r="A1185" s="62">
        <v>97</v>
      </c>
      <c r="B1185" s="62" t="s">
        <v>392</v>
      </c>
      <c r="C1185" s="62">
        <v>42</v>
      </c>
      <c r="D1185" s="62" t="s">
        <v>326</v>
      </c>
      <c r="E1185" s="63">
        <v>137</v>
      </c>
      <c r="F1185" s="63">
        <v>149</v>
      </c>
      <c r="G1185" s="63">
        <v>165</v>
      </c>
      <c r="H1185" s="63">
        <v>164</v>
      </c>
      <c r="I1185" s="63">
        <v>169</v>
      </c>
      <c r="J1185" s="63">
        <v>152</v>
      </c>
      <c r="K1185" s="63">
        <v>151</v>
      </c>
      <c r="L1185" s="63">
        <v>145</v>
      </c>
      <c r="M1185" s="63">
        <v>132</v>
      </c>
      <c r="N1185" s="63">
        <v>123</v>
      </c>
      <c r="O1185" s="63">
        <v>133</v>
      </c>
      <c r="P1185" s="63">
        <v>142</v>
      </c>
      <c r="Q1185" s="63">
        <v>137</v>
      </c>
      <c r="R1185" s="63">
        <v>129</v>
      </c>
      <c r="S1185" s="63">
        <v>126</v>
      </c>
      <c r="T1185" s="63">
        <v>128</v>
      </c>
      <c r="U1185" s="63">
        <v>141</v>
      </c>
      <c r="V1185" s="63">
        <v>137</v>
      </c>
      <c r="W1185" s="63">
        <v>143</v>
      </c>
      <c r="X1185" s="63">
        <v>149</v>
      </c>
      <c r="Y1185" s="63">
        <v>156</v>
      </c>
      <c r="Z1185" s="63">
        <v>171</v>
      </c>
      <c r="AA1185" s="63">
        <v>185</v>
      </c>
      <c r="AB1185" s="63">
        <v>187</v>
      </c>
    </row>
    <row r="1186" spans="1:28" x14ac:dyDescent="0.2">
      <c r="A1186" s="62">
        <v>97</v>
      </c>
      <c r="B1186" s="62" t="s">
        <v>392</v>
      </c>
      <c r="C1186" s="62" t="s">
        <v>327</v>
      </c>
      <c r="D1186" s="62" t="s">
        <v>328</v>
      </c>
      <c r="E1186" s="63">
        <v>1926</v>
      </c>
      <c r="F1186" s="63">
        <v>1844</v>
      </c>
      <c r="G1186" s="63">
        <v>1779</v>
      </c>
      <c r="H1186" s="63">
        <v>1755</v>
      </c>
      <c r="I1186" s="63">
        <v>1776</v>
      </c>
      <c r="J1186" s="63">
        <v>1781</v>
      </c>
      <c r="K1186" s="63">
        <v>1756</v>
      </c>
      <c r="L1186" s="63">
        <v>1725</v>
      </c>
      <c r="M1186" s="63">
        <v>1477</v>
      </c>
      <c r="N1186" s="63">
        <v>1383</v>
      </c>
      <c r="O1186" s="63">
        <v>1335</v>
      </c>
      <c r="P1186" s="63">
        <v>1408</v>
      </c>
      <c r="Q1186" s="63">
        <v>1401</v>
      </c>
      <c r="R1186" s="63">
        <v>1458</v>
      </c>
      <c r="S1186" s="63">
        <v>1545</v>
      </c>
      <c r="T1186" s="63">
        <v>1465</v>
      </c>
      <c r="U1186" s="63">
        <v>1449</v>
      </c>
      <c r="V1186" s="63">
        <v>1556</v>
      </c>
      <c r="W1186" s="63">
        <v>1553</v>
      </c>
      <c r="X1186" s="63">
        <v>1430</v>
      </c>
      <c r="Y1186" s="63">
        <v>1469</v>
      </c>
      <c r="Z1186" s="63">
        <v>1505</v>
      </c>
      <c r="AA1186" s="63">
        <v>1595</v>
      </c>
      <c r="AB1186" s="63">
        <v>1560</v>
      </c>
    </row>
    <row r="1187" spans="1:28" x14ac:dyDescent="0.2">
      <c r="A1187" s="62">
        <v>97</v>
      </c>
      <c r="B1187" s="62" t="s">
        <v>392</v>
      </c>
      <c r="C1187" s="62" t="s">
        <v>329</v>
      </c>
      <c r="D1187" s="62" t="s">
        <v>330</v>
      </c>
      <c r="E1187" s="63">
        <v>313</v>
      </c>
      <c r="F1187" s="63">
        <v>305</v>
      </c>
      <c r="G1187" s="63">
        <v>298</v>
      </c>
      <c r="H1187" s="63">
        <v>317</v>
      </c>
      <c r="I1187" s="63">
        <v>316</v>
      </c>
      <c r="J1187" s="63">
        <v>291</v>
      </c>
      <c r="K1187" s="63">
        <v>324</v>
      </c>
      <c r="L1187" s="63">
        <v>311</v>
      </c>
      <c r="M1187" s="63">
        <v>241</v>
      </c>
      <c r="N1187" s="63">
        <v>212</v>
      </c>
      <c r="O1187" s="63">
        <v>217</v>
      </c>
      <c r="P1187" s="63">
        <v>217</v>
      </c>
      <c r="Q1187" s="63">
        <v>234</v>
      </c>
      <c r="R1187" s="63">
        <v>240</v>
      </c>
      <c r="S1187" s="63">
        <v>265</v>
      </c>
      <c r="T1187" s="63">
        <v>322</v>
      </c>
      <c r="U1187" s="63">
        <v>352</v>
      </c>
      <c r="V1187" s="63">
        <v>373</v>
      </c>
      <c r="W1187" s="63">
        <v>374</v>
      </c>
      <c r="X1187" s="63">
        <v>276</v>
      </c>
      <c r="Y1187" s="63">
        <v>319</v>
      </c>
      <c r="Z1187" s="63">
        <v>414</v>
      </c>
      <c r="AA1187" s="63">
        <v>539</v>
      </c>
      <c r="AB1187" s="63">
        <v>563</v>
      </c>
    </row>
    <row r="1188" spans="1:28" x14ac:dyDescent="0.2">
      <c r="A1188" s="62">
        <v>97</v>
      </c>
      <c r="B1188" s="62" t="s">
        <v>392</v>
      </c>
      <c r="C1188" s="62">
        <v>51</v>
      </c>
      <c r="D1188" s="62" t="s">
        <v>331</v>
      </c>
      <c r="E1188" s="63">
        <v>356</v>
      </c>
      <c r="F1188" s="63">
        <v>298</v>
      </c>
      <c r="G1188" s="63">
        <v>308</v>
      </c>
      <c r="H1188" s="63">
        <v>305</v>
      </c>
      <c r="I1188" s="63">
        <v>283</v>
      </c>
      <c r="J1188" s="63">
        <v>282</v>
      </c>
      <c r="K1188" s="63">
        <v>295</v>
      </c>
      <c r="L1188" s="63">
        <v>306</v>
      </c>
      <c r="M1188" s="63">
        <v>274</v>
      </c>
      <c r="N1188" s="63">
        <v>246</v>
      </c>
      <c r="O1188" s="63">
        <v>233</v>
      </c>
      <c r="P1188" s="63">
        <v>214</v>
      </c>
      <c r="Q1188" s="63">
        <v>207</v>
      </c>
      <c r="R1188" s="63">
        <v>223</v>
      </c>
      <c r="S1188" s="63">
        <v>222</v>
      </c>
      <c r="T1188" s="63">
        <v>215</v>
      </c>
      <c r="U1188" s="63">
        <v>219</v>
      </c>
      <c r="V1188" s="63">
        <v>223</v>
      </c>
      <c r="W1188" s="63">
        <v>215</v>
      </c>
      <c r="X1188" s="63">
        <v>175</v>
      </c>
      <c r="Y1188" s="63">
        <v>164</v>
      </c>
      <c r="Z1188" s="63">
        <v>185</v>
      </c>
      <c r="AA1188" s="63">
        <v>194</v>
      </c>
      <c r="AB1188" s="63">
        <v>185</v>
      </c>
    </row>
    <row r="1189" spans="1:28" x14ac:dyDescent="0.2">
      <c r="A1189" s="62">
        <v>97</v>
      </c>
      <c r="B1189" s="62" t="s">
        <v>392</v>
      </c>
      <c r="C1189" s="62">
        <v>52</v>
      </c>
      <c r="D1189" s="62" t="s">
        <v>332</v>
      </c>
      <c r="E1189" s="63">
        <v>466</v>
      </c>
      <c r="F1189" s="63">
        <v>420</v>
      </c>
      <c r="G1189" s="63">
        <v>440</v>
      </c>
      <c r="H1189" s="63">
        <v>450</v>
      </c>
      <c r="I1189" s="63">
        <v>478</v>
      </c>
      <c r="J1189" s="63">
        <v>478</v>
      </c>
      <c r="K1189" s="63">
        <v>498</v>
      </c>
      <c r="L1189" s="63">
        <v>471</v>
      </c>
      <c r="M1189" s="63">
        <v>468</v>
      </c>
      <c r="N1189" s="63">
        <v>442</v>
      </c>
      <c r="O1189" s="63">
        <v>405</v>
      </c>
      <c r="P1189" s="63">
        <v>405</v>
      </c>
      <c r="Q1189" s="63">
        <v>402</v>
      </c>
      <c r="R1189" s="63">
        <v>389</v>
      </c>
      <c r="S1189" s="63">
        <v>365</v>
      </c>
      <c r="T1189" s="63">
        <v>368</v>
      </c>
      <c r="U1189" s="63">
        <v>363</v>
      </c>
      <c r="V1189" s="63">
        <v>394</v>
      </c>
      <c r="W1189" s="63">
        <v>423</v>
      </c>
      <c r="X1189" s="63">
        <v>419</v>
      </c>
      <c r="Y1189" s="63">
        <v>454</v>
      </c>
      <c r="Z1189" s="63">
        <v>494</v>
      </c>
      <c r="AA1189" s="63">
        <v>504</v>
      </c>
      <c r="AB1189" s="63">
        <v>499</v>
      </c>
    </row>
    <row r="1190" spans="1:28" x14ac:dyDescent="0.2">
      <c r="A1190" s="62">
        <v>97</v>
      </c>
      <c r="B1190" s="62" t="s">
        <v>392</v>
      </c>
      <c r="C1190" s="62">
        <v>53</v>
      </c>
      <c r="D1190" s="62" t="s">
        <v>333</v>
      </c>
      <c r="E1190" s="63">
        <v>1772</v>
      </c>
      <c r="F1190" s="63">
        <v>1776</v>
      </c>
      <c r="G1190" s="63">
        <v>1713</v>
      </c>
      <c r="H1190" s="63">
        <v>1800</v>
      </c>
      <c r="I1190" s="63">
        <v>2139</v>
      </c>
      <c r="J1190" s="63">
        <v>2267</v>
      </c>
      <c r="K1190" s="63">
        <v>2218</v>
      </c>
      <c r="L1190" s="63">
        <v>2242</v>
      </c>
      <c r="M1190" s="63">
        <v>2086</v>
      </c>
      <c r="N1190" s="63">
        <v>2030</v>
      </c>
      <c r="O1190" s="63">
        <v>2093</v>
      </c>
      <c r="P1190" s="63">
        <v>2087</v>
      </c>
      <c r="Q1190" s="63">
        <v>2140</v>
      </c>
      <c r="R1190" s="63">
        <v>2161</v>
      </c>
      <c r="S1190" s="63">
        <v>2191</v>
      </c>
      <c r="T1190" s="63">
        <v>2229</v>
      </c>
      <c r="U1190" s="63">
        <v>2238</v>
      </c>
      <c r="V1190" s="63">
        <v>2213</v>
      </c>
      <c r="W1190" s="63">
        <v>2282</v>
      </c>
      <c r="X1190" s="63">
        <v>2228</v>
      </c>
      <c r="Y1190" s="63">
        <v>2214</v>
      </c>
      <c r="Z1190" s="63">
        <v>2266</v>
      </c>
      <c r="AA1190" s="63">
        <v>2262</v>
      </c>
      <c r="AB1190" s="63">
        <v>2271</v>
      </c>
    </row>
    <row r="1191" spans="1:28" x14ac:dyDescent="0.2">
      <c r="A1191" s="62">
        <v>97</v>
      </c>
      <c r="B1191" s="62" t="s">
        <v>392</v>
      </c>
      <c r="C1191" s="62">
        <v>54</v>
      </c>
      <c r="D1191" s="62" t="s">
        <v>334</v>
      </c>
      <c r="E1191" s="63">
        <v>1263</v>
      </c>
      <c r="F1191" s="63">
        <v>1257</v>
      </c>
      <c r="G1191" s="63">
        <v>1215</v>
      </c>
      <c r="H1191" s="63">
        <v>1225</v>
      </c>
      <c r="I1191" s="63">
        <v>1306</v>
      </c>
      <c r="J1191" s="63">
        <v>1420</v>
      </c>
      <c r="K1191" s="63">
        <v>1518</v>
      </c>
      <c r="L1191" s="63">
        <v>1494</v>
      </c>
      <c r="M1191" s="63">
        <v>1330</v>
      </c>
      <c r="N1191" s="63">
        <v>1280</v>
      </c>
      <c r="O1191" s="63">
        <v>1286</v>
      </c>
      <c r="P1191" s="63">
        <v>1287</v>
      </c>
      <c r="Q1191" s="63">
        <v>1288</v>
      </c>
      <c r="R1191" s="63">
        <v>1288</v>
      </c>
      <c r="S1191" s="63">
        <v>1291</v>
      </c>
      <c r="T1191" s="63">
        <v>1311</v>
      </c>
      <c r="U1191" s="63">
        <v>1342</v>
      </c>
      <c r="V1191" s="63">
        <v>1428</v>
      </c>
      <c r="W1191" s="63">
        <v>1454</v>
      </c>
      <c r="X1191" s="63">
        <v>1410</v>
      </c>
      <c r="Y1191" s="63">
        <v>1482</v>
      </c>
      <c r="Z1191" s="63">
        <v>1534</v>
      </c>
      <c r="AA1191" s="63">
        <v>1557</v>
      </c>
      <c r="AB1191" s="63">
        <v>1507</v>
      </c>
    </row>
    <row r="1192" spans="1:28" x14ac:dyDescent="0.2">
      <c r="A1192" s="62">
        <v>97</v>
      </c>
      <c r="B1192" s="62" t="s">
        <v>392</v>
      </c>
      <c r="C1192" s="62">
        <v>55</v>
      </c>
      <c r="D1192" s="62" t="s">
        <v>335</v>
      </c>
      <c r="E1192" s="63">
        <v>82</v>
      </c>
      <c r="F1192" s="63">
        <v>89</v>
      </c>
      <c r="G1192" s="63">
        <v>74</v>
      </c>
      <c r="H1192" s="63">
        <v>73</v>
      </c>
      <c r="I1192" s="63">
        <v>80</v>
      </c>
      <c r="J1192" s="63">
        <v>90</v>
      </c>
      <c r="K1192" s="63">
        <v>45</v>
      </c>
      <c r="L1192" s="63">
        <v>40</v>
      </c>
      <c r="M1192" s="63">
        <v>29</v>
      </c>
      <c r="N1192" s="63">
        <v>32</v>
      </c>
      <c r="O1192" s="63">
        <v>36</v>
      </c>
      <c r="P1192" s="63">
        <v>40</v>
      </c>
      <c r="Q1192" s="63">
        <v>46</v>
      </c>
      <c r="R1192" s="63">
        <v>49</v>
      </c>
      <c r="S1192" s="63">
        <v>60</v>
      </c>
      <c r="T1192" s="63">
        <v>67</v>
      </c>
      <c r="U1192" s="63">
        <v>77</v>
      </c>
      <c r="V1192" s="63">
        <v>74</v>
      </c>
      <c r="W1192" s="63">
        <v>78</v>
      </c>
      <c r="X1192" s="63">
        <v>90</v>
      </c>
      <c r="Y1192" s="63">
        <v>110</v>
      </c>
      <c r="Z1192" s="63">
        <v>140</v>
      </c>
      <c r="AA1192" s="63">
        <v>99</v>
      </c>
      <c r="AB1192" s="63">
        <v>87</v>
      </c>
    </row>
    <row r="1193" spans="1:28" x14ac:dyDescent="0.2">
      <c r="A1193" s="62">
        <v>97</v>
      </c>
      <c r="B1193" s="62" t="s">
        <v>392</v>
      </c>
      <c r="C1193" s="62">
        <v>56</v>
      </c>
      <c r="D1193" s="62" t="s">
        <v>336</v>
      </c>
      <c r="E1193" s="63">
        <v>1178</v>
      </c>
      <c r="F1193" s="63">
        <v>1283</v>
      </c>
      <c r="G1193" s="63">
        <v>1241</v>
      </c>
      <c r="H1193" s="63">
        <v>1589</v>
      </c>
      <c r="I1193" s="63">
        <v>1770</v>
      </c>
      <c r="J1193" s="63">
        <v>1882</v>
      </c>
      <c r="K1193" s="63">
        <v>1863</v>
      </c>
      <c r="L1193" s="63">
        <v>2162</v>
      </c>
      <c r="M1193" s="63">
        <v>1604</v>
      </c>
      <c r="N1193" s="63">
        <v>1500</v>
      </c>
      <c r="O1193" s="63">
        <v>1567</v>
      </c>
      <c r="P1193" s="63">
        <v>1723</v>
      </c>
      <c r="Q1193" s="63">
        <v>1829</v>
      </c>
      <c r="R1193" s="63">
        <v>2031</v>
      </c>
      <c r="S1193" s="63">
        <v>1148</v>
      </c>
      <c r="T1193" s="63">
        <v>1155</v>
      </c>
      <c r="U1193" s="63">
        <v>1180</v>
      </c>
      <c r="V1193" s="63">
        <v>1302</v>
      </c>
      <c r="W1193" s="63">
        <v>1303</v>
      </c>
      <c r="X1193" s="63">
        <v>1224</v>
      </c>
      <c r="Y1193" s="63">
        <v>1237</v>
      </c>
      <c r="Z1193" s="63">
        <v>1224</v>
      </c>
      <c r="AA1193" s="63">
        <v>1207</v>
      </c>
      <c r="AB1193" s="63">
        <v>1272</v>
      </c>
    </row>
    <row r="1194" spans="1:28" x14ac:dyDescent="0.2">
      <c r="A1194" s="62">
        <v>97</v>
      </c>
      <c r="B1194" s="62" t="s">
        <v>392</v>
      </c>
      <c r="C1194" s="62">
        <v>61</v>
      </c>
      <c r="D1194" s="62" t="s">
        <v>337</v>
      </c>
      <c r="E1194" s="63">
        <v>283</v>
      </c>
      <c r="F1194" s="63">
        <v>310</v>
      </c>
      <c r="G1194" s="63">
        <v>304</v>
      </c>
      <c r="H1194" s="63">
        <v>307</v>
      </c>
      <c r="I1194" s="63">
        <v>311</v>
      </c>
      <c r="J1194" s="63">
        <v>315</v>
      </c>
      <c r="K1194" s="63">
        <v>341</v>
      </c>
      <c r="L1194" s="63">
        <v>299</v>
      </c>
      <c r="M1194" s="63">
        <v>299</v>
      </c>
      <c r="N1194" s="63">
        <v>292</v>
      </c>
      <c r="O1194" s="63">
        <v>277</v>
      </c>
      <c r="P1194" s="63">
        <v>289</v>
      </c>
      <c r="Q1194" s="63">
        <v>289</v>
      </c>
      <c r="R1194" s="63">
        <v>318</v>
      </c>
      <c r="S1194" s="63">
        <v>342</v>
      </c>
      <c r="T1194" s="63">
        <v>334</v>
      </c>
      <c r="U1194" s="63">
        <v>362</v>
      </c>
      <c r="V1194" s="63">
        <v>387</v>
      </c>
      <c r="W1194" s="63">
        <v>405</v>
      </c>
      <c r="X1194" s="63">
        <v>356</v>
      </c>
      <c r="Y1194" s="63">
        <v>311</v>
      </c>
      <c r="Z1194" s="63">
        <v>333</v>
      </c>
      <c r="AA1194" s="63">
        <v>355</v>
      </c>
      <c r="AB1194" s="63">
        <v>373</v>
      </c>
    </row>
    <row r="1195" spans="1:28" x14ac:dyDescent="0.2">
      <c r="A1195" s="62">
        <v>97</v>
      </c>
      <c r="B1195" s="62" t="s">
        <v>392</v>
      </c>
      <c r="C1195" s="62">
        <v>62</v>
      </c>
      <c r="D1195" s="62" t="s">
        <v>338</v>
      </c>
      <c r="E1195" s="63">
        <v>475</v>
      </c>
      <c r="F1195" s="63">
        <v>487</v>
      </c>
      <c r="G1195" s="63">
        <v>492</v>
      </c>
      <c r="H1195" s="63">
        <v>513</v>
      </c>
      <c r="I1195" s="63">
        <v>501</v>
      </c>
      <c r="J1195" s="63">
        <v>490</v>
      </c>
      <c r="K1195" s="63">
        <v>519</v>
      </c>
      <c r="L1195" s="63">
        <v>524</v>
      </c>
      <c r="M1195" s="63">
        <v>533</v>
      </c>
      <c r="N1195" s="63">
        <v>538</v>
      </c>
      <c r="O1195" s="63">
        <v>564</v>
      </c>
      <c r="P1195" s="63">
        <v>572</v>
      </c>
      <c r="Q1195" s="63">
        <v>507</v>
      </c>
      <c r="R1195" s="63">
        <v>553</v>
      </c>
      <c r="S1195" s="63">
        <v>567</v>
      </c>
      <c r="T1195" s="63">
        <v>561</v>
      </c>
      <c r="U1195" s="63">
        <v>558</v>
      </c>
      <c r="V1195" s="63">
        <v>571</v>
      </c>
      <c r="W1195" s="63">
        <v>597</v>
      </c>
      <c r="X1195" s="63">
        <v>566</v>
      </c>
      <c r="Y1195" s="63">
        <v>577</v>
      </c>
      <c r="Z1195" s="63">
        <v>608</v>
      </c>
      <c r="AA1195" s="63">
        <v>583</v>
      </c>
      <c r="AB1195" s="63">
        <v>605</v>
      </c>
    </row>
    <row r="1196" spans="1:28" x14ac:dyDescent="0.2">
      <c r="A1196" s="62">
        <v>97</v>
      </c>
      <c r="B1196" s="62" t="s">
        <v>392</v>
      </c>
      <c r="C1196" s="62">
        <v>71</v>
      </c>
      <c r="D1196" s="62" t="s">
        <v>339</v>
      </c>
      <c r="E1196" s="63">
        <v>1927</v>
      </c>
      <c r="F1196" s="63">
        <v>1857</v>
      </c>
      <c r="G1196" s="63">
        <v>1896</v>
      </c>
      <c r="H1196" s="63">
        <v>1947</v>
      </c>
      <c r="I1196" s="63">
        <v>1970</v>
      </c>
      <c r="J1196" s="63">
        <v>2052</v>
      </c>
      <c r="K1196" s="63">
        <v>2154</v>
      </c>
      <c r="L1196" s="63">
        <v>2209</v>
      </c>
      <c r="M1196" s="63">
        <v>2101</v>
      </c>
      <c r="N1196" s="63">
        <v>2075</v>
      </c>
      <c r="O1196" s="63">
        <v>2216</v>
      </c>
      <c r="P1196" s="63">
        <v>2222</v>
      </c>
      <c r="Q1196" s="63">
        <v>2268</v>
      </c>
      <c r="R1196" s="63">
        <v>2367</v>
      </c>
      <c r="S1196" s="63">
        <v>2459</v>
      </c>
      <c r="T1196" s="63">
        <v>2584</v>
      </c>
      <c r="U1196" s="63">
        <v>2584</v>
      </c>
      <c r="V1196" s="63">
        <v>2568</v>
      </c>
      <c r="W1196" s="63">
        <v>2542</v>
      </c>
      <c r="X1196" s="63">
        <v>2279</v>
      </c>
      <c r="Y1196" s="63">
        <v>2427</v>
      </c>
      <c r="Z1196" s="63">
        <v>2768</v>
      </c>
      <c r="AA1196" s="63">
        <v>3010</v>
      </c>
      <c r="AB1196" s="63">
        <v>2907</v>
      </c>
    </row>
    <row r="1197" spans="1:28" x14ac:dyDescent="0.2">
      <c r="A1197" s="62">
        <v>97</v>
      </c>
      <c r="B1197" s="62" t="s">
        <v>392</v>
      </c>
      <c r="C1197" s="62">
        <v>72</v>
      </c>
      <c r="D1197" s="62" t="s">
        <v>340</v>
      </c>
      <c r="E1197" s="63">
        <v>4298</v>
      </c>
      <c r="F1197" s="63">
        <v>4119</v>
      </c>
      <c r="G1197" s="63">
        <v>4139</v>
      </c>
      <c r="H1197" s="63">
        <v>4077</v>
      </c>
      <c r="I1197" s="63">
        <v>3964</v>
      </c>
      <c r="J1197" s="63">
        <v>3986</v>
      </c>
      <c r="K1197" s="63">
        <v>3949</v>
      </c>
      <c r="L1197" s="63">
        <v>3917</v>
      </c>
      <c r="M1197" s="63">
        <v>3753</v>
      </c>
      <c r="N1197" s="63">
        <v>4030</v>
      </c>
      <c r="O1197" s="63">
        <v>3998</v>
      </c>
      <c r="P1197" s="63">
        <v>4061</v>
      </c>
      <c r="Q1197" s="63">
        <v>4255</v>
      </c>
      <c r="R1197" s="63">
        <v>4448</v>
      </c>
      <c r="S1197" s="63">
        <v>4310</v>
      </c>
      <c r="T1197" s="63">
        <v>4374</v>
      </c>
      <c r="U1197" s="63">
        <v>4406</v>
      </c>
      <c r="V1197" s="63">
        <v>4314</v>
      </c>
      <c r="W1197" s="63">
        <v>4484</v>
      </c>
      <c r="X1197" s="63">
        <v>3708</v>
      </c>
      <c r="Y1197" s="63">
        <v>3831</v>
      </c>
      <c r="Z1197" s="63">
        <v>4317</v>
      </c>
      <c r="AA1197" s="63">
        <v>4608</v>
      </c>
      <c r="AB1197" s="63">
        <v>4894</v>
      </c>
    </row>
    <row r="1198" spans="1:28" x14ac:dyDescent="0.2">
      <c r="A1198" s="62">
        <v>97</v>
      </c>
      <c r="B1198" s="62" t="s">
        <v>392</v>
      </c>
      <c r="C1198" s="62">
        <v>81</v>
      </c>
      <c r="D1198" s="62" t="s">
        <v>341</v>
      </c>
      <c r="E1198" s="63">
        <v>832</v>
      </c>
      <c r="F1198" s="63">
        <v>882</v>
      </c>
      <c r="G1198" s="63">
        <v>946</v>
      </c>
      <c r="H1198" s="63">
        <v>1022</v>
      </c>
      <c r="I1198" s="63">
        <v>1094</v>
      </c>
      <c r="J1198" s="63">
        <v>1111</v>
      </c>
      <c r="K1198" s="63">
        <v>1004</v>
      </c>
      <c r="L1198" s="63">
        <v>1031</v>
      </c>
      <c r="M1198" s="63">
        <v>1011</v>
      </c>
      <c r="N1198" s="63">
        <v>993</v>
      </c>
      <c r="O1198" s="63">
        <v>987</v>
      </c>
      <c r="P1198" s="63">
        <v>1011</v>
      </c>
      <c r="Q1198" s="63">
        <v>1019</v>
      </c>
      <c r="R1198" s="63">
        <v>1074</v>
      </c>
      <c r="S1198" s="63">
        <v>1123</v>
      </c>
      <c r="T1198" s="63">
        <v>1135</v>
      </c>
      <c r="U1198" s="63">
        <v>1132</v>
      </c>
      <c r="V1198" s="63">
        <v>1050</v>
      </c>
      <c r="W1198" s="63">
        <v>1026</v>
      </c>
      <c r="X1198" s="63">
        <v>943</v>
      </c>
      <c r="Y1198" s="63">
        <v>1003</v>
      </c>
      <c r="Z1198" s="63">
        <v>1016</v>
      </c>
      <c r="AA1198" s="63">
        <v>1077</v>
      </c>
      <c r="AB1198" s="63">
        <v>1120</v>
      </c>
    </row>
    <row r="1199" spans="1:28" x14ac:dyDescent="0.2">
      <c r="A1199" s="62">
        <v>97</v>
      </c>
      <c r="B1199" s="62" t="s">
        <v>392</v>
      </c>
      <c r="C1199" s="62">
        <v>99</v>
      </c>
      <c r="D1199" s="62" t="s">
        <v>342</v>
      </c>
      <c r="E1199" s="62"/>
      <c r="F1199" s="63">
        <v>0</v>
      </c>
      <c r="G1199" s="62"/>
      <c r="H1199" s="63">
        <v>0</v>
      </c>
      <c r="I1199" s="63">
        <v>0</v>
      </c>
      <c r="J1199" s="63">
        <v>0</v>
      </c>
      <c r="K1199" s="63">
        <v>1</v>
      </c>
      <c r="L1199" s="63">
        <v>0</v>
      </c>
      <c r="M1199" s="63">
        <v>0</v>
      </c>
      <c r="N1199" s="63">
        <v>0</v>
      </c>
      <c r="O1199" s="63">
        <v>1</v>
      </c>
      <c r="P1199" s="63">
        <v>0</v>
      </c>
      <c r="Q1199" s="63">
        <v>3</v>
      </c>
      <c r="R1199" s="63">
        <v>0</v>
      </c>
      <c r="S1199" s="62"/>
      <c r="T1199" s="62"/>
      <c r="U1199" s="62"/>
      <c r="V1199" s="62"/>
      <c r="W1199" s="62"/>
      <c r="X1199" s="62"/>
      <c r="Y1199" s="63">
        <v>15</v>
      </c>
      <c r="Z1199" s="63">
        <v>8</v>
      </c>
      <c r="AA1199" s="63">
        <v>23</v>
      </c>
      <c r="AB1199" s="62"/>
    </row>
    <row r="1200" spans="1:28" x14ac:dyDescent="0.2">
      <c r="A1200" s="62">
        <v>99</v>
      </c>
      <c r="B1200" s="62" t="s">
        <v>393</v>
      </c>
      <c r="C1200" s="62">
        <v>1</v>
      </c>
      <c r="D1200" s="62" t="s">
        <v>316</v>
      </c>
      <c r="E1200" s="63">
        <v>51</v>
      </c>
      <c r="F1200" s="63">
        <v>51</v>
      </c>
      <c r="G1200" s="63">
        <v>50</v>
      </c>
      <c r="H1200" s="63">
        <v>45</v>
      </c>
      <c r="I1200" s="63">
        <v>46</v>
      </c>
      <c r="J1200" s="63">
        <v>47</v>
      </c>
      <c r="K1200" s="63">
        <v>43</v>
      </c>
      <c r="L1200" s="63">
        <v>45</v>
      </c>
      <c r="M1200" s="63">
        <v>44</v>
      </c>
      <c r="N1200" s="63">
        <v>51</v>
      </c>
      <c r="O1200" s="63">
        <v>42</v>
      </c>
      <c r="P1200" s="63">
        <v>37</v>
      </c>
      <c r="Q1200" s="63">
        <v>37</v>
      </c>
      <c r="R1200" s="63">
        <v>36</v>
      </c>
      <c r="S1200" s="63">
        <v>37</v>
      </c>
      <c r="T1200" s="63">
        <v>39</v>
      </c>
      <c r="U1200" s="63">
        <v>36</v>
      </c>
      <c r="V1200" s="63">
        <v>36</v>
      </c>
      <c r="W1200" s="63">
        <v>35</v>
      </c>
      <c r="X1200" s="63">
        <v>37</v>
      </c>
      <c r="Y1200" s="63">
        <v>34</v>
      </c>
      <c r="Z1200" s="63">
        <v>33</v>
      </c>
      <c r="AA1200" s="63">
        <v>36</v>
      </c>
      <c r="AB1200" s="63">
        <v>38</v>
      </c>
    </row>
    <row r="1201" spans="1:28" x14ac:dyDescent="0.2">
      <c r="A1201" s="62">
        <v>99</v>
      </c>
      <c r="B1201" s="62" t="s">
        <v>393</v>
      </c>
      <c r="C1201" s="62">
        <v>10</v>
      </c>
      <c r="D1201" s="62" t="s">
        <v>317</v>
      </c>
      <c r="E1201" s="63">
        <v>6841</v>
      </c>
      <c r="F1201" s="63">
        <v>6710</v>
      </c>
      <c r="G1201" s="63">
        <v>6441</v>
      </c>
      <c r="H1201" s="63">
        <v>6459</v>
      </c>
      <c r="I1201" s="63">
        <v>6315</v>
      </c>
      <c r="J1201" s="63">
        <v>5867</v>
      </c>
      <c r="K1201" s="63">
        <v>5895</v>
      </c>
      <c r="L1201" s="63">
        <v>5781</v>
      </c>
      <c r="M1201" s="63">
        <v>5589</v>
      </c>
      <c r="N1201" s="63">
        <v>5551</v>
      </c>
      <c r="O1201" s="63">
        <v>5694</v>
      </c>
      <c r="P1201" s="63">
        <v>5492</v>
      </c>
      <c r="Q1201" s="63">
        <v>5332</v>
      </c>
      <c r="R1201" s="63">
        <v>5207</v>
      </c>
      <c r="S1201" s="63">
        <v>5210</v>
      </c>
      <c r="T1201" s="63">
        <v>5253</v>
      </c>
      <c r="U1201" s="63">
        <v>5363</v>
      </c>
      <c r="V1201" s="63">
        <v>5346</v>
      </c>
      <c r="W1201" s="63">
        <v>5469</v>
      </c>
      <c r="X1201" s="63">
        <v>5328</v>
      </c>
      <c r="Y1201" s="63">
        <v>5407</v>
      </c>
      <c r="Z1201" s="63">
        <v>5612</v>
      </c>
      <c r="AA1201" s="63">
        <v>5795</v>
      </c>
      <c r="AB1201" s="63">
        <v>5955</v>
      </c>
    </row>
    <row r="1202" spans="1:28" x14ac:dyDescent="0.2">
      <c r="A1202" s="62">
        <v>99</v>
      </c>
      <c r="B1202" s="62" t="s">
        <v>393</v>
      </c>
      <c r="C1202" s="62">
        <v>11</v>
      </c>
      <c r="D1202" s="62" t="s">
        <v>318</v>
      </c>
      <c r="E1202" s="63">
        <v>752</v>
      </c>
      <c r="F1202" s="63">
        <v>658</v>
      </c>
      <c r="G1202" s="63">
        <v>547</v>
      </c>
      <c r="H1202" s="63">
        <v>496</v>
      </c>
      <c r="I1202" s="63">
        <v>565</v>
      </c>
      <c r="J1202" s="63">
        <v>476</v>
      </c>
      <c r="K1202" s="63">
        <v>532</v>
      </c>
      <c r="L1202" s="63">
        <v>480</v>
      </c>
      <c r="M1202" s="63">
        <v>431</v>
      </c>
      <c r="N1202" s="63">
        <v>452</v>
      </c>
      <c r="O1202" s="63">
        <v>475</v>
      </c>
      <c r="P1202" s="63">
        <v>435</v>
      </c>
      <c r="Q1202" s="63">
        <v>314</v>
      </c>
      <c r="R1202" s="63">
        <v>314</v>
      </c>
      <c r="S1202" s="63">
        <v>347</v>
      </c>
      <c r="T1202" s="63">
        <v>374</v>
      </c>
      <c r="U1202" s="63">
        <v>470</v>
      </c>
      <c r="V1202" s="63">
        <v>482</v>
      </c>
      <c r="W1202" s="63">
        <v>511</v>
      </c>
      <c r="X1202" s="63">
        <v>537</v>
      </c>
      <c r="Y1202" s="63">
        <v>540</v>
      </c>
      <c r="Z1202" s="63">
        <v>522</v>
      </c>
      <c r="AA1202" s="63">
        <v>531</v>
      </c>
      <c r="AB1202" s="63">
        <v>534</v>
      </c>
    </row>
    <row r="1203" spans="1:28" x14ac:dyDescent="0.2">
      <c r="A1203" s="62">
        <v>99</v>
      </c>
      <c r="B1203" s="62" t="s">
        <v>393</v>
      </c>
      <c r="C1203" s="62">
        <v>2</v>
      </c>
      <c r="D1203" s="62" t="s">
        <v>319</v>
      </c>
      <c r="E1203" s="63">
        <v>240</v>
      </c>
      <c r="F1203" s="63">
        <v>262</v>
      </c>
      <c r="G1203" s="63">
        <v>245</v>
      </c>
      <c r="H1203" s="63">
        <v>248</v>
      </c>
      <c r="I1203" s="63">
        <v>255</v>
      </c>
      <c r="J1203" s="63">
        <v>238</v>
      </c>
      <c r="K1203" s="63">
        <v>233</v>
      </c>
      <c r="L1203" s="63">
        <v>244</v>
      </c>
      <c r="M1203" s="63">
        <v>246</v>
      </c>
      <c r="N1203" s="63">
        <v>236</v>
      </c>
      <c r="O1203" s="63">
        <v>238</v>
      </c>
      <c r="P1203" s="63">
        <v>231</v>
      </c>
      <c r="Q1203" s="63">
        <v>236</v>
      </c>
      <c r="R1203" s="63">
        <v>228</v>
      </c>
      <c r="S1203" s="63">
        <v>230</v>
      </c>
      <c r="T1203" s="63">
        <v>230</v>
      </c>
      <c r="U1203" s="63">
        <v>235</v>
      </c>
      <c r="V1203" s="63">
        <v>237</v>
      </c>
      <c r="W1203" s="63">
        <v>233</v>
      </c>
      <c r="X1203" s="63">
        <v>221</v>
      </c>
      <c r="Y1203" s="63">
        <v>218</v>
      </c>
      <c r="Z1203" s="63">
        <v>230</v>
      </c>
      <c r="AA1203" s="63">
        <v>240</v>
      </c>
      <c r="AB1203" s="63">
        <v>252</v>
      </c>
    </row>
    <row r="1204" spans="1:28" x14ac:dyDescent="0.2">
      <c r="A1204" s="62">
        <v>99</v>
      </c>
      <c r="B1204" s="62" t="s">
        <v>393</v>
      </c>
      <c r="C1204" s="62">
        <v>21</v>
      </c>
      <c r="D1204" s="62" t="s">
        <v>320</v>
      </c>
      <c r="E1204" s="63">
        <v>102</v>
      </c>
      <c r="F1204" s="63">
        <v>88</v>
      </c>
      <c r="G1204" s="63">
        <v>72</v>
      </c>
      <c r="H1204" s="63">
        <v>87</v>
      </c>
      <c r="I1204" s="63">
        <v>96</v>
      </c>
      <c r="J1204" s="63">
        <v>106</v>
      </c>
      <c r="K1204" s="63">
        <v>110</v>
      </c>
      <c r="L1204" s="63">
        <v>103</v>
      </c>
      <c r="M1204" s="63">
        <v>85</v>
      </c>
      <c r="N1204" s="63">
        <v>85</v>
      </c>
      <c r="O1204" s="63">
        <v>96</v>
      </c>
      <c r="P1204" s="63">
        <v>101</v>
      </c>
      <c r="Q1204" s="63">
        <v>107</v>
      </c>
      <c r="R1204" s="63">
        <v>136</v>
      </c>
      <c r="S1204" s="63">
        <v>110</v>
      </c>
      <c r="T1204" s="63">
        <v>99</v>
      </c>
      <c r="U1204" s="63">
        <v>144</v>
      </c>
      <c r="V1204" s="63">
        <v>55</v>
      </c>
      <c r="W1204" s="63">
        <v>59</v>
      </c>
      <c r="X1204" s="63">
        <v>35</v>
      </c>
      <c r="Y1204" s="63">
        <v>16</v>
      </c>
      <c r="Z1204" s="63">
        <v>12</v>
      </c>
      <c r="AA1204" s="63">
        <v>17</v>
      </c>
      <c r="AB1204" s="63">
        <v>8</v>
      </c>
    </row>
    <row r="1205" spans="1:28" x14ac:dyDescent="0.2">
      <c r="A1205" s="62">
        <v>99</v>
      </c>
      <c r="B1205" s="62" t="s">
        <v>393</v>
      </c>
      <c r="C1205" s="62">
        <v>22</v>
      </c>
      <c r="D1205" s="62" t="s">
        <v>321</v>
      </c>
      <c r="E1205" s="63">
        <v>37</v>
      </c>
      <c r="F1205" s="63">
        <v>38</v>
      </c>
      <c r="G1205" s="63">
        <v>36</v>
      </c>
      <c r="H1205" s="62"/>
      <c r="I1205" s="63">
        <v>33</v>
      </c>
      <c r="J1205" s="63">
        <v>33</v>
      </c>
      <c r="K1205" s="63">
        <v>37</v>
      </c>
      <c r="L1205" s="63">
        <v>38</v>
      </c>
      <c r="M1205" s="63">
        <v>49</v>
      </c>
      <c r="N1205" s="63">
        <v>48</v>
      </c>
      <c r="O1205" s="63">
        <v>49</v>
      </c>
      <c r="P1205" s="63">
        <v>53</v>
      </c>
      <c r="Q1205" s="63">
        <v>55</v>
      </c>
      <c r="R1205" s="63">
        <v>53</v>
      </c>
      <c r="S1205" s="63">
        <v>59</v>
      </c>
      <c r="T1205" s="63">
        <v>59</v>
      </c>
      <c r="U1205" s="63">
        <v>56</v>
      </c>
      <c r="V1205" s="63">
        <v>61</v>
      </c>
      <c r="W1205" s="63">
        <v>62</v>
      </c>
      <c r="X1205" s="63">
        <v>62</v>
      </c>
      <c r="Y1205" s="63">
        <v>67</v>
      </c>
      <c r="Z1205" s="63">
        <v>77</v>
      </c>
      <c r="AA1205" s="63">
        <v>93</v>
      </c>
      <c r="AB1205" s="63">
        <v>100</v>
      </c>
    </row>
    <row r="1206" spans="1:28" x14ac:dyDescent="0.2">
      <c r="A1206" s="62">
        <v>99</v>
      </c>
      <c r="B1206" s="62" t="s">
        <v>393</v>
      </c>
      <c r="C1206" s="62">
        <v>23</v>
      </c>
      <c r="D1206" s="62" t="s">
        <v>322</v>
      </c>
      <c r="E1206" s="63">
        <v>238</v>
      </c>
      <c r="F1206" s="63">
        <v>217</v>
      </c>
      <c r="G1206" s="63">
        <v>229</v>
      </c>
      <c r="H1206" s="63">
        <v>223</v>
      </c>
      <c r="I1206" s="63">
        <v>215</v>
      </c>
      <c r="J1206" s="63">
        <v>219</v>
      </c>
      <c r="K1206" s="63">
        <v>251</v>
      </c>
      <c r="L1206" s="63">
        <v>321</v>
      </c>
      <c r="M1206" s="63">
        <v>264</v>
      </c>
      <c r="N1206" s="63">
        <v>234</v>
      </c>
      <c r="O1206" s="63">
        <v>288</v>
      </c>
      <c r="P1206" s="63">
        <v>230</v>
      </c>
      <c r="Q1206" s="63">
        <v>305</v>
      </c>
      <c r="R1206" s="63">
        <v>257</v>
      </c>
      <c r="S1206" s="63">
        <v>290</v>
      </c>
      <c r="T1206" s="63">
        <v>213</v>
      </c>
      <c r="U1206" s="63">
        <v>215</v>
      </c>
      <c r="V1206" s="63">
        <v>213</v>
      </c>
      <c r="W1206" s="63">
        <v>243</v>
      </c>
      <c r="X1206" s="63">
        <v>262</v>
      </c>
      <c r="Y1206" s="63">
        <v>246</v>
      </c>
      <c r="Z1206" s="63">
        <v>247</v>
      </c>
      <c r="AA1206" s="63">
        <v>255</v>
      </c>
      <c r="AB1206" s="63">
        <v>232</v>
      </c>
    </row>
    <row r="1207" spans="1:28" x14ac:dyDescent="0.2">
      <c r="A1207" s="62">
        <v>99</v>
      </c>
      <c r="B1207" s="62" t="s">
        <v>393</v>
      </c>
      <c r="C1207" s="62">
        <v>3</v>
      </c>
      <c r="D1207" s="62" t="s">
        <v>323</v>
      </c>
      <c r="E1207" s="63">
        <v>1204</v>
      </c>
      <c r="F1207" s="63">
        <v>1206</v>
      </c>
      <c r="G1207" s="63">
        <v>1197</v>
      </c>
      <c r="H1207" s="63">
        <v>1196</v>
      </c>
      <c r="I1207" s="63">
        <v>1180</v>
      </c>
      <c r="J1207" s="63">
        <v>1175</v>
      </c>
      <c r="K1207" s="63">
        <v>1157</v>
      </c>
      <c r="L1207" s="63">
        <v>1112</v>
      </c>
      <c r="M1207" s="63">
        <v>1136</v>
      </c>
      <c r="N1207" s="63">
        <v>1145</v>
      </c>
      <c r="O1207" s="63">
        <v>1108</v>
      </c>
      <c r="P1207" s="63">
        <v>1069</v>
      </c>
      <c r="Q1207" s="63">
        <v>1056</v>
      </c>
      <c r="R1207" s="63">
        <v>1037</v>
      </c>
      <c r="S1207" s="63">
        <v>1035</v>
      </c>
      <c r="T1207" s="63">
        <v>1038</v>
      </c>
      <c r="U1207" s="63">
        <v>1028</v>
      </c>
      <c r="V1207" s="63">
        <v>1040</v>
      </c>
      <c r="W1207" s="63">
        <v>1051</v>
      </c>
      <c r="X1207" s="63">
        <v>1029</v>
      </c>
      <c r="Y1207" s="63">
        <v>1043</v>
      </c>
      <c r="Z1207" s="63">
        <v>1099</v>
      </c>
      <c r="AA1207" s="63">
        <v>1143</v>
      </c>
      <c r="AB1207" s="63">
        <v>1171</v>
      </c>
    </row>
    <row r="1208" spans="1:28" x14ac:dyDescent="0.2">
      <c r="A1208" s="62">
        <v>99</v>
      </c>
      <c r="B1208" s="62" t="s">
        <v>393</v>
      </c>
      <c r="C1208" s="62" t="s">
        <v>324</v>
      </c>
      <c r="D1208" s="62" t="s">
        <v>325</v>
      </c>
      <c r="E1208" s="63">
        <v>943</v>
      </c>
      <c r="F1208" s="63">
        <v>937</v>
      </c>
      <c r="G1208" s="63">
        <v>891</v>
      </c>
      <c r="H1208" s="63">
        <v>943</v>
      </c>
      <c r="I1208" s="63">
        <v>817</v>
      </c>
      <c r="J1208" s="63">
        <v>477</v>
      </c>
      <c r="K1208" s="63">
        <v>423</v>
      </c>
      <c r="L1208" s="63">
        <v>383</v>
      </c>
      <c r="M1208" s="63">
        <v>323</v>
      </c>
      <c r="N1208" s="63">
        <v>318</v>
      </c>
      <c r="O1208" s="63">
        <v>330</v>
      </c>
      <c r="P1208" s="63">
        <v>366</v>
      </c>
      <c r="Q1208" s="63">
        <v>349</v>
      </c>
      <c r="R1208" s="63">
        <v>321</v>
      </c>
      <c r="S1208" s="63">
        <v>314</v>
      </c>
      <c r="T1208" s="63">
        <v>326</v>
      </c>
      <c r="U1208" s="63">
        <v>340</v>
      </c>
      <c r="V1208" s="63">
        <v>362</v>
      </c>
      <c r="W1208" s="63">
        <v>371</v>
      </c>
      <c r="X1208" s="63">
        <v>343</v>
      </c>
      <c r="Y1208" s="63">
        <v>318</v>
      </c>
      <c r="Z1208" s="63">
        <v>338</v>
      </c>
      <c r="AA1208" s="63">
        <v>342</v>
      </c>
      <c r="AB1208" s="63">
        <v>334</v>
      </c>
    </row>
    <row r="1209" spans="1:28" x14ac:dyDescent="0.2">
      <c r="A1209" s="62">
        <v>99</v>
      </c>
      <c r="B1209" s="62" t="s">
        <v>393</v>
      </c>
      <c r="C1209" s="62">
        <v>42</v>
      </c>
      <c r="D1209" s="62" t="s">
        <v>326</v>
      </c>
      <c r="E1209" s="63">
        <v>230</v>
      </c>
      <c r="F1209" s="63">
        <v>224</v>
      </c>
      <c r="G1209" s="63">
        <v>198</v>
      </c>
      <c r="H1209" s="63">
        <v>184</v>
      </c>
      <c r="I1209" s="63">
        <v>182</v>
      </c>
      <c r="J1209" s="63">
        <v>185</v>
      </c>
      <c r="K1209" s="63">
        <v>179</v>
      </c>
      <c r="L1209" s="63">
        <v>155</v>
      </c>
      <c r="M1209" s="63">
        <v>129</v>
      </c>
      <c r="N1209" s="63">
        <v>119</v>
      </c>
      <c r="O1209" s="63">
        <v>109</v>
      </c>
      <c r="P1209" s="63">
        <v>130</v>
      </c>
      <c r="Q1209" s="63">
        <v>106</v>
      </c>
      <c r="R1209" s="63">
        <v>114</v>
      </c>
      <c r="S1209" s="63">
        <v>110</v>
      </c>
      <c r="T1209" s="63">
        <v>108</v>
      </c>
      <c r="U1209" s="63">
        <v>102</v>
      </c>
      <c r="V1209" s="63">
        <v>99</v>
      </c>
      <c r="W1209" s="63">
        <v>87</v>
      </c>
      <c r="X1209" s="63">
        <v>90</v>
      </c>
      <c r="Y1209" s="63">
        <v>92</v>
      </c>
      <c r="Z1209" s="63">
        <v>84</v>
      </c>
      <c r="AA1209" s="63">
        <v>92</v>
      </c>
      <c r="AB1209" s="63">
        <v>94</v>
      </c>
    </row>
    <row r="1210" spans="1:28" x14ac:dyDescent="0.2">
      <c r="A1210" s="62">
        <v>99</v>
      </c>
      <c r="B1210" s="62" t="s">
        <v>393</v>
      </c>
      <c r="C1210" s="62" t="s">
        <v>327</v>
      </c>
      <c r="D1210" s="62" t="s">
        <v>328</v>
      </c>
      <c r="E1210" s="63">
        <v>926</v>
      </c>
      <c r="F1210" s="63">
        <v>947</v>
      </c>
      <c r="G1210" s="63">
        <v>903</v>
      </c>
      <c r="H1210" s="63">
        <v>918</v>
      </c>
      <c r="I1210" s="63">
        <v>891</v>
      </c>
      <c r="J1210" s="63">
        <v>855</v>
      </c>
      <c r="K1210" s="63">
        <v>854</v>
      </c>
      <c r="L1210" s="63">
        <v>849</v>
      </c>
      <c r="M1210" s="63">
        <v>837</v>
      </c>
      <c r="N1210" s="63">
        <v>809</v>
      </c>
      <c r="O1210" s="63">
        <v>784</v>
      </c>
      <c r="P1210" s="63">
        <v>795</v>
      </c>
      <c r="Q1210" s="63">
        <v>774</v>
      </c>
      <c r="R1210" s="63">
        <v>718</v>
      </c>
      <c r="S1210" s="63">
        <v>696</v>
      </c>
      <c r="T1210" s="63">
        <v>756</v>
      </c>
      <c r="U1210" s="63">
        <v>745</v>
      </c>
      <c r="V1210" s="63">
        <v>747</v>
      </c>
      <c r="W1210" s="63">
        <v>738</v>
      </c>
      <c r="X1210" s="63">
        <v>749</v>
      </c>
      <c r="Y1210" s="63">
        <v>748</v>
      </c>
      <c r="Z1210" s="63">
        <v>790</v>
      </c>
      <c r="AA1210" s="63">
        <v>851</v>
      </c>
      <c r="AB1210" s="63">
        <v>818</v>
      </c>
    </row>
    <row r="1211" spans="1:28" x14ac:dyDescent="0.2">
      <c r="A1211" s="62">
        <v>99</v>
      </c>
      <c r="B1211" s="62" t="s">
        <v>393</v>
      </c>
      <c r="C1211" s="62" t="s">
        <v>329</v>
      </c>
      <c r="D1211" s="62" t="s">
        <v>330</v>
      </c>
      <c r="E1211" s="63">
        <v>165</v>
      </c>
      <c r="F1211" s="63">
        <v>161</v>
      </c>
      <c r="G1211" s="63">
        <v>162</v>
      </c>
      <c r="H1211" s="63">
        <v>163</v>
      </c>
      <c r="I1211" s="63">
        <v>131</v>
      </c>
      <c r="J1211" s="63">
        <v>133</v>
      </c>
      <c r="K1211" s="63">
        <v>140</v>
      </c>
      <c r="L1211" s="63">
        <v>128</v>
      </c>
      <c r="M1211" s="63">
        <v>111</v>
      </c>
      <c r="N1211" s="63">
        <v>132</v>
      </c>
      <c r="O1211" s="63">
        <v>138</v>
      </c>
      <c r="P1211" s="63">
        <v>133</v>
      </c>
      <c r="Q1211" s="63">
        <v>137</v>
      </c>
      <c r="R1211" s="63">
        <v>139</v>
      </c>
      <c r="S1211" s="63">
        <v>133</v>
      </c>
      <c r="T1211" s="63">
        <v>139</v>
      </c>
      <c r="U1211" s="63">
        <v>146</v>
      </c>
      <c r="V1211" s="63">
        <v>156</v>
      </c>
      <c r="W1211" s="63">
        <v>149</v>
      </c>
      <c r="X1211" s="63">
        <v>154</v>
      </c>
      <c r="Y1211" s="63">
        <v>153</v>
      </c>
      <c r="Z1211" s="63">
        <v>143</v>
      </c>
      <c r="AA1211" s="63">
        <v>138</v>
      </c>
      <c r="AB1211" s="63">
        <v>135</v>
      </c>
    </row>
    <row r="1212" spans="1:28" x14ac:dyDescent="0.2">
      <c r="A1212" s="62">
        <v>99</v>
      </c>
      <c r="B1212" s="62" t="s">
        <v>393</v>
      </c>
      <c r="C1212" s="62">
        <v>51</v>
      </c>
      <c r="D1212" s="62" t="s">
        <v>331</v>
      </c>
      <c r="E1212" s="63">
        <v>99</v>
      </c>
      <c r="F1212" s="63">
        <v>83</v>
      </c>
      <c r="G1212" s="63">
        <v>83</v>
      </c>
      <c r="H1212" s="63">
        <v>77</v>
      </c>
      <c r="I1212" s="63">
        <v>70</v>
      </c>
      <c r="J1212" s="63">
        <v>61</v>
      </c>
      <c r="K1212" s="63">
        <v>58</v>
      </c>
      <c r="L1212" s="63">
        <v>61</v>
      </c>
      <c r="M1212" s="63">
        <v>67</v>
      </c>
      <c r="N1212" s="63">
        <v>63</v>
      </c>
      <c r="O1212" s="63">
        <v>57</v>
      </c>
      <c r="P1212" s="63">
        <v>56</v>
      </c>
      <c r="Q1212" s="63">
        <v>42</v>
      </c>
      <c r="R1212" s="63">
        <v>43</v>
      </c>
      <c r="S1212" s="63">
        <v>40</v>
      </c>
      <c r="T1212" s="63">
        <v>50</v>
      </c>
      <c r="U1212" s="63">
        <v>48</v>
      </c>
      <c r="V1212" s="63">
        <v>49</v>
      </c>
      <c r="W1212" s="63">
        <v>51</v>
      </c>
      <c r="X1212" s="63">
        <v>42</v>
      </c>
      <c r="Y1212" s="63">
        <v>40</v>
      </c>
      <c r="Z1212" s="63">
        <v>39</v>
      </c>
      <c r="AA1212" s="63">
        <v>26</v>
      </c>
      <c r="AB1212" s="63">
        <v>16</v>
      </c>
    </row>
    <row r="1213" spans="1:28" x14ac:dyDescent="0.2">
      <c r="A1213" s="62">
        <v>99</v>
      </c>
      <c r="B1213" s="62" t="s">
        <v>393</v>
      </c>
      <c r="C1213" s="62">
        <v>52</v>
      </c>
      <c r="D1213" s="62" t="s">
        <v>332</v>
      </c>
      <c r="E1213" s="63">
        <v>278</v>
      </c>
      <c r="F1213" s="63">
        <v>276</v>
      </c>
      <c r="G1213" s="63">
        <v>274</v>
      </c>
      <c r="H1213" s="63">
        <v>266</v>
      </c>
      <c r="I1213" s="63">
        <v>249</v>
      </c>
      <c r="J1213" s="63">
        <v>250</v>
      </c>
      <c r="K1213" s="63">
        <v>254</v>
      </c>
      <c r="L1213" s="63">
        <v>238</v>
      </c>
      <c r="M1213" s="63">
        <v>249</v>
      </c>
      <c r="N1213" s="63">
        <v>244</v>
      </c>
      <c r="O1213" s="63">
        <v>248</v>
      </c>
      <c r="P1213" s="63">
        <v>240</v>
      </c>
      <c r="Q1213" s="63">
        <v>239</v>
      </c>
      <c r="R1213" s="63">
        <v>239</v>
      </c>
      <c r="S1213" s="63">
        <v>240</v>
      </c>
      <c r="T1213" s="63">
        <v>239</v>
      </c>
      <c r="U1213" s="63">
        <v>239</v>
      </c>
      <c r="V1213" s="63">
        <v>231</v>
      </c>
      <c r="W1213" s="63">
        <v>219</v>
      </c>
      <c r="X1213" s="63">
        <v>218</v>
      </c>
      <c r="Y1213" s="63">
        <v>208</v>
      </c>
      <c r="Z1213" s="63">
        <v>218</v>
      </c>
      <c r="AA1213" s="63">
        <v>207</v>
      </c>
      <c r="AB1213" s="63">
        <v>214</v>
      </c>
    </row>
    <row r="1214" spans="1:28" x14ac:dyDescent="0.2">
      <c r="A1214" s="62">
        <v>99</v>
      </c>
      <c r="B1214" s="62" t="s">
        <v>393</v>
      </c>
      <c r="C1214" s="62">
        <v>53</v>
      </c>
      <c r="D1214" s="62" t="s">
        <v>333</v>
      </c>
      <c r="E1214" s="63">
        <v>83</v>
      </c>
      <c r="F1214" s="63">
        <v>81</v>
      </c>
      <c r="G1214" s="63">
        <v>82</v>
      </c>
      <c r="H1214" s="63">
        <v>102</v>
      </c>
      <c r="I1214" s="63">
        <v>122</v>
      </c>
      <c r="J1214" s="63">
        <v>119</v>
      </c>
      <c r="K1214" s="63">
        <v>122</v>
      </c>
      <c r="L1214" s="63">
        <v>119</v>
      </c>
      <c r="M1214" s="63">
        <v>128</v>
      </c>
      <c r="N1214" s="63">
        <v>117</v>
      </c>
      <c r="O1214" s="63">
        <v>118</v>
      </c>
      <c r="P1214" s="63">
        <v>106</v>
      </c>
      <c r="Q1214" s="63">
        <v>106</v>
      </c>
      <c r="R1214" s="63">
        <v>109</v>
      </c>
      <c r="S1214" s="63">
        <v>100</v>
      </c>
      <c r="T1214" s="63">
        <v>95</v>
      </c>
      <c r="U1214" s="63">
        <v>90</v>
      </c>
      <c r="V1214" s="63">
        <v>93</v>
      </c>
      <c r="W1214" s="63">
        <v>100</v>
      </c>
      <c r="X1214" s="63">
        <v>104</v>
      </c>
      <c r="Y1214" s="63">
        <v>104</v>
      </c>
      <c r="Z1214" s="63">
        <v>108</v>
      </c>
      <c r="AA1214" s="63">
        <v>101</v>
      </c>
      <c r="AB1214" s="63">
        <v>109</v>
      </c>
    </row>
    <row r="1215" spans="1:28" x14ac:dyDescent="0.2">
      <c r="A1215" s="62">
        <v>99</v>
      </c>
      <c r="B1215" s="62" t="s">
        <v>393</v>
      </c>
      <c r="C1215" s="62">
        <v>54</v>
      </c>
      <c r="D1215" s="62" t="s">
        <v>334</v>
      </c>
      <c r="E1215" s="63">
        <v>139</v>
      </c>
      <c r="F1215" s="63">
        <v>125</v>
      </c>
      <c r="G1215" s="63">
        <v>135</v>
      </c>
      <c r="H1215" s="63">
        <v>134</v>
      </c>
      <c r="I1215" s="63">
        <v>146</v>
      </c>
      <c r="J1215" s="63">
        <v>138</v>
      </c>
      <c r="K1215" s="63">
        <v>124</v>
      </c>
      <c r="L1215" s="63">
        <v>73</v>
      </c>
      <c r="M1215" s="63">
        <v>146</v>
      </c>
      <c r="N1215" s="63">
        <v>143</v>
      </c>
      <c r="O1215" s="63">
        <v>155</v>
      </c>
      <c r="P1215" s="63">
        <v>151</v>
      </c>
      <c r="Q1215" s="63">
        <v>156</v>
      </c>
      <c r="R1215" s="63">
        <v>148</v>
      </c>
      <c r="S1215" s="63">
        <v>151</v>
      </c>
      <c r="T1215" s="63">
        <v>135</v>
      </c>
      <c r="U1215" s="63">
        <v>135</v>
      </c>
      <c r="V1215" s="63">
        <v>138</v>
      </c>
      <c r="W1215" s="63">
        <v>137</v>
      </c>
      <c r="X1215" s="63">
        <v>139</v>
      </c>
      <c r="Y1215" s="63">
        <v>146</v>
      </c>
      <c r="Z1215" s="63">
        <v>135</v>
      </c>
      <c r="AA1215" s="63">
        <v>150</v>
      </c>
      <c r="AB1215" s="63">
        <v>189</v>
      </c>
    </row>
    <row r="1216" spans="1:28" x14ac:dyDescent="0.2">
      <c r="A1216" s="62">
        <v>99</v>
      </c>
      <c r="B1216" s="62" t="s">
        <v>393</v>
      </c>
      <c r="C1216" s="62">
        <v>55</v>
      </c>
      <c r="D1216" s="64" t="s">
        <v>335</v>
      </c>
      <c r="E1216" s="65"/>
      <c r="F1216" s="65"/>
      <c r="G1216" s="65"/>
      <c r="H1216" s="62"/>
      <c r="I1216" s="63">
        <v>1</v>
      </c>
      <c r="J1216" s="63">
        <v>1</v>
      </c>
      <c r="K1216" s="63">
        <v>1</v>
      </c>
      <c r="L1216" s="63">
        <v>1</v>
      </c>
      <c r="M1216" s="63">
        <v>1</v>
      </c>
      <c r="N1216" s="63">
        <v>1</v>
      </c>
      <c r="O1216" s="63">
        <v>1</v>
      </c>
      <c r="P1216" s="63">
        <v>1</v>
      </c>
      <c r="Q1216" s="62"/>
      <c r="R1216" s="62"/>
      <c r="S1216" s="62"/>
      <c r="T1216" s="62"/>
      <c r="U1216" s="62"/>
      <c r="V1216" s="62"/>
      <c r="W1216" s="62"/>
      <c r="X1216" s="62"/>
      <c r="Y1216" s="62"/>
      <c r="Z1216" s="62"/>
      <c r="AA1216" s="62"/>
      <c r="AB1216" s="62"/>
    </row>
    <row r="1217" spans="1:28" x14ac:dyDescent="0.2">
      <c r="A1217" s="62">
        <v>99</v>
      </c>
      <c r="B1217" s="62" t="s">
        <v>393</v>
      </c>
      <c r="C1217" s="62">
        <v>56</v>
      </c>
      <c r="D1217" s="62" t="s">
        <v>336</v>
      </c>
      <c r="E1217" s="63">
        <v>89</v>
      </c>
      <c r="F1217" s="63">
        <v>101</v>
      </c>
      <c r="G1217" s="63">
        <v>119</v>
      </c>
      <c r="H1217" s="63">
        <v>148</v>
      </c>
      <c r="I1217" s="63">
        <v>145</v>
      </c>
      <c r="J1217" s="63">
        <v>136</v>
      </c>
      <c r="K1217" s="63">
        <v>157</v>
      </c>
      <c r="L1217" s="63">
        <v>182</v>
      </c>
      <c r="M1217" s="63">
        <v>186</v>
      </c>
      <c r="N1217" s="63">
        <v>204</v>
      </c>
      <c r="O1217" s="63">
        <v>301</v>
      </c>
      <c r="P1217" s="63">
        <v>193</v>
      </c>
      <c r="Q1217" s="63">
        <v>144</v>
      </c>
      <c r="R1217" s="63">
        <v>114</v>
      </c>
      <c r="S1217" s="63">
        <v>109</v>
      </c>
      <c r="T1217" s="63">
        <v>156</v>
      </c>
      <c r="U1217" s="63">
        <v>128</v>
      </c>
      <c r="V1217" s="63">
        <v>168</v>
      </c>
      <c r="W1217" s="63">
        <v>222</v>
      </c>
      <c r="X1217" s="63">
        <v>190</v>
      </c>
      <c r="Y1217" s="63">
        <v>281</v>
      </c>
      <c r="Z1217" s="63">
        <v>394</v>
      </c>
      <c r="AA1217" s="63">
        <v>409</v>
      </c>
      <c r="AB1217" s="63">
        <v>289</v>
      </c>
    </row>
    <row r="1218" spans="1:28" x14ac:dyDescent="0.2">
      <c r="A1218" s="62">
        <v>99</v>
      </c>
      <c r="B1218" s="62" t="s">
        <v>393</v>
      </c>
      <c r="C1218" s="62">
        <v>61</v>
      </c>
      <c r="D1218" s="62" t="s">
        <v>337</v>
      </c>
      <c r="E1218" s="63">
        <v>0</v>
      </c>
      <c r="F1218" s="62"/>
      <c r="G1218" s="62"/>
      <c r="H1218" s="62"/>
      <c r="I1218" s="63">
        <v>6</v>
      </c>
      <c r="J1218" s="63">
        <v>14</v>
      </c>
      <c r="K1218" s="63">
        <v>15</v>
      </c>
      <c r="L1218" s="63">
        <v>16</v>
      </c>
      <c r="M1218" s="63">
        <v>12</v>
      </c>
      <c r="N1218" s="63">
        <v>8</v>
      </c>
      <c r="O1218" s="63">
        <v>4</v>
      </c>
      <c r="P1218" s="62"/>
      <c r="Q1218" s="63">
        <v>4</v>
      </c>
      <c r="R1218" s="62"/>
      <c r="S1218" s="63">
        <v>6</v>
      </c>
      <c r="T1218" s="62"/>
      <c r="U1218" s="62"/>
      <c r="V1218" s="62"/>
      <c r="W1218" s="62"/>
      <c r="X1218" s="62"/>
      <c r="Y1218" s="63">
        <v>10</v>
      </c>
      <c r="Z1218" s="63">
        <v>14</v>
      </c>
      <c r="AA1218" s="63">
        <v>14</v>
      </c>
      <c r="AB1218" s="63">
        <v>245</v>
      </c>
    </row>
    <row r="1219" spans="1:28" x14ac:dyDescent="0.2">
      <c r="A1219" s="62">
        <v>99</v>
      </c>
      <c r="B1219" s="62" t="s">
        <v>393</v>
      </c>
      <c r="C1219" s="62">
        <v>62</v>
      </c>
      <c r="D1219" s="62" t="s">
        <v>338</v>
      </c>
      <c r="E1219" s="63">
        <v>411</v>
      </c>
      <c r="F1219" s="63">
        <v>425</v>
      </c>
      <c r="G1219" s="63">
        <v>406</v>
      </c>
      <c r="H1219" s="63">
        <v>408</v>
      </c>
      <c r="I1219" s="63">
        <v>406</v>
      </c>
      <c r="J1219" s="63">
        <v>437</v>
      </c>
      <c r="K1219" s="63">
        <v>440</v>
      </c>
      <c r="L1219" s="63">
        <v>429</v>
      </c>
      <c r="M1219" s="63">
        <v>447</v>
      </c>
      <c r="N1219" s="63">
        <v>448</v>
      </c>
      <c r="O1219" s="63">
        <v>433</v>
      </c>
      <c r="P1219" s="63">
        <v>424</v>
      </c>
      <c r="Q1219" s="63">
        <v>443</v>
      </c>
      <c r="R1219" s="63">
        <v>487</v>
      </c>
      <c r="S1219" s="63">
        <v>503</v>
      </c>
      <c r="T1219" s="63">
        <v>472</v>
      </c>
      <c r="U1219" s="63">
        <v>486</v>
      </c>
      <c r="V1219" s="63">
        <v>504</v>
      </c>
      <c r="W1219" s="63">
        <v>521</v>
      </c>
      <c r="X1219" s="63">
        <v>505</v>
      </c>
      <c r="Y1219" s="63">
        <v>480</v>
      </c>
      <c r="Z1219" s="63">
        <v>475</v>
      </c>
      <c r="AA1219" s="63">
        <v>485</v>
      </c>
      <c r="AB1219" s="63">
        <v>496</v>
      </c>
    </row>
    <row r="1220" spans="1:28" x14ac:dyDescent="0.2">
      <c r="A1220" s="62">
        <v>99</v>
      </c>
      <c r="B1220" s="62" t="s">
        <v>393</v>
      </c>
      <c r="C1220" s="62">
        <v>71</v>
      </c>
      <c r="D1220" s="62" t="s">
        <v>339</v>
      </c>
      <c r="E1220" s="63">
        <v>40</v>
      </c>
      <c r="F1220" s="63">
        <v>40</v>
      </c>
      <c r="G1220" s="63">
        <v>39</v>
      </c>
      <c r="H1220" s="63">
        <v>38</v>
      </c>
      <c r="I1220" s="63">
        <v>30</v>
      </c>
      <c r="J1220" s="63">
        <v>32</v>
      </c>
      <c r="K1220" s="63">
        <v>45</v>
      </c>
      <c r="L1220" s="63">
        <v>38</v>
      </c>
      <c r="M1220" s="63">
        <v>44</v>
      </c>
      <c r="N1220" s="63">
        <v>45</v>
      </c>
      <c r="O1220" s="63">
        <v>45</v>
      </c>
      <c r="P1220" s="63">
        <v>44</v>
      </c>
      <c r="Q1220" s="63">
        <v>44</v>
      </c>
      <c r="R1220" s="63">
        <v>40</v>
      </c>
      <c r="S1220" s="63">
        <v>46</v>
      </c>
      <c r="T1220" s="63">
        <v>40</v>
      </c>
      <c r="U1220" s="63">
        <v>43</v>
      </c>
      <c r="V1220" s="63">
        <v>40</v>
      </c>
      <c r="W1220" s="63">
        <v>44</v>
      </c>
      <c r="X1220" s="63">
        <v>44</v>
      </c>
      <c r="Y1220" s="63">
        <v>55</v>
      </c>
      <c r="Z1220" s="63">
        <v>53</v>
      </c>
      <c r="AA1220" s="63">
        <v>64</v>
      </c>
      <c r="AB1220" s="63">
        <v>67</v>
      </c>
    </row>
    <row r="1221" spans="1:28" x14ac:dyDescent="0.2">
      <c r="A1221" s="62">
        <v>99</v>
      </c>
      <c r="B1221" s="62" t="s">
        <v>393</v>
      </c>
      <c r="C1221" s="62">
        <v>72</v>
      </c>
      <c r="D1221" s="62" t="s">
        <v>340</v>
      </c>
      <c r="E1221" s="63">
        <v>443</v>
      </c>
      <c r="F1221" s="63">
        <v>465</v>
      </c>
      <c r="G1221" s="63">
        <v>428</v>
      </c>
      <c r="H1221" s="63">
        <v>420</v>
      </c>
      <c r="I1221" s="63">
        <v>443</v>
      </c>
      <c r="J1221" s="63">
        <v>423</v>
      </c>
      <c r="K1221" s="63">
        <v>436</v>
      </c>
      <c r="L1221" s="63">
        <v>427</v>
      </c>
      <c r="M1221" s="63">
        <v>398</v>
      </c>
      <c r="N1221" s="63">
        <v>393</v>
      </c>
      <c r="O1221" s="63">
        <v>398</v>
      </c>
      <c r="P1221" s="63">
        <v>433</v>
      </c>
      <c r="Q1221" s="63">
        <v>427</v>
      </c>
      <c r="R1221" s="63">
        <v>439</v>
      </c>
      <c r="S1221" s="63">
        <v>420</v>
      </c>
      <c r="T1221" s="63">
        <v>424</v>
      </c>
      <c r="U1221" s="63">
        <v>416</v>
      </c>
      <c r="V1221" s="63">
        <v>401</v>
      </c>
      <c r="W1221" s="63">
        <v>410</v>
      </c>
      <c r="X1221" s="63">
        <v>363</v>
      </c>
      <c r="Y1221" s="63">
        <v>403</v>
      </c>
      <c r="Z1221" s="63">
        <v>397</v>
      </c>
      <c r="AA1221" s="63">
        <v>396</v>
      </c>
      <c r="AB1221" s="63">
        <v>409</v>
      </c>
    </row>
    <row r="1222" spans="1:28" x14ac:dyDescent="0.2">
      <c r="A1222" s="62">
        <v>99</v>
      </c>
      <c r="B1222" s="62" t="s">
        <v>393</v>
      </c>
      <c r="C1222" s="62">
        <v>81</v>
      </c>
      <c r="D1222" s="62" t="s">
        <v>341</v>
      </c>
      <c r="E1222" s="63">
        <v>319</v>
      </c>
      <c r="F1222" s="63">
        <v>288</v>
      </c>
      <c r="G1222" s="63">
        <v>293</v>
      </c>
      <c r="H1222" s="63">
        <v>284</v>
      </c>
      <c r="I1222" s="63">
        <v>278</v>
      </c>
      <c r="J1222" s="63">
        <v>301</v>
      </c>
      <c r="K1222" s="63">
        <v>266</v>
      </c>
      <c r="L1222" s="63">
        <v>268</v>
      </c>
      <c r="M1222" s="63">
        <v>248</v>
      </c>
      <c r="N1222" s="63">
        <v>239</v>
      </c>
      <c r="O1222" s="63">
        <v>255</v>
      </c>
      <c r="P1222" s="63">
        <v>247</v>
      </c>
      <c r="Q1222" s="63">
        <v>223</v>
      </c>
      <c r="R1222" s="63">
        <v>214</v>
      </c>
      <c r="S1222" s="63">
        <v>219</v>
      </c>
      <c r="T1222" s="63">
        <v>243</v>
      </c>
      <c r="U1222" s="63">
        <v>238</v>
      </c>
      <c r="V1222" s="63">
        <v>207</v>
      </c>
      <c r="W1222" s="63">
        <v>198</v>
      </c>
      <c r="X1222" s="63">
        <v>181</v>
      </c>
      <c r="Y1222" s="63">
        <v>192</v>
      </c>
      <c r="Z1222" s="63">
        <v>191</v>
      </c>
      <c r="AA1222" s="63">
        <v>191</v>
      </c>
      <c r="AB1222" s="63">
        <v>192</v>
      </c>
    </row>
    <row r="1223" spans="1:28" x14ac:dyDescent="0.2">
      <c r="A1223" s="62">
        <v>99</v>
      </c>
      <c r="B1223" s="62" t="s">
        <v>393</v>
      </c>
      <c r="C1223" s="62">
        <v>99</v>
      </c>
      <c r="D1223" s="62" t="s">
        <v>342</v>
      </c>
      <c r="E1223" s="62"/>
      <c r="F1223" s="62"/>
      <c r="G1223" s="62"/>
      <c r="H1223" s="62"/>
      <c r="I1223" s="63">
        <v>0</v>
      </c>
      <c r="J1223" s="63">
        <v>0</v>
      </c>
      <c r="K1223" s="62"/>
      <c r="L1223" s="63">
        <v>0</v>
      </c>
      <c r="M1223" s="63">
        <v>0</v>
      </c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</row>
    <row r="1224" spans="1:28" x14ac:dyDescent="0.2">
      <c r="A1224" s="62">
        <v>101</v>
      </c>
      <c r="B1224" s="62" t="s">
        <v>394</v>
      </c>
      <c r="C1224" s="62">
        <v>1</v>
      </c>
      <c r="D1224" s="62" t="s">
        <v>316</v>
      </c>
      <c r="E1224" s="63">
        <v>682</v>
      </c>
      <c r="F1224" s="63">
        <v>694</v>
      </c>
      <c r="G1224" s="63">
        <v>885</v>
      </c>
      <c r="H1224" s="63">
        <v>940</v>
      </c>
      <c r="I1224" s="63">
        <v>969</v>
      </c>
      <c r="J1224" s="63">
        <v>953</v>
      </c>
      <c r="K1224" s="63">
        <v>956</v>
      </c>
      <c r="L1224" s="63">
        <v>1002</v>
      </c>
      <c r="M1224" s="63">
        <v>1040</v>
      </c>
      <c r="N1224" s="63">
        <v>1175</v>
      </c>
      <c r="O1224" s="63">
        <v>1005</v>
      </c>
      <c r="P1224" s="63">
        <v>1004</v>
      </c>
      <c r="Q1224" s="63">
        <v>1011</v>
      </c>
      <c r="R1224" s="63">
        <v>1028</v>
      </c>
      <c r="S1224" s="63">
        <v>1085</v>
      </c>
      <c r="T1224" s="63">
        <v>1098</v>
      </c>
      <c r="U1224" s="63">
        <v>1095</v>
      </c>
      <c r="V1224" s="63">
        <v>1083</v>
      </c>
      <c r="W1224" s="63">
        <v>1078</v>
      </c>
      <c r="X1224" s="63">
        <v>1060</v>
      </c>
      <c r="Y1224" s="63">
        <v>1067</v>
      </c>
      <c r="Z1224" s="63">
        <v>1048</v>
      </c>
      <c r="AA1224" s="63">
        <v>1023</v>
      </c>
      <c r="AB1224" s="63">
        <v>938</v>
      </c>
    </row>
    <row r="1225" spans="1:28" x14ac:dyDescent="0.2">
      <c r="A1225" s="62">
        <v>101</v>
      </c>
      <c r="B1225" s="62" t="s">
        <v>394</v>
      </c>
      <c r="C1225" s="62">
        <v>10</v>
      </c>
      <c r="D1225" s="62" t="s">
        <v>317</v>
      </c>
      <c r="E1225" s="63">
        <v>61726</v>
      </c>
      <c r="F1225" s="63">
        <v>61135</v>
      </c>
      <c r="G1225" s="63">
        <v>61268</v>
      </c>
      <c r="H1225" s="63">
        <v>61133</v>
      </c>
      <c r="I1225" s="63">
        <v>61928</v>
      </c>
      <c r="J1225" s="63">
        <v>63350</v>
      </c>
      <c r="K1225" s="63">
        <v>65214</v>
      </c>
      <c r="L1225" s="63">
        <v>65368</v>
      </c>
      <c r="M1225" s="63">
        <v>63944</v>
      </c>
      <c r="N1225" s="63">
        <v>63923</v>
      </c>
      <c r="O1225" s="63">
        <v>64586</v>
      </c>
      <c r="P1225" s="63">
        <v>64408</v>
      </c>
      <c r="Q1225" s="63">
        <v>64495</v>
      </c>
      <c r="R1225" s="63">
        <v>65675</v>
      </c>
      <c r="S1225" s="63">
        <v>66847</v>
      </c>
      <c r="T1225" s="63">
        <v>68233</v>
      </c>
      <c r="U1225" s="63">
        <v>69534</v>
      </c>
      <c r="V1225" s="63">
        <v>70228</v>
      </c>
      <c r="W1225" s="63">
        <v>71411</v>
      </c>
      <c r="X1225" s="63">
        <v>71088</v>
      </c>
      <c r="Y1225" s="63">
        <v>71406</v>
      </c>
      <c r="Z1225" s="63">
        <v>73057</v>
      </c>
      <c r="AA1225" s="63">
        <v>73202</v>
      </c>
      <c r="AB1225" s="63">
        <v>73560</v>
      </c>
    </row>
    <row r="1226" spans="1:28" x14ac:dyDescent="0.2">
      <c r="A1226" s="62">
        <v>101</v>
      </c>
      <c r="B1226" s="62" t="s">
        <v>394</v>
      </c>
      <c r="C1226" s="62">
        <v>11</v>
      </c>
      <c r="D1226" s="62" t="s">
        <v>318</v>
      </c>
      <c r="E1226" s="63">
        <v>172</v>
      </c>
      <c r="F1226" s="63">
        <v>223</v>
      </c>
      <c r="G1226" s="63">
        <v>226</v>
      </c>
      <c r="H1226" s="63">
        <v>246</v>
      </c>
      <c r="I1226" s="63">
        <v>252</v>
      </c>
      <c r="J1226" s="63">
        <v>251</v>
      </c>
      <c r="K1226" s="63">
        <v>234</v>
      </c>
      <c r="L1226" s="63">
        <v>208</v>
      </c>
      <c r="M1226" s="63">
        <v>217</v>
      </c>
      <c r="N1226" s="63">
        <v>231</v>
      </c>
      <c r="O1226" s="63">
        <v>239</v>
      </c>
      <c r="P1226" s="63">
        <v>239</v>
      </c>
      <c r="Q1226" s="63">
        <v>221</v>
      </c>
      <c r="R1226" s="63">
        <v>224</v>
      </c>
      <c r="S1226" s="63">
        <v>247</v>
      </c>
      <c r="T1226" s="63">
        <v>323</v>
      </c>
      <c r="U1226" s="63">
        <v>461</v>
      </c>
      <c r="V1226" s="63">
        <v>566</v>
      </c>
      <c r="W1226" s="63">
        <v>675</v>
      </c>
      <c r="X1226" s="63">
        <v>813</v>
      </c>
      <c r="Y1226" s="63">
        <v>908</v>
      </c>
      <c r="Z1226" s="63">
        <v>818</v>
      </c>
      <c r="AA1226" s="63">
        <v>610</v>
      </c>
      <c r="AB1226" s="63">
        <v>546</v>
      </c>
    </row>
    <row r="1227" spans="1:28" x14ac:dyDescent="0.2">
      <c r="A1227" s="62">
        <v>101</v>
      </c>
      <c r="B1227" s="62" t="s">
        <v>394</v>
      </c>
      <c r="C1227" s="62">
        <v>2</v>
      </c>
      <c r="D1227" s="62" t="s">
        <v>319</v>
      </c>
      <c r="E1227" s="63">
        <v>4198</v>
      </c>
      <c r="F1227" s="63">
        <v>4031</v>
      </c>
      <c r="G1227" s="63">
        <v>3878</v>
      </c>
      <c r="H1227" s="63">
        <v>3869</v>
      </c>
      <c r="I1227" s="63">
        <v>3912</v>
      </c>
      <c r="J1227" s="63">
        <v>3981</v>
      </c>
      <c r="K1227" s="63">
        <v>4078</v>
      </c>
      <c r="L1227" s="63">
        <v>4323</v>
      </c>
      <c r="M1227" s="63">
        <v>4348</v>
      </c>
      <c r="N1227" s="63">
        <v>4416</v>
      </c>
      <c r="O1227" s="63">
        <v>4494</v>
      </c>
      <c r="P1227" s="63">
        <v>4410</v>
      </c>
      <c r="Q1227" s="63">
        <v>4328</v>
      </c>
      <c r="R1227" s="63">
        <v>4368</v>
      </c>
      <c r="S1227" s="63">
        <v>4290</v>
      </c>
      <c r="T1227" s="63">
        <v>4260</v>
      </c>
      <c r="U1227" s="63">
        <v>4296</v>
      </c>
      <c r="V1227" s="63">
        <v>4260</v>
      </c>
      <c r="W1227" s="63">
        <v>4193</v>
      </c>
      <c r="X1227" s="63">
        <v>4223</v>
      </c>
      <c r="Y1227" s="63">
        <v>4104</v>
      </c>
      <c r="Z1227" s="63">
        <v>3949</v>
      </c>
      <c r="AA1227" s="63">
        <v>4078</v>
      </c>
      <c r="AB1227" s="63">
        <v>4131</v>
      </c>
    </row>
    <row r="1228" spans="1:28" x14ac:dyDescent="0.2">
      <c r="A1228" s="62">
        <v>101</v>
      </c>
      <c r="B1228" s="62" t="s">
        <v>394</v>
      </c>
      <c r="C1228" s="62">
        <v>21</v>
      </c>
      <c r="D1228" s="62" t="s">
        <v>320</v>
      </c>
      <c r="E1228" s="63">
        <v>50</v>
      </c>
      <c r="F1228" s="63">
        <v>59</v>
      </c>
      <c r="G1228" s="63">
        <v>55</v>
      </c>
      <c r="H1228" s="63">
        <v>55</v>
      </c>
      <c r="I1228" s="63">
        <v>71</v>
      </c>
      <c r="J1228" s="63">
        <v>92</v>
      </c>
      <c r="K1228" s="63">
        <v>74</v>
      </c>
      <c r="L1228" s="63">
        <v>73</v>
      </c>
      <c r="M1228" s="63">
        <v>54</v>
      </c>
      <c r="N1228" s="63">
        <v>58</v>
      </c>
      <c r="O1228" s="63">
        <v>38</v>
      </c>
      <c r="P1228" s="63">
        <v>32</v>
      </c>
      <c r="Q1228" s="63">
        <v>33</v>
      </c>
      <c r="R1228" s="63">
        <v>29</v>
      </c>
      <c r="S1228" s="63">
        <v>24</v>
      </c>
      <c r="T1228" s="63">
        <v>37</v>
      </c>
      <c r="U1228" s="62"/>
      <c r="V1228" s="63">
        <v>34</v>
      </c>
      <c r="W1228" s="63">
        <v>35</v>
      </c>
      <c r="X1228" s="63">
        <v>37</v>
      </c>
      <c r="Y1228" s="63">
        <v>25</v>
      </c>
      <c r="Z1228" s="63">
        <v>28</v>
      </c>
      <c r="AA1228" s="63">
        <v>30</v>
      </c>
      <c r="AB1228" s="63">
        <v>38</v>
      </c>
    </row>
    <row r="1229" spans="1:28" x14ac:dyDescent="0.2">
      <c r="A1229" s="62">
        <v>101</v>
      </c>
      <c r="B1229" s="62" t="s">
        <v>394</v>
      </c>
      <c r="C1229" s="62">
        <v>22</v>
      </c>
      <c r="D1229" s="62" t="s">
        <v>321</v>
      </c>
      <c r="E1229" s="63">
        <v>380</v>
      </c>
      <c r="F1229" s="63">
        <v>375</v>
      </c>
      <c r="G1229" s="63">
        <v>367</v>
      </c>
      <c r="H1229" s="63">
        <v>368</v>
      </c>
      <c r="I1229" s="63">
        <v>382</v>
      </c>
      <c r="J1229" s="63">
        <v>407</v>
      </c>
      <c r="K1229" s="63">
        <v>415</v>
      </c>
      <c r="L1229" s="63">
        <v>435</v>
      </c>
      <c r="M1229" s="63">
        <v>456</v>
      </c>
      <c r="N1229" s="63">
        <v>440</v>
      </c>
      <c r="O1229" s="63">
        <v>437</v>
      </c>
      <c r="P1229" s="63">
        <v>427</v>
      </c>
      <c r="Q1229" s="63">
        <v>408</v>
      </c>
      <c r="R1229" s="63">
        <v>422</v>
      </c>
      <c r="S1229" s="63">
        <v>414</v>
      </c>
      <c r="T1229" s="63">
        <v>417</v>
      </c>
      <c r="U1229" s="63">
        <v>396</v>
      </c>
      <c r="V1229" s="63">
        <v>396</v>
      </c>
      <c r="W1229" s="63">
        <v>399</v>
      </c>
      <c r="X1229" s="63">
        <v>386</v>
      </c>
      <c r="Y1229" s="63">
        <v>398</v>
      </c>
      <c r="Z1229" s="63">
        <v>413</v>
      </c>
      <c r="AA1229" s="63">
        <v>411</v>
      </c>
      <c r="AB1229" s="63">
        <v>393</v>
      </c>
    </row>
    <row r="1230" spans="1:28" x14ac:dyDescent="0.2">
      <c r="A1230" s="62">
        <v>101</v>
      </c>
      <c r="B1230" s="62" t="s">
        <v>394</v>
      </c>
      <c r="C1230" s="62">
        <v>23</v>
      </c>
      <c r="D1230" s="62" t="s">
        <v>322</v>
      </c>
      <c r="E1230" s="63">
        <v>4876</v>
      </c>
      <c r="F1230" s="63">
        <v>4690</v>
      </c>
      <c r="G1230" s="63">
        <v>4691</v>
      </c>
      <c r="H1230" s="63">
        <v>4831</v>
      </c>
      <c r="I1230" s="63">
        <v>4882</v>
      </c>
      <c r="J1230" s="63">
        <v>4971</v>
      </c>
      <c r="K1230" s="63">
        <v>5420</v>
      </c>
      <c r="L1230" s="63">
        <v>4954</v>
      </c>
      <c r="M1230" s="63">
        <v>4459</v>
      </c>
      <c r="N1230" s="63">
        <v>4238</v>
      </c>
      <c r="O1230" s="63">
        <v>4251</v>
      </c>
      <c r="P1230" s="63">
        <v>4007</v>
      </c>
      <c r="Q1230" s="63">
        <v>3936</v>
      </c>
      <c r="R1230" s="63">
        <v>4045</v>
      </c>
      <c r="S1230" s="63">
        <v>4359</v>
      </c>
      <c r="T1230" s="63">
        <v>4423</v>
      </c>
      <c r="U1230" s="63">
        <v>4595</v>
      </c>
      <c r="V1230" s="63">
        <v>4797</v>
      </c>
      <c r="W1230" s="63">
        <v>4976</v>
      </c>
      <c r="X1230" s="63">
        <v>5016</v>
      </c>
      <c r="Y1230" s="63">
        <v>5176</v>
      </c>
      <c r="Z1230" s="63">
        <v>5647</v>
      </c>
      <c r="AA1230" s="63">
        <v>5443</v>
      </c>
      <c r="AB1230" s="63">
        <v>5074</v>
      </c>
    </row>
    <row r="1231" spans="1:28" x14ac:dyDescent="0.2">
      <c r="A1231" s="62">
        <v>101</v>
      </c>
      <c r="B1231" s="62" t="s">
        <v>394</v>
      </c>
      <c r="C1231" s="62">
        <v>3</v>
      </c>
      <c r="D1231" s="62" t="s">
        <v>323</v>
      </c>
      <c r="E1231" s="63">
        <v>5945</v>
      </c>
      <c r="F1231" s="63">
        <v>6157</v>
      </c>
      <c r="G1231" s="63">
        <v>6221</v>
      </c>
      <c r="H1231" s="63">
        <v>6236</v>
      </c>
      <c r="I1231" s="63">
        <v>6365</v>
      </c>
      <c r="J1231" s="63">
        <v>6473</v>
      </c>
      <c r="K1231" s="63">
        <v>6544</v>
      </c>
      <c r="L1231" s="63">
        <v>6506</v>
      </c>
      <c r="M1231" s="63">
        <v>6533</v>
      </c>
      <c r="N1231" s="63">
        <v>6475</v>
      </c>
      <c r="O1231" s="63">
        <v>6455</v>
      </c>
      <c r="P1231" s="63">
        <v>6417</v>
      </c>
      <c r="Q1231" s="63">
        <v>6311</v>
      </c>
      <c r="R1231" s="63">
        <v>6226</v>
      </c>
      <c r="S1231" s="63">
        <v>6294</v>
      </c>
      <c r="T1231" s="63">
        <v>6551</v>
      </c>
      <c r="U1231" s="63">
        <v>6607</v>
      </c>
      <c r="V1231" s="63">
        <v>6699</v>
      </c>
      <c r="W1231" s="63">
        <v>6674</v>
      </c>
      <c r="X1231" s="63">
        <v>6354</v>
      </c>
      <c r="Y1231" s="63">
        <v>6314</v>
      </c>
      <c r="Z1231" s="63">
        <v>6489</v>
      </c>
      <c r="AA1231" s="63">
        <v>6893</v>
      </c>
      <c r="AB1231" s="63">
        <v>6991</v>
      </c>
    </row>
    <row r="1232" spans="1:28" x14ac:dyDescent="0.2">
      <c r="A1232" s="62">
        <v>101</v>
      </c>
      <c r="B1232" s="62" t="s">
        <v>394</v>
      </c>
      <c r="C1232" s="62" t="s">
        <v>324</v>
      </c>
      <c r="D1232" s="62" t="s">
        <v>325</v>
      </c>
      <c r="E1232" s="63">
        <v>4882</v>
      </c>
      <c r="F1232" s="63">
        <v>4738</v>
      </c>
      <c r="G1232" s="63">
        <v>4542</v>
      </c>
      <c r="H1232" s="63">
        <v>4217</v>
      </c>
      <c r="I1232" s="63">
        <v>4099</v>
      </c>
      <c r="J1232" s="63">
        <v>4284</v>
      </c>
      <c r="K1232" s="63">
        <v>4513</v>
      </c>
      <c r="L1232" s="63">
        <v>4475</v>
      </c>
      <c r="M1232" s="63">
        <v>4128</v>
      </c>
      <c r="N1232" s="63">
        <v>4068</v>
      </c>
      <c r="O1232" s="63">
        <v>4319</v>
      </c>
      <c r="P1232" s="63">
        <v>4301</v>
      </c>
      <c r="Q1232" s="63">
        <v>4414</v>
      </c>
      <c r="R1232" s="63">
        <v>4740</v>
      </c>
      <c r="S1232" s="63">
        <v>4630</v>
      </c>
      <c r="T1232" s="63">
        <v>4207</v>
      </c>
      <c r="U1232" s="63">
        <v>4294</v>
      </c>
      <c r="V1232" s="63">
        <v>4486</v>
      </c>
      <c r="W1232" s="63">
        <v>4787</v>
      </c>
      <c r="X1232" s="63">
        <v>4597</v>
      </c>
      <c r="Y1232" s="63">
        <v>4305</v>
      </c>
      <c r="Z1232" s="63">
        <v>4841</v>
      </c>
      <c r="AA1232" s="63">
        <v>5075</v>
      </c>
      <c r="AB1232" s="63">
        <v>5200</v>
      </c>
    </row>
    <row r="1233" spans="1:28" x14ac:dyDescent="0.2">
      <c r="A1233" s="62">
        <v>101</v>
      </c>
      <c r="B1233" s="62" t="s">
        <v>394</v>
      </c>
      <c r="C1233" s="62">
        <v>42</v>
      </c>
      <c r="D1233" s="62" t="s">
        <v>326</v>
      </c>
      <c r="E1233" s="63">
        <v>1377</v>
      </c>
      <c r="F1233" s="63">
        <v>1320</v>
      </c>
      <c r="G1233" s="63">
        <v>1358</v>
      </c>
      <c r="H1233" s="63">
        <v>1420</v>
      </c>
      <c r="I1233" s="63">
        <v>1402</v>
      </c>
      <c r="J1233" s="63">
        <v>1424</v>
      </c>
      <c r="K1233" s="63">
        <v>1416</v>
      </c>
      <c r="L1233" s="63">
        <v>1425</v>
      </c>
      <c r="M1233" s="63">
        <v>1311</v>
      </c>
      <c r="N1233" s="63">
        <v>1305</v>
      </c>
      <c r="O1233" s="63">
        <v>1313</v>
      </c>
      <c r="P1233" s="63">
        <v>1365</v>
      </c>
      <c r="Q1233" s="63">
        <v>1333</v>
      </c>
      <c r="R1233" s="63">
        <v>1415</v>
      </c>
      <c r="S1233" s="63">
        <v>1394</v>
      </c>
      <c r="T1233" s="63">
        <v>1394</v>
      </c>
      <c r="U1233" s="63">
        <v>1406</v>
      </c>
      <c r="V1233" s="63">
        <v>1679</v>
      </c>
      <c r="W1233" s="63">
        <v>1772</v>
      </c>
      <c r="X1233" s="63">
        <v>1758</v>
      </c>
      <c r="Y1233" s="63">
        <v>1902</v>
      </c>
      <c r="Z1233" s="63">
        <v>1762</v>
      </c>
      <c r="AA1233" s="63">
        <v>1680</v>
      </c>
      <c r="AB1233" s="63">
        <v>1544</v>
      </c>
    </row>
    <row r="1234" spans="1:28" x14ac:dyDescent="0.2">
      <c r="A1234" s="62">
        <v>101</v>
      </c>
      <c r="B1234" s="62" t="s">
        <v>394</v>
      </c>
      <c r="C1234" s="62" t="s">
        <v>327</v>
      </c>
      <c r="D1234" s="62" t="s">
        <v>328</v>
      </c>
      <c r="E1234" s="63">
        <v>7988</v>
      </c>
      <c r="F1234" s="63">
        <v>8010</v>
      </c>
      <c r="G1234" s="63">
        <v>8034</v>
      </c>
      <c r="H1234" s="63">
        <v>8120</v>
      </c>
      <c r="I1234" s="63">
        <v>8295</v>
      </c>
      <c r="J1234" s="63">
        <v>8282</v>
      </c>
      <c r="K1234" s="63">
        <v>8447</v>
      </c>
      <c r="L1234" s="63">
        <v>8323</v>
      </c>
      <c r="M1234" s="63">
        <v>7912</v>
      </c>
      <c r="N1234" s="63">
        <v>7998</v>
      </c>
      <c r="O1234" s="63">
        <v>8006</v>
      </c>
      <c r="P1234" s="63">
        <v>7970</v>
      </c>
      <c r="Q1234" s="63">
        <v>8053</v>
      </c>
      <c r="R1234" s="63">
        <v>8181</v>
      </c>
      <c r="S1234" s="63">
        <v>8321</v>
      </c>
      <c r="T1234" s="63">
        <v>8734</v>
      </c>
      <c r="U1234" s="63">
        <v>8890</v>
      </c>
      <c r="V1234" s="63">
        <v>8889</v>
      </c>
      <c r="W1234" s="63">
        <v>8918</v>
      </c>
      <c r="X1234" s="63">
        <v>8763</v>
      </c>
      <c r="Y1234" s="63">
        <v>9035</v>
      </c>
      <c r="Z1234" s="63">
        <v>9192</v>
      </c>
      <c r="AA1234" s="63">
        <v>8980</v>
      </c>
      <c r="AB1234" s="63">
        <v>8696</v>
      </c>
    </row>
    <row r="1235" spans="1:28" x14ac:dyDescent="0.2">
      <c r="A1235" s="62">
        <v>101</v>
      </c>
      <c r="B1235" s="62" t="s">
        <v>394</v>
      </c>
      <c r="C1235" s="62" t="s">
        <v>329</v>
      </c>
      <c r="D1235" s="62" t="s">
        <v>330</v>
      </c>
      <c r="E1235" s="63">
        <v>1963</v>
      </c>
      <c r="F1235" s="63">
        <v>1694</v>
      </c>
      <c r="G1235" s="63">
        <v>1643</v>
      </c>
      <c r="H1235" s="63">
        <v>1584</v>
      </c>
      <c r="I1235" s="63">
        <v>1499</v>
      </c>
      <c r="J1235" s="63">
        <v>1482</v>
      </c>
      <c r="K1235" s="63">
        <v>1487</v>
      </c>
      <c r="L1235" s="63">
        <v>1489</v>
      </c>
      <c r="M1235" s="63">
        <v>1397</v>
      </c>
      <c r="N1235" s="63">
        <v>1327</v>
      </c>
      <c r="O1235" s="63">
        <v>1343</v>
      </c>
      <c r="P1235" s="63">
        <v>1347</v>
      </c>
      <c r="Q1235" s="63">
        <v>1327</v>
      </c>
      <c r="R1235" s="63">
        <v>1378</v>
      </c>
      <c r="S1235" s="63">
        <v>1443</v>
      </c>
      <c r="T1235" s="63">
        <v>1598</v>
      </c>
      <c r="U1235" s="63">
        <v>1704</v>
      </c>
      <c r="V1235" s="63">
        <v>1822</v>
      </c>
      <c r="W1235" s="63">
        <v>2071</v>
      </c>
      <c r="X1235" s="63">
        <v>2424</v>
      </c>
      <c r="Y1235" s="63">
        <v>3085</v>
      </c>
      <c r="Z1235" s="63">
        <v>3577</v>
      </c>
      <c r="AA1235" s="63">
        <v>3114</v>
      </c>
      <c r="AB1235" s="63">
        <v>3073</v>
      </c>
    </row>
    <row r="1236" spans="1:28" x14ac:dyDescent="0.2">
      <c r="A1236" s="62">
        <v>101</v>
      </c>
      <c r="B1236" s="62" t="s">
        <v>394</v>
      </c>
      <c r="C1236" s="62">
        <v>51</v>
      </c>
      <c r="D1236" s="62" t="s">
        <v>331</v>
      </c>
      <c r="E1236" s="63">
        <v>912</v>
      </c>
      <c r="F1236" s="63">
        <v>962</v>
      </c>
      <c r="G1236" s="63">
        <v>907</v>
      </c>
      <c r="H1236" s="63">
        <v>863</v>
      </c>
      <c r="I1236" s="63">
        <v>878</v>
      </c>
      <c r="J1236" s="63">
        <v>929</v>
      </c>
      <c r="K1236" s="63">
        <v>927</v>
      </c>
      <c r="L1236" s="63">
        <v>947</v>
      </c>
      <c r="M1236" s="63">
        <v>883</v>
      </c>
      <c r="N1236" s="63">
        <v>823</v>
      </c>
      <c r="O1236" s="63">
        <v>783</v>
      </c>
      <c r="P1236" s="63">
        <v>743</v>
      </c>
      <c r="Q1236" s="63">
        <v>751</v>
      </c>
      <c r="R1236" s="63">
        <v>754</v>
      </c>
      <c r="S1236" s="63">
        <v>752</v>
      </c>
      <c r="T1236" s="63">
        <v>744</v>
      </c>
      <c r="U1236" s="63">
        <v>748</v>
      </c>
      <c r="V1236" s="63">
        <v>750</v>
      </c>
      <c r="W1236" s="63">
        <v>690</v>
      </c>
      <c r="X1236" s="63">
        <v>591</v>
      </c>
      <c r="Y1236" s="63">
        <v>534</v>
      </c>
      <c r="Z1236" s="63">
        <v>555</v>
      </c>
      <c r="AA1236" s="63">
        <v>529</v>
      </c>
      <c r="AB1236" s="63">
        <v>387</v>
      </c>
    </row>
    <row r="1237" spans="1:28" x14ac:dyDescent="0.2">
      <c r="A1237" s="62">
        <v>101</v>
      </c>
      <c r="B1237" s="62" t="s">
        <v>394</v>
      </c>
      <c r="C1237" s="62">
        <v>52</v>
      </c>
      <c r="D1237" s="62" t="s">
        <v>332</v>
      </c>
      <c r="E1237" s="63">
        <v>2066</v>
      </c>
      <c r="F1237" s="63">
        <v>1907</v>
      </c>
      <c r="G1237" s="63">
        <v>1896</v>
      </c>
      <c r="H1237" s="63">
        <v>1794</v>
      </c>
      <c r="I1237" s="63">
        <v>1773</v>
      </c>
      <c r="J1237" s="63">
        <v>1762</v>
      </c>
      <c r="K1237" s="63">
        <v>1681</v>
      </c>
      <c r="L1237" s="63">
        <v>1637</v>
      </c>
      <c r="M1237" s="63">
        <v>1584</v>
      </c>
      <c r="N1237" s="63">
        <v>1527</v>
      </c>
      <c r="O1237" s="63">
        <v>1473</v>
      </c>
      <c r="P1237" s="63">
        <v>1433</v>
      </c>
      <c r="Q1237" s="63">
        <v>1423</v>
      </c>
      <c r="R1237" s="63">
        <v>1395</v>
      </c>
      <c r="S1237" s="63">
        <v>1397</v>
      </c>
      <c r="T1237" s="63">
        <v>1388</v>
      </c>
      <c r="U1237" s="63">
        <v>1384</v>
      </c>
      <c r="V1237" s="63">
        <v>1418</v>
      </c>
      <c r="W1237" s="63">
        <v>1433</v>
      </c>
      <c r="X1237" s="63">
        <v>1393</v>
      </c>
      <c r="Y1237" s="63">
        <v>1400</v>
      </c>
      <c r="Z1237" s="63">
        <v>1440</v>
      </c>
      <c r="AA1237" s="63">
        <v>1408</v>
      </c>
      <c r="AB1237" s="63">
        <v>1356</v>
      </c>
    </row>
    <row r="1238" spans="1:28" x14ac:dyDescent="0.2">
      <c r="A1238" s="62">
        <v>101</v>
      </c>
      <c r="B1238" s="62" t="s">
        <v>394</v>
      </c>
      <c r="C1238" s="62">
        <v>53</v>
      </c>
      <c r="D1238" s="62" t="s">
        <v>333</v>
      </c>
      <c r="E1238" s="63">
        <v>1555</v>
      </c>
      <c r="F1238" s="63">
        <v>1572</v>
      </c>
      <c r="G1238" s="63">
        <v>1640</v>
      </c>
      <c r="H1238" s="63">
        <v>1666</v>
      </c>
      <c r="I1238" s="63">
        <v>1740</v>
      </c>
      <c r="J1238" s="63">
        <v>1715</v>
      </c>
      <c r="K1238" s="63">
        <v>1697</v>
      </c>
      <c r="L1238" s="63">
        <v>1624</v>
      </c>
      <c r="M1238" s="63">
        <v>1666</v>
      </c>
      <c r="N1238" s="63">
        <v>1590</v>
      </c>
      <c r="O1238" s="63">
        <v>1509</v>
      </c>
      <c r="P1238" s="63">
        <v>1494</v>
      </c>
      <c r="Q1238" s="63">
        <v>1528</v>
      </c>
      <c r="R1238" s="63">
        <v>1590</v>
      </c>
      <c r="S1238" s="63">
        <v>1568</v>
      </c>
      <c r="T1238" s="63">
        <v>1606</v>
      </c>
      <c r="U1238" s="63">
        <v>1612</v>
      </c>
      <c r="V1238" s="63">
        <v>1640</v>
      </c>
      <c r="W1238" s="63">
        <v>1651</v>
      </c>
      <c r="X1238" s="63">
        <v>1612</v>
      </c>
      <c r="Y1238" s="63">
        <v>1690</v>
      </c>
      <c r="Z1238" s="63">
        <v>1739</v>
      </c>
      <c r="AA1238" s="63">
        <v>2338</v>
      </c>
      <c r="AB1238" s="63">
        <v>2484</v>
      </c>
    </row>
    <row r="1239" spans="1:28" x14ac:dyDescent="0.2">
      <c r="A1239" s="62">
        <v>101</v>
      </c>
      <c r="B1239" s="62" t="s">
        <v>394</v>
      </c>
      <c r="C1239" s="62">
        <v>54</v>
      </c>
      <c r="D1239" s="62" t="s">
        <v>334</v>
      </c>
      <c r="E1239" s="63">
        <v>1561</v>
      </c>
      <c r="F1239" s="63">
        <v>1687</v>
      </c>
      <c r="G1239" s="63">
        <v>1710</v>
      </c>
      <c r="H1239" s="63">
        <v>1738</v>
      </c>
      <c r="I1239" s="63">
        <v>1795</v>
      </c>
      <c r="J1239" s="63">
        <v>1823</v>
      </c>
      <c r="K1239" s="63">
        <v>1931</v>
      </c>
      <c r="L1239" s="63">
        <v>1904</v>
      </c>
      <c r="M1239" s="63">
        <v>1858</v>
      </c>
      <c r="N1239" s="63">
        <v>1845</v>
      </c>
      <c r="O1239" s="63">
        <v>1973</v>
      </c>
      <c r="P1239" s="63">
        <v>1973</v>
      </c>
      <c r="Q1239" s="63">
        <v>2056</v>
      </c>
      <c r="R1239" s="63">
        <v>2422</v>
      </c>
      <c r="S1239" s="63">
        <v>2690</v>
      </c>
      <c r="T1239" s="63">
        <v>2837</v>
      </c>
      <c r="U1239" s="63">
        <v>2995</v>
      </c>
      <c r="V1239" s="63">
        <v>3108</v>
      </c>
      <c r="W1239" s="63">
        <v>3333</v>
      </c>
      <c r="X1239" s="63">
        <v>3427</v>
      </c>
      <c r="Y1239" s="63">
        <v>3537</v>
      </c>
      <c r="Z1239" s="63">
        <v>3563</v>
      </c>
      <c r="AA1239" s="63">
        <v>3576</v>
      </c>
      <c r="AB1239" s="63">
        <v>3382</v>
      </c>
    </row>
    <row r="1240" spans="1:28" x14ac:dyDescent="0.2">
      <c r="A1240" s="62">
        <v>101</v>
      </c>
      <c r="B1240" s="62" t="s">
        <v>394</v>
      </c>
      <c r="C1240" s="62">
        <v>55</v>
      </c>
      <c r="D1240" s="62" t="s">
        <v>335</v>
      </c>
      <c r="E1240" s="63">
        <v>145</v>
      </c>
      <c r="F1240" s="63">
        <v>152</v>
      </c>
      <c r="G1240" s="63">
        <v>137</v>
      </c>
      <c r="H1240" s="63">
        <v>152</v>
      </c>
      <c r="I1240" s="63">
        <v>146</v>
      </c>
      <c r="J1240" s="63">
        <v>139</v>
      </c>
      <c r="K1240" s="63">
        <v>143</v>
      </c>
      <c r="L1240" s="63">
        <v>122</v>
      </c>
      <c r="M1240" s="63">
        <v>133</v>
      </c>
      <c r="N1240" s="63">
        <v>149</v>
      </c>
      <c r="O1240" s="63">
        <v>150</v>
      </c>
      <c r="P1240" s="63">
        <v>165</v>
      </c>
      <c r="Q1240" s="63">
        <v>161</v>
      </c>
      <c r="R1240" s="63">
        <v>163</v>
      </c>
      <c r="S1240" s="63">
        <v>166</v>
      </c>
      <c r="T1240" s="63">
        <v>167</v>
      </c>
      <c r="U1240" s="63">
        <v>156</v>
      </c>
      <c r="V1240" s="63">
        <v>150</v>
      </c>
      <c r="W1240" s="63">
        <v>144</v>
      </c>
      <c r="X1240" s="63">
        <v>135</v>
      </c>
      <c r="Y1240" s="63">
        <v>165</v>
      </c>
      <c r="Z1240" s="63">
        <v>139</v>
      </c>
      <c r="AA1240" s="63">
        <v>187</v>
      </c>
      <c r="AB1240" s="63">
        <v>193</v>
      </c>
    </row>
    <row r="1241" spans="1:28" x14ac:dyDescent="0.2">
      <c r="A1241" s="62">
        <v>101</v>
      </c>
      <c r="B1241" s="62" t="s">
        <v>394</v>
      </c>
      <c r="C1241" s="62">
        <v>56</v>
      </c>
      <c r="D1241" s="62" t="s">
        <v>336</v>
      </c>
      <c r="E1241" s="63">
        <v>4174</v>
      </c>
      <c r="F1241" s="63">
        <v>3773</v>
      </c>
      <c r="G1241" s="63">
        <v>3893</v>
      </c>
      <c r="H1241" s="63">
        <v>3835</v>
      </c>
      <c r="I1241" s="63">
        <v>3942</v>
      </c>
      <c r="J1241" s="63">
        <v>4806</v>
      </c>
      <c r="K1241" s="63">
        <v>5272</v>
      </c>
      <c r="L1241" s="63">
        <v>5303</v>
      </c>
      <c r="M1241" s="63">
        <v>5178</v>
      </c>
      <c r="N1241" s="63">
        <v>5185</v>
      </c>
      <c r="O1241" s="63">
        <v>5452</v>
      </c>
      <c r="P1241" s="63">
        <v>5609</v>
      </c>
      <c r="Q1241" s="63">
        <v>5415</v>
      </c>
      <c r="R1241" s="63">
        <v>5467</v>
      </c>
      <c r="S1241" s="63">
        <v>5457</v>
      </c>
      <c r="T1241" s="63">
        <v>5246</v>
      </c>
      <c r="U1241" s="63">
        <v>4895</v>
      </c>
      <c r="V1241" s="63">
        <v>4522</v>
      </c>
      <c r="W1241" s="63">
        <v>4703</v>
      </c>
      <c r="X1241" s="63">
        <v>4905</v>
      </c>
      <c r="Y1241" s="63">
        <v>4383</v>
      </c>
      <c r="Z1241" s="63">
        <v>4135</v>
      </c>
      <c r="AA1241" s="63">
        <v>3571</v>
      </c>
      <c r="AB1241" s="63">
        <v>3241</v>
      </c>
    </row>
    <row r="1242" spans="1:28" x14ac:dyDescent="0.2">
      <c r="A1242" s="62">
        <v>101</v>
      </c>
      <c r="B1242" s="62" t="s">
        <v>394</v>
      </c>
      <c r="C1242" s="62">
        <v>61</v>
      </c>
      <c r="D1242" s="62" t="s">
        <v>337</v>
      </c>
      <c r="E1242" s="63">
        <v>242</v>
      </c>
      <c r="F1242" s="63">
        <v>258</v>
      </c>
      <c r="G1242" s="63">
        <v>285</v>
      </c>
      <c r="H1242" s="63">
        <v>274</v>
      </c>
      <c r="I1242" s="63">
        <v>315</v>
      </c>
      <c r="J1242" s="63">
        <v>370</v>
      </c>
      <c r="K1242" s="63">
        <v>413</v>
      </c>
      <c r="L1242" s="63">
        <v>458</v>
      </c>
      <c r="M1242" s="63">
        <v>524</v>
      </c>
      <c r="N1242" s="63">
        <v>545</v>
      </c>
      <c r="O1242" s="63">
        <v>524</v>
      </c>
      <c r="P1242" s="63">
        <v>559</v>
      </c>
      <c r="Q1242" s="63">
        <v>567</v>
      </c>
      <c r="R1242" s="63">
        <v>586</v>
      </c>
      <c r="S1242" s="63">
        <v>535</v>
      </c>
      <c r="T1242" s="63">
        <v>542</v>
      </c>
      <c r="U1242" s="63">
        <v>567</v>
      </c>
      <c r="V1242" s="63">
        <v>622</v>
      </c>
      <c r="W1242" s="63">
        <v>665</v>
      </c>
      <c r="X1242" s="63">
        <v>584</v>
      </c>
      <c r="Y1242" s="63">
        <v>698</v>
      </c>
      <c r="Z1242" s="63">
        <v>678</v>
      </c>
      <c r="AA1242" s="63">
        <v>618</v>
      </c>
      <c r="AB1242" s="63">
        <v>678</v>
      </c>
    </row>
    <row r="1243" spans="1:28" x14ac:dyDescent="0.2">
      <c r="A1243" s="62">
        <v>101</v>
      </c>
      <c r="B1243" s="62" t="s">
        <v>394</v>
      </c>
      <c r="C1243" s="62">
        <v>62</v>
      </c>
      <c r="D1243" s="62" t="s">
        <v>338</v>
      </c>
      <c r="E1243" s="63">
        <v>9502</v>
      </c>
      <c r="F1243" s="63">
        <v>9647</v>
      </c>
      <c r="G1243" s="63">
        <v>9818</v>
      </c>
      <c r="H1243" s="63">
        <v>9944</v>
      </c>
      <c r="I1243" s="63">
        <v>9833</v>
      </c>
      <c r="J1243" s="63">
        <v>9832</v>
      </c>
      <c r="K1243" s="63">
        <v>9977</v>
      </c>
      <c r="L1243" s="63">
        <v>10560</v>
      </c>
      <c r="M1243" s="63">
        <v>10735</v>
      </c>
      <c r="N1243" s="63">
        <v>11088</v>
      </c>
      <c r="O1243" s="63">
        <v>11333</v>
      </c>
      <c r="P1243" s="63">
        <v>11433</v>
      </c>
      <c r="Q1243" s="63">
        <v>11651</v>
      </c>
      <c r="R1243" s="63">
        <v>11758</v>
      </c>
      <c r="S1243" s="63">
        <v>12019</v>
      </c>
      <c r="T1243" s="63">
        <v>12568</v>
      </c>
      <c r="U1243" s="63">
        <v>13086</v>
      </c>
      <c r="V1243" s="63">
        <v>13249</v>
      </c>
      <c r="W1243" s="63">
        <v>13167</v>
      </c>
      <c r="X1243" s="63">
        <v>13165</v>
      </c>
      <c r="Y1243" s="63">
        <v>12874</v>
      </c>
      <c r="Z1243" s="63">
        <v>12645</v>
      </c>
      <c r="AA1243" s="63">
        <v>13179</v>
      </c>
      <c r="AB1243" s="63">
        <v>14571</v>
      </c>
    </row>
    <row r="1244" spans="1:28" x14ac:dyDescent="0.2">
      <c r="A1244" s="62">
        <v>101</v>
      </c>
      <c r="B1244" s="62" t="s">
        <v>394</v>
      </c>
      <c r="C1244" s="62">
        <v>71</v>
      </c>
      <c r="D1244" s="62" t="s">
        <v>339</v>
      </c>
      <c r="E1244" s="63">
        <v>892</v>
      </c>
      <c r="F1244" s="63">
        <v>945</v>
      </c>
      <c r="G1244" s="63">
        <v>876</v>
      </c>
      <c r="H1244" s="63">
        <v>903</v>
      </c>
      <c r="I1244" s="63">
        <v>1045</v>
      </c>
      <c r="J1244" s="63">
        <v>1017</v>
      </c>
      <c r="K1244" s="63">
        <v>1121</v>
      </c>
      <c r="L1244" s="63">
        <v>1187</v>
      </c>
      <c r="M1244" s="63">
        <v>1164</v>
      </c>
      <c r="N1244" s="63">
        <v>1148</v>
      </c>
      <c r="O1244" s="63">
        <v>1210</v>
      </c>
      <c r="P1244" s="63">
        <v>1189</v>
      </c>
      <c r="Q1244" s="63">
        <v>1179</v>
      </c>
      <c r="R1244" s="63">
        <v>1166</v>
      </c>
      <c r="S1244" s="63">
        <v>1189</v>
      </c>
      <c r="T1244" s="63">
        <v>1235</v>
      </c>
      <c r="U1244" s="63">
        <v>1227</v>
      </c>
      <c r="V1244" s="63">
        <v>1202</v>
      </c>
      <c r="W1244" s="63">
        <v>1213</v>
      </c>
      <c r="X1244" s="63">
        <v>1000</v>
      </c>
      <c r="Y1244" s="63">
        <v>1120</v>
      </c>
      <c r="Z1244" s="63">
        <v>1239</v>
      </c>
      <c r="AA1244" s="63">
        <v>1279</v>
      </c>
      <c r="AB1244" s="63">
        <v>1311</v>
      </c>
    </row>
    <row r="1245" spans="1:28" x14ac:dyDescent="0.2">
      <c r="A1245" s="62">
        <v>101</v>
      </c>
      <c r="B1245" s="62" t="s">
        <v>394</v>
      </c>
      <c r="C1245" s="62">
        <v>72</v>
      </c>
      <c r="D1245" s="62" t="s">
        <v>340</v>
      </c>
      <c r="E1245" s="63">
        <v>5449</v>
      </c>
      <c r="F1245" s="63">
        <v>5580</v>
      </c>
      <c r="G1245" s="63">
        <v>5532</v>
      </c>
      <c r="H1245" s="63">
        <v>5441</v>
      </c>
      <c r="I1245" s="63">
        <v>5724</v>
      </c>
      <c r="J1245" s="63">
        <v>5716</v>
      </c>
      <c r="K1245" s="63">
        <v>5753</v>
      </c>
      <c r="L1245" s="63">
        <v>5802</v>
      </c>
      <c r="M1245" s="63">
        <v>5691</v>
      </c>
      <c r="N1245" s="63">
        <v>5642</v>
      </c>
      <c r="O1245" s="63">
        <v>5632</v>
      </c>
      <c r="P1245" s="63">
        <v>5617</v>
      </c>
      <c r="Q1245" s="63">
        <v>5759</v>
      </c>
      <c r="R1245" s="63">
        <v>5650</v>
      </c>
      <c r="S1245" s="63">
        <v>5840</v>
      </c>
      <c r="T1245" s="63">
        <v>6035</v>
      </c>
      <c r="U1245" s="63">
        <v>6067</v>
      </c>
      <c r="V1245" s="63">
        <v>6241</v>
      </c>
      <c r="W1245" s="63">
        <v>6167</v>
      </c>
      <c r="X1245" s="63">
        <v>5308</v>
      </c>
      <c r="Y1245" s="63">
        <v>5964</v>
      </c>
      <c r="Z1245" s="63">
        <v>6314</v>
      </c>
      <c r="AA1245" s="63">
        <v>6375</v>
      </c>
      <c r="AB1245" s="63">
        <v>6388</v>
      </c>
    </row>
    <row r="1246" spans="1:28" x14ac:dyDescent="0.2">
      <c r="A1246" s="62">
        <v>101</v>
      </c>
      <c r="B1246" s="62" t="s">
        <v>394</v>
      </c>
      <c r="C1246" s="62">
        <v>81</v>
      </c>
      <c r="D1246" s="62" t="s">
        <v>341</v>
      </c>
      <c r="E1246" s="63">
        <v>2611</v>
      </c>
      <c r="F1246" s="63">
        <v>2641</v>
      </c>
      <c r="G1246" s="63">
        <v>2665</v>
      </c>
      <c r="H1246" s="63">
        <v>2609</v>
      </c>
      <c r="I1246" s="63">
        <v>2598</v>
      </c>
      <c r="J1246" s="63">
        <v>2631</v>
      </c>
      <c r="K1246" s="63">
        <v>2700</v>
      </c>
      <c r="L1246" s="63">
        <v>2593</v>
      </c>
      <c r="M1246" s="63">
        <v>2659</v>
      </c>
      <c r="N1246" s="63">
        <v>2640</v>
      </c>
      <c r="O1246" s="63">
        <v>2634</v>
      </c>
      <c r="P1246" s="63">
        <v>2650</v>
      </c>
      <c r="Q1246" s="63">
        <v>2613</v>
      </c>
      <c r="R1246" s="63">
        <v>2655</v>
      </c>
      <c r="S1246" s="63">
        <v>2714</v>
      </c>
      <c r="T1246" s="63">
        <v>2812</v>
      </c>
      <c r="U1246" s="63">
        <v>3007</v>
      </c>
      <c r="V1246" s="63">
        <v>2604</v>
      </c>
      <c r="W1246" s="63">
        <v>2647</v>
      </c>
      <c r="X1246" s="63">
        <v>3528</v>
      </c>
      <c r="Y1246" s="63">
        <v>2706</v>
      </c>
      <c r="Z1246" s="63">
        <v>2830</v>
      </c>
      <c r="AA1246" s="63">
        <v>2781</v>
      </c>
      <c r="AB1246" s="63">
        <v>2934</v>
      </c>
    </row>
    <row r="1247" spans="1:28" x14ac:dyDescent="0.2">
      <c r="A1247" s="62">
        <v>101</v>
      </c>
      <c r="B1247" s="62" t="s">
        <v>394</v>
      </c>
      <c r="C1247" s="62">
        <v>99</v>
      </c>
      <c r="D1247" s="62" t="s">
        <v>342</v>
      </c>
      <c r="E1247" s="63">
        <v>0</v>
      </c>
      <c r="F1247" s="63">
        <v>0</v>
      </c>
      <c r="G1247" s="63">
        <v>0</v>
      </c>
      <c r="H1247" s="63">
        <v>0</v>
      </c>
      <c r="I1247" s="63">
        <v>1</v>
      </c>
      <c r="J1247" s="63">
        <v>1</v>
      </c>
      <c r="K1247" s="63">
        <v>0</v>
      </c>
      <c r="L1247" s="63">
        <v>3</v>
      </c>
      <c r="M1247" s="63">
        <v>2</v>
      </c>
      <c r="N1247" s="63">
        <v>0</v>
      </c>
      <c r="O1247" s="63">
        <v>3</v>
      </c>
      <c r="P1247" s="63">
        <v>2</v>
      </c>
      <c r="Q1247" s="63">
        <v>4</v>
      </c>
      <c r="R1247" s="63">
        <v>2</v>
      </c>
      <c r="S1247" s="63">
        <v>6</v>
      </c>
      <c r="T1247" s="63">
        <v>1</v>
      </c>
      <c r="U1247" s="62"/>
      <c r="V1247" s="63">
        <v>0</v>
      </c>
      <c r="W1247" s="63">
        <v>9</v>
      </c>
      <c r="X1247" s="62"/>
      <c r="Y1247" s="63">
        <v>9</v>
      </c>
      <c r="Z1247" s="63">
        <v>8</v>
      </c>
      <c r="AA1247" s="63">
        <v>14</v>
      </c>
      <c r="AB1247" s="63">
        <v>1</v>
      </c>
    </row>
    <row r="1248" spans="1:28" x14ac:dyDescent="0.2">
      <c r="A1248" s="62">
        <v>103</v>
      </c>
      <c r="B1248" s="62" t="s">
        <v>395</v>
      </c>
      <c r="C1248" s="62">
        <v>1</v>
      </c>
      <c r="D1248" s="62" t="s">
        <v>316</v>
      </c>
      <c r="E1248" s="63">
        <v>84</v>
      </c>
      <c r="F1248" s="63">
        <v>84</v>
      </c>
      <c r="G1248" s="63">
        <v>86</v>
      </c>
      <c r="H1248" s="63">
        <v>77</v>
      </c>
      <c r="I1248" s="63">
        <v>83</v>
      </c>
      <c r="J1248" s="63">
        <v>76</v>
      </c>
      <c r="K1248" s="63">
        <v>78</v>
      </c>
      <c r="L1248" s="63">
        <v>79</v>
      </c>
      <c r="M1248" s="63">
        <v>83</v>
      </c>
      <c r="N1248" s="63">
        <v>90</v>
      </c>
      <c r="O1248" s="63">
        <v>78</v>
      </c>
      <c r="P1248" s="63">
        <v>81</v>
      </c>
      <c r="Q1248" s="63">
        <v>72</v>
      </c>
      <c r="R1248" s="63">
        <v>69</v>
      </c>
      <c r="S1248" s="63">
        <v>70</v>
      </c>
      <c r="T1248" s="63">
        <v>69</v>
      </c>
      <c r="U1248" s="63">
        <v>68</v>
      </c>
      <c r="V1248" s="63">
        <v>66</v>
      </c>
      <c r="W1248" s="63">
        <v>62</v>
      </c>
      <c r="X1248" s="63">
        <v>63</v>
      </c>
      <c r="Y1248" s="63">
        <v>60</v>
      </c>
      <c r="Z1248" s="63">
        <v>58</v>
      </c>
      <c r="AA1248" s="63">
        <v>64</v>
      </c>
      <c r="AB1248" s="63">
        <v>69</v>
      </c>
    </row>
    <row r="1249" spans="1:28" x14ac:dyDescent="0.2">
      <c r="A1249" s="62">
        <v>103</v>
      </c>
      <c r="B1249" s="62" t="s">
        <v>395</v>
      </c>
      <c r="C1249" s="62">
        <v>10</v>
      </c>
      <c r="D1249" s="62" t="s">
        <v>317</v>
      </c>
      <c r="E1249" s="63">
        <v>3306</v>
      </c>
      <c r="F1249" s="63">
        <v>3350</v>
      </c>
      <c r="G1249" s="63">
        <v>3317</v>
      </c>
      <c r="H1249" s="63">
        <v>3452</v>
      </c>
      <c r="I1249" s="63">
        <v>3749</v>
      </c>
      <c r="J1249" s="63">
        <v>4335</v>
      </c>
      <c r="K1249" s="63">
        <v>4787</v>
      </c>
      <c r="L1249" s="63">
        <v>4608</v>
      </c>
      <c r="M1249" s="63">
        <v>3890</v>
      </c>
      <c r="N1249" s="63">
        <v>3748</v>
      </c>
      <c r="O1249" s="63">
        <v>3740</v>
      </c>
      <c r="P1249" s="63">
        <v>3715</v>
      </c>
      <c r="Q1249" s="63">
        <v>3770</v>
      </c>
      <c r="R1249" s="63">
        <v>3612</v>
      </c>
      <c r="S1249" s="63">
        <v>3470</v>
      </c>
      <c r="T1249" s="63">
        <v>3286</v>
      </c>
      <c r="U1249" s="63">
        <v>3351</v>
      </c>
      <c r="V1249" s="63">
        <v>3355</v>
      </c>
      <c r="W1249" s="63">
        <v>3468</v>
      </c>
      <c r="X1249" s="63">
        <v>3382</v>
      </c>
      <c r="Y1249" s="63">
        <v>3421</v>
      </c>
      <c r="Z1249" s="63">
        <v>3492</v>
      </c>
      <c r="AA1249" s="63">
        <v>3498</v>
      </c>
      <c r="AB1249" s="63">
        <v>3520</v>
      </c>
    </row>
    <row r="1250" spans="1:28" x14ac:dyDescent="0.2">
      <c r="A1250" s="62">
        <v>103</v>
      </c>
      <c r="B1250" s="62" t="s">
        <v>395</v>
      </c>
      <c r="C1250" s="62">
        <v>11</v>
      </c>
      <c r="D1250" s="62" t="s">
        <v>318</v>
      </c>
      <c r="E1250" s="63">
        <v>101</v>
      </c>
      <c r="F1250" s="63">
        <v>98</v>
      </c>
      <c r="G1250" s="63">
        <v>98</v>
      </c>
      <c r="H1250" s="63">
        <v>89</v>
      </c>
      <c r="I1250" s="63">
        <v>74</v>
      </c>
      <c r="J1250" s="63">
        <v>86</v>
      </c>
      <c r="K1250" s="63">
        <v>84</v>
      </c>
      <c r="L1250" s="63">
        <v>85</v>
      </c>
      <c r="M1250" s="63">
        <v>88</v>
      </c>
      <c r="N1250" s="63">
        <v>91</v>
      </c>
      <c r="O1250" s="63">
        <v>97</v>
      </c>
      <c r="P1250" s="63">
        <v>95</v>
      </c>
      <c r="Q1250" s="63">
        <v>80</v>
      </c>
      <c r="R1250" s="63">
        <v>77</v>
      </c>
      <c r="S1250" s="63">
        <v>83</v>
      </c>
      <c r="T1250" s="63">
        <v>93</v>
      </c>
      <c r="U1250" s="63">
        <v>109</v>
      </c>
      <c r="V1250" s="63">
        <v>120</v>
      </c>
      <c r="W1250" s="63">
        <v>127</v>
      </c>
      <c r="X1250" s="63">
        <v>126</v>
      </c>
      <c r="Y1250" s="63">
        <v>125</v>
      </c>
      <c r="Z1250" s="63">
        <v>123</v>
      </c>
      <c r="AA1250" s="63">
        <v>125</v>
      </c>
      <c r="AB1250" s="63">
        <v>126</v>
      </c>
    </row>
    <row r="1251" spans="1:28" x14ac:dyDescent="0.2">
      <c r="A1251" s="62">
        <v>103</v>
      </c>
      <c r="B1251" s="62" t="s">
        <v>395</v>
      </c>
      <c r="C1251" s="62">
        <v>2</v>
      </c>
      <c r="D1251" s="62" t="s">
        <v>319</v>
      </c>
      <c r="E1251" s="63">
        <v>210</v>
      </c>
      <c r="F1251" s="63">
        <v>223</v>
      </c>
      <c r="G1251" s="63">
        <v>204</v>
      </c>
      <c r="H1251" s="63">
        <v>194</v>
      </c>
      <c r="I1251" s="63">
        <v>158</v>
      </c>
      <c r="J1251" s="63">
        <v>146</v>
      </c>
      <c r="K1251" s="63">
        <v>151</v>
      </c>
      <c r="L1251" s="63">
        <v>175</v>
      </c>
      <c r="M1251" s="63">
        <v>152</v>
      </c>
      <c r="N1251" s="63">
        <v>148</v>
      </c>
      <c r="O1251" s="63">
        <v>144</v>
      </c>
      <c r="P1251" s="63">
        <v>150</v>
      </c>
      <c r="Q1251" s="63">
        <v>146</v>
      </c>
      <c r="R1251" s="63">
        <v>143</v>
      </c>
      <c r="S1251" s="63">
        <v>157</v>
      </c>
      <c r="T1251" s="63">
        <v>164</v>
      </c>
      <c r="U1251" s="63">
        <v>165</v>
      </c>
      <c r="V1251" s="63">
        <v>161</v>
      </c>
      <c r="W1251" s="63">
        <v>158</v>
      </c>
      <c r="X1251" s="63">
        <v>148</v>
      </c>
      <c r="Y1251" s="63">
        <v>137</v>
      </c>
      <c r="Z1251" s="63">
        <v>151</v>
      </c>
      <c r="AA1251" s="63">
        <v>146</v>
      </c>
      <c r="AB1251" s="63">
        <v>150</v>
      </c>
    </row>
    <row r="1252" spans="1:28" x14ac:dyDescent="0.2">
      <c r="A1252" s="62">
        <v>103</v>
      </c>
      <c r="B1252" s="62" t="s">
        <v>395</v>
      </c>
      <c r="C1252" s="62">
        <v>21</v>
      </c>
      <c r="D1252" s="62" t="s">
        <v>320</v>
      </c>
      <c r="E1252" s="63">
        <v>521</v>
      </c>
      <c r="F1252" s="63">
        <v>546</v>
      </c>
      <c r="G1252" s="63">
        <v>503</v>
      </c>
      <c r="H1252" s="63">
        <v>608</v>
      </c>
      <c r="I1252" s="63">
        <v>775</v>
      </c>
      <c r="J1252" s="63">
        <v>1048</v>
      </c>
      <c r="K1252" s="63">
        <v>898</v>
      </c>
      <c r="L1252" s="63">
        <v>990</v>
      </c>
      <c r="M1252" s="63">
        <v>852</v>
      </c>
      <c r="N1252" s="63">
        <v>847</v>
      </c>
      <c r="O1252" s="63">
        <v>825</v>
      </c>
      <c r="P1252" s="63">
        <v>815</v>
      </c>
      <c r="Q1252" s="63">
        <v>753</v>
      </c>
      <c r="R1252" s="63">
        <v>675</v>
      </c>
      <c r="S1252" s="63">
        <v>617</v>
      </c>
      <c r="T1252" s="63">
        <v>474</v>
      </c>
      <c r="U1252" s="63">
        <v>458</v>
      </c>
      <c r="V1252" s="63">
        <v>453</v>
      </c>
      <c r="W1252" s="63">
        <v>544</v>
      </c>
      <c r="X1252" s="63">
        <v>528</v>
      </c>
      <c r="Y1252" s="63">
        <v>475</v>
      </c>
      <c r="Z1252" s="63">
        <v>563</v>
      </c>
      <c r="AA1252" s="63">
        <v>520</v>
      </c>
      <c r="AB1252" s="63">
        <v>524</v>
      </c>
    </row>
    <row r="1253" spans="1:28" x14ac:dyDescent="0.2">
      <c r="A1253" s="62">
        <v>103</v>
      </c>
      <c r="B1253" s="62" t="s">
        <v>395</v>
      </c>
      <c r="C1253" s="62">
        <v>22</v>
      </c>
      <c r="D1253" s="62" t="s">
        <v>321</v>
      </c>
      <c r="E1253" s="63">
        <v>35</v>
      </c>
      <c r="F1253" s="63">
        <v>37</v>
      </c>
      <c r="G1253" s="63">
        <v>39</v>
      </c>
      <c r="H1253" s="63">
        <v>40</v>
      </c>
      <c r="I1253" s="63">
        <v>39</v>
      </c>
      <c r="J1253" s="63">
        <v>70</v>
      </c>
      <c r="K1253" s="62"/>
      <c r="L1253" s="62"/>
      <c r="M1253" s="62"/>
      <c r="N1253" s="62"/>
      <c r="O1253" s="62"/>
      <c r="P1253" s="63">
        <v>49</v>
      </c>
      <c r="Q1253" s="62"/>
      <c r="R1253" s="63">
        <v>53</v>
      </c>
      <c r="S1253" s="63">
        <v>52</v>
      </c>
      <c r="T1253" s="63">
        <v>51</v>
      </c>
      <c r="U1253" s="62"/>
      <c r="V1253" s="62"/>
      <c r="W1253" s="62"/>
      <c r="X1253" s="63">
        <v>44</v>
      </c>
      <c r="Y1253" s="63">
        <v>43</v>
      </c>
      <c r="Z1253" s="63">
        <v>40</v>
      </c>
      <c r="AA1253" s="63">
        <v>37</v>
      </c>
      <c r="AB1253" s="63">
        <v>36</v>
      </c>
    </row>
    <row r="1254" spans="1:28" x14ac:dyDescent="0.2">
      <c r="A1254" s="62">
        <v>103</v>
      </c>
      <c r="B1254" s="62" t="s">
        <v>395</v>
      </c>
      <c r="C1254" s="62">
        <v>23</v>
      </c>
      <c r="D1254" s="62" t="s">
        <v>322</v>
      </c>
      <c r="E1254" s="63">
        <v>286</v>
      </c>
      <c r="F1254" s="63">
        <v>281</v>
      </c>
      <c r="G1254" s="63">
        <v>296</v>
      </c>
      <c r="H1254" s="63">
        <v>294</v>
      </c>
      <c r="I1254" s="63">
        <v>381</v>
      </c>
      <c r="J1254" s="63">
        <v>650</v>
      </c>
      <c r="K1254" s="63">
        <v>1200</v>
      </c>
      <c r="L1254" s="63">
        <v>892</v>
      </c>
      <c r="M1254" s="63">
        <v>417</v>
      </c>
      <c r="N1254" s="63">
        <v>303</v>
      </c>
      <c r="O1254" s="63">
        <v>371</v>
      </c>
      <c r="P1254" s="63">
        <v>294</v>
      </c>
      <c r="Q1254" s="63">
        <v>384</v>
      </c>
      <c r="R1254" s="63">
        <v>317</v>
      </c>
      <c r="S1254" s="63">
        <v>294</v>
      </c>
      <c r="T1254" s="63">
        <v>243</v>
      </c>
      <c r="U1254" s="63">
        <v>233</v>
      </c>
      <c r="V1254" s="63">
        <v>262</v>
      </c>
      <c r="W1254" s="63">
        <v>265</v>
      </c>
      <c r="X1254" s="63">
        <v>229</v>
      </c>
      <c r="Y1254" s="63">
        <v>203</v>
      </c>
      <c r="Z1254" s="63">
        <v>224</v>
      </c>
      <c r="AA1254" s="63">
        <v>232</v>
      </c>
      <c r="AB1254" s="63">
        <v>211</v>
      </c>
    </row>
    <row r="1255" spans="1:28" x14ac:dyDescent="0.2">
      <c r="A1255" s="62">
        <v>103</v>
      </c>
      <c r="B1255" s="62" t="s">
        <v>395</v>
      </c>
      <c r="C1255" s="62">
        <v>3</v>
      </c>
      <c r="D1255" s="62" t="s">
        <v>323</v>
      </c>
      <c r="E1255" s="63">
        <v>763</v>
      </c>
      <c r="F1255" s="63">
        <v>779</v>
      </c>
      <c r="G1255" s="63">
        <v>733</v>
      </c>
      <c r="H1255" s="63">
        <v>741</v>
      </c>
      <c r="I1255" s="63">
        <v>762</v>
      </c>
      <c r="J1255" s="63">
        <v>757</v>
      </c>
      <c r="K1255" s="63">
        <v>759</v>
      </c>
      <c r="L1255" s="63">
        <v>832</v>
      </c>
      <c r="M1255" s="63">
        <v>830</v>
      </c>
      <c r="N1255" s="63">
        <v>885</v>
      </c>
      <c r="O1255" s="63">
        <v>852</v>
      </c>
      <c r="P1255" s="63">
        <v>888</v>
      </c>
      <c r="Q1255" s="63">
        <v>911</v>
      </c>
      <c r="R1255" s="63">
        <v>910</v>
      </c>
      <c r="S1255" s="63">
        <v>913</v>
      </c>
      <c r="T1255" s="63">
        <v>937</v>
      </c>
      <c r="U1255" s="63">
        <v>947</v>
      </c>
      <c r="V1255" s="63">
        <v>935</v>
      </c>
      <c r="W1255" s="63">
        <v>932</v>
      </c>
      <c r="X1255" s="63">
        <v>931</v>
      </c>
      <c r="Y1255" s="63">
        <v>942</v>
      </c>
      <c r="Z1255" s="63">
        <v>959</v>
      </c>
      <c r="AA1255" s="63">
        <v>987</v>
      </c>
      <c r="AB1255" s="63">
        <v>984</v>
      </c>
    </row>
    <row r="1256" spans="1:28" x14ac:dyDescent="0.2">
      <c r="A1256" s="62">
        <v>103</v>
      </c>
      <c r="B1256" s="62" t="s">
        <v>395</v>
      </c>
      <c r="C1256" s="62" t="s">
        <v>324</v>
      </c>
      <c r="D1256" s="62" t="s">
        <v>325</v>
      </c>
      <c r="E1256" s="63">
        <v>47</v>
      </c>
      <c r="F1256" s="63">
        <v>51</v>
      </c>
      <c r="G1256" s="63">
        <v>70</v>
      </c>
      <c r="H1256" s="63">
        <v>83</v>
      </c>
      <c r="I1256" s="63">
        <v>83</v>
      </c>
      <c r="J1256" s="63">
        <v>75</v>
      </c>
      <c r="K1256" s="63">
        <v>69</v>
      </c>
      <c r="L1256" s="63">
        <v>76</v>
      </c>
      <c r="M1256" s="63">
        <v>81</v>
      </c>
      <c r="N1256" s="63">
        <v>70</v>
      </c>
      <c r="O1256" s="63">
        <v>59</v>
      </c>
      <c r="P1256" s="63">
        <v>38</v>
      </c>
      <c r="Q1256" s="63">
        <v>39</v>
      </c>
      <c r="R1256" s="63">
        <v>42</v>
      </c>
      <c r="S1256" s="63">
        <v>57</v>
      </c>
      <c r="T1256" s="63">
        <v>64</v>
      </c>
      <c r="U1256" s="63">
        <v>55</v>
      </c>
      <c r="V1256" s="63">
        <v>49</v>
      </c>
      <c r="W1256" s="63">
        <v>42</v>
      </c>
      <c r="X1256" s="63">
        <v>52</v>
      </c>
      <c r="Y1256" s="63">
        <v>60</v>
      </c>
      <c r="Z1256" s="63">
        <v>66</v>
      </c>
      <c r="AA1256" s="63">
        <v>65</v>
      </c>
      <c r="AB1256" s="63">
        <v>75</v>
      </c>
    </row>
    <row r="1257" spans="1:28" x14ac:dyDescent="0.2">
      <c r="A1257" s="62">
        <v>103</v>
      </c>
      <c r="B1257" s="62" t="s">
        <v>395</v>
      </c>
      <c r="C1257" s="62">
        <v>42</v>
      </c>
      <c r="D1257" s="62" t="s">
        <v>326</v>
      </c>
      <c r="E1257" s="63">
        <v>24</v>
      </c>
      <c r="F1257" s="62"/>
      <c r="G1257" s="63">
        <v>18</v>
      </c>
      <c r="H1257" s="63">
        <v>31</v>
      </c>
      <c r="I1257" s="63">
        <v>37</v>
      </c>
      <c r="J1257" s="63">
        <v>24</v>
      </c>
      <c r="K1257" s="62"/>
      <c r="L1257" s="63">
        <v>13</v>
      </c>
      <c r="M1257" s="63">
        <v>16</v>
      </c>
      <c r="N1257" s="63">
        <v>11</v>
      </c>
      <c r="O1257" s="63">
        <v>12</v>
      </c>
      <c r="P1257" s="63">
        <v>35</v>
      </c>
      <c r="Q1257" s="63">
        <v>31</v>
      </c>
      <c r="R1257" s="62"/>
      <c r="S1257" s="63">
        <v>18</v>
      </c>
      <c r="T1257" s="63">
        <v>12</v>
      </c>
      <c r="U1257" s="63">
        <v>9</v>
      </c>
      <c r="V1257" s="62"/>
      <c r="W1257" s="62"/>
      <c r="X1257" s="63">
        <v>18</v>
      </c>
      <c r="Y1257" s="63">
        <v>24</v>
      </c>
      <c r="Z1257" s="63">
        <v>28</v>
      </c>
      <c r="AA1257" s="63">
        <v>29</v>
      </c>
      <c r="AB1257" s="63">
        <v>30</v>
      </c>
    </row>
    <row r="1258" spans="1:28" x14ac:dyDescent="0.2">
      <c r="A1258" s="62">
        <v>103</v>
      </c>
      <c r="B1258" s="62" t="s">
        <v>395</v>
      </c>
      <c r="C1258" s="62" t="s">
        <v>327</v>
      </c>
      <c r="D1258" s="62" t="s">
        <v>328</v>
      </c>
      <c r="E1258" s="63">
        <v>298</v>
      </c>
      <c r="F1258" s="63">
        <v>275</v>
      </c>
      <c r="G1258" s="63">
        <v>316</v>
      </c>
      <c r="H1258" s="63">
        <v>286</v>
      </c>
      <c r="I1258" s="63">
        <v>286</v>
      </c>
      <c r="J1258" s="63">
        <v>281</v>
      </c>
      <c r="K1258" s="63">
        <v>280</v>
      </c>
      <c r="L1258" s="63">
        <v>277</v>
      </c>
      <c r="M1258" s="63">
        <v>259</v>
      </c>
      <c r="N1258" s="63">
        <v>235</v>
      </c>
      <c r="O1258" s="63">
        <v>216</v>
      </c>
      <c r="P1258" s="63">
        <v>259</v>
      </c>
      <c r="Q1258" s="63">
        <v>215</v>
      </c>
      <c r="R1258" s="63">
        <v>235</v>
      </c>
      <c r="S1258" s="63">
        <v>225</v>
      </c>
      <c r="T1258" s="63">
        <v>234</v>
      </c>
      <c r="U1258" s="63">
        <v>241</v>
      </c>
      <c r="V1258" s="63">
        <v>238</v>
      </c>
      <c r="W1258" s="63">
        <v>237</v>
      </c>
      <c r="X1258" s="63">
        <v>247</v>
      </c>
      <c r="Y1258" s="63">
        <v>261</v>
      </c>
      <c r="Z1258" s="63">
        <v>246</v>
      </c>
      <c r="AA1258" s="63">
        <v>285</v>
      </c>
      <c r="AB1258" s="63">
        <v>277</v>
      </c>
    </row>
    <row r="1259" spans="1:28" x14ac:dyDescent="0.2">
      <c r="A1259" s="62">
        <v>103</v>
      </c>
      <c r="B1259" s="62" t="s">
        <v>395</v>
      </c>
      <c r="C1259" s="62" t="s">
        <v>329</v>
      </c>
      <c r="D1259" s="62" t="s">
        <v>330</v>
      </c>
      <c r="E1259" s="63">
        <v>63</v>
      </c>
      <c r="F1259" s="63">
        <v>69</v>
      </c>
      <c r="G1259" s="63">
        <v>69</v>
      </c>
      <c r="H1259" s="63">
        <v>79</v>
      </c>
      <c r="I1259" s="63">
        <v>112</v>
      </c>
      <c r="J1259" s="63">
        <v>135</v>
      </c>
      <c r="K1259" s="63">
        <v>166</v>
      </c>
      <c r="L1259" s="63">
        <v>138</v>
      </c>
      <c r="M1259" s="63">
        <v>109</v>
      </c>
      <c r="N1259" s="63">
        <v>110</v>
      </c>
      <c r="O1259" s="63">
        <v>98</v>
      </c>
      <c r="P1259" s="63">
        <v>90</v>
      </c>
      <c r="Q1259" s="63">
        <v>89</v>
      </c>
      <c r="R1259" s="63">
        <v>85</v>
      </c>
      <c r="S1259" s="63">
        <v>93</v>
      </c>
      <c r="T1259" s="63">
        <v>87</v>
      </c>
      <c r="U1259" s="63">
        <v>92</v>
      </c>
      <c r="V1259" s="63">
        <v>94</v>
      </c>
      <c r="W1259" s="63">
        <v>81</v>
      </c>
      <c r="X1259" s="63">
        <v>82</v>
      </c>
      <c r="Y1259" s="63">
        <v>86</v>
      </c>
      <c r="Z1259" s="63">
        <v>76</v>
      </c>
      <c r="AA1259" s="63">
        <v>57</v>
      </c>
      <c r="AB1259" s="63">
        <v>67</v>
      </c>
    </row>
    <row r="1260" spans="1:28" x14ac:dyDescent="0.2">
      <c r="A1260" s="62">
        <v>103</v>
      </c>
      <c r="B1260" s="62" t="s">
        <v>395</v>
      </c>
      <c r="C1260" s="62">
        <v>51</v>
      </c>
      <c r="D1260" s="62" t="s">
        <v>331</v>
      </c>
      <c r="E1260" s="62"/>
      <c r="F1260" s="63">
        <v>24</v>
      </c>
      <c r="G1260" s="63">
        <v>21</v>
      </c>
      <c r="H1260" s="63">
        <v>24</v>
      </c>
      <c r="I1260" s="63">
        <v>27</v>
      </c>
      <c r="J1260" s="63">
        <v>19</v>
      </c>
      <c r="K1260" s="63">
        <v>16</v>
      </c>
      <c r="L1260" s="63">
        <v>17</v>
      </c>
      <c r="M1260" s="63">
        <v>19</v>
      </c>
      <c r="N1260" s="63">
        <v>16</v>
      </c>
      <c r="O1260" s="63">
        <v>11</v>
      </c>
      <c r="P1260" s="63">
        <v>11</v>
      </c>
      <c r="Q1260" s="63">
        <v>12</v>
      </c>
      <c r="R1260" s="63">
        <v>13</v>
      </c>
      <c r="S1260" s="63">
        <v>9</v>
      </c>
      <c r="T1260" s="62"/>
      <c r="U1260" s="62"/>
      <c r="V1260" s="63">
        <v>12</v>
      </c>
      <c r="W1260" s="63">
        <v>14</v>
      </c>
      <c r="X1260" s="63">
        <v>11</v>
      </c>
      <c r="Y1260" s="62"/>
      <c r="Z1260" s="63">
        <v>19</v>
      </c>
      <c r="AA1260" s="63">
        <v>20</v>
      </c>
      <c r="AB1260" s="63">
        <v>12</v>
      </c>
    </row>
    <row r="1261" spans="1:28" x14ac:dyDescent="0.2">
      <c r="A1261" s="62">
        <v>103</v>
      </c>
      <c r="B1261" s="62" t="s">
        <v>395</v>
      </c>
      <c r="C1261" s="62">
        <v>52</v>
      </c>
      <c r="D1261" s="62" t="s">
        <v>332</v>
      </c>
      <c r="E1261" s="63">
        <v>65</v>
      </c>
      <c r="F1261" s="63">
        <v>62</v>
      </c>
      <c r="G1261" s="63">
        <v>48</v>
      </c>
      <c r="H1261" s="63">
        <v>39</v>
      </c>
      <c r="I1261" s="63">
        <v>54</v>
      </c>
      <c r="J1261" s="63">
        <v>55</v>
      </c>
      <c r="K1261" s="63">
        <v>50</v>
      </c>
      <c r="L1261" s="63">
        <v>51</v>
      </c>
      <c r="M1261" s="63">
        <v>47</v>
      </c>
      <c r="N1261" s="63">
        <v>58</v>
      </c>
      <c r="O1261" s="63">
        <v>61</v>
      </c>
      <c r="P1261" s="63">
        <v>50</v>
      </c>
      <c r="Q1261" s="63">
        <v>49</v>
      </c>
      <c r="R1261" s="63">
        <v>55</v>
      </c>
      <c r="S1261" s="63">
        <v>63</v>
      </c>
      <c r="T1261" s="63">
        <v>59</v>
      </c>
      <c r="U1261" s="63">
        <v>54</v>
      </c>
      <c r="V1261" s="63">
        <v>48</v>
      </c>
      <c r="W1261" s="63">
        <v>48</v>
      </c>
      <c r="X1261" s="63">
        <v>53</v>
      </c>
      <c r="Y1261" s="63">
        <v>52</v>
      </c>
      <c r="Z1261" s="63">
        <v>48</v>
      </c>
      <c r="AA1261" s="63">
        <v>48</v>
      </c>
      <c r="AB1261" s="63">
        <v>51</v>
      </c>
    </row>
    <row r="1262" spans="1:28" x14ac:dyDescent="0.2">
      <c r="A1262" s="62">
        <v>103</v>
      </c>
      <c r="B1262" s="62" t="s">
        <v>395</v>
      </c>
      <c r="C1262" s="62">
        <v>53</v>
      </c>
      <c r="D1262" s="62" t="s">
        <v>333</v>
      </c>
      <c r="E1262" s="63">
        <v>51</v>
      </c>
      <c r="F1262" s="63">
        <v>59</v>
      </c>
      <c r="G1262" s="63">
        <v>66</v>
      </c>
      <c r="H1262" s="63">
        <v>64</v>
      </c>
      <c r="I1262" s="63">
        <v>72</v>
      </c>
      <c r="J1262" s="63">
        <v>78</v>
      </c>
      <c r="K1262" s="63">
        <v>82</v>
      </c>
      <c r="L1262" s="63">
        <v>85</v>
      </c>
      <c r="M1262" s="63">
        <v>68</v>
      </c>
      <c r="N1262" s="63">
        <v>70</v>
      </c>
      <c r="O1262" s="63">
        <v>67</v>
      </c>
      <c r="P1262" s="63">
        <v>71</v>
      </c>
      <c r="Q1262" s="63">
        <v>82</v>
      </c>
      <c r="R1262" s="63">
        <v>74</v>
      </c>
      <c r="S1262" s="63">
        <v>75</v>
      </c>
      <c r="T1262" s="63">
        <v>77</v>
      </c>
      <c r="U1262" s="63">
        <v>85</v>
      </c>
      <c r="V1262" s="63">
        <v>84</v>
      </c>
      <c r="W1262" s="63">
        <v>91</v>
      </c>
      <c r="X1262" s="63">
        <v>90</v>
      </c>
      <c r="Y1262" s="63">
        <v>84</v>
      </c>
      <c r="Z1262" s="63">
        <v>94</v>
      </c>
      <c r="AA1262" s="63">
        <v>86</v>
      </c>
      <c r="AB1262" s="63">
        <v>89</v>
      </c>
    </row>
    <row r="1263" spans="1:28" x14ac:dyDescent="0.2">
      <c r="A1263" s="62">
        <v>103</v>
      </c>
      <c r="B1263" s="62" t="s">
        <v>395</v>
      </c>
      <c r="C1263" s="62">
        <v>54</v>
      </c>
      <c r="D1263" s="62" t="s">
        <v>334</v>
      </c>
      <c r="E1263" s="63">
        <v>108</v>
      </c>
      <c r="F1263" s="63">
        <v>108</v>
      </c>
      <c r="G1263" s="63">
        <v>110</v>
      </c>
      <c r="H1263" s="63">
        <v>113</v>
      </c>
      <c r="I1263" s="63">
        <v>110</v>
      </c>
      <c r="J1263" s="63">
        <v>124</v>
      </c>
      <c r="K1263" s="63">
        <v>126</v>
      </c>
      <c r="L1263" s="63">
        <v>117</v>
      </c>
      <c r="M1263" s="63">
        <v>106</v>
      </c>
      <c r="N1263" s="63">
        <v>106</v>
      </c>
      <c r="O1263" s="63">
        <v>112</v>
      </c>
      <c r="P1263" s="63">
        <v>94</v>
      </c>
      <c r="Q1263" s="63">
        <v>94</v>
      </c>
      <c r="R1263" s="63">
        <v>90</v>
      </c>
      <c r="S1263" s="63">
        <v>90</v>
      </c>
      <c r="T1263" s="63">
        <v>92</v>
      </c>
      <c r="U1263" s="63">
        <v>92</v>
      </c>
      <c r="V1263" s="63">
        <v>105</v>
      </c>
      <c r="W1263" s="63">
        <v>96</v>
      </c>
      <c r="X1263" s="63">
        <v>90</v>
      </c>
      <c r="Y1263" s="63">
        <v>95</v>
      </c>
      <c r="Z1263" s="63">
        <v>106</v>
      </c>
      <c r="AA1263" s="63">
        <v>115</v>
      </c>
      <c r="AB1263" s="63">
        <v>138</v>
      </c>
    </row>
    <row r="1264" spans="1:28" x14ac:dyDescent="0.2">
      <c r="A1264" s="62">
        <v>103</v>
      </c>
      <c r="B1264" s="62" t="s">
        <v>395</v>
      </c>
      <c r="C1264" s="62">
        <v>55</v>
      </c>
      <c r="D1264" s="64" t="s">
        <v>335</v>
      </c>
      <c r="E1264" s="65"/>
      <c r="F1264" s="65"/>
      <c r="G1264" s="65"/>
      <c r="H1264" s="62"/>
      <c r="I1264" s="62"/>
      <c r="J1264" s="62"/>
      <c r="K1264" s="62"/>
      <c r="L1264" s="62"/>
      <c r="M1264" s="62"/>
      <c r="N1264" s="62"/>
      <c r="O1264" s="62"/>
      <c r="P1264" s="63">
        <v>0</v>
      </c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</row>
    <row r="1265" spans="1:28" x14ac:dyDescent="0.2">
      <c r="A1265" s="62">
        <v>103</v>
      </c>
      <c r="B1265" s="62" t="s">
        <v>395</v>
      </c>
      <c r="C1265" s="62">
        <v>56</v>
      </c>
      <c r="D1265" s="62" t="s">
        <v>336</v>
      </c>
      <c r="E1265" s="63">
        <v>65</v>
      </c>
      <c r="F1265" s="63">
        <v>76</v>
      </c>
      <c r="G1265" s="63">
        <v>72</v>
      </c>
      <c r="H1265" s="63">
        <v>71</v>
      </c>
      <c r="I1265" s="63">
        <v>77</v>
      </c>
      <c r="J1265" s="63">
        <v>91</v>
      </c>
      <c r="K1265" s="63">
        <v>112</v>
      </c>
      <c r="L1265" s="63">
        <v>130</v>
      </c>
      <c r="M1265" s="63">
        <v>149</v>
      </c>
      <c r="N1265" s="63">
        <v>148</v>
      </c>
      <c r="O1265" s="63">
        <v>164</v>
      </c>
      <c r="P1265" s="63">
        <v>188</v>
      </c>
      <c r="Q1265" s="63">
        <v>197</v>
      </c>
      <c r="R1265" s="63">
        <v>238</v>
      </c>
      <c r="S1265" s="63">
        <v>187</v>
      </c>
      <c r="T1265" s="63">
        <v>147</v>
      </c>
      <c r="U1265" s="63">
        <v>173</v>
      </c>
      <c r="V1265" s="63">
        <v>188</v>
      </c>
      <c r="W1265" s="63">
        <v>218</v>
      </c>
      <c r="X1265" s="63">
        <v>201</v>
      </c>
      <c r="Y1265" s="63">
        <v>243</v>
      </c>
      <c r="Z1265" s="63">
        <v>148</v>
      </c>
      <c r="AA1265" s="63">
        <v>168</v>
      </c>
      <c r="AB1265" s="63">
        <v>179</v>
      </c>
    </row>
    <row r="1266" spans="1:28" x14ac:dyDescent="0.2">
      <c r="A1266" s="62">
        <v>103</v>
      </c>
      <c r="B1266" s="62" t="s">
        <v>395</v>
      </c>
      <c r="C1266" s="62">
        <v>61</v>
      </c>
      <c r="D1266" s="64" t="s">
        <v>337</v>
      </c>
      <c r="E1266" s="65"/>
      <c r="F1266" s="62"/>
      <c r="G1266" s="63">
        <v>17</v>
      </c>
      <c r="H1266" s="63">
        <v>20</v>
      </c>
      <c r="I1266" s="63">
        <v>16</v>
      </c>
      <c r="J1266" s="63">
        <v>12</v>
      </c>
      <c r="K1266" s="62"/>
      <c r="L1266" s="62"/>
      <c r="M1266" s="62"/>
      <c r="N1266" s="62"/>
      <c r="O1266" s="63">
        <v>16</v>
      </c>
      <c r="P1266" s="63">
        <v>15</v>
      </c>
      <c r="Q1266" s="63">
        <v>15</v>
      </c>
      <c r="R1266" s="63">
        <v>15</v>
      </c>
      <c r="S1266" s="63">
        <v>13</v>
      </c>
      <c r="T1266" s="63">
        <v>11</v>
      </c>
      <c r="U1266" s="63">
        <v>9</v>
      </c>
      <c r="V1266" s="63">
        <v>14</v>
      </c>
      <c r="W1266" s="63">
        <v>14</v>
      </c>
      <c r="X1266" s="63">
        <v>16</v>
      </c>
      <c r="Y1266" s="63">
        <v>16</v>
      </c>
      <c r="Z1266" s="63">
        <v>17</v>
      </c>
      <c r="AA1266" s="63">
        <v>14</v>
      </c>
      <c r="AB1266" s="63">
        <v>15</v>
      </c>
    </row>
    <row r="1267" spans="1:28" x14ac:dyDescent="0.2">
      <c r="A1267" s="62">
        <v>103</v>
      </c>
      <c r="B1267" s="62" t="s">
        <v>395</v>
      </c>
      <c r="C1267" s="62">
        <v>62</v>
      </c>
      <c r="D1267" s="62" t="s">
        <v>338</v>
      </c>
      <c r="E1267" s="63">
        <v>64</v>
      </c>
      <c r="F1267" s="63">
        <v>67</v>
      </c>
      <c r="G1267" s="63">
        <v>69</v>
      </c>
      <c r="H1267" s="63">
        <v>79</v>
      </c>
      <c r="I1267" s="63">
        <v>98</v>
      </c>
      <c r="J1267" s="63">
        <v>95</v>
      </c>
      <c r="K1267" s="63">
        <v>91</v>
      </c>
      <c r="L1267" s="63">
        <v>82</v>
      </c>
      <c r="M1267" s="63">
        <v>69</v>
      </c>
      <c r="N1267" s="63">
        <v>66</v>
      </c>
      <c r="O1267" s="63">
        <v>56</v>
      </c>
      <c r="P1267" s="63">
        <v>64</v>
      </c>
      <c r="Q1267" s="63">
        <v>79</v>
      </c>
      <c r="R1267" s="63">
        <v>66</v>
      </c>
      <c r="S1267" s="63">
        <v>59</v>
      </c>
      <c r="T1267" s="63">
        <v>65</v>
      </c>
      <c r="U1267" s="63">
        <v>66</v>
      </c>
      <c r="V1267" s="63">
        <v>88</v>
      </c>
      <c r="W1267" s="63">
        <v>81</v>
      </c>
      <c r="X1267" s="63">
        <v>80</v>
      </c>
      <c r="Y1267" s="63">
        <v>92</v>
      </c>
      <c r="Z1267" s="63">
        <v>108</v>
      </c>
      <c r="AA1267" s="63">
        <v>123</v>
      </c>
      <c r="AB1267" s="63">
        <v>121</v>
      </c>
    </row>
    <row r="1268" spans="1:28" x14ac:dyDescent="0.2">
      <c r="A1268" s="62">
        <v>103</v>
      </c>
      <c r="B1268" s="62" t="s">
        <v>395</v>
      </c>
      <c r="C1268" s="62">
        <v>71</v>
      </c>
      <c r="D1268" s="62" t="s">
        <v>339</v>
      </c>
      <c r="E1268" s="63">
        <v>54</v>
      </c>
      <c r="F1268" s="63">
        <v>47</v>
      </c>
      <c r="G1268" s="63">
        <v>45</v>
      </c>
      <c r="H1268" s="63">
        <v>45</v>
      </c>
      <c r="I1268" s="63">
        <v>46</v>
      </c>
      <c r="J1268" s="63">
        <v>42</v>
      </c>
      <c r="K1268" s="63">
        <v>56</v>
      </c>
      <c r="L1268" s="63">
        <v>34</v>
      </c>
      <c r="M1268" s="63">
        <v>38</v>
      </c>
      <c r="N1268" s="63">
        <v>37</v>
      </c>
      <c r="O1268" s="63">
        <v>34</v>
      </c>
      <c r="P1268" s="63">
        <v>39</v>
      </c>
      <c r="Q1268" s="63">
        <v>41</v>
      </c>
      <c r="R1268" s="63">
        <v>48</v>
      </c>
      <c r="S1268" s="63">
        <v>44</v>
      </c>
      <c r="T1268" s="63">
        <v>47</v>
      </c>
      <c r="U1268" s="63">
        <v>71</v>
      </c>
      <c r="V1268" s="63">
        <v>51</v>
      </c>
      <c r="W1268" s="63">
        <v>59</v>
      </c>
      <c r="X1268" s="63">
        <v>61</v>
      </c>
      <c r="Y1268" s="63">
        <v>70</v>
      </c>
      <c r="Z1268" s="63">
        <v>78</v>
      </c>
      <c r="AA1268" s="63">
        <v>16</v>
      </c>
      <c r="AB1268" s="63">
        <v>13</v>
      </c>
    </row>
    <row r="1269" spans="1:28" x14ac:dyDescent="0.2">
      <c r="A1269" s="62">
        <v>103</v>
      </c>
      <c r="B1269" s="62" t="s">
        <v>395</v>
      </c>
      <c r="C1269" s="62">
        <v>72</v>
      </c>
      <c r="D1269" s="62" t="s">
        <v>340</v>
      </c>
      <c r="E1269" s="63">
        <v>267</v>
      </c>
      <c r="F1269" s="63">
        <v>272</v>
      </c>
      <c r="G1269" s="63">
        <v>259</v>
      </c>
      <c r="H1269" s="63">
        <v>283</v>
      </c>
      <c r="I1269" s="63">
        <v>311</v>
      </c>
      <c r="J1269" s="63">
        <v>321</v>
      </c>
      <c r="K1269" s="63">
        <v>346</v>
      </c>
      <c r="L1269" s="63">
        <v>362</v>
      </c>
      <c r="M1269" s="63">
        <v>322</v>
      </c>
      <c r="N1269" s="63">
        <v>271</v>
      </c>
      <c r="O1269" s="63">
        <v>240</v>
      </c>
      <c r="P1269" s="63">
        <v>244</v>
      </c>
      <c r="Q1269" s="63">
        <v>251</v>
      </c>
      <c r="R1269" s="63">
        <v>238</v>
      </c>
      <c r="S1269" s="63">
        <v>206</v>
      </c>
      <c r="T1269" s="63">
        <v>210</v>
      </c>
      <c r="U1269" s="63">
        <v>222</v>
      </c>
      <c r="V1269" s="63">
        <v>208</v>
      </c>
      <c r="W1269" s="63">
        <v>213</v>
      </c>
      <c r="X1269" s="63">
        <v>191</v>
      </c>
      <c r="Y1269" s="63">
        <v>210</v>
      </c>
      <c r="Z1269" s="63">
        <v>209</v>
      </c>
      <c r="AA1269" s="63">
        <v>229</v>
      </c>
      <c r="AB1269" s="63">
        <v>215</v>
      </c>
    </row>
    <row r="1270" spans="1:28" x14ac:dyDescent="0.2">
      <c r="A1270" s="62">
        <v>103</v>
      </c>
      <c r="B1270" s="62" t="s">
        <v>395</v>
      </c>
      <c r="C1270" s="62">
        <v>81</v>
      </c>
      <c r="D1270" s="62" t="s">
        <v>341</v>
      </c>
      <c r="E1270" s="63">
        <v>158</v>
      </c>
      <c r="F1270" s="63">
        <v>142</v>
      </c>
      <c r="G1270" s="63">
        <v>137</v>
      </c>
      <c r="H1270" s="63">
        <v>145</v>
      </c>
      <c r="I1270" s="63">
        <v>138</v>
      </c>
      <c r="J1270" s="63">
        <v>139</v>
      </c>
      <c r="K1270" s="63">
        <v>143</v>
      </c>
      <c r="L1270" s="63">
        <v>106</v>
      </c>
      <c r="M1270" s="63">
        <v>114</v>
      </c>
      <c r="N1270" s="63">
        <v>113</v>
      </c>
      <c r="O1270" s="63">
        <v>126</v>
      </c>
      <c r="P1270" s="63">
        <v>124</v>
      </c>
      <c r="Q1270" s="63">
        <v>122</v>
      </c>
      <c r="R1270" s="63">
        <v>123</v>
      </c>
      <c r="S1270" s="63">
        <v>132</v>
      </c>
      <c r="T1270" s="63">
        <v>127</v>
      </c>
      <c r="U1270" s="63">
        <v>132</v>
      </c>
      <c r="V1270" s="63">
        <v>111</v>
      </c>
      <c r="W1270" s="63">
        <v>119</v>
      </c>
      <c r="X1270" s="63">
        <v>111</v>
      </c>
      <c r="Y1270" s="63">
        <v>118</v>
      </c>
      <c r="Z1270" s="63">
        <v>120</v>
      </c>
      <c r="AA1270" s="63">
        <v>123</v>
      </c>
      <c r="AB1270" s="63">
        <v>125</v>
      </c>
    </row>
    <row r="1271" spans="1:28" x14ac:dyDescent="0.2">
      <c r="A1271" s="62">
        <v>103</v>
      </c>
      <c r="B1271" s="62" t="s">
        <v>395</v>
      </c>
      <c r="C1271" s="62">
        <v>99</v>
      </c>
      <c r="D1271" s="62" t="s">
        <v>342</v>
      </c>
      <c r="E1271" s="62"/>
      <c r="F1271" s="62"/>
      <c r="G1271" s="62"/>
      <c r="H1271" s="62"/>
      <c r="I1271" s="62"/>
      <c r="J1271" s="62"/>
      <c r="K1271" s="62"/>
      <c r="L1271" s="62"/>
      <c r="M1271" s="62"/>
      <c r="N1271" s="62"/>
      <c r="O1271" s="62"/>
      <c r="P1271" s="63">
        <v>1</v>
      </c>
      <c r="Q1271" s="62"/>
      <c r="R1271" s="62"/>
      <c r="S1271" s="63">
        <v>0</v>
      </c>
      <c r="T1271" s="62"/>
      <c r="U1271" s="62"/>
      <c r="V1271" s="62"/>
      <c r="W1271" s="62"/>
      <c r="X1271" s="62"/>
      <c r="Y1271" s="62"/>
      <c r="Z1271" s="63">
        <v>0</v>
      </c>
      <c r="AA1271" s="63">
        <v>1</v>
      </c>
      <c r="AB1271" s="62"/>
    </row>
    <row r="1272" spans="1:28" x14ac:dyDescent="0.2">
      <c r="A1272" s="62">
        <v>105</v>
      </c>
      <c r="B1272" s="62" t="s">
        <v>396</v>
      </c>
      <c r="C1272" s="62">
        <v>1</v>
      </c>
      <c r="D1272" s="62" t="s">
        <v>316</v>
      </c>
      <c r="E1272" s="63">
        <v>123</v>
      </c>
      <c r="F1272" s="63">
        <v>126</v>
      </c>
      <c r="G1272" s="63">
        <v>124</v>
      </c>
      <c r="H1272" s="63">
        <v>124</v>
      </c>
      <c r="I1272" s="63">
        <v>121</v>
      </c>
      <c r="J1272" s="63">
        <v>124</v>
      </c>
      <c r="K1272" s="63">
        <v>117</v>
      </c>
      <c r="L1272" s="63">
        <v>116</v>
      </c>
      <c r="M1272" s="63">
        <v>119</v>
      </c>
      <c r="N1272" s="63">
        <v>128</v>
      </c>
      <c r="O1272" s="63">
        <v>112</v>
      </c>
      <c r="P1272" s="63">
        <v>111</v>
      </c>
      <c r="Q1272" s="63">
        <v>105</v>
      </c>
      <c r="R1272" s="63">
        <v>104</v>
      </c>
      <c r="S1272" s="63">
        <v>107</v>
      </c>
      <c r="T1272" s="63">
        <v>115</v>
      </c>
      <c r="U1272" s="63">
        <v>118</v>
      </c>
      <c r="V1272" s="63">
        <v>116</v>
      </c>
      <c r="W1272" s="63">
        <v>112</v>
      </c>
      <c r="X1272" s="63">
        <v>125</v>
      </c>
      <c r="Y1272" s="63">
        <v>116</v>
      </c>
      <c r="Z1272" s="63">
        <v>108</v>
      </c>
      <c r="AA1272" s="63">
        <v>120</v>
      </c>
      <c r="AB1272" s="63">
        <v>123</v>
      </c>
    </row>
    <row r="1273" spans="1:28" x14ac:dyDescent="0.2">
      <c r="A1273" s="62">
        <v>105</v>
      </c>
      <c r="B1273" s="62" t="s">
        <v>396</v>
      </c>
      <c r="C1273" s="62">
        <v>10</v>
      </c>
      <c r="D1273" s="62" t="s">
        <v>317</v>
      </c>
      <c r="E1273" s="63">
        <v>5195</v>
      </c>
      <c r="F1273" s="63">
        <v>5314</v>
      </c>
      <c r="G1273" s="63">
        <v>5505</v>
      </c>
      <c r="H1273" s="63">
        <v>5582</v>
      </c>
      <c r="I1273" s="63">
        <v>5517</v>
      </c>
      <c r="J1273" s="63">
        <v>5516</v>
      </c>
      <c r="K1273" s="63">
        <v>5545</v>
      </c>
      <c r="L1273" s="63">
        <v>5391</v>
      </c>
      <c r="M1273" s="63">
        <v>5323</v>
      </c>
      <c r="N1273" s="63">
        <v>5358</v>
      </c>
      <c r="O1273" s="63">
        <v>5179</v>
      </c>
      <c r="P1273" s="63">
        <v>5104</v>
      </c>
      <c r="Q1273" s="63">
        <v>5028</v>
      </c>
      <c r="R1273" s="63">
        <v>4939</v>
      </c>
      <c r="S1273" s="63">
        <v>4939</v>
      </c>
      <c r="T1273" s="63">
        <v>4962</v>
      </c>
      <c r="U1273" s="63">
        <v>5134</v>
      </c>
      <c r="V1273" s="63">
        <v>5191</v>
      </c>
      <c r="W1273" s="63">
        <v>5218</v>
      </c>
      <c r="X1273" s="63">
        <v>5108</v>
      </c>
      <c r="Y1273" s="63">
        <v>5272</v>
      </c>
      <c r="Z1273" s="63">
        <v>5356</v>
      </c>
      <c r="AA1273" s="63">
        <v>5805</v>
      </c>
      <c r="AB1273" s="63">
        <v>5881</v>
      </c>
    </row>
    <row r="1274" spans="1:28" x14ac:dyDescent="0.2">
      <c r="A1274" s="62">
        <v>105</v>
      </c>
      <c r="B1274" s="62" t="s">
        <v>396</v>
      </c>
      <c r="C1274" s="62">
        <v>11</v>
      </c>
      <c r="D1274" s="62" t="s">
        <v>318</v>
      </c>
      <c r="E1274" s="63">
        <v>853</v>
      </c>
      <c r="F1274" s="63">
        <v>889</v>
      </c>
      <c r="G1274" s="63">
        <v>1029</v>
      </c>
      <c r="H1274" s="63">
        <v>1061</v>
      </c>
      <c r="I1274" s="63">
        <v>1034</v>
      </c>
      <c r="J1274" s="63">
        <v>997</v>
      </c>
      <c r="K1274" s="63">
        <v>1026</v>
      </c>
      <c r="L1274" s="63">
        <v>987</v>
      </c>
      <c r="M1274" s="63">
        <v>1062</v>
      </c>
      <c r="N1274" s="63">
        <v>1124</v>
      </c>
      <c r="O1274" s="63">
        <v>1074</v>
      </c>
      <c r="P1274" s="63">
        <v>1082</v>
      </c>
      <c r="Q1274" s="63">
        <v>1025</v>
      </c>
      <c r="R1274" s="63">
        <v>1001</v>
      </c>
      <c r="S1274" s="63">
        <v>957</v>
      </c>
      <c r="T1274" s="63">
        <v>884</v>
      </c>
      <c r="U1274" s="63">
        <v>916</v>
      </c>
      <c r="V1274" s="63">
        <v>934</v>
      </c>
      <c r="W1274" s="63">
        <v>919</v>
      </c>
      <c r="X1274" s="63">
        <v>896</v>
      </c>
      <c r="Y1274" s="63">
        <v>843</v>
      </c>
      <c r="Z1274" s="63">
        <v>837</v>
      </c>
      <c r="AA1274" s="63">
        <v>879</v>
      </c>
      <c r="AB1274" s="63">
        <v>925</v>
      </c>
    </row>
    <row r="1275" spans="1:28" x14ac:dyDescent="0.2">
      <c r="A1275" s="62">
        <v>105</v>
      </c>
      <c r="B1275" s="62" t="s">
        <v>396</v>
      </c>
      <c r="C1275" s="62">
        <v>2</v>
      </c>
      <c r="D1275" s="62" t="s">
        <v>319</v>
      </c>
      <c r="E1275" s="63">
        <v>149</v>
      </c>
      <c r="F1275" s="63">
        <v>157</v>
      </c>
      <c r="G1275" s="63">
        <v>157</v>
      </c>
      <c r="H1275" s="63">
        <v>149</v>
      </c>
      <c r="I1275" s="63">
        <v>146</v>
      </c>
      <c r="J1275" s="63">
        <v>147</v>
      </c>
      <c r="K1275" s="63">
        <v>158</v>
      </c>
      <c r="L1275" s="63">
        <v>165</v>
      </c>
      <c r="M1275" s="63">
        <v>170</v>
      </c>
      <c r="N1275" s="63">
        <v>174</v>
      </c>
      <c r="O1275" s="63">
        <v>178</v>
      </c>
      <c r="P1275" s="63">
        <v>191</v>
      </c>
      <c r="Q1275" s="63">
        <v>199</v>
      </c>
      <c r="R1275" s="63">
        <v>196</v>
      </c>
      <c r="S1275" s="63">
        <v>191</v>
      </c>
      <c r="T1275" s="63">
        <v>183</v>
      </c>
      <c r="U1275" s="63">
        <v>185</v>
      </c>
      <c r="V1275" s="63">
        <v>188</v>
      </c>
      <c r="W1275" s="63">
        <v>182</v>
      </c>
      <c r="X1275" s="63">
        <v>185</v>
      </c>
      <c r="Y1275" s="63">
        <v>177</v>
      </c>
      <c r="Z1275" s="63">
        <v>170</v>
      </c>
      <c r="AA1275" s="63">
        <v>156</v>
      </c>
      <c r="AB1275" s="63">
        <v>163</v>
      </c>
    </row>
    <row r="1276" spans="1:28" x14ac:dyDescent="0.2">
      <c r="A1276" s="62">
        <v>105</v>
      </c>
      <c r="B1276" s="62" t="s">
        <v>396</v>
      </c>
      <c r="C1276" s="62">
        <v>21</v>
      </c>
      <c r="D1276" s="62" t="s">
        <v>320</v>
      </c>
      <c r="E1276" s="63">
        <v>34</v>
      </c>
      <c r="F1276" s="62"/>
      <c r="G1276" s="62"/>
      <c r="H1276" s="63">
        <v>23</v>
      </c>
      <c r="I1276" s="62"/>
      <c r="J1276" s="62"/>
      <c r="K1276" s="62"/>
      <c r="L1276" s="62"/>
      <c r="M1276" s="62"/>
      <c r="N1276" s="62"/>
      <c r="O1276" s="62"/>
      <c r="P1276" s="62"/>
      <c r="Q1276" s="63">
        <v>0</v>
      </c>
      <c r="R1276" s="62"/>
      <c r="S1276" s="62"/>
      <c r="T1276" s="63">
        <v>0</v>
      </c>
      <c r="U1276" s="63">
        <v>6</v>
      </c>
      <c r="V1276" s="63">
        <v>13</v>
      </c>
      <c r="W1276" s="62"/>
      <c r="X1276" s="63">
        <v>5</v>
      </c>
      <c r="Y1276" s="62"/>
      <c r="Z1276" s="62"/>
      <c r="AA1276" s="62"/>
      <c r="AB1276" s="62"/>
    </row>
    <row r="1277" spans="1:28" x14ac:dyDescent="0.2">
      <c r="A1277" s="62">
        <v>105</v>
      </c>
      <c r="B1277" s="62" t="s">
        <v>396</v>
      </c>
      <c r="C1277" s="62">
        <v>22</v>
      </c>
      <c r="D1277" s="62" t="s">
        <v>321</v>
      </c>
      <c r="E1277" s="62"/>
      <c r="F1277" s="63">
        <v>71</v>
      </c>
      <c r="G1277" s="62"/>
      <c r="H1277" s="62"/>
      <c r="I1277" s="63">
        <v>72</v>
      </c>
      <c r="J1277" s="62"/>
      <c r="K1277" s="62"/>
      <c r="L1277" s="63">
        <v>68</v>
      </c>
      <c r="M1277" s="63">
        <v>70</v>
      </c>
      <c r="N1277" s="63">
        <v>62</v>
      </c>
      <c r="O1277" s="63">
        <v>63</v>
      </c>
      <c r="P1277" s="63">
        <v>63</v>
      </c>
      <c r="Q1277" s="63">
        <v>62</v>
      </c>
      <c r="R1277" s="63">
        <v>64</v>
      </c>
      <c r="S1277" s="63">
        <v>69</v>
      </c>
      <c r="T1277" s="63">
        <v>66</v>
      </c>
      <c r="U1277" s="63">
        <v>68</v>
      </c>
      <c r="V1277" s="63">
        <v>70</v>
      </c>
      <c r="W1277" s="63">
        <v>70</v>
      </c>
      <c r="X1277" s="63">
        <v>71</v>
      </c>
      <c r="Y1277" s="63">
        <v>70</v>
      </c>
      <c r="Z1277" s="63">
        <v>70</v>
      </c>
      <c r="AA1277" s="63">
        <v>73</v>
      </c>
      <c r="AB1277" s="63">
        <v>73</v>
      </c>
    </row>
    <row r="1278" spans="1:28" x14ac:dyDescent="0.2">
      <c r="A1278" s="62">
        <v>105</v>
      </c>
      <c r="B1278" s="62" t="s">
        <v>396</v>
      </c>
      <c r="C1278" s="62">
        <v>23</v>
      </c>
      <c r="D1278" s="62" t="s">
        <v>322</v>
      </c>
      <c r="E1278" s="63">
        <v>368</v>
      </c>
      <c r="F1278" s="63">
        <v>413</v>
      </c>
      <c r="G1278" s="63">
        <v>399</v>
      </c>
      <c r="H1278" s="63">
        <v>429</v>
      </c>
      <c r="I1278" s="63">
        <v>427</v>
      </c>
      <c r="J1278" s="63">
        <v>459</v>
      </c>
      <c r="K1278" s="63">
        <v>511</v>
      </c>
      <c r="L1278" s="63">
        <v>441</v>
      </c>
      <c r="M1278" s="63">
        <v>373</v>
      </c>
      <c r="N1278" s="63">
        <v>350</v>
      </c>
      <c r="O1278" s="63">
        <v>332</v>
      </c>
      <c r="P1278" s="63">
        <v>326</v>
      </c>
      <c r="Q1278" s="63">
        <v>318</v>
      </c>
      <c r="R1278" s="63">
        <v>296</v>
      </c>
      <c r="S1278" s="63">
        <v>260</v>
      </c>
      <c r="T1278" s="63">
        <v>251</v>
      </c>
      <c r="U1278" s="63">
        <v>277</v>
      </c>
      <c r="V1278" s="63">
        <v>278</v>
      </c>
      <c r="W1278" s="63">
        <v>296</v>
      </c>
      <c r="X1278" s="63">
        <v>305</v>
      </c>
      <c r="Y1278" s="63">
        <v>330</v>
      </c>
      <c r="Z1278" s="63">
        <v>354</v>
      </c>
      <c r="AA1278" s="63">
        <v>419</v>
      </c>
      <c r="AB1278" s="63">
        <v>413</v>
      </c>
    </row>
    <row r="1279" spans="1:28" x14ac:dyDescent="0.2">
      <c r="A1279" s="62">
        <v>105</v>
      </c>
      <c r="B1279" s="62" t="s">
        <v>396</v>
      </c>
      <c r="C1279" s="62">
        <v>3</v>
      </c>
      <c r="D1279" s="62" t="s">
        <v>323</v>
      </c>
      <c r="E1279" s="63">
        <v>698</v>
      </c>
      <c r="F1279" s="63">
        <v>707</v>
      </c>
      <c r="G1279" s="63">
        <v>697</v>
      </c>
      <c r="H1279" s="63">
        <v>681</v>
      </c>
      <c r="I1279" s="63">
        <v>675</v>
      </c>
      <c r="J1279" s="63">
        <v>669</v>
      </c>
      <c r="K1279" s="63">
        <v>673</v>
      </c>
      <c r="L1279" s="63">
        <v>671</v>
      </c>
      <c r="M1279" s="63">
        <v>678</v>
      </c>
      <c r="N1279" s="63">
        <v>656</v>
      </c>
      <c r="O1279" s="63">
        <v>629</v>
      </c>
      <c r="P1279" s="63">
        <v>616</v>
      </c>
      <c r="Q1279" s="63">
        <v>609</v>
      </c>
      <c r="R1279" s="63">
        <v>619</v>
      </c>
      <c r="S1279" s="63">
        <v>618</v>
      </c>
      <c r="T1279" s="63">
        <v>626</v>
      </c>
      <c r="U1279" s="63">
        <v>628</v>
      </c>
      <c r="V1279" s="63">
        <v>635</v>
      </c>
      <c r="W1279" s="63">
        <v>653</v>
      </c>
      <c r="X1279" s="63">
        <v>625</v>
      </c>
      <c r="Y1279" s="63">
        <v>636</v>
      </c>
      <c r="Z1279" s="63">
        <v>652</v>
      </c>
      <c r="AA1279" s="63">
        <v>667</v>
      </c>
      <c r="AB1279" s="63">
        <v>673</v>
      </c>
    </row>
    <row r="1280" spans="1:28" x14ac:dyDescent="0.2">
      <c r="A1280" s="62">
        <v>105</v>
      </c>
      <c r="B1280" s="62" t="s">
        <v>396</v>
      </c>
      <c r="C1280" s="62" t="s">
        <v>324</v>
      </c>
      <c r="D1280" s="62" t="s">
        <v>325</v>
      </c>
      <c r="E1280" s="63">
        <v>132</v>
      </c>
      <c r="F1280" s="63">
        <v>147</v>
      </c>
      <c r="G1280" s="63">
        <v>175</v>
      </c>
      <c r="H1280" s="63">
        <v>169</v>
      </c>
      <c r="I1280" s="63">
        <v>159</v>
      </c>
      <c r="J1280" s="63">
        <v>172</v>
      </c>
      <c r="K1280" s="63">
        <v>145</v>
      </c>
      <c r="L1280" s="63">
        <v>147</v>
      </c>
      <c r="M1280" s="63">
        <v>143</v>
      </c>
      <c r="N1280" s="63">
        <v>162</v>
      </c>
      <c r="O1280" s="63">
        <v>164</v>
      </c>
      <c r="P1280" s="63">
        <v>160</v>
      </c>
      <c r="Q1280" s="63">
        <v>153</v>
      </c>
      <c r="R1280" s="63">
        <v>146</v>
      </c>
      <c r="S1280" s="63">
        <v>148</v>
      </c>
      <c r="T1280" s="63">
        <v>150</v>
      </c>
      <c r="U1280" s="63">
        <v>179</v>
      </c>
      <c r="V1280" s="63">
        <v>198</v>
      </c>
      <c r="W1280" s="63">
        <v>215</v>
      </c>
      <c r="X1280" s="63">
        <v>206</v>
      </c>
      <c r="Y1280" s="63">
        <v>204</v>
      </c>
      <c r="Z1280" s="63">
        <v>194</v>
      </c>
      <c r="AA1280" s="63">
        <v>179</v>
      </c>
      <c r="AB1280" s="63">
        <v>187</v>
      </c>
    </row>
    <row r="1281" spans="1:28" x14ac:dyDescent="0.2">
      <c r="A1281" s="62">
        <v>105</v>
      </c>
      <c r="B1281" s="62" t="s">
        <v>396</v>
      </c>
      <c r="C1281" s="62">
        <v>42</v>
      </c>
      <c r="D1281" s="62" t="s">
        <v>326</v>
      </c>
      <c r="E1281" s="63">
        <v>331</v>
      </c>
      <c r="F1281" s="63">
        <v>350</v>
      </c>
      <c r="G1281" s="63">
        <v>333</v>
      </c>
      <c r="H1281" s="63">
        <v>334</v>
      </c>
      <c r="I1281" s="63">
        <v>326</v>
      </c>
      <c r="J1281" s="63">
        <v>289</v>
      </c>
      <c r="K1281" s="63">
        <v>301</v>
      </c>
      <c r="L1281" s="63">
        <v>317</v>
      </c>
      <c r="M1281" s="63">
        <v>281</v>
      </c>
      <c r="N1281" s="63">
        <v>274</v>
      </c>
      <c r="O1281" s="63">
        <v>261</v>
      </c>
      <c r="P1281" s="63">
        <v>277</v>
      </c>
      <c r="Q1281" s="63">
        <v>264</v>
      </c>
      <c r="R1281" s="63">
        <v>277</v>
      </c>
      <c r="S1281" s="63">
        <v>301</v>
      </c>
      <c r="T1281" s="63">
        <v>328</v>
      </c>
      <c r="U1281" s="63">
        <v>319</v>
      </c>
      <c r="V1281" s="63">
        <v>306</v>
      </c>
      <c r="W1281" s="63">
        <v>310</v>
      </c>
      <c r="X1281" s="63">
        <v>297</v>
      </c>
      <c r="Y1281" s="63">
        <v>301</v>
      </c>
      <c r="Z1281" s="63">
        <v>306</v>
      </c>
      <c r="AA1281" s="63">
        <v>312</v>
      </c>
      <c r="AB1281" s="63">
        <v>314</v>
      </c>
    </row>
    <row r="1282" spans="1:28" x14ac:dyDescent="0.2">
      <c r="A1282" s="62">
        <v>105</v>
      </c>
      <c r="B1282" s="62" t="s">
        <v>396</v>
      </c>
      <c r="C1282" s="62" t="s">
        <v>327</v>
      </c>
      <c r="D1282" s="62" t="s">
        <v>328</v>
      </c>
      <c r="E1282" s="63">
        <v>565</v>
      </c>
      <c r="F1282" s="63">
        <v>530</v>
      </c>
      <c r="G1282" s="63">
        <v>571</v>
      </c>
      <c r="H1282" s="63">
        <v>580</v>
      </c>
      <c r="I1282" s="63">
        <v>582</v>
      </c>
      <c r="J1282" s="63">
        <v>584</v>
      </c>
      <c r="K1282" s="63">
        <v>546</v>
      </c>
      <c r="L1282" s="63">
        <v>508</v>
      </c>
      <c r="M1282" s="63">
        <v>499</v>
      </c>
      <c r="N1282" s="63">
        <v>478</v>
      </c>
      <c r="O1282" s="63">
        <v>461</v>
      </c>
      <c r="P1282" s="63">
        <v>428</v>
      </c>
      <c r="Q1282" s="63">
        <v>446</v>
      </c>
      <c r="R1282" s="63">
        <v>446</v>
      </c>
      <c r="S1282" s="63">
        <v>445</v>
      </c>
      <c r="T1282" s="63">
        <v>444</v>
      </c>
      <c r="U1282" s="63">
        <v>462</v>
      </c>
      <c r="V1282" s="63">
        <v>464</v>
      </c>
      <c r="W1282" s="63">
        <v>456</v>
      </c>
      <c r="X1282" s="63">
        <v>450</v>
      </c>
      <c r="Y1282" s="63">
        <v>461</v>
      </c>
      <c r="Z1282" s="63">
        <v>441</v>
      </c>
      <c r="AA1282" s="63">
        <v>465</v>
      </c>
      <c r="AB1282" s="63">
        <v>482</v>
      </c>
    </row>
    <row r="1283" spans="1:28" x14ac:dyDescent="0.2">
      <c r="A1283" s="62">
        <v>105</v>
      </c>
      <c r="B1283" s="62" t="s">
        <v>396</v>
      </c>
      <c r="C1283" s="62" t="s">
        <v>329</v>
      </c>
      <c r="D1283" s="62" t="s">
        <v>330</v>
      </c>
      <c r="E1283" s="63">
        <v>129</v>
      </c>
      <c r="F1283" s="63">
        <v>80</v>
      </c>
      <c r="G1283" s="63">
        <v>73</v>
      </c>
      <c r="H1283" s="63">
        <v>68</v>
      </c>
      <c r="I1283" s="63">
        <v>79</v>
      </c>
      <c r="J1283" s="63">
        <v>80</v>
      </c>
      <c r="K1283" s="63">
        <v>77</v>
      </c>
      <c r="L1283" s="63">
        <v>71</v>
      </c>
      <c r="M1283" s="63">
        <v>66</v>
      </c>
      <c r="N1283" s="63">
        <v>70</v>
      </c>
      <c r="O1283" s="63">
        <v>85</v>
      </c>
      <c r="P1283" s="63">
        <v>82</v>
      </c>
      <c r="Q1283" s="63">
        <v>81</v>
      </c>
      <c r="R1283" s="63">
        <v>91</v>
      </c>
      <c r="S1283" s="63">
        <v>103</v>
      </c>
      <c r="T1283" s="63">
        <v>91</v>
      </c>
      <c r="U1283" s="63">
        <v>97</v>
      </c>
      <c r="V1283" s="63">
        <v>100</v>
      </c>
      <c r="W1283" s="63">
        <v>101</v>
      </c>
      <c r="X1283" s="63">
        <v>112</v>
      </c>
      <c r="Y1283" s="63">
        <v>127</v>
      </c>
      <c r="Z1283" s="63">
        <v>115</v>
      </c>
      <c r="AA1283" s="63">
        <v>144</v>
      </c>
      <c r="AB1283" s="63">
        <v>154</v>
      </c>
    </row>
    <row r="1284" spans="1:28" x14ac:dyDescent="0.2">
      <c r="A1284" s="62">
        <v>105</v>
      </c>
      <c r="B1284" s="62" t="s">
        <v>396</v>
      </c>
      <c r="C1284" s="62">
        <v>51</v>
      </c>
      <c r="D1284" s="62" t="s">
        <v>331</v>
      </c>
      <c r="E1284" s="63">
        <v>40</v>
      </c>
      <c r="F1284" s="63">
        <v>31</v>
      </c>
      <c r="G1284" s="63">
        <v>35</v>
      </c>
      <c r="H1284" s="63">
        <v>35</v>
      </c>
      <c r="I1284" s="63">
        <v>49</v>
      </c>
      <c r="J1284" s="63">
        <v>46</v>
      </c>
      <c r="K1284" s="63">
        <v>36</v>
      </c>
      <c r="L1284" s="63">
        <v>39</v>
      </c>
      <c r="M1284" s="63">
        <v>31</v>
      </c>
      <c r="N1284" s="63">
        <v>38</v>
      </c>
      <c r="O1284" s="63">
        <v>27</v>
      </c>
      <c r="P1284" s="63">
        <v>30</v>
      </c>
      <c r="Q1284" s="63">
        <v>26</v>
      </c>
      <c r="R1284" s="63">
        <v>18</v>
      </c>
      <c r="S1284" s="63">
        <v>27</v>
      </c>
      <c r="T1284" s="63">
        <v>31</v>
      </c>
      <c r="U1284" s="63">
        <v>27</v>
      </c>
      <c r="V1284" s="63">
        <v>29</v>
      </c>
      <c r="W1284" s="63">
        <v>29</v>
      </c>
      <c r="X1284" s="63">
        <v>28</v>
      </c>
      <c r="Y1284" s="63">
        <v>27</v>
      </c>
      <c r="Z1284" s="63">
        <v>27</v>
      </c>
      <c r="AA1284" s="63">
        <v>30</v>
      </c>
      <c r="AB1284" s="63">
        <v>23</v>
      </c>
    </row>
    <row r="1285" spans="1:28" x14ac:dyDescent="0.2">
      <c r="A1285" s="62">
        <v>105</v>
      </c>
      <c r="B1285" s="62" t="s">
        <v>396</v>
      </c>
      <c r="C1285" s="62">
        <v>52</v>
      </c>
      <c r="D1285" s="62" t="s">
        <v>332</v>
      </c>
      <c r="E1285" s="63">
        <v>190</v>
      </c>
      <c r="F1285" s="63">
        <v>189</v>
      </c>
      <c r="G1285" s="63">
        <v>184</v>
      </c>
      <c r="H1285" s="63">
        <v>184</v>
      </c>
      <c r="I1285" s="63">
        <v>159</v>
      </c>
      <c r="J1285" s="63">
        <v>166</v>
      </c>
      <c r="K1285" s="63">
        <v>162</v>
      </c>
      <c r="L1285" s="63">
        <v>164</v>
      </c>
      <c r="M1285" s="63">
        <v>160</v>
      </c>
      <c r="N1285" s="63">
        <v>157</v>
      </c>
      <c r="O1285" s="63">
        <v>152</v>
      </c>
      <c r="P1285" s="63">
        <v>150</v>
      </c>
      <c r="Q1285" s="63">
        <v>145</v>
      </c>
      <c r="R1285" s="63">
        <v>132</v>
      </c>
      <c r="S1285" s="63">
        <v>129</v>
      </c>
      <c r="T1285" s="63">
        <v>138</v>
      </c>
      <c r="U1285" s="63">
        <v>135</v>
      </c>
      <c r="V1285" s="63">
        <v>130</v>
      </c>
      <c r="W1285" s="63">
        <v>128</v>
      </c>
      <c r="X1285" s="63">
        <v>120</v>
      </c>
      <c r="Y1285" s="63">
        <v>118</v>
      </c>
      <c r="Z1285" s="63">
        <v>113</v>
      </c>
      <c r="AA1285" s="63">
        <v>128</v>
      </c>
      <c r="AB1285" s="63">
        <v>127</v>
      </c>
    </row>
    <row r="1286" spans="1:28" x14ac:dyDescent="0.2">
      <c r="A1286" s="62">
        <v>105</v>
      </c>
      <c r="B1286" s="62" t="s">
        <v>396</v>
      </c>
      <c r="C1286" s="62">
        <v>53</v>
      </c>
      <c r="D1286" s="62" t="s">
        <v>333</v>
      </c>
      <c r="E1286" s="63">
        <v>113</v>
      </c>
      <c r="F1286" s="63">
        <v>107</v>
      </c>
      <c r="G1286" s="63">
        <v>117</v>
      </c>
      <c r="H1286" s="63">
        <v>131</v>
      </c>
      <c r="I1286" s="63">
        <v>124</v>
      </c>
      <c r="J1286" s="63">
        <v>109</v>
      </c>
      <c r="K1286" s="63">
        <v>125</v>
      </c>
      <c r="L1286" s="63">
        <v>116</v>
      </c>
      <c r="M1286" s="63">
        <v>109</v>
      </c>
      <c r="N1286" s="63">
        <v>113</v>
      </c>
      <c r="O1286" s="63">
        <v>94</v>
      </c>
      <c r="P1286" s="63">
        <v>88</v>
      </c>
      <c r="Q1286" s="63">
        <v>96</v>
      </c>
      <c r="R1286" s="63">
        <v>103</v>
      </c>
      <c r="S1286" s="63">
        <v>120</v>
      </c>
      <c r="T1286" s="63">
        <v>120</v>
      </c>
      <c r="U1286" s="63">
        <v>126</v>
      </c>
      <c r="V1286" s="63">
        <v>132</v>
      </c>
      <c r="W1286" s="63">
        <v>122</v>
      </c>
      <c r="X1286" s="63">
        <v>143</v>
      </c>
      <c r="Y1286" s="63">
        <v>163</v>
      </c>
      <c r="Z1286" s="63">
        <v>179</v>
      </c>
      <c r="AA1286" s="63">
        <v>206</v>
      </c>
      <c r="AB1286" s="63">
        <v>164</v>
      </c>
    </row>
    <row r="1287" spans="1:28" x14ac:dyDescent="0.2">
      <c r="A1287" s="62">
        <v>105</v>
      </c>
      <c r="B1287" s="62" t="s">
        <v>396</v>
      </c>
      <c r="C1287" s="62">
        <v>54</v>
      </c>
      <c r="D1287" s="62" t="s">
        <v>334</v>
      </c>
      <c r="E1287" s="63">
        <v>171</v>
      </c>
      <c r="F1287" s="63">
        <v>177</v>
      </c>
      <c r="G1287" s="63">
        <v>160</v>
      </c>
      <c r="H1287" s="63">
        <v>170</v>
      </c>
      <c r="I1287" s="63">
        <v>169</v>
      </c>
      <c r="J1287" s="63">
        <v>185</v>
      </c>
      <c r="K1287" s="63">
        <v>177</v>
      </c>
      <c r="L1287" s="63">
        <v>171</v>
      </c>
      <c r="M1287" s="63">
        <v>172</v>
      </c>
      <c r="N1287" s="63">
        <v>169</v>
      </c>
      <c r="O1287" s="63">
        <v>166</v>
      </c>
      <c r="P1287" s="63">
        <v>166</v>
      </c>
      <c r="Q1287" s="63">
        <v>172</v>
      </c>
      <c r="R1287" s="63">
        <v>155</v>
      </c>
      <c r="S1287" s="63">
        <v>148</v>
      </c>
      <c r="T1287" s="63">
        <v>162</v>
      </c>
      <c r="U1287" s="63">
        <v>172</v>
      </c>
      <c r="V1287" s="63">
        <v>188</v>
      </c>
      <c r="W1287" s="63">
        <v>192</v>
      </c>
      <c r="X1287" s="63">
        <v>183</v>
      </c>
      <c r="Y1287" s="63">
        <v>214</v>
      </c>
      <c r="Z1287" s="63">
        <v>221</v>
      </c>
      <c r="AA1287" s="63">
        <v>232</v>
      </c>
      <c r="AB1287" s="63">
        <v>246</v>
      </c>
    </row>
    <row r="1288" spans="1:28" x14ac:dyDescent="0.2">
      <c r="A1288" s="62">
        <v>105</v>
      </c>
      <c r="B1288" s="62" t="s">
        <v>396</v>
      </c>
      <c r="C1288" s="62">
        <v>55</v>
      </c>
      <c r="D1288" s="64" t="s">
        <v>335</v>
      </c>
      <c r="E1288" s="65"/>
      <c r="F1288" s="65"/>
      <c r="G1288" s="63">
        <v>0</v>
      </c>
      <c r="H1288" s="62"/>
      <c r="I1288" s="62"/>
      <c r="J1288" s="62"/>
      <c r="K1288" s="63">
        <v>0</v>
      </c>
      <c r="L1288" s="63">
        <v>0</v>
      </c>
      <c r="M1288" s="63">
        <v>0</v>
      </c>
      <c r="N1288" s="62"/>
      <c r="O1288" s="63">
        <v>0</v>
      </c>
      <c r="P1288" s="62"/>
      <c r="Q1288" s="63">
        <v>0</v>
      </c>
      <c r="R1288" s="63">
        <v>0</v>
      </c>
      <c r="S1288" s="63">
        <v>0</v>
      </c>
      <c r="T1288" s="63">
        <v>0</v>
      </c>
      <c r="U1288" s="63">
        <v>0</v>
      </c>
      <c r="V1288" s="63">
        <v>0</v>
      </c>
      <c r="W1288" s="62"/>
      <c r="X1288" s="63">
        <v>0</v>
      </c>
      <c r="Y1288" s="63">
        <v>0</v>
      </c>
      <c r="Z1288" s="63">
        <v>0</v>
      </c>
      <c r="AA1288" s="62"/>
      <c r="AB1288" s="63">
        <v>2</v>
      </c>
    </row>
    <row r="1289" spans="1:28" x14ac:dyDescent="0.2">
      <c r="A1289" s="62">
        <v>105</v>
      </c>
      <c r="B1289" s="62" t="s">
        <v>396</v>
      </c>
      <c r="C1289" s="62">
        <v>56</v>
      </c>
      <c r="D1289" s="62" t="s">
        <v>336</v>
      </c>
      <c r="E1289" s="63">
        <v>92</v>
      </c>
      <c r="F1289" s="63">
        <v>110</v>
      </c>
      <c r="G1289" s="63">
        <v>125</v>
      </c>
      <c r="H1289" s="63">
        <v>136</v>
      </c>
      <c r="I1289" s="63">
        <v>129</v>
      </c>
      <c r="J1289" s="63">
        <v>118</v>
      </c>
      <c r="K1289" s="63">
        <v>132</v>
      </c>
      <c r="L1289" s="63">
        <v>140</v>
      </c>
      <c r="M1289" s="63">
        <v>137</v>
      </c>
      <c r="N1289" s="63">
        <v>130</v>
      </c>
      <c r="O1289" s="63">
        <v>141</v>
      </c>
      <c r="P1289" s="63">
        <v>137</v>
      </c>
      <c r="Q1289" s="63">
        <v>131</v>
      </c>
      <c r="R1289" s="63">
        <v>123</v>
      </c>
      <c r="S1289" s="63">
        <v>138</v>
      </c>
      <c r="T1289" s="63">
        <v>175</v>
      </c>
      <c r="U1289" s="63">
        <v>175</v>
      </c>
      <c r="V1289" s="63">
        <v>164</v>
      </c>
      <c r="W1289" s="63">
        <v>171</v>
      </c>
      <c r="X1289" s="63">
        <v>167</v>
      </c>
      <c r="Y1289" s="63">
        <v>179</v>
      </c>
      <c r="Z1289" s="63">
        <v>182</v>
      </c>
      <c r="AA1289" s="63">
        <v>232</v>
      </c>
      <c r="AB1289" s="63">
        <v>191</v>
      </c>
    </row>
    <row r="1290" spans="1:28" x14ac:dyDescent="0.2">
      <c r="A1290" s="62">
        <v>105</v>
      </c>
      <c r="B1290" s="62" t="s">
        <v>396</v>
      </c>
      <c r="C1290" s="62">
        <v>61</v>
      </c>
      <c r="D1290" s="64" t="s">
        <v>337</v>
      </c>
      <c r="E1290" s="65"/>
      <c r="F1290" s="63">
        <v>21</v>
      </c>
      <c r="G1290" s="63">
        <v>15</v>
      </c>
      <c r="H1290" s="63">
        <v>19</v>
      </c>
      <c r="I1290" s="63">
        <v>22</v>
      </c>
      <c r="J1290" s="63">
        <v>29</v>
      </c>
      <c r="K1290" s="63">
        <v>32</v>
      </c>
      <c r="L1290" s="63">
        <v>38</v>
      </c>
      <c r="M1290" s="63">
        <v>34</v>
      </c>
      <c r="N1290" s="63">
        <v>21</v>
      </c>
      <c r="O1290" s="63">
        <v>26</v>
      </c>
      <c r="P1290" s="63">
        <v>22</v>
      </c>
      <c r="Q1290" s="63">
        <v>23</v>
      </c>
      <c r="R1290" s="63">
        <v>35</v>
      </c>
      <c r="S1290" s="63">
        <v>36</v>
      </c>
      <c r="T1290" s="63">
        <v>32</v>
      </c>
      <c r="U1290" s="63">
        <v>28</v>
      </c>
      <c r="V1290" s="63">
        <v>32</v>
      </c>
      <c r="W1290" s="63">
        <v>29</v>
      </c>
      <c r="X1290" s="63">
        <v>19</v>
      </c>
      <c r="Y1290" s="63">
        <v>29</v>
      </c>
      <c r="Z1290" s="63">
        <v>79</v>
      </c>
      <c r="AA1290" s="63">
        <v>81</v>
      </c>
      <c r="AB1290" s="63">
        <v>73</v>
      </c>
    </row>
    <row r="1291" spans="1:28" x14ac:dyDescent="0.2">
      <c r="A1291" s="62">
        <v>105</v>
      </c>
      <c r="B1291" s="62" t="s">
        <v>396</v>
      </c>
      <c r="C1291" s="62">
        <v>62</v>
      </c>
      <c r="D1291" s="62" t="s">
        <v>338</v>
      </c>
      <c r="E1291" s="63">
        <v>480</v>
      </c>
      <c r="F1291" s="63">
        <v>496</v>
      </c>
      <c r="G1291" s="63">
        <v>486</v>
      </c>
      <c r="H1291" s="63">
        <v>504</v>
      </c>
      <c r="I1291" s="63">
        <v>519</v>
      </c>
      <c r="J1291" s="63">
        <v>537</v>
      </c>
      <c r="K1291" s="63">
        <v>519</v>
      </c>
      <c r="L1291" s="63">
        <v>542</v>
      </c>
      <c r="M1291" s="63">
        <v>547</v>
      </c>
      <c r="N1291" s="63">
        <v>564</v>
      </c>
      <c r="O1291" s="63">
        <v>549</v>
      </c>
      <c r="P1291" s="63">
        <v>520</v>
      </c>
      <c r="Q1291" s="63">
        <v>475</v>
      </c>
      <c r="R1291" s="63">
        <v>456</v>
      </c>
      <c r="S1291" s="63">
        <v>461</v>
      </c>
      <c r="T1291" s="63">
        <v>459</v>
      </c>
      <c r="U1291" s="63">
        <v>464</v>
      </c>
      <c r="V1291" s="63">
        <v>532</v>
      </c>
      <c r="W1291" s="63">
        <v>518</v>
      </c>
      <c r="X1291" s="63">
        <v>541</v>
      </c>
      <c r="Y1291" s="63">
        <v>554</v>
      </c>
      <c r="Z1291" s="63">
        <v>558</v>
      </c>
      <c r="AA1291" s="63">
        <v>606</v>
      </c>
      <c r="AB1291" s="63">
        <v>645</v>
      </c>
    </row>
    <row r="1292" spans="1:28" x14ac:dyDescent="0.2">
      <c r="A1292" s="62">
        <v>105</v>
      </c>
      <c r="B1292" s="62" t="s">
        <v>396</v>
      </c>
      <c r="C1292" s="62">
        <v>71</v>
      </c>
      <c r="D1292" s="62" t="s">
        <v>339</v>
      </c>
      <c r="E1292" s="63">
        <v>63</v>
      </c>
      <c r="F1292" s="63">
        <v>57</v>
      </c>
      <c r="G1292" s="63">
        <v>74</v>
      </c>
      <c r="H1292" s="63">
        <v>85</v>
      </c>
      <c r="I1292" s="63">
        <v>113</v>
      </c>
      <c r="J1292" s="63">
        <v>109</v>
      </c>
      <c r="K1292" s="63">
        <v>105</v>
      </c>
      <c r="L1292" s="63">
        <v>94</v>
      </c>
      <c r="M1292" s="63">
        <v>82</v>
      </c>
      <c r="N1292" s="63">
        <v>71</v>
      </c>
      <c r="O1292" s="63">
        <v>67</v>
      </c>
      <c r="P1292" s="63">
        <v>70</v>
      </c>
      <c r="Q1292" s="63">
        <v>79</v>
      </c>
      <c r="R1292" s="63">
        <v>65</v>
      </c>
      <c r="S1292" s="63">
        <v>69</v>
      </c>
      <c r="T1292" s="63">
        <v>63</v>
      </c>
      <c r="U1292" s="63">
        <v>70</v>
      </c>
      <c r="V1292" s="63">
        <v>61</v>
      </c>
      <c r="W1292" s="63">
        <v>51</v>
      </c>
      <c r="X1292" s="63">
        <v>43</v>
      </c>
      <c r="Y1292" s="63">
        <v>36</v>
      </c>
      <c r="Z1292" s="63">
        <v>48</v>
      </c>
      <c r="AA1292" s="63">
        <v>203</v>
      </c>
      <c r="AB1292" s="63">
        <v>212</v>
      </c>
    </row>
    <row r="1293" spans="1:28" x14ac:dyDescent="0.2">
      <c r="A1293" s="62">
        <v>105</v>
      </c>
      <c r="B1293" s="62" t="s">
        <v>396</v>
      </c>
      <c r="C1293" s="62">
        <v>72</v>
      </c>
      <c r="D1293" s="62" t="s">
        <v>340</v>
      </c>
      <c r="E1293" s="63">
        <v>370</v>
      </c>
      <c r="F1293" s="63">
        <v>397</v>
      </c>
      <c r="G1293" s="63">
        <v>420</v>
      </c>
      <c r="H1293" s="63">
        <v>385</v>
      </c>
      <c r="I1293" s="63">
        <v>374</v>
      </c>
      <c r="J1293" s="63">
        <v>384</v>
      </c>
      <c r="K1293" s="63">
        <v>367</v>
      </c>
      <c r="L1293" s="63">
        <v>362</v>
      </c>
      <c r="M1293" s="63">
        <v>373</v>
      </c>
      <c r="N1293" s="63">
        <v>346</v>
      </c>
      <c r="O1293" s="63">
        <v>311</v>
      </c>
      <c r="P1293" s="63">
        <v>331</v>
      </c>
      <c r="Q1293" s="63">
        <v>360</v>
      </c>
      <c r="R1293" s="63">
        <v>372</v>
      </c>
      <c r="S1293" s="63">
        <v>375</v>
      </c>
      <c r="T1293" s="63">
        <v>403</v>
      </c>
      <c r="U1293" s="63">
        <v>434</v>
      </c>
      <c r="V1293" s="63">
        <v>407</v>
      </c>
      <c r="W1293" s="63">
        <v>439</v>
      </c>
      <c r="X1293" s="63">
        <v>383</v>
      </c>
      <c r="Y1293" s="63">
        <v>470</v>
      </c>
      <c r="Z1293" s="63">
        <v>493</v>
      </c>
      <c r="AA1293" s="63">
        <v>461</v>
      </c>
      <c r="AB1293" s="63">
        <v>452</v>
      </c>
    </row>
    <row r="1294" spans="1:28" x14ac:dyDescent="0.2">
      <c r="A1294" s="62">
        <v>105</v>
      </c>
      <c r="B1294" s="62" t="s">
        <v>396</v>
      </c>
      <c r="C1294" s="62">
        <v>81</v>
      </c>
      <c r="D1294" s="62" t="s">
        <v>341</v>
      </c>
      <c r="E1294" s="63">
        <v>200</v>
      </c>
      <c r="F1294" s="63">
        <v>213</v>
      </c>
      <c r="G1294" s="63">
        <v>223</v>
      </c>
      <c r="H1294" s="63">
        <v>223</v>
      </c>
      <c r="I1294" s="63">
        <v>213</v>
      </c>
      <c r="J1294" s="63">
        <v>235</v>
      </c>
      <c r="K1294" s="63">
        <v>229</v>
      </c>
      <c r="L1294" s="63">
        <v>223</v>
      </c>
      <c r="M1294" s="63">
        <v>202</v>
      </c>
      <c r="N1294" s="63">
        <v>237</v>
      </c>
      <c r="O1294" s="63">
        <v>247</v>
      </c>
      <c r="P1294" s="63">
        <v>234</v>
      </c>
      <c r="Q1294" s="63">
        <v>243</v>
      </c>
      <c r="R1294" s="63">
        <v>222</v>
      </c>
      <c r="S1294" s="63">
        <v>226</v>
      </c>
      <c r="T1294" s="63">
        <v>230</v>
      </c>
      <c r="U1294" s="63">
        <v>237</v>
      </c>
      <c r="V1294" s="63">
        <v>203</v>
      </c>
      <c r="W1294" s="63">
        <v>205</v>
      </c>
      <c r="X1294" s="63">
        <v>195</v>
      </c>
      <c r="Y1294" s="63">
        <v>207</v>
      </c>
      <c r="Z1294" s="63">
        <v>199</v>
      </c>
      <c r="AA1294" s="63">
        <v>200</v>
      </c>
      <c r="AB1294" s="63">
        <v>229</v>
      </c>
    </row>
    <row r="1295" spans="1:28" x14ac:dyDescent="0.2">
      <c r="A1295" s="62">
        <v>105</v>
      </c>
      <c r="B1295" s="62" t="s">
        <v>396</v>
      </c>
      <c r="C1295" s="62">
        <v>99</v>
      </c>
      <c r="D1295" s="62" t="s">
        <v>342</v>
      </c>
      <c r="E1295" s="62"/>
      <c r="F1295" s="62"/>
      <c r="G1295" s="63">
        <v>0</v>
      </c>
      <c r="H1295" s="63">
        <v>0</v>
      </c>
      <c r="I1295" s="62"/>
      <c r="J1295" s="62"/>
      <c r="K1295" s="63">
        <v>0</v>
      </c>
      <c r="L1295" s="62"/>
      <c r="M1295" s="62"/>
      <c r="N1295" s="62"/>
      <c r="O1295" s="62"/>
      <c r="P1295" s="62"/>
      <c r="Q1295" s="62"/>
      <c r="R1295" s="63">
        <v>0</v>
      </c>
      <c r="S1295" s="62"/>
      <c r="T1295" s="62"/>
      <c r="U1295" s="62"/>
      <c r="V1295" s="63">
        <v>0</v>
      </c>
      <c r="W1295" s="62"/>
      <c r="X1295" s="62"/>
      <c r="Y1295" s="62"/>
      <c r="Z1295" s="63">
        <v>0</v>
      </c>
      <c r="AA1295" s="62"/>
      <c r="AB1295" s="63">
        <v>0</v>
      </c>
    </row>
    <row r="1296" spans="1:28" x14ac:dyDescent="0.2">
      <c r="A1296" s="62">
        <v>107</v>
      </c>
      <c r="B1296" s="62" t="s">
        <v>397</v>
      </c>
      <c r="C1296" s="62">
        <v>1</v>
      </c>
      <c r="D1296" s="62" t="s">
        <v>316</v>
      </c>
      <c r="E1296" s="63">
        <v>121</v>
      </c>
      <c r="F1296" s="63">
        <v>134</v>
      </c>
      <c r="G1296" s="63">
        <v>142</v>
      </c>
      <c r="H1296" s="63">
        <v>138</v>
      </c>
      <c r="I1296" s="63">
        <v>133</v>
      </c>
      <c r="J1296" s="63">
        <v>131</v>
      </c>
      <c r="K1296" s="63">
        <v>128</v>
      </c>
      <c r="L1296" s="63">
        <v>126</v>
      </c>
      <c r="M1296" s="63">
        <v>135</v>
      </c>
      <c r="N1296" s="63">
        <v>149</v>
      </c>
      <c r="O1296" s="63">
        <v>124</v>
      </c>
      <c r="P1296" s="63">
        <v>124</v>
      </c>
      <c r="Q1296" s="63">
        <v>111</v>
      </c>
      <c r="R1296" s="63">
        <v>104</v>
      </c>
      <c r="S1296" s="63">
        <v>102</v>
      </c>
      <c r="T1296" s="63">
        <v>108</v>
      </c>
      <c r="U1296" s="63">
        <v>114</v>
      </c>
      <c r="V1296" s="63">
        <v>109</v>
      </c>
      <c r="W1296" s="63">
        <v>100</v>
      </c>
      <c r="X1296" s="63">
        <v>124</v>
      </c>
      <c r="Y1296" s="63">
        <v>109</v>
      </c>
      <c r="Z1296" s="63">
        <v>102</v>
      </c>
      <c r="AA1296" s="63">
        <v>104</v>
      </c>
      <c r="AB1296" s="63">
        <v>108</v>
      </c>
    </row>
    <row r="1297" spans="1:28" x14ac:dyDescent="0.2">
      <c r="A1297" s="62">
        <v>107</v>
      </c>
      <c r="B1297" s="62" t="s">
        <v>397</v>
      </c>
      <c r="C1297" s="62">
        <v>10</v>
      </c>
      <c r="D1297" s="62" t="s">
        <v>317</v>
      </c>
      <c r="E1297" s="63">
        <v>16367</v>
      </c>
      <c r="F1297" s="63">
        <v>16443</v>
      </c>
      <c r="G1297" s="63">
        <v>16367</v>
      </c>
      <c r="H1297" s="63">
        <v>16705</v>
      </c>
      <c r="I1297" s="63">
        <v>17534</v>
      </c>
      <c r="J1297" s="63">
        <v>17942</v>
      </c>
      <c r="K1297" s="63">
        <v>19101</v>
      </c>
      <c r="L1297" s="63">
        <v>18823</v>
      </c>
      <c r="M1297" s="63">
        <v>17302</v>
      </c>
      <c r="N1297" s="63">
        <v>16371</v>
      </c>
      <c r="O1297" s="63">
        <v>16490</v>
      </c>
      <c r="P1297" s="63">
        <v>16773</v>
      </c>
      <c r="Q1297" s="63">
        <v>17473</v>
      </c>
      <c r="R1297" s="63">
        <v>17618</v>
      </c>
      <c r="S1297" s="63">
        <v>17784</v>
      </c>
      <c r="T1297" s="63">
        <v>18259</v>
      </c>
      <c r="U1297" s="63">
        <v>18744</v>
      </c>
      <c r="V1297" s="63">
        <v>19351</v>
      </c>
      <c r="W1297" s="63">
        <v>19588</v>
      </c>
      <c r="X1297" s="63">
        <v>18292</v>
      </c>
      <c r="Y1297" s="63">
        <v>18786</v>
      </c>
      <c r="Z1297" s="63">
        <v>19695</v>
      </c>
      <c r="AA1297" s="63">
        <v>20554</v>
      </c>
      <c r="AB1297" s="63">
        <v>20880</v>
      </c>
    </row>
    <row r="1298" spans="1:28" x14ac:dyDescent="0.2">
      <c r="A1298" s="62">
        <v>107</v>
      </c>
      <c r="B1298" s="62" t="s">
        <v>397</v>
      </c>
      <c r="C1298" s="62">
        <v>11</v>
      </c>
      <c r="D1298" s="62" t="s">
        <v>318</v>
      </c>
      <c r="E1298" s="63">
        <v>93</v>
      </c>
      <c r="F1298" s="63">
        <v>91</v>
      </c>
      <c r="G1298" s="63">
        <v>109</v>
      </c>
      <c r="H1298" s="63">
        <v>109</v>
      </c>
      <c r="I1298" s="63">
        <v>139</v>
      </c>
      <c r="J1298" s="63">
        <v>146</v>
      </c>
      <c r="K1298" s="63">
        <v>156</v>
      </c>
      <c r="L1298" s="63">
        <v>139</v>
      </c>
      <c r="M1298" s="63">
        <v>134</v>
      </c>
      <c r="N1298" s="63">
        <v>187</v>
      </c>
      <c r="O1298" s="63">
        <v>178</v>
      </c>
      <c r="P1298" s="63">
        <v>160</v>
      </c>
      <c r="Q1298" s="63">
        <v>169</v>
      </c>
      <c r="R1298" s="63">
        <v>158</v>
      </c>
      <c r="S1298" s="63">
        <v>164</v>
      </c>
      <c r="T1298" s="63">
        <v>169</v>
      </c>
      <c r="U1298" s="63">
        <v>194</v>
      </c>
      <c r="V1298" s="63">
        <v>203</v>
      </c>
      <c r="W1298" s="63">
        <v>228</v>
      </c>
      <c r="X1298" s="63">
        <v>213</v>
      </c>
      <c r="Y1298" s="63">
        <v>214</v>
      </c>
      <c r="Z1298" s="63">
        <v>210</v>
      </c>
      <c r="AA1298" s="63">
        <v>219</v>
      </c>
      <c r="AB1298" s="63">
        <v>197</v>
      </c>
    </row>
    <row r="1299" spans="1:28" x14ac:dyDescent="0.2">
      <c r="A1299" s="62">
        <v>107</v>
      </c>
      <c r="B1299" s="62" t="s">
        <v>397</v>
      </c>
      <c r="C1299" s="62">
        <v>2</v>
      </c>
      <c r="D1299" s="62" t="s">
        <v>319</v>
      </c>
      <c r="E1299" s="63">
        <v>115</v>
      </c>
      <c r="F1299" s="63">
        <v>115</v>
      </c>
      <c r="G1299" s="63">
        <v>111</v>
      </c>
      <c r="H1299" s="63">
        <v>122</v>
      </c>
      <c r="I1299" s="63">
        <v>118</v>
      </c>
      <c r="J1299" s="63">
        <v>111</v>
      </c>
      <c r="K1299" s="63">
        <v>110</v>
      </c>
      <c r="L1299" s="63">
        <v>120</v>
      </c>
      <c r="M1299" s="63">
        <v>129</v>
      </c>
      <c r="N1299" s="63">
        <v>139</v>
      </c>
      <c r="O1299" s="63">
        <v>146</v>
      </c>
      <c r="P1299" s="63">
        <v>159</v>
      </c>
      <c r="Q1299" s="63">
        <v>156</v>
      </c>
      <c r="R1299" s="63">
        <v>166</v>
      </c>
      <c r="S1299" s="63">
        <v>169</v>
      </c>
      <c r="T1299" s="63">
        <v>162</v>
      </c>
      <c r="U1299" s="63">
        <v>311</v>
      </c>
      <c r="V1299" s="63">
        <v>753</v>
      </c>
      <c r="W1299" s="63">
        <v>790</v>
      </c>
      <c r="X1299" s="63">
        <v>814</v>
      </c>
      <c r="Y1299" s="63">
        <v>850</v>
      </c>
      <c r="Z1299" s="63">
        <v>921</v>
      </c>
      <c r="AA1299" s="63">
        <v>976</v>
      </c>
      <c r="AB1299" s="63">
        <v>984</v>
      </c>
    </row>
    <row r="1300" spans="1:28" x14ac:dyDescent="0.2">
      <c r="A1300" s="62">
        <v>107</v>
      </c>
      <c r="B1300" s="62" t="s">
        <v>397</v>
      </c>
      <c r="C1300" s="62">
        <v>21</v>
      </c>
      <c r="D1300" s="62" t="s">
        <v>320</v>
      </c>
      <c r="E1300" s="63">
        <v>536</v>
      </c>
      <c r="F1300" s="63">
        <v>545</v>
      </c>
      <c r="G1300" s="63">
        <v>564</v>
      </c>
      <c r="H1300" s="63">
        <v>573</v>
      </c>
      <c r="I1300" s="63">
        <v>604</v>
      </c>
      <c r="J1300" s="62"/>
      <c r="K1300" s="62"/>
      <c r="L1300" s="62"/>
      <c r="M1300" s="63">
        <v>623</v>
      </c>
      <c r="N1300" s="63">
        <v>558</v>
      </c>
      <c r="O1300" s="63">
        <v>543</v>
      </c>
      <c r="P1300" s="63">
        <v>585</v>
      </c>
      <c r="Q1300" s="63">
        <v>557</v>
      </c>
      <c r="R1300" s="63">
        <v>464</v>
      </c>
      <c r="S1300" s="63">
        <v>422</v>
      </c>
      <c r="T1300" s="63">
        <v>432</v>
      </c>
      <c r="U1300" s="63">
        <v>422</v>
      </c>
      <c r="V1300" s="63">
        <v>432</v>
      </c>
      <c r="W1300" s="63">
        <v>327</v>
      </c>
      <c r="X1300" s="63">
        <v>196</v>
      </c>
      <c r="Y1300" s="63">
        <v>183</v>
      </c>
      <c r="Z1300" s="63">
        <v>252</v>
      </c>
      <c r="AA1300" s="63">
        <v>255</v>
      </c>
      <c r="AB1300" s="63">
        <v>251</v>
      </c>
    </row>
    <row r="1301" spans="1:28" x14ac:dyDescent="0.2">
      <c r="A1301" s="62">
        <v>107</v>
      </c>
      <c r="B1301" s="62" t="s">
        <v>397</v>
      </c>
      <c r="C1301" s="62">
        <v>22</v>
      </c>
      <c r="D1301" s="62" t="s">
        <v>321</v>
      </c>
      <c r="E1301" s="62"/>
      <c r="F1301" s="62"/>
      <c r="G1301" s="62"/>
      <c r="H1301" s="63">
        <v>145</v>
      </c>
      <c r="I1301" s="63">
        <v>147</v>
      </c>
      <c r="J1301" s="63">
        <v>146</v>
      </c>
      <c r="K1301" s="63">
        <v>147</v>
      </c>
      <c r="L1301" s="63">
        <v>148</v>
      </c>
      <c r="M1301" s="62"/>
      <c r="N1301" s="62"/>
      <c r="O1301" s="63">
        <v>141</v>
      </c>
      <c r="P1301" s="63">
        <v>142</v>
      </c>
      <c r="Q1301" s="63">
        <v>136</v>
      </c>
      <c r="R1301" s="63">
        <v>143</v>
      </c>
      <c r="S1301" s="63">
        <v>149</v>
      </c>
      <c r="T1301" s="63">
        <v>151</v>
      </c>
      <c r="U1301" s="63">
        <v>151</v>
      </c>
      <c r="V1301" s="63">
        <v>155</v>
      </c>
      <c r="W1301" s="63">
        <v>155</v>
      </c>
      <c r="X1301" s="63">
        <v>149</v>
      </c>
      <c r="Y1301" s="63">
        <v>149</v>
      </c>
      <c r="Z1301" s="63">
        <v>150</v>
      </c>
      <c r="AA1301" s="63">
        <v>148</v>
      </c>
      <c r="AB1301" s="63">
        <v>145</v>
      </c>
    </row>
    <row r="1302" spans="1:28" x14ac:dyDescent="0.2">
      <c r="A1302" s="62">
        <v>107</v>
      </c>
      <c r="B1302" s="62" t="s">
        <v>397</v>
      </c>
      <c r="C1302" s="62">
        <v>23</v>
      </c>
      <c r="D1302" s="62" t="s">
        <v>322</v>
      </c>
      <c r="E1302" s="63">
        <v>2983</v>
      </c>
      <c r="F1302" s="63">
        <v>2921</v>
      </c>
      <c r="G1302" s="63">
        <v>2599</v>
      </c>
      <c r="H1302" s="63">
        <v>2651</v>
      </c>
      <c r="I1302" s="63">
        <v>3032</v>
      </c>
      <c r="J1302" s="63">
        <v>3116</v>
      </c>
      <c r="K1302" s="63">
        <v>3534</v>
      </c>
      <c r="L1302" s="63">
        <v>3231</v>
      </c>
      <c r="M1302" s="63">
        <v>2453</v>
      </c>
      <c r="N1302" s="63">
        <v>1726</v>
      </c>
      <c r="O1302" s="63">
        <v>1612</v>
      </c>
      <c r="P1302" s="63">
        <v>1618</v>
      </c>
      <c r="Q1302" s="63">
        <v>2100</v>
      </c>
      <c r="R1302" s="63">
        <v>1874</v>
      </c>
      <c r="S1302" s="63">
        <v>1556</v>
      </c>
      <c r="T1302" s="63">
        <v>1589</v>
      </c>
      <c r="U1302" s="63">
        <v>1680</v>
      </c>
      <c r="V1302" s="63">
        <v>1757</v>
      </c>
      <c r="W1302" s="63">
        <v>1805</v>
      </c>
      <c r="X1302" s="63">
        <v>1836</v>
      </c>
      <c r="Y1302" s="63">
        <v>1886</v>
      </c>
      <c r="Z1302" s="63">
        <v>1888</v>
      </c>
      <c r="AA1302" s="63">
        <v>1955</v>
      </c>
      <c r="AB1302" s="63">
        <v>2055</v>
      </c>
    </row>
    <row r="1303" spans="1:28" x14ac:dyDescent="0.2">
      <c r="A1303" s="62">
        <v>107</v>
      </c>
      <c r="B1303" s="62" t="s">
        <v>397</v>
      </c>
      <c r="C1303" s="62">
        <v>3</v>
      </c>
      <c r="D1303" s="62" t="s">
        <v>323</v>
      </c>
      <c r="E1303" s="63">
        <v>1335</v>
      </c>
      <c r="F1303" s="63">
        <v>1362</v>
      </c>
      <c r="G1303" s="63">
        <v>1368</v>
      </c>
      <c r="H1303" s="63">
        <v>1373</v>
      </c>
      <c r="I1303" s="63">
        <v>1382</v>
      </c>
      <c r="J1303" s="63">
        <v>1395</v>
      </c>
      <c r="K1303" s="63">
        <v>1432</v>
      </c>
      <c r="L1303" s="63">
        <v>1513</v>
      </c>
      <c r="M1303" s="63">
        <v>1498</v>
      </c>
      <c r="N1303" s="63">
        <v>1458</v>
      </c>
      <c r="O1303" s="63">
        <v>1419</v>
      </c>
      <c r="P1303" s="63">
        <v>1454</v>
      </c>
      <c r="Q1303" s="63">
        <v>1462</v>
      </c>
      <c r="R1303" s="63">
        <v>1493</v>
      </c>
      <c r="S1303" s="63">
        <v>1504</v>
      </c>
      <c r="T1303" s="63">
        <v>1536</v>
      </c>
      <c r="U1303" s="63">
        <v>1537</v>
      </c>
      <c r="V1303" s="63">
        <v>1541</v>
      </c>
      <c r="W1303" s="63">
        <v>1548</v>
      </c>
      <c r="X1303" s="63">
        <v>1454</v>
      </c>
      <c r="Y1303" s="63">
        <v>1493</v>
      </c>
      <c r="Z1303" s="63">
        <v>1555</v>
      </c>
      <c r="AA1303" s="63">
        <v>1689</v>
      </c>
      <c r="AB1303" s="63">
        <v>1759</v>
      </c>
    </row>
    <row r="1304" spans="1:28" x14ac:dyDescent="0.2">
      <c r="A1304" s="62">
        <v>107</v>
      </c>
      <c r="B1304" s="62" t="s">
        <v>397</v>
      </c>
      <c r="C1304" s="62" t="s">
        <v>324</v>
      </c>
      <c r="D1304" s="62" t="s">
        <v>325</v>
      </c>
      <c r="E1304" s="63">
        <v>168</v>
      </c>
      <c r="F1304" s="63">
        <v>173</v>
      </c>
      <c r="G1304" s="63">
        <v>179</v>
      </c>
      <c r="H1304" s="63">
        <v>177</v>
      </c>
      <c r="I1304" s="63">
        <v>165</v>
      </c>
      <c r="J1304" s="63">
        <v>172</v>
      </c>
      <c r="K1304" s="63">
        <v>198</v>
      </c>
      <c r="L1304" s="63">
        <v>202</v>
      </c>
      <c r="M1304" s="63">
        <v>167</v>
      </c>
      <c r="N1304" s="63">
        <v>161</v>
      </c>
      <c r="O1304" s="63">
        <v>155</v>
      </c>
      <c r="P1304" s="63">
        <v>159</v>
      </c>
      <c r="Q1304" s="63">
        <v>166</v>
      </c>
      <c r="R1304" s="63">
        <v>165</v>
      </c>
      <c r="S1304" s="63">
        <v>164</v>
      </c>
      <c r="T1304" s="63">
        <v>171</v>
      </c>
      <c r="U1304" s="63">
        <v>167</v>
      </c>
      <c r="V1304" s="63">
        <v>183</v>
      </c>
      <c r="W1304" s="63">
        <v>194</v>
      </c>
      <c r="X1304" s="63">
        <v>195</v>
      </c>
      <c r="Y1304" s="63">
        <v>225</v>
      </c>
      <c r="Z1304" s="63">
        <v>283</v>
      </c>
      <c r="AA1304" s="63">
        <v>253</v>
      </c>
      <c r="AB1304" s="63">
        <v>252</v>
      </c>
    </row>
    <row r="1305" spans="1:28" x14ac:dyDescent="0.2">
      <c r="A1305" s="62">
        <v>107</v>
      </c>
      <c r="B1305" s="62" t="s">
        <v>397</v>
      </c>
      <c r="C1305" s="62">
        <v>42</v>
      </c>
      <c r="D1305" s="62" t="s">
        <v>326</v>
      </c>
      <c r="E1305" s="63">
        <v>249</v>
      </c>
      <c r="F1305" s="63">
        <v>261</v>
      </c>
      <c r="G1305" s="63">
        <v>273</v>
      </c>
      <c r="H1305" s="63">
        <v>267</v>
      </c>
      <c r="I1305" s="63">
        <v>266</v>
      </c>
      <c r="J1305" s="63">
        <v>265</v>
      </c>
      <c r="K1305" s="63">
        <v>261</v>
      </c>
      <c r="L1305" s="63">
        <v>325</v>
      </c>
      <c r="M1305" s="63">
        <v>321</v>
      </c>
      <c r="N1305" s="63">
        <v>323</v>
      </c>
      <c r="O1305" s="63">
        <v>322</v>
      </c>
      <c r="P1305" s="63">
        <v>344</v>
      </c>
      <c r="Q1305" s="63">
        <v>346</v>
      </c>
      <c r="R1305" s="63">
        <v>351</v>
      </c>
      <c r="S1305" s="63">
        <v>355</v>
      </c>
      <c r="T1305" s="63">
        <v>381</v>
      </c>
      <c r="U1305" s="63">
        <v>388</v>
      </c>
      <c r="V1305" s="63">
        <v>392</v>
      </c>
      <c r="W1305" s="63">
        <v>391</v>
      </c>
      <c r="X1305" s="63">
        <v>383</v>
      </c>
      <c r="Y1305" s="63">
        <v>355</v>
      </c>
      <c r="Z1305" s="63">
        <v>425</v>
      </c>
      <c r="AA1305" s="63">
        <v>429</v>
      </c>
      <c r="AB1305" s="63">
        <v>384</v>
      </c>
    </row>
    <row r="1306" spans="1:28" x14ac:dyDescent="0.2">
      <c r="A1306" s="62">
        <v>107</v>
      </c>
      <c r="B1306" s="62" t="s">
        <v>397</v>
      </c>
      <c r="C1306" s="62" t="s">
        <v>327</v>
      </c>
      <c r="D1306" s="62" t="s">
        <v>328</v>
      </c>
      <c r="E1306" s="63">
        <v>1823</v>
      </c>
      <c r="F1306" s="63">
        <v>1817</v>
      </c>
      <c r="G1306" s="63">
        <v>1812</v>
      </c>
      <c r="H1306" s="63">
        <v>1849</v>
      </c>
      <c r="I1306" s="63">
        <v>1910</v>
      </c>
      <c r="J1306" s="63">
        <v>1892</v>
      </c>
      <c r="K1306" s="63">
        <v>2010</v>
      </c>
      <c r="L1306" s="63">
        <v>1988</v>
      </c>
      <c r="M1306" s="63">
        <v>1795</v>
      </c>
      <c r="N1306" s="63">
        <v>1739</v>
      </c>
      <c r="O1306" s="63">
        <v>1724</v>
      </c>
      <c r="P1306" s="63">
        <v>1684</v>
      </c>
      <c r="Q1306" s="63">
        <v>1681</v>
      </c>
      <c r="R1306" s="63">
        <v>1688</v>
      </c>
      <c r="S1306" s="63">
        <v>1764</v>
      </c>
      <c r="T1306" s="63">
        <v>1829</v>
      </c>
      <c r="U1306" s="63">
        <v>1825</v>
      </c>
      <c r="V1306" s="63">
        <v>1867</v>
      </c>
      <c r="W1306" s="63">
        <v>1886</v>
      </c>
      <c r="X1306" s="63">
        <v>1813</v>
      </c>
      <c r="Y1306" s="63">
        <v>1836</v>
      </c>
      <c r="Z1306" s="63">
        <v>1813</v>
      </c>
      <c r="AA1306" s="63">
        <v>1966</v>
      </c>
      <c r="AB1306" s="63">
        <v>2046</v>
      </c>
    </row>
    <row r="1307" spans="1:28" x14ac:dyDescent="0.2">
      <c r="A1307" s="62">
        <v>107</v>
      </c>
      <c r="B1307" s="62" t="s">
        <v>397</v>
      </c>
      <c r="C1307" s="62" t="s">
        <v>329</v>
      </c>
      <c r="D1307" s="62" t="s">
        <v>330</v>
      </c>
      <c r="E1307" s="63">
        <v>356</v>
      </c>
      <c r="F1307" s="63">
        <v>346</v>
      </c>
      <c r="G1307" s="63">
        <v>340</v>
      </c>
      <c r="H1307" s="63">
        <v>348</v>
      </c>
      <c r="I1307" s="63">
        <v>372</v>
      </c>
      <c r="J1307" s="63">
        <v>363</v>
      </c>
      <c r="K1307" s="63">
        <v>369</v>
      </c>
      <c r="L1307" s="63">
        <v>416</v>
      </c>
      <c r="M1307" s="63">
        <v>396</v>
      </c>
      <c r="N1307" s="63">
        <v>381</v>
      </c>
      <c r="O1307" s="63">
        <v>370</v>
      </c>
      <c r="P1307" s="63">
        <v>372</v>
      </c>
      <c r="Q1307" s="63">
        <v>392</v>
      </c>
      <c r="R1307" s="63">
        <v>403</v>
      </c>
      <c r="S1307" s="63">
        <v>437</v>
      </c>
      <c r="T1307" s="63">
        <v>461</v>
      </c>
      <c r="U1307" s="63">
        <v>422</v>
      </c>
      <c r="V1307" s="63">
        <v>423</v>
      </c>
      <c r="W1307" s="63">
        <v>412</v>
      </c>
      <c r="X1307" s="63">
        <v>363</v>
      </c>
      <c r="Y1307" s="63">
        <v>394</v>
      </c>
      <c r="Z1307" s="63">
        <v>407</v>
      </c>
      <c r="AA1307" s="63">
        <v>437</v>
      </c>
      <c r="AB1307" s="63">
        <v>457</v>
      </c>
    </row>
    <row r="1308" spans="1:28" x14ac:dyDescent="0.2">
      <c r="A1308" s="62">
        <v>107</v>
      </c>
      <c r="B1308" s="62" t="s">
        <v>397</v>
      </c>
      <c r="C1308" s="62">
        <v>51</v>
      </c>
      <c r="D1308" s="62" t="s">
        <v>331</v>
      </c>
      <c r="E1308" s="63">
        <v>239</v>
      </c>
      <c r="F1308" s="63">
        <v>212</v>
      </c>
      <c r="G1308" s="63">
        <v>199</v>
      </c>
      <c r="H1308" s="63">
        <v>204</v>
      </c>
      <c r="I1308" s="63">
        <v>199</v>
      </c>
      <c r="J1308" s="63">
        <v>208</v>
      </c>
      <c r="K1308" s="63">
        <v>218</v>
      </c>
      <c r="L1308" s="63">
        <v>209</v>
      </c>
      <c r="M1308" s="63">
        <v>200</v>
      </c>
      <c r="N1308" s="63">
        <v>195</v>
      </c>
      <c r="O1308" s="63">
        <v>184</v>
      </c>
      <c r="P1308" s="63">
        <v>176</v>
      </c>
      <c r="Q1308" s="63">
        <v>169</v>
      </c>
      <c r="R1308" s="63">
        <v>166</v>
      </c>
      <c r="S1308" s="63">
        <v>174</v>
      </c>
      <c r="T1308" s="63">
        <v>173</v>
      </c>
      <c r="U1308" s="63">
        <v>145</v>
      </c>
      <c r="V1308" s="63">
        <v>154</v>
      </c>
      <c r="W1308" s="63">
        <v>157</v>
      </c>
      <c r="X1308" s="63">
        <v>129</v>
      </c>
      <c r="Y1308" s="63">
        <v>142</v>
      </c>
      <c r="Z1308" s="63">
        <v>143</v>
      </c>
      <c r="AA1308" s="63">
        <v>152</v>
      </c>
      <c r="AB1308" s="63">
        <v>160</v>
      </c>
    </row>
    <row r="1309" spans="1:28" x14ac:dyDescent="0.2">
      <c r="A1309" s="62">
        <v>107</v>
      </c>
      <c r="B1309" s="62" t="s">
        <v>397</v>
      </c>
      <c r="C1309" s="62">
        <v>52</v>
      </c>
      <c r="D1309" s="62" t="s">
        <v>332</v>
      </c>
      <c r="E1309" s="63">
        <v>323</v>
      </c>
      <c r="F1309" s="63">
        <v>309</v>
      </c>
      <c r="G1309" s="63">
        <v>331</v>
      </c>
      <c r="H1309" s="63">
        <v>342</v>
      </c>
      <c r="I1309" s="63">
        <v>383</v>
      </c>
      <c r="J1309" s="63">
        <v>387</v>
      </c>
      <c r="K1309" s="63">
        <v>431</v>
      </c>
      <c r="L1309" s="63">
        <v>411</v>
      </c>
      <c r="M1309" s="63">
        <v>385</v>
      </c>
      <c r="N1309" s="63">
        <v>362</v>
      </c>
      <c r="O1309" s="63">
        <v>356</v>
      </c>
      <c r="P1309" s="63">
        <v>354</v>
      </c>
      <c r="Q1309" s="63">
        <v>357</v>
      </c>
      <c r="R1309" s="63">
        <v>361</v>
      </c>
      <c r="S1309" s="63">
        <v>371</v>
      </c>
      <c r="T1309" s="63">
        <v>373</v>
      </c>
      <c r="U1309" s="63">
        <v>384</v>
      </c>
      <c r="V1309" s="63">
        <v>394</v>
      </c>
      <c r="W1309" s="63">
        <v>406</v>
      </c>
      <c r="X1309" s="63">
        <v>404</v>
      </c>
      <c r="Y1309" s="63">
        <v>435</v>
      </c>
      <c r="Z1309" s="63">
        <v>461</v>
      </c>
      <c r="AA1309" s="63">
        <v>443</v>
      </c>
      <c r="AB1309" s="63">
        <v>446</v>
      </c>
    </row>
    <row r="1310" spans="1:28" x14ac:dyDescent="0.2">
      <c r="A1310" s="62">
        <v>107</v>
      </c>
      <c r="B1310" s="62" t="s">
        <v>397</v>
      </c>
      <c r="C1310" s="62">
        <v>53</v>
      </c>
      <c r="D1310" s="62" t="s">
        <v>333</v>
      </c>
      <c r="E1310" s="63">
        <v>1107</v>
      </c>
      <c r="F1310" s="63">
        <v>1138</v>
      </c>
      <c r="G1310" s="63">
        <v>1162</v>
      </c>
      <c r="H1310" s="63">
        <v>1199</v>
      </c>
      <c r="I1310" s="63">
        <v>1280</v>
      </c>
      <c r="J1310" s="63">
        <v>1351</v>
      </c>
      <c r="K1310" s="63">
        <v>1445</v>
      </c>
      <c r="L1310" s="63">
        <v>1444</v>
      </c>
      <c r="M1310" s="63">
        <v>1341</v>
      </c>
      <c r="N1310" s="63">
        <v>1275</v>
      </c>
      <c r="O1310" s="63">
        <v>1327</v>
      </c>
      <c r="P1310" s="63">
        <v>1310</v>
      </c>
      <c r="Q1310" s="63">
        <v>1290</v>
      </c>
      <c r="R1310" s="63">
        <v>1342</v>
      </c>
      <c r="S1310" s="63">
        <v>1333</v>
      </c>
      <c r="T1310" s="63">
        <v>1372</v>
      </c>
      <c r="U1310" s="63">
        <v>1435</v>
      </c>
      <c r="V1310" s="63">
        <v>1806</v>
      </c>
      <c r="W1310" s="63">
        <v>1844</v>
      </c>
      <c r="X1310" s="63">
        <v>1648</v>
      </c>
      <c r="Y1310" s="63">
        <v>1613</v>
      </c>
      <c r="Z1310" s="63">
        <v>1628</v>
      </c>
      <c r="AA1310" s="63">
        <v>1462</v>
      </c>
      <c r="AB1310" s="63">
        <v>1297</v>
      </c>
    </row>
    <row r="1311" spans="1:28" x14ac:dyDescent="0.2">
      <c r="A1311" s="62">
        <v>107</v>
      </c>
      <c r="B1311" s="62" t="s">
        <v>397</v>
      </c>
      <c r="C1311" s="62">
        <v>54</v>
      </c>
      <c r="D1311" s="62" t="s">
        <v>334</v>
      </c>
      <c r="E1311" s="63">
        <v>823</v>
      </c>
      <c r="F1311" s="63">
        <v>850</v>
      </c>
      <c r="G1311" s="63">
        <v>913</v>
      </c>
      <c r="H1311" s="63">
        <v>917</v>
      </c>
      <c r="I1311" s="63">
        <v>954</v>
      </c>
      <c r="J1311" s="63">
        <v>1039</v>
      </c>
      <c r="K1311" s="63">
        <v>1178</v>
      </c>
      <c r="L1311" s="63">
        <v>1186</v>
      </c>
      <c r="M1311" s="63">
        <v>1145</v>
      </c>
      <c r="N1311" s="63">
        <v>1138</v>
      </c>
      <c r="O1311" s="63">
        <v>1158</v>
      </c>
      <c r="P1311" s="63">
        <v>1250</v>
      </c>
      <c r="Q1311" s="63">
        <v>1283</v>
      </c>
      <c r="R1311" s="63">
        <v>1339</v>
      </c>
      <c r="S1311" s="63">
        <v>1337</v>
      </c>
      <c r="T1311" s="63">
        <v>1297</v>
      </c>
      <c r="U1311" s="63">
        <v>1232</v>
      </c>
      <c r="V1311" s="63">
        <v>1222</v>
      </c>
      <c r="W1311" s="63">
        <v>1283</v>
      </c>
      <c r="X1311" s="63">
        <v>1293</v>
      </c>
      <c r="Y1311" s="63">
        <v>1427</v>
      </c>
      <c r="Z1311" s="63">
        <v>1480</v>
      </c>
      <c r="AA1311" s="63">
        <v>1514</v>
      </c>
      <c r="AB1311" s="63">
        <v>1532</v>
      </c>
    </row>
    <row r="1312" spans="1:28" x14ac:dyDescent="0.2">
      <c r="A1312" s="62">
        <v>107</v>
      </c>
      <c r="B1312" s="62" t="s">
        <v>397</v>
      </c>
      <c r="C1312" s="62">
        <v>55</v>
      </c>
      <c r="D1312" s="62" t="s">
        <v>335</v>
      </c>
      <c r="E1312" s="63">
        <v>15</v>
      </c>
      <c r="F1312" s="63">
        <v>16</v>
      </c>
      <c r="G1312" s="63">
        <v>22</v>
      </c>
      <c r="H1312" s="63">
        <v>23</v>
      </c>
      <c r="I1312" s="63">
        <v>15</v>
      </c>
      <c r="J1312" s="62"/>
      <c r="K1312" s="62"/>
      <c r="L1312" s="63">
        <v>22</v>
      </c>
      <c r="M1312" s="63">
        <v>27</v>
      </c>
      <c r="N1312" s="63">
        <v>33</v>
      </c>
      <c r="O1312" s="63">
        <v>51</v>
      </c>
      <c r="P1312" s="63">
        <v>45</v>
      </c>
      <c r="Q1312" s="63">
        <v>35</v>
      </c>
      <c r="R1312" s="63">
        <v>40</v>
      </c>
      <c r="S1312" s="63">
        <v>56</v>
      </c>
      <c r="T1312" s="63">
        <v>43</v>
      </c>
      <c r="U1312" s="63">
        <v>40</v>
      </c>
      <c r="V1312" s="63">
        <v>37</v>
      </c>
      <c r="W1312" s="63">
        <v>50</v>
      </c>
      <c r="X1312" s="63">
        <v>82</v>
      </c>
      <c r="Y1312" s="63">
        <v>91</v>
      </c>
      <c r="Z1312" s="63">
        <v>145</v>
      </c>
      <c r="AA1312" s="63">
        <v>130</v>
      </c>
      <c r="AB1312" s="63">
        <v>130</v>
      </c>
    </row>
    <row r="1313" spans="1:28" x14ac:dyDescent="0.2">
      <c r="A1313" s="62">
        <v>107</v>
      </c>
      <c r="B1313" s="62" t="s">
        <v>397</v>
      </c>
      <c r="C1313" s="62">
        <v>56</v>
      </c>
      <c r="D1313" s="62" t="s">
        <v>336</v>
      </c>
      <c r="E1313" s="63">
        <v>542</v>
      </c>
      <c r="F1313" s="63">
        <v>527</v>
      </c>
      <c r="G1313" s="63">
        <v>548</v>
      </c>
      <c r="H1313" s="63">
        <v>613</v>
      </c>
      <c r="I1313" s="63">
        <v>688</v>
      </c>
      <c r="J1313" s="63">
        <v>753</v>
      </c>
      <c r="K1313" s="63">
        <v>798</v>
      </c>
      <c r="L1313" s="63">
        <v>747</v>
      </c>
      <c r="M1313" s="63">
        <v>649</v>
      </c>
      <c r="N1313" s="63">
        <v>619</v>
      </c>
      <c r="O1313" s="63">
        <v>649</v>
      </c>
      <c r="P1313" s="63">
        <v>664</v>
      </c>
      <c r="Q1313" s="63">
        <v>703</v>
      </c>
      <c r="R1313" s="63">
        <v>739</v>
      </c>
      <c r="S1313" s="63">
        <v>887</v>
      </c>
      <c r="T1313" s="63">
        <v>921</v>
      </c>
      <c r="U1313" s="63">
        <v>1009</v>
      </c>
      <c r="V1313" s="63">
        <v>1114</v>
      </c>
      <c r="W1313" s="63">
        <v>1250</v>
      </c>
      <c r="X1313" s="63">
        <v>1313</v>
      </c>
      <c r="Y1313" s="63">
        <v>968</v>
      </c>
      <c r="Z1313" s="63">
        <v>1154</v>
      </c>
      <c r="AA1313" s="63">
        <v>1204</v>
      </c>
      <c r="AB1313" s="63">
        <v>1203</v>
      </c>
    </row>
    <row r="1314" spans="1:28" x14ac:dyDescent="0.2">
      <c r="A1314" s="62">
        <v>107</v>
      </c>
      <c r="B1314" s="62" t="s">
        <v>397</v>
      </c>
      <c r="C1314" s="62">
        <v>61</v>
      </c>
      <c r="D1314" s="62" t="s">
        <v>337</v>
      </c>
      <c r="E1314" s="63">
        <v>105</v>
      </c>
      <c r="F1314" s="63">
        <v>116</v>
      </c>
      <c r="G1314" s="63">
        <v>119</v>
      </c>
      <c r="H1314" s="63">
        <v>121</v>
      </c>
      <c r="I1314" s="63">
        <v>188</v>
      </c>
      <c r="J1314" s="63">
        <v>193</v>
      </c>
      <c r="K1314" s="63">
        <v>213</v>
      </c>
      <c r="L1314" s="63">
        <v>212</v>
      </c>
      <c r="M1314" s="63">
        <v>218</v>
      </c>
      <c r="N1314" s="63">
        <v>199</v>
      </c>
      <c r="O1314" s="63">
        <v>187</v>
      </c>
      <c r="P1314" s="63">
        <v>206</v>
      </c>
      <c r="Q1314" s="63">
        <v>236</v>
      </c>
      <c r="R1314" s="63">
        <v>245</v>
      </c>
      <c r="S1314" s="63">
        <v>272</v>
      </c>
      <c r="T1314" s="63">
        <v>270</v>
      </c>
      <c r="U1314" s="63">
        <v>288</v>
      </c>
      <c r="V1314" s="63">
        <v>317</v>
      </c>
      <c r="W1314" s="63">
        <v>356</v>
      </c>
      <c r="X1314" s="63">
        <v>339</v>
      </c>
      <c r="Y1314" s="63">
        <v>360</v>
      </c>
      <c r="Z1314" s="63">
        <v>393</v>
      </c>
      <c r="AA1314" s="63">
        <v>428</v>
      </c>
      <c r="AB1314" s="63">
        <v>548</v>
      </c>
    </row>
    <row r="1315" spans="1:28" x14ac:dyDescent="0.2">
      <c r="A1315" s="62">
        <v>107</v>
      </c>
      <c r="B1315" s="62" t="s">
        <v>397</v>
      </c>
      <c r="C1315" s="62">
        <v>62</v>
      </c>
      <c r="D1315" s="62" t="s">
        <v>338</v>
      </c>
      <c r="E1315" s="63">
        <v>1054</v>
      </c>
      <c r="F1315" s="63">
        <v>1078</v>
      </c>
      <c r="G1315" s="63">
        <v>1143</v>
      </c>
      <c r="H1315" s="63">
        <v>1184</v>
      </c>
      <c r="I1315" s="63">
        <v>1209</v>
      </c>
      <c r="J1315" s="63">
        <v>1250</v>
      </c>
      <c r="K1315" s="63">
        <v>1309</v>
      </c>
      <c r="L1315" s="63">
        <v>1357</v>
      </c>
      <c r="M1315" s="63">
        <v>1364</v>
      </c>
      <c r="N1315" s="63">
        <v>1334</v>
      </c>
      <c r="O1315" s="63">
        <v>1374</v>
      </c>
      <c r="P1315" s="63">
        <v>1410</v>
      </c>
      <c r="Q1315" s="63">
        <v>1433</v>
      </c>
      <c r="R1315" s="63">
        <v>1416</v>
      </c>
      <c r="S1315" s="63">
        <v>1495</v>
      </c>
      <c r="T1315" s="63">
        <v>1591</v>
      </c>
      <c r="U1315" s="63">
        <v>1574</v>
      </c>
      <c r="V1315" s="63">
        <v>1347</v>
      </c>
      <c r="W1315" s="63">
        <v>1368</v>
      </c>
      <c r="X1315" s="63">
        <v>1336</v>
      </c>
      <c r="Y1315" s="63">
        <v>1365</v>
      </c>
      <c r="Z1315" s="63">
        <v>1340</v>
      </c>
      <c r="AA1315" s="63">
        <v>1461</v>
      </c>
      <c r="AB1315" s="63">
        <v>1451</v>
      </c>
    </row>
    <row r="1316" spans="1:28" x14ac:dyDescent="0.2">
      <c r="A1316" s="62">
        <v>107</v>
      </c>
      <c r="B1316" s="62" t="s">
        <v>397</v>
      </c>
      <c r="C1316" s="62">
        <v>71</v>
      </c>
      <c r="D1316" s="62" t="s">
        <v>339</v>
      </c>
      <c r="E1316" s="63">
        <v>1304</v>
      </c>
      <c r="F1316" s="63">
        <v>1282</v>
      </c>
      <c r="G1316" s="63">
        <v>1291</v>
      </c>
      <c r="H1316" s="63">
        <v>1243</v>
      </c>
      <c r="I1316" s="63">
        <v>1325</v>
      </c>
      <c r="J1316" s="63">
        <v>1259</v>
      </c>
      <c r="K1316" s="63">
        <v>1346</v>
      </c>
      <c r="L1316" s="63">
        <v>1341</v>
      </c>
      <c r="M1316" s="63">
        <v>1253</v>
      </c>
      <c r="N1316" s="63">
        <v>1336</v>
      </c>
      <c r="O1316" s="63">
        <v>1405</v>
      </c>
      <c r="P1316" s="63">
        <v>1433</v>
      </c>
      <c r="Q1316" s="63">
        <v>1476</v>
      </c>
      <c r="R1316" s="63">
        <v>1589</v>
      </c>
      <c r="S1316" s="63">
        <v>1609</v>
      </c>
      <c r="T1316" s="63">
        <v>1695</v>
      </c>
      <c r="U1316" s="63">
        <v>1803</v>
      </c>
      <c r="V1316" s="63">
        <v>1861</v>
      </c>
      <c r="W1316" s="63">
        <v>1878</v>
      </c>
      <c r="X1316" s="63">
        <v>1435</v>
      </c>
      <c r="Y1316" s="63">
        <v>1542</v>
      </c>
      <c r="Z1316" s="63">
        <v>1648</v>
      </c>
      <c r="AA1316" s="63">
        <v>1780</v>
      </c>
      <c r="AB1316" s="63">
        <v>1784</v>
      </c>
    </row>
    <row r="1317" spans="1:28" x14ac:dyDescent="0.2">
      <c r="A1317" s="62">
        <v>107</v>
      </c>
      <c r="B1317" s="62" t="s">
        <v>397</v>
      </c>
      <c r="C1317" s="62">
        <v>72</v>
      </c>
      <c r="D1317" s="62" t="s">
        <v>340</v>
      </c>
      <c r="E1317" s="63">
        <v>2191</v>
      </c>
      <c r="F1317" s="63">
        <v>2201</v>
      </c>
      <c r="G1317" s="63">
        <v>2191</v>
      </c>
      <c r="H1317" s="63">
        <v>2226</v>
      </c>
      <c r="I1317" s="63">
        <v>2225</v>
      </c>
      <c r="J1317" s="63">
        <v>2267</v>
      </c>
      <c r="K1317" s="63">
        <v>2278</v>
      </c>
      <c r="L1317" s="63">
        <v>2190</v>
      </c>
      <c r="M1317" s="63">
        <v>2032</v>
      </c>
      <c r="N1317" s="63">
        <v>1984</v>
      </c>
      <c r="O1317" s="63">
        <v>2116</v>
      </c>
      <c r="P1317" s="63">
        <v>2148</v>
      </c>
      <c r="Q1317" s="63">
        <v>2186</v>
      </c>
      <c r="R1317" s="63">
        <v>2280</v>
      </c>
      <c r="S1317" s="63">
        <v>2332</v>
      </c>
      <c r="T1317" s="63">
        <v>2380</v>
      </c>
      <c r="U1317" s="63">
        <v>2478</v>
      </c>
      <c r="V1317" s="63">
        <v>2484</v>
      </c>
      <c r="W1317" s="63">
        <v>2442</v>
      </c>
      <c r="X1317" s="63">
        <v>2068</v>
      </c>
      <c r="Y1317" s="63">
        <v>2415</v>
      </c>
      <c r="Z1317" s="63">
        <v>2552</v>
      </c>
      <c r="AA1317" s="63">
        <v>2761</v>
      </c>
      <c r="AB1317" s="63">
        <v>2825</v>
      </c>
    </row>
    <row r="1318" spans="1:28" x14ac:dyDescent="0.2">
      <c r="A1318" s="62">
        <v>107</v>
      </c>
      <c r="B1318" s="62" t="s">
        <v>397</v>
      </c>
      <c r="C1318" s="62">
        <v>81</v>
      </c>
      <c r="D1318" s="62" t="s">
        <v>341</v>
      </c>
      <c r="E1318" s="63">
        <v>683</v>
      </c>
      <c r="F1318" s="63">
        <v>734</v>
      </c>
      <c r="G1318" s="63">
        <v>748</v>
      </c>
      <c r="H1318" s="63">
        <v>771</v>
      </c>
      <c r="I1318" s="63">
        <v>790</v>
      </c>
      <c r="J1318" s="63">
        <v>890</v>
      </c>
      <c r="K1318" s="63">
        <v>951</v>
      </c>
      <c r="L1318" s="63">
        <v>941</v>
      </c>
      <c r="M1318" s="63">
        <v>887</v>
      </c>
      <c r="N1318" s="63">
        <v>926</v>
      </c>
      <c r="O1318" s="63">
        <v>940</v>
      </c>
      <c r="P1318" s="63">
        <v>965</v>
      </c>
      <c r="Q1318" s="63">
        <v>1019</v>
      </c>
      <c r="R1318" s="63">
        <v>1078</v>
      </c>
      <c r="S1318" s="63">
        <v>1126</v>
      </c>
      <c r="T1318" s="63">
        <v>1144</v>
      </c>
      <c r="U1318" s="63">
        <v>1136</v>
      </c>
      <c r="V1318" s="63">
        <v>790</v>
      </c>
      <c r="W1318" s="63">
        <v>708</v>
      </c>
      <c r="X1318" s="63">
        <v>696</v>
      </c>
      <c r="Y1318" s="63">
        <v>719</v>
      </c>
      <c r="Z1318" s="63">
        <v>727</v>
      </c>
      <c r="AA1318" s="63">
        <v>774</v>
      </c>
      <c r="AB1318" s="63">
        <v>852</v>
      </c>
    </row>
    <row r="1319" spans="1:28" x14ac:dyDescent="0.2">
      <c r="A1319" s="62">
        <v>107</v>
      </c>
      <c r="B1319" s="62" t="s">
        <v>397</v>
      </c>
      <c r="C1319" s="62">
        <v>99</v>
      </c>
      <c r="D1319" s="62" t="s">
        <v>342</v>
      </c>
      <c r="E1319" s="62"/>
      <c r="F1319" s="62"/>
      <c r="G1319" s="62"/>
      <c r="H1319" s="63">
        <v>0</v>
      </c>
      <c r="I1319" s="63">
        <v>1</v>
      </c>
      <c r="J1319" s="62"/>
      <c r="K1319" s="62"/>
      <c r="L1319" s="62"/>
      <c r="M1319" s="62"/>
      <c r="N1319" s="62"/>
      <c r="O1319" s="63">
        <v>0</v>
      </c>
      <c r="P1319" s="63">
        <v>0</v>
      </c>
      <c r="Q1319" s="63">
        <v>0</v>
      </c>
      <c r="R1319" s="63">
        <v>2</v>
      </c>
      <c r="S1319" s="63">
        <v>0</v>
      </c>
      <c r="T1319" s="63">
        <v>1</v>
      </c>
      <c r="U1319" s="63">
        <v>1</v>
      </c>
      <c r="V1319" s="63">
        <v>0</v>
      </c>
      <c r="W1319" s="63">
        <v>0</v>
      </c>
      <c r="X1319" s="63">
        <v>0</v>
      </c>
      <c r="Y1319" s="63">
        <v>6</v>
      </c>
      <c r="Z1319" s="63">
        <v>6</v>
      </c>
      <c r="AA1319" s="63">
        <v>3</v>
      </c>
      <c r="AB1319" s="63">
        <v>2</v>
      </c>
    </row>
    <row r="1320" spans="1:28" x14ac:dyDescent="0.2">
      <c r="A1320" s="62">
        <v>109</v>
      </c>
      <c r="B1320" s="62" t="s">
        <v>398</v>
      </c>
      <c r="C1320" s="62">
        <v>1</v>
      </c>
      <c r="D1320" s="62" t="s">
        <v>316</v>
      </c>
      <c r="E1320" s="63">
        <v>77</v>
      </c>
      <c r="F1320" s="63">
        <v>82</v>
      </c>
      <c r="G1320" s="63">
        <v>75</v>
      </c>
      <c r="H1320" s="63">
        <v>71</v>
      </c>
      <c r="I1320" s="63">
        <v>54</v>
      </c>
      <c r="J1320" s="63">
        <v>47</v>
      </c>
      <c r="K1320" s="63">
        <v>47</v>
      </c>
      <c r="L1320" s="63">
        <v>47</v>
      </c>
      <c r="M1320" s="63">
        <v>48</v>
      </c>
      <c r="N1320" s="63">
        <v>54</v>
      </c>
      <c r="O1320" s="63">
        <v>46</v>
      </c>
      <c r="P1320" s="63">
        <v>46</v>
      </c>
      <c r="Q1320" s="63">
        <v>47</v>
      </c>
      <c r="R1320" s="63">
        <v>47</v>
      </c>
      <c r="S1320" s="63">
        <v>45</v>
      </c>
      <c r="T1320" s="63">
        <v>44</v>
      </c>
      <c r="U1320" s="63">
        <v>44</v>
      </c>
      <c r="V1320" s="63">
        <v>41</v>
      </c>
      <c r="W1320" s="63">
        <v>42</v>
      </c>
      <c r="X1320" s="63">
        <v>46</v>
      </c>
      <c r="Y1320" s="63">
        <v>37</v>
      </c>
      <c r="Z1320" s="63">
        <v>36</v>
      </c>
      <c r="AA1320" s="63">
        <v>40</v>
      </c>
      <c r="AB1320" s="63">
        <v>42</v>
      </c>
    </row>
    <row r="1321" spans="1:28" x14ac:dyDescent="0.2">
      <c r="A1321" s="62">
        <v>109</v>
      </c>
      <c r="B1321" s="62" t="s">
        <v>398</v>
      </c>
      <c r="C1321" s="62">
        <v>10</v>
      </c>
      <c r="D1321" s="62" t="s">
        <v>317</v>
      </c>
      <c r="E1321" s="63">
        <v>2131</v>
      </c>
      <c r="F1321" s="63">
        <v>2259</v>
      </c>
      <c r="G1321" s="63">
        <v>2264</v>
      </c>
      <c r="H1321" s="63">
        <v>2296</v>
      </c>
      <c r="I1321" s="63">
        <v>2363</v>
      </c>
      <c r="J1321" s="63">
        <v>2301</v>
      </c>
      <c r="K1321" s="63">
        <v>2311</v>
      </c>
      <c r="L1321" s="63">
        <v>2162</v>
      </c>
      <c r="M1321" s="63">
        <v>2143</v>
      </c>
      <c r="N1321" s="63">
        <v>2133</v>
      </c>
      <c r="O1321" s="63">
        <v>2068</v>
      </c>
      <c r="P1321" s="63">
        <v>2221</v>
      </c>
      <c r="Q1321" s="63">
        <v>2117</v>
      </c>
      <c r="R1321" s="63">
        <v>2143</v>
      </c>
      <c r="S1321" s="63">
        <v>2245</v>
      </c>
      <c r="T1321" s="63">
        <v>2187</v>
      </c>
      <c r="U1321" s="63">
        <v>2232</v>
      </c>
      <c r="V1321" s="63">
        <v>2203</v>
      </c>
      <c r="W1321" s="63">
        <v>2308</v>
      </c>
      <c r="X1321" s="63">
        <v>2185</v>
      </c>
      <c r="Y1321" s="63">
        <v>2265</v>
      </c>
      <c r="Z1321" s="63">
        <v>2222</v>
      </c>
      <c r="AA1321" s="63">
        <v>2583</v>
      </c>
      <c r="AB1321" s="63">
        <v>2813</v>
      </c>
    </row>
    <row r="1322" spans="1:28" x14ac:dyDescent="0.2">
      <c r="A1322" s="62">
        <v>109</v>
      </c>
      <c r="B1322" s="62" t="s">
        <v>398</v>
      </c>
      <c r="C1322" s="62">
        <v>11</v>
      </c>
      <c r="D1322" s="62" t="s">
        <v>318</v>
      </c>
      <c r="E1322" s="63">
        <v>486</v>
      </c>
      <c r="F1322" s="63">
        <v>558</v>
      </c>
      <c r="G1322" s="63">
        <v>546</v>
      </c>
      <c r="H1322" s="63">
        <v>583</v>
      </c>
      <c r="I1322" s="63">
        <v>630</v>
      </c>
      <c r="J1322" s="63">
        <v>673</v>
      </c>
      <c r="K1322" s="63">
        <v>650</v>
      </c>
      <c r="L1322" s="63">
        <v>497</v>
      </c>
      <c r="M1322" s="63">
        <v>502</v>
      </c>
      <c r="N1322" s="63">
        <v>472</v>
      </c>
      <c r="O1322" s="63">
        <v>452</v>
      </c>
      <c r="P1322" s="63">
        <v>549</v>
      </c>
      <c r="Q1322" s="63">
        <v>470</v>
      </c>
      <c r="R1322" s="63">
        <v>439</v>
      </c>
      <c r="S1322" s="63">
        <v>480</v>
      </c>
      <c r="T1322" s="63">
        <v>443</v>
      </c>
      <c r="U1322" s="63">
        <v>412</v>
      </c>
      <c r="V1322" s="63">
        <v>384</v>
      </c>
      <c r="W1322" s="63">
        <v>436</v>
      </c>
      <c r="X1322" s="63">
        <v>393</v>
      </c>
      <c r="Y1322" s="63">
        <v>383</v>
      </c>
      <c r="Z1322" s="63">
        <v>324</v>
      </c>
      <c r="AA1322" s="63">
        <v>389</v>
      </c>
      <c r="AB1322" s="63">
        <v>408</v>
      </c>
    </row>
    <row r="1323" spans="1:28" x14ac:dyDescent="0.2">
      <c r="A1323" s="62">
        <v>109</v>
      </c>
      <c r="B1323" s="62" t="s">
        <v>398</v>
      </c>
      <c r="C1323" s="62">
        <v>2</v>
      </c>
      <c r="D1323" s="62" t="s">
        <v>319</v>
      </c>
      <c r="E1323" s="63">
        <v>13</v>
      </c>
      <c r="F1323" s="63">
        <v>14</v>
      </c>
      <c r="G1323" s="63">
        <v>16</v>
      </c>
      <c r="H1323" s="63">
        <v>14</v>
      </c>
      <c r="I1323" s="63">
        <v>14</v>
      </c>
      <c r="J1323" s="63">
        <v>13</v>
      </c>
      <c r="K1323" s="63">
        <v>13</v>
      </c>
      <c r="L1323" s="63">
        <v>16</v>
      </c>
      <c r="M1323" s="63">
        <v>16</v>
      </c>
      <c r="N1323" s="63">
        <v>14</v>
      </c>
      <c r="O1323" s="63">
        <v>12</v>
      </c>
      <c r="P1323" s="63">
        <v>15</v>
      </c>
      <c r="Q1323" s="63">
        <v>15</v>
      </c>
      <c r="R1323" s="63">
        <v>15</v>
      </c>
      <c r="S1323" s="63">
        <v>14</v>
      </c>
      <c r="T1323" s="63">
        <v>13</v>
      </c>
      <c r="U1323" s="63">
        <v>14</v>
      </c>
      <c r="V1323" s="63">
        <v>14</v>
      </c>
      <c r="W1323" s="63">
        <v>14</v>
      </c>
      <c r="X1323" s="63">
        <v>14</v>
      </c>
      <c r="Y1323" s="63">
        <v>15</v>
      </c>
      <c r="Z1323" s="63">
        <v>15</v>
      </c>
      <c r="AA1323" s="63">
        <v>14</v>
      </c>
      <c r="AB1323" s="63">
        <v>16</v>
      </c>
    </row>
    <row r="1324" spans="1:28" x14ac:dyDescent="0.2">
      <c r="A1324" s="62">
        <v>109</v>
      </c>
      <c r="B1324" s="62" t="s">
        <v>398</v>
      </c>
      <c r="C1324" s="62">
        <v>21</v>
      </c>
      <c r="D1324" s="62" t="s">
        <v>320</v>
      </c>
      <c r="E1324" s="63">
        <v>11</v>
      </c>
      <c r="F1324" s="62"/>
      <c r="G1324" s="62"/>
      <c r="H1324" s="62"/>
      <c r="I1324" s="62"/>
      <c r="J1324" s="62"/>
      <c r="K1324" s="62"/>
      <c r="L1324" s="62"/>
      <c r="M1324" s="62"/>
      <c r="N1324" s="63">
        <v>0</v>
      </c>
      <c r="O1324" s="62"/>
      <c r="P1324" s="62"/>
      <c r="Q1324" s="62"/>
      <c r="R1324" s="63">
        <v>1</v>
      </c>
      <c r="S1324" s="63">
        <v>1</v>
      </c>
      <c r="T1324" s="63">
        <v>1</v>
      </c>
      <c r="U1324" s="63">
        <v>1</v>
      </c>
      <c r="V1324" s="63">
        <v>1</v>
      </c>
      <c r="W1324" s="63">
        <v>1</v>
      </c>
      <c r="X1324" s="62"/>
      <c r="Y1324" s="63">
        <v>0</v>
      </c>
      <c r="Z1324" s="62"/>
      <c r="AA1324" s="62"/>
      <c r="AB1324" s="62"/>
    </row>
    <row r="1325" spans="1:28" x14ac:dyDescent="0.2">
      <c r="A1325" s="62">
        <v>109</v>
      </c>
      <c r="B1325" s="62" t="s">
        <v>398</v>
      </c>
      <c r="C1325" s="62">
        <v>23</v>
      </c>
      <c r="D1325" s="62" t="s">
        <v>322</v>
      </c>
      <c r="E1325" s="63">
        <v>159</v>
      </c>
      <c r="F1325" s="63">
        <v>169</v>
      </c>
      <c r="G1325" s="63">
        <v>183</v>
      </c>
      <c r="H1325" s="63">
        <v>192</v>
      </c>
      <c r="I1325" s="63">
        <v>199</v>
      </c>
      <c r="J1325" s="63">
        <v>162</v>
      </c>
      <c r="K1325" s="63">
        <v>178</v>
      </c>
      <c r="L1325" s="63">
        <v>180</v>
      </c>
      <c r="M1325" s="63">
        <v>158</v>
      </c>
      <c r="N1325" s="63">
        <v>135</v>
      </c>
      <c r="O1325" s="63">
        <v>123</v>
      </c>
      <c r="P1325" s="63">
        <v>143</v>
      </c>
      <c r="Q1325" s="63">
        <v>145</v>
      </c>
      <c r="R1325" s="63">
        <v>148</v>
      </c>
      <c r="S1325" s="63">
        <v>160</v>
      </c>
      <c r="T1325" s="63">
        <v>152</v>
      </c>
      <c r="U1325" s="63">
        <v>136</v>
      </c>
      <c r="V1325" s="63">
        <v>138</v>
      </c>
      <c r="W1325" s="63">
        <v>153</v>
      </c>
      <c r="X1325" s="63">
        <v>153</v>
      </c>
      <c r="Y1325" s="63">
        <v>168</v>
      </c>
      <c r="Z1325" s="63">
        <v>157</v>
      </c>
      <c r="AA1325" s="63">
        <v>176</v>
      </c>
      <c r="AB1325" s="63">
        <v>199</v>
      </c>
    </row>
    <row r="1326" spans="1:28" x14ac:dyDescent="0.2">
      <c r="A1326" s="62">
        <v>109</v>
      </c>
      <c r="B1326" s="62" t="s">
        <v>398</v>
      </c>
      <c r="C1326" s="62">
        <v>3</v>
      </c>
      <c r="D1326" s="62" t="s">
        <v>323</v>
      </c>
      <c r="E1326" s="63">
        <v>500</v>
      </c>
      <c r="F1326" s="63">
        <v>513</v>
      </c>
      <c r="G1326" s="63">
        <v>509</v>
      </c>
      <c r="H1326" s="63">
        <v>495</v>
      </c>
      <c r="I1326" s="63">
        <v>494</v>
      </c>
      <c r="J1326" s="63">
        <v>494</v>
      </c>
      <c r="K1326" s="63">
        <v>487</v>
      </c>
      <c r="L1326" s="63">
        <v>482</v>
      </c>
      <c r="M1326" s="63">
        <v>505</v>
      </c>
      <c r="N1326" s="63">
        <v>513</v>
      </c>
      <c r="O1326" s="63">
        <v>489</v>
      </c>
      <c r="P1326" s="63">
        <v>477</v>
      </c>
      <c r="Q1326" s="63">
        <v>459</v>
      </c>
      <c r="R1326" s="63">
        <v>465</v>
      </c>
      <c r="S1326" s="63">
        <v>473</v>
      </c>
      <c r="T1326" s="63">
        <v>467</v>
      </c>
      <c r="U1326" s="63">
        <v>475</v>
      </c>
      <c r="V1326" s="63">
        <v>473</v>
      </c>
      <c r="W1326" s="63">
        <v>492</v>
      </c>
      <c r="X1326" s="63">
        <v>465</v>
      </c>
      <c r="Y1326" s="63">
        <v>470</v>
      </c>
      <c r="Z1326" s="63">
        <v>496</v>
      </c>
      <c r="AA1326" s="63">
        <v>506</v>
      </c>
      <c r="AB1326" s="63">
        <v>517</v>
      </c>
    </row>
    <row r="1327" spans="1:28" x14ac:dyDescent="0.2">
      <c r="A1327" s="62">
        <v>109</v>
      </c>
      <c r="B1327" s="62" t="s">
        <v>398</v>
      </c>
      <c r="C1327" s="62" t="s">
        <v>324</v>
      </c>
      <c r="D1327" s="62" t="s">
        <v>325</v>
      </c>
      <c r="E1327" s="63">
        <v>56</v>
      </c>
      <c r="F1327" s="63">
        <v>58</v>
      </c>
      <c r="G1327" s="63">
        <v>53</v>
      </c>
      <c r="H1327" s="63">
        <v>55</v>
      </c>
      <c r="I1327" s="63">
        <v>61</v>
      </c>
      <c r="J1327" s="63">
        <v>54</v>
      </c>
      <c r="K1327" s="63">
        <v>55</v>
      </c>
      <c r="L1327" s="63">
        <v>53</v>
      </c>
      <c r="M1327" s="63">
        <v>41</v>
      </c>
      <c r="N1327" s="63">
        <v>44</v>
      </c>
      <c r="O1327" s="63">
        <v>46</v>
      </c>
      <c r="P1327" s="63">
        <v>60</v>
      </c>
      <c r="Q1327" s="63">
        <v>66</v>
      </c>
      <c r="R1327" s="63">
        <v>67</v>
      </c>
      <c r="S1327" s="63">
        <v>72</v>
      </c>
      <c r="T1327" s="63">
        <v>76</v>
      </c>
      <c r="U1327" s="63">
        <v>73</v>
      </c>
      <c r="V1327" s="63">
        <v>71</v>
      </c>
      <c r="W1327" s="63">
        <v>59</v>
      </c>
      <c r="X1327" s="63">
        <v>58</v>
      </c>
      <c r="Y1327" s="63">
        <v>59</v>
      </c>
      <c r="Z1327" s="63">
        <v>67</v>
      </c>
      <c r="AA1327" s="63">
        <v>83</v>
      </c>
      <c r="AB1327" s="63">
        <v>83</v>
      </c>
    </row>
    <row r="1328" spans="1:28" x14ac:dyDescent="0.2">
      <c r="A1328" s="62">
        <v>109</v>
      </c>
      <c r="B1328" s="62" t="s">
        <v>398</v>
      </c>
      <c r="C1328" s="62">
        <v>42</v>
      </c>
      <c r="D1328" s="62" t="s">
        <v>326</v>
      </c>
      <c r="E1328" s="63">
        <v>107</v>
      </c>
      <c r="F1328" s="63">
        <v>113</v>
      </c>
      <c r="G1328" s="63">
        <v>114</v>
      </c>
      <c r="H1328" s="63">
        <v>111</v>
      </c>
      <c r="I1328" s="63">
        <v>104</v>
      </c>
      <c r="J1328" s="63">
        <v>109</v>
      </c>
      <c r="K1328" s="63">
        <v>126</v>
      </c>
      <c r="L1328" s="63">
        <v>116</v>
      </c>
      <c r="M1328" s="63">
        <v>120</v>
      </c>
      <c r="N1328" s="63">
        <v>119</v>
      </c>
      <c r="O1328" s="63">
        <v>123</v>
      </c>
      <c r="P1328" s="63">
        <v>115</v>
      </c>
      <c r="Q1328" s="63">
        <v>112</v>
      </c>
      <c r="R1328" s="63">
        <v>121</v>
      </c>
      <c r="S1328" s="63">
        <v>139</v>
      </c>
      <c r="T1328" s="63">
        <v>117</v>
      </c>
      <c r="U1328" s="63">
        <v>110</v>
      </c>
      <c r="V1328" s="63">
        <v>116</v>
      </c>
      <c r="W1328" s="63">
        <v>130</v>
      </c>
      <c r="X1328" s="63">
        <v>126</v>
      </c>
      <c r="Y1328" s="63">
        <v>126</v>
      </c>
      <c r="Z1328" s="63">
        <v>118</v>
      </c>
      <c r="AA1328" s="63">
        <v>115</v>
      </c>
      <c r="AB1328" s="63">
        <v>121</v>
      </c>
    </row>
    <row r="1329" spans="1:28" x14ac:dyDescent="0.2">
      <c r="A1329" s="62">
        <v>109</v>
      </c>
      <c r="B1329" s="62" t="s">
        <v>398</v>
      </c>
      <c r="C1329" s="62" t="s">
        <v>327</v>
      </c>
      <c r="D1329" s="62" t="s">
        <v>328</v>
      </c>
      <c r="E1329" s="63">
        <v>170</v>
      </c>
      <c r="F1329" s="63">
        <v>175</v>
      </c>
      <c r="G1329" s="63">
        <v>174</v>
      </c>
      <c r="H1329" s="63">
        <v>162</v>
      </c>
      <c r="I1329" s="63">
        <v>159</v>
      </c>
      <c r="J1329" s="63">
        <v>138</v>
      </c>
      <c r="K1329" s="63">
        <v>144</v>
      </c>
      <c r="L1329" s="63">
        <v>143</v>
      </c>
      <c r="M1329" s="63">
        <v>142</v>
      </c>
      <c r="N1329" s="63">
        <v>137</v>
      </c>
      <c r="O1329" s="63">
        <v>157</v>
      </c>
      <c r="P1329" s="63">
        <v>170</v>
      </c>
      <c r="Q1329" s="63">
        <v>169</v>
      </c>
      <c r="R1329" s="63">
        <v>177</v>
      </c>
      <c r="S1329" s="63">
        <v>181</v>
      </c>
      <c r="T1329" s="63">
        <v>178</v>
      </c>
      <c r="U1329" s="63">
        <v>173</v>
      </c>
      <c r="V1329" s="63">
        <v>170</v>
      </c>
      <c r="W1329" s="63">
        <v>154</v>
      </c>
      <c r="X1329" s="63">
        <v>159</v>
      </c>
      <c r="Y1329" s="63">
        <v>168</v>
      </c>
      <c r="Z1329" s="63">
        <v>160</v>
      </c>
      <c r="AA1329" s="63">
        <v>182</v>
      </c>
      <c r="AB1329" s="63">
        <v>206</v>
      </c>
    </row>
    <row r="1330" spans="1:28" x14ac:dyDescent="0.2">
      <c r="A1330" s="62">
        <v>109</v>
      </c>
      <c r="B1330" s="62" t="s">
        <v>398</v>
      </c>
      <c r="C1330" s="62" t="s">
        <v>329</v>
      </c>
      <c r="D1330" s="62" t="s">
        <v>330</v>
      </c>
      <c r="E1330" s="63">
        <v>52</v>
      </c>
      <c r="F1330" s="63">
        <v>47</v>
      </c>
      <c r="G1330" s="63">
        <v>45</v>
      </c>
      <c r="H1330" s="63">
        <v>49</v>
      </c>
      <c r="I1330" s="63">
        <v>52</v>
      </c>
      <c r="J1330" s="63">
        <v>47</v>
      </c>
      <c r="K1330" s="63">
        <v>46</v>
      </c>
      <c r="L1330" s="63">
        <v>47</v>
      </c>
      <c r="M1330" s="63">
        <v>49</v>
      </c>
      <c r="N1330" s="63">
        <v>49</v>
      </c>
      <c r="O1330" s="63">
        <v>44</v>
      </c>
      <c r="P1330" s="63">
        <v>28</v>
      </c>
      <c r="Q1330" s="63">
        <v>41</v>
      </c>
      <c r="R1330" s="63">
        <v>43</v>
      </c>
      <c r="S1330" s="63">
        <v>46</v>
      </c>
      <c r="T1330" s="63">
        <v>44</v>
      </c>
      <c r="U1330" s="63">
        <v>48</v>
      </c>
      <c r="V1330" s="63">
        <v>42</v>
      </c>
      <c r="W1330" s="63">
        <v>43</v>
      </c>
      <c r="X1330" s="63">
        <v>44</v>
      </c>
      <c r="Y1330" s="63">
        <v>51</v>
      </c>
      <c r="Z1330" s="63">
        <v>54</v>
      </c>
      <c r="AA1330" s="63">
        <v>60</v>
      </c>
      <c r="AB1330" s="63">
        <v>71</v>
      </c>
    </row>
    <row r="1331" spans="1:28" x14ac:dyDescent="0.2">
      <c r="A1331" s="62">
        <v>109</v>
      </c>
      <c r="B1331" s="62" t="s">
        <v>398</v>
      </c>
      <c r="C1331" s="62">
        <v>51</v>
      </c>
      <c r="D1331" s="62" t="s">
        <v>331</v>
      </c>
      <c r="E1331" s="62"/>
      <c r="F1331" s="62"/>
      <c r="G1331" s="62"/>
      <c r="H1331" s="62"/>
      <c r="I1331" s="62"/>
      <c r="J1331" s="62"/>
      <c r="K1331" s="62"/>
      <c r="L1331" s="62"/>
      <c r="M1331" s="62"/>
      <c r="N1331" s="63">
        <v>14</v>
      </c>
      <c r="O1331" s="62"/>
      <c r="P1331" s="63">
        <v>6</v>
      </c>
      <c r="Q1331" s="63">
        <v>5</v>
      </c>
      <c r="R1331" s="63">
        <v>4</v>
      </c>
      <c r="S1331" s="63">
        <v>12</v>
      </c>
      <c r="T1331" s="63">
        <v>20</v>
      </c>
      <c r="U1331" s="63">
        <v>18</v>
      </c>
      <c r="V1331" s="63">
        <v>21</v>
      </c>
      <c r="W1331" s="63">
        <v>27</v>
      </c>
      <c r="X1331" s="62"/>
      <c r="Y1331" s="63">
        <v>9</v>
      </c>
      <c r="Z1331" s="63">
        <v>12</v>
      </c>
      <c r="AA1331" s="63">
        <v>5</v>
      </c>
      <c r="AB1331" s="63">
        <v>1</v>
      </c>
    </row>
    <row r="1332" spans="1:28" x14ac:dyDescent="0.2">
      <c r="A1332" s="62">
        <v>109</v>
      </c>
      <c r="B1332" s="62" t="s">
        <v>398</v>
      </c>
      <c r="C1332" s="62">
        <v>52</v>
      </c>
      <c r="D1332" s="62" t="s">
        <v>332</v>
      </c>
      <c r="E1332" s="63">
        <v>13</v>
      </c>
      <c r="F1332" s="63">
        <v>14</v>
      </c>
      <c r="G1332" s="63">
        <v>25</v>
      </c>
      <c r="H1332" s="63">
        <v>32</v>
      </c>
      <c r="I1332" s="63">
        <v>33</v>
      </c>
      <c r="J1332" s="63">
        <v>35</v>
      </c>
      <c r="K1332" s="63">
        <v>36</v>
      </c>
      <c r="L1332" s="63">
        <v>37</v>
      </c>
      <c r="M1332" s="63">
        <v>27</v>
      </c>
      <c r="N1332" s="63">
        <v>17</v>
      </c>
      <c r="O1332" s="63">
        <v>21</v>
      </c>
      <c r="P1332" s="63">
        <v>15</v>
      </c>
      <c r="Q1332" s="63">
        <v>12</v>
      </c>
      <c r="R1332" s="63">
        <v>14</v>
      </c>
      <c r="S1332" s="63">
        <v>25</v>
      </c>
      <c r="T1332" s="63">
        <v>22</v>
      </c>
      <c r="U1332" s="63">
        <v>17</v>
      </c>
      <c r="V1332" s="63">
        <v>12</v>
      </c>
      <c r="W1332" s="63">
        <v>15</v>
      </c>
      <c r="X1332" s="63">
        <v>16</v>
      </c>
      <c r="Y1332" s="63">
        <v>20</v>
      </c>
      <c r="Z1332" s="63">
        <v>18</v>
      </c>
      <c r="AA1332" s="63">
        <v>16</v>
      </c>
      <c r="AB1332" s="63">
        <v>19</v>
      </c>
    </row>
    <row r="1333" spans="1:28" x14ac:dyDescent="0.2">
      <c r="A1333" s="62">
        <v>109</v>
      </c>
      <c r="B1333" s="62" t="s">
        <v>398</v>
      </c>
      <c r="C1333" s="62">
        <v>53</v>
      </c>
      <c r="D1333" s="62" t="s">
        <v>333</v>
      </c>
      <c r="E1333" s="63">
        <v>32</v>
      </c>
      <c r="F1333" s="63">
        <v>40</v>
      </c>
      <c r="G1333" s="63">
        <v>34</v>
      </c>
      <c r="H1333" s="63">
        <v>26</v>
      </c>
      <c r="I1333" s="63">
        <v>43</v>
      </c>
      <c r="J1333" s="63">
        <v>37</v>
      </c>
      <c r="K1333" s="63">
        <v>42</v>
      </c>
      <c r="L1333" s="63">
        <v>36</v>
      </c>
      <c r="M1333" s="63">
        <v>34</v>
      </c>
      <c r="N1333" s="63">
        <v>42</v>
      </c>
      <c r="O1333" s="63">
        <v>40</v>
      </c>
      <c r="P1333" s="63">
        <v>35</v>
      </c>
      <c r="Q1333" s="63">
        <v>44</v>
      </c>
      <c r="R1333" s="63">
        <v>50</v>
      </c>
      <c r="S1333" s="63">
        <v>55</v>
      </c>
      <c r="T1333" s="63">
        <v>56</v>
      </c>
      <c r="U1333" s="63">
        <v>60</v>
      </c>
      <c r="V1333" s="63">
        <v>58</v>
      </c>
      <c r="W1333" s="63">
        <v>60</v>
      </c>
      <c r="X1333" s="63">
        <v>64</v>
      </c>
      <c r="Y1333" s="63">
        <v>73</v>
      </c>
      <c r="Z1333" s="63">
        <v>69</v>
      </c>
      <c r="AA1333" s="63">
        <v>72</v>
      </c>
      <c r="AB1333" s="63">
        <v>57</v>
      </c>
    </row>
    <row r="1334" spans="1:28" x14ac:dyDescent="0.2">
      <c r="A1334" s="62">
        <v>109</v>
      </c>
      <c r="B1334" s="62" t="s">
        <v>398</v>
      </c>
      <c r="C1334" s="62">
        <v>54</v>
      </c>
      <c r="D1334" s="62" t="s">
        <v>334</v>
      </c>
      <c r="E1334" s="63">
        <v>61</v>
      </c>
      <c r="F1334" s="63">
        <v>64</v>
      </c>
      <c r="G1334" s="63">
        <v>71</v>
      </c>
      <c r="H1334" s="63">
        <v>69</v>
      </c>
      <c r="I1334" s="63">
        <v>68</v>
      </c>
      <c r="J1334" s="63">
        <v>81</v>
      </c>
      <c r="K1334" s="63">
        <v>73</v>
      </c>
      <c r="L1334" s="63">
        <v>77</v>
      </c>
      <c r="M1334" s="63">
        <v>68</v>
      </c>
      <c r="N1334" s="63">
        <v>70</v>
      </c>
      <c r="O1334" s="63">
        <v>73</v>
      </c>
      <c r="P1334" s="63">
        <v>79</v>
      </c>
      <c r="Q1334" s="63">
        <v>64</v>
      </c>
      <c r="R1334" s="63">
        <v>63</v>
      </c>
      <c r="S1334" s="63">
        <v>67</v>
      </c>
      <c r="T1334" s="63">
        <v>68</v>
      </c>
      <c r="U1334" s="63">
        <v>81</v>
      </c>
      <c r="V1334" s="63">
        <v>85</v>
      </c>
      <c r="W1334" s="63">
        <v>96</v>
      </c>
      <c r="X1334" s="63">
        <v>104</v>
      </c>
      <c r="Y1334" s="63">
        <v>112</v>
      </c>
      <c r="Z1334" s="63">
        <v>107</v>
      </c>
      <c r="AA1334" s="63">
        <v>121</v>
      </c>
      <c r="AB1334" s="63">
        <v>158</v>
      </c>
    </row>
    <row r="1335" spans="1:28" x14ac:dyDescent="0.2">
      <c r="A1335" s="62">
        <v>109</v>
      </c>
      <c r="B1335" s="62" t="s">
        <v>398</v>
      </c>
      <c r="C1335" s="62">
        <v>55</v>
      </c>
      <c r="D1335" s="64" t="s">
        <v>335</v>
      </c>
      <c r="E1335" s="65"/>
      <c r="F1335" s="65"/>
      <c r="G1335" s="65"/>
      <c r="H1335" s="62"/>
      <c r="I1335" s="62"/>
      <c r="J1335" s="62"/>
      <c r="K1335" s="62"/>
      <c r="L1335" s="63">
        <v>0</v>
      </c>
      <c r="M1335" s="62"/>
      <c r="N1335" s="62"/>
      <c r="O1335" s="62"/>
      <c r="P1335" s="62"/>
      <c r="Q1335" s="62"/>
      <c r="R1335" s="63">
        <v>0</v>
      </c>
      <c r="S1335" s="63">
        <v>0</v>
      </c>
      <c r="T1335" s="63">
        <v>0</v>
      </c>
      <c r="U1335" s="63">
        <v>0</v>
      </c>
      <c r="V1335" s="63">
        <v>0</v>
      </c>
      <c r="W1335" s="63">
        <v>4</v>
      </c>
      <c r="X1335" s="63">
        <v>4</v>
      </c>
      <c r="Y1335" s="63">
        <v>7</v>
      </c>
      <c r="Z1335" s="63">
        <v>6</v>
      </c>
      <c r="AA1335" s="63">
        <v>5</v>
      </c>
      <c r="AB1335" s="63">
        <v>6</v>
      </c>
    </row>
    <row r="1336" spans="1:28" x14ac:dyDescent="0.2">
      <c r="A1336" s="62">
        <v>109</v>
      </c>
      <c r="B1336" s="62" t="s">
        <v>398</v>
      </c>
      <c r="C1336" s="62">
        <v>56</v>
      </c>
      <c r="D1336" s="62" t="s">
        <v>336</v>
      </c>
      <c r="E1336" s="63">
        <v>33</v>
      </c>
      <c r="F1336" s="63">
        <v>49</v>
      </c>
      <c r="G1336" s="63">
        <v>65</v>
      </c>
      <c r="H1336" s="63">
        <v>41</v>
      </c>
      <c r="I1336" s="63">
        <v>46</v>
      </c>
      <c r="J1336" s="63">
        <v>40</v>
      </c>
      <c r="K1336" s="63">
        <v>38</v>
      </c>
      <c r="L1336" s="63">
        <v>39</v>
      </c>
      <c r="M1336" s="63">
        <v>40</v>
      </c>
      <c r="N1336" s="63">
        <v>39</v>
      </c>
      <c r="O1336" s="63">
        <v>40</v>
      </c>
      <c r="P1336" s="63">
        <v>41</v>
      </c>
      <c r="Q1336" s="63">
        <v>43</v>
      </c>
      <c r="R1336" s="63">
        <v>35</v>
      </c>
      <c r="S1336" s="63">
        <v>51</v>
      </c>
      <c r="T1336" s="63">
        <v>50</v>
      </c>
      <c r="U1336" s="63">
        <v>54</v>
      </c>
      <c r="V1336" s="63">
        <v>55</v>
      </c>
      <c r="W1336" s="63">
        <v>60</v>
      </c>
      <c r="X1336" s="63">
        <v>58</v>
      </c>
      <c r="Y1336" s="63">
        <v>74</v>
      </c>
      <c r="Z1336" s="63">
        <v>80</v>
      </c>
      <c r="AA1336" s="63">
        <v>239</v>
      </c>
      <c r="AB1336" s="63">
        <v>343</v>
      </c>
    </row>
    <row r="1337" spans="1:28" x14ac:dyDescent="0.2">
      <c r="A1337" s="62">
        <v>109</v>
      </c>
      <c r="B1337" s="62" t="s">
        <v>398</v>
      </c>
      <c r="C1337" s="62">
        <v>61</v>
      </c>
      <c r="D1337" s="62" t="s">
        <v>337</v>
      </c>
      <c r="E1337" s="63">
        <v>17</v>
      </c>
      <c r="F1337" s="63">
        <v>19</v>
      </c>
      <c r="G1337" s="63">
        <v>18</v>
      </c>
      <c r="H1337" s="63">
        <v>23</v>
      </c>
      <c r="I1337" s="63">
        <v>25</v>
      </c>
      <c r="J1337" s="63">
        <v>29</v>
      </c>
      <c r="K1337" s="63">
        <v>39</v>
      </c>
      <c r="L1337" s="63">
        <v>38</v>
      </c>
      <c r="M1337" s="63">
        <v>41</v>
      </c>
      <c r="N1337" s="63">
        <v>33</v>
      </c>
      <c r="O1337" s="63">
        <v>28</v>
      </c>
      <c r="P1337" s="63">
        <v>30</v>
      </c>
      <c r="Q1337" s="63">
        <v>44</v>
      </c>
      <c r="R1337" s="63">
        <v>38</v>
      </c>
      <c r="S1337" s="63">
        <v>47</v>
      </c>
      <c r="T1337" s="63">
        <v>47</v>
      </c>
      <c r="U1337" s="63">
        <v>57</v>
      </c>
      <c r="V1337" s="63">
        <v>61</v>
      </c>
      <c r="W1337" s="63">
        <v>54</v>
      </c>
      <c r="X1337" s="63">
        <v>43</v>
      </c>
      <c r="Y1337" s="63">
        <v>33</v>
      </c>
      <c r="Z1337" s="63">
        <v>40</v>
      </c>
      <c r="AA1337" s="63">
        <v>53</v>
      </c>
      <c r="AB1337" s="63">
        <v>26</v>
      </c>
    </row>
    <row r="1338" spans="1:28" x14ac:dyDescent="0.2">
      <c r="A1338" s="62">
        <v>109</v>
      </c>
      <c r="B1338" s="62" t="s">
        <v>398</v>
      </c>
      <c r="C1338" s="62">
        <v>62</v>
      </c>
      <c r="D1338" s="62" t="s">
        <v>338</v>
      </c>
      <c r="E1338" s="63">
        <v>108</v>
      </c>
      <c r="F1338" s="63">
        <v>120</v>
      </c>
      <c r="G1338" s="63">
        <v>109</v>
      </c>
      <c r="H1338" s="63">
        <v>124</v>
      </c>
      <c r="I1338" s="63">
        <v>143</v>
      </c>
      <c r="J1338" s="63">
        <v>99</v>
      </c>
      <c r="K1338" s="63">
        <v>101</v>
      </c>
      <c r="L1338" s="63">
        <v>99</v>
      </c>
      <c r="M1338" s="63">
        <v>98</v>
      </c>
      <c r="N1338" s="63">
        <v>107</v>
      </c>
      <c r="O1338" s="63">
        <v>110</v>
      </c>
      <c r="P1338" s="63">
        <v>116</v>
      </c>
      <c r="Q1338" s="63">
        <v>112</v>
      </c>
      <c r="R1338" s="63">
        <v>114</v>
      </c>
      <c r="S1338" s="63">
        <v>98</v>
      </c>
      <c r="T1338" s="63">
        <v>95</v>
      </c>
      <c r="U1338" s="63">
        <v>106</v>
      </c>
      <c r="V1338" s="63">
        <v>124</v>
      </c>
      <c r="W1338" s="63">
        <v>118</v>
      </c>
      <c r="X1338" s="63">
        <v>118</v>
      </c>
      <c r="Y1338" s="63">
        <v>144</v>
      </c>
      <c r="Z1338" s="63">
        <v>149</v>
      </c>
      <c r="AA1338" s="63">
        <v>172</v>
      </c>
      <c r="AB1338" s="63">
        <v>186</v>
      </c>
    </row>
    <row r="1339" spans="1:28" x14ac:dyDescent="0.2">
      <c r="A1339" s="62">
        <v>109</v>
      </c>
      <c r="B1339" s="62" t="s">
        <v>398</v>
      </c>
      <c r="C1339" s="62">
        <v>71</v>
      </c>
      <c r="D1339" s="62" t="s">
        <v>339</v>
      </c>
      <c r="E1339" s="63">
        <v>45</v>
      </c>
      <c r="F1339" s="63">
        <v>47</v>
      </c>
      <c r="G1339" s="63">
        <v>55</v>
      </c>
      <c r="H1339" s="63">
        <v>59</v>
      </c>
      <c r="I1339" s="63">
        <v>59</v>
      </c>
      <c r="J1339" s="63">
        <v>43</v>
      </c>
      <c r="K1339" s="63">
        <v>50</v>
      </c>
      <c r="L1339" s="63">
        <v>59</v>
      </c>
      <c r="M1339" s="63">
        <v>55</v>
      </c>
      <c r="N1339" s="63">
        <v>50</v>
      </c>
      <c r="O1339" s="63">
        <v>53</v>
      </c>
      <c r="P1339" s="63">
        <v>58</v>
      </c>
      <c r="Q1339" s="63">
        <v>50</v>
      </c>
      <c r="R1339" s="63">
        <v>59</v>
      </c>
      <c r="S1339" s="63">
        <v>57</v>
      </c>
      <c r="T1339" s="63">
        <v>58</v>
      </c>
      <c r="U1339" s="63">
        <v>68</v>
      </c>
      <c r="V1339" s="63">
        <v>76</v>
      </c>
      <c r="W1339" s="63">
        <v>92</v>
      </c>
      <c r="X1339" s="63">
        <v>83</v>
      </c>
      <c r="Y1339" s="63">
        <v>107</v>
      </c>
      <c r="Z1339" s="63">
        <v>99</v>
      </c>
      <c r="AA1339" s="63">
        <v>111</v>
      </c>
      <c r="AB1339" s="63">
        <v>110</v>
      </c>
    </row>
    <row r="1340" spans="1:28" x14ac:dyDescent="0.2">
      <c r="A1340" s="62">
        <v>109</v>
      </c>
      <c r="B1340" s="62" t="s">
        <v>398</v>
      </c>
      <c r="C1340" s="62">
        <v>72</v>
      </c>
      <c r="D1340" s="62" t="s">
        <v>340</v>
      </c>
      <c r="E1340" s="63">
        <v>59</v>
      </c>
      <c r="F1340" s="63">
        <v>43</v>
      </c>
      <c r="G1340" s="63">
        <v>47</v>
      </c>
      <c r="H1340" s="63">
        <v>44</v>
      </c>
      <c r="I1340" s="63">
        <v>45</v>
      </c>
      <c r="J1340" s="63">
        <v>62</v>
      </c>
      <c r="K1340" s="63">
        <v>52</v>
      </c>
      <c r="L1340" s="63">
        <v>60</v>
      </c>
      <c r="M1340" s="63">
        <v>76</v>
      </c>
      <c r="N1340" s="63">
        <v>90</v>
      </c>
      <c r="O1340" s="63">
        <v>86</v>
      </c>
      <c r="P1340" s="63">
        <v>89</v>
      </c>
      <c r="Q1340" s="63">
        <v>92</v>
      </c>
      <c r="R1340" s="63">
        <v>113</v>
      </c>
      <c r="S1340" s="63">
        <v>93</v>
      </c>
      <c r="T1340" s="63">
        <v>104</v>
      </c>
      <c r="U1340" s="63">
        <v>126</v>
      </c>
      <c r="V1340" s="63">
        <v>136</v>
      </c>
      <c r="W1340" s="63">
        <v>140</v>
      </c>
      <c r="X1340" s="63">
        <v>116</v>
      </c>
      <c r="Y1340" s="63">
        <v>104</v>
      </c>
      <c r="Z1340" s="63">
        <v>107</v>
      </c>
      <c r="AA1340" s="63">
        <v>121</v>
      </c>
      <c r="AB1340" s="63">
        <v>140</v>
      </c>
    </row>
    <row r="1341" spans="1:28" x14ac:dyDescent="0.2">
      <c r="A1341" s="62">
        <v>109</v>
      </c>
      <c r="B1341" s="62" t="s">
        <v>398</v>
      </c>
      <c r="C1341" s="62">
        <v>81</v>
      </c>
      <c r="D1341" s="62" t="s">
        <v>341</v>
      </c>
      <c r="E1341" s="63">
        <v>101</v>
      </c>
      <c r="F1341" s="63">
        <v>110</v>
      </c>
      <c r="G1341" s="63">
        <v>107</v>
      </c>
      <c r="H1341" s="63">
        <v>121</v>
      </c>
      <c r="I1341" s="63">
        <v>116</v>
      </c>
      <c r="J1341" s="63">
        <v>116</v>
      </c>
      <c r="K1341" s="63">
        <v>110</v>
      </c>
      <c r="L1341" s="63">
        <v>100</v>
      </c>
      <c r="M1341" s="63">
        <v>98</v>
      </c>
      <c r="N1341" s="63">
        <v>118</v>
      </c>
      <c r="O1341" s="63">
        <v>103</v>
      </c>
      <c r="P1341" s="63">
        <v>104</v>
      </c>
      <c r="Q1341" s="63">
        <v>92</v>
      </c>
      <c r="R1341" s="63">
        <v>102</v>
      </c>
      <c r="S1341" s="63">
        <v>120</v>
      </c>
      <c r="T1341" s="63">
        <v>122</v>
      </c>
      <c r="U1341" s="63">
        <v>149</v>
      </c>
      <c r="V1341" s="63">
        <v>114</v>
      </c>
      <c r="W1341" s="63">
        <v>110</v>
      </c>
      <c r="X1341" s="63">
        <v>102</v>
      </c>
      <c r="Y1341" s="63">
        <v>97</v>
      </c>
      <c r="Z1341" s="63">
        <v>99</v>
      </c>
      <c r="AA1341" s="63">
        <v>94</v>
      </c>
      <c r="AB1341" s="63">
        <v>92</v>
      </c>
    </row>
    <row r="1342" spans="1:28" x14ac:dyDescent="0.2">
      <c r="A1342" s="62">
        <v>109</v>
      </c>
      <c r="B1342" s="62" t="s">
        <v>398</v>
      </c>
      <c r="C1342" s="62">
        <v>99</v>
      </c>
      <c r="D1342" s="62" t="s">
        <v>342</v>
      </c>
      <c r="E1342" s="62"/>
      <c r="F1342" s="62"/>
      <c r="G1342" s="62"/>
      <c r="H1342" s="62"/>
      <c r="I1342" s="62"/>
      <c r="J1342" s="62"/>
      <c r="K1342" s="62"/>
      <c r="L1342" s="62"/>
      <c r="M1342" s="62"/>
      <c r="N1342" s="62"/>
      <c r="O1342" s="63">
        <v>0</v>
      </c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3">
        <v>0</v>
      </c>
      <c r="AB1342" s="62"/>
    </row>
    <row r="1343" spans="1:28" x14ac:dyDescent="0.2">
      <c r="A1343" s="62">
        <v>111</v>
      </c>
      <c r="B1343" s="62" t="s">
        <v>399</v>
      </c>
      <c r="C1343" s="62">
        <v>1</v>
      </c>
      <c r="D1343" s="62" t="s">
        <v>316</v>
      </c>
      <c r="E1343" s="63">
        <v>3</v>
      </c>
      <c r="F1343" s="63">
        <v>2</v>
      </c>
      <c r="G1343" s="63">
        <v>3</v>
      </c>
      <c r="H1343" s="63">
        <v>3</v>
      </c>
      <c r="I1343" s="63">
        <v>2</v>
      </c>
      <c r="J1343" s="63">
        <v>3</v>
      </c>
      <c r="K1343" s="63">
        <v>3</v>
      </c>
      <c r="L1343" s="63">
        <v>3</v>
      </c>
      <c r="M1343" s="63">
        <v>3</v>
      </c>
      <c r="N1343" s="63">
        <v>4</v>
      </c>
      <c r="O1343" s="63">
        <v>4</v>
      </c>
      <c r="P1343" s="63">
        <v>3</v>
      </c>
      <c r="Q1343" s="63">
        <v>3</v>
      </c>
      <c r="R1343" s="63">
        <v>3</v>
      </c>
      <c r="S1343" s="63">
        <v>3</v>
      </c>
      <c r="T1343" s="63">
        <v>3</v>
      </c>
      <c r="U1343" s="63">
        <v>2</v>
      </c>
      <c r="V1343" s="63">
        <v>2</v>
      </c>
      <c r="W1343" s="63">
        <v>3</v>
      </c>
      <c r="X1343" s="63">
        <v>2</v>
      </c>
      <c r="Y1343" s="63">
        <v>1</v>
      </c>
      <c r="Z1343" s="63">
        <v>1</v>
      </c>
      <c r="AA1343" s="63">
        <v>1</v>
      </c>
      <c r="AB1343" s="63">
        <v>1</v>
      </c>
    </row>
    <row r="1344" spans="1:28" x14ac:dyDescent="0.2">
      <c r="A1344" s="62">
        <v>111</v>
      </c>
      <c r="B1344" s="62" t="s">
        <v>399</v>
      </c>
      <c r="C1344" s="62">
        <v>10</v>
      </c>
      <c r="D1344" s="62" t="s">
        <v>317</v>
      </c>
      <c r="E1344" s="63">
        <v>379</v>
      </c>
      <c r="F1344" s="63">
        <v>401</v>
      </c>
      <c r="G1344" s="63">
        <v>430</v>
      </c>
      <c r="H1344" s="63">
        <v>381</v>
      </c>
      <c r="I1344" s="63">
        <v>376</v>
      </c>
      <c r="J1344" s="63">
        <v>403</v>
      </c>
      <c r="K1344" s="63">
        <v>414</v>
      </c>
      <c r="L1344" s="63">
        <v>403</v>
      </c>
      <c r="M1344" s="63">
        <v>373</v>
      </c>
      <c r="N1344" s="63">
        <v>382</v>
      </c>
      <c r="O1344" s="63">
        <v>400</v>
      </c>
      <c r="P1344" s="63">
        <v>398</v>
      </c>
      <c r="Q1344" s="63">
        <v>379</v>
      </c>
      <c r="R1344" s="63">
        <v>392</v>
      </c>
      <c r="S1344" s="63">
        <v>406</v>
      </c>
      <c r="T1344" s="63">
        <v>426</v>
      </c>
      <c r="U1344" s="63">
        <v>460</v>
      </c>
      <c r="V1344" s="63">
        <v>450</v>
      </c>
      <c r="W1344" s="63">
        <v>493</v>
      </c>
      <c r="X1344" s="63">
        <v>463</v>
      </c>
      <c r="Y1344" s="63">
        <v>514</v>
      </c>
      <c r="Z1344" s="63">
        <v>512</v>
      </c>
      <c r="AA1344" s="63">
        <v>576</v>
      </c>
      <c r="AB1344" s="63">
        <v>720</v>
      </c>
    </row>
    <row r="1345" spans="1:28" x14ac:dyDescent="0.2">
      <c r="A1345" s="62">
        <v>111</v>
      </c>
      <c r="B1345" s="62" t="s">
        <v>399</v>
      </c>
      <c r="C1345" s="62">
        <v>11</v>
      </c>
      <c r="D1345" s="64" t="s">
        <v>318</v>
      </c>
      <c r="E1345" s="65"/>
      <c r="F1345" s="65"/>
      <c r="G1345" s="62"/>
      <c r="H1345" s="62"/>
      <c r="I1345" s="62"/>
      <c r="J1345" s="62"/>
      <c r="K1345" s="62"/>
      <c r="L1345" s="62"/>
      <c r="M1345" s="62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3">
        <v>4</v>
      </c>
      <c r="Z1345" s="62"/>
      <c r="AA1345" s="62"/>
      <c r="AB1345" s="62"/>
    </row>
    <row r="1346" spans="1:28" x14ac:dyDescent="0.2">
      <c r="A1346" s="62">
        <v>111</v>
      </c>
      <c r="B1346" s="62" t="s">
        <v>399</v>
      </c>
      <c r="C1346" s="62">
        <v>2</v>
      </c>
      <c r="D1346" s="62" t="s">
        <v>319</v>
      </c>
      <c r="E1346" s="63">
        <v>5</v>
      </c>
      <c r="F1346" s="63">
        <v>5</v>
      </c>
      <c r="G1346" s="63">
        <v>6</v>
      </c>
      <c r="H1346" s="63">
        <v>6</v>
      </c>
      <c r="I1346" s="63">
        <v>8</v>
      </c>
      <c r="J1346" s="63">
        <v>7</v>
      </c>
      <c r="K1346" s="63">
        <v>6</v>
      </c>
      <c r="L1346" s="63">
        <v>5</v>
      </c>
      <c r="M1346" s="63">
        <v>5</v>
      </c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3">
        <v>7</v>
      </c>
      <c r="Z1346" s="63">
        <v>7</v>
      </c>
      <c r="AA1346" s="63">
        <v>8</v>
      </c>
      <c r="AB1346" s="63">
        <v>10</v>
      </c>
    </row>
    <row r="1347" spans="1:28" x14ac:dyDescent="0.2">
      <c r="A1347" s="62">
        <v>111</v>
      </c>
      <c r="B1347" s="62" t="s">
        <v>399</v>
      </c>
      <c r="C1347" s="62">
        <v>21</v>
      </c>
      <c r="D1347" s="64" t="s">
        <v>320</v>
      </c>
      <c r="E1347" s="65"/>
      <c r="F1347" s="65"/>
      <c r="G1347" s="65"/>
      <c r="H1347" s="62"/>
      <c r="I1347" s="63">
        <v>1</v>
      </c>
      <c r="J1347" s="63">
        <v>1</v>
      </c>
      <c r="K1347" s="62"/>
      <c r="L1347" s="62"/>
      <c r="M1347" s="62"/>
      <c r="N1347" s="62"/>
      <c r="O1347" s="62"/>
      <c r="P1347" s="63">
        <v>0</v>
      </c>
      <c r="Q1347" s="63">
        <v>0</v>
      </c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</row>
    <row r="1348" spans="1:28" x14ac:dyDescent="0.2">
      <c r="A1348" s="62">
        <v>111</v>
      </c>
      <c r="B1348" s="62" t="s">
        <v>399</v>
      </c>
      <c r="C1348" s="62">
        <v>23</v>
      </c>
      <c r="D1348" s="62" t="s">
        <v>322</v>
      </c>
      <c r="E1348" s="63">
        <v>26</v>
      </c>
      <c r="F1348" s="62"/>
      <c r="G1348" s="63">
        <v>35</v>
      </c>
      <c r="H1348" s="63">
        <v>34</v>
      </c>
      <c r="I1348" s="63">
        <v>41</v>
      </c>
      <c r="J1348" s="63">
        <v>41</v>
      </c>
      <c r="K1348" s="63">
        <v>50</v>
      </c>
      <c r="L1348" s="63">
        <v>59</v>
      </c>
      <c r="M1348" s="63">
        <v>28</v>
      </c>
      <c r="N1348" s="63">
        <v>29</v>
      </c>
      <c r="O1348" s="63">
        <v>21</v>
      </c>
      <c r="P1348" s="63">
        <v>19</v>
      </c>
      <c r="Q1348" s="63">
        <v>29</v>
      </c>
      <c r="R1348" s="63">
        <v>37</v>
      </c>
      <c r="S1348" s="63">
        <v>30</v>
      </c>
      <c r="T1348" s="63">
        <v>26</v>
      </c>
      <c r="U1348" s="63">
        <v>36</v>
      </c>
      <c r="V1348" s="63">
        <v>29</v>
      </c>
      <c r="W1348" s="63">
        <v>32</v>
      </c>
      <c r="X1348" s="63">
        <v>29</v>
      </c>
      <c r="Y1348" s="63">
        <v>27</v>
      </c>
      <c r="Z1348" s="63">
        <v>32</v>
      </c>
      <c r="AA1348" s="63">
        <v>27</v>
      </c>
      <c r="AB1348" s="63">
        <v>40</v>
      </c>
    </row>
    <row r="1349" spans="1:28" x14ac:dyDescent="0.2">
      <c r="A1349" s="62">
        <v>111</v>
      </c>
      <c r="B1349" s="62" t="s">
        <v>399</v>
      </c>
      <c r="C1349" s="62">
        <v>3</v>
      </c>
      <c r="D1349" s="62" t="s">
        <v>323</v>
      </c>
      <c r="E1349" s="63">
        <v>64</v>
      </c>
      <c r="F1349" s="63">
        <v>55</v>
      </c>
      <c r="G1349" s="63">
        <v>56</v>
      </c>
      <c r="H1349" s="63">
        <v>59</v>
      </c>
      <c r="I1349" s="63">
        <v>56</v>
      </c>
      <c r="J1349" s="63">
        <v>59</v>
      </c>
      <c r="K1349" s="63">
        <v>61</v>
      </c>
      <c r="L1349" s="63">
        <v>59</v>
      </c>
      <c r="M1349" s="63">
        <v>59</v>
      </c>
      <c r="N1349" s="63">
        <v>62</v>
      </c>
      <c r="O1349" s="63">
        <v>61</v>
      </c>
      <c r="P1349" s="63">
        <v>61</v>
      </c>
      <c r="Q1349" s="63">
        <v>65</v>
      </c>
      <c r="R1349" s="63">
        <v>65</v>
      </c>
      <c r="S1349" s="63">
        <v>62</v>
      </c>
      <c r="T1349" s="63">
        <v>63</v>
      </c>
      <c r="U1349" s="63">
        <v>63</v>
      </c>
      <c r="V1349" s="63">
        <v>67</v>
      </c>
      <c r="W1349" s="63">
        <v>75</v>
      </c>
      <c r="X1349" s="63">
        <v>74</v>
      </c>
      <c r="Y1349" s="63">
        <v>80</v>
      </c>
      <c r="Z1349" s="63">
        <v>77</v>
      </c>
      <c r="AA1349" s="63">
        <v>82</v>
      </c>
      <c r="AB1349" s="63">
        <v>86</v>
      </c>
    </row>
    <row r="1350" spans="1:28" x14ac:dyDescent="0.2">
      <c r="A1350" s="62">
        <v>111</v>
      </c>
      <c r="B1350" s="62" t="s">
        <v>399</v>
      </c>
      <c r="C1350" s="62" t="s">
        <v>324</v>
      </c>
      <c r="D1350" s="62" t="s">
        <v>325</v>
      </c>
      <c r="E1350" s="63">
        <v>0</v>
      </c>
      <c r="F1350" s="62"/>
      <c r="G1350" s="63">
        <v>1</v>
      </c>
      <c r="H1350" s="63">
        <v>16</v>
      </c>
      <c r="I1350" s="63">
        <v>12</v>
      </c>
      <c r="J1350" s="63">
        <v>12</v>
      </c>
      <c r="K1350" s="63">
        <v>9</v>
      </c>
      <c r="L1350" s="63">
        <v>8</v>
      </c>
      <c r="M1350" s="63">
        <v>9</v>
      </c>
      <c r="N1350" s="63">
        <v>9</v>
      </c>
      <c r="O1350" s="63">
        <v>8</v>
      </c>
      <c r="P1350" s="62"/>
      <c r="Q1350" s="63">
        <v>10</v>
      </c>
      <c r="R1350" s="63">
        <v>11</v>
      </c>
      <c r="S1350" s="63">
        <v>7</v>
      </c>
      <c r="T1350" s="63">
        <v>4</v>
      </c>
      <c r="U1350" s="63">
        <v>5</v>
      </c>
      <c r="V1350" s="63">
        <v>7</v>
      </c>
      <c r="W1350" s="63">
        <v>6</v>
      </c>
      <c r="X1350" s="63">
        <v>5</v>
      </c>
      <c r="Y1350" s="62"/>
      <c r="Z1350" s="62"/>
      <c r="AA1350" s="63">
        <v>7</v>
      </c>
      <c r="AB1350" s="62"/>
    </row>
    <row r="1351" spans="1:28" x14ac:dyDescent="0.2">
      <c r="A1351" s="62">
        <v>111</v>
      </c>
      <c r="B1351" s="62" t="s">
        <v>399</v>
      </c>
      <c r="C1351" s="62">
        <v>42</v>
      </c>
      <c r="D1351" s="64" t="s">
        <v>326</v>
      </c>
      <c r="E1351" s="65"/>
      <c r="F1351" s="62"/>
      <c r="G1351" s="62"/>
      <c r="H1351" s="62"/>
      <c r="I1351" s="62"/>
      <c r="J1351" s="62"/>
      <c r="K1351" s="62"/>
      <c r="L1351" s="62"/>
      <c r="M1351" s="62"/>
      <c r="N1351" s="62"/>
      <c r="O1351" s="62"/>
      <c r="P1351" s="62"/>
      <c r="Q1351" s="62"/>
      <c r="R1351" s="62"/>
      <c r="S1351" s="63">
        <v>7</v>
      </c>
      <c r="T1351" s="63">
        <v>9</v>
      </c>
      <c r="U1351" s="63">
        <v>11</v>
      </c>
      <c r="V1351" s="63">
        <v>11</v>
      </c>
      <c r="W1351" s="63">
        <v>15</v>
      </c>
      <c r="X1351" s="62"/>
      <c r="Y1351" s="62"/>
      <c r="Z1351" s="63">
        <v>12</v>
      </c>
      <c r="AA1351" s="63">
        <v>10</v>
      </c>
      <c r="AB1351" s="63">
        <v>5</v>
      </c>
    </row>
    <row r="1352" spans="1:28" x14ac:dyDescent="0.2">
      <c r="A1352" s="62">
        <v>111</v>
      </c>
      <c r="B1352" s="62" t="s">
        <v>399</v>
      </c>
      <c r="C1352" s="62" t="s">
        <v>327</v>
      </c>
      <c r="D1352" s="62" t="s">
        <v>328</v>
      </c>
      <c r="E1352" s="63">
        <v>62</v>
      </c>
      <c r="F1352" s="63">
        <v>62</v>
      </c>
      <c r="G1352" s="63">
        <v>64</v>
      </c>
      <c r="H1352" s="63">
        <v>54</v>
      </c>
      <c r="I1352" s="63">
        <v>56</v>
      </c>
      <c r="J1352" s="63">
        <v>51</v>
      </c>
      <c r="K1352" s="63">
        <v>52</v>
      </c>
      <c r="L1352" s="63">
        <v>48</v>
      </c>
      <c r="M1352" s="63">
        <v>46</v>
      </c>
      <c r="N1352" s="63">
        <v>44</v>
      </c>
      <c r="O1352" s="63">
        <v>45</v>
      </c>
      <c r="P1352" s="63">
        <v>51</v>
      </c>
      <c r="Q1352" s="63">
        <v>49</v>
      </c>
      <c r="R1352" s="63">
        <v>46</v>
      </c>
      <c r="S1352" s="63">
        <v>49</v>
      </c>
      <c r="T1352" s="63">
        <v>51</v>
      </c>
      <c r="U1352" s="63">
        <v>59</v>
      </c>
      <c r="V1352" s="63">
        <v>56</v>
      </c>
      <c r="W1352" s="63">
        <v>57</v>
      </c>
      <c r="X1352" s="63">
        <v>51</v>
      </c>
      <c r="Y1352" s="63">
        <v>53</v>
      </c>
      <c r="Z1352" s="63">
        <v>53</v>
      </c>
      <c r="AA1352" s="63">
        <v>63</v>
      </c>
      <c r="AB1352" s="63">
        <v>90</v>
      </c>
    </row>
    <row r="1353" spans="1:28" x14ac:dyDescent="0.2">
      <c r="A1353" s="62">
        <v>111</v>
      </c>
      <c r="B1353" s="62" t="s">
        <v>399</v>
      </c>
      <c r="C1353" s="62" t="s">
        <v>329</v>
      </c>
      <c r="D1353" s="64" t="s">
        <v>330</v>
      </c>
      <c r="E1353" s="65"/>
      <c r="F1353" s="65"/>
      <c r="G1353" s="62"/>
      <c r="H1353" s="62"/>
      <c r="I1353" s="62"/>
      <c r="J1353" s="62"/>
      <c r="K1353" s="62"/>
      <c r="L1353" s="62"/>
      <c r="M1353" s="62"/>
      <c r="N1353" s="62"/>
      <c r="O1353" s="62"/>
      <c r="P1353" s="62"/>
      <c r="Q1353" s="63">
        <v>0</v>
      </c>
      <c r="R1353" s="63">
        <v>0</v>
      </c>
      <c r="S1353" s="63">
        <v>0</v>
      </c>
      <c r="T1353" s="63">
        <v>0</v>
      </c>
      <c r="U1353" s="63">
        <v>0</v>
      </c>
      <c r="V1353" s="63">
        <v>4</v>
      </c>
      <c r="W1353" s="63">
        <v>7</v>
      </c>
      <c r="X1353" s="63">
        <v>0</v>
      </c>
      <c r="Y1353" s="62"/>
      <c r="Z1353" s="62"/>
      <c r="AA1353" s="62"/>
      <c r="AB1353" s="62"/>
    </row>
    <row r="1354" spans="1:28" x14ac:dyDescent="0.2">
      <c r="A1354" s="62">
        <v>111</v>
      </c>
      <c r="B1354" s="62" t="s">
        <v>399</v>
      </c>
      <c r="C1354" s="62">
        <v>51</v>
      </c>
      <c r="D1354" s="62" t="s">
        <v>331</v>
      </c>
      <c r="E1354" s="62"/>
      <c r="F1354" s="63">
        <v>0</v>
      </c>
      <c r="G1354" s="63">
        <v>1</v>
      </c>
      <c r="H1354" s="63">
        <v>0</v>
      </c>
      <c r="I1354" s="63">
        <v>0</v>
      </c>
      <c r="J1354" s="63">
        <v>0</v>
      </c>
      <c r="K1354" s="63">
        <v>0</v>
      </c>
      <c r="L1354" s="63">
        <v>0</v>
      </c>
      <c r="M1354" s="62"/>
      <c r="N1354" s="63">
        <v>0</v>
      </c>
      <c r="O1354" s="63">
        <v>0</v>
      </c>
      <c r="P1354" s="63">
        <v>0</v>
      </c>
      <c r="Q1354" s="63">
        <v>0</v>
      </c>
      <c r="R1354" s="63">
        <v>0</v>
      </c>
      <c r="S1354" s="63">
        <v>0</v>
      </c>
      <c r="T1354" s="63">
        <v>0</v>
      </c>
      <c r="U1354" s="63">
        <v>0</v>
      </c>
      <c r="V1354" s="63">
        <v>0</v>
      </c>
      <c r="W1354" s="63">
        <v>1</v>
      </c>
      <c r="X1354" s="63">
        <v>5</v>
      </c>
      <c r="Y1354" s="63">
        <v>4</v>
      </c>
      <c r="Z1354" s="63">
        <v>4</v>
      </c>
      <c r="AA1354" s="63">
        <v>3</v>
      </c>
      <c r="AB1354" s="63">
        <v>3</v>
      </c>
    </row>
    <row r="1355" spans="1:28" x14ac:dyDescent="0.2">
      <c r="A1355" s="62">
        <v>111</v>
      </c>
      <c r="B1355" s="62" t="s">
        <v>399</v>
      </c>
      <c r="C1355" s="62">
        <v>52</v>
      </c>
      <c r="D1355" s="64" t="s">
        <v>332</v>
      </c>
      <c r="E1355" s="65"/>
      <c r="F1355" s="62"/>
      <c r="G1355" s="62"/>
      <c r="H1355" s="62"/>
      <c r="I1355" s="62"/>
      <c r="J1355" s="62"/>
      <c r="K1355" s="62"/>
      <c r="L1355" s="62"/>
      <c r="M1355" s="62"/>
      <c r="N1355" s="62"/>
      <c r="O1355" s="62"/>
      <c r="P1355" s="62"/>
      <c r="Q1355" s="62"/>
      <c r="R1355" s="62"/>
      <c r="S1355" s="62"/>
      <c r="T1355" s="62"/>
      <c r="U1355" s="62"/>
      <c r="V1355" s="62"/>
      <c r="W1355" s="62"/>
      <c r="X1355" s="62"/>
      <c r="Y1355" s="62"/>
      <c r="Z1355" s="62"/>
      <c r="AA1355" s="62"/>
      <c r="AB1355" s="62"/>
    </row>
    <row r="1356" spans="1:28" x14ac:dyDescent="0.2">
      <c r="A1356" s="62">
        <v>111</v>
      </c>
      <c r="B1356" s="62" t="s">
        <v>399</v>
      </c>
      <c r="C1356" s="62">
        <v>53</v>
      </c>
      <c r="D1356" s="62" t="s">
        <v>333</v>
      </c>
      <c r="E1356" s="63">
        <v>44</v>
      </c>
      <c r="F1356" s="62"/>
      <c r="G1356" s="63">
        <v>76</v>
      </c>
      <c r="H1356" s="63">
        <v>16</v>
      </c>
      <c r="I1356" s="63">
        <v>10</v>
      </c>
      <c r="J1356" s="63">
        <v>11</v>
      </c>
      <c r="K1356" s="63">
        <v>10</v>
      </c>
      <c r="L1356" s="62"/>
      <c r="M1356" s="63">
        <v>8</v>
      </c>
      <c r="N1356" s="63">
        <v>7</v>
      </c>
      <c r="O1356" s="63">
        <v>9</v>
      </c>
      <c r="P1356" s="63">
        <v>11</v>
      </c>
      <c r="Q1356" s="63">
        <v>3</v>
      </c>
      <c r="R1356" s="63">
        <v>16</v>
      </c>
      <c r="S1356" s="63">
        <v>19</v>
      </c>
      <c r="T1356" s="63">
        <v>25</v>
      </c>
      <c r="U1356" s="63">
        <v>21</v>
      </c>
      <c r="V1356" s="63">
        <v>21</v>
      </c>
      <c r="W1356" s="63">
        <v>24</v>
      </c>
      <c r="X1356" s="63">
        <v>22</v>
      </c>
      <c r="Y1356" s="63">
        <v>22</v>
      </c>
      <c r="Z1356" s="63">
        <v>21</v>
      </c>
      <c r="AA1356" s="63">
        <v>23</v>
      </c>
      <c r="AB1356" s="63">
        <v>21</v>
      </c>
    </row>
    <row r="1357" spans="1:28" x14ac:dyDescent="0.2">
      <c r="A1357" s="62">
        <v>111</v>
      </c>
      <c r="B1357" s="62" t="s">
        <v>399</v>
      </c>
      <c r="C1357" s="62">
        <v>54</v>
      </c>
      <c r="D1357" s="64" t="s">
        <v>334</v>
      </c>
      <c r="E1357" s="65"/>
      <c r="F1357" s="63">
        <v>14</v>
      </c>
      <c r="G1357" s="63">
        <v>19</v>
      </c>
      <c r="H1357" s="63">
        <v>19</v>
      </c>
      <c r="I1357" s="63">
        <v>26</v>
      </c>
      <c r="J1357" s="63">
        <v>20</v>
      </c>
      <c r="K1357" s="63">
        <v>18</v>
      </c>
      <c r="L1357" s="63">
        <v>16</v>
      </c>
      <c r="M1357" s="63">
        <v>16</v>
      </c>
      <c r="N1357" s="63">
        <v>18</v>
      </c>
      <c r="O1357" s="63">
        <v>26</v>
      </c>
      <c r="P1357" s="63">
        <v>22</v>
      </c>
      <c r="Q1357" s="63">
        <v>18</v>
      </c>
      <c r="R1357" s="63">
        <v>19</v>
      </c>
      <c r="S1357" s="63">
        <v>29</v>
      </c>
      <c r="T1357" s="63">
        <v>36</v>
      </c>
      <c r="U1357" s="63">
        <v>26</v>
      </c>
      <c r="V1357" s="63">
        <v>24</v>
      </c>
      <c r="W1357" s="63">
        <v>30</v>
      </c>
      <c r="X1357" s="63">
        <v>39</v>
      </c>
      <c r="Y1357" s="63">
        <v>33</v>
      </c>
      <c r="Z1357" s="63">
        <v>34</v>
      </c>
      <c r="AA1357" s="63">
        <v>55</v>
      </c>
      <c r="AB1357" s="63">
        <v>129</v>
      </c>
    </row>
    <row r="1358" spans="1:28" x14ac:dyDescent="0.2">
      <c r="A1358" s="62">
        <v>111</v>
      </c>
      <c r="B1358" s="62" t="s">
        <v>399</v>
      </c>
      <c r="C1358" s="62">
        <v>56</v>
      </c>
      <c r="D1358" s="64" t="s">
        <v>336</v>
      </c>
      <c r="E1358" s="65"/>
      <c r="F1358" s="65"/>
      <c r="G1358" s="63">
        <v>10</v>
      </c>
      <c r="H1358" s="62"/>
      <c r="I1358" s="63">
        <v>8</v>
      </c>
      <c r="J1358" s="63">
        <v>7</v>
      </c>
      <c r="K1358" s="63">
        <v>9</v>
      </c>
      <c r="L1358" s="62"/>
      <c r="M1358" s="62"/>
      <c r="N1358" s="63">
        <v>1</v>
      </c>
      <c r="O1358" s="63">
        <v>6</v>
      </c>
      <c r="P1358" s="63">
        <v>6</v>
      </c>
      <c r="Q1358" s="63">
        <v>1</v>
      </c>
      <c r="R1358" s="63">
        <v>1</v>
      </c>
      <c r="S1358" s="63">
        <v>4</v>
      </c>
      <c r="T1358" s="63">
        <v>3</v>
      </c>
      <c r="U1358" s="63">
        <v>11</v>
      </c>
      <c r="V1358" s="63">
        <v>22</v>
      </c>
      <c r="W1358" s="63">
        <v>21</v>
      </c>
      <c r="X1358" s="63">
        <v>20</v>
      </c>
      <c r="Y1358" s="63">
        <v>24</v>
      </c>
      <c r="Z1358" s="63">
        <v>21</v>
      </c>
      <c r="AA1358" s="63">
        <v>42</v>
      </c>
      <c r="AB1358" s="63">
        <v>48</v>
      </c>
    </row>
    <row r="1359" spans="1:28" x14ac:dyDescent="0.2">
      <c r="A1359" s="62">
        <v>111</v>
      </c>
      <c r="B1359" s="62" t="s">
        <v>399</v>
      </c>
      <c r="C1359" s="62">
        <v>61</v>
      </c>
      <c r="D1359" s="64" t="s">
        <v>337</v>
      </c>
      <c r="E1359" s="65"/>
      <c r="F1359" s="62"/>
      <c r="G1359" s="62"/>
      <c r="H1359" s="62"/>
      <c r="I1359" s="62"/>
      <c r="J1359" s="63">
        <v>7</v>
      </c>
      <c r="K1359" s="62"/>
      <c r="L1359" s="62"/>
      <c r="M1359" s="63">
        <v>9</v>
      </c>
      <c r="N1359" s="62"/>
      <c r="O1359" s="62"/>
      <c r="P1359" s="62"/>
      <c r="Q1359" s="62"/>
      <c r="R1359" s="62"/>
      <c r="S1359" s="62"/>
      <c r="T1359" s="62"/>
      <c r="U1359" s="62"/>
      <c r="V1359" s="62"/>
      <c r="W1359" s="63">
        <v>8</v>
      </c>
      <c r="X1359" s="62"/>
      <c r="Y1359" s="62"/>
      <c r="Z1359" s="63">
        <v>13</v>
      </c>
      <c r="AA1359" s="63">
        <v>13</v>
      </c>
      <c r="AB1359" s="63">
        <v>13</v>
      </c>
    </row>
    <row r="1360" spans="1:28" x14ac:dyDescent="0.2">
      <c r="A1360" s="62">
        <v>111</v>
      </c>
      <c r="B1360" s="62" t="s">
        <v>399</v>
      </c>
      <c r="C1360" s="62">
        <v>62</v>
      </c>
      <c r="D1360" s="64" t="s">
        <v>338</v>
      </c>
      <c r="E1360" s="65"/>
      <c r="F1360" s="65"/>
      <c r="G1360" s="62"/>
      <c r="H1360" s="62"/>
      <c r="I1360" s="63">
        <v>9</v>
      </c>
      <c r="J1360" s="63">
        <v>13</v>
      </c>
      <c r="K1360" s="63">
        <v>15</v>
      </c>
      <c r="L1360" s="63">
        <v>8</v>
      </c>
      <c r="M1360" s="62"/>
      <c r="N1360" s="63">
        <v>11</v>
      </c>
      <c r="O1360" s="62"/>
      <c r="P1360" s="62"/>
      <c r="Q1360" s="63">
        <v>15</v>
      </c>
      <c r="R1360" s="63">
        <v>17</v>
      </c>
      <c r="S1360" s="63">
        <v>14</v>
      </c>
      <c r="T1360" s="63">
        <v>17</v>
      </c>
      <c r="U1360" s="62"/>
      <c r="V1360" s="62"/>
      <c r="W1360" s="63">
        <v>17</v>
      </c>
      <c r="X1360" s="63">
        <v>28</v>
      </c>
      <c r="Y1360" s="63">
        <v>29</v>
      </c>
      <c r="Z1360" s="63">
        <v>35</v>
      </c>
      <c r="AA1360" s="63">
        <v>42</v>
      </c>
      <c r="AB1360" s="63">
        <v>36</v>
      </c>
    </row>
    <row r="1361" spans="1:28" x14ac:dyDescent="0.2">
      <c r="A1361" s="62">
        <v>111</v>
      </c>
      <c r="B1361" s="62" t="s">
        <v>399</v>
      </c>
      <c r="C1361" s="62">
        <v>71</v>
      </c>
      <c r="D1361" s="64" t="s">
        <v>339</v>
      </c>
      <c r="E1361" s="65"/>
      <c r="F1361" s="65"/>
      <c r="G1361" s="62"/>
      <c r="H1361" s="63">
        <v>11</v>
      </c>
      <c r="I1361" s="63">
        <v>18</v>
      </c>
      <c r="J1361" s="63">
        <v>22</v>
      </c>
      <c r="K1361" s="62"/>
      <c r="L1361" s="63">
        <v>29</v>
      </c>
      <c r="M1361" s="63">
        <v>35</v>
      </c>
      <c r="N1361" s="63">
        <v>40</v>
      </c>
      <c r="O1361" s="63">
        <v>34</v>
      </c>
      <c r="P1361" s="63">
        <v>40</v>
      </c>
      <c r="Q1361" s="63">
        <v>36</v>
      </c>
      <c r="R1361" s="63">
        <v>24</v>
      </c>
      <c r="S1361" s="63">
        <v>39</v>
      </c>
      <c r="T1361" s="63">
        <v>40</v>
      </c>
      <c r="U1361" s="63">
        <v>37</v>
      </c>
      <c r="V1361" s="63">
        <v>38</v>
      </c>
      <c r="W1361" s="63">
        <v>41</v>
      </c>
      <c r="X1361" s="63">
        <v>43</v>
      </c>
      <c r="Y1361" s="63">
        <v>47</v>
      </c>
      <c r="Z1361" s="63">
        <v>51</v>
      </c>
      <c r="AA1361" s="63">
        <v>44</v>
      </c>
      <c r="AB1361" s="63">
        <v>56</v>
      </c>
    </row>
    <row r="1362" spans="1:28" x14ac:dyDescent="0.2">
      <c r="A1362" s="62">
        <v>111</v>
      </c>
      <c r="B1362" s="62" t="s">
        <v>399</v>
      </c>
      <c r="C1362" s="62">
        <v>72</v>
      </c>
      <c r="D1362" s="62" t="s">
        <v>340</v>
      </c>
      <c r="E1362" s="63">
        <v>75</v>
      </c>
      <c r="F1362" s="63">
        <v>78</v>
      </c>
      <c r="G1362" s="63">
        <v>84</v>
      </c>
      <c r="H1362" s="63">
        <v>94</v>
      </c>
      <c r="I1362" s="63">
        <v>87</v>
      </c>
      <c r="J1362" s="63">
        <v>117</v>
      </c>
      <c r="K1362" s="63">
        <v>115</v>
      </c>
      <c r="L1362" s="63">
        <v>110</v>
      </c>
      <c r="M1362" s="63">
        <v>104</v>
      </c>
      <c r="N1362" s="63">
        <v>98</v>
      </c>
      <c r="O1362" s="63">
        <v>110</v>
      </c>
      <c r="P1362" s="63">
        <v>110</v>
      </c>
      <c r="Q1362" s="63">
        <v>86</v>
      </c>
      <c r="R1362" s="63">
        <v>89</v>
      </c>
      <c r="S1362" s="63">
        <v>103</v>
      </c>
      <c r="T1362" s="63">
        <v>105</v>
      </c>
      <c r="U1362" s="63">
        <v>125</v>
      </c>
      <c r="V1362" s="63">
        <v>105</v>
      </c>
      <c r="W1362" s="63">
        <v>113</v>
      </c>
      <c r="X1362" s="63">
        <v>83</v>
      </c>
      <c r="Y1362" s="63">
        <v>126</v>
      </c>
      <c r="Z1362" s="63">
        <v>118</v>
      </c>
      <c r="AA1362" s="63">
        <v>131</v>
      </c>
      <c r="AB1362" s="63">
        <v>147</v>
      </c>
    </row>
    <row r="1363" spans="1:28" x14ac:dyDescent="0.2">
      <c r="A1363" s="62">
        <v>111</v>
      </c>
      <c r="B1363" s="62" t="s">
        <v>399</v>
      </c>
      <c r="C1363" s="62">
        <v>81</v>
      </c>
      <c r="D1363" s="64" t="s">
        <v>341</v>
      </c>
      <c r="E1363" s="65"/>
      <c r="F1363" s="65"/>
      <c r="G1363" s="63">
        <v>17</v>
      </c>
      <c r="H1363" s="63">
        <v>17</v>
      </c>
      <c r="I1363" s="63">
        <v>16</v>
      </c>
      <c r="J1363" s="63">
        <v>13</v>
      </c>
      <c r="K1363" s="63">
        <v>20</v>
      </c>
      <c r="L1363" s="63">
        <v>18</v>
      </c>
      <c r="M1363" s="63">
        <v>18</v>
      </c>
      <c r="N1363" s="62"/>
      <c r="O1363" s="63">
        <v>23</v>
      </c>
      <c r="P1363" s="63">
        <v>14</v>
      </c>
      <c r="Q1363" s="63">
        <v>15</v>
      </c>
      <c r="R1363" s="63">
        <v>15</v>
      </c>
      <c r="S1363" s="63">
        <v>14</v>
      </c>
      <c r="T1363" s="63">
        <v>16</v>
      </c>
      <c r="U1363" s="63">
        <v>20</v>
      </c>
      <c r="V1363" s="63">
        <v>18</v>
      </c>
      <c r="W1363" s="63">
        <v>18</v>
      </c>
      <c r="X1363" s="63">
        <v>20</v>
      </c>
      <c r="Y1363" s="63">
        <v>21</v>
      </c>
      <c r="Z1363" s="63">
        <v>14</v>
      </c>
      <c r="AA1363" s="63">
        <v>14</v>
      </c>
      <c r="AB1363" s="63">
        <v>17</v>
      </c>
    </row>
    <row r="1364" spans="1:28" x14ac:dyDescent="0.2">
      <c r="A1364" s="62">
        <v>111</v>
      </c>
      <c r="B1364" s="62" t="s">
        <v>399</v>
      </c>
      <c r="C1364" s="62">
        <v>99</v>
      </c>
      <c r="D1364" s="62" t="s">
        <v>342</v>
      </c>
      <c r="E1364" s="62"/>
      <c r="F1364" s="62"/>
      <c r="G1364" s="62"/>
      <c r="H1364" s="62"/>
      <c r="I1364" s="62"/>
      <c r="J1364" s="62"/>
      <c r="K1364" s="62"/>
      <c r="L1364" s="62"/>
      <c r="M1364" s="62"/>
      <c r="N1364" s="62"/>
      <c r="O1364" s="62"/>
      <c r="P1364" s="62"/>
      <c r="Q1364" s="63">
        <v>0</v>
      </c>
      <c r="R1364" s="62"/>
      <c r="S1364" s="62"/>
      <c r="T1364" s="62"/>
      <c r="U1364" s="62"/>
      <c r="V1364" s="62"/>
      <c r="W1364" s="62"/>
      <c r="X1364" s="62"/>
      <c r="Y1364" s="62"/>
      <c r="Z1364" s="63">
        <v>0</v>
      </c>
      <c r="AA1364" s="62"/>
      <c r="AB1364" s="62"/>
    </row>
    <row r="1365" spans="1:28" x14ac:dyDescent="0.2">
      <c r="A1365" s="62">
        <v>113</v>
      </c>
      <c r="B1365" s="62" t="s">
        <v>400</v>
      </c>
      <c r="C1365" s="62">
        <v>1</v>
      </c>
      <c r="D1365" s="62" t="s">
        <v>316</v>
      </c>
      <c r="E1365" s="63">
        <v>37</v>
      </c>
      <c r="F1365" s="63">
        <v>40</v>
      </c>
      <c r="G1365" s="63">
        <v>48</v>
      </c>
      <c r="H1365" s="63">
        <v>50</v>
      </c>
      <c r="I1365" s="63">
        <v>47</v>
      </c>
      <c r="J1365" s="63">
        <v>43</v>
      </c>
      <c r="K1365" s="63">
        <v>44</v>
      </c>
      <c r="L1365" s="63">
        <v>50</v>
      </c>
      <c r="M1365" s="63">
        <v>53</v>
      </c>
      <c r="N1365" s="63">
        <v>56</v>
      </c>
      <c r="O1365" s="63">
        <v>50</v>
      </c>
      <c r="P1365" s="63">
        <v>48</v>
      </c>
      <c r="Q1365" s="63">
        <v>44</v>
      </c>
      <c r="R1365" s="63">
        <v>43</v>
      </c>
      <c r="S1365" s="63">
        <v>39</v>
      </c>
      <c r="T1365" s="63">
        <v>33</v>
      </c>
      <c r="U1365" s="63">
        <v>32</v>
      </c>
      <c r="V1365" s="63">
        <v>32</v>
      </c>
      <c r="W1365" s="63">
        <v>32</v>
      </c>
      <c r="X1365" s="63">
        <v>33</v>
      </c>
      <c r="Y1365" s="63">
        <v>32</v>
      </c>
      <c r="Z1365" s="63">
        <v>34</v>
      </c>
      <c r="AA1365" s="63">
        <v>37</v>
      </c>
      <c r="AB1365" s="63">
        <v>30</v>
      </c>
    </row>
    <row r="1366" spans="1:28" x14ac:dyDescent="0.2">
      <c r="A1366" s="62">
        <v>113</v>
      </c>
      <c r="B1366" s="62" t="s">
        <v>400</v>
      </c>
      <c r="C1366" s="62">
        <v>10</v>
      </c>
      <c r="D1366" s="62" t="s">
        <v>317</v>
      </c>
      <c r="E1366" s="63">
        <v>6092</v>
      </c>
      <c r="F1366" s="63">
        <v>6010</v>
      </c>
      <c r="G1366" s="63">
        <v>5963</v>
      </c>
      <c r="H1366" s="63">
        <v>6167</v>
      </c>
      <c r="I1366" s="63">
        <v>6447</v>
      </c>
      <c r="J1366" s="63">
        <v>6650</v>
      </c>
      <c r="K1366" s="63">
        <v>6950</v>
      </c>
      <c r="L1366" s="63">
        <v>6730</v>
      </c>
      <c r="M1366" s="63">
        <v>6191</v>
      </c>
      <c r="N1366" s="63">
        <v>6024</v>
      </c>
      <c r="O1366" s="63">
        <v>6081</v>
      </c>
      <c r="P1366" s="63">
        <v>6123</v>
      </c>
      <c r="Q1366" s="63">
        <v>6186</v>
      </c>
      <c r="R1366" s="63">
        <v>6486</v>
      </c>
      <c r="S1366" s="63">
        <v>6824</v>
      </c>
      <c r="T1366" s="63">
        <v>6919</v>
      </c>
      <c r="U1366" s="63">
        <v>7094</v>
      </c>
      <c r="V1366" s="63">
        <v>7214</v>
      </c>
      <c r="W1366" s="63">
        <v>7446</v>
      </c>
      <c r="X1366" s="63">
        <v>6549</v>
      </c>
      <c r="Y1366" s="63">
        <v>7123</v>
      </c>
      <c r="Z1366" s="63">
        <v>7500</v>
      </c>
      <c r="AA1366" s="63">
        <v>7703</v>
      </c>
      <c r="AB1366" s="63">
        <v>7810</v>
      </c>
    </row>
    <row r="1367" spans="1:28" x14ac:dyDescent="0.2">
      <c r="A1367" s="62">
        <v>113</v>
      </c>
      <c r="B1367" s="62" t="s">
        <v>400</v>
      </c>
      <c r="C1367" s="62">
        <v>11</v>
      </c>
      <c r="D1367" s="62" t="s">
        <v>318</v>
      </c>
      <c r="E1367" s="63">
        <v>21</v>
      </c>
      <c r="F1367" s="63">
        <v>27</v>
      </c>
      <c r="G1367" s="63">
        <v>25</v>
      </c>
      <c r="H1367" s="63">
        <v>26</v>
      </c>
      <c r="I1367" s="63">
        <v>23</v>
      </c>
      <c r="J1367" s="63">
        <v>15</v>
      </c>
      <c r="K1367" s="63">
        <v>17</v>
      </c>
      <c r="L1367" s="63">
        <v>20</v>
      </c>
      <c r="M1367" s="63">
        <v>18</v>
      </c>
      <c r="N1367" s="63">
        <v>20</v>
      </c>
      <c r="O1367" s="63">
        <v>16</v>
      </c>
      <c r="P1367" s="63">
        <v>15</v>
      </c>
      <c r="Q1367" s="63">
        <v>13</v>
      </c>
      <c r="R1367" s="63">
        <v>13</v>
      </c>
      <c r="S1367" s="63">
        <v>22</v>
      </c>
      <c r="T1367" s="63">
        <v>25</v>
      </c>
      <c r="U1367" s="63">
        <v>26</v>
      </c>
      <c r="V1367" s="63">
        <v>32</v>
      </c>
      <c r="W1367" s="63">
        <v>34</v>
      </c>
      <c r="X1367" s="63">
        <v>42</v>
      </c>
      <c r="Y1367" s="63">
        <v>32</v>
      </c>
      <c r="Z1367" s="63">
        <v>45</v>
      </c>
      <c r="AA1367" s="63">
        <v>45</v>
      </c>
      <c r="AB1367" s="63">
        <v>34</v>
      </c>
    </row>
    <row r="1368" spans="1:28" x14ac:dyDescent="0.2">
      <c r="A1368" s="62">
        <v>113</v>
      </c>
      <c r="B1368" s="62" t="s">
        <v>400</v>
      </c>
      <c r="C1368" s="62">
        <v>2</v>
      </c>
      <c r="D1368" s="62" t="s">
        <v>319</v>
      </c>
      <c r="E1368" s="63">
        <v>10</v>
      </c>
      <c r="F1368" s="63">
        <v>10</v>
      </c>
      <c r="G1368" s="63">
        <v>10</v>
      </c>
      <c r="H1368" s="63">
        <v>9</v>
      </c>
      <c r="I1368" s="63">
        <v>9</v>
      </c>
      <c r="J1368" s="63">
        <v>7</v>
      </c>
      <c r="K1368" s="63">
        <v>7</v>
      </c>
      <c r="L1368" s="63">
        <v>10</v>
      </c>
      <c r="M1368" s="63">
        <v>13</v>
      </c>
      <c r="N1368" s="63">
        <v>12</v>
      </c>
      <c r="O1368" s="63">
        <v>15</v>
      </c>
      <c r="P1368" s="63">
        <v>17</v>
      </c>
      <c r="Q1368" s="63">
        <v>18</v>
      </c>
      <c r="R1368" s="63">
        <v>19</v>
      </c>
      <c r="S1368" s="63">
        <v>18</v>
      </c>
      <c r="T1368" s="63">
        <v>18</v>
      </c>
      <c r="U1368" s="63">
        <v>17</v>
      </c>
      <c r="V1368" s="63">
        <v>17</v>
      </c>
      <c r="W1368" s="63">
        <v>16</v>
      </c>
      <c r="X1368" s="63">
        <v>14</v>
      </c>
      <c r="Y1368" s="63">
        <v>13</v>
      </c>
      <c r="Z1368" s="63">
        <v>10</v>
      </c>
      <c r="AA1368" s="63">
        <v>11</v>
      </c>
      <c r="AB1368" s="63">
        <v>9</v>
      </c>
    </row>
    <row r="1369" spans="1:28" x14ac:dyDescent="0.2">
      <c r="A1369" s="62">
        <v>113</v>
      </c>
      <c r="B1369" s="62" t="s">
        <v>400</v>
      </c>
      <c r="C1369" s="62">
        <v>21</v>
      </c>
      <c r="D1369" s="62" t="s">
        <v>320</v>
      </c>
      <c r="E1369" s="63">
        <v>24</v>
      </c>
      <c r="F1369" s="63">
        <v>20</v>
      </c>
      <c r="G1369" s="63">
        <v>19</v>
      </c>
      <c r="H1369" s="62"/>
      <c r="I1369" s="63">
        <v>81</v>
      </c>
      <c r="J1369" s="63">
        <v>84</v>
      </c>
      <c r="K1369" s="63">
        <v>169</v>
      </c>
      <c r="L1369" s="63">
        <v>129</v>
      </c>
      <c r="M1369" s="63">
        <v>77</v>
      </c>
      <c r="N1369" s="63">
        <v>37</v>
      </c>
      <c r="O1369" s="63">
        <v>32</v>
      </c>
      <c r="P1369" s="62"/>
      <c r="Q1369" s="63">
        <v>25</v>
      </c>
      <c r="R1369" s="63">
        <v>35</v>
      </c>
      <c r="S1369" s="63">
        <v>38</v>
      </c>
      <c r="T1369" s="63">
        <v>38</v>
      </c>
      <c r="U1369" s="63">
        <v>38</v>
      </c>
      <c r="V1369" s="63">
        <v>45</v>
      </c>
      <c r="W1369" s="63">
        <v>39</v>
      </c>
      <c r="X1369" s="63">
        <v>30</v>
      </c>
      <c r="Y1369" s="63">
        <v>28</v>
      </c>
      <c r="Z1369" s="63">
        <v>25</v>
      </c>
      <c r="AA1369" s="63">
        <v>35</v>
      </c>
      <c r="AB1369" s="63">
        <v>28</v>
      </c>
    </row>
    <row r="1370" spans="1:28" x14ac:dyDescent="0.2">
      <c r="A1370" s="62">
        <v>113</v>
      </c>
      <c r="B1370" s="62" t="s">
        <v>400</v>
      </c>
      <c r="C1370" s="62">
        <v>22</v>
      </c>
      <c r="D1370" s="62" t="s">
        <v>321</v>
      </c>
      <c r="E1370" s="62"/>
      <c r="F1370" s="62"/>
      <c r="G1370" s="62"/>
      <c r="H1370" s="62"/>
      <c r="I1370" s="63">
        <v>7</v>
      </c>
      <c r="J1370" s="63">
        <v>8</v>
      </c>
      <c r="K1370" s="62"/>
      <c r="L1370" s="63">
        <v>7</v>
      </c>
      <c r="M1370" s="63">
        <v>8</v>
      </c>
      <c r="N1370" s="63">
        <v>8</v>
      </c>
      <c r="O1370" s="63">
        <v>6</v>
      </c>
      <c r="P1370" s="63">
        <v>7</v>
      </c>
      <c r="Q1370" s="63">
        <v>7</v>
      </c>
      <c r="R1370" s="63">
        <v>7</v>
      </c>
      <c r="S1370" s="63">
        <v>6</v>
      </c>
      <c r="T1370" s="63">
        <v>7</v>
      </c>
      <c r="U1370" s="63">
        <v>7</v>
      </c>
      <c r="V1370" s="63">
        <v>11</v>
      </c>
      <c r="W1370" s="63">
        <v>8</v>
      </c>
      <c r="X1370" s="63">
        <v>10</v>
      </c>
      <c r="Y1370" s="63">
        <v>8</v>
      </c>
      <c r="Z1370" s="63">
        <v>7</v>
      </c>
      <c r="AA1370" s="63">
        <v>7</v>
      </c>
      <c r="AB1370" s="63">
        <v>5</v>
      </c>
    </row>
    <row r="1371" spans="1:28" x14ac:dyDescent="0.2">
      <c r="A1371" s="62">
        <v>113</v>
      </c>
      <c r="B1371" s="62" t="s">
        <v>400</v>
      </c>
      <c r="C1371" s="62">
        <v>23</v>
      </c>
      <c r="D1371" s="62" t="s">
        <v>322</v>
      </c>
      <c r="E1371" s="63">
        <v>1043</v>
      </c>
      <c r="F1371" s="63">
        <v>934</v>
      </c>
      <c r="G1371" s="63">
        <v>962</v>
      </c>
      <c r="H1371" s="63">
        <v>987</v>
      </c>
      <c r="I1371" s="63">
        <v>1057</v>
      </c>
      <c r="J1371" s="63">
        <v>1175</v>
      </c>
      <c r="K1371" s="63">
        <v>1262</v>
      </c>
      <c r="L1371" s="63">
        <v>1188</v>
      </c>
      <c r="M1371" s="63">
        <v>886</v>
      </c>
      <c r="N1371" s="63">
        <v>751</v>
      </c>
      <c r="O1371" s="63">
        <v>669</v>
      </c>
      <c r="P1371" s="63">
        <v>623</v>
      </c>
      <c r="Q1371" s="63">
        <v>618</v>
      </c>
      <c r="R1371" s="63">
        <v>679</v>
      </c>
      <c r="S1371" s="63">
        <v>669</v>
      </c>
      <c r="T1371" s="63">
        <v>670</v>
      </c>
      <c r="U1371" s="63">
        <v>644</v>
      </c>
      <c r="V1371" s="63">
        <v>651</v>
      </c>
      <c r="W1371" s="63">
        <v>639</v>
      </c>
      <c r="X1371" s="63">
        <v>603</v>
      </c>
      <c r="Y1371" s="63">
        <v>634</v>
      </c>
      <c r="Z1371" s="63">
        <v>638</v>
      </c>
      <c r="AA1371" s="63">
        <v>696</v>
      </c>
      <c r="AB1371" s="63">
        <v>754</v>
      </c>
    </row>
    <row r="1372" spans="1:28" x14ac:dyDescent="0.2">
      <c r="A1372" s="62">
        <v>113</v>
      </c>
      <c r="B1372" s="62" t="s">
        <v>400</v>
      </c>
      <c r="C1372" s="62">
        <v>3</v>
      </c>
      <c r="D1372" s="62" t="s">
        <v>323</v>
      </c>
      <c r="E1372" s="63">
        <v>675</v>
      </c>
      <c r="F1372" s="63">
        <v>669</v>
      </c>
      <c r="G1372" s="63">
        <v>655</v>
      </c>
      <c r="H1372" s="63">
        <v>685</v>
      </c>
      <c r="I1372" s="63">
        <v>705</v>
      </c>
      <c r="J1372" s="63">
        <v>733</v>
      </c>
      <c r="K1372" s="63">
        <v>756</v>
      </c>
      <c r="L1372" s="63">
        <v>762</v>
      </c>
      <c r="M1372" s="63">
        <v>741</v>
      </c>
      <c r="N1372" s="63">
        <v>733</v>
      </c>
      <c r="O1372" s="63">
        <v>724</v>
      </c>
      <c r="P1372" s="63">
        <v>708</v>
      </c>
      <c r="Q1372" s="63">
        <v>700</v>
      </c>
      <c r="R1372" s="63">
        <v>702</v>
      </c>
      <c r="S1372" s="63">
        <v>712</v>
      </c>
      <c r="T1372" s="63">
        <v>745</v>
      </c>
      <c r="U1372" s="63">
        <v>755</v>
      </c>
      <c r="V1372" s="63">
        <v>758</v>
      </c>
      <c r="W1372" s="63">
        <v>774</v>
      </c>
      <c r="X1372" s="63">
        <v>737</v>
      </c>
      <c r="Y1372" s="63">
        <v>794</v>
      </c>
      <c r="Z1372" s="63">
        <v>784</v>
      </c>
      <c r="AA1372" s="63">
        <v>781</v>
      </c>
      <c r="AB1372" s="63">
        <v>808</v>
      </c>
    </row>
    <row r="1373" spans="1:28" x14ac:dyDescent="0.2">
      <c r="A1373" s="62">
        <v>113</v>
      </c>
      <c r="B1373" s="62" t="s">
        <v>400</v>
      </c>
      <c r="C1373" s="62" t="s">
        <v>324</v>
      </c>
      <c r="D1373" s="62" t="s">
        <v>325</v>
      </c>
      <c r="E1373" s="63">
        <v>126</v>
      </c>
      <c r="F1373" s="63">
        <v>108</v>
      </c>
      <c r="G1373" s="63">
        <v>109</v>
      </c>
      <c r="H1373" s="63">
        <v>119</v>
      </c>
      <c r="I1373" s="63">
        <v>138</v>
      </c>
      <c r="J1373" s="63">
        <v>135</v>
      </c>
      <c r="K1373" s="63">
        <v>153</v>
      </c>
      <c r="L1373" s="63">
        <v>138</v>
      </c>
      <c r="M1373" s="63">
        <v>131</v>
      </c>
      <c r="N1373" s="63">
        <v>118</v>
      </c>
      <c r="O1373" s="63">
        <v>115</v>
      </c>
      <c r="P1373" s="63">
        <v>137</v>
      </c>
      <c r="Q1373" s="63">
        <v>166</v>
      </c>
      <c r="R1373" s="63">
        <v>171</v>
      </c>
      <c r="S1373" s="63">
        <v>171</v>
      </c>
      <c r="T1373" s="63">
        <v>172</v>
      </c>
      <c r="U1373" s="63">
        <v>156</v>
      </c>
      <c r="V1373" s="63">
        <v>169</v>
      </c>
      <c r="W1373" s="63">
        <v>177</v>
      </c>
      <c r="X1373" s="63">
        <v>155</v>
      </c>
      <c r="Y1373" s="63">
        <v>154</v>
      </c>
      <c r="Z1373" s="63">
        <v>158</v>
      </c>
      <c r="AA1373" s="63">
        <v>157</v>
      </c>
      <c r="AB1373" s="63">
        <v>156</v>
      </c>
    </row>
    <row r="1374" spans="1:28" x14ac:dyDescent="0.2">
      <c r="A1374" s="62">
        <v>113</v>
      </c>
      <c r="B1374" s="62" t="s">
        <v>400</v>
      </c>
      <c r="C1374" s="62">
        <v>42</v>
      </c>
      <c r="D1374" s="62" t="s">
        <v>326</v>
      </c>
      <c r="E1374" s="63">
        <v>25</v>
      </c>
      <c r="F1374" s="63">
        <v>34</v>
      </c>
      <c r="G1374" s="63">
        <v>27</v>
      </c>
      <c r="H1374" s="63">
        <v>31</v>
      </c>
      <c r="I1374" s="63">
        <v>40</v>
      </c>
      <c r="J1374" s="63">
        <v>37</v>
      </c>
      <c r="K1374" s="63">
        <v>34</v>
      </c>
      <c r="L1374" s="63">
        <v>30</v>
      </c>
      <c r="M1374" s="63">
        <v>33</v>
      </c>
      <c r="N1374" s="63">
        <v>31</v>
      </c>
      <c r="O1374" s="63">
        <v>36</v>
      </c>
      <c r="P1374" s="63">
        <v>20</v>
      </c>
      <c r="Q1374" s="63">
        <v>40</v>
      </c>
      <c r="R1374" s="63">
        <v>36</v>
      </c>
      <c r="S1374" s="63">
        <v>40</v>
      </c>
      <c r="T1374" s="63">
        <v>43</v>
      </c>
      <c r="U1374" s="63">
        <v>42</v>
      </c>
      <c r="V1374" s="63">
        <v>49</v>
      </c>
      <c r="W1374" s="63">
        <v>51</v>
      </c>
      <c r="X1374" s="63">
        <v>45</v>
      </c>
      <c r="Y1374" s="63">
        <v>48</v>
      </c>
      <c r="Z1374" s="63">
        <v>51</v>
      </c>
      <c r="AA1374" s="63">
        <v>52</v>
      </c>
      <c r="AB1374" s="63">
        <v>56</v>
      </c>
    </row>
    <row r="1375" spans="1:28" x14ac:dyDescent="0.2">
      <c r="A1375" s="62">
        <v>113</v>
      </c>
      <c r="B1375" s="62" t="s">
        <v>400</v>
      </c>
      <c r="C1375" s="62" t="s">
        <v>327</v>
      </c>
      <c r="D1375" s="62" t="s">
        <v>328</v>
      </c>
      <c r="E1375" s="63">
        <v>516</v>
      </c>
      <c r="F1375" s="63">
        <v>525</v>
      </c>
      <c r="G1375" s="63">
        <v>503</v>
      </c>
      <c r="H1375" s="63">
        <v>506</v>
      </c>
      <c r="I1375" s="63">
        <v>489</v>
      </c>
      <c r="J1375" s="63">
        <v>520</v>
      </c>
      <c r="K1375" s="63">
        <v>523</v>
      </c>
      <c r="L1375" s="63">
        <v>511</v>
      </c>
      <c r="M1375" s="63">
        <v>463</v>
      </c>
      <c r="N1375" s="63">
        <v>477</v>
      </c>
      <c r="O1375" s="63">
        <v>493</v>
      </c>
      <c r="P1375" s="63">
        <v>472</v>
      </c>
      <c r="Q1375" s="63">
        <v>481</v>
      </c>
      <c r="R1375" s="63">
        <v>476</v>
      </c>
      <c r="S1375" s="63">
        <v>498</v>
      </c>
      <c r="T1375" s="63">
        <v>535</v>
      </c>
      <c r="U1375" s="63">
        <v>556</v>
      </c>
      <c r="V1375" s="63">
        <v>584</v>
      </c>
      <c r="W1375" s="63">
        <v>604</v>
      </c>
      <c r="X1375" s="63">
        <v>559</v>
      </c>
      <c r="Y1375" s="63">
        <v>606</v>
      </c>
      <c r="Z1375" s="63">
        <v>650</v>
      </c>
      <c r="AA1375" s="63">
        <v>624</v>
      </c>
      <c r="AB1375" s="63">
        <v>619</v>
      </c>
    </row>
    <row r="1376" spans="1:28" x14ac:dyDescent="0.2">
      <c r="A1376" s="62">
        <v>113</v>
      </c>
      <c r="B1376" s="62" t="s">
        <v>400</v>
      </c>
      <c r="C1376" s="62" t="s">
        <v>329</v>
      </c>
      <c r="D1376" s="62" t="s">
        <v>330</v>
      </c>
      <c r="E1376" s="63">
        <v>36</v>
      </c>
      <c r="F1376" s="63">
        <v>40</v>
      </c>
      <c r="G1376" s="63">
        <v>41</v>
      </c>
      <c r="H1376" s="63">
        <v>42</v>
      </c>
      <c r="I1376" s="63">
        <v>59</v>
      </c>
      <c r="J1376" s="63">
        <v>56</v>
      </c>
      <c r="K1376" s="63">
        <v>63</v>
      </c>
      <c r="L1376" s="63">
        <v>67</v>
      </c>
      <c r="M1376" s="63">
        <v>54</v>
      </c>
      <c r="N1376" s="63">
        <v>48</v>
      </c>
      <c r="O1376" s="63">
        <v>57</v>
      </c>
      <c r="P1376" s="63">
        <v>57</v>
      </c>
      <c r="Q1376" s="63">
        <v>54</v>
      </c>
      <c r="R1376" s="63">
        <v>67</v>
      </c>
      <c r="S1376" s="63">
        <v>58</v>
      </c>
      <c r="T1376" s="63">
        <v>49</v>
      </c>
      <c r="U1376" s="63">
        <v>71</v>
      </c>
      <c r="V1376" s="63">
        <v>60</v>
      </c>
      <c r="W1376" s="63">
        <v>63</v>
      </c>
      <c r="X1376" s="63">
        <v>68</v>
      </c>
      <c r="Y1376" s="63">
        <v>79</v>
      </c>
      <c r="Z1376" s="63">
        <v>85</v>
      </c>
      <c r="AA1376" s="63">
        <v>96</v>
      </c>
      <c r="AB1376" s="63">
        <v>94</v>
      </c>
    </row>
    <row r="1377" spans="1:28" x14ac:dyDescent="0.2">
      <c r="A1377" s="62">
        <v>113</v>
      </c>
      <c r="B1377" s="62" t="s">
        <v>400</v>
      </c>
      <c r="C1377" s="62">
        <v>51</v>
      </c>
      <c r="D1377" s="62" t="s">
        <v>331</v>
      </c>
      <c r="E1377" s="63">
        <v>104</v>
      </c>
      <c r="F1377" s="63">
        <v>112</v>
      </c>
      <c r="G1377" s="63">
        <v>134</v>
      </c>
      <c r="H1377" s="63">
        <v>127</v>
      </c>
      <c r="I1377" s="63">
        <v>145</v>
      </c>
      <c r="J1377" s="63">
        <v>130</v>
      </c>
      <c r="K1377" s="63">
        <v>142</v>
      </c>
      <c r="L1377" s="63">
        <v>142</v>
      </c>
      <c r="M1377" s="63">
        <v>119</v>
      </c>
      <c r="N1377" s="63">
        <v>108</v>
      </c>
      <c r="O1377" s="63">
        <v>98</v>
      </c>
      <c r="P1377" s="63">
        <v>104</v>
      </c>
      <c r="Q1377" s="63">
        <v>101</v>
      </c>
      <c r="R1377" s="63">
        <v>85</v>
      </c>
      <c r="S1377" s="63">
        <v>76</v>
      </c>
      <c r="T1377" s="63">
        <v>72</v>
      </c>
      <c r="U1377" s="63">
        <v>86</v>
      </c>
      <c r="V1377" s="63">
        <v>63</v>
      </c>
      <c r="W1377" s="63">
        <v>64</v>
      </c>
      <c r="X1377" s="63">
        <v>60</v>
      </c>
      <c r="Y1377" s="63">
        <v>64</v>
      </c>
      <c r="Z1377" s="63">
        <v>69</v>
      </c>
      <c r="AA1377" s="63">
        <v>118</v>
      </c>
      <c r="AB1377" s="63">
        <v>91</v>
      </c>
    </row>
    <row r="1378" spans="1:28" x14ac:dyDescent="0.2">
      <c r="A1378" s="62">
        <v>113</v>
      </c>
      <c r="B1378" s="62" t="s">
        <v>400</v>
      </c>
      <c r="C1378" s="62">
        <v>52</v>
      </c>
      <c r="D1378" s="62" t="s">
        <v>332</v>
      </c>
      <c r="E1378" s="63">
        <v>155</v>
      </c>
      <c r="F1378" s="63">
        <v>141</v>
      </c>
      <c r="G1378" s="63">
        <v>133</v>
      </c>
      <c r="H1378" s="63">
        <v>143</v>
      </c>
      <c r="I1378" s="63">
        <v>150</v>
      </c>
      <c r="J1378" s="63">
        <v>128</v>
      </c>
      <c r="K1378" s="63">
        <v>126</v>
      </c>
      <c r="L1378" s="63">
        <v>99</v>
      </c>
      <c r="M1378" s="63">
        <v>87</v>
      </c>
      <c r="N1378" s="63">
        <v>106</v>
      </c>
      <c r="O1378" s="63">
        <v>109</v>
      </c>
      <c r="P1378" s="63">
        <v>97</v>
      </c>
      <c r="Q1378" s="63">
        <v>103</v>
      </c>
      <c r="R1378" s="63">
        <v>112</v>
      </c>
      <c r="S1378" s="63">
        <v>116</v>
      </c>
      <c r="T1378" s="63">
        <v>106</v>
      </c>
      <c r="U1378" s="63">
        <v>93</v>
      </c>
      <c r="V1378" s="63">
        <v>95</v>
      </c>
      <c r="W1378" s="63">
        <v>97</v>
      </c>
      <c r="X1378" s="63">
        <v>94</v>
      </c>
      <c r="Y1378" s="63">
        <v>111</v>
      </c>
      <c r="Z1378" s="63">
        <v>110</v>
      </c>
      <c r="AA1378" s="63">
        <v>127</v>
      </c>
      <c r="AB1378" s="63">
        <v>125</v>
      </c>
    </row>
    <row r="1379" spans="1:28" x14ac:dyDescent="0.2">
      <c r="A1379" s="62">
        <v>113</v>
      </c>
      <c r="B1379" s="62" t="s">
        <v>400</v>
      </c>
      <c r="C1379" s="62">
        <v>53</v>
      </c>
      <c r="D1379" s="62" t="s">
        <v>333</v>
      </c>
      <c r="E1379" s="63">
        <v>630</v>
      </c>
      <c r="F1379" s="63">
        <v>563</v>
      </c>
      <c r="G1379" s="63">
        <v>547</v>
      </c>
      <c r="H1379" s="63">
        <v>563</v>
      </c>
      <c r="I1379" s="63">
        <v>615</v>
      </c>
      <c r="J1379" s="63">
        <v>636</v>
      </c>
      <c r="K1379" s="63">
        <v>659</v>
      </c>
      <c r="L1379" s="63">
        <v>601</v>
      </c>
      <c r="M1379" s="63">
        <v>551</v>
      </c>
      <c r="N1379" s="63">
        <v>552</v>
      </c>
      <c r="O1379" s="63">
        <v>563</v>
      </c>
      <c r="P1379" s="63">
        <v>605</v>
      </c>
      <c r="Q1379" s="63">
        <v>588</v>
      </c>
      <c r="R1379" s="63">
        <v>623</v>
      </c>
      <c r="S1379" s="63">
        <v>662</v>
      </c>
      <c r="T1379" s="63">
        <v>674</v>
      </c>
      <c r="U1379" s="63">
        <v>705</v>
      </c>
      <c r="V1379" s="63">
        <v>669</v>
      </c>
      <c r="W1379" s="63">
        <v>699</v>
      </c>
      <c r="X1379" s="63">
        <v>695</v>
      </c>
      <c r="Y1379" s="63">
        <v>686</v>
      </c>
      <c r="Z1379" s="63">
        <v>652</v>
      </c>
      <c r="AA1379" s="63">
        <v>657</v>
      </c>
      <c r="AB1379" s="63">
        <v>644</v>
      </c>
    </row>
    <row r="1380" spans="1:28" x14ac:dyDescent="0.2">
      <c r="A1380" s="62">
        <v>113</v>
      </c>
      <c r="B1380" s="62" t="s">
        <v>400</v>
      </c>
      <c r="C1380" s="62">
        <v>54</v>
      </c>
      <c r="D1380" s="62" t="s">
        <v>334</v>
      </c>
      <c r="E1380" s="63">
        <v>346</v>
      </c>
      <c r="F1380" s="63">
        <v>365</v>
      </c>
      <c r="G1380" s="63">
        <v>374</v>
      </c>
      <c r="H1380" s="63">
        <v>393</v>
      </c>
      <c r="I1380" s="63">
        <v>407</v>
      </c>
      <c r="J1380" s="63">
        <v>431</v>
      </c>
      <c r="K1380" s="63">
        <v>447</v>
      </c>
      <c r="L1380" s="63">
        <v>409</v>
      </c>
      <c r="M1380" s="63">
        <v>406</v>
      </c>
      <c r="N1380" s="63">
        <v>390</v>
      </c>
      <c r="O1380" s="63">
        <v>404</v>
      </c>
      <c r="P1380" s="63">
        <v>437</v>
      </c>
      <c r="Q1380" s="63">
        <v>452</v>
      </c>
      <c r="R1380" s="63">
        <v>494</v>
      </c>
      <c r="S1380" s="63">
        <v>558</v>
      </c>
      <c r="T1380" s="63">
        <v>471</v>
      </c>
      <c r="U1380" s="63">
        <v>495</v>
      </c>
      <c r="V1380" s="63">
        <v>497</v>
      </c>
      <c r="W1380" s="63">
        <v>509</v>
      </c>
      <c r="X1380" s="63">
        <v>505</v>
      </c>
      <c r="Y1380" s="63">
        <v>519</v>
      </c>
      <c r="Z1380" s="63">
        <v>557</v>
      </c>
      <c r="AA1380" s="63">
        <v>583</v>
      </c>
      <c r="AB1380" s="63">
        <v>575</v>
      </c>
    </row>
    <row r="1381" spans="1:28" x14ac:dyDescent="0.2">
      <c r="A1381" s="62">
        <v>113</v>
      </c>
      <c r="B1381" s="62" t="s">
        <v>400</v>
      </c>
      <c r="C1381" s="62">
        <v>55</v>
      </c>
      <c r="D1381" s="62" t="s">
        <v>335</v>
      </c>
      <c r="E1381" s="63">
        <v>1</v>
      </c>
      <c r="F1381" s="63">
        <v>1</v>
      </c>
      <c r="G1381" s="63">
        <v>1</v>
      </c>
      <c r="H1381" s="62"/>
      <c r="I1381" s="63">
        <v>3</v>
      </c>
      <c r="J1381" s="63">
        <v>4</v>
      </c>
      <c r="K1381" s="62"/>
      <c r="L1381" s="62"/>
      <c r="M1381" s="63">
        <v>2</v>
      </c>
      <c r="N1381" s="63">
        <v>3</v>
      </c>
      <c r="O1381" s="63">
        <v>4</v>
      </c>
      <c r="P1381" s="62"/>
      <c r="Q1381" s="62"/>
      <c r="R1381" s="63">
        <v>6</v>
      </c>
      <c r="S1381" s="63">
        <v>7</v>
      </c>
      <c r="T1381" s="63">
        <v>8</v>
      </c>
      <c r="U1381" s="63">
        <v>15</v>
      </c>
      <c r="V1381" s="63">
        <v>13</v>
      </c>
      <c r="W1381" s="63">
        <v>15</v>
      </c>
      <c r="X1381" s="63">
        <v>12</v>
      </c>
      <c r="Y1381" s="63">
        <v>14</v>
      </c>
      <c r="Z1381" s="63">
        <v>16</v>
      </c>
      <c r="AA1381" s="63">
        <v>22</v>
      </c>
      <c r="AB1381" s="63">
        <v>16</v>
      </c>
    </row>
    <row r="1382" spans="1:28" x14ac:dyDescent="0.2">
      <c r="A1382" s="62">
        <v>113</v>
      </c>
      <c r="B1382" s="62" t="s">
        <v>400</v>
      </c>
      <c r="C1382" s="62">
        <v>56</v>
      </c>
      <c r="D1382" s="62" t="s">
        <v>336</v>
      </c>
      <c r="E1382" s="63">
        <v>185</v>
      </c>
      <c r="F1382" s="63">
        <v>202</v>
      </c>
      <c r="G1382" s="63">
        <v>231</v>
      </c>
      <c r="H1382" s="63">
        <v>259</v>
      </c>
      <c r="I1382" s="63">
        <v>273</v>
      </c>
      <c r="J1382" s="63">
        <v>268</v>
      </c>
      <c r="K1382" s="63">
        <v>282</v>
      </c>
      <c r="L1382" s="63">
        <v>277</v>
      </c>
      <c r="M1382" s="63">
        <v>257</v>
      </c>
      <c r="N1382" s="63">
        <v>262</v>
      </c>
      <c r="O1382" s="63">
        <v>267</v>
      </c>
      <c r="P1382" s="63">
        <v>256</v>
      </c>
      <c r="Q1382" s="63">
        <v>280</v>
      </c>
      <c r="R1382" s="63">
        <v>275</v>
      </c>
      <c r="S1382" s="63">
        <v>318</v>
      </c>
      <c r="T1382" s="63">
        <v>347</v>
      </c>
      <c r="U1382" s="63">
        <v>356</v>
      </c>
      <c r="V1382" s="63">
        <v>374</v>
      </c>
      <c r="W1382" s="63">
        <v>410</v>
      </c>
      <c r="X1382" s="63">
        <v>382</v>
      </c>
      <c r="Y1382" s="63">
        <v>398</v>
      </c>
      <c r="Z1382" s="63">
        <v>408</v>
      </c>
      <c r="AA1382" s="63">
        <v>428</v>
      </c>
      <c r="AB1382" s="63">
        <v>413</v>
      </c>
    </row>
    <row r="1383" spans="1:28" x14ac:dyDescent="0.2">
      <c r="A1383" s="62">
        <v>113</v>
      </c>
      <c r="B1383" s="62" t="s">
        <v>400</v>
      </c>
      <c r="C1383" s="62">
        <v>61</v>
      </c>
      <c r="D1383" s="62" t="s">
        <v>337</v>
      </c>
      <c r="E1383" s="63">
        <v>41</v>
      </c>
      <c r="F1383" s="63">
        <v>52</v>
      </c>
      <c r="G1383" s="63">
        <v>66</v>
      </c>
      <c r="H1383" s="63">
        <v>67</v>
      </c>
      <c r="I1383" s="63">
        <v>71</v>
      </c>
      <c r="J1383" s="63">
        <v>68</v>
      </c>
      <c r="K1383" s="63">
        <v>110</v>
      </c>
      <c r="L1383" s="63">
        <v>104</v>
      </c>
      <c r="M1383" s="63">
        <v>81</v>
      </c>
      <c r="N1383" s="63">
        <v>91</v>
      </c>
      <c r="O1383" s="63">
        <v>91</v>
      </c>
      <c r="P1383" s="63">
        <v>95</v>
      </c>
      <c r="Q1383" s="63">
        <v>113</v>
      </c>
      <c r="R1383" s="63">
        <v>111</v>
      </c>
      <c r="S1383" s="63">
        <v>113</v>
      </c>
      <c r="T1383" s="63">
        <v>116</v>
      </c>
      <c r="U1383" s="63">
        <v>123</v>
      </c>
      <c r="V1383" s="63">
        <v>150</v>
      </c>
      <c r="W1383" s="63">
        <v>158</v>
      </c>
      <c r="X1383" s="63">
        <v>134</v>
      </c>
      <c r="Y1383" s="63">
        <v>139</v>
      </c>
      <c r="Z1383" s="63">
        <v>144</v>
      </c>
      <c r="AA1383" s="63">
        <v>159</v>
      </c>
      <c r="AB1383" s="63">
        <v>161</v>
      </c>
    </row>
    <row r="1384" spans="1:28" x14ac:dyDescent="0.2">
      <c r="A1384" s="62">
        <v>113</v>
      </c>
      <c r="B1384" s="62" t="s">
        <v>400</v>
      </c>
      <c r="C1384" s="62">
        <v>62</v>
      </c>
      <c r="D1384" s="62" t="s">
        <v>338</v>
      </c>
      <c r="E1384" s="63">
        <v>124</v>
      </c>
      <c r="F1384" s="63">
        <v>139</v>
      </c>
      <c r="G1384" s="63">
        <v>197</v>
      </c>
      <c r="H1384" s="63">
        <v>214</v>
      </c>
      <c r="I1384" s="63">
        <v>211</v>
      </c>
      <c r="J1384" s="63">
        <v>207</v>
      </c>
      <c r="K1384" s="63">
        <v>221</v>
      </c>
      <c r="L1384" s="63">
        <v>230</v>
      </c>
      <c r="M1384" s="63">
        <v>234</v>
      </c>
      <c r="N1384" s="63">
        <v>222</v>
      </c>
      <c r="O1384" s="63">
        <v>236</v>
      </c>
      <c r="P1384" s="63">
        <v>234</v>
      </c>
      <c r="Q1384" s="63">
        <v>227</v>
      </c>
      <c r="R1384" s="63">
        <v>257</v>
      </c>
      <c r="S1384" s="63">
        <v>269</v>
      </c>
      <c r="T1384" s="63">
        <v>274</v>
      </c>
      <c r="U1384" s="63">
        <v>291</v>
      </c>
      <c r="V1384" s="63">
        <v>299</v>
      </c>
      <c r="W1384" s="63">
        <v>304</v>
      </c>
      <c r="X1384" s="63">
        <v>276</v>
      </c>
      <c r="Y1384" s="63">
        <v>299</v>
      </c>
      <c r="Z1384" s="63">
        <v>293</v>
      </c>
      <c r="AA1384" s="63">
        <v>288</v>
      </c>
      <c r="AB1384" s="63">
        <v>274</v>
      </c>
    </row>
    <row r="1385" spans="1:28" x14ac:dyDescent="0.2">
      <c r="A1385" s="62">
        <v>113</v>
      </c>
      <c r="B1385" s="62" t="s">
        <v>400</v>
      </c>
      <c r="C1385" s="62">
        <v>71</v>
      </c>
      <c r="D1385" s="62" t="s">
        <v>339</v>
      </c>
      <c r="E1385" s="63">
        <v>516</v>
      </c>
      <c r="F1385" s="63">
        <v>480</v>
      </c>
      <c r="G1385" s="63">
        <v>446</v>
      </c>
      <c r="H1385" s="63">
        <v>444</v>
      </c>
      <c r="I1385" s="63">
        <v>443</v>
      </c>
      <c r="J1385" s="63">
        <v>449</v>
      </c>
      <c r="K1385" s="63">
        <v>505</v>
      </c>
      <c r="L1385" s="63">
        <v>509</v>
      </c>
      <c r="M1385" s="63">
        <v>542</v>
      </c>
      <c r="N1385" s="63">
        <v>591</v>
      </c>
      <c r="O1385" s="63">
        <v>620</v>
      </c>
      <c r="P1385" s="63">
        <v>628</v>
      </c>
      <c r="Q1385" s="63">
        <v>648</v>
      </c>
      <c r="R1385" s="63">
        <v>694</v>
      </c>
      <c r="S1385" s="63">
        <v>761</v>
      </c>
      <c r="T1385" s="63">
        <v>808</v>
      </c>
      <c r="U1385" s="63">
        <v>819</v>
      </c>
      <c r="V1385" s="63">
        <v>917</v>
      </c>
      <c r="W1385" s="63">
        <v>998</v>
      </c>
      <c r="X1385" s="63">
        <v>699</v>
      </c>
      <c r="Y1385" s="63">
        <v>853</v>
      </c>
      <c r="Z1385" s="63">
        <v>958</v>
      </c>
      <c r="AA1385" s="63">
        <v>976</v>
      </c>
      <c r="AB1385" s="63">
        <v>1024</v>
      </c>
    </row>
    <row r="1386" spans="1:28" x14ac:dyDescent="0.2">
      <c r="A1386" s="62">
        <v>113</v>
      </c>
      <c r="B1386" s="62" t="s">
        <v>400</v>
      </c>
      <c r="C1386" s="62">
        <v>72</v>
      </c>
      <c r="D1386" s="62" t="s">
        <v>340</v>
      </c>
      <c r="E1386" s="63">
        <v>1107</v>
      </c>
      <c r="F1386" s="63">
        <v>1181</v>
      </c>
      <c r="G1386" s="63">
        <v>1111</v>
      </c>
      <c r="H1386" s="63">
        <v>1096</v>
      </c>
      <c r="I1386" s="63">
        <v>1130</v>
      </c>
      <c r="J1386" s="63">
        <v>1150</v>
      </c>
      <c r="K1386" s="63">
        <v>1056</v>
      </c>
      <c r="L1386" s="63">
        <v>1036</v>
      </c>
      <c r="M1386" s="63">
        <v>1043</v>
      </c>
      <c r="N1386" s="63">
        <v>1012</v>
      </c>
      <c r="O1386" s="63">
        <v>1133</v>
      </c>
      <c r="P1386" s="63">
        <v>1198</v>
      </c>
      <c r="Q1386" s="63">
        <v>1162</v>
      </c>
      <c r="R1386" s="63">
        <v>1216</v>
      </c>
      <c r="S1386" s="63">
        <v>1259</v>
      </c>
      <c r="T1386" s="63">
        <v>1300</v>
      </c>
      <c r="U1386" s="63">
        <v>1320</v>
      </c>
      <c r="V1386" s="63">
        <v>1411</v>
      </c>
      <c r="W1386" s="63">
        <v>1465</v>
      </c>
      <c r="X1386" s="63">
        <v>1113</v>
      </c>
      <c r="Y1386" s="63">
        <v>1305</v>
      </c>
      <c r="Z1386" s="63">
        <v>1499</v>
      </c>
      <c r="AA1386" s="63">
        <v>1493</v>
      </c>
      <c r="AB1386" s="63">
        <v>1569</v>
      </c>
    </row>
    <row r="1387" spans="1:28" x14ac:dyDescent="0.2">
      <c r="A1387" s="62">
        <v>113</v>
      </c>
      <c r="B1387" s="62" t="s">
        <v>400</v>
      </c>
      <c r="C1387" s="62">
        <v>81</v>
      </c>
      <c r="D1387" s="62" t="s">
        <v>341</v>
      </c>
      <c r="E1387" s="63">
        <v>334</v>
      </c>
      <c r="F1387" s="63">
        <v>342</v>
      </c>
      <c r="G1387" s="63">
        <v>311</v>
      </c>
      <c r="H1387" s="63">
        <v>349</v>
      </c>
      <c r="I1387" s="63">
        <v>334</v>
      </c>
      <c r="J1387" s="63">
        <v>353</v>
      </c>
      <c r="K1387" s="63">
        <v>352</v>
      </c>
      <c r="L1387" s="63">
        <v>383</v>
      </c>
      <c r="M1387" s="63">
        <v>361</v>
      </c>
      <c r="N1387" s="63">
        <v>385</v>
      </c>
      <c r="O1387" s="63">
        <v>330</v>
      </c>
      <c r="P1387" s="63">
        <v>312</v>
      </c>
      <c r="Q1387" s="63">
        <v>319</v>
      </c>
      <c r="R1387" s="63">
        <v>351</v>
      </c>
      <c r="S1387" s="63">
        <v>404</v>
      </c>
      <c r="T1387" s="63">
        <v>393</v>
      </c>
      <c r="U1387" s="63">
        <v>431</v>
      </c>
      <c r="V1387" s="63">
        <v>308</v>
      </c>
      <c r="W1387" s="63">
        <v>281</v>
      </c>
      <c r="X1387" s="63">
        <v>272</v>
      </c>
      <c r="Y1387" s="63">
        <v>295</v>
      </c>
      <c r="Z1387" s="63">
        <v>298</v>
      </c>
      <c r="AA1387" s="63">
        <v>300</v>
      </c>
      <c r="AB1387" s="63">
        <v>315</v>
      </c>
    </row>
    <row r="1388" spans="1:28" x14ac:dyDescent="0.2">
      <c r="A1388" s="62">
        <v>113</v>
      </c>
      <c r="B1388" s="62" t="s">
        <v>400</v>
      </c>
      <c r="C1388" s="62">
        <v>99</v>
      </c>
      <c r="D1388" s="62" t="s">
        <v>342</v>
      </c>
      <c r="E1388" s="62"/>
      <c r="F1388" s="62"/>
      <c r="G1388" s="62"/>
      <c r="H1388" s="63">
        <v>0</v>
      </c>
      <c r="I1388" s="62"/>
      <c r="J1388" s="62"/>
      <c r="K1388" s="62"/>
      <c r="L1388" s="62"/>
      <c r="M1388" s="62"/>
      <c r="N1388" s="63">
        <v>1</v>
      </c>
      <c r="O1388" s="63">
        <v>0</v>
      </c>
      <c r="P1388" s="63">
        <v>0</v>
      </c>
      <c r="Q1388" s="62"/>
      <c r="R1388" s="63">
        <v>4</v>
      </c>
      <c r="S1388" s="62"/>
      <c r="T1388" s="63">
        <v>2</v>
      </c>
      <c r="U1388" s="63">
        <v>1</v>
      </c>
      <c r="V1388" s="63">
        <v>0</v>
      </c>
      <c r="W1388" s="62"/>
      <c r="X1388" s="62"/>
      <c r="Y1388" s="63">
        <v>0</v>
      </c>
      <c r="Z1388" s="63">
        <v>0</v>
      </c>
      <c r="AA1388" s="63">
        <v>2</v>
      </c>
      <c r="AB1388" s="63">
        <v>0</v>
      </c>
    </row>
    <row r="1389" spans="1:28" x14ac:dyDescent="0.2">
      <c r="A1389" s="62">
        <v>115</v>
      </c>
      <c r="B1389" s="62" t="s">
        <v>401</v>
      </c>
      <c r="C1389" s="62">
        <v>1</v>
      </c>
      <c r="D1389" s="62" t="s">
        <v>316</v>
      </c>
      <c r="E1389" s="63">
        <v>23</v>
      </c>
      <c r="F1389" s="63">
        <v>24</v>
      </c>
      <c r="G1389" s="63">
        <v>23</v>
      </c>
      <c r="H1389" s="63">
        <v>22</v>
      </c>
      <c r="I1389" s="63">
        <v>23</v>
      </c>
      <c r="J1389" s="63">
        <v>23</v>
      </c>
      <c r="K1389" s="63">
        <v>23</v>
      </c>
      <c r="L1389" s="63">
        <v>24</v>
      </c>
      <c r="M1389" s="63">
        <v>24</v>
      </c>
      <c r="N1389" s="63">
        <v>22</v>
      </c>
      <c r="O1389" s="63">
        <v>22</v>
      </c>
      <c r="P1389" s="63">
        <v>20</v>
      </c>
      <c r="Q1389" s="63">
        <v>18</v>
      </c>
      <c r="R1389" s="63">
        <v>17</v>
      </c>
      <c r="S1389" s="63">
        <v>17</v>
      </c>
      <c r="T1389" s="63">
        <v>19</v>
      </c>
      <c r="U1389" s="63">
        <v>17</v>
      </c>
      <c r="V1389" s="63">
        <v>16</v>
      </c>
      <c r="W1389" s="63">
        <v>16</v>
      </c>
      <c r="X1389" s="63">
        <v>19</v>
      </c>
      <c r="Y1389" s="63">
        <v>18</v>
      </c>
      <c r="Z1389" s="63">
        <v>17</v>
      </c>
      <c r="AA1389" s="63">
        <v>16</v>
      </c>
      <c r="AB1389" s="63">
        <v>17</v>
      </c>
    </row>
    <row r="1390" spans="1:28" x14ac:dyDescent="0.2">
      <c r="A1390" s="62">
        <v>115</v>
      </c>
      <c r="B1390" s="62" t="s">
        <v>401</v>
      </c>
      <c r="C1390" s="62">
        <v>10</v>
      </c>
      <c r="D1390" s="62" t="s">
        <v>317</v>
      </c>
      <c r="E1390" s="63">
        <v>1053</v>
      </c>
      <c r="F1390" s="63">
        <v>1071</v>
      </c>
      <c r="G1390" s="63">
        <v>1032</v>
      </c>
      <c r="H1390" s="63">
        <v>1075</v>
      </c>
      <c r="I1390" s="63">
        <v>1069</v>
      </c>
      <c r="J1390" s="63">
        <v>1044</v>
      </c>
      <c r="K1390" s="63">
        <v>1170</v>
      </c>
      <c r="L1390" s="63">
        <v>1028</v>
      </c>
      <c r="M1390" s="63">
        <v>1035</v>
      </c>
      <c r="N1390" s="63">
        <v>988</v>
      </c>
      <c r="O1390" s="63">
        <v>966</v>
      </c>
      <c r="P1390" s="63">
        <v>995</v>
      </c>
      <c r="Q1390" s="63">
        <v>993</v>
      </c>
      <c r="R1390" s="63">
        <v>984</v>
      </c>
      <c r="S1390" s="63">
        <v>991</v>
      </c>
      <c r="T1390" s="63">
        <v>963</v>
      </c>
      <c r="U1390" s="63">
        <v>957</v>
      </c>
      <c r="V1390" s="63">
        <v>975</v>
      </c>
      <c r="W1390" s="63">
        <v>1017</v>
      </c>
      <c r="X1390" s="63">
        <v>969</v>
      </c>
      <c r="Y1390" s="63">
        <v>995</v>
      </c>
      <c r="Z1390" s="63">
        <v>921</v>
      </c>
      <c r="AA1390" s="63">
        <v>955</v>
      </c>
      <c r="AB1390" s="63">
        <v>948</v>
      </c>
    </row>
    <row r="1391" spans="1:28" x14ac:dyDescent="0.2">
      <c r="A1391" s="62">
        <v>115</v>
      </c>
      <c r="B1391" s="62" t="s">
        <v>401</v>
      </c>
      <c r="C1391" s="62">
        <v>11</v>
      </c>
      <c r="D1391" s="62" t="s">
        <v>318</v>
      </c>
      <c r="E1391" s="63">
        <v>141</v>
      </c>
      <c r="F1391" s="63">
        <v>152</v>
      </c>
      <c r="G1391" s="63">
        <v>149</v>
      </c>
      <c r="H1391" s="63">
        <v>143</v>
      </c>
      <c r="I1391" s="63">
        <v>145</v>
      </c>
      <c r="J1391" s="63">
        <v>130</v>
      </c>
      <c r="K1391" s="63">
        <v>127</v>
      </c>
      <c r="L1391" s="63">
        <v>134</v>
      </c>
      <c r="M1391" s="63">
        <v>135</v>
      </c>
      <c r="N1391" s="63">
        <v>112</v>
      </c>
      <c r="O1391" s="63">
        <v>112</v>
      </c>
      <c r="P1391" s="63">
        <v>119</v>
      </c>
      <c r="Q1391" s="63">
        <v>107</v>
      </c>
      <c r="R1391" s="63">
        <v>112</v>
      </c>
      <c r="S1391" s="63">
        <v>108</v>
      </c>
      <c r="T1391" s="63">
        <v>116</v>
      </c>
      <c r="U1391" s="63">
        <v>119</v>
      </c>
      <c r="V1391" s="63">
        <v>131</v>
      </c>
      <c r="W1391" s="63">
        <v>132</v>
      </c>
      <c r="X1391" s="63">
        <v>133</v>
      </c>
      <c r="Y1391" s="63">
        <v>102</v>
      </c>
      <c r="Z1391" s="63">
        <v>98</v>
      </c>
      <c r="AA1391" s="63">
        <v>104</v>
      </c>
      <c r="AB1391" s="63">
        <v>96</v>
      </c>
    </row>
    <row r="1392" spans="1:28" x14ac:dyDescent="0.2">
      <c r="A1392" s="62">
        <v>115</v>
      </c>
      <c r="B1392" s="62" t="s">
        <v>401</v>
      </c>
      <c r="C1392" s="62">
        <v>2</v>
      </c>
      <c r="D1392" s="62" t="s">
        <v>319</v>
      </c>
      <c r="E1392" s="63">
        <v>8</v>
      </c>
      <c r="F1392" s="63">
        <v>7</v>
      </c>
      <c r="G1392" s="63">
        <v>8</v>
      </c>
      <c r="H1392" s="63">
        <v>8</v>
      </c>
      <c r="I1392" s="63">
        <v>9</v>
      </c>
      <c r="J1392" s="63">
        <v>8</v>
      </c>
      <c r="K1392" s="63">
        <v>8</v>
      </c>
      <c r="L1392" s="63">
        <v>8</v>
      </c>
      <c r="M1392" s="63">
        <v>8</v>
      </c>
      <c r="N1392" s="63">
        <v>8</v>
      </c>
      <c r="O1392" s="63">
        <v>13</v>
      </c>
      <c r="P1392" s="63">
        <v>13</v>
      </c>
      <c r="Q1392" s="63">
        <v>14</v>
      </c>
      <c r="R1392" s="63">
        <v>13</v>
      </c>
      <c r="S1392" s="63">
        <v>13</v>
      </c>
      <c r="T1392" s="63">
        <v>11</v>
      </c>
      <c r="U1392" s="63">
        <v>11</v>
      </c>
      <c r="V1392" s="63">
        <v>11</v>
      </c>
      <c r="W1392" s="63">
        <v>10</v>
      </c>
      <c r="X1392" s="63">
        <v>10</v>
      </c>
      <c r="Y1392" s="62"/>
      <c r="Z1392" s="63">
        <v>7</v>
      </c>
      <c r="AA1392" s="63">
        <v>9</v>
      </c>
      <c r="AB1392" s="63">
        <v>10</v>
      </c>
    </row>
    <row r="1393" spans="1:28" x14ac:dyDescent="0.2">
      <c r="A1393" s="62">
        <v>115</v>
      </c>
      <c r="B1393" s="62" t="s">
        <v>401</v>
      </c>
      <c r="C1393" s="62">
        <v>21</v>
      </c>
      <c r="D1393" s="64" t="s">
        <v>320</v>
      </c>
      <c r="E1393" s="65"/>
      <c r="F1393" s="65"/>
      <c r="G1393" s="65"/>
      <c r="H1393" s="62"/>
      <c r="I1393" s="62"/>
      <c r="J1393" s="62"/>
      <c r="K1393" s="62"/>
      <c r="L1393" s="62"/>
      <c r="M1393" s="62"/>
      <c r="N1393" s="62"/>
      <c r="O1393" s="62"/>
      <c r="P1393" s="62"/>
      <c r="Q1393" s="62"/>
      <c r="R1393" s="62"/>
      <c r="S1393" s="62"/>
      <c r="T1393" s="62"/>
      <c r="U1393" s="62"/>
      <c r="V1393" s="62"/>
      <c r="W1393" s="62"/>
      <c r="X1393" s="62"/>
      <c r="Y1393" s="62"/>
      <c r="Z1393" s="62"/>
      <c r="AA1393" s="62"/>
      <c r="AB1393" s="62"/>
    </row>
    <row r="1394" spans="1:28" x14ac:dyDescent="0.2">
      <c r="A1394" s="62">
        <v>115</v>
      </c>
      <c r="B1394" s="62" t="s">
        <v>401</v>
      </c>
      <c r="C1394" s="62">
        <v>22</v>
      </c>
      <c r="D1394" s="62" t="s">
        <v>321</v>
      </c>
      <c r="E1394" s="62"/>
      <c r="F1394" s="62"/>
      <c r="G1394" s="62"/>
      <c r="H1394" s="62"/>
      <c r="I1394" s="62"/>
      <c r="J1394" s="62"/>
      <c r="K1394" s="62"/>
      <c r="L1394" s="62"/>
      <c r="M1394" s="62"/>
      <c r="N1394" s="62"/>
      <c r="O1394" s="62"/>
      <c r="P1394" s="62"/>
      <c r="Q1394" s="62"/>
      <c r="R1394" s="62"/>
      <c r="S1394" s="62"/>
      <c r="T1394" s="62"/>
      <c r="U1394" s="62"/>
      <c r="V1394" s="62"/>
      <c r="W1394" s="62"/>
      <c r="X1394" s="62"/>
      <c r="Y1394" s="62"/>
      <c r="Z1394" s="62"/>
      <c r="AA1394" s="62"/>
      <c r="AB1394" s="62"/>
    </row>
    <row r="1395" spans="1:28" x14ac:dyDescent="0.2">
      <c r="A1395" s="62">
        <v>115</v>
      </c>
      <c r="B1395" s="62" t="s">
        <v>401</v>
      </c>
      <c r="C1395" s="62">
        <v>23</v>
      </c>
      <c r="D1395" s="62" t="s">
        <v>322</v>
      </c>
      <c r="E1395" s="63">
        <v>46</v>
      </c>
      <c r="F1395" s="63">
        <v>38</v>
      </c>
      <c r="G1395" s="63">
        <v>15</v>
      </c>
      <c r="H1395" s="63">
        <v>45</v>
      </c>
      <c r="I1395" s="63">
        <v>49</v>
      </c>
      <c r="J1395" s="63">
        <v>40</v>
      </c>
      <c r="K1395" s="63">
        <v>167</v>
      </c>
      <c r="L1395" s="63">
        <v>30</v>
      </c>
      <c r="M1395" s="63">
        <v>39</v>
      </c>
      <c r="N1395" s="63">
        <v>38</v>
      </c>
      <c r="O1395" s="63">
        <v>32</v>
      </c>
      <c r="P1395" s="63">
        <v>30</v>
      </c>
      <c r="Q1395" s="63">
        <v>27</v>
      </c>
      <c r="R1395" s="63">
        <v>35</v>
      </c>
      <c r="S1395" s="63">
        <v>27</v>
      </c>
      <c r="T1395" s="63">
        <v>29</v>
      </c>
      <c r="U1395" s="63">
        <v>37</v>
      </c>
      <c r="V1395" s="63">
        <v>47</v>
      </c>
      <c r="W1395" s="63">
        <v>48</v>
      </c>
      <c r="X1395" s="63">
        <v>48</v>
      </c>
      <c r="Y1395" s="63">
        <v>58</v>
      </c>
      <c r="Z1395" s="63">
        <v>50</v>
      </c>
      <c r="AA1395" s="63">
        <v>46</v>
      </c>
      <c r="AB1395" s="63">
        <v>46</v>
      </c>
    </row>
    <row r="1396" spans="1:28" x14ac:dyDescent="0.2">
      <c r="A1396" s="62">
        <v>115</v>
      </c>
      <c r="B1396" s="62" t="s">
        <v>401</v>
      </c>
      <c r="C1396" s="62">
        <v>3</v>
      </c>
      <c r="D1396" s="62" t="s">
        <v>323</v>
      </c>
      <c r="E1396" s="63">
        <v>308</v>
      </c>
      <c r="F1396" s="63">
        <v>304</v>
      </c>
      <c r="G1396" s="63">
        <v>293</v>
      </c>
      <c r="H1396" s="63">
        <v>295</v>
      </c>
      <c r="I1396" s="63">
        <v>292</v>
      </c>
      <c r="J1396" s="63">
        <v>293</v>
      </c>
      <c r="K1396" s="63">
        <v>299</v>
      </c>
      <c r="L1396" s="63">
        <v>301</v>
      </c>
      <c r="M1396" s="63">
        <v>303</v>
      </c>
      <c r="N1396" s="63">
        <v>306</v>
      </c>
      <c r="O1396" s="63">
        <v>305</v>
      </c>
      <c r="P1396" s="63">
        <v>315</v>
      </c>
      <c r="Q1396" s="63">
        <v>316</v>
      </c>
      <c r="R1396" s="63">
        <v>319</v>
      </c>
      <c r="S1396" s="63">
        <v>325</v>
      </c>
      <c r="T1396" s="63">
        <v>319</v>
      </c>
      <c r="U1396" s="63">
        <v>308</v>
      </c>
      <c r="V1396" s="63">
        <v>308</v>
      </c>
      <c r="W1396" s="63">
        <v>305</v>
      </c>
      <c r="X1396" s="63">
        <v>266</v>
      </c>
      <c r="Y1396" s="63">
        <v>297</v>
      </c>
      <c r="Z1396" s="63">
        <v>295</v>
      </c>
      <c r="AA1396" s="63">
        <v>308</v>
      </c>
      <c r="AB1396" s="63">
        <v>317</v>
      </c>
    </row>
    <row r="1397" spans="1:28" x14ac:dyDescent="0.2">
      <c r="A1397" s="62">
        <v>115</v>
      </c>
      <c r="B1397" s="62" t="s">
        <v>401</v>
      </c>
      <c r="C1397" s="62" t="s">
        <v>324</v>
      </c>
      <c r="D1397" s="64" t="s">
        <v>325</v>
      </c>
      <c r="E1397" s="65"/>
      <c r="F1397" s="62"/>
      <c r="G1397" s="62"/>
      <c r="H1397" s="62"/>
      <c r="I1397" s="62"/>
      <c r="J1397" s="63">
        <v>33</v>
      </c>
      <c r="K1397" s="62"/>
      <c r="L1397" s="62"/>
      <c r="M1397" s="63">
        <v>32</v>
      </c>
      <c r="N1397" s="63">
        <v>29</v>
      </c>
      <c r="O1397" s="63">
        <v>35</v>
      </c>
      <c r="P1397" s="63">
        <v>31</v>
      </c>
      <c r="Q1397" s="63">
        <v>33</v>
      </c>
      <c r="R1397" s="63">
        <v>31</v>
      </c>
      <c r="S1397" s="63">
        <v>33</v>
      </c>
      <c r="T1397" s="63">
        <v>34</v>
      </c>
      <c r="U1397" s="63">
        <v>34</v>
      </c>
      <c r="V1397" s="63">
        <v>38</v>
      </c>
      <c r="W1397" s="63">
        <v>47</v>
      </c>
      <c r="X1397" s="63">
        <v>45</v>
      </c>
      <c r="Y1397" s="63">
        <v>46</v>
      </c>
      <c r="Z1397" s="63">
        <v>48</v>
      </c>
      <c r="AA1397" s="63">
        <v>55</v>
      </c>
      <c r="AB1397" s="63">
        <v>51</v>
      </c>
    </row>
    <row r="1398" spans="1:28" x14ac:dyDescent="0.2">
      <c r="A1398" s="62">
        <v>115</v>
      </c>
      <c r="B1398" s="62" t="s">
        <v>401</v>
      </c>
      <c r="C1398" s="62">
        <v>42</v>
      </c>
      <c r="D1398" s="62" t="s">
        <v>326</v>
      </c>
      <c r="E1398" s="63">
        <v>33</v>
      </c>
      <c r="F1398" s="63">
        <v>32</v>
      </c>
      <c r="G1398" s="63">
        <v>26</v>
      </c>
      <c r="H1398" s="63">
        <v>22</v>
      </c>
      <c r="I1398" s="63">
        <v>29</v>
      </c>
      <c r="J1398" s="63">
        <v>24</v>
      </c>
      <c r="K1398" s="63">
        <v>30</v>
      </c>
      <c r="L1398" s="63">
        <v>33</v>
      </c>
      <c r="M1398" s="63">
        <v>27</v>
      </c>
      <c r="N1398" s="63">
        <v>30</v>
      </c>
      <c r="O1398" s="63">
        <v>33</v>
      </c>
      <c r="P1398" s="63">
        <v>37</v>
      </c>
      <c r="Q1398" s="63">
        <v>42</v>
      </c>
      <c r="R1398" s="63">
        <v>35</v>
      </c>
      <c r="S1398" s="63">
        <v>33</v>
      </c>
      <c r="T1398" s="63">
        <v>34</v>
      </c>
      <c r="U1398" s="63">
        <v>27</v>
      </c>
      <c r="V1398" s="63">
        <v>28</v>
      </c>
      <c r="W1398" s="63">
        <v>24</v>
      </c>
      <c r="X1398" s="63">
        <v>21</v>
      </c>
      <c r="Y1398" s="63">
        <v>24</v>
      </c>
      <c r="Z1398" s="63">
        <v>28</v>
      </c>
      <c r="AA1398" s="63">
        <v>32</v>
      </c>
      <c r="AB1398" s="63">
        <v>29</v>
      </c>
    </row>
    <row r="1399" spans="1:28" x14ac:dyDescent="0.2">
      <c r="A1399" s="62">
        <v>115</v>
      </c>
      <c r="B1399" s="62" t="s">
        <v>401</v>
      </c>
      <c r="C1399" s="62" t="s">
        <v>327</v>
      </c>
      <c r="D1399" s="62" t="s">
        <v>328</v>
      </c>
      <c r="E1399" s="63">
        <v>140</v>
      </c>
      <c r="F1399" s="63">
        <v>144</v>
      </c>
      <c r="G1399" s="63">
        <v>137</v>
      </c>
      <c r="H1399" s="63">
        <v>129</v>
      </c>
      <c r="I1399" s="63">
        <v>121</v>
      </c>
      <c r="J1399" s="63">
        <v>120</v>
      </c>
      <c r="K1399" s="63">
        <v>121</v>
      </c>
      <c r="L1399" s="63">
        <v>118</v>
      </c>
      <c r="M1399" s="63">
        <v>107</v>
      </c>
      <c r="N1399" s="63">
        <v>96</v>
      </c>
      <c r="O1399" s="63">
        <v>89</v>
      </c>
      <c r="P1399" s="63">
        <v>103</v>
      </c>
      <c r="Q1399" s="63">
        <v>104</v>
      </c>
      <c r="R1399" s="63">
        <v>98</v>
      </c>
      <c r="S1399" s="63">
        <v>99</v>
      </c>
      <c r="T1399" s="63">
        <v>89</v>
      </c>
      <c r="U1399" s="63">
        <v>85</v>
      </c>
      <c r="V1399" s="63">
        <v>83</v>
      </c>
      <c r="W1399" s="63">
        <v>88</v>
      </c>
      <c r="X1399" s="63">
        <v>88</v>
      </c>
      <c r="Y1399" s="63">
        <v>90</v>
      </c>
      <c r="Z1399" s="63">
        <v>100</v>
      </c>
      <c r="AA1399" s="63">
        <v>120</v>
      </c>
      <c r="AB1399" s="63">
        <v>118</v>
      </c>
    </row>
    <row r="1400" spans="1:28" x14ac:dyDescent="0.2">
      <c r="A1400" s="62">
        <v>115</v>
      </c>
      <c r="B1400" s="62" t="s">
        <v>401</v>
      </c>
      <c r="C1400" s="62" t="s">
        <v>329</v>
      </c>
      <c r="D1400" s="62" t="s">
        <v>330</v>
      </c>
      <c r="E1400" s="63">
        <v>34</v>
      </c>
      <c r="F1400" s="63">
        <v>29</v>
      </c>
      <c r="G1400" s="62"/>
      <c r="H1400" s="63">
        <v>37</v>
      </c>
      <c r="I1400" s="63">
        <v>41</v>
      </c>
      <c r="J1400" s="63">
        <v>47</v>
      </c>
      <c r="K1400" s="63">
        <v>48</v>
      </c>
      <c r="L1400" s="63">
        <v>53</v>
      </c>
      <c r="M1400" s="63">
        <v>57</v>
      </c>
      <c r="N1400" s="63">
        <v>56</v>
      </c>
      <c r="O1400" s="63">
        <v>44</v>
      </c>
      <c r="P1400" s="63">
        <v>40</v>
      </c>
      <c r="Q1400" s="63">
        <v>42</v>
      </c>
      <c r="R1400" s="63">
        <v>45</v>
      </c>
      <c r="S1400" s="63">
        <v>40</v>
      </c>
      <c r="T1400" s="63">
        <v>39</v>
      </c>
      <c r="U1400" s="63">
        <v>43</v>
      </c>
      <c r="V1400" s="63">
        <v>33</v>
      </c>
      <c r="W1400" s="63">
        <v>34</v>
      </c>
      <c r="X1400" s="63">
        <v>39</v>
      </c>
      <c r="Y1400" s="63">
        <v>33</v>
      </c>
      <c r="Z1400" s="63">
        <v>30</v>
      </c>
      <c r="AA1400" s="63">
        <v>32</v>
      </c>
      <c r="AB1400" s="63">
        <v>33</v>
      </c>
    </row>
    <row r="1401" spans="1:28" x14ac:dyDescent="0.2">
      <c r="A1401" s="62">
        <v>115</v>
      </c>
      <c r="B1401" s="62" t="s">
        <v>401</v>
      </c>
      <c r="C1401" s="62">
        <v>51</v>
      </c>
      <c r="D1401" s="62" t="s">
        <v>331</v>
      </c>
      <c r="E1401" s="62"/>
      <c r="F1401" s="62"/>
      <c r="G1401" s="62"/>
      <c r="H1401" s="62"/>
      <c r="I1401" s="62"/>
      <c r="J1401" s="62"/>
      <c r="K1401" s="62"/>
      <c r="L1401" s="62"/>
      <c r="M1401" s="62"/>
      <c r="N1401" s="62"/>
      <c r="O1401" s="62"/>
      <c r="P1401" s="62"/>
      <c r="Q1401" s="62"/>
      <c r="R1401" s="62"/>
      <c r="S1401" s="62"/>
      <c r="T1401" s="62"/>
      <c r="U1401" s="62"/>
      <c r="V1401" s="62"/>
      <c r="W1401" s="62"/>
      <c r="X1401" s="62"/>
      <c r="Y1401" s="63">
        <v>6</v>
      </c>
      <c r="Z1401" s="62"/>
      <c r="AA1401" s="62"/>
      <c r="AB1401" s="62"/>
    </row>
    <row r="1402" spans="1:28" x14ac:dyDescent="0.2">
      <c r="A1402" s="62">
        <v>115</v>
      </c>
      <c r="B1402" s="62" t="s">
        <v>401</v>
      </c>
      <c r="C1402" s="62">
        <v>52</v>
      </c>
      <c r="D1402" s="62" t="s">
        <v>332</v>
      </c>
      <c r="E1402" s="63">
        <v>32</v>
      </c>
      <c r="F1402" s="63">
        <v>32</v>
      </c>
      <c r="G1402" s="63">
        <v>34</v>
      </c>
      <c r="H1402" s="63">
        <v>44</v>
      </c>
      <c r="I1402" s="63">
        <v>50</v>
      </c>
      <c r="J1402" s="63">
        <v>49</v>
      </c>
      <c r="K1402" s="63">
        <v>50</v>
      </c>
      <c r="L1402" s="63">
        <v>50</v>
      </c>
      <c r="M1402" s="63">
        <v>50</v>
      </c>
      <c r="N1402" s="63">
        <v>50</v>
      </c>
      <c r="O1402" s="63">
        <v>58</v>
      </c>
      <c r="P1402" s="63">
        <v>67</v>
      </c>
      <c r="Q1402" s="63">
        <v>66</v>
      </c>
      <c r="R1402" s="63">
        <v>65</v>
      </c>
      <c r="S1402" s="63">
        <v>65</v>
      </c>
      <c r="T1402" s="63">
        <v>61</v>
      </c>
      <c r="U1402" s="63">
        <v>63</v>
      </c>
      <c r="V1402" s="63">
        <v>63</v>
      </c>
      <c r="W1402" s="63">
        <v>73</v>
      </c>
      <c r="X1402" s="62"/>
      <c r="Y1402" s="63">
        <v>82</v>
      </c>
      <c r="Z1402" s="63">
        <v>15</v>
      </c>
      <c r="AA1402" s="63">
        <v>14</v>
      </c>
      <c r="AB1402" s="63">
        <v>15</v>
      </c>
    </row>
    <row r="1403" spans="1:28" x14ac:dyDescent="0.2">
      <c r="A1403" s="62">
        <v>115</v>
      </c>
      <c r="B1403" s="62" t="s">
        <v>401</v>
      </c>
      <c r="C1403" s="62">
        <v>53</v>
      </c>
      <c r="D1403" s="64" t="s">
        <v>333</v>
      </c>
      <c r="E1403" s="65"/>
      <c r="F1403" s="63">
        <v>12</v>
      </c>
      <c r="G1403" s="62"/>
      <c r="H1403" s="62"/>
      <c r="I1403" s="63">
        <v>13</v>
      </c>
      <c r="J1403" s="63">
        <v>10</v>
      </c>
      <c r="K1403" s="63">
        <v>5</v>
      </c>
      <c r="L1403" s="63">
        <v>6</v>
      </c>
      <c r="M1403" s="63">
        <v>10</v>
      </c>
      <c r="N1403" s="63">
        <v>9</v>
      </c>
      <c r="O1403" s="63">
        <v>11</v>
      </c>
      <c r="P1403" s="63">
        <v>11</v>
      </c>
      <c r="Q1403" s="63">
        <v>8</v>
      </c>
      <c r="R1403" s="63">
        <v>9</v>
      </c>
      <c r="S1403" s="63">
        <v>8</v>
      </c>
      <c r="T1403" s="63">
        <v>9</v>
      </c>
      <c r="U1403" s="63">
        <v>11</v>
      </c>
      <c r="V1403" s="63">
        <v>11</v>
      </c>
      <c r="W1403" s="63">
        <v>9</v>
      </c>
      <c r="X1403" s="63">
        <v>12</v>
      </c>
      <c r="Y1403" s="63">
        <v>13</v>
      </c>
      <c r="Z1403" s="63">
        <v>12</v>
      </c>
      <c r="AA1403" s="63">
        <v>12</v>
      </c>
      <c r="AB1403" s="63">
        <v>14</v>
      </c>
    </row>
    <row r="1404" spans="1:28" x14ac:dyDescent="0.2">
      <c r="A1404" s="62">
        <v>115</v>
      </c>
      <c r="B1404" s="62" t="s">
        <v>401</v>
      </c>
      <c r="C1404" s="62">
        <v>54</v>
      </c>
      <c r="D1404" s="62" t="s">
        <v>334</v>
      </c>
      <c r="E1404" s="63">
        <v>9</v>
      </c>
      <c r="F1404" s="63">
        <v>24</v>
      </c>
      <c r="G1404" s="63">
        <v>21</v>
      </c>
      <c r="H1404" s="63">
        <v>21</v>
      </c>
      <c r="I1404" s="63">
        <v>19</v>
      </c>
      <c r="J1404" s="63">
        <v>19</v>
      </c>
      <c r="K1404" s="63">
        <v>8</v>
      </c>
      <c r="L1404" s="63">
        <v>26</v>
      </c>
      <c r="M1404" s="63">
        <v>24</v>
      </c>
      <c r="N1404" s="63">
        <v>26</v>
      </c>
      <c r="O1404" s="63">
        <v>27</v>
      </c>
      <c r="P1404" s="63">
        <v>22</v>
      </c>
      <c r="Q1404" s="63">
        <v>25</v>
      </c>
      <c r="R1404" s="63">
        <v>25</v>
      </c>
      <c r="S1404" s="63">
        <v>21</v>
      </c>
      <c r="T1404" s="63">
        <v>17</v>
      </c>
      <c r="U1404" s="63">
        <v>20</v>
      </c>
      <c r="V1404" s="63">
        <v>22</v>
      </c>
      <c r="W1404" s="63">
        <v>29</v>
      </c>
      <c r="X1404" s="63">
        <v>28</v>
      </c>
      <c r="Y1404" s="63">
        <v>24</v>
      </c>
      <c r="Z1404" s="63">
        <v>23</v>
      </c>
      <c r="AA1404" s="63">
        <v>28</v>
      </c>
      <c r="AB1404" s="63">
        <v>25</v>
      </c>
    </row>
    <row r="1405" spans="1:28" x14ac:dyDescent="0.2">
      <c r="A1405" s="62">
        <v>115</v>
      </c>
      <c r="B1405" s="62" t="s">
        <v>401</v>
      </c>
      <c r="C1405" s="62">
        <v>56</v>
      </c>
      <c r="D1405" s="62" t="s">
        <v>336</v>
      </c>
      <c r="E1405" s="63">
        <v>27</v>
      </c>
      <c r="F1405" s="63">
        <v>33</v>
      </c>
      <c r="G1405" s="62"/>
      <c r="H1405" s="63">
        <v>26</v>
      </c>
      <c r="I1405" s="63">
        <v>31</v>
      </c>
      <c r="J1405" s="63">
        <v>30</v>
      </c>
      <c r="K1405" s="63">
        <v>20</v>
      </c>
      <c r="L1405" s="63">
        <v>22</v>
      </c>
      <c r="M1405" s="63">
        <v>26</v>
      </c>
      <c r="N1405" s="63">
        <v>27</v>
      </c>
      <c r="O1405" s="63">
        <v>29</v>
      </c>
      <c r="P1405" s="63">
        <v>39</v>
      </c>
      <c r="Q1405" s="63">
        <v>40</v>
      </c>
      <c r="R1405" s="63">
        <v>31</v>
      </c>
      <c r="S1405" s="63">
        <v>34</v>
      </c>
      <c r="T1405" s="63">
        <v>36</v>
      </c>
      <c r="U1405" s="63">
        <v>41</v>
      </c>
      <c r="V1405" s="63">
        <v>47</v>
      </c>
      <c r="W1405" s="63">
        <v>46</v>
      </c>
      <c r="X1405" s="63">
        <v>41</v>
      </c>
      <c r="Y1405" s="63">
        <v>47</v>
      </c>
      <c r="Z1405" s="63">
        <v>44</v>
      </c>
      <c r="AA1405" s="63">
        <v>47</v>
      </c>
      <c r="AB1405" s="63">
        <v>53</v>
      </c>
    </row>
    <row r="1406" spans="1:28" x14ac:dyDescent="0.2">
      <c r="A1406" s="62">
        <v>115</v>
      </c>
      <c r="B1406" s="62" t="s">
        <v>401</v>
      </c>
      <c r="C1406" s="62">
        <v>61</v>
      </c>
      <c r="D1406" s="64" t="s">
        <v>337</v>
      </c>
      <c r="E1406" s="65"/>
      <c r="F1406" s="62"/>
      <c r="G1406" s="62"/>
      <c r="H1406" s="63">
        <v>1</v>
      </c>
      <c r="I1406" s="62"/>
      <c r="J1406" s="63">
        <v>13</v>
      </c>
      <c r="K1406" s="63">
        <v>13</v>
      </c>
      <c r="L1406" s="62"/>
      <c r="M1406" s="63">
        <v>5</v>
      </c>
      <c r="N1406" s="63">
        <v>5</v>
      </c>
      <c r="O1406" s="63">
        <v>5</v>
      </c>
      <c r="P1406" s="62"/>
      <c r="Q1406" s="63">
        <v>5</v>
      </c>
      <c r="R1406" s="63">
        <v>5</v>
      </c>
      <c r="S1406" s="63">
        <v>6</v>
      </c>
      <c r="T1406" s="62"/>
      <c r="U1406" s="63">
        <v>4</v>
      </c>
      <c r="V1406" s="63">
        <v>5</v>
      </c>
      <c r="W1406" s="63">
        <v>6</v>
      </c>
      <c r="X1406" s="63">
        <v>4</v>
      </c>
      <c r="Y1406" s="63">
        <v>5</v>
      </c>
      <c r="Z1406" s="63">
        <v>9</v>
      </c>
      <c r="AA1406" s="63">
        <v>11</v>
      </c>
      <c r="AB1406" s="63">
        <v>12</v>
      </c>
    </row>
    <row r="1407" spans="1:28" x14ac:dyDescent="0.2">
      <c r="A1407" s="62">
        <v>115</v>
      </c>
      <c r="B1407" s="62" t="s">
        <v>401</v>
      </c>
      <c r="C1407" s="62">
        <v>62</v>
      </c>
      <c r="D1407" s="62" t="s">
        <v>338</v>
      </c>
      <c r="E1407" s="63">
        <v>44</v>
      </c>
      <c r="F1407" s="63">
        <v>43</v>
      </c>
      <c r="G1407" s="63">
        <v>36</v>
      </c>
      <c r="H1407" s="63">
        <v>44</v>
      </c>
      <c r="I1407" s="63">
        <v>45</v>
      </c>
      <c r="J1407" s="63">
        <v>40</v>
      </c>
      <c r="K1407" s="63">
        <v>36</v>
      </c>
      <c r="L1407" s="63">
        <v>39</v>
      </c>
      <c r="M1407" s="63">
        <v>36</v>
      </c>
      <c r="N1407" s="63">
        <v>37</v>
      </c>
      <c r="O1407" s="63">
        <v>36</v>
      </c>
      <c r="P1407" s="63">
        <v>21</v>
      </c>
      <c r="Q1407" s="62"/>
      <c r="R1407" s="63">
        <v>24</v>
      </c>
      <c r="S1407" s="63">
        <v>29</v>
      </c>
      <c r="T1407" s="63">
        <v>24</v>
      </c>
      <c r="U1407" s="63">
        <v>24</v>
      </c>
      <c r="V1407" s="63">
        <v>28</v>
      </c>
      <c r="W1407" s="63">
        <v>41</v>
      </c>
      <c r="X1407" s="63">
        <v>35</v>
      </c>
      <c r="Y1407" s="63">
        <v>39</v>
      </c>
      <c r="Z1407" s="63">
        <v>31</v>
      </c>
      <c r="AA1407" s="63">
        <v>32</v>
      </c>
      <c r="AB1407" s="63">
        <v>31</v>
      </c>
    </row>
    <row r="1408" spans="1:28" x14ac:dyDescent="0.2">
      <c r="A1408" s="62">
        <v>115</v>
      </c>
      <c r="B1408" s="62" t="s">
        <v>401</v>
      </c>
      <c r="C1408" s="62">
        <v>71</v>
      </c>
      <c r="D1408" s="64" t="s">
        <v>339</v>
      </c>
      <c r="E1408" s="65"/>
      <c r="F1408" s="65"/>
      <c r="G1408" s="62"/>
      <c r="H1408" s="62"/>
      <c r="I1408" s="63">
        <v>1</v>
      </c>
      <c r="J1408" s="63">
        <v>4</v>
      </c>
      <c r="K1408" s="62"/>
      <c r="L1408" s="62"/>
      <c r="M1408" s="62"/>
      <c r="N1408" s="62"/>
      <c r="O1408" s="62"/>
      <c r="P1408" s="63">
        <v>5</v>
      </c>
      <c r="Q1408" s="62"/>
      <c r="R1408" s="62"/>
      <c r="S1408" s="63">
        <v>6</v>
      </c>
      <c r="T1408" s="62"/>
      <c r="U1408" s="63">
        <v>6</v>
      </c>
      <c r="V1408" s="63">
        <v>5</v>
      </c>
      <c r="W1408" s="63">
        <v>11</v>
      </c>
      <c r="X1408" s="63">
        <v>5</v>
      </c>
      <c r="Y1408" s="63">
        <v>9</v>
      </c>
      <c r="Z1408" s="63">
        <v>9</v>
      </c>
      <c r="AA1408" s="63">
        <v>0</v>
      </c>
      <c r="AB1408" s="63">
        <v>0</v>
      </c>
    </row>
    <row r="1409" spans="1:28" x14ac:dyDescent="0.2">
      <c r="A1409" s="62">
        <v>115</v>
      </c>
      <c r="B1409" s="62" t="s">
        <v>401</v>
      </c>
      <c r="C1409" s="62">
        <v>72</v>
      </c>
      <c r="D1409" s="62" t="s">
        <v>340</v>
      </c>
      <c r="E1409" s="63">
        <v>58</v>
      </c>
      <c r="F1409" s="63">
        <v>72</v>
      </c>
      <c r="G1409" s="63">
        <v>71</v>
      </c>
      <c r="H1409" s="63">
        <v>81</v>
      </c>
      <c r="I1409" s="63">
        <v>85</v>
      </c>
      <c r="J1409" s="63">
        <v>84</v>
      </c>
      <c r="K1409" s="63">
        <v>85</v>
      </c>
      <c r="L1409" s="63">
        <v>77</v>
      </c>
      <c r="M1409" s="63">
        <v>75</v>
      </c>
      <c r="N1409" s="63">
        <v>64</v>
      </c>
      <c r="O1409" s="63">
        <v>54</v>
      </c>
      <c r="P1409" s="63">
        <v>53</v>
      </c>
      <c r="Q1409" s="63">
        <v>55</v>
      </c>
      <c r="R1409" s="63">
        <v>47</v>
      </c>
      <c r="S1409" s="63">
        <v>58</v>
      </c>
      <c r="T1409" s="63">
        <v>48</v>
      </c>
      <c r="U1409" s="63">
        <v>46</v>
      </c>
      <c r="V1409" s="63">
        <v>45</v>
      </c>
      <c r="W1409" s="63">
        <v>49</v>
      </c>
      <c r="X1409" s="63">
        <v>46</v>
      </c>
      <c r="Y1409" s="63">
        <v>49</v>
      </c>
      <c r="Z1409" s="63">
        <v>52</v>
      </c>
      <c r="AA1409" s="63">
        <v>35</v>
      </c>
      <c r="AB1409" s="63">
        <v>28</v>
      </c>
    </row>
    <row r="1410" spans="1:28" x14ac:dyDescent="0.2">
      <c r="A1410" s="62">
        <v>115</v>
      </c>
      <c r="B1410" s="62" t="s">
        <v>401</v>
      </c>
      <c r="C1410" s="62">
        <v>81</v>
      </c>
      <c r="D1410" s="62" t="s">
        <v>341</v>
      </c>
      <c r="E1410" s="63">
        <v>62</v>
      </c>
      <c r="F1410" s="63">
        <v>58</v>
      </c>
      <c r="G1410" s="63">
        <v>68</v>
      </c>
      <c r="H1410" s="63">
        <v>63</v>
      </c>
      <c r="I1410" s="63">
        <v>60</v>
      </c>
      <c r="J1410" s="63">
        <v>56</v>
      </c>
      <c r="K1410" s="63">
        <v>57</v>
      </c>
      <c r="L1410" s="63">
        <v>46</v>
      </c>
      <c r="M1410" s="63">
        <v>51</v>
      </c>
      <c r="N1410" s="63">
        <v>45</v>
      </c>
      <c r="O1410" s="63">
        <v>39</v>
      </c>
      <c r="P1410" s="63">
        <v>40</v>
      </c>
      <c r="Q1410" s="63">
        <v>40</v>
      </c>
      <c r="R1410" s="63">
        <v>42</v>
      </c>
      <c r="S1410" s="63">
        <v>44</v>
      </c>
      <c r="T1410" s="63">
        <v>47</v>
      </c>
      <c r="U1410" s="63">
        <v>40</v>
      </c>
      <c r="V1410" s="63">
        <v>29</v>
      </c>
      <c r="W1410" s="63">
        <v>29</v>
      </c>
      <c r="X1410" s="63">
        <v>29</v>
      </c>
      <c r="Y1410" s="63">
        <v>26</v>
      </c>
      <c r="Z1410" s="63">
        <v>31</v>
      </c>
      <c r="AA1410" s="63">
        <v>37</v>
      </c>
      <c r="AB1410" s="63">
        <v>36</v>
      </c>
    </row>
    <row r="1411" spans="1:28" x14ac:dyDescent="0.2">
      <c r="A1411" s="62">
        <v>117</v>
      </c>
      <c r="B1411" s="62" t="s">
        <v>402</v>
      </c>
      <c r="C1411" s="62">
        <v>1</v>
      </c>
      <c r="D1411" s="62" t="s">
        <v>316</v>
      </c>
      <c r="E1411" s="63">
        <v>65</v>
      </c>
      <c r="F1411" s="63">
        <v>65</v>
      </c>
      <c r="G1411" s="63">
        <v>66</v>
      </c>
      <c r="H1411" s="63">
        <v>60</v>
      </c>
      <c r="I1411" s="63">
        <v>61</v>
      </c>
      <c r="J1411" s="63">
        <v>60</v>
      </c>
      <c r="K1411" s="63">
        <v>59</v>
      </c>
      <c r="L1411" s="63">
        <v>57</v>
      </c>
      <c r="M1411" s="63">
        <v>65</v>
      </c>
      <c r="N1411" s="63">
        <v>81</v>
      </c>
      <c r="O1411" s="63">
        <v>50</v>
      </c>
      <c r="P1411" s="63">
        <v>56</v>
      </c>
      <c r="Q1411" s="63">
        <v>49</v>
      </c>
      <c r="R1411" s="63">
        <v>48</v>
      </c>
      <c r="S1411" s="63">
        <v>49</v>
      </c>
      <c r="T1411" s="63">
        <v>49</v>
      </c>
      <c r="U1411" s="63">
        <v>52</v>
      </c>
      <c r="V1411" s="63">
        <v>52</v>
      </c>
      <c r="W1411" s="63">
        <v>51</v>
      </c>
      <c r="X1411" s="63">
        <v>68</v>
      </c>
      <c r="Y1411" s="63">
        <v>51</v>
      </c>
      <c r="Z1411" s="63">
        <v>45</v>
      </c>
      <c r="AA1411" s="63">
        <v>59</v>
      </c>
      <c r="AB1411" s="63">
        <v>66</v>
      </c>
    </row>
    <row r="1412" spans="1:28" x14ac:dyDescent="0.2">
      <c r="A1412" s="62">
        <v>117</v>
      </c>
      <c r="B1412" s="62" t="s">
        <v>402</v>
      </c>
      <c r="C1412" s="62">
        <v>10</v>
      </c>
      <c r="D1412" s="62" t="s">
        <v>317</v>
      </c>
      <c r="E1412" s="63">
        <v>22236</v>
      </c>
      <c r="F1412" s="63">
        <v>21932</v>
      </c>
      <c r="G1412" s="63">
        <v>21232</v>
      </c>
      <c r="H1412" s="63">
        <v>21334</v>
      </c>
      <c r="I1412" s="63">
        <v>21632</v>
      </c>
      <c r="J1412" s="63">
        <v>22602</v>
      </c>
      <c r="K1412" s="63">
        <v>23250</v>
      </c>
      <c r="L1412" s="63">
        <v>22920</v>
      </c>
      <c r="M1412" s="63">
        <v>21549</v>
      </c>
      <c r="N1412" s="63">
        <v>21214</v>
      </c>
      <c r="O1412" s="63">
        <v>21592</v>
      </c>
      <c r="P1412" s="63">
        <v>21778</v>
      </c>
      <c r="Q1412" s="63">
        <v>22466</v>
      </c>
      <c r="R1412" s="63">
        <v>23683</v>
      </c>
      <c r="S1412" s="63">
        <v>24824</v>
      </c>
      <c r="T1412" s="63">
        <v>25252</v>
      </c>
      <c r="U1412" s="63">
        <v>25815</v>
      </c>
      <c r="V1412" s="63">
        <v>26218</v>
      </c>
      <c r="W1412" s="63">
        <v>26665</v>
      </c>
      <c r="X1412" s="63">
        <v>24036</v>
      </c>
      <c r="Y1412" s="63">
        <v>25679</v>
      </c>
      <c r="Z1412" s="63">
        <v>26741</v>
      </c>
      <c r="AA1412" s="63">
        <v>27617</v>
      </c>
      <c r="AB1412" s="63">
        <v>27613</v>
      </c>
    </row>
    <row r="1413" spans="1:28" x14ac:dyDescent="0.2">
      <c r="A1413" s="62">
        <v>117</v>
      </c>
      <c r="B1413" s="62" t="s">
        <v>402</v>
      </c>
      <c r="C1413" s="62">
        <v>11</v>
      </c>
      <c r="D1413" s="64" t="s">
        <v>318</v>
      </c>
      <c r="E1413" s="65"/>
      <c r="F1413" s="63">
        <v>12</v>
      </c>
      <c r="G1413" s="63">
        <v>17</v>
      </c>
      <c r="H1413" s="63">
        <v>12</v>
      </c>
      <c r="I1413" s="63">
        <v>38</v>
      </c>
      <c r="J1413" s="63">
        <v>35</v>
      </c>
      <c r="K1413" s="63">
        <v>53</v>
      </c>
      <c r="L1413" s="63">
        <v>49</v>
      </c>
      <c r="M1413" s="63">
        <v>58</v>
      </c>
      <c r="N1413" s="63">
        <v>56</v>
      </c>
      <c r="O1413" s="63">
        <v>51</v>
      </c>
      <c r="P1413" s="63">
        <v>49</v>
      </c>
      <c r="Q1413" s="63">
        <v>50</v>
      </c>
      <c r="R1413" s="63">
        <v>48</v>
      </c>
      <c r="S1413" s="63">
        <v>40</v>
      </c>
      <c r="T1413" s="63">
        <v>35</v>
      </c>
      <c r="U1413" s="63">
        <v>48</v>
      </c>
      <c r="V1413" s="63">
        <v>51</v>
      </c>
      <c r="W1413" s="63">
        <v>50</v>
      </c>
      <c r="X1413" s="63">
        <v>42</v>
      </c>
      <c r="Y1413" s="63">
        <v>43</v>
      </c>
      <c r="Z1413" s="63">
        <v>40</v>
      </c>
      <c r="AA1413" s="63">
        <v>37</v>
      </c>
      <c r="AB1413" s="63">
        <v>46</v>
      </c>
    </row>
    <row r="1414" spans="1:28" x14ac:dyDescent="0.2">
      <c r="A1414" s="62">
        <v>117</v>
      </c>
      <c r="B1414" s="62" t="s">
        <v>402</v>
      </c>
      <c r="C1414" s="62">
        <v>2</v>
      </c>
      <c r="D1414" s="62" t="s">
        <v>319</v>
      </c>
      <c r="E1414" s="63">
        <v>96</v>
      </c>
      <c r="F1414" s="63">
        <v>91</v>
      </c>
      <c r="G1414" s="63">
        <v>93</v>
      </c>
      <c r="H1414" s="63">
        <v>89</v>
      </c>
      <c r="I1414" s="63">
        <v>90</v>
      </c>
      <c r="J1414" s="63">
        <v>90</v>
      </c>
      <c r="K1414" s="63">
        <v>82</v>
      </c>
      <c r="L1414" s="63">
        <v>89</v>
      </c>
      <c r="M1414" s="63">
        <v>99</v>
      </c>
      <c r="N1414" s="63">
        <v>131</v>
      </c>
      <c r="O1414" s="63">
        <v>170</v>
      </c>
      <c r="P1414" s="63">
        <v>196</v>
      </c>
      <c r="Q1414" s="63">
        <v>203</v>
      </c>
      <c r="R1414" s="63">
        <v>217</v>
      </c>
      <c r="S1414" s="63">
        <v>250</v>
      </c>
      <c r="T1414" s="63">
        <v>235</v>
      </c>
      <c r="U1414" s="63">
        <v>179</v>
      </c>
      <c r="V1414" s="63">
        <v>159</v>
      </c>
      <c r="W1414" s="63">
        <v>152</v>
      </c>
      <c r="X1414" s="63">
        <v>153</v>
      </c>
      <c r="Y1414" s="63">
        <v>139</v>
      </c>
      <c r="Z1414" s="63">
        <v>124</v>
      </c>
      <c r="AA1414" s="63">
        <v>145</v>
      </c>
      <c r="AB1414" s="63">
        <v>155</v>
      </c>
    </row>
    <row r="1415" spans="1:28" x14ac:dyDescent="0.2">
      <c r="A1415" s="62">
        <v>117</v>
      </c>
      <c r="B1415" s="62" t="s">
        <v>402</v>
      </c>
      <c r="C1415" s="62">
        <v>21</v>
      </c>
      <c r="D1415" s="64" t="s">
        <v>320</v>
      </c>
      <c r="E1415" s="65"/>
      <c r="F1415" s="65"/>
      <c r="G1415" s="65"/>
      <c r="H1415" s="62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</row>
    <row r="1416" spans="1:28" x14ac:dyDescent="0.2">
      <c r="A1416" s="62">
        <v>117</v>
      </c>
      <c r="B1416" s="62" t="s">
        <v>402</v>
      </c>
      <c r="C1416" s="62">
        <v>22</v>
      </c>
      <c r="D1416" s="62" t="s">
        <v>321</v>
      </c>
      <c r="E1416" s="62"/>
      <c r="F1416" s="62"/>
      <c r="G1416" s="62"/>
      <c r="H1416" s="63">
        <v>51</v>
      </c>
      <c r="I1416" s="63">
        <v>58</v>
      </c>
      <c r="J1416" s="63">
        <v>57</v>
      </c>
      <c r="K1416" s="62"/>
      <c r="L1416" s="63">
        <v>55</v>
      </c>
      <c r="M1416" s="62"/>
      <c r="N1416" s="63">
        <v>57</v>
      </c>
      <c r="O1416" s="63">
        <v>54</v>
      </c>
      <c r="P1416" s="62"/>
      <c r="Q1416" s="62"/>
      <c r="R1416" s="62"/>
      <c r="S1416" s="63">
        <v>49</v>
      </c>
      <c r="T1416" s="62"/>
      <c r="U1416" s="62"/>
      <c r="V1416" s="62"/>
      <c r="W1416" s="62"/>
      <c r="X1416" s="62"/>
      <c r="Y1416" s="62"/>
      <c r="Z1416" s="63">
        <v>55</v>
      </c>
      <c r="AA1416" s="62"/>
      <c r="AB1416" s="62"/>
    </row>
    <row r="1417" spans="1:28" x14ac:dyDescent="0.2">
      <c r="A1417" s="62">
        <v>117</v>
      </c>
      <c r="B1417" s="62" t="s">
        <v>402</v>
      </c>
      <c r="C1417" s="62">
        <v>23</v>
      </c>
      <c r="D1417" s="62" t="s">
        <v>322</v>
      </c>
      <c r="E1417" s="63">
        <v>2513</v>
      </c>
      <c r="F1417" s="63">
        <v>2268</v>
      </c>
      <c r="G1417" s="63">
        <v>2138</v>
      </c>
      <c r="H1417" s="63">
        <v>2023</v>
      </c>
      <c r="I1417" s="63">
        <v>2140</v>
      </c>
      <c r="J1417" s="63">
        <v>2306</v>
      </c>
      <c r="K1417" s="63">
        <v>2246</v>
      </c>
      <c r="L1417" s="63">
        <v>2193</v>
      </c>
      <c r="M1417" s="63">
        <v>1804</v>
      </c>
      <c r="N1417" s="63">
        <v>1612</v>
      </c>
      <c r="O1417" s="63">
        <v>1565</v>
      </c>
      <c r="P1417" s="63">
        <v>1506</v>
      </c>
      <c r="Q1417" s="63">
        <v>1502</v>
      </c>
      <c r="R1417" s="63">
        <v>1593</v>
      </c>
      <c r="S1417" s="63">
        <v>1675</v>
      </c>
      <c r="T1417" s="63">
        <v>1745</v>
      </c>
      <c r="U1417" s="63">
        <v>1811</v>
      </c>
      <c r="V1417" s="63">
        <v>1927</v>
      </c>
      <c r="W1417" s="63">
        <v>1978</v>
      </c>
      <c r="X1417" s="63">
        <v>1921</v>
      </c>
      <c r="Y1417" s="63">
        <v>1911</v>
      </c>
      <c r="Z1417" s="63">
        <v>1875</v>
      </c>
      <c r="AA1417" s="63">
        <v>1950</v>
      </c>
      <c r="AB1417" s="63">
        <v>1799</v>
      </c>
    </row>
    <row r="1418" spans="1:28" x14ac:dyDescent="0.2">
      <c r="A1418" s="62">
        <v>117</v>
      </c>
      <c r="B1418" s="62" t="s">
        <v>402</v>
      </c>
      <c r="C1418" s="62">
        <v>3</v>
      </c>
      <c r="D1418" s="62" t="s">
        <v>323</v>
      </c>
      <c r="E1418" s="63">
        <v>1735</v>
      </c>
      <c r="F1418" s="63">
        <v>1826</v>
      </c>
      <c r="G1418" s="63">
        <v>1857</v>
      </c>
      <c r="H1418" s="63">
        <v>1884</v>
      </c>
      <c r="I1418" s="63">
        <v>1916</v>
      </c>
      <c r="J1418" s="63">
        <v>1932</v>
      </c>
      <c r="K1418" s="63">
        <v>2000</v>
      </c>
      <c r="L1418" s="63">
        <v>2062</v>
      </c>
      <c r="M1418" s="63">
        <v>2070</v>
      </c>
      <c r="N1418" s="63">
        <v>2047</v>
      </c>
      <c r="O1418" s="63">
        <v>2010</v>
      </c>
      <c r="P1418" s="63">
        <v>2059</v>
      </c>
      <c r="Q1418" s="63">
        <v>2065</v>
      </c>
      <c r="R1418" s="63">
        <v>2105</v>
      </c>
      <c r="S1418" s="63">
        <v>2145</v>
      </c>
      <c r="T1418" s="63">
        <v>2214</v>
      </c>
      <c r="U1418" s="63">
        <v>2248</v>
      </c>
      <c r="V1418" s="63">
        <v>2257</v>
      </c>
      <c r="W1418" s="63">
        <v>2287</v>
      </c>
      <c r="X1418" s="63">
        <v>2142</v>
      </c>
      <c r="Y1418" s="63">
        <v>2150</v>
      </c>
      <c r="Z1418" s="63">
        <v>2220</v>
      </c>
      <c r="AA1418" s="63">
        <v>2391</v>
      </c>
      <c r="AB1418" s="63">
        <v>2490</v>
      </c>
    </row>
    <row r="1419" spans="1:28" x14ac:dyDescent="0.2">
      <c r="A1419" s="62">
        <v>117</v>
      </c>
      <c r="B1419" s="62" t="s">
        <v>402</v>
      </c>
      <c r="C1419" s="62" t="s">
        <v>324</v>
      </c>
      <c r="D1419" s="62" t="s">
        <v>325</v>
      </c>
      <c r="E1419" s="63">
        <v>161</v>
      </c>
      <c r="F1419" s="63">
        <v>139</v>
      </c>
      <c r="G1419" s="63">
        <v>131</v>
      </c>
      <c r="H1419" s="63">
        <v>130</v>
      </c>
      <c r="I1419" s="63">
        <v>159</v>
      </c>
      <c r="J1419" s="63">
        <v>125</v>
      </c>
      <c r="K1419" s="63">
        <v>135</v>
      </c>
      <c r="L1419" s="63">
        <v>134</v>
      </c>
      <c r="M1419" s="63">
        <v>111</v>
      </c>
      <c r="N1419" s="63">
        <v>126</v>
      </c>
      <c r="O1419" s="63">
        <v>110</v>
      </c>
      <c r="P1419" s="63">
        <v>113</v>
      </c>
      <c r="Q1419" s="63">
        <v>119</v>
      </c>
      <c r="R1419" s="63">
        <v>143</v>
      </c>
      <c r="S1419" s="63">
        <v>157</v>
      </c>
      <c r="T1419" s="63">
        <v>183</v>
      </c>
      <c r="U1419" s="63">
        <v>228</v>
      </c>
      <c r="V1419" s="63">
        <v>256</v>
      </c>
      <c r="W1419" s="63">
        <v>269</v>
      </c>
      <c r="X1419" s="63">
        <v>281</v>
      </c>
      <c r="Y1419" s="63">
        <v>357</v>
      </c>
      <c r="Z1419" s="63">
        <v>379</v>
      </c>
      <c r="AA1419" s="63">
        <v>379</v>
      </c>
      <c r="AB1419" s="63">
        <v>439</v>
      </c>
    </row>
    <row r="1420" spans="1:28" x14ac:dyDescent="0.2">
      <c r="A1420" s="62">
        <v>117</v>
      </c>
      <c r="B1420" s="62" t="s">
        <v>402</v>
      </c>
      <c r="C1420" s="62">
        <v>42</v>
      </c>
      <c r="D1420" s="62" t="s">
        <v>326</v>
      </c>
      <c r="E1420" s="63">
        <v>235</v>
      </c>
      <c r="F1420" s="63">
        <v>204</v>
      </c>
      <c r="G1420" s="63">
        <v>217</v>
      </c>
      <c r="H1420" s="63">
        <v>219</v>
      </c>
      <c r="I1420" s="63">
        <v>203</v>
      </c>
      <c r="J1420" s="63">
        <v>220</v>
      </c>
      <c r="K1420" s="63">
        <v>239</v>
      </c>
      <c r="L1420" s="63">
        <v>236</v>
      </c>
      <c r="M1420" s="63">
        <v>229</v>
      </c>
      <c r="N1420" s="63">
        <v>227</v>
      </c>
      <c r="O1420" s="63">
        <v>178</v>
      </c>
      <c r="P1420" s="63">
        <v>203</v>
      </c>
      <c r="Q1420" s="63">
        <v>216</v>
      </c>
      <c r="R1420" s="63">
        <v>316</v>
      </c>
      <c r="S1420" s="63">
        <v>314</v>
      </c>
      <c r="T1420" s="63">
        <v>248</v>
      </c>
      <c r="U1420" s="63">
        <v>255</v>
      </c>
      <c r="V1420" s="63">
        <v>255</v>
      </c>
      <c r="W1420" s="63">
        <v>213</v>
      </c>
      <c r="X1420" s="63">
        <v>187</v>
      </c>
      <c r="Y1420" s="63">
        <v>182</v>
      </c>
      <c r="Z1420" s="63">
        <v>206</v>
      </c>
      <c r="AA1420" s="63">
        <v>178</v>
      </c>
      <c r="AB1420" s="63">
        <v>157</v>
      </c>
    </row>
    <row r="1421" spans="1:28" x14ac:dyDescent="0.2">
      <c r="A1421" s="62">
        <v>117</v>
      </c>
      <c r="B1421" s="62" t="s">
        <v>402</v>
      </c>
      <c r="C1421" s="62" t="s">
        <v>327</v>
      </c>
      <c r="D1421" s="62" t="s">
        <v>328</v>
      </c>
      <c r="E1421" s="63">
        <v>2929</v>
      </c>
      <c r="F1421" s="63">
        <v>2831</v>
      </c>
      <c r="G1421" s="63">
        <v>2889</v>
      </c>
      <c r="H1421" s="63">
        <v>2874</v>
      </c>
      <c r="I1421" s="63">
        <v>2864</v>
      </c>
      <c r="J1421" s="63">
        <v>2985</v>
      </c>
      <c r="K1421" s="63">
        <v>3051</v>
      </c>
      <c r="L1421" s="63">
        <v>3033</v>
      </c>
      <c r="M1421" s="63">
        <v>2777</v>
      </c>
      <c r="N1421" s="63">
        <v>2747</v>
      </c>
      <c r="O1421" s="63">
        <v>2651</v>
      </c>
      <c r="P1421" s="63">
        <v>2731</v>
      </c>
      <c r="Q1421" s="63">
        <v>2829</v>
      </c>
      <c r="R1421" s="63">
        <v>3006</v>
      </c>
      <c r="S1421" s="63">
        <v>3175</v>
      </c>
      <c r="T1421" s="63">
        <v>3180</v>
      </c>
      <c r="U1421" s="63">
        <v>3216</v>
      </c>
      <c r="V1421" s="63">
        <v>3068</v>
      </c>
      <c r="W1421" s="63">
        <v>3030</v>
      </c>
      <c r="X1421" s="63">
        <v>2883</v>
      </c>
      <c r="Y1421" s="63">
        <v>2992</v>
      </c>
      <c r="Z1421" s="63">
        <v>3057</v>
      </c>
      <c r="AA1421" s="63">
        <v>2990</v>
      </c>
      <c r="AB1421" s="63">
        <v>2977</v>
      </c>
    </row>
    <row r="1422" spans="1:28" x14ac:dyDescent="0.2">
      <c r="A1422" s="62">
        <v>117</v>
      </c>
      <c r="B1422" s="62" t="s">
        <v>402</v>
      </c>
      <c r="C1422" s="62" t="s">
        <v>329</v>
      </c>
      <c r="D1422" s="62" t="s">
        <v>330</v>
      </c>
      <c r="E1422" s="63">
        <v>336</v>
      </c>
      <c r="F1422" s="63">
        <v>316</v>
      </c>
      <c r="G1422" s="63">
        <v>284</v>
      </c>
      <c r="H1422" s="63">
        <v>283</v>
      </c>
      <c r="I1422" s="63">
        <v>289</v>
      </c>
      <c r="J1422" s="63">
        <v>315</v>
      </c>
      <c r="K1422" s="63">
        <v>336</v>
      </c>
      <c r="L1422" s="63">
        <v>322</v>
      </c>
      <c r="M1422" s="63">
        <v>309</v>
      </c>
      <c r="N1422" s="63">
        <v>292</v>
      </c>
      <c r="O1422" s="63">
        <v>291</v>
      </c>
      <c r="P1422" s="63">
        <v>317</v>
      </c>
      <c r="Q1422" s="63">
        <v>356</v>
      </c>
      <c r="R1422" s="63">
        <v>383</v>
      </c>
      <c r="S1422" s="63">
        <v>411</v>
      </c>
      <c r="T1422" s="63">
        <v>443</v>
      </c>
      <c r="U1422" s="63">
        <v>484</v>
      </c>
      <c r="V1422" s="63">
        <v>491</v>
      </c>
      <c r="W1422" s="63">
        <v>484</v>
      </c>
      <c r="X1422" s="63">
        <v>456</v>
      </c>
      <c r="Y1422" s="63">
        <v>462</v>
      </c>
      <c r="Z1422" s="63">
        <v>464</v>
      </c>
      <c r="AA1422" s="63">
        <v>469</v>
      </c>
      <c r="AB1422" s="63">
        <v>426</v>
      </c>
    </row>
    <row r="1423" spans="1:28" x14ac:dyDescent="0.2">
      <c r="A1423" s="62">
        <v>117</v>
      </c>
      <c r="B1423" s="62" t="s">
        <v>402</v>
      </c>
      <c r="C1423" s="62">
        <v>51</v>
      </c>
      <c r="D1423" s="62" t="s">
        <v>331</v>
      </c>
      <c r="E1423" s="63">
        <v>295</v>
      </c>
      <c r="F1423" s="63">
        <v>240</v>
      </c>
      <c r="G1423" s="63">
        <v>228</v>
      </c>
      <c r="H1423" s="63">
        <v>242</v>
      </c>
      <c r="I1423" s="63">
        <v>239</v>
      </c>
      <c r="J1423" s="63">
        <v>230</v>
      </c>
      <c r="K1423" s="63">
        <v>234</v>
      </c>
      <c r="L1423" s="63">
        <v>240</v>
      </c>
      <c r="M1423" s="63">
        <v>197</v>
      </c>
      <c r="N1423" s="63">
        <v>195</v>
      </c>
      <c r="O1423" s="63">
        <v>193</v>
      </c>
      <c r="P1423" s="63">
        <v>171</v>
      </c>
      <c r="Q1423" s="63">
        <v>186</v>
      </c>
      <c r="R1423" s="63">
        <v>177</v>
      </c>
      <c r="S1423" s="63">
        <v>191</v>
      </c>
      <c r="T1423" s="63">
        <v>231</v>
      </c>
      <c r="U1423" s="63">
        <v>238</v>
      </c>
      <c r="V1423" s="63">
        <v>234</v>
      </c>
      <c r="W1423" s="63">
        <v>234</v>
      </c>
      <c r="X1423" s="63">
        <v>196</v>
      </c>
      <c r="Y1423" s="63">
        <v>210</v>
      </c>
      <c r="Z1423" s="63">
        <v>194</v>
      </c>
      <c r="AA1423" s="63">
        <v>195</v>
      </c>
      <c r="AB1423" s="63">
        <v>199</v>
      </c>
    </row>
    <row r="1424" spans="1:28" x14ac:dyDescent="0.2">
      <c r="A1424" s="62">
        <v>117</v>
      </c>
      <c r="B1424" s="62" t="s">
        <v>402</v>
      </c>
      <c r="C1424" s="62">
        <v>52</v>
      </c>
      <c r="D1424" s="62" t="s">
        <v>332</v>
      </c>
      <c r="E1424" s="63">
        <v>427</v>
      </c>
      <c r="F1424" s="63">
        <v>439</v>
      </c>
      <c r="G1424" s="63">
        <v>441</v>
      </c>
      <c r="H1424" s="63">
        <v>459</v>
      </c>
      <c r="I1424" s="63">
        <v>439</v>
      </c>
      <c r="J1424" s="63">
        <v>436</v>
      </c>
      <c r="K1424" s="63">
        <v>432</v>
      </c>
      <c r="L1424" s="63">
        <v>412</v>
      </c>
      <c r="M1424" s="63">
        <v>394</v>
      </c>
      <c r="N1424" s="63">
        <v>395</v>
      </c>
      <c r="O1424" s="63">
        <v>373</v>
      </c>
      <c r="P1424" s="63">
        <v>366</v>
      </c>
      <c r="Q1424" s="63">
        <v>374</v>
      </c>
      <c r="R1424" s="63">
        <v>368</v>
      </c>
      <c r="S1424" s="63">
        <v>367</v>
      </c>
      <c r="T1424" s="63">
        <v>363</v>
      </c>
      <c r="U1424" s="63">
        <v>357</v>
      </c>
      <c r="V1424" s="63">
        <v>361</v>
      </c>
      <c r="W1424" s="63">
        <v>355</v>
      </c>
      <c r="X1424" s="63">
        <v>365</v>
      </c>
      <c r="Y1424" s="63">
        <v>361</v>
      </c>
      <c r="Z1424" s="63">
        <v>371</v>
      </c>
      <c r="AA1424" s="63">
        <v>354</v>
      </c>
      <c r="AB1424" s="63">
        <v>312</v>
      </c>
    </row>
    <row r="1425" spans="1:28" x14ac:dyDescent="0.2">
      <c r="A1425" s="62">
        <v>117</v>
      </c>
      <c r="B1425" s="62" t="s">
        <v>402</v>
      </c>
      <c r="C1425" s="62">
        <v>53</v>
      </c>
      <c r="D1425" s="62" t="s">
        <v>333</v>
      </c>
      <c r="E1425" s="63">
        <v>2152</v>
      </c>
      <c r="F1425" s="63">
        <v>2158</v>
      </c>
      <c r="G1425" s="63">
        <v>2140</v>
      </c>
      <c r="H1425" s="63">
        <v>2113</v>
      </c>
      <c r="I1425" s="63">
        <v>2153</v>
      </c>
      <c r="J1425" s="63">
        <v>2202</v>
      </c>
      <c r="K1425" s="63">
        <v>2143</v>
      </c>
      <c r="L1425" s="63">
        <v>2032</v>
      </c>
      <c r="M1425" s="63">
        <v>1977</v>
      </c>
      <c r="N1425" s="63">
        <v>1913</v>
      </c>
      <c r="O1425" s="63">
        <v>1931</v>
      </c>
      <c r="P1425" s="63">
        <v>1816</v>
      </c>
      <c r="Q1425" s="63">
        <v>1866</v>
      </c>
      <c r="R1425" s="63">
        <v>1949</v>
      </c>
      <c r="S1425" s="63">
        <v>2025</v>
      </c>
      <c r="T1425" s="63">
        <v>2060</v>
      </c>
      <c r="U1425" s="63">
        <v>2156</v>
      </c>
      <c r="V1425" s="63">
        <v>2162</v>
      </c>
      <c r="W1425" s="63">
        <v>2225</v>
      </c>
      <c r="X1425" s="63">
        <v>2201</v>
      </c>
      <c r="Y1425" s="63">
        <v>2336</v>
      </c>
      <c r="Z1425" s="63">
        <v>2373</v>
      </c>
      <c r="AA1425" s="63">
        <v>2398</v>
      </c>
      <c r="AB1425" s="63">
        <v>2603</v>
      </c>
    </row>
    <row r="1426" spans="1:28" x14ac:dyDescent="0.2">
      <c r="A1426" s="62">
        <v>117</v>
      </c>
      <c r="B1426" s="62" t="s">
        <v>402</v>
      </c>
      <c r="C1426" s="62">
        <v>54</v>
      </c>
      <c r="D1426" s="62" t="s">
        <v>334</v>
      </c>
      <c r="E1426" s="63">
        <v>1031</v>
      </c>
      <c r="F1426" s="63">
        <v>1040</v>
      </c>
      <c r="G1426" s="63">
        <v>1092</v>
      </c>
      <c r="H1426" s="63">
        <v>1155</v>
      </c>
      <c r="I1426" s="63">
        <v>1138</v>
      </c>
      <c r="J1426" s="63">
        <v>1194</v>
      </c>
      <c r="K1426" s="63">
        <v>1283</v>
      </c>
      <c r="L1426" s="63">
        <v>1251</v>
      </c>
      <c r="M1426" s="63">
        <v>1200</v>
      </c>
      <c r="N1426" s="63">
        <v>1183</v>
      </c>
      <c r="O1426" s="63">
        <v>1204</v>
      </c>
      <c r="P1426" s="63">
        <v>1187</v>
      </c>
      <c r="Q1426" s="63">
        <v>1259</v>
      </c>
      <c r="R1426" s="63">
        <v>1359</v>
      </c>
      <c r="S1426" s="63">
        <v>1394</v>
      </c>
      <c r="T1426" s="63">
        <v>1372</v>
      </c>
      <c r="U1426" s="63">
        <v>1342</v>
      </c>
      <c r="V1426" s="63">
        <v>1408</v>
      </c>
      <c r="W1426" s="63">
        <v>1457</v>
      </c>
      <c r="X1426" s="63">
        <v>1452</v>
      </c>
      <c r="Y1426" s="63">
        <v>1573</v>
      </c>
      <c r="Z1426" s="63">
        <v>1705</v>
      </c>
      <c r="AA1426" s="63">
        <v>1704</v>
      </c>
      <c r="AB1426" s="63">
        <v>1650</v>
      </c>
    </row>
    <row r="1427" spans="1:28" x14ac:dyDescent="0.2">
      <c r="A1427" s="62">
        <v>117</v>
      </c>
      <c r="B1427" s="62" t="s">
        <v>402</v>
      </c>
      <c r="C1427" s="62">
        <v>55</v>
      </c>
      <c r="D1427" s="62" t="s">
        <v>335</v>
      </c>
      <c r="E1427" s="63">
        <v>12</v>
      </c>
      <c r="F1427" s="63">
        <v>17</v>
      </c>
      <c r="G1427" s="63">
        <v>16</v>
      </c>
      <c r="H1427" s="63">
        <v>30</v>
      </c>
      <c r="I1427" s="62"/>
      <c r="J1427" s="63">
        <v>27</v>
      </c>
      <c r="K1427" s="63">
        <v>42</v>
      </c>
      <c r="L1427" s="63">
        <v>48</v>
      </c>
      <c r="M1427" s="63">
        <v>71</v>
      </c>
      <c r="N1427" s="63">
        <v>58</v>
      </c>
      <c r="O1427" s="63">
        <v>35</v>
      </c>
      <c r="P1427" s="63">
        <v>16</v>
      </c>
      <c r="Q1427" s="63">
        <v>18</v>
      </c>
      <c r="R1427" s="63">
        <v>14</v>
      </c>
      <c r="S1427" s="63">
        <v>24</v>
      </c>
      <c r="T1427" s="63">
        <v>23</v>
      </c>
      <c r="U1427" s="63">
        <v>25</v>
      </c>
      <c r="V1427" s="63">
        <v>29</v>
      </c>
      <c r="W1427" s="63">
        <v>43</v>
      </c>
      <c r="X1427" s="63">
        <v>52</v>
      </c>
      <c r="Y1427" s="63">
        <v>52</v>
      </c>
      <c r="Z1427" s="63">
        <v>52</v>
      </c>
      <c r="AA1427" s="63">
        <v>60</v>
      </c>
      <c r="AB1427" s="63">
        <v>59</v>
      </c>
    </row>
    <row r="1428" spans="1:28" x14ac:dyDescent="0.2">
      <c r="A1428" s="62">
        <v>117</v>
      </c>
      <c r="B1428" s="62" t="s">
        <v>402</v>
      </c>
      <c r="C1428" s="62">
        <v>56</v>
      </c>
      <c r="D1428" s="62" t="s">
        <v>336</v>
      </c>
      <c r="E1428" s="63">
        <v>952</v>
      </c>
      <c r="F1428" s="63">
        <v>915</v>
      </c>
      <c r="G1428" s="63">
        <v>908</v>
      </c>
      <c r="H1428" s="63">
        <v>967</v>
      </c>
      <c r="I1428" s="63">
        <v>1019</v>
      </c>
      <c r="J1428" s="63">
        <v>1063</v>
      </c>
      <c r="K1428" s="63">
        <v>1144</v>
      </c>
      <c r="L1428" s="63">
        <v>1168</v>
      </c>
      <c r="M1428" s="63">
        <v>1016</v>
      </c>
      <c r="N1428" s="63">
        <v>937</v>
      </c>
      <c r="O1428" s="63">
        <v>954</v>
      </c>
      <c r="P1428" s="63">
        <v>996</v>
      </c>
      <c r="Q1428" s="63">
        <v>997</v>
      </c>
      <c r="R1428" s="63">
        <v>1053</v>
      </c>
      <c r="S1428" s="63">
        <v>1187</v>
      </c>
      <c r="T1428" s="63">
        <v>1275</v>
      </c>
      <c r="U1428" s="63">
        <v>1271</v>
      </c>
      <c r="V1428" s="63">
        <v>1333</v>
      </c>
      <c r="W1428" s="63">
        <v>1391</v>
      </c>
      <c r="X1428" s="63">
        <v>1366</v>
      </c>
      <c r="Y1428" s="63">
        <v>1370</v>
      </c>
      <c r="Z1428" s="63">
        <v>1301</v>
      </c>
      <c r="AA1428" s="63">
        <v>1644</v>
      </c>
      <c r="AB1428" s="63">
        <v>1234</v>
      </c>
    </row>
    <row r="1429" spans="1:28" x14ac:dyDescent="0.2">
      <c r="A1429" s="62">
        <v>117</v>
      </c>
      <c r="B1429" s="62" t="s">
        <v>402</v>
      </c>
      <c r="C1429" s="62">
        <v>61</v>
      </c>
      <c r="D1429" s="62" t="s">
        <v>337</v>
      </c>
      <c r="E1429" s="63">
        <v>80</v>
      </c>
      <c r="F1429" s="63">
        <v>99</v>
      </c>
      <c r="G1429" s="63">
        <v>112</v>
      </c>
      <c r="H1429" s="63">
        <v>120</v>
      </c>
      <c r="I1429" s="63">
        <v>109</v>
      </c>
      <c r="J1429" s="63">
        <v>120</v>
      </c>
      <c r="K1429" s="63">
        <v>145</v>
      </c>
      <c r="L1429" s="63">
        <v>158</v>
      </c>
      <c r="M1429" s="63">
        <v>174</v>
      </c>
      <c r="N1429" s="63">
        <v>171</v>
      </c>
      <c r="O1429" s="63">
        <v>212</v>
      </c>
      <c r="P1429" s="63">
        <v>210</v>
      </c>
      <c r="Q1429" s="63">
        <v>238</v>
      </c>
      <c r="R1429" s="63">
        <v>268</v>
      </c>
      <c r="S1429" s="63">
        <v>304</v>
      </c>
      <c r="T1429" s="63">
        <v>304</v>
      </c>
      <c r="U1429" s="63">
        <v>299</v>
      </c>
      <c r="V1429" s="63">
        <v>325</v>
      </c>
      <c r="W1429" s="63">
        <v>342</v>
      </c>
      <c r="X1429" s="63">
        <v>267</v>
      </c>
      <c r="Y1429" s="63">
        <v>264</v>
      </c>
      <c r="Z1429" s="63">
        <v>308</v>
      </c>
      <c r="AA1429" s="63">
        <v>388</v>
      </c>
      <c r="AB1429" s="63">
        <v>379</v>
      </c>
    </row>
    <row r="1430" spans="1:28" x14ac:dyDescent="0.2">
      <c r="A1430" s="62">
        <v>117</v>
      </c>
      <c r="B1430" s="62" t="s">
        <v>402</v>
      </c>
      <c r="C1430" s="62">
        <v>62</v>
      </c>
      <c r="D1430" s="62" t="s">
        <v>338</v>
      </c>
      <c r="E1430" s="63">
        <v>562</v>
      </c>
      <c r="F1430" s="63">
        <v>608</v>
      </c>
      <c r="G1430" s="63">
        <v>626</v>
      </c>
      <c r="H1430" s="63">
        <v>638</v>
      </c>
      <c r="I1430" s="63">
        <v>671</v>
      </c>
      <c r="J1430" s="63">
        <v>799</v>
      </c>
      <c r="K1430" s="63">
        <v>875</v>
      </c>
      <c r="L1430" s="63">
        <v>947</v>
      </c>
      <c r="M1430" s="63">
        <v>905</v>
      </c>
      <c r="N1430" s="63">
        <v>1025</v>
      </c>
      <c r="O1430" s="63">
        <v>1104</v>
      </c>
      <c r="P1430" s="63">
        <v>1150</v>
      </c>
      <c r="Q1430" s="63">
        <v>1246</v>
      </c>
      <c r="R1430" s="63">
        <v>1366</v>
      </c>
      <c r="S1430" s="63">
        <v>1469</v>
      </c>
      <c r="T1430" s="63">
        <v>1487</v>
      </c>
      <c r="U1430" s="63">
        <v>1525</v>
      </c>
      <c r="V1430" s="63">
        <v>1492</v>
      </c>
      <c r="W1430" s="63">
        <v>1531</v>
      </c>
      <c r="X1430" s="63">
        <v>1457</v>
      </c>
      <c r="Y1430" s="63">
        <v>1474</v>
      </c>
      <c r="Z1430" s="63">
        <v>1454</v>
      </c>
      <c r="AA1430" s="63">
        <v>1460</v>
      </c>
      <c r="AB1430" s="63">
        <v>1525</v>
      </c>
    </row>
    <row r="1431" spans="1:28" x14ac:dyDescent="0.2">
      <c r="A1431" s="62">
        <v>117</v>
      </c>
      <c r="B1431" s="62" t="s">
        <v>402</v>
      </c>
      <c r="C1431" s="62">
        <v>71</v>
      </c>
      <c r="D1431" s="62" t="s">
        <v>339</v>
      </c>
      <c r="E1431" s="63">
        <v>1065</v>
      </c>
      <c r="F1431" s="63">
        <v>1157</v>
      </c>
      <c r="G1431" s="63">
        <v>1151</v>
      </c>
      <c r="H1431" s="63">
        <v>1155</v>
      </c>
      <c r="I1431" s="63">
        <v>1141</v>
      </c>
      <c r="J1431" s="63">
        <v>1209</v>
      </c>
      <c r="K1431" s="63">
        <v>1248</v>
      </c>
      <c r="L1431" s="63">
        <v>1276</v>
      </c>
      <c r="M1431" s="63">
        <v>1311</v>
      </c>
      <c r="N1431" s="63">
        <v>1375</v>
      </c>
      <c r="O1431" s="63">
        <v>1538</v>
      </c>
      <c r="P1431" s="63">
        <v>1511</v>
      </c>
      <c r="Q1431" s="63">
        <v>1523</v>
      </c>
      <c r="R1431" s="63">
        <v>1583</v>
      </c>
      <c r="S1431" s="63">
        <v>1655</v>
      </c>
      <c r="T1431" s="63">
        <v>1721</v>
      </c>
      <c r="U1431" s="63">
        <v>1828</v>
      </c>
      <c r="V1431" s="63">
        <v>2031</v>
      </c>
      <c r="W1431" s="63">
        <v>2068</v>
      </c>
      <c r="X1431" s="63">
        <v>1663</v>
      </c>
      <c r="Y1431" s="63">
        <v>1905</v>
      </c>
      <c r="Z1431" s="63">
        <v>2054</v>
      </c>
      <c r="AA1431" s="63">
        <v>2099</v>
      </c>
      <c r="AB1431" s="63">
        <v>2201</v>
      </c>
    </row>
    <row r="1432" spans="1:28" x14ac:dyDescent="0.2">
      <c r="A1432" s="62">
        <v>117</v>
      </c>
      <c r="B1432" s="62" t="s">
        <v>402</v>
      </c>
      <c r="C1432" s="62">
        <v>72</v>
      </c>
      <c r="D1432" s="62" t="s">
        <v>340</v>
      </c>
      <c r="E1432" s="63">
        <v>6803</v>
      </c>
      <c r="F1432" s="63">
        <v>6700</v>
      </c>
      <c r="G1432" s="63">
        <v>6038</v>
      </c>
      <c r="H1432" s="63">
        <v>6059</v>
      </c>
      <c r="I1432" s="63">
        <v>6081</v>
      </c>
      <c r="J1432" s="63">
        <v>6363</v>
      </c>
      <c r="K1432" s="63">
        <v>6547</v>
      </c>
      <c r="L1432" s="63">
        <v>6263</v>
      </c>
      <c r="M1432" s="63">
        <v>5876</v>
      </c>
      <c r="N1432" s="63">
        <v>5714</v>
      </c>
      <c r="O1432" s="63">
        <v>6061</v>
      </c>
      <c r="P1432" s="63">
        <v>6190</v>
      </c>
      <c r="Q1432" s="63">
        <v>6357</v>
      </c>
      <c r="R1432" s="63">
        <v>6611</v>
      </c>
      <c r="S1432" s="63">
        <v>6858</v>
      </c>
      <c r="T1432" s="63">
        <v>6950</v>
      </c>
      <c r="U1432" s="63">
        <v>7129</v>
      </c>
      <c r="V1432" s="63">
        <v>7298</v>
      </c>
      <c r="W1432" s="63">
        <v>7484</v>
      </c>
      <c r="X1432" s="63">
        <v>5968</v>
      </c>
      <c r="Y1432" s="63">
        <v>6902</v>
      </c>
      <c r="Z1432" s="63">
        <v>7453</v>
      </c>
      <c r="AA1432" s="63">
        <v>7636</v>
      </c>
      <c r="AB1432" s="63">
        <v>7737</v>
      </c>
    </row>
    <row r="1433" spans="1:28" x14ac:dyDescent="0.2">
      <c r="A1433" s="62">
        <v>117</v>
      </c>
      <c r="B1433" s="62" t="s">
        <v>402</v>
      </c>
      <c r="C1433" s="62">
        <v>81</v>
      </c>
      <c r="D1433" s="62" t="s">
        <v>341</v>
      </c>
      <c r="E1433" s="63">
        <v>626</v>
      </c>
      <c r="F1433" s="63">
        <v>659</v>
      </c>
      <c r="G1433" s="63">
        <v>643</v>
      </c>
      <c r="H1433" s="63">
        <v>671</v>
      </c>
      <c r="I1433" s="63">
        <v>727</v>
      </c>
      <c r="J1433" s="63">
        <v>733</v>
      </c>
      <c r="K1433" s="63">
        <v>766</v>
      </c>
      <c r="L1433" s="63">
        <v>770</v>
      </c>
      <c r="M1433" s="63">
        <v>753</v>
      </c>
      <c r="N1433" s="63">
        <v>759</v>
      </c>
      <c r="O1433" s="63">
        <v>753</v>
      </c>
      <c r="P1433" s="63">
        <v>777</v>
      </c>
      <c r="Q1433" s="63">
        <v>850</v>
      </c>
      <c r="R1433" s="63">
        <v>900</v>
      </c>
      <c r="S1433" s="63">
        <v>941</v>
      </c>
      <c r="T1433" s="63">
        <v>930</v>
      </c>
      <c r="U1433" s="63">
        <v>947</v>
      </c>
      <c r="V1433" s="63">
        <v>857</v>
      </c>
      <c r="W1433" s="63">
        <v>859</v>
      </c>
      <c r="X1433" s="63">
        <v>761</v>
      </c>
      <c r="Y1433" s="63">
        <v>793</v>
      </c>
      <c r="Z1433" s="63">
        <v>923</v>
      </c>
      <c r="AA1433" s="63">
        <v>938</v>
      </c>
      <c r="AB1433" s="63">
        <v>1035</v>
      </c>
    </row>
    <row r="1434" spans="1:28" x14ac:dyDescent="0.2">
      <c r="A1434" s="62">
        <v>117</v>
      </c>
      <c r="B1434" s="62" t="s">
        <v>402</v>
      </c>
      <c r="C1434" s="62">
        <v>99</v>
      </c>
      <c r="D1434" s="62" t="s">
        <v>342</v>
      </c>
      <c r="E1434" s="63">
        <v>0</v>
      </c>
      <c r="F1434" s="63">
        <v>0</v>
      </c>
      <c r="G1434" s="63">
        <v>0</v>
      </c>
      <c r="H1434" s="62"/>
      <c r="I1434" s="62"/>
      <c r="J1434" s="62"/>
      <c r="K1434" s="63">
        <v>0</v>
      </c>
      <c r="L1434" s="62"/>
      <c r="M1434" s="63">
        <v>1</v>
      </c>
      <c r="N1434" s="62"/>
      <c r="O1434" s="62"/>
      <c r="P1434" s="63">
        <v>3</v>
      </c>
      <c r="Q1434" s="63">
        <v>1</v>
      </c>
      <c r="R1434" s="63">
        <v>2</v>
      </c>
      <c r="S1434" s="62"/>
      <c r="T1434" s="62"/>
      <c r="U1434" s="62"/>
      <c r="V1434" s="62"/>
      <c r="W1434" s="63">
        <v>0</v>
      </c>
      <c r="X1434" s="62"/>
      <c r="Y1434" s="62"/>
      <c r="Z1434" s="62"/>
      <c r="AA1434" s="63">
        <v>4</v>
      </c>
      <c r="AB1434" s="63">
        <v>3</v>
      </c>
    </row>
    <row r="1435" spans="1:28" x14ac:dyDescent="0.2">
      <c r="A1435" s="62">
        <v>119</v>
      </c>
      <c r="B1435" s="62" t="s">
        <v>403</v>
      </c>
      <c r="C1435" s="62">
        <v>1</v>
      </c>
      <c r="D1435" s="62" t="s">
        <v>316</v>
      </c>
      <c r="E1435" s="63">
        <v>60</v>
      </c>
      <c r="F1435" s="63">
        <v>62</v>
      </c>
      <c r="G1435" s="63">
        <v>58</v>
      </c>
      <c r="H1435" s="63">
        <v>60</v>
      </c>
      <c r="I1435" s="63">
        <v>56</v>
      </c>
      <c r="J1435" s="63">
        <v>57</v>
      </c>
      <c r="K1435" s="63">
        <v>57</v>
      </c>
      <c r="L1435" s="63">
        <v>60</v>
      </c>
      <c r="M1435" s="63">
        <v>64</v>
      </c>
      <c r="N1435" s="63">
        <v>80</v>
      </c>
      <c r="O1435" s="63">
        <v>58</v>
      </c>
      <c r="P1435" s="63">
        <v>56</v>
      </c>
      <c r="Q1435" s="63">
        <v>57</v>
      </c>
      <c r="R1435" s="63">
        <v>58</v>
      </c>
      <c r="S1435" s="63">
        <v>59</v>
      </c>
      <c r="T1435" s="63">
        <v>59</v>
      </c>
      <c r="U1435" s="63">
        <v>52</v>
      </c>
      <c r="V1435" s="63">
        <v>55</v>
      </c>
      <c r="W1435" s="63">
        <v>58</v>
      </c>
      <c r="X1435" s="63">
        <v>64</v>
      </c>
      <c r="Y1435" s="63">
        <v>58</v>
      </c>
      <c r="Z1435" s="63">
        <v>54</v>
      </c>
      <c r="AA1435" s="63">
        <v>53</v>
      </c>
      <c r="AB1435" s="63">
        <v>53</v>
      </c>
    </row>
    <row r="1436" spans="1:28" x14ac:dyDescent="0.2">
      <c r="A1436" s="62">
        <v>119</v>
      </c>
      <c r="B1436" s="62" t="s">
        <v>403</v>
      </c>
      <c r="C1436" s="62">
        <v>10</v>
      </c>
      <c r="D1436" s="62" t="s">
        <v>317</v>
      </c>
      <c r="E1436" s="63">
        <v>8843</v>
      </c>
      <c r="F1436" s="63">
        <v>8758</v>
      </c>
      <c r="G1436" s="63">
        <v>8712</v>
      </c>
      <c r="H1436" s="63">
        <v>8982</v>
      </c>
      <c r="I1436" s="63">
        <v>9264</v>
      </c>
      <c r="J1436" s="63">
        <v>9316</v>
      </c>
      <c r="K1436" s="63">
        <v>9508</v>
      </c>
      <c r="L1436" s="63">
        <v>9504</v>
      </c>
      <c r="M1436" s="63">
        <v>9219</v>
      </c>
      <c r="N1436" s="63">
        <v>9297</v>
      </c>
      <c r="O1436" s="63">
        <v>9175</v>
      </c>
      <c r="P1436" s="63">
        <v>9264</v>
      </c>
      <c r="Q1436" s="63">
        <v>8990</v>
      </c>
      <c r="R1436" s="63">
        <v>9099</v>
      </c>
      <c r="S1436" s="63">
        <v>9451</v>
      </c>
      <c r="T1436" s="63">
        <v>9707</v>
      </c>
      <c r="U1436" s="63">
        <v>9954</v>
      </c>
      <c r="V1436" s="63">
        <v>10135</v>
      </c>
      <c r="W1436" s="63">
        <v>10269</v>
      </c>
      <c r="X1436" s="63">
        <v>9650</v>
      </c>
      <c r="Y1436" s="63">
        <v>10563</v>
      </c>
      <c r="Z1436" s="63">
        <v>10849</v>
      </c>
      <c r="AA1436" s="63">
        <v>11709</v>
      </c>
      <c r="AB1436" s="63">
        <v>12105</v>
      </c>
    </row>
    <row r="1437" spans="1:28" x14ac:dyDescent="0.2">
      <c r="A1437" s="62">
        <v>119</v>
      </c>
      <c r="B1437" s="62" t="s">
        <v>403</v>
      </c>
      <c r="C1437" s="62">
        <v>11</v>
      </c>
      <c r="D1437" s="62" t="s">
        <v>318</v>
      </c>
      <c r="E1437" s="63">
        <v>29</v>
      </c>
      <c r="F1437" s="63">
        <v>31</v>
      </c>
      <c r="G1437" s="63">
        <v>29</v>
      </c>
      <c r="H1437" s="63">
        <v>26</v>
      </c>
      <c r="I1437" s="63">
        <v>27</v>
      </c>
      <c r="J1437" s="63">
        <v>22</v>
      </c>
      <c r="K1437" s="63">
        <v>29</v>
      </c>
      <c r="L1437" s="63">
        <v>32</v>
      </c>
      <c r="M1437" s="63">
        <v>32</v>
      </c>
      <c r="N1437" s="63">
        <v>29</v>
      </c>
      <c r="O1437" s="63">
        <v>32</v>
      </c>
      <c r="P1437" s="63">
        <v>34</v>
      </c>
      <c r="Q1437" s="63">
        <v>39</v>
      </c>
      <c r="R1437" s="63">
        <v>35</v>
      </c>
      <c r="S1437" s="63">
        <v>36</v>
      </c>
      <c r="T1437" s="63">
        <v>43</v>
      </c>
      <c r="U1437" s="63">
        <v>44</v>
      </c>
      <c r="V1437" s="63">
        <v>59</v>
      </c>
      <c r="W1437" s="63">
        <v>69</v>
      </c>
      <c r="X1437" s="63">
        <v>55</v>
      </c>
      <c r="Y1437" s="63">
        <v>53</v>
      </c>
      <c r="Z1437" s="63">
        <v>54</v>
      </c>
      <c r="AA1437" s="63">
        <v>56</v>
      </c>
      <c r="AB1437" s="63">
        <v>31</v>
      </c>
    </row>
    <row r="1438" spans="1:28" x14ac:dyDescent="0.2">
      <c r="A1438" s="62">
        <v>119</v>
      </c>
      <c r="B1438" s="62" t="s">
        <v>403</v>
      </c>
      <c r="C1438" s="62">
        <v>2</v>
      </c>
      <c r="D1438" s="62" t="s">
        <v>319</v>
      </c>
      <c r="E1438" s="63">
        <v>8</v>
      </c>
      <c r="F1438" s="63">
        <v>20</v>
      </c>
      <c r="G1438" s="63">
        <v>21</v>
      </c>
      <c r="H1438" s="63">
        <v>22</v>
      </c>
      <c r="I1438" s="63">
        <v>22</v>
      </c>
      <c r="J1438" s="63">
        <v>20</v>
      </c>
      <c r="K1438" s="63">
        <v>19</v>
      </c>
      <c r="L1438" s="63">
        <v>25</v>
      </c>
      <c r="M1438" s="63">
        <v>43</v>
      </c>
      <c r="N1438" s="63">
        <v>80</v>
      </c>
      <c r="O1438" s="63">
        <v>108</v>
      </c>
      <c r="P1438" s="63">
        <v>137</v>
      </c>
      <c r="Q1438" s="63">
        <v>142</v>
      </c>
      <c r="R1438" s="63">
        <v>150</v>
      </c>
      <c r="S1438" s="63">
        <v>183</v>
      </c>
      <c r="T1438" s="63">
        <v>159</v>
      </c>
      <c r="U1438" s="63">
        <v>87</v>
      </c>
      <c r="V1438" s="63">
        <v>157</v>
      </c>
      <c r="W1438" s="63">
        <v>199</v>
      </c>
      <c r="X1438" s="63">
        <v>208</v>
      </c>
      <c r="Y1438" s="63">
        <v>224</v>
      </c>
      <c r="Z1438" s="63">
        <v>244</v>
      </c>
      <c r="AA1438" s="63">
        <v>258</v>
      </c>
      <c r="AB1438" s="63">
        <v>266</v>
      </c>
    </row>
    <row r="1439" spans="1:28" x14ac:dyDescent="0.2">
      <c r="A1439" s="62">
        <v>119</v>
      </c>
      <c r="B1439" s="62" t="s">
        <v>403</v>
      </c>
      <c r="C1439" s="62">
        <v>21</v>
      </c>
      <c r="D1439" s="62" t="s">
        <v>320</v>
      </c>
      <c r="E1439" s="63">
        <v>279</v>
      </c>
      <c r="F1439" s="62"/>
      <c r="G1439" s="62"/>
      <c r="H1439" s="63">
        <v>311</v>
      </c>
      <c r="I1439" s="63">
        <v>317</v>
      </c>
      <c r="J1439" s="63">
        <v>329</v>
      </c>
      <c r="K1439" s="62"/>
      <c r="L1439" s="63">
        <v>363</v>
      </c>
      <c r="M1439" s="63">
        <v>365</v>
      </c>
      <c r="N1439" s="63">
        <v>404</v>
      </c>
      <c r="O1439" s="63">
        <v>470</v>
      </c>
      <c r="P1439" s="63">
        <v>527</v>
      </c>
      <c r="Q1439" s="63">
        <v>519</v>
      </c>
      <c r="R1439" s="63">
        <v>539</v>
      </c>
      <c r="S1439" s="63">
        <v>585</v>
      </c>
      <c r="T1439" s="63">
        <v>593</v>
      </c>
      <c r="U1439" s="63">
        <v>612</v>
      </c>
      <c r="V1439" s="63">
        <v>597</v>
      </c>
      <c r="W1439" s="63">
        <v>604</v>
      </c>
      <c r="X1439" s="63">
        <v>576</v>
      </c>
      <c r="Y1439" s="63">
        <v>568</v>
      </c>
      <c r="Z1439" s="62"/>
      <c r="AA1439" s="62"/>
      <c r="AB1439" s="62"/>
    </row>
    <row r="1440" spans="1:28" x14ac:dyDescent="0.2">
      <c r="A1440" s="62">
        <v>119</v>
      </c>
      <c r="B1440" s="62" t="s">
        <v>403</v>
      </c>
      <c r="C1440" s="62">
        <v>22</v>
      </c>
      <c r="D1440" s="62" t="s">
        <v>321</v>
      </c>
      <c r="E1440" s="63">
        <v>35</v>
      </c>
      <c r="F1440" s="63">
        <v>33</v>
      </c>
      <c r="G1440" s="63">
        <v>38</v>
      </c>
      <c r="H1440" s="63">
        <v>51</v>
      </c>
      <c r="I1440" s="63">
        <v>50</v>
      </c>
      <c r="J1440" s="63">
        <v>55</v>
      </c>
      <c r="K1440" s="63">
        <v>47</v>
      </c>
      <c r="L1440" s="63">
        <v>44</v>
      </c>
      <c r="M1440" s="63">
        <v>46</v>
      </c>
      <c r="N1440" s="63">
        <v>43</v>
      </c>
      <c r="O1440" s="63">
        <v>47</v>
      </c>
      <c r="P1440" s="63">
        <v>42</v>
      </c>
      <c r="Q1440" s="63">
        <v>39</v>
      </c>
      <c r="R1440" s="63">
        <v>42</v>
      </c>
      <c r="S1440" s="63">
        <v>40</v>
      </c>
      <c r="T1440" s="63">
        <v>40</v>
      </c>
      <c r="U1440" s="63">
        <v>37</v>
      </c>
      <c r="V1440" s="63">
        <v>41</v>
      </c>
      <c r="W1440" s="63">
        <v>45</v>
      </c>
      <c r="X1440" s="63">
        <v>41</v>
      </c>
      <c r="Y1440" s="63">
        <v>40</v>
      </c>
      <c r="Z1440" s="63">
        <v>39</v>
      </c>
      <c r="AA1440" s="63">
        <v>41</v>
      </c>
      <c r="AB1440" s="63">
        <v>36</v>
      </c>
    </row>
    <row r="1441" spans="1:28" x14ac:dyDescent="0.2">
      <c r="A1441" s="62">
        <v>119</v>
      </c>
      <c r="B1441" s="62" t="s">
        <v>403</v>
      </c>
      <c r="C1441" s="62">
        <v>23</v>
      </c>
      <c r="D1441" s="62" t="s">
        <v>322</v>
      </c>
      <c r="E1441" s="63">
        <v>882</v>
      </c>
      <c r="F1441" s="63">
        <v>870</v>
      </c>
      <c r="G1441" s="63">
        <v>843</v>
      </c>
      <c r="H1441" s="63">
        <v>862</v>
      </c>
      <c r="I1441" s="63">
        <v>944</v>
      </c>
      <c r="J1441" s="63">
        <v>897</v>
      </c>
      <c r="K1441" s="63">
        <v>857</v>
      </c>
      <c r="L1441" s="63">
        <v>798</v>
      </c>
      <c r="M1441" s="63">
        <v>704</v>
      </c>
      <c r="N1441" s="63">
        <v>680</v>
      </c>
      <c r="O1441" s="63">
        <v>605</v>
      </c>
      <c r="P1441" s="63">
        <v>581</v>
      </c>
      <c r="Q1441" s="63">
        <v>570</v>
      </c>
      <c r="R1441" s="63">
        <v>625</v>
      </c>
      <c r="S1441" s="63">
        <v>648</v>
      </c>
      <c r="T1441" s="63">
        <v>692</v>
      </c>
      <c r="U1441" s="63">
        <v>760</v>
      </c>
      <c r="V1441" s="63">
        <v>838</v>
      </c>
      <c r="W1441" s="63">
        <v>865</v>
      </c>
      <c r="X1441" s="63">
        <v>850</v>
      </c>
      <c r="Y1441" s="63">
        <v>835</v>
      </c>
      <c r="Z1441" s="63">
        <v>826</v>
      </c>
      <c r="AA1441" s="63">
        <v>839</v>
      </c>
      <c r="AB1441" s="63">
        <v>807</v>
      </c>
    </row>
    <row r="1442" spans="1:28" x14ac:dyDescent="0.2">
      <c r="A1442" s="62">
        <v>119</v>
      </c>
      <c r="B1442" s="62" t="s">
        <v>403</v>
      </c>
      <c r="C1442" s="62">
        <v>3</v>
      </c>
      <c r="D1442" s="62" t="s">
        <v>323</v>
      </c>
      <c r="E1442" s="63">
        <v>1050</v>
      </c>
      <c r="F1442" s="63">
        <v>1060</v>
      </c>
      <c r="G1442" s="63">
        <v>1085</v>
      </c>
      <c r="H1442" s="63">
        <v>1096</v>
      </c>
      <c r="I1442" s="63">
        <v>1099</v>
      </c>
      <c r="J1442" s="63">
        <v>1126</v>
      </c>
      <c r="K1442" s="63">
        <v>1132</v>
      </c>
      <c r="L1442" s="63">
        <v>1141</v>
      </c>
      <c r="M1442" s="63">
        <v>1148</v>
      </c>
      <c r="N1442" s="63">
        <v>1120</v>
      </c>
      <c r="O1442" s="63">
        <v>1099</v>
      </c>
      <c r="P1442" s="63">
        <v>1084</v>
      </c>
      <c r="Q1442" s="63">
        <v>1074</v>
      </c>
      <c r="R1442" s="63">
        <v>1076</v>
      </c>
      <c r="S1442" s="63">
        <v>1079</v>
      </c>
      <c r="T1442" s="63">
        <v>1099</v>
      </c>
      <c r="U1442" s="63">
        <v>1115</v>
      </c>
      <c r="V1442" s="63">
        <v>1172</v>
      </c>
      <c r="W1442" s="63">
        <v>1174</v>
      </c>
      <c r="X1442" s="63">
        <v>1110</v>
      </c>
      <c r="Y1442" s="63">
        <v>1082</v>
      </c>
      <c r="Z1442" s="63">
        <v>1077</v>
      </c>
      <c r="AA1442" s="63">
        <v>1089</v>
      </c>
      <c r="AB1442" s="63">
        <v>1067</v>
      </c>
    </row>
    <row r="1443" spans="1:28" x14ac:dyDescent="0.2">
      <c r="A1443" s="62">
        <v>119</v>
      </c>
      <c r="B1443" s="62" t="s">
        <v>403</v>
      </c>
      <c r="C1443" s="62" t="s">
        <v>324</v>
      </c>
      <c r="D1443" s="62" t="s">
        <v>325</v>
      </c>
      <c r="E1443" s="63">
        <v>324</v>
      </c>
      <c r="F1443" s="63">
        <v>340</v>
      </c>
      <c r="G1443" s="63">
        <v>274</v>
      </c>
      <c r="H1443" s="63">
        <v>245</v>
      </c>
      <c r="I1443" s="63">
        <v>230</v>
      </c>
      <c r="J1443" s="63">
        <v>151</v>
      </c>
      <c r="K1443" s="63">
        <v>163</v>
      </c>
      <c r="L1443" s="63">
        <v>145</v>
      </c>
      <c r="M1443" s="63">
        <v>129</v>
      </c>
      <c r="N1443" s="63">
        <v>124</v>
      </c>
      <c r="O1443" s="63">
        <v>127</v>
      </c>
      <c r="P1443" s="63">
        <v>133</v>
      </c>
      <c r="Q1443" s="63">
        <v>145</v>
      </c>
      <c r="R1443" s="63">
        <v>141</v>
      </c>
      <c r="S1443" s="63">
        <v>156</v>
      </c>
      <c r="T1443" s="63">
        <v>162</v>
      </c>
      <c r="U1443" s="63">
        <v>169</v>
      </c>
      <c r="V1443" s="63">
        <v>175</v>
      </c>
      <c r="W1443" s="63">
        <v>200</v>
      </c>
      <c r="X1443" s="63">
        <v>198</v>
      </c>
      <c r="Y1443" s="63">
        <v>179</v>
      </c>
      <c r="Z1443" s="63">
        <v>205</v>
      </c>
      <c r="AA1443" s="63">
        <v>404</v>
      </c>
      <c r="AB1443" s="63">
        <v>203</v>
      </c>
    </row>
    <row r="1444" spans="1:28" x14ac:dyDescent="0.2">
      <c r="A1444" s="62">
        <v>119</v>
      </c>
      <c r="B1444" s="62" t="s">
        <v>403</v>
      </c>
      <c r="C1444" s="62">
        <v>42</v>
      </c>
      <c r="D1444" s="62" t="s">
        <v>326</v>
      </c>
      <c r="E1444" s="63">
        <v>91</v>
      </c>
      <c r="F1444" s="63">
        <v>83</v>
      </c>
      <c r="G1444" s="63">
        <v>83</v>
      </c>
      <c r="H1444" s="63">
        <v>81</v>
      </c>
      <c r="I1444" s="63">
        <v>100</v>
      </c>
      <c r="J1444" s="63">
        <v>110</v>
      </c>
      <c r="K1444" s="63">
        <v>140</v>
      </c>
      <c r="L1444" s="63">
        <v>150</v>
      </c>
      <c r="M1444" s="63">
        <v>150</v>
      </c>
      <c r="N1444" s="63">
        <v>174</v>
      </c>
      <c r="O1444" s="63">
        <v>169</v>
      </c>
      <c r="P1444" s="63">
        <v>124</v>
      </c>
      <c r="Q1444" s="63">
        <v>78</v>
      </c>
      <c r="R1444" s="63">
        <v>101</v>
      </c>
      <c r="S1444" s="63">
        <v>120</v>
      </c>
      <c r="T1444" s="63">
        <v>128</v>
      </c>
      <c r="U1444" s="63">
        <v>112</v>
      </c>
      <c r="V1444" s="63">
        <v>130</v>
      </c>
      <c r="W1444" s="63">
        <v>128</v>
      </c>
      <c r="X1444" s="63">
        <v>133</v>
      </c>
      <c r="Y1444" s="63">
        <v>143</v>
      </c>
      <c r="Z1444" s="63">
        <v>117</v>
      </c>
      <c r="AA1444" s="63">
        <v>107</v>
      </c>
      <c r="AB1444" s="63">
        <v>97</v>
      </c>
    </row>
    <row r="1445" spans="1:28" x14ac:dyDescent="0.2">
      <c r="A1445" s="62">
        <v>119</v>
      </c>
      <c r="B1445" s="62" t="s">
        <v>403</v>
      </c>
      <c r="C1445" s="62" t="s">
        <v>327</v>
      </c>
      <c r="D1445" s="62" t="s">
        <v>328</v>
      </c>
      <c r="E1445" s="63">
        <v>947</v>
      </c>
      <c r="F1445" s="63">
        <v>895</v>
      </c>
      <c r="G1445" s="63">
        <v>885</v>
      </c>
      <c r="H1445" s="63">
        <v>873</v>
      </c>
      <c r="I1445" s="63">
        <v>891</v>
      </c>
      <c r="J1445" s="63">
        <v>912</v>
      </c>
      <c r="K1445" s="63">
        <v>1058</v>
      </c>
      <c r="L1445" s="63">
        <v>1126</v>
      </c>
      <c r="M1445" s="63">
        <v>1033</v>
      </c>
      <c r="N1445" s="63">
        <v>1061</v>
      </c>
      <c r="O1445" s="63">
        <v>1077</v>
      </c>
      <c r="P1445" s="63">
        <v>1076</v>
      </c>
      <c r="Q1445" s="63">
        <v>1064</v>
      </c>
      <c r="R1445" s="63">
        <v>1129</v>
      </c>
      <c r="S1445" s="63">
        <v>1161</v>
      </c>
      <c r="T1445" s="63">
        <v>1231</v>
      </c>
      <c r="U1445" s="63">
        <v>1261</v>
      </c>
      <c r="V1445" s="63">
        <v>1195</v>
      </c>
      <c r="W1445" s="63">
        <v>1225</v>
      </c>
      <c r="X1445" s="63">
        <v>1248</v>
      </c>
      <c r="Y1445" s="63">
        <v>1291</v>
      </c>
      <c r="Z1445" s="63">
        <v>1256</v>
      </c>
      <c r="AA1445" s="63">
        <v>1265</v>
      </c>
      <c r="AB1445" s="63">
        <v>1283</v>
      </c>
    </row>
    <row r="1446" spans="1:28" x14ac:dyDescent="0.2">
      <c r="A1446" s="62">
        <v>119</v>
      </c>
      <c r="B1446" s="62" t="s">
        <v>403</v>
      </c>
      <c r="C1446" s="62" t="s">
        <v>329</v>
      </c>
      <c r="D1446" s="62" t="s">
        <v>330</v>
      </c>
      <c r="E1446" s="63">
        <v>118</v>
      </c>
      <c r="F1446" s="63">
        <v>105</v>
      </c>
      <c r="G1446" s="63">
        <v>113</v>
      </c>
      <c r="H1446" s="63">
        <v>121</v>
      </c>
      <c r="I1446" s="63">
        <v>120</v>
      </c>
      <c r="J1446" s="63">
        <v>117</v>
      </c>
      <c r="K1446" s="63">
        <v>129</v>
      </c>
      <c r="L1446" s="63">
        <v>117</v>
      </c>
      <c r="M1446" s="63">
        <v>110</v>
      </c>
      <c r="N1446" s="63">
        <v>116</v>
      </c>
      <c r="O1446" s="63">
        <v>115</v>
      </c>
      <c r="P1446" s="63">
        <v>119</v>
      </c>
      <c r="Q1446" s="63">
        <v>122</v>
      </c>
      <c r="R1446" s="63">
        <v>141</v>
      </c>
      <c r="S1446" s="63">
        <v>145</v>
      </c>
      <c r="T1446" s="63">
        <v>142</v>
      </c>
      <c r="U1446" s="63">
        <v>153</v>
      </c>
      <c r="V1446" s="63">
        <v>173</v>
      </c>
      <c r="W1446" s="63">
        <v>178</v>
      </c>
      <c r="X1446" s="63">
        <v>188</v>
      </c>
      <c r="Y1446" s="63">
        <v>196</v>
      </c>
      <c r="Z1446" s="63">
        <v>196</v>
      </c>
      <c r="AA1446" s="63">
        <v>184</v>
      </c>
      <c r="AB1446" s="63">
        <v>200</v>
      </c>
    </row>
    <row r="1447" spans="1:28" x14ac:dyDescent="0.2">
      <c r="A1447" s="62">
        <v>119</v>
      </c>
      <c r="B1447" s="62" t="s">
        <v>403</v>
      </c>
      <c r="C1447" s="62">
        <v>51</v>
      </c>
      <c r="D1447" s="62" t="s">
        <v>331</v>
      </c>
      <c r="E1447" s="63">
        <v>127</v>
      </c>
      <c r="F1447" s="63">
        <v>120</v>
      </c>
      <c r="G1447" s="63">
        <v>138</v>
      </c>
      <c r="H1447" s="63">
        <v>189</v>
      </c>
      <c r="I1447" s="63">
        <v>214</v>
      </c>
      <c r="J1447" s="63">
        <v>85</v>
      </c>
      <c r="K1447" s="63">
        <v>79</v>
      </c>
      <c r="L1447" s="63">
        <v>75</v>
      </c>
      <c r="M1447" s="63">
        <v>64</v>
      </c>
      <c r="N1447" s="63">
        <v>64</v>
      </c>
      <c r="O1447" s="63">
        <v>66</v>
      </c>
      <c r="P1447" s="63">
        <v>68</v>
      </c>
      <c r="Q1447" s="63">
        <v>70</v>
      </c>
      <c r="R1447" s="63">
        <v>80</v>
      </c>
      <c r="S1447" s="63">
        <v>94</v>
      </c>
      <c r="T1447" s="63">
        <v>104</v>
      </c>
      <c r="U1447" s="63">
        <v>100</v>
      </c>
      <c r="V1447" s="63">
        <v>108</v>
      </c>
      <c r="W1447" s="63">
        <v>94</v>
      </c>
      <c r="X1447" s="63">
        <v>88</v>
      </c>
      <c r="Y1447" s="63">
        <v>85</v>
      </c>
      <c r="Z1447" s="63">
        <v>83</v>
      </c>
      <c r="AA1447" s="63">
        <v>109</v>
      </c>
      <c r="AB1447" s="63">
        <v>130</v>
      </c>
    </row>
    <row r="1448" spans="1:28" x14ac:dyDescent="0.2">
      <c r="A1448" s="62">
        <v>119</v>
      </c>
      <c r="B1448" s="62" t="s">
        <v>403</v>
      </c>
      <c r="C1448" s="62">
        <v>52</v>
      </c>
      <c r="D1448" s="62" t="s">
        <v>332</v>
      </c>
      <c r="E1448" s="63">
        <v>255</v>
      </c>
      <c r="F1448" s="63">
        <v>264</v>
      </c>
      <c r="G1448" s="63">
        <v>287</v>
      </c>
      <c r="H1448" s="63">
        <v>270</v>
      </c>
      <c r="I1448" s="63">
        <v>280</v>
      </c>
      <c r="J1448" s="63">
        <v>278</v>
      </c>
      <c r="K1448" s="63">
        <v>263</v>
      </c>
      <c r="L1448" s="63">
        <v>254</v>
      </c>
      <c r="M1448" s="63">
        <v>236</v>
      </c>
      <c r="N1448" s="63">
        <v>230</v>
      </c>
      <c r="O1448" s="63">
        <v>222</v>
      </c>
      <c r="P1448" s="63">
        <v>220</v>
      </c>
      <c r="Q1448" s="63">
        <v>144</v>
      </c>
      <c r="R1448" s="63">
        <v>212</v>
      </c>
      <c r="S1448" s="63">
        <v>212</v>
      </c>
      <c r="T1448" s="63">
        <v>211</v>
      </c>
      <c r="U1448" s="63">
        <v>222</v>
      </c>
      <c r="V1448" s="63">
        <v>225</v>
      </c>
      <c r="W1448" s="63">
        <v>215</v>
      </c>
      <c r="X1448" s="63">
        <v>211</v>
      </c>
      <c r="Y1448" s="63">
        <v>223</v>
      </c>
      <c r="Z1448" s="63">
        <v>258</v>
      </c>
      <c r="AA1448" s="63">
        <v>236</v>
      </c>
      <c r="AB1448" s="63">
        <v>202</v>
      </c>
    </row>
    <row r="1449" spans="1:28" x14ac:dyDescent="0.2">
      <c r="A1449" s="62">
        <v>119</v>
      </c>
      <c r="B1449" s="62" t="s">
        <v>403</v>
      </c>
      <c r="C1449" s="62">
        <v>53</v>
      </c>
      <c r="D1449" s="62" t="s">
        <v>333</v>
      </c>
      <c r="E1449" s="63">
        <v>391</v>
      </c>
      <c r="F1449" s="63">
        <v>358</v>
      </c>
      <c r="G1449" s="63">
        <v>375</v>
      </c>
      <c r="H1449" s="63">
        <v>372</v>
      </c>
      <c r="I1449" s="63">
        <v>409</v>
      </c>
      <c r="J1449" s="63">
        <v>404</v>
      </c>
      <c r="K1449" s="63">
        <v>400</v>
      </c>
      <c r="L1449" s="63">
        <v>357</v>
      </c>
      <c r="M1449" s="63">
        <v>356</v>
      </c>
      <c r="N1449" s="63">
        <v>362</v>
      </c>
      <c r="O1449" s="63">
        <v>335</v>
      </c>
      <c r="P1449" s="63">
        <v>332</v>
      </c>
      <c r="Q1449" s="63">
        <v>314</v>
      </c>
      <c r="R1449" s="63">
        <v>303</v>
      </c>
      <c r="S1449" s="63">
        <v>348</v>
      </c>
      <c r="T1449" s="63">
        <v>373</v>
      </c>
      <c r="U1449" s="63">
        <v>384</v>
      </c>
      <c r="V1449" s="63">
        <v>407</v>
      </c>
      <c r="W1449" s="63">
        <v>406</v>
      </c>
      <c r="X1449" s="63">
        <v>409</v>
      </c>
      <c r="Y1449" s="63">
        <v>436</v>
      </c>
      <c r="Z1449" s="63">
        <v>440</v>
      </c>
      <c r="AA1449" s="63">
        <v>435</v>
      </c>
      <c r="AB1449" s="63">
        <v>412</v>
      </c>
    </row>
    <row r="1450" spans="1:28" x14ac:dyDescent="0.2">
      <c r="A1450" s="62">
        <v>119</v>
      </c>
      <c r="B1450" s="62" t="s">
        <v>403</v>
      </c>
      <c r="C1450" s="62">
        <v>54</v>
      </c>
      <c r="D1450" s="62" t="s">
        <v>334</v>
      </c>
      <c r="E1450" s="63">
        <v>495</v>
      </c>
      <c r="F1450" s="63">
        <v>500</v>
      </c>
      <c r="G1450" s="63">
        <v>518</v>
      </c>
      <c r="H1450" s="63">
        <v>522</v>
      </c>
      <c r="I1450" s="63">
        <v>613</v>
      </c>
      <c r="J1450" s="63">
        <v>694</v>
      </c>
      <c r="K1450" s="63">
        <v>730</v>
      </c>
      <c r="L1450" s="63">
        <v>735</v>
      </c>
      <c r="M1450" s="63">
        <v>685</v>
      </c>
      <c r="N1450" s="63">
        <v>701</v>
      </c>
      <c r="O1450" s="63">
        <v>722</v>
      </c>
      <c r="P1450" s="63">
        <v>747</v>
      </c>
      <c r="Q1450" s="63">
        <v>684</v>
      </c>
      <c r="R1450" s="63">
        <v>677</v>
      </c>
      <c r="S1450" s="63">
        <v>685</v>
      </c>
      <c r="T1450" s="63">
        <v>699</v>
      </c>
      <c r="U1450" s="63">
        <v>732</v>
      </c>
      <c r="V1450" s="63">
        <v>751</v>
      </c>
      <c r="W1450" s="63">
        <v>774</v>
      </c>
      <c r="X1450" s="63">
        <v>734</v>
      </c>
      <c r="Y1450" s="63">
        <v>758</v>
      </c>
      <c r="Z1450" s="63">
        <v>846</v>
      </c>
      <c r="AA1450" s="63">
        <v>1032</v>
      </c>
      <c r="AB1450" s="63">
        <v>1123</v>
      </c>
    </row>
    <row r="1451" spans="1:28" x14ac:dyDescent="0.2">
      <c r="A1451" s="62">
        <v>119</v>
      </c>
      <c r="B1451" s="62" t="s">
        <v>403</v>
      </c>
      <c r="C1451" s="62">
        <v>55</v>
      </c>
      <c r="D1451" s="62" t="s">
        <v>335</v>
      </c>
      <c r="E1451" s="63">
        <v>11</v>
      </c>
      <c r="F1451" s="63">
        <v>33</v>
      </c>
      <c r="G1451" s="63">
        <v>40</v>
      </c>
      <c r="H1451" s="63">
        <v>37</v>
      </c>
      <c r="I1451" s="63">
        <v>40</v>
      </c>
      <c r="J1451" s="63">
        <v>52</v>
      </c>
      <c r="K1451" s="63">
        <v>68</v>
      </c>
      <c r="L1451" s="63">
        <v>63</v>
      </c>
      <c r="M1451" s="63">
        <v>55</v>
      </c>
      <c r="N1451" s="63">
        <v>52</v>
      </c>
      <c r="O1451" s="63">
        <v>51</v>
      </c>
      <c r="P1451" s="63">
        <v>40</v>
      </c>
      <c r="Q1451" s="63">
        <v>43</v>
      </c>
      <c r="R1451" s="63">
        <v>43</v>
      </c>
      <c r="S1451" s="63">
        <v>43</v>
      </c>
      <c r="T1451" s="63">
        <v>38</v>
      </c>
      <c r="U1451" s="63">
        <v>34</v>
      </c>
      <c r="V1451" s="63">
        <v>34</v>
      </c>
      <c r="W1451" s="63">
        <v>35</v>
      </c>
      <c r="X1451" s="63">
        <v>39</v>
      </c>
      <c r="Y1451" s="63">
        <v>47</v>
      </c>
      <c r="Z1451" s="63">
        <v>55</v>
      </c>
      <c r="AA1451" s="63">
        <v>55</v>
      </c>
      <c r="AB1451" s="63">
        <v>65</v>
      </c>
    </row>
    <row r="1452" spans="1:28" x14ac:dyDescent="0.2">
      <c r="A1452" s="62">
        <v>119</v>
      </c>
      <c r="B1452" s="62" t="s">
        <v>403</v>
      </c>
      <c r="C1452" s="62">
        <v>56</v>
      </c>
      <c r="D1452" s="62" t="s">
        <v>336</v>
      </c>
      <c r="E1452" s="63">
        <v>213</v>
      </c>
      <c r="F1452" s="63">
        <v>234</v>
      </c>
      <c r="G1452" s="63">
        <v>231</v>
      </c>
      <c r="H1452" s="63">
        <v>251</v>
      </c>
      <c r="I1452" s="63">
        <v>283</v>
      </c>
      <c r="J1452" s="63">
        <v>322</v>
      </c>
      <c r="K1452" s="63">
        <v>336</v>
      </c>
      <c r="L1452" s="63">
        <v>297</v>
      </c>
      <c r="M1452" s="63">
        <v>281</v>
      </c>
      <c r="N1452" s="63">
        <v>302</v>
      </c>
      <c r="O1452" s="63">
        <v>325</v>
      </c>
      <c r="P1452" s="63">
        <v>347</v>
      </c>
      <c r="Q1452" s="63">
        <v>323</v>
      </c>
      <c r="R1452" s="63">
        <v>335</v>
      </c>
      <c r="S1452" s="63">
        <v>351</v>
      </c>
      <c r="T1452" s="63">
        <v>368</v>
      </c>
      <c r="U1452" s="63">
        <v>388</v>
      </c>
      <c r="V1452" s="63">
        <v>433</v>
      </c>
      <c r="W1452" s="63">
        <v>453</v>
      </c>
      <c r="X1452" s="63">
        <v>439</v>
      </c>
      <c r="Y1452" s="63">
        <v>499</v>
      </c>
      <c r="Z1452" s="63">
        <v>567</v>
      </c>
      <c r="AA1452" s="63">
        <v>579</v>
      </c>
      <c r="AB1452" s="63">
        <v>701</v>
      </c>
    </row>
    <row r="1453" spans="1:28" x14ac:dyDescent="0.2">
      <c r="A1453" s="62">
        <v>119</v>
      </c>
      <c r="B1453" s="62" t="s">
        <v>403</v>
      </c>
      <c r="C1453" s="62">
        <v>61</v>
      </c>
      <c r="D1453" s="62" t="s">
        <v>337</v>
      </c>
      <c r="E1453" s="63">
        <v>145</v>
      </c>
      <c r="F1453" s="63">
        <v>123</v>
      </c>
      <c r="G1453" s="63">
        <v>132</v>
      </c>
      <c r="H1453" s="63">
        <v>138</v>
      </c>
      <c r="I1453" s="63">
        <v>131</v>
      </c>
      <c r="J1453" s="63">
        <v>145</v>
      </c>
      <c r="K1453" s="63">
        <v>157</v>
      </c>
      <c r="L1453" s="63">
        <v>153</v>
      </c>
      <c r="M1453" s="63">
        <v>140</v>
      </c>
      <c r="N1453" s="63">
        <v>144</v>
      </c>
      <c r="O1453" s="63">
        <v>147</v>
      </c>
      <c r="P1453" s="63">
        <v>145</v>
      </c>
      <c r="Q1453" s="63">
        <v>157</v>
      </c>
      <c r="R1453" s="63">
        <v>159</v>
      </c>
      <c r="S1453" s="63">
        <v>177</v>
      </c>
      <c r="T1453" s="63">
        <v>170</v>
      </c>
      <c r="U1453" s="63">
        <v>167</v>
      </c>
      <c r="V1453" s="63">
        <v>76</v>
      </c>
      <c r="W1453" s="63">
        <v>92</v>
      </c>
      <c r="X1453" s="63">
        <v>79</v>
      </c>
      <c r="Y1453" s="63">
        <v>79</v>
      </c>
      <c r="Z1453" s="63">
        <v>98</v>
      </c>
      <c r="AA1453" s="63">
        <v>437</v>
      </c>
      <c r="AB1453" s="63">
        <v>706</v>
      </c>
    </row>
    <row r="1454" spans="1:28" x14ac:dyDescent="0.2">
      <c r="A1454" s="62">
        <v>119</v>
      </c>
      <c r="B1454" s="62" t="s">
        <v>403</v>
      </c>
      <c r="C1454" s="62">
        <v>62</v>
      </c>
      <c r="D1454" s="62" t="s">
        <v>338</v>
      </c>
      <c r="E1454" s="63">
        <v>320</v>
      </c>
      <c r="F1454" s="63">
        <v>345</v>
      </c>
      <c r="G1454" s="63">
        <v>332</v>
      </c>
      <c r="H1454" s="63">
        <v>362</v>
      </c>
      <c r="I1454" s="63">
        <v>387</v>
      </c>
      <c r="J1454" s="63">
        <v>423</v>
      </c>
      <c r="K1454" s="63">
        <v>490</v>
      </c>
      <c r="L1454" s="63">
        <v>554</v>
      </c>
      <c r="M1454" s="63">
        <v>575</v>
      </c>
      <c r="N1454" s="63">
        <v>587</v>
      </c>
      <c r="O1454" s="63">
        <v>556</v>
      </c>
      <c r="P1454" s="63">
        <v>551</v>
      </c>
      <c r="Q1454" s="63">
        <v>548</v>
      </c>
      <c r="R1454" s="63">
        <v>533</v>
      </c>
      <c r="S1454" s="63">
        <v>547</v>
      </c>
      <c r="T1454" s="63">
        <v>573</v>
      </c>
      <c r="U1454" s="63">
        <v>646</v>
      </c>
      <c r="V1454" s="63">
        <v>594</v>
      </c>
      <c r="W1454" s="63">
        <v>545</v>
      </c>
      <c r="X1454" s="63">
        <v>574</v>
      </c>
      <c r="Y1454" s="63">
        <v>586</v>
      </c>
      <c r="Z1454" s="63">
        <v>597</v>
      </c>
      <c r="AA1454" s="63">
        <v>621</v>
      </c>
      <c r="AB1454" s="63">
        <v>642</v>
      </c>
    </row>
    <row r="1455" spans="1:28" x14ac:dyDescent="0.2">
      <c r="A1455" s="62">
        <v>119</v>
      </c>
      <c r="B1455" s="62" t="s">
        <v>403</v>
      </c>
      <c r="C1455" s="62">
        <v>71</v>
      </c>
      <c r="D1455" s="62" t="s">
        <v>339</v>
      </c>
      <c r="E1455" s="63">
        <v>1853</v>
      </c>
      <c r="F1455" s="63">
        <v>1801</v>
      </c>
      <c r="G1455" s="63">
        <v>928</v>
      </c>
      <c r="H1455" s="63">
        <v>999</v>
      </c>
      <c r="I1455" s="63">
        <v>1000</v>
      </c>
      <c r="J1455" s="63">
        <v>922</v>
      </c>
      <c r="K1455" s="63">
        <v>721</v>
      </c>
      <c r="L1455" s="63">
        <v>825</v>
      </c>
      <c r="M1455" s="63">
        <v>817</v>
      </c>
      <c r="N1455" s="63">
        <v>827</v>
      </c>
      <c r="O1455" s="63">
        <v>853</v>
      </c>
      <c r="P1455" s="63">
        <v>880</v>
      </c>
      <c r="Q1455" s="63">
        <v>793</v>
      </c>
      <c r="R1455" s="63">
        <v>778</v>
      </c>
      <c r="S1455" s="63">
        <v>758</v>
      </c>
      <c r="T1455" s="63">
        <v>778</v>
      </c>
      <c r="U1455" s="63">
        <v>795</v>
      </c>
      <c r="V1455" s="63">
        <v>809</v>
      </c>
      <c r="W1455" s="63">
        <v>785</v>
      </c>
      <c r="X1455" s="63">
        <v>588</v>
      </c>
      <c r="Y1455" s="63">
        <v>672</v>
      </c>
      <c r="Z1455" s="63">
        <v>691</v>
      </c>
      <c r="AA1455" s="63">
        <v>728</v>
      </c>
      <c r="AB1455" s="63">
        <v>930</v>
      </c>
    </row>
    <row r="1456" spans="1:28" x14ac:dyDescent="0.2">
      <c r="A1456" s="62">
        <v>119</v>
      </c>
      <c r="B1456" s="62" t="s">
        <v>403</v>
      </c>
      <c r="C1456" s="62">
        <v>72</v>
      </c>
      <c r="D1456" s="62" t="s">
        <v>340</v>
      </c>
      <c r="E1456" s="63">
        <v>772</v>
      </c>
      <c r="F1456" s="63">
        <v>767</v>
      </c>
      <c r="G1456" s="63">
        <v>1545</v>
      </c>
      <c r="H1456" s="63">
        <v>1643</v>
      </c>
      <c r="I1456" s="63">
        <v>1611</v>
      </c>
      <c r="J1456" s="63">
        <v>1707</v>
      </c>
      <c r="K1456" s="63">
        <v>1766</v>
      </c>
      <c r="L1456" s="63">
        <v>1714</v>
      </c>
      <c r="M1456" s="63">
        <v>1726</v>
      </c>
      <c r="N1456" s="63">
        <v>1621</v>
      </c>
      <c r="O1456" s="63">
        <v>1514</v>
      </c>
      <c r="P1456" s="63">
        <v>1537</v>
      </c>
      <c r="Q1456" s="63">
        <v>1496</v>
      </c>
      <c r="R1456" s="63">
        <v>1448</v>
      </c>
      <c r="S1456" s="63">
        <v>1498</v>
      </c>
      <c r="T1456" s="63">
        <v>1495</v>
      </c>
      <c r="U1456" s="63">
        <v>1478</v>
      </c>
      <c r="V1456" s="63">
        <v>1617</v>
      </c>
      <c r="W1456" s="63">
        <v>1639</v>
      </c>
      <c r="X1456" s="63">
        <v>1354</v>
      </c>
      <c r="Y1456" s="63">
        <v>1469</v>
      </c>
      <c r="Z1456" s="63">
        <v>1539</v>
      </c>
      <c r="AA1456" s="63">
        <v>1507</v>
      </c>
      <c r="AB1456" s="63">
        <v>1492</v>
      </c>
    </row>
    <row r="1457" spans="1:28" x14ac:dyDescent="0.2">
      <c r="A1457" s="62">
        <v>119</v>
      </c>
      <c r="B1457" s="62" t="s">
        <v>403</v>
      </c>
      <c r="C1457" s="62">
        <v>81</v>
      </c>
      <c r="D1457" s="62" t="s">
        <v>341</v>
      </c>
      <c r="E1457" s="63">
        <v>422</v>
      </c>
      <c r="F1457" s="63">
        <v>398</v>
      </c>
      <c r="G1457" s="63">
        <v>422</v>
      </c>
      <c r="H1457" s="63">
        <v>428</v>
      </c>
      <c r="I1457" s="63">
        <v>435</v>
      </c>
      <c r="J1457" s="63">
        <v>479</v>
      </c>
      <c r="K1457" s="63">
        <v>504</v>
      </c>
      <c r="L1457" s="63">
        <v>465</v>
      </c>
      <c r="M1457" s="63">
        <v>451</v>
      </c>
      <c r="N1457" s="63">
        <v>485</v>
      </c>
      <c r="O1457" s="63">
        <v>462</v>
      </c>
      <c r="P1457" s="63">
        <v>464</v>
      </c>
      <c r="Q1457" s="63">
        <v>487</v>
      </c>
      <c r="R1457" s="63">
        <v>483</v>
      </c>
      <c r="S1457" s="63">
        <v>514</v>
      </c>
      <c r="T1457" s="63">
        <v>538</v>
      </c>
      <c r="U1457" s="63">
        <v>595</v>
      </c>
      <c r="V1457" s="63">
        <v>480</v>
      </c>
      <c r="W1457" s="63">
        <v>476</v>
      </c>
      <c r="X1457" s="63">
        <v>454</v>
      </c>
      <c r="Y1457" s="63">
        <v>1018</v>
      </c>
      <c r="Z1457" s="63">
        <v>1144</v>
      </c>
      <c r="AA1457" s="63">
        <v>1213</v>
      </c>
      <c r="AB1457" s="63">
        <v>1214</v>
      </c>
    </row>
    <row r="1458" spans="1:28" x14ac:dyDescent="0.2">
      <c r="A1458" s="62">
        <v>119</v>
      </c>
      <c r="B1458" s="62" t="s">
        <v>403</v>
      </c>
      <c r="C1458" s="62">
        <v>99</v>
      </c>
      <c r="D1458" s="62" t="s">
        <v>342</v>
      </c>
      <c r="E1458" s="63">
        <v>0</v>
      </c>
      <c r="F1458" s="62"/>
      <c r="G1458" s="62"/>
      <c r="H1458" s="63">
        <v>0</v>
      </c>
      <c r="I1458" s="62"/>
      <c r="J1458" s="62"/>
      <c r="K1458" s="62"/>
      <c r="L1458" s="63">
        <v>1</v>
      </c>
      <c r="M1458" s="63">
        <v>0</v>
      </c>
      <c r="N1458" s="63">
        <v>0</v>
      </c>
      <c r="O1458" s="63">
        <v>0</v>
      </c>
      <c r="P1458" s="63">
        <v>1</v>
      </c>
      <c r="Q1458" s="63">
        <v>4</v>
      </c>
      <c r="R1458" s="63">
        <v>1</v>
      </c>
      <c r="S1458" s="63">
        <v>2</v>
      </c>
      <c r="T1458" s="62"/>
      <c r="U1458" s="62"/>
      <c r="V1458" s="63">
        <v>0</v>
      </c>
      <c r="W1458" s="63">
        <v>0</v>
      </c>
      <c r="X1458" s="63">
        <v>0</v>
      </c>
      <c r="Y1458" s="63">
        <v>11</v>
      </c>
      <c r="Z1458" s="62"/>
      <c r="AA1458" s="62"/>
      <c r="AB1458" s="62"/>
    </row>
    <row r="1459" spans="1:28" x14ac:dyDescent="0.2">
      <c r="A1459" s="62">
        <v>121</v>
      </c>
      <c r="B1459" s="62" t="s">
        <v>404</v>
      </c>
      <c r="C1459" s="62">
        <v>1</v>
      </c>
      <c r="D1459" s="62" t="s">
        <v>316</v>
      </c>
      <c r="E1459" s="63">
        <v>53</v>
      </c>
      <c r="F1459" s="63">
        <v>57</v>
      </c>
      <c r="G1459" s="63">
        <v>62</v>
      </c>
      <c r="H1459" s="63">
        <v>60</v>
      </c>
      <c r="I1459" s="63">
        <v>61</v>
      </c>
      <c r="J1459" s="63">
        <v>62</v>
      </c>
      <c r="K1459" s="63">
        <v>57</v>
      </c>
      <c r="L1459" s="63">
        <v>56</v>
      </c>
      <c r="M1459" s="63">
        <v>57</v>
      </c>
      <c r="N1459" s="63">
        <v>57</v>
      </c>
      <c r="O1459" s="63">
        <v>55</v>
      </c>
      <c r="P1459" s="63">
        <v>52</v>
      </c>
      <c r="Q1459" s="63">
        <v>48</v>
      </c>
      <c r="R1459" s="63">
        <v>49</v>
      </c>
      <c r="S1459" s="63">
        <v>50</v>
      </c>
      <c r="T1459" s="63">
        <v>50</v>
      </c>
      <c r="U1459" s="63">
        <v>41</v>
      </c>
      <c r="V1459" s="63">
        <v>39</v>
      </c>
      <c r="W1459" s="63">
        <v>40</v>
      </c>
      <c r="X1459" s="63">
        <v>41</v>
      </c>
      <c r="Y1459" s="63">
        <v>37</v>
      </c>
      <c r="Z1459" s="63">
        <v>34</v>
      </c>
      <c r="AA1459" s="63">
        <v>33</v>
      </c>
      <c r="AB1459" s="63">
        <v>32</v>
      </c>
    </row>
    <row r="1460" spans="1:28" x14ac:dyDescent="0.2">
      <c r="A1460" s="62">
        <v>121</v>
      </c>
      <c r="B1460" s="62" t="s">
        <v>404</v>
      </c>
      <c r="C1460" s="62">
        <v>10</v>
      </c>
      <c r="D1460" s="62" t="s">
        <v>317</v>
      </c>
      <c r="E1460" s="63">
        <v>1569</v>
      </c>
      <c r="F1460" s="63">
        <v>1520</v>
      </c>
      <c r="G1460" s="63">
        <v>1496</v>
      </c>
      <c r="H1460" s="63">
        <v>1484</v>
      </c>
      <c r="I1460" s="63">
        <v>1501</v>
      </c>
      <c r="J1460" s="63">
        <v>1497</v>
      </c>
      <c r="K1460" s="63">
        <v>1540</v>
      </c>
      <c r="L1460" s="63">
        <v>1496</v>
      </c>
      <c r="M1460" s="63">
        <v>1462</v>
      </c>
      <c r="N1460" s="63">
        <v>1470</v>
      </c>
      <c r="O1460" s="63">
        <v>1486</v>
      </c>
      <c r="P1460" s="63">
        <v>1526</v>
      </c>
      <c r="Q1460" s="63">
        <v>1551</v>
      </c>
      <c r="R1460" s="63">
        <v>1567</v>
      </c>
      <c r="S1460" s="63">
        <v>1610</v>
      </c>
      <c r="T1460" s="63">
        <v>1591</v>
      </c>
      <c r="U1460" s="63">
        <v>1610</v>
      </c>
      <c r="V1460" s="63">
        <v>1629</v>
      </c>
      <c r="W1460" s="63">
        <v>1593</v>
      </c>
      <c r="X1460" s="63">
        <v>1781</v>
      </c>
      <c r="Y1460" s="63">
        <v>1754</v>
      </c>
      <c r="Z1460" s="63">
        <v>1605</v>
      </c>
      <c r="AA1460" s="63">
        <v>1567</v>
      </c>
      <c r="AB1460" s="63">
        <v>1552</v>
      </c>
    </row>
    <row r="1461" spans="1:28" x14ac:dyDescent="0.2">
      <c r="A1461" s="62">
        <v>121</v>
      </c>
      <c r="B1461" s="62" t="s">
        <v>404</v>
      </c>
      <c r="C1461" s="62">
        <v>11</v>
      </c>
      <c r="D1461" s="62" t="s">
        <v>318</v>
      </c>
      <c r="E1461" s="63">
        <v>50</v>
      </c>
      <c r="F1461" s="63">
        <v>50</v>
      </c>
      <c r="G1461" s="63">
        <v>45</v>
      </c>
      <c r="H1461" s="63">
        <v>42</v>
      </c>
      <c r="I1461" s="63">
        <v>36</v>
      </c>
      <c r="J1461" s="63">
        <v>36</v>
      </c>
      <c r="K1461" s="63">
        <v>77</v>
      </c>
      <c r="L1461" s="63">
        <v>98</v>
      </c>
      <c r="M1461" s="63">
        <v>91</v>
      </c>
      <c r="N1461" s="63">
        <v>92</v>
      </c>
      <c r="O1461" s="63">
        <v>97</v>
      </c>
      <c r="P1461" s="63">
        <v>104</v>
      </c>
      <c r="Q1461" s="63">
        <v>139</v>
      </c>
      <c r="R1461" s="63">
        <v>129</v>
      </c>
      <c r="S1461" s="63">
        <v>142</v>
      </c>
      <c r="T1461" s="63">
        <v>133</v>
      </c>
      <c r="U1461" s="63">
        <v>157</v>
      </c>
      <c r="V1461" s="63">
        <v>155</v>
      </c>
      <c r="W1461" s="63">
        <v>153</v>
      </c>
      <c r="X1461" s="63">
        <v>165</v>
      </c>
      <c r="Y1461" s="63">
        <v>158</v>
      </c>
      <c r="Z1461" s="63">
        <v>151</v>
      </c>
      <c r="AA1461" s="63">
        <v>156</v>
      </c>
      <c r="AB1461" s="63">
        <v>147</v>
      </c>
    </row>
    <row r="1462" spans="1:28" x14ac:dyDescent="0.2">
      <c r="A1462" s="62">
        <v>121</v>
      </c>
      <c r="B1462" s="62" t="s">
        <v>404</v>
      </c>
      <c r="C1462" s="62">
        <v>2</v>
      </c>
      <c r="D1462" s="64" t="s">
        <v>319</v>
      </c>
      <c r="E1462" s="65"/>
      <c r="F1462" s="62"/>
      <c r="G1462" s="63">
        <v>5</v>
      </c>
      <c r="H1462" s="63">
        <v>6</v>
      </c>
      <c r="I1462" s="63">
        <v>6</v>
      </c>
      <c r="J1462" s="63">
        <v>7</v>
      </c>
      <c r="K1462" s="63">
        <v>10</v>
      </c>
      <c r="L1462" s="63">
        <v>10</v>
      </c>
      <c r="M1462" s="63">
        <v>11</v>
      </c>
      <c r="N1462" s="63">
        <v>15</v>
      </c>
      <c r="O1462" s="63">
        <v>19</v>
      </c>
      <c r="P1462" s="63">
        <v>19</v>
      </c>
      <c r="Q1462" s="63">
        <v>15</v>
      </c>
      <c r="R1462" s="63">
        <v>14</v>
      </c>
      <c r="S1462" s="63">
        <v>12</v>
      </c>
      <c r="T1462" s="63">
        <v>11</v>
      </c>
      <c r="U1462" s="63">
        <v>10</v>
      </c>
      <c r="V1462" s="63">
        <v>11</v>
      </c>
      <c r="W1462" s="62"/>
      <c r="X1462" s="63">
        <v>10</v>
      </c>
      <c r="Y1462" s="63">
        <v>10</v>
      </c>
      <c r="Z1462" s="63">
        <v>8</v>
      </c>
      <c r="AA1462" s="63">
        <v>9</v>
      </c>
      <c r="AB1462" s="63">
        <v>9</v>
      </c>
    </row>
    <row r="1463" spans="1:28" x14ac:dyDescent="0.2">
      <c r="A1463" s="62">
        <v>121</v>
      </c>
      <c r="B1463" s="62" t="s">
        <v>404</v>
      </c>
      <c r="C1463" s="62">
        <v>21</v>
      </c>
      <c r="D1463" s="64" t="s">
        <v>320</v>
      </c>
      <c r="E1463" s="65"/>
      <c r="F1463" s="63">
        <v>19</v>
      </c>
      <c r="G1463" s="63">
        <v>17</v>
      </c>
      <c r="H1463" s="63">
        <v>17</v>
      </c>
      <c r="I1463" s="63">
        <v>17</v>
      </c>
      <c r="J1463" s="63">
        <v>17</v>
      </c>
      <c r="K1463" s="63">
        <v>17</v>
      </c>
      <c r="L1463" s="63">
        <v>18</v>
      </c>
      <c r="M1463" s="63">
        <v>19</v>
      </c>
      <c r="N1463" s="63">
        <v>28</v>
      </c>
      <c r="O1463" s="63">
        <v>33</v>
      </c>
      <c r="P1463" s="63">
        <v>40</v>
      </c>
      <c r="Q1463" s="63">
        <v>44</v>
      </c>
      <c r="R1463" s="63">
        <v>57</v>
      </c>
      <c r="S1463" s="62"/>
      <c r="T1463" s="63">
        <v>53</v>
      </c>
      <c r="U1463" s="63">
        <v>60</v>
      </c>
      <c r="V1463" s="62"/>
      <c r="W1463" s="62"/>
      <c r="X1463" s="63">
        <v>274</v>
      </c>
      <c r="Y1463" s="62"/>
      <c r="Z1463" s="62"/>
      <c r="AA1463" s="63">
        <v>2</v>
      </c>
      <c r="AB1463" s="63">
        <v>2</v>
      </c>
    </row>
    <row r="1464" spans="1:28" x14ac:dyDescent="0.2">
      <c r="A1464" s="62">
        <v>121</v>
      </c>
      <c r="B1464" s="62" t="s">
        <v>404</v>
      </c>
      <c r="C1464" s="62">
        <v>22</v>
      </c>
      <c r="D1464" s="62" t="s">
        <v>321</v>
      </c>
      <c r="E1464" s="62"/>
      <c r="F1464" s="62"/>
      <c r="G1464" s="62"/>
      <c r="H1464" s="62"/>
      <c r="I1464" s="62"/>
      <c r="J1464" s="62"/>
      <c r="K1464" s="62"/>
      <c r="L1464" s="62"/>
      <c r="M1464" s="62"/>
      <c r="N1464" s="62"/>
      <c r="O1464" s="62"/>
      <c r="P1464" s="62"/>
      <c r="Q1464" s="62"/>
      <c r="R1464" s="62"/>
      <c r="S1464" s="62"/>
      <c r="T1464" s="62"/>
      <c r="U1464" s="62"/>
      <c r="V1464" s="62"/>
      <c r="W1464" s="62"/>
      <c r="X1464" s="62"/>
      <c r="Y1464" s="62"/>
      <c r="Z1464" s="62"/>
      <c r="AA1464" s="62"/>
      <c r="AB1464" s="62"/>
    </row>
    <row r="1465" spans="1:28" x14ac:dyDescent="0.2">
      <c r="A1465" s="62">
        <v>121</v>
      </c>
      <c r="B1465" s="62" t="s">
        <v>404</v>
      </c>
      <c r="C1465" s="62">
        <v>23</v>
      </c>
      <c r="D1465" s="62" t="s">
        <v>322</v>
      </c>
      <c r="E1465" s="63">
        <v>104</v>
      </c>
      <c r="F1465" s="63">
        <v>92</v>
      </c>
      <c r="G1465" s="63">
        <v>90</v>
      </c>
      <c r="H1465" s="63">
        <v>82</v>
      </c>
      <c r="I1465" s="63">
        <v>85</v>
      </c>
      <c r="J1465" s="63">
        <v>85</v>
      </c>
      <c r="K1465" s="63">
        <v>76</v>
      </c>
      <c r="L1465" s="63">
        <v>76</v>
      </c>
      <c r="M1465" s="63">
        <v>73</v>
      </c>
      <c r="N1465" s="63">
        <v>78</v>
      </c>
      <c r="O1465" s="63">
        <v>70</v>
      </c>
      <c r="P1465" s="63">
        <v>72</v>
      </c>
      <c r="Q1465" s="63">
        <v>66</v>
      </c>
      <c r="R1465" s="63">
        <v>68</v>
      </c>
      <c r="S1465" s="63">
        <v>64</v>
      </c>
      <c r="T1465" s="63">
        <v>75</v>
      </c>
      <c r="U1465" s="63">
        <v>80</v>
      </c>
      <c r="V1465" s="63">
        <v>89</v>
      </c>
      <c r="W1465" s="63">
        <v>78</v>
      </c>
      <c r="X1465" s="63">
        <v>73</v>
      </c>
      <c r="Y1465" s="63">
        <v>72</v>
      </c>
      <c r="Z1465" s="63">
        <v>65</v>
      </c>
      <c r="AA1465" s="63">
        <v>64</v>
      </c>
      <c r="AB1465" s="63">
        <v>77</v>
      </c>
    </row>
    <row r="1466" spans="1:28" x14ac:dyDescent="0.2">
      <c r="A1466" s="62">
        <v>121</v>
      </c>
      <c r="B1466" s="62" t="s">
        <v>404</v>
      </c>
      <c r="C1466" s="62">
        <v>3</v>
      </c>
      <c r="D1466" s="62" t="s">
        <v>323</v>
      </c>
      <c r="E1466" s="63">
        <v>433</v>
      </c>
      <c r="F1466" s="63">
        <v>446</v>
      </c>
      <c r="G1466" s="63">
        <v>449</v>
      </c>
      <c r="H1466" s="63">
        <v>444</v>
      </c>
      <c r="I1466" s="63">
        <v>452</v>
      </c>
      <c r="J1466" s="63">
        <v>453</v>
      </c>
      <c r="K1466" s="63">
        <v>445</v>
      </c>
      <c r="L1466" s="63">
        <v>433</v>
      </c>
      <c r="M1466" s="63">
        <v>438</v>
      </c>
      <c r="N1466" s="63">
        <v>440</v>
      </c>
      <c r="O1466" s="63">
        <v>434</v>
      </c>
      <c r="P1466" s="63">
        <v>433</v>
      </c>
      <c r="Q1466" s="63">
        <v>427</v>
      </c>
      <c r="R1466" s="63">
        <v>426</v>
      </c>
      <c r="S1466" s="63">
        <v>431</v>
      </c>
      <c r="T1466" s="63">
        <v>432</v>
      </c>
      <c r="U1466" s="63">
        <v>440</v>
      </c>
      <c r="V1466" s="63">
        <v>447</v>
      </c>
      <c r="W1466" s="63">
        <v>442</v>
      </c>
      <c r="X1466" s="63">
        <v>422</v>
      </c>
      <c r="Y1466" s="63">
        <v>431</v>
      </c>
      <c r="Z1466" s="63">
        <v>441</v>
      </c>
      <c r="AA1466" s="63">
        <v>450</v>
      </c>
      <c r="AB1466" s="63">
        <v>463</v>
      </c>
    </row>
    <row r="1467" spans="1:28" x14ac:dyDescent="0.2">
      <c r="A1467" s="62">
        <v>121</v>
      </c>
      <c r="B1467" s="62" t="s">
        <v>404</v>
      </c>
      <c r="C1467" s="62" t="s">
        <v>324</v>
      </c>
      <c r="D1467" s="62" t="s">
        <v>325</v>
      </c>
      <c r="E1467" s="63">
        <v>73</v>
      </c>
      <c r="F1467" s="62"/>
      <c r="G1467" s="63">
        <v>51</v>
      </c>
      <c r="H1467" s="63">
        <v>41</v>
      </c>
      <c r="I1467" s="62"/>
      <c r="J1467" s="63">
        <v>45</v>
      </c>
      <c r="K1467" s="62"/>
      <c r="L1467" s="63">
        <v>34</v>
      </c>
      <c r="M1467" s="62"/>
      <c r="N1467" s="62"/>
      <c r="O1467" s="63">
        <v>28</v>
      </c>
      <c r="P1467" s="63">
        <v>34</v>
      </c>
      <c r="Q1467" s="63">
        <v>27</v>
      </c>
      <c r="R1467" s="63">
        <v>37</v>
      </c>
      <c r="S1467" s="63">
        <v>36</v>
      </c>
      <c r="T1467" s="63">
        <v>39</v>
      </c>
      <c r="U1467" s="63">
        <v>38</v>
      </c>
      <c r="V1467" s="63">
        <v>66</v>
      </c>
      <c r="W1467" s="62"/>
      <c r="X1467" s="62"/>
      <c r="Y1467" s="62"/>
      <c r="Z1467" s="63">
        <v>70</v>
      </c>
      <c r="AA1467" s="62"/>
      <c r="AB1467" s="63">
        <v>97</v>
      </c>
    </row>
    <row r="1468" spans="1:28" x14ac:dyDescent="0.2">
      <c r="A1468" s="62">
        <v>121</v>
      </c>
      <c r="B1468" s="62" t="s">
        <v>404</v>
      </c>
      <c r="C1468" s="62">
        <v>42</v>
      </c>
      <c r="D1468" s="62" t="s">
        <v>326</v>
      </c>
      <c r="E1468" s="63">
        <v>162</v>
      </c>
      <c r="F1468" s="63">
        <v>147</v>
      </c>
      <c r="G1468" s="63">
        <v>137</v>
      </c>
      <c r="H1468" s="63">
        <v>128</v>
      </c>
      <c r="I1468" s="63">
        <v>126</v>
      </c>
      <c r="J1468" s="63">
        <v>124</v>
      </c>
      <c r="K1468" s="63">
        <v>121</v>
      </c>
      <c r="L1468" s="63">
        <v>98</v>
      </c>
      <c r="M1468" s="63">
        <v>92</v>
      </c>
      <c r="N1468" s="63">
        <v>94</v>
      </c>
      <c r="O1468" s="63">
        <v>103</v>
      </c>
      <c r="P1468" s="63">
        <v>101</v>
      </c>
      <c r="Q1468" s="63">
        <v>106</v>
      </c>
      <c r="R1468" s="63">
        <v>97</v>
      </c>
      <c r="S1468" s="63">
        <v>94</v>
      </c>
      <c r="T1468" s="63">
        <v>88</v>
      </c>
      <c r="U1468" s="63">
        <v>88</v>
      </c>
      <c r="V1468" s="63">
        <v>51</v>
      </c>
      <c r="W1468" s="63">
        <v>49</v>
      </c>
      <c r="X1468" s="63">
        <v>49</v>
      </c>
      <c r="Y1468" s="63">
        <v>46</v>
      </c>
      <c r="Z1468" s="63">
        <v>50</v>
      </c>
      <c r="AA1468" s="63">
        <v>58</v>
      </c>
      <c r="AB1468" s="63">
        <v>33</v>
      </c>
    </row>
    <row r="1469" spans="1:28" x14ac:dyDescent="0.2">
      <c r="A1469" s="62">
        <v>121</v>
      </c>
      <c r="B1469" s="62" t="s">
        <v>404</v>
      </c>
      <c r="C1469" s="62" t="s">
        <v>327</v>
      </c>
      <c r="D1469" s="62" t="s">
        <v>328</v>
      </c>
      <c r="E1469" s="63">
        <v>185</v>
      </c>
      <c r="F1469" s="63">
        <v>178</v>
      </c>
      <c r="G1469" s="63">
        <v>192</v>
      </c>
      <c r="H1469" s="63">
        <v>181</v>
      </c>
      <c r="I1469" s="63">
        <v>176</v>
      </c>
      <c r="J1469" s="63">
        <v>151</v>
      </c>
      <c r="K1469" s="63">
        <v>150</v>
      </c>
      <c r="L1469" s="63">
        <v>151</v>
      </c>
      <c r="M1469" s="63">
        <v>148</v>
      </c>
      <c r="N1469" s="63">
        <v>144</v>
      </c>
      <c r="O1469" s="63">
        <v>145</v>
      </c>
      <c r="P1469" s="63">
        <v>156</v>
      </c>
      <c r="Q1469" s="63">
        <v>144</v>
      </c>
      <c r="R1469" s="63">
        <v>134</v>
      </c>
      <c r="S1469" s="63">
        <v>162</v>
      </c>
      <c r="T1469" s="63">
        <v>157</v>
      </c>
      <c r="U1469" s="63">
        <v>155</v>
      </c>
      <c r="V1469" s="63">
        <v>151</v>
      </c>
      <c r="W1469" s="63">
        <v>156</v>
      </c>
      <c r="X1469" s="63">
        <v>161</v>
      </c>
      <c r="Y1469" s="63">
        <v>163</v>
      </c>
      <c r="Z1469" s="63">
        <v>155</v>
      </c>
      <c r="AA1469" s="63">
        <v>167</v>
      </c>
      <c r="AB1469" s="63">
        <v>184</v>
      </c>
    </row>
    <row r="1470" spans="1:28" x14ac:dyDescent="0.2">
      <c r="A1470" s="62">
        <v>121</v>
      </c>
      <c r="B1470" s="62" t="s">
        <v>404</v>
      </c>
      <c r="C1470" s="62" t="s">
        <v>329</v>
      </c>
      <c r="D1470" s="62" t="s">
        <v>330</v>
      </c>
      <c r="E1470" s="63">
        <v>14</v>
      </c>
      <c r="F1470" s="63">
        <v>40</v>
      </c>
      <c r="G1470" s="63">
        <v>43</v>
      </c>
      <c r="H1470" s="63">
        <v>53</v>
      </c>
      <c r="I1470" s="63">
        <v>54</v>
      </c>
      <c r="J1470" s="63">
        <v>63</v>
      </c>
      <c r="K1470" s="63">
        <v>67</v>
      </c>
      <c r="L1470" s="63">
        <v>56</v>
      </c>
      <c r="M1470" s="63">
        <v>60</v>
      </c>
      <c r="N1470" s="63">
        <v>70</v>
      </c>
      <c r="O1470" s="63">
        <v>72</v>
      </c>
      <c r="P1470" s="63">
        <v>86</v>
      </c>
      <c r="Q1470" s="63">
        <v>89</v>
      </c>
      <c r="R1470" s="63">
        <v>89</v>
      </c>
      <c r="S1470" s="63">
        <v>96</v>
      </c>
      <c r="T1470" s="63">
        <v>94</v>
      </c>
      <c r="U1470" s="63">
        <v>88</v>
      </c>
      <c r="V1470" s="63">
        <v>96</v>
      </c>
      <c r="W1470" s="63">
        <v>94</v>
      </c>
      <c r="X1470" s="63">
        <v>96</v>
      </c>
      <c r="Y1470" s="63">
        <v>92</v>
      </c>
      <c r="Z1470" s="63">
        <v>94</v>
      </c>
      <c r="AA1470" s="63">
        <v>82</v>
      </c>
      <c r="AB1470" s="63">
        <v>66</v>
      </c>
    </row>
    <row r="1471" spans="1:28" x14ac:dyDescent="0.2">
      <c r="A1471" s="62">
        <v>121</v>
      </c>
      <c r="B1471" s="62" t="s">
        <v>404</v>
      </c>
      <c r="C1471" s="62">
        <v>51</v>
      </c>
      <c r="D1471" s="62" t="s">
        <v>331</v>
      </c>
      <c r="E1471" s="62"/>
      <c r="F1471" s="62"/>
      <c r="G1471" s="62"/>
      <c r="H1471" s="62"/>
      <c r="I1471" s="63">
        <v>17</v>
      </c>
      <c r="J1471" s="63">
        <v>15</v>
      </c>
      <c r="K1471" s="63">
        <v>16</v>
      </c>
      <c r="L1471" s="63">
        <v>15</v>
      </c>
      <c r="M1471" s="63">
        <v>8</v>
      </c>
      <c r="N1471" s="63">
        <v>12</v>
      </c>
      <c r="O1471" s="63">
        <v>13</v>
      </c>
      <c r="P1471" s="63">
        <v>13</v>
      </c>
      <c r="Q1471" s="63">
        <v>12</v>
      </c>
      <c r="R1471" s="63">
        <v>15</v>
      </c>
      <c r="S1471" s="63">
        <v>13</v>
      </c>
      <c r="T1471" s="63">
        <v>7</v>
      </c>
      <c r="U1471" s="62"/>
      <c r="V1471" s="63">
        <v>14</v>
      </c>
      <c r="W1471" s="63">
        <v>15</v>
      </c>
      <c r="X1471" s="63">
        <v>13</v>
      </c>
      <c r="Y1471" s="63">
        <v>13</v>
      </c>
      <c r="Z1471" s="63">
        <v>14</v>
      </c>
      <c r="AA1471" s="63">
        <v>8</v>
      </c>
      <c r="AB1471" s="63">
        <v>9</v>
      </c>
    </row>
    <row r="1472" spans="1:28" x14ac:dyDescent="0.2">
      <c r="A1472" s="62">
        <v>121</v>
      </c>
      <c r="B1472" s="62" t="s">
        <v>404</v>
      </c>
      <c r="C1472" s="62">
        <v>52</v>
      </c>
      <c r="D1472" s="62" t="s">
        <v>332</v>
      </c>
      <c r="E1472" s="63">
        <v>57</v>
      </c>
      <c r="F1472" s="63">
        <v>57</v>
      </c>
      <c r="G1472" s="63">
        <v>67</v>
      </c>
      <c r="H1472" s="63">
        <v>63</v>
      </c>
      <c r="I1472" s="63">
        <v>64</v>
      </c>
      <c r="J1472" s="63">
        <v>61</v>
      </c>
      <c r="K1472" s="63">
        <v>63</v>
      </c>
      <c r="L1472" s="63">
        <v>68</v>
      </c>
      <c r="M1472" s="63">
        <v>69</v>
      </c>
      <c r="N1472" s="63">
        <v>66</v>
      </c>
      <c r="O1472" s="63">
        <v>65</v>
      </c>
      <c r="P1472" s="63">
        <v>61</v>
      </c>
      <c r="Q1472" s="63">
        <v>64</v>
      </c>
      <c r="R1472" s="63">
        <v>63</v>
      </c>
      <c r="S1472" s="63">
        <v>62</v>
      </c>
      <c r="T1472" s="63">
        <v>52</v>
      </c>
      <c r="U1472" s="63">
        <v>47</v>
      </c>
      <c r="V1472" s="63">
        <v>49</v>
      </c>
      <c r="W1472" s="63">
        <v>49</v>
      </c>
      <c r="X1472" s="63">
        <v>52</v>
      </c>
      <c r="Y1472" s="63">
        <v>54</v>
      </c>
      <c r="Z1472" s="63">
        <v>52</v>
      </c>
      <c r="AA1472" s="63">
        <v>52</v>
      </c>
      <c r="AB1472" s="63">
        <v>52</v>
      </c>
    </row>
    <row r="1473" spans="1:28" x14ac:dyDescent="0.2">
      <c r="A1473" s="62">
        <v>121</v>
      </c>
      <c r="B1473" s="62" t="s">
        <v>404</v>
      </c>
      <c r="C1473" s="62">
        <v>53</v>
      </c>
      <c r="D1473" s="62" t="s">
        <v>333</v>
      </c>
      <c r="E1473" s="63">
        <v>26</v>
      </c>
      <c r="F1473" s="63">
        <v>24</v>
      </c>
      <c r="G1473" s="63">
        <v>22</v>
      </c>
      <c r="H1473" s="63">
        <v>25</v>
      </c>
      <c r="I1473" s="63">
        <v>24</v>
      </c>
      <c r="J1473" s="63">
        <v>25</v>
      </c>
      <c r="K1473" s="63">
        <v>24</v>
      </c>
      <c r="L1473" s="63">
        <v>21</v>
      </c>
      <c r="M1473" s="63">
        <v>24</v>
      </c>
      <c r="N1473" s="63">
        <v>21</v>
      </c>
      <c r="O1473" s="63">
        <v>19</v>
      </c>
      <c r="P1473" s="63">
        <v>25</v>
      </c>
      <c r="Q1473" s="63">
        <v>26</v>
      </c>
      <c r="R1473" s="63">
        <v>26</v>
      </c>
      <c r="S1473" s="63">
        <v>28</v>
      </c>
      <c r="T1473" s="63">
        <v>33</v>
      </c>
      <c r="U1473" s="63">
        <v>32</v>
      </c>
      <c r="V1473" s="63">
        <v>31</v>
      </c>
      <c r="W1473" s="63">
        <v>34</v>
      </c>
      <c r="X1473" s="63">
        <v>38</v>
      </c>
      <c r="Y1473" s="63">
        <v>50</v>
      </c>
      <c r="Z1473" s="63">
        <v>46</v>
      </c>
      <c r="AA1473" s="63">
        <v>45</v>
      </c>
      <c r="AB1473" s="63">
        <v>36</v>
      </c>
    </row>
    <row r="1474" spans="1:28" x14ac:dyDescent="0.2">
      <c r="A1474" s="62">
        <v>121</v>
      </c>
      <c r="B1474" s="62" t="s">
        <v>404</v>
      </c>
      <c r="C1474" s="62">
        <v>54</v>
      </c>
      <c r="D1474" s="62" t="s">
        <v>334</v>
      </c>
      <c r="E1474" s="63">
        <v>37</v>
      </c>
      <c r="F1474" s="63">
        <v>43</v>
      </c>
      <c r="G1474" s="63">
        <v>30</v>
      </c>
      <c r="H1474" s="63">
        <v>30</v>
      </c>
      <c r="I1474" s="63">
        <v>32</v>
      </c>
      <c r="J1474" s="63">
        <v>41</v>
      </c>
      <c r="K1474" s="63">
        <v>37</v>
      </c>
      <c r="L1474" s="63">
        <v>43</v>
      </c>
      <c r="M1474" s="63">
        <v>48</v>
      </c>
      <c r="N1474" s="63">
        <v>46</v>
      </c>
      <c r="O1474" s="63">
        <v>46</v>
      </c>
      <c r="P1474" s="63">
        <v>44</v>
      </c>
      <c r="Q1474" s="63">
        <v>48</v>
      </c>
      <c r="R1474" s="63">
        <v>42</v>
      </c>
      <c r="S1474" s="63">
        <v>39</v>
      </c>
      <c r="T1474" s="63">
        <v>52</v>
      </c>
      <c r="U1474" s="63">
        <v>56</v>
      </c>
      <c r="V1474" s="63">
        <v>59</v>
      </c>
      <c r="W1474" s="63">
        <v>51</v>
      </c>
      <c r="X1474" s="63">
        <v>52</v>
      </c>
      <c r="Y1474" s="63">
        <v>55</v>
      </c>
      <c r="Z1474" s="63">
        <v>57</v>
      </c>
      <c r="AA1474" s="63">
        <v>46</v>
      </c>
      <c r="AB1474" s="63">
        <v>40</v>
      </c>
    </row>
    <row r="1475" spans="1:28" x14ac:dyDescent="0.2">
      <c r="A1475" s="62">
        <v>121</v>
      </c>
      <c r="B1475" s="62" t="s">
        <v>404</v>
      </c>
      <c r="C1475" s="62">
        <v>55</v>
      </c>
      <c r="D1475" s="62" t="s">
        <v>335</v>
      </c>
      <c r="E1475" s="63">
        <v>0</v>
      </c>
      <c r="F1475" s="63">
        <v>0</v>
      </c>
      <c r="G1475" s="62"/>
      <c r="H1475" s="62"/>
      <c r="I1475" s="62"/>
      <c r="J1475" s="62"/>
      <c r="K1475" s="62"/>
      <c r="L1475" s="62"/>
      <c r="M1475" s="62"/>
      <c r="N1475" s="62"/>
      <c r="O1475" s="62"/>
      <c r="P1475" s="62"/>
      <c r="Q1475" s="62"/>
      <c r="R1475" s="62"/>
      <c r="S1475" s="62"/>
      <c r="T1475" s="62"/>
      <c r="U1475" s="62"/>
      <c r="V1475" s="62"/>
      <c r="W1475" s="63">
        <v>0</v>
      </c>
      <c r="X1475" s="63">
        <v>0</v>
      </c>
      <c r="Y1475" s="62"/>
      <c r="Z1475" s="62"/>
      <c r="AA1475" s="62"/>
      <c r="AB1475" s="62"/>
    </row>
    <row r="1476" spans="1:28" x14ac:dyDescent="0.2">
      <c r="A1476" s="62">
        <v>121</v>
      </c>
      <c r="B1476" s="62" t="s">
        <v>404</v>
      </c>
      <c r="C1476" s="62">
        <v>56</v>
      </c>
      <c r="D1476" s="62" t="s">
        <v>336</v>
      </c>
      <c r="E1476" s="63">
        <v>23</v>
      </c>
      <c r="F1476" s="63">
        <v>27</v>
      </c>
      <c r="G1476" s="63">
        <v>23</v>
      </c>
      <c r="H1476" s="63">
        <v>29</v>
      </c>
      <c r="I1476" s="63">
        <v>49</v>
      </c>
      <c r="J1476" s="63">
        <v>47</v>
      </c>
      <c r="K1476" s="63">
        <v>51</v>
      </c>
      <c r="L1476" s="63">
        <v>56</v>
      </c>
      <c r="M1476" s="63">
        <v>52</v>
      </c>
      <c r="N1476" s="63">
        <v>42</v>
      </c>
      <c r="O1476" s="63">
        <v>51</v>
      </c>
      <c r="P1476" s="63">
        <v>46</v>
      </c>
      <c r="Q1476" s="63">
        <v>52</v>
      </c>
      <c r="R1476" s="63">
        <v>50</v>
      </c>
      <c r="S1476" s="63">
        <v>58</v>
      </c>
      <c r="T1476" s="63">
        <v>57</v>
      </c>
      <c r="U1476" s="63">
        <v>57</v>
      </c>
      <c r="V1476" s="63">
        <v>62</v>
      </c>
      <c r="W1476" s="63">
        <v>48</v>
      </c>
      <c r="X1476" s="63">
        <v>43</v>
      </c>
      <c r="Y1476" s="63">
        <v>43</v>
      </c>
      <c r="Z1476" s="63">
        <v>47</v>
      </c>
      <c r="AA1476" s="63">
        <v>87</v>
      </c>
      <c r="AB1476" s="63">
        <v>73</v>
      </c>
    </row>
    <row r="1477" spans="1:28" x14ac:dyDescent="0.2">
      <c r="A1477" s="62">
        <v>121</v>
      </c>
      <c r="B1477" s="62" t="s">
        <v>404</v>
      </c>
      <c r="C1477" s="62">
        <v>61</v>
      </c>
      <c r="D1477" s="62" t="s">
        <v>337</v>
      </c>
      <c r="E1477" s="63">
        <v>0</v>
      </c>
      <c r="F1477" s="63">
        <v>0</v>
      </c>
      <c r="G1477" s="62"/>
      <c r="H1477" s="62"/>
      <c r="I1477" s="63">
        <v>5</v>
      </c>
      <c r="J1477" s="62"/>
      <c r="K1477" s="62"/>
      <c r="L1477" s="62"/>
      <c r="M1477" s="63">
        <v>6</v>
      </c>
      <c r="N1477" s="62"/>
      <c r="O1477" s="63">
        <v>5</v>
      </c>
      <c r="P1477" s="62"/>
      <c r="Q1477" s="62"/>
      <c r="R1477" s="63">
        <v>5</v>
      </c>
      <c r="S1477" s="63">
        <v>10</v>
      </c>
      <c r="T1477" s="63">
        <v>11</v>
      </c>
      <c r="U1477" s="63">
        <v>11</v>
      </c>
      <c r="V1477" s="63">
        <v>10</v>
      </c>
      <c r="W1477" s="63">
        <v>10</v>
      </c>
      <c r="X1477" s="63">
        <v>9</v>
      </c>
      <c r="Y1477" s="63">
        <v>8</v>
      </c>
      <c r="Z1477" s="63">
        <v>8</v>
      </c>
      <c r="AA1477" s="63">
        <v>8</v>
      </c>
      <c r="AB1477" s="63">
        <v>8</v>
      </c>
    </row>
    <row r="1478" spans="1:28" x14ac:dyDescent="0.2">
      <c r="A1478" s="62">
        <v>121</v>
      </c>
      <c r="B1478" s="62" t="s">
        <v>404</v>
      </c>
      <c r="C1478" s="62">
        <v>62</v>
      </c>
      <c r="D1478" s="62" t="s">
        <v>338</v>
      </c>
      <c r="E1478" s="63">
        <v>52</v>
      </c>
      <c r="F1478" s="63">
        <v>52</v>
      </c>
      <c r="G1478" s="63">
        <v>46</v>
      </c>
      <c r="H1478" s="63">
        <v>47</v>
      </c>
      <c r="I1478" s="63">
        <v>52</v>
      </c>
      <c r="J1478" s="63">
        <v>50</v>
      </c>
      <c r="K1478" s="63">
        <v>62</v>
      </c>
      <c r="L1478" s="63">
        <v>62</v>
      </c>
      <c r="M1478" s="63">
        <v>59</v>
      </c>
      <c r="N1478" s="63">
        <v>57</v>
      </c>
      <c r="O1478" s="63">
        <v>61</v>
      </c>
      <c r="P1478" s="63">
        <v>51</v>
      </c>
      <c r="Q1478" s="63">
        <v>53</v>
      </c>
      <c r="R1478" s="63">
        <v>65</v>
      </c>
      <c r="S1478" s="63">
        <v>70</v>
      </c>
      <c r="T1478" s="63">
        <v>60</v>
      </c>
      <c r="U1478" s="63">
        <v>56</v>
      </c>
      <c r="V1478" s="63">
        <v>54</v>
      </c>
      <c r="W1478" s="63">
        <v>52</v>
      </c>
      <c r="X1478" s="63">
        <v>59</v>
      </c>
      <c r="Y1478" s="63">
        <v>62</v>
      </c>
      <c r="Z1478" s="63">
        <v>63</v>
      </c>
      <c r="AA1478" s="63">
        <v>59</v>
      </c>
      <c r="AB1478" s="63">
        <v>66</v>
      </c>
    </row>
    <row r="1479" spans="1:28" x14ac:dyDescent="0.2">
      <c r="A1479" s="62">
        <v>121</v>
      </c>
      <c r="B1479" s="62" t="s">
        <v>404</v>
      </c>
      <c r="C1479" s="62">
        <v>71</v>
      </c>
      <c r="D1479" s="64" t="s">
        <v>339</v>
      </c>
      <c r="E1479" s="65"/>
      <c r="F1479" s="65"/>
      <c r="G1479" s="62"/>
      <c r="H1479" s="62"/>
      <c r="I1479" s="63">
        <v>6</v>
      </c>
      <c r="J1479" s="63">
        <v>6</v>
      </c>
      <c r="K1479" s="63">
        <v>14</v>
      </c>
      <c r="L1479" s="63">
        <v>14</v>
      </c>
      <c r="M1479" s="63">
        <v>15</v>
      </c>
      <c r="N1479" s="63">
        <v>13</v>
      </c>
      <c r="O1479" s="62"/>
      <c r="P1479" s="62"/>
      <c r="Q1479" s="63">
        <v>9</v>
      </c>
      <c r="R1479" s="63">
        <v>13</v>
      </c>
      <c r="S1479" s="63">
        <v>8</v>
      </c>
      <c r="T1479" s="62"/>
      <c r="U1479" s="63">
        <v>13</v>
      </c>
      <c r="V1479" s="63">
        <v>16</v>
      </c>
      <c r="W1479" s="63">
        <v>15</v>
      </c>
      <c r="X1479" s="63">
        <v>8</v>
      </c>
      <c r="Y1479" s="63">
        <v>16</v>
      </c>
      <c r="Z1479" s="63">
        <v>16</v>
      </c>
      <c r="AA1479" s="63">
        <v>11</v>
      </c>
      <c r="AB1479" s="62"/>
    </row>
    <row r="1480" spans="1:28" x14ac:dyDescent="0.2">
      <c r="A1480" s="62">
        <v>121</v>
      </c>
      <c r="B1480" s="62" t="s">
        <v>404</v>
      </c>
      <c r="C1480" s="62">
        <v>72</v>
      </c>
      <c r="D1480" s="62" t="s">
        <v>340</v>
      </c>
      <c r="E1480" s="63">
        <v>52</v>
      </c>
      <c r="F1480" s="63">
        <v>31</v>
      </c>
      <c r="G1480" s="63">
        <v>34</v>
      </c>
      <c r="H1480" s="63">
        <v>44</v>
      </c>
      <c r="I1480" s="63">
        <v>54</v>
      </c>
      <c r="J1480" s="63">
        <v>60</v>
      </c>
      <c r="K1480" s="63">
        <v>73</v>
      </c>
      <c r="L1480" s="63">
        <v>50</v>
      </c>
      <c r="M1480" s="63">
        <v>28</v>
      </c>
      <c r="N1480" s="63">
        <v>27</v>
      </c>
      <c r="O1480" s="63">
        <v>27</v>
      </c>
      <c r="P1480" s="63">
        <v>31</v>
      </c>
      <c r="Q1480" s="63">
        <v>39</v>
      </c>
      <c r="R1480" s="63">
        <v>46</v>
      </c>
      <c r="S1480" s="63">
        <v>54</v>
      </c>
      <c r="T1480" s="63">
        <v>46</v>
      </c>
      <c r="U1480" s="63">
        <v>41</v>
      </c>
      <c r="V1480" s="63">
        <v>36</v>
      </c>
      <c r="W1480" s="63">
        <v>43</v>
      </c>
      <c r="X1480" s="63">
        <v>40</v>
      </c>
      <c r="Y1480" s="63">
        <v>50</v>
      </c>
      <c r="Z1480" s="63">
        <v>53</v>
      </c>
      <c r="AA1480" s="63">
        <v>48</v>
      </c>
      <c r="AB1480" s="63">
        <v>48</v>
      </c>
    </row>
    <row r="1481" spans="1:28" x14ac:dyDescent="0.2">
      <c r="A1481" s="62">
        <v>121</v>
      </c>
      <c r="B1481" s="62" t="s">
        <v>404</v>
      </c>
      <c r="C1481" s="62">
        <v>81</v>
      </c>
      <c r="D1481" s="62" t="s">
        <v>341</v>
      </c>
      <c r="E1481" s="63">
        <v>99</v>
      </c>
      <c r="F1481" s="63">
        <v>99</v>
      </c>
      <c r="G1481" s="63">
        <v>95</v>
      </c>
      <c r="H1481" s="63">
        <v>92</v>
      </c>
      <c r="I1481" s="63">
        <v>86</v>
      </c>
      <c r="J1481" s="63">
        <v>91</v>
      </c>
      <c r="K1481" s="63">
        <v>78</v>
      </c>
      <c r="L1481" s="63">
        <v>74</v>
      </c>
      <c r="M1481" s="63">
        <v>71</v>
      </c>
      <c r="N1481" s="63">
        <v>82</v>
      </c>
      <c r="O1481" s="63">
        <v>76</v>
      </c>
      <c r="P1481" s="63">
        <v>79</v>
      </c>
      <c r="Q1481" s="63">
        <v>75</v>
      </c>
      <c r="R1481" s="63">
        <v>78</v>
      </c>
      <c r="S1481" s="63">
        <v>66</v>
      </c>
      <c r="T1481" s="63">
        <v>70</v>
      </c>
      <c r="U1481" s="63">
        <v>73</v>
      </c>
      <c r="V1481" s="63">
        <v>55</v>
      </c>
      <c r="W1481" s="63">
        <v>52</v>
      </c>
      <c r="X1481" s="63">
        <v>52</v>
      </c>
      <c r="Y1481" s="63">
        <v>58</v>
      </c>
      <c r="Z1481" s="63">
        <v>58</v>
      </c>
      <c r="AA1481" s="63">
        <v>53</v>
      </c>
      <c r="AB1481" s="63">
        <v>55</v>
      </c>
    </row>
    <row r="1482" spans="1:28" x14ac:dyDescent="0.2">
      <c r="A1482" s="62">
        <v>121</v>
      </c>
      <c r="B1482" s="62" t="s">
        <v>404</v>
      </c>
      <c r="C1482" s="62">
        <v>99</v>
      </c>
      <c r="D1482" s="62" t="s">
        <v>342</v>
      </c>
      <c r="E1482" s="62"/>
      <c r="F1482" s="62"/>
      <c r="G1482" s="62"/>
      <c r="H1482" s="62"/>
      <c r="I1482" s="62"/>
      <c r="J1482" s="62"/>
      <c r="K1482" s="62"/>
      <c r="L1482" s="62"/>
      <c r="M1482" s="62"/>
      <c r="N1482" s="62"/>
      <c r="O1482" s="62"/>
      <c r="P1482" s="62"/>
      <c r="Q1482" s="62"/>
      <c r="R1482" s="62"/>
      <c r="S1482" s="62"/>
      <c r="T1482" s="62"/>
      <c r="U1482" s="62"/>
      <c r="V1482" s="63">
        <v>1</v>
      </c>
      <c r="W1482" s="63">
        <v>1</v>
      </c>
      <c r="X1482" s="63">
        <v>2</v>
      </c>
      <c r="Y1482" s="63">
        <v>2</v>
      </c>
      <c r="Z1482" s="63">
        <v>3</v>
      </c>
      <c r="AA1482" s="63">
        <v>4</v>
      </c>
      <c r="AB1482" s="63">
        <v>0</v>
      </c>
    </row>
    <row r="1483" spans="1:28" x14ac:dyDescent="0.2">
      <c r="A1483" s="62">
        <v>123</v>
      </c>
      <c r="B1483" s="62" t="s">
        <v>405</v>
      </c>
      <c r="C1483" s="62">
        <v>1</v>
      </c>
      <c r="D1483" s="62" t="s">
        <v>316</v>
      </c>
      <c r="E1483" s="63">
        <v>590</v>
      </c>
      <c r="F1483" s="63">
        <v>594</v>
      </c>
      <c r="G1483" s="63">
        <v>599</v>
      </c>
      <c r="H1483" s="63">
        <v>613</v>
      </c>
      <c r="I1483" s="63">
        <v>597</v>
      </c>
      <c r="J1483" s="63">
        <v>600</v>
      </c>
      <c r="K1483" s="63">
        <v>579</v>
      </c>
      <c r="L1483" s="63">
        <v>599</v>
      </c>
      <c r="M1483" s="63">
        <v>612</v>
      </c>
      <c r="N1483" s="63">
        <v>832</v>
      </c>
      <c r="O1483" s="63">
        <v>584</v>
      </c>
      <c r="P1483" s="63">
        <v>577</v>
      </c>
      <c r="Q1483" s="63">
        <v>577</v>
      </c>
      <c r="R1483" s="63">
        <v>588</v>
      </c>
      <c r="S1483" s="63">
        <v>592</v>
      </c>
      <c r="T1483" s="63">
        <v>627</v>
      </c>
      <c r="U1483" s="63">
        <v>657</v>
      </c>
      <c r="V1483" s="63">
        <v>616</v>
      </c>
      <c r="W1483" s="63">
        <v>593</v>
      </c>
      <c r="X1483" s="63">
        <v>643</v>
      </c>
      <c r="Y1483" s="63">
        <v>601</v>
      </c>
      <c r="Z1483" s="63">
        <v>590</v>
      </c>
      <c r="AA1483" s="63">
        <v>636</v>
      </c>
      <c r="AB1483" s="63">
        <v>690</v>
      </c>
    </row>
    <row r="1484" spans="1:28" x14ac:dyDescent="0.2">
      <c r="A1484" s="62">
        <v>123</v>
      </c>
      <c r="B1484" s="62" t="s">
        <v>405</v>
      </c>
      <c r="C1484" s="62">
        <v>10</v>
      </c>
      <c r="D1484" s="62" t="s">
        <v>317</v>
      </c>
      <c r="E1484" s="63">
        <v>84482</v>
      </c>
      <c r="F1484" s="63">
        <v>85630</v>
      </c>
      <c r="G1484" s="63">
        <v>86684</v>
      </c>
      <c r="H1484" s="63">
        <v>89937</v>
      </c>
      <c r="I1484" s="63">
        <v>92997</v>
      </c>
      <c r="J1484" s="63">
        <v>97652</v>
      </c>
      <c r="K1484" s="63">
        <v>100664</v>
      </c>
      <c r="L1484" s="63">
        <v>100900</v>
      </c>
      <c r="M1484" s="63">
        <v>97021</v>
      </c>
      <c r="N1484" s="63">
        <v>97044</v>
      </c>
      <c r="O1484" s="63">
        <v>100586</v>
      </c>
      <c r="P1484" s="63">
        <v>103888</v>
      </c>
      <c r="Q1484" s="63">
        <v>109426</v>
      </c>
      <c r="R1484" s="63">
        <v>118512</v>
      </c>
      <c r="S1484" s="63">
        <v>122425</v>
      </c>
      <c r="T1484" s="63">
        <v>122254</v>
      </c>
      <c r="U1484" s="63">
        <v>128332</v>
      </c>
      <c r="V1484" s="63">
        <v>134307</v>
      </c>
      <c r="W1484" s="63">
        <v>139579</v>
      </c>
      <c r="X1484" s="63">
        <v>133501</v>
      </c>
      <c r="Y1484" s="63">
        <v>135778</v>
      </c>
      <c r="Z1484" s="63">
        <v>141849</v>
      </c>
      <c r="AA1484" s="63">
        <v>147657</v>
      </c>
      <c r="AB1484" s="63">
        <v>150763</v>
      </c>
    </row>
    <row r="1485" spans="1:28" x14ac:dyDescent="0.2">
      <c r="A1485" s="62">
        <v>123</v>
      </c>
      <c r="B1485" s="62" t="s">
        <v>405</v>
      </c>
      <c r="C1485" s="62">
        <v>11</v>
      </c>
      <c r="D1485" s="62" t="s">
        <v>318</v>
      </c>
      <c r="E1485" s="63">
        <v>3204</v>
      </c>
      <c r="F1485" s="63">
        <v>3528</v>
      </c>
      <c r="G1485" s="63">
        <v>3561</v>
      </c>
      <c r="H1485" s="63">
        <v>3769</v>
      </c>
      <c r="I1485" s="63">
        <v>3921</v>
      </c>
      <c r="J1485" s="63">
        <v>3967</v>
      </c>
      <c r="K1485" s="63">
        <v>4074</v>
      </c>
      <c r="L1485" s="63">
        <v>3631</v>
      </c>
      <c r="M1485" s="63">
        <v>3569</v>
      </c>
      <c r="N1485" s="63">
        <v>3677</v>
      </c>
      <c r="O1485" s="63">
        <v>3749</v>
      </c>
      <c r="P1485" s="63">
        <v>3741</v>
      </c>
      <c r="Q1485" s="63">
        <v>3842</v>
      </c>
      <c r="R1485" s="63">
        <v>4019</v>
      </c>
      <c r="S1485" s="63">
        <v>4229</v>
      </c>
      <c r="T1485" s="63">
        <v>4378</v>
      </c>
      <c r="U1485" s="63">
        <v>4483</v>
      </c>
      <c r="V1485" s="63">
        <v>4470</v>
      </c>
      <c r="W1485" s="63">
        <v>4637</v>
      </c>
      <c r="X1485" s="63">
        <v>4613</v>
      </c>
      <c r="Y1485" s="63">
        <v>4588</v>
      </c>
      <c r="Z1485" s="63">
        <v>4522</v>
      </c>
      <c r="AA1485" s="63">
        <v>4449</v>
      </c>
      <c r="AB1485" s="63">
        <v>4334</v>
      </c>
    </row>
    <row r="1486" spans="1:28" x14ac:dyDescent="0.2">
      <c r="A1486" s="62">
        <v>123</v>
      </c>
      <c r="B1486" s="62" t="s">
        <v>405</v>
      </c>
      <c r="C1486" s="62">
        <v>2</v>
      </c>
      <c r="D1486" s="62" t="s">
        <v>319</v>
      </c>
      <c r="E1486" s="63">
        <v>2066</v>
      </c>
      <c r="F1486" s="63">
        <v>2062</v>
      </c>
      <c r="G1486" s="63">
        <v>1996</v>
      </c>
      <c r="H1486" s="63">
        <v>1987</v>
      </c>
      <c r="I1486" s="63">
        <v>2065</v>
      </c>
      <c r="J1486" s="63">
        <v>2193</v>
      </c>
      <c r="K1486" s="63">
        <v>2270</v>
      </c>
      <c r="L1486" s="63">
        <v>2363</v>
      </c>
      <c r="M1486" s="63">
        <v>2453</v>
      </c>
      <c r="N1486" s="63">
        <v>2525</v>
      </c>
      <c r="O1486" s="63">
        <v>2534</v>
      </c>
      <c r="P1486" s="63">
        <v>2568</v>
      </c>
      <c r="Q1486" s="63">
        <v>2877</v>
      </c>
      <c r="R1486" s="63">
        <v>2919</v>
      </c>
      <c r="S1486" s="63">
        <v>2993</v>
      </c>
      <c r="T1486" s="63">
        <v>3005</v>
      </c>
      <c r="U1486" s="63">
        <v>2904</v>
      </c>
      <c r="V1486" s="63">
        <v>3009</v>
      </c>
      <c r="W1486" s="63">
        <v>3007</v>
      </c>
      <c r="X1486" s="63">
        <v>2942</v>
      </c>
      <c r="Y1486" s="63">
        <v>2954</v>
      </c>
      <c r="Z1486" s="63">
        <v>3148</v>
      </c>
      <c r="AA1486" s="63">
        <v>2819</v>
      </c>
      <c r="AB1486" s="63">
        <v>2745</v>
      </c>
    </row>
    <row r="1487" spans="1:28" x14ac:dyDescent="0.2">
      <c r="A1487" s="62">
        <v>123</v>
      </c>
      <c r="B1487" s="62" t="s">
        <v>405</v>
      </c>
      <c r="C1487" s="62">
        <v>21</v>
      </c>
      <c r="D1487" s="62" t="s">
        <v>320</v>
      </c>
      <c r="E1487" s="63">
        <v>1429</v>
      </c>
      <c r="F1487" s="63">
        <v>1432</v>
      </c>
      <c r="G1487" s="63">
        <v>1519</v>
      </c>
      <c r="H1487" s="63">
        <v>1485</v>
      </c>
      <c r="I1487" s="63">
        <v>1943</v>
      </c>
      <c r="J1487" s="63">
        <v>2435</v>
      </c>
      <c r="K1487" s="63">
        <v>3118</v>
      </c>
      <c r="L1487" s="63">
        <v>3572</v>
      </c>
      <c r="M1487" s="63">
        <v>2938</v>
      </c>
      <c r="N1487" s="63">
        <v>3323</v>
      </c>
      <c r="O1487" s="63">
        <v>4330</v>
      </c>
      <c r="P1487" s="63">
        <v>5334</v>
      </c>
      <c r="Q1487" s="63">
        <v>6324</v>
      </c>
      <c r="R1487" s="63">
        <v>8675</v>
      </c>
      <c r="S1487" s="63">
        <v>7782</v>
      </c>
      <c r="T1487" s="63">
        <v>5755</v>
      </c>
      <c r="U1487" s="63">
        <v>7093</v>
      </c>
      <c r="V1487" s="63">
        <v>8890</v>
      </c>
      <c r="W1487" s="63">
        <v>8997</v>
      </c>
      <c r="X1487" s="63">
        <v>5990</v>
      </c>
      <c r="Y1487" s="63">
        <v>5002</v>
      </c>
      <c r="Z1487" s="63">
        <v>5528</v>
      </c>
      <c r="AA1487" s="63">
        <v>6518</v>
      </c>
      <c r="AB1487" s="63">
        <v>6980</v>
      </c>
    </row>
    <row r="1488" spans="1:28" x14ac:dyDescent="0.2">
      <c r="A1488" s="62">
        <v>123</v>
      </c>
      <c r="B1488" s="62" t="s">
        <v>405</v>
      </c>
      <c r="C1488" s="62">
        <v>22</v>
      </c>
      <c r="D1488" s="62" t="s">
        <v>321</v>
      </c>
      <c r="E1488" s="63">
        <v>215</v>
      </c>
      <c r="F1488" s="63">
        <v>228</v>
      </c>
      <c r="G1488" s="63">
        <v>240</v>
      </c>
      <c r="H1488" s="63">
        <v>232</v>
      </c>
      <c r="I1488" s="63">
        <v>242</v>
      </c>
      <c r="J1488" s="63">
        <v>249</v>
      </c>
      <c r="K1488" s="63">
        <v>260</v>
      </c>
      <c r="L1488" s="63">
        <v>262</v>
      </c>
      <c r="M1488" s="63">
        <v>254</v>
      </c>
      <c r="N1488" s="63">
        <v>266</v>
      </c>
      <c r="O1488" s="63">
        <v>289</v>
      </c>
      <c r="P1488" s="63">
        <v>307</v>
      </c>
      <c r="Q1488" s="63">
        <v>319</v>
      </c>
      <c r="R1488" s="63">
        <v>340</v>
      </c>
      <c r="S1488" s="63">
        <v>346</v>
      </c>
      <c r="T1488" s="63">
        <v>356</v>
      </c>
      <c r="U1488" s="62"/>
      <c r="V1488" s="63">
        <v>400</v>
      </c>
      <c r="W1488" s="63">
        <v>434</v>
      </c>
      <c r="X1488" s="62"/>
      <c r="Y1488" s="63">
        <v>475</v>
      </c>
      <c r="Z1488" s="63">
        <v>487</v>
      </c>
      <c r="AA1488" s="63">
        <v>516</v>
      </c>
      <c r="AB1488" s="63">
        <v>523</v>
      </c>
    </row>
    <row r="1489" spans="1:28" x14ac:dyDescent="0.2">
      <c r="A1489" s="62">
        <v>123</v>
      </c>
      <c r="B1489" s="62" t="s">
        <v>405</v>
      </c>
      <c r="C1489" s="62">
        <v>23</v>
      </c>
      <c r="D1489" s="62" t="s">
        <v>322</v>
      </c>
      <c r="E1489" s="63">
        <v>8316</v>
      </c>
      <c r="F1489" s="63">
        <v>8579</v>
      </c>
      <c r="G1489" s="63">
        <v>8714</v>
      </c>
      <c r="H1489" s="63">
        <v>9541</v>
      </c>
      <c r="I1489" s="63">
        <v>10658</v>
      </c>
      <c r="J1489" s="63">
        <v>10718</v>
      </c>
      <c r="K1489" s="63">
        <v>10809</v>
      </c>
      <c r="L1489" s="63">
        <v>10789</v>
      </c>
      <c r="M1489" s="63">
        <v>9192</v>
      </c>
      <c r="N1489" s="63">
        <v>8914</v>
      </c>
      <c r="O1489" s="63">
        <v>8907</v>
      </c>
      <c r="P1489" s="63">
        <v>9310</v>
      </c>
      <c r="Q1489" s="63">
        <v>10909</v>
      </c>
      <c r="R1489" s="63">
        <v>12667</v>
      </c>
      <c r="S1489" s="63">
        <v>12537</v>
      </c>
      <c r="T1489" s="63">
        <v>12278</v>
      </c>
      <c r="U1489" s="63">
        <v>13570</v>
      </c>
      <c r="V1489" s="63">
        <v>14677</v>
      </c>
      <c r="W1489" s="63">
        <v>16131</v>
      </c>
      <c r="X1489" s="63">
        <v>15171</v>
      </c>
      <c r="Y1489" s="63">
        <v>14853</v>
      </c>
      <c r="Z1489" s="63">
        <v>15691</v>
      </c>
      <c r="AA1489" s="63">
        <v>17451</v>
      </c>
      <c r="AB1489" s="63">
        <v>17979</v>
      </c>
    </row>
    <row r="1490" spans="1:28" x14ac:dyDescent="0.2">
      <c r="A1490" s="62">
        <v>123</v>
      </c>
      <c r="B1490" s="62" t="s">
        <v>405</v>
      </c>
      <c r="C1490" s="62">
        <v>3</v>
      </c>
      <c r="D1490" s="62" t="s">
        <v>323</v>
      </c>
      <c r="E1490" s="63">
        <v>8377</v>
      </c>
      <c r="F1490" s="63">
        <v>8884</v>
      </c>
      <c r="G1490" s="63">
        <v>9127</v>
      </c>
      <c r="H1490" s="63">
        <v>9294</v>
      </c>
      <c r="I1490" s="63">
        <v>9672</v>
      </c>
      <c r="J1490" s="63">
        <v>10037</v>
      </c>
      <c r="K1490" s="63">
        <v>10244</v>
      </c>
      <c r="L1490" s="63">
        <v>10645</v>
      </c>
      <c r="M1490" s="63">
        <v>10827</v>
      </c>
      <c r="N1490" s="63">
        <v>10697</v>
      </c>
      <c r="O1490" s="63">
        <v>10514</v>
      </c>
      <c r="P1490" s="63">
        <v>10574</v>
      </c>
      <c r="Q1490" s="63">
        <v>10728</v>
      </c>
      <c r="R1490" s="63">
        <v>10998</v>
      </c>
      <c r="S1490" s="63">
        <v>11320</v>
      </c>
      <c r="T1490" s="63">
        <v>11679</v>
      </c>
      <c r="U1490" s="63">
        <v>11922</v>
      </c>
      <c r="V1490" s="63">
        <v>12317</v>
      </c>
      <c r="W1490" s="63">
        <v>12816</v>
      </c>
      <c r="X1490" s="63">
        <v>12347</v>
      </c>
      <c r="Y1490" s="63">
        <v>12441</v>
      </c>
      <c r="Z1490" s="63">
        <v>13355</v>
      </c>
      <c r="AA1490" s="63">
        <v>14231</v>
      </c>
      <c r="AB1490" s="63">
        <v>14976</v>
      </c>
    </row>
    <row r="1491" spans="1:28" x14ac:dyDescent="0.2">
      <c r="A1491" s="62">
        <v>123</v>
      </c>
      <c r="B1491" s="62" t="s">
        <v>405</v>
      </c>
      <c r="C1491" s="62" t="s">
        <v>324</v>
      </c>
      <c r="D1491" s="62" t="s">
        <v>325</v>
      </c>
      <c r="E1491" s="63">
        <v>11722</v>
      </c>
      <c r="F1491" s="63">
        <v>11156</v>
      </c>
      <c r="G1491" s="63">
        <v>10690</v>
      </c>
      <c r="H1491" s="63">
        <v>10397</v>
      </c>
      <c r="I1491" s="63">
        <v>10072</v>
      </c>
      <c r="J1491" s="63">
        <v>10364</v>
      </c>
      <c r="K1491" s="63">
        <v>10613</v>
      </c>
      <c r="L1491" s="63">
        <v>11605</v>
      </c>
      <c r="M1491" s="63">
        <v>11122</v>
      </c>
      <c r="N1491" s="63">
        <v>10612</v>
      </c>
      <c r="O1491" s="63">
        <v>11577</v>
      </c>
      <c r="P1491" s="63">
        <v>11750</v>
      </c>
      <c r="Q1491" s="63">
        <v>11839</v>
      </c>
      <c r="R1491" s="63">
        <v>12190</v>
      </c>
      <c r="S1491" s="63">
        <v>13064</v>
      </c>
      <c r="T1491" s="63">
        <v>13861</v>
      </c>
      <c r="U1491" s="63">
        <v>13782</v>
      </c>
      <c r="V1491" s="63">
        <v>14028</v>
      </c>
      <c r="W1491" s="63">
        <v>14771</v>
      </c>
      <c r="X1491" s="63">
        <v>14284</v>
      </c>
      <c r="Y1491" s="63">
        <v>13662</v>
      </c>
      <c r="Z1491" s="63">
        <v>13891</v>
      </c>
      <c r="AA1491" s="63">
        <v>14061</v>
      </c>
      <c r="AB1491" s="63">
        <v>14546</v>
      </c>
    </row>
    <row r="1492" spans="1:28" x14ac:dyDescent="0.2">
      <c r="A1492" s="62">
        <v>123</v>
      </c>
      <c r="B1492" s="62" t="s">
        <v>405</v>
      </c>
      <c r="C1492" s="62">
        <v>42</v>
      </c>
      <c r="D1492" s="62" t="s">
        <v>326</v>
      </c>
      <c r="E1492" s="63">
        <v>3587</v>
      </c>
      <c r="F1492" s="63">
        <v>3483</v>
      </c>
      <c r="G1492" s="63">
        <v>3493</v>
      </c>
      <c r="H1492" s="63">
        <v>3587</v>
      </c>
      <c r="I1492" s="63">
        <v>3651</v>
      </c>
      <c r="J1492" s="63">
        <v>3849</v>
      </c>
      <c r="K1492" s="63">
        <v>4014</v>
      </c>
      <c r="L1492" s="63">
        <v>3943</v>
      </c>
      <c r="M1492" s="63">
        <v>3718</v>
      </c>
      <c r="N1492" s="63">
        <v>3916</v>
      </c>
      <c r="O1492" s="63">
        <v>3873</v>
      </c>
      <c r="P1492" s="63">
        <v>3765</v>
      </c>
      <c r="Q1492" s="63">
        <v>3962</v>
      </c>
      <c r="R1492" s="63">
        <v>4253</v>
      </c>
      <c r="S1492" s="63">
        <v>4431</v>
      </c>
      <c r="T1492" s="63">
        <v>4243</v>
      </c>
      <c r="U1492" s="63">
        <v>4455</v>
      </c>
      <c r="V1492" s="63">
        <v>4571</v>
      </c>
      <c r="W1492" s="63">
        <v>4713</v>
      </c>
      <c r="X1492" s="63">
        <v>4586</v>
      </c>
      <c r="Y1492" s="63">
        <v>4575</v>
      </c>
      <c r="Z1492" s="63">
        <v>4709</v>
      </c>
      <c r="AA1492" s="63">
        <v>4838</v>
      </c>
      <c r="AB1492" s="63">
        <v>4832</v>
      </c>
    </row>
    <row r="1493" spans="1:28" x14ac:dyDescent="0.2">
      <c r="A1493" s="62">
        <v>123</v>
      </c>
      <c r="B1493" s="62" t="s">
        <v>405</v>
      </c>
      <c r="C1493" s="62" t="s">
        <v>327</v>
      </c>
      <c r="D1493" s="62" t="s">
        <v>328</v>
      </c>
      <c r="E1493" s="63">
        <v>9287</v>
      </c>
      <c r="F1493" s="63">
        <v>9424</v>
      </c>
      <c r="G1493" s="63">
        <v>9442</v>
      </c>
      <c r="H1493" s="63">
        <v>10009</v>
      </c>
      <c r="I1493" s="63">
        <v>9987</v>
      </c>
      <c r="J1493" s="63">
        <v>10132</v>
      </c>
      <c r="K1493" s="63">
        <v>10524</v>
      </c>
      <c r="L1493" s="63">
        <v>10340</v>
      </c>
      <c r="M1493" s="63">
        <v>9523</v>
      </c>
      <c r="N1493" s="63">
        <v>9370</v>
      </c>
      <c r="O1493" s="63">
        <v>9763</v>
      </c>
      <c r="P1493" s="63">
        <v>10125</v>
      </c>
      <c r="Q1493" s="63">
        <v>10596</v>
      </c>
      <c r="R1493" s="63">
        <v>11149</v>
      </c>
      <c r="S1493" s="63">
        <v>11820</v>
      </c>
      <c r="T1493" s="63">
        <v>12260</v>
      </c>
      <c r="U1493" s="63">
        <v>12590</v>
      </c>
      <c r="V1493" s="63">
        <v>12613</v>
      </c>
      <c r="W1493" s="63">
        <v>12796</v>
      </c>
      <c r="X1493" s="63">
        <v>13079</v>
      </c>
      <c r="Y1493" s="63">
        <v>13434</v>
      </c>
      <c r="Z1493" s="63">
        <v>13345</v>
      </c>
      <c r="AA1493" s="63">
        <v>13489</v>
      </c>
      <c r="AB1493" s="63">
        <v>13585</v>
      </c>
    </row>
    <row r="1494" spans="1:28" x14ac:dyDescent="0.2">
      <c r="A1494" s="62">
        <v>123</v>
      </c>
      <c r="B1494" s="62" t="s">
        <v>405</v>
      </c>
      <c r="C1494" s="62" t="s">
        <v>329</v>
      </c>
      <c r="D1494" s="62" t="s">
        <v>330</v>
      </c>
      <c r="E1494" s="63">
        <v>2603</v>
      </c>
      <c r="F1494" s="63">
        <v>2672</v>
      </c>
      <c r="G1494" s="63">
        <v>2666</v>
      </c>
      <c r="H1494" s="63">
        <v>2729</v>
      </c>
      <c r="I1494" s="63">
        <v>2490</v>
      </c>
      <c r="J1494" s="63">
        <v>2615</v>
      </c>
      <c r="K1494" s="63">
        <v>2774</v>
      </c>
      <c r="L1494" s="63">
        <v>2679</v>
      </c>
      <c r="M1494" s="63">
        <v>2733</v>
      </c>
      <c r="N1494" s="63">
        <v>2879</v>
      </c>
      <c r="O1494" s="63">
        <v>3419</v>
      </c>
      <c r="P1494" s="63">
        <v>3677</v>
      </c>
      <c r="Q1494" s="63">
        <v>3866</v>
      </c>
      <c r="R1494" s="63">
        <v>4596</v>
      </c>
      <c r="S1494" s="63">
        <v>5010</v>
      </c>
      <c r="T1494" s="63">
        <v>4575</v>
      </c>
      <c r="U1494" s="63">
        <v>5183</v>
      </c>
      <c r="V1494" s="63">
        <v>5842</v>
      </c>
      <c r="W1494" s="63">
        <v>6294</v>
      </c>
      <c r="X1494" s="63">
        <v>6845</v>
      </c>
      <c r="Y1494" s="63">
        <v>7550</v>
      </c>
      <c r="Z1494" s="63">
        <v>7988</v>
      </c>
      <c r="AA1494" s="63">
        <v>7690</v>
      </c>
      <c r="AB1494" s="63">
        <v>7355</v>
      </c>
    </row>
    <row r="1495" spans="1:28" x14ac:dyDescent="0.2">
      <c r="A1495" s="62">
        <v>123</v>
      </c>
      <c r="B1495" s="62" t="s">
        <v>405</v>
      </c>
      <c r="C1495" s="62">
        <v>51</v>
      </c>
      <c r="D1495" s="62" t="s">
        <v>331</v>
      </c>
      <c r="E1495" s="63">
        <v>994</v>
      </c>
      <c r="F1495" s="63">
        <v>986</v>
      </c>
      <c r="G1495" s="63">
        <v>992</v>
      </c>
      <c r="H1495" s="63">
        <v>1076</v>
      </c>
      <c r="I1495" s="63">
        <v>1297</v>
      </c>
      <c r="J1495" s="63">
        <v>1361</v>
      </c>
      <c r="K1495" s="63">
        <v>1389</v>
      </c>
      <c r="L1495" s="63">
        <v>1304</v>
      </c>
      <c r="M1495" s="63">
        <v>1162</v>
      </c>
      <c r="N1495" s="63">
        <v>1100</v>
      </c>
      <c r="O1495" s="63">
        <v>974</v>
      </c>
      <c r="P1495" s="63">
        <v>902</v>
      </c>
      <c r="Q1495" s="63">
        <v>855</v>
      </c>
      <c r="R1495" s="63">
        <v>853</v>
      </c>
      <c r="S1495" s="63">
        <v>885</v>
      </c>
      <c r="T1495" s="63">
        <v>924</v>
      </c>
      <c r="U1495" s="63">
        <v>971</v>
      </c>
      <c r="V1495" s="63">
        <v>949</v>
      </c>
      <c r="W1495" s="63">
        <v>886</v>
      </c>
      <c r="X1495" s="63">
        <v>767</v>
      </c>
      <c r="Y1495" s="63">
        <v>804</v>
      </c>
      <c r="Z1495" s="63">
        <v>801</v>
      </c>
      <c r="AA1495" s="63">
        <v>846</v>
      </c>
      <c r="AB1495" s="63">
        <v>771</v>
      </c>
    </row>
    <row r="1496" spans="1:28" x14ac:dyDescent="0.2">
      <c r="A1496" s="62">
        <v>123</v>
      </c>
      <c r="B1496" s="62" t="s">
        <v>405</v>
      </c>
      <c r="C1496" s="62">
        <v>52</v>
      </c>
      <c r="D1496" s="62" t="s">
        <v>332</v>
      </c>
      <c r="E1496" s="63">
        <v>3293</v>
      </c>
      <c r="F1496" s="63">
        <v>3416</v>
      </c>
      <c r="G1496" s="63">
        <v>3432</v>
      </c>
      <c r="H1496" s="63">
        <v>3689</v>
      </c>
      <c r="I1496" s="63">
        <v>3905</v>
      </c>
      <c r="J1496" s="63">
        <v>4381</v>
      </c>
      <c r="K1496" s="63">
        <v>4384</v>
      </c>
      <c r="L1496" s="63">
        <v>4283</v>
      </c>
      <c r="M1496" s="63">
        <v>4074</v>
      </c>
      <c r="N1496" s="63">
        <v>3721</v>
      </c>
      <c r="O1496" s="63">
        <v>3463</v>
      </c>
      <c r="P1496" s="63">
        <v>3569</v>
      </c>
      <c r="Q1496" s="63">
        <v>3550</v>
      </c>
      <c r="R1496" s="63">
        <v>3638</v>
      </c>
      <c r="S1496" s="63">
        <v>3669</v>
      </c>
      <c r="T1496" s="63">
        <v>3595</v>
      </c>
      <c r="U1496" s="63">
        <v>3504</v>
      </c>
      <c r="V1496" s="63">
        <v>3438</v>
      </c>
      <c r="W1496" s="63">
        <v>3400</v>
      </c>
      <c r="X1496" s="63">
        <v>3491</v>
      </c>
      <c r="Y1496" s="63">
        <v>3506</v>
      </c>
      <c r="Z1496" s="63">
        <v>3586</v>
      </c>
      <c r="AA1496" s="63">
        <v>3467</v>
      </c>
      <c r="AB1496" s="63">
        <v>3446</v>
      </c>
    </row>
    <row r="1497" spans="1:28" x14ac:dyDescent="0.2">
      <c r="A1497" s="62">
        <v>123</v>
      </c>
      <c r="B1497" s="62" t="s">
        <v>405</v>
      </c>
      <c r="C1497" s="62">
        <v>53</v>
      </c>
      <c r="D1497" s="62" t="s">
        <v>333</v>
      </c>
      <c r="E1497" s="63">
        <v>2198</v>
      </c>
      <c r="F1497" s="63">
        <v>2257</v>
      </c>
      <c r="G1497" s="63">
        <v>2419</v>
      </c>
      <c r="H1497" s="63">
        <v>2598</v>
      </c>
      <c r="I1497" s="63">
        <v>2853</v>
      </c>
      <c r="J1497" s="63">
        <v>2942</v>
      </c>
      <c r="K1497" s="63">
        <v>2890</v>
      </c>
      <c r="L1497" s="63">
        <v>2672</v>
      </c>
      <c r="M1497" s="63">
        <v>2979</v>
      </c>
      <c r="N1497" s="63">
        <v>2950</v>
      </c>
      <c r="O1497" s="63">
        <v>2994</v>
      </c>
      <c r="P1497" s="63">
        <v>3070</v>
      </c>
      <c r="Q1497" s="63">
        <v>3319</v>
      </c>
      <c r="R1497" s="63">
        <v>3564</v>
      </c>
      <c r="S1497" s="63">
        <v>3699</v>
      </c>
      <c r="T1497" s="63">
        <v>3747</v>
      </c>
      <c r="U1497" s="63">
        <v>4025</v>
      </c>
      <c r="V1497" s="63">
        <v>4208</v>
      </c>
      <c r="W1497" s="63">
        <v>4277</v>
      </c>
      <c r="X1497" s="63">
        <v>4301</v>
      </c>
      <c r="Y1497" s="63">
        <v>4454</v>
      </c>
      <c r="Z1497" s="63">
        <v>4607</v>
      </c>
      <c r="AA1497" s="63">
        <v>4979</v>
      </c>
      <c r="AB1497" s="63">
        <v>5339</v>
      </c>
    </row>
    <row r="1498" spans="1:28" x14ac:dyDescent="0.2">
      <c r="A1498" s="62">
        <v>123</v>
      </c>
      <c r="B1498" s="62" t="s">
        <v>405</v>
      </c>
      <c r="C1498" s="62">
        <v>54</v>
      </c>
      <c r="D1498" s="62" t="s">
        <v>334</v>
      </c>
      <c r="E1498" s="63">
        <v>3300</v>
      </c>
      <c r="F1498" s="63">
        <v>3055</v>
      </c>
      <c r="G1498" s="63">
        <v>3191</v>
      </c>
      <c r="H1498" s="63">
        <v>3441</v>
      </c>
      <c r="I1498" s="63">
        <v>3766</v>
      </c>
      <c r="J1498" s="63">
        <v>4173</v>
      </c>
      <c r="K1498" s="63">
        <v>4401</v>
      </c>
      <c r="L1498" s="63">
        <v>4270</v>
      </c>
      <c r="M1498" s="63">
        <v>4039</v>
      </c>
      <c r="N1498" s="63">
        <v>4195</v>
      </c>
      <c r="O1498" s="63">
        <v>4351</v>
      </c>
      <c r="P1498" s="63">
        <v>4531</v>
      </c>
      <c r="Q1498" s="63">
        <v>4751</v>
      </c>
      <c r="R1498" s="63">
        <v>4920</v>
      </c>
      <c r="S1498" s="63">
        <v>5199</v>
      </c>
      <c r="T1498" s="63">
        <v>5387</v>
      </c>
      <c r="U1498" s="63">
        <v>5625</v>
      </c>
      <c r="V1498" s="63">
        <v>6063</v>
      </c>
      <c r="W1498" s="63">
        <v>6436</v>
      </c>
      <c r="X1498" s="63">
        <v>6640</v>
      </c>
      <c r="Y1498" s="63">
        <v>7111</v>
      </c>
      <c r="Z1498" s="63">
        <v>7798</v>
      </c>
      <c r="AA1498" s="63">
        <v>8387</v>
      </c>
      <c r="AB1498" s="63">
        <v>8647</v>
      </c>
    </row>
    <row r="1499" spans="1:28" x14ac:dyDescent="0.2">
      <c r="A1499" s="62">
        <v>123</v>
      </c>
      <c r="B1499" s="62" t="s">
        <v>405</v>
      </c>
      <c r="C1499" s="62">
        <v>55</v>
      </c>
      <c r="D1499" s="62" t="s">
        <v>335</v>
      </c>
      <c r="E1499" s="63">
        <v>668</v>
      </c>
      <c r="F1499" s="63">
        <v>698</v>
      </c>
      <c r="G1499" s="63">
        <v>715</v>
      </c>
      <c r="H1499" s="63">
        <v>781</v>
      </c>
      <c r="I1499" s="63">
        <v>909</v>
      </c>
      <c r="J1499" s="63">
        <v>1017</v>
      </c>
      <c r="K1499" s="63">
        <v>1055</v>
      </c>
      <c r="L1499" s="63">
        <v>948</v>
      </c>
      <c r="M1499" s="63">
        <v>928</v>
      </c>
      <c r="N1499" s="63">
        <v>1084</v>
      </c>
      <c r="O1499" s="63">
        <v>1336</v>
      </c>
      <c r="P1499" s="63">
        <v>1305</v>
      </c>
      <c r="Q1499" s="63">
        <v>1292</v>
      </c>
      <c r="R1499" s="63">
        <v>1345</v>
      </c>
      <c r="S1499" s="63">
        <v>1475</v>
      </c>
      <c r="T1499" s="63">
        <v>1442</v>
      </c>
      <c r="U1499" s="63">
        <v>1593</v>
      </c>
      <c r="V1499" s="63">
        <v>1793</v>
      </c>
      <c r="W1499" s="63">
        <v>1870</v>
      </c>
      <c r="X1499" s="63">
        <v>1928</v>
      </c>
      <c r="Y1499" s="63">
        <v>1831</v>
      </c>
      <c r="Z1499" s="63">
        <v>1832</v>
      </c>
      <c r="AA1499" s="63">
        <v>1766</v>
      </c>
      <c r="AB1499" s="63">
        <v>1990</v>
      </c>
    </row>
    <row r="1500" spans="1:28" x14ac:dyDescent="0.2">
      <c r="A1500" s="62">
        <v>123</v>
      </c>
      <c r="B1500" s="62" t="s">
        <v>405</v>
      </c>
      <c r="C1500" s="62">
        <v>56</v>
      </c>
      <c r="D1500" s="62" t="s">
        <v>336</v>
      </c>
      <c r="E1500" s="63">
        <v>4707</v>
      </c>
      <c r="F1500" s="63">
        <v>4865</v>
      </c>
      <c r="G1500" s="63">
        <v>4956</v>
      </c>
      <c r="H1500" s="63">
        <v>4865</v>
      </c>
      <c r="I1500" s="63">
        <v>5169</v>
      </c>
      <c r="J1500" s="63">
        <v>5736</v>
      </c>
      <c r="K1500" s="63">
        <v>5992</v>
      </c>
      <c r="L1500" s="63">
        <v>5245</v>
      </c>
      <c r="M1500" s="63">
        <v>5213</v>
      </c>
      <c r="N1500" s="63">
        <v>5285</v>
      </c>
      <c r="O1500" s="63">
        <v>5688</v>
      </c>
      <c r="P1500" s="63">
        <v>6004</v>
      </c>
      <c r="Q1500" s="63">
        <v>7031</v>
      </c>
      <c r="R1500" s="63">
        <v>7616</v>
      </c>
      <c r="S1500" s="63">
        <v>7526</v>
      </c>
      <c r="T1500" s="63">
        <v>7346</v>
      </c>
      <c r="U1500" s="63">
        <v>7566</v>
      </c>
      <c r="V1500" s="63">
        <v>8056</v>
      </c>
      <c r="W1500" s="63">
        <v>8163</v>
      </c>
      <c r="X1500" s="63">
        <v>7929</v>
      </c>
      <c r="Y1500" s="63">
        <v>8223</v>
      </c>
      <c r="Z1500" s="63">
        <v>8533</v>
      </c>
      <c r="AA1500" s="63">
        <v>8787</v>
      </c>
      <c r="AB1500" s="63">
        <v>7980</v>
      </c>
    </row>
    <row r="1501" spans="1:28" x14ac:dyDescent="0.2">
      <c r="A1501" s="62">
        <v>123</v>
      </c>
      <c r="B1501" s="62" t="s">
        <v>405</v>
      </c>
      <c r="C1501" s="62">
        <v>61</v>
      </c>
      <c r="D1501" s="62" t="s">
        <v>337</v>
      </c>
      <c r="E1501" s="63">
        <v>416</v>
      </c>
      <c r="F1501" s="63">
        <v>426</v>
      </c>
      <c r="G1501" s="63">
        <v>512</v>
      </c>
      <c r="H1501" s="63">
        <v>548</v>
      </c>
      <c r="I1501" s="63">
        <v>599</v>
      </c>
      <c r="J1501" s="63">
        <v>647</v>
      </c>
      <c r="K1501" s="63">
        <v>657</v>
      </c>
      <c r="L1501" s="63">
        <v>666</v>
      </c>
      <c r="M1501" s="63">
        <v>750</v>
      </c>
      <c r="N1501" s="63">
        <v>735</v>
      </c>
      <c r="O1501" s="63">
        <v>767</v>
      </c>
      <c r="P1501" s="63">
        <v>766</v>
      </c>
      <c r="Q1501" s="63">
        <v>798</v>
      </c>
      <c r="R1501" s="63">
        <v>920</v>
      </c>
      <c r="S1501" s="63">
        <v>1090</v>
      </c>
      <c r="T1501" s="63">
        <v>1099</v>
      </c>
      <c r="U1501" s="63">
        <v>1183</v>
      </c>
      <c r="V1501" s="63">
        <v>1333</v>
      </c>
      <c r="W1501" s="63">
        <v>1560</v>
      </c>
      <c r="X1501" s="63">
        <v>1459</v>
      </c>
      <c r="Y1501" s="63">
        <v>1595</v>
      </c>
      <c r="Z1501" s="63">
        <v>1736</v>
      </c>
      <c r="AA1501" s="63">
        <v>1749</v>
      </c>
      <c r="AB1501" s="63">
        <v>1895</v>
      </c>
    </row>
    <row r="1502" spans="1:28" x14ac:dyDescent="0.2">
      <c r="A1502" s="62">
        <v>123</v>
      </c>
      <c r="B1502" s="62" t="s">
        <v>405</v>
      </c>
      <c r="C1502" s="62">
        <v>62</v>
      </c>
      <c r="D1502" s="62" t="s">
        <v>338</v>
      </c>
      <c r="E1502" s="63">
        <v>7520</v>
      </c>
      <c r="F1502" s="63">
        <v>7857</v>
      </c>
      <c r="G1502" s="63">
        <v>8144</v>
      </c>
      <c r="H1502" s="63">
        <v>8301</v>
      </c>
      <c r="I1502" s="63">
        <v>8138</v>
      </c>
      <c r="J1502" s="63">
        <v>8534</v>
      </c>
      <c r="K1502" s="63">
        <v>8758</v>
      </c>
      <c r="L1502" s="63">
        <v>9091</v>
      </c>
      <c r="M1502" s="63">
        <v>9134</v>
      </c>
      <c r="N1502" s="63">
        <v>9245</v>
      </c>
      <c r="O1502" s="63">
        <v>9495</v>
      </c>
      <c r="P1502" s="63">
        <v>9603</v>
      </c>
      <c r="Q1502" s="63">
        <v>9226</v>
      </c>
      <c r="R1502" s="63">
        <v>9476</v>
      </c>
      <c r="S1502" s="63">
        <v>10048</v>
      </c>
      <c r="T1502" s="63">
        <v>10407</v>
      </c>
      <c r="U1502" s="63">
        <v>10490</v>
      </c>
      <c r="V1502" s="63">
        <v>11017</v>
      </c>
      <c r="W1502" s="63">
        <v>11155</v>
      </c>
      <c r="X1502" s="63">
        <v>11009</v>
      </c>
      <c r="Y1502" s="63">
        <v>11508</v>
      </c>
      <c r="Z1502" s="63">
        <v>11820</v>
      </c>
      <c r="AA1502" s="63">
        <v>11972</v>
      </c>
      <c r="AB1502" s="63">
        <v>12482</v>
      </c>
    </row>
    <row r="1503" spans="1:28" x14ac:dyDescent="0.2">
      <c r="A1503" s="62">
        <v>123</v>
      </c>
      <c r="B1503" s="62" t="s">
        <v>405</v>
      </c>
      <c r="C1503" s="62">
        <v>71</v>
      </c>
      <c r="D1503" s="62" t="s">
        <v>339</v>
      </c>
      <c r="E1503" s="63">
        <v>1037</v>
      </c>
      <c r="F1503" s="63">
        <v>1129</v>
      </c>
      <c r="G1503" s="63">
        <v>1219</v>
      </c>
      <c r="H1503" s="63">
        <v>1293</v>
      </c>
      <c r="I1503" s="63">
        <v>1425</v>
      </c>
      <c r="J1503" s="63">
        <v>1501</v>
      </c>
      <c r="K1503" s="63">
        <v>1530</v>
      </c>
      <c r="L1503" s="63">
        <v>1609</v>
      </c>
      <c r="M1503" s="63">
        <v>1581</v>
      </c>
      <c r="N1503" s="63">
        <v>1530</v>
      </c>
      <c r="O1503" s="63">
        <v>1565</v>
      </c>
      <c r="P1503" s="63">
        <v>1641</v>
      </c>
      <c r="Q1503" s="63">
        <v>1679</v>
      </c>
      <c r="R1503" s="63">
        <v>1876</v>
      </c>
      <c r="S1503" s="63">
        <v>1948</v>
      </c>
      <c r="T1503" s="63">
        <v>2159</v>
      </c>
      <c r="U1503" s="63">
        <v>2252</v>
      </c>
      <c r="V1503" s="63">
        <v>2141</v>
      </c>
      <c r="W1503" s="63">
        <v>2234</v>
      </c>
      <c r="X1503" s="63">
        <v>1911</v>
      </c>
      <c r="Y1503" s="63">
        <v>2311</v>
      </c>
      <c r="Z1503" s="63">
        <v>2453</v>
      </c>
      <c r="AA1503" s="63">
        <v>2847</v>
      </c>
      <c r="AB1503" s="63">
        <v>3058</v>
      </c>
    </row>
    <row r="1504" spans="1:28" x14ac:dyDescent="0.2">
      <c r="A1504" s="62">
        <v>123</v>
      </c>
      <c r="B1504" s="62" t="s">
        <v>405</v>
      </c>
      <c r="C1504" s="62">
        <v>72</v>
      </c>
      <c r="D1504" s="62" t="s">
        <v>340</v>
      </c>
      <c r="E1504" s="63">
        <v>5275</v>
      </c>
      <c r="F1504" s="63">
        <v>5360</v>
      </c>
      <c r="G1504" s="63">
        <v>5349</v>
      </c>
      <c r="H1504" s="63">
        <v>5678</v>
      </c>
      <c r="I1504" s="63">
        <v>5810</v>
      </c>
      <c r="J1504" s="63">
        <v>6216</v>
      </c>
      <c r="K1504" s="63">
        <v>6324</v>
      </c>
      <c r="L1504" s="63">
        <v>6267</v>
      </c>
      <c r="M1504" s="63">
        <v>6048</v>
      </c>
      <c r="N1504" s="63">
        <v>5987</v>
      </c>
      <c r="O1504" s="63">
        <v>6153</v>
      </c>
      <c r="P1504" s="63">
        <v>6406</v>
      </c>
      <c r="Q1504" s="63">
        <v>6691</v>
      </c>
      <c r="R1504" s="63">
        <v>7211</v>
      </c>
      <c r="S1504" s="63">
        <v>7726</v>
      </c>
      <c r="T1504" s="63">
        <v>7951</v>
      </c>
      <c r="U1504" s="63">
        <v>8376</v>
      </c>
      <c r="V1504" s="63">
        <v>8861</v>
      </c>
      <c r="W1504" s="63">
        <v>9222</v>
      </c>
      <c r="X1504" s="63">
        <v>8073</v>
      </c>
      <c r="Y1504" s="63">
        <v>8870</v>
      </c>
      <c r="Z1504" s="63">
        <v>9695</v>
      </c>
      <c r="AA1504" s="63">
        <v>10132</v>
      </c>
      <c r="AB1504" s="63">
        <v>10175</v>
      </c>
    </row>
    <row r="1505" spans="1:28" x14ac:dyDescent="0.2">
      <c r="A1505" s="62">
        <v>123</v>
      </c>
      <c r="B1505" s="62" t="s">
        <v>405</v>
      </c>
      <c r="C1505" s="62">
        <v>81</v>
      </c>
      <c r="D1505" s="62" t="s">
        <v>341</v>
      </c>
      <c r="E1505" s="63">
        <v>3287</v>
      </c>
      <c r="F1505" s="63">
        <v>3377</v>
      </c>
      <c r="G1505" s="63">
        <v>3552</v>
      </c>
      <c r="H1505" s="63">
        <v>3670</v>
      </c>
      <c r="I1505" s="63">
        <v>3821</v>
      </c>
      <c r="J1505" s="63">
        <v>3968</v>
      </c>
      <c r="K1505" s="63">
        <v>3991</v>
      </c>
      <c r="L1505" s="63">
        <v>4099</v>
      </c>
      <c r="M1505" s="63">
        <v>4161</v>
      </c>
      <c r="N1505" s="63">
        <v>4189</v>
      </c>
      <c r="O1505" s="63">
        <v>4244</v>
      </c>
      <c r="P1505" s="63">
        <v>4339</v>
      </c>
      <c r="Q1505" s="63">
        <v>4361</v>
      </c>
      <c r="R1505" s="63">
        <v>4655</v>
      </c>
      <c r="S1505" s="63">
        <v>5013</v>
      </c>
      <c r="T1505" s="63">
        <v>5152</v>
      </c>
      <c r="U1505" s="63">
        <v>5714</v>
      </c>
      <c r="V1505" s="63">
        <v>5001</v>
      </c>
      <c r="W1505" s="63">
        <v>5174</v>
      </c>
      <c r="X1505" s="63">
        <v>5020</v>
      </c>
      <c r="Y1505" s="63">
        <v>5399</v>
      </c>
      <c r="Z1505" s="63">
        <v>5698</v>
      </c>
      <c r="AA1505" s="63">
        <v>5940</v>
      </c>
      <c r="AB1505" s="63">
        <v>6403</v>
      </c>
    </row>
    <row r="1506" spans="1:28" x14ac:dyDescent="0.2">
      <c r="A1506" s="62">
        <v>123</v>
      </c>
      <c r="B1506" s="62" t="s">
        <v>405</v>
      </c>
      <c r="C1506" s="62">
        <v>92</v>
      </c>
      <c r="D1506" s="64" t="s">
        <v>345</v>
      </c>
      <c r="E1506" s="65"/>
      <c r="F1506" s="62"/>
      <c r="G1506" s="62"/>
      <c r="H1506" s="62"/>
      <c r="I1506" s="62"/>
      <c r="J1506" s="62"/>
      <c r="K1506" s="62"/>
      <c r="L1506" s="62"/>
      <c r="M1506" s="62"/>
      <c r="N1506" s="62"/>
      <c r="O1506" s="62"/>
      <c r="P1506" s="62"/>
      <c r="Q1506" s="62"/>
      <c r="R1506" s="62"/>
      <c r="S1506" s="62"/>
      <c r="T1506" s="62"/>
      <c r="U1506" s="62"/>
      <c r="V1506" s="62"/>
      <c r="W1506" s="62"/>
      <c r="X1506" s="62"/>
      <c r="Y1506" s="62"/>
      <c r="Z1506" s="62"/>
      <c r="AA1506" s="62"/>
      <c r="AB1506" s="62"/>
    </row>
    <row r="1507" spans="1:28" x14ac:dyDescent="0.2">
      <c r="A1507" s="62">
        <v>123</v>
      </c>
      <c r="B1507" s="62" t="s">
        <v>405</v>
      </c>
      <c r="C1507" s="62">
        <v>99</v>
      </c>
      <c r="D1507" s="62" t="s">
        <v>342</v>
      </c>
      <c r="E1507" s="63">
        <v>1</v>
      </c>
      <c r="F1507" s="63">
        <v>1</v>
      </c>
      <c r="G1507" s="63">
        <v>1</v>
      </c>
      <c r="H1507" s="63">
        <v>1</v>
      </c>
      <c r="I1507" s="63">
        <v>0</v>
      </c>
      <c r="J1507" s="63">
        <v>7</v>
      </c>
      <c r="K1507" s="63">
        <v>5</v>
      </c>
      <c r="L1507" s="63">
        <v>6</v>
      </c>
      <c r="M1507" s="63">
        <v>1</v>
      </c>
      <c r="N1507" s="63">
        <v>2</v>
      </c>
      <c r="O1507" s="63">
        <v>6</v>
      </c>
      <c r="P1507" s="63">
        <v>16</v>
      </c>
      <c r="Q1507" s="63">
        <v>25</v>
      </c>
      <c r="R1507" s="63">
        <v>36</v>
      </c>
      <c r="S1507" s="63">
        <v>14</v>
      </c>
      <c r="T1507" s="63">
        <v>18</v>
      </c>
      <c r="U1507" s="62"/>
      <c r="V1507" s="63">
        <v>4</v>
      </c>
      <c r="W1507" s="63">
        <v>2</v>
      </c>
      <c r="X1507" s="62"/>
      <c r="Y1507" s="63">
        <v>23</v>
      </c>
      <c r="Z1507" s="63">
        <v>25</v>
      </c>
      <c r="AA1507" s="63">
        <v>78</v>
      </c>
      <c r="AB1507" s="63">
        <v>20</v>
      </c>
    </row>
    <row r="1508" spans="1:28" x14ac:dyDescent="0.2">
      <c r="A1508" s="62">
        <v>125</v>
      </c>
      <c r="B1508" s="62" t="s">
        <v>406</v>
      </c>
      <c r="C1508" s="62">
        <v>1</v>
      </c>
      <c r="D1508" s="62" t="s">
        <v>316</v>
      </c>
      <c r="E1508" s="63">
        <v>53</v>
      </c>
      <c r="F1508" s="63">
        <v>54</v>
      </c>
      <c r="G1508" s="63">
        <v>58</v>
      </c>
      <c r="H1508" s="63">
        <v>61</v>
      </c>
      <c r="I1508" s="63">
        <v>66</v>
      </c>
      <c r="J1508" s="63">
        <v>62</v>
      </c>
      <c r="K1508" s="63">
        <v>58</v>
      </c>
      <c r="L1508" s="63">
        <v>58</v>
      </c>
      <c r="M1508" s="63">
        <v>54</v>
      </c>
      <c r="N1508" s="63">
        <v>57</v>
      </c>
      <c r="O1508" s="63">
        <v>55</v>
      </c>
      <c r="P1508" s="63">
        <v>52</v>
      </c>
      <c r="Q1508" s="63">
        <v>48</v>
      </c>
      <c r="R1508" s="63">
        <v>46</v>
      </c>
      <c r="S1508" s="63">
        <v>42</v>
      </c>
      <c r="T1508" s="63">
        <v>45</v>
      </c>
      <c r="U1508" s="63">
        <v>44</v>
      </c>
      <c r="V1508" s="63">
        <v>46</v>
      </c>
      <c r="W1508" s="63">
        <v>44</v>
      </c>
      <c r="X1508" s="63">
        <v>45</v>
      </c>
      <c r="Y1508" s="63">
        <v>47</v>
      </c>
      <c r="Z1508" s="63">
        <v>46</v>
      </c>
      <c r="AA1508" s="63">
        <v>40</v>
      </c>
      <c r="AB1508" s="63">
        <v>43</v>
      </c>
    </row>
    <row r="1509" spans="1:28" x14ac:dyDescent="0.2">
      <c r="A1509" s="62">
        <v>125</v>
      </c>
      <c r="B1509" s="62" t="s">
        <v>406</v>
      </c>
      <c r="C1509" s="62">
        <v>10</v>
      </c>
      <c r="D1509" s="62" t="s">
        <v>317</v>
      </c>
      <c r="E1509" s="63">
        <v>4359</v>
      </c>
      <c r="F1509" s="63">
        <v>4443</v>
      </c>
      <c r="G1509" s="63">
        <v>4473</v>
      </c>
      <c r="H1509" s="63">
        <v>4455</v>
      </c>
      <c r="I1509" s="63">
        <v>4448</v>
      </c>
      <c r="J1509" s="63">
        <v>4619</v>
      </c>
      <c r="K1509" s="63">
        <v>4847</v>
      </c>
      <c r="L1509" s="63">
        <v>4985</v>
      </c>
      <c r="M1509" s="63">
        <v>4837</v>
      </c>
      <c r="N1509" s="63">
        <v>4744</v>
      </c>
      <c r="O1509" s="63">
        <v>4787</v>
      </c>
      <c r="P1509" s="63">
        <v>4806</v>
      </c>
      <c r="Q1509" s="63">
        <v>4863</v>
      </c>
      <c r="R1509" s="63">
        <v>4953</v>
      </c>
      <c r="S1509" s="63">
        <v>4906</v>
      </c>
      <c r="T1509" s="63">
        <v>4887</v>
      </c>
      <c r="U1509" s="63">
        <v>4924</v>
      </c>
      <c r="V1509" s="63">
        <v>5118</v>
      </c>
      <c r="W1509" s="63">
        <v>5291</v>
      </c>
      <c r="X1509" s="63">
        <v>4950</v>
      </c>
      <c r="Y1509" s="63">
        <v>4917</v>
      </c>
      <c r="Z1509" s="63">
        <v>4962</v>
      </c>
      <c r="AA1509" s="63">
        <v>4960</v>
      </c>
      <c r="AB1509" s="63">
        <v>5111</v>
      </c>
    </row>
    <row r="1510" spans="1:28" x14ac:dyDescent="0.2">
      <c r="A1510" s="62">
        <v>125</v>
      </c>
      <c r="B1510" s="62" t="s">
        <v>406</v>
      </c>
      <c r="C1510" s="62">
        <v>11</v>
      </c>
      <c r="D1510" s="62" t="s">
        <v>318</v>
      </c>
      <c r="E1510" s="63">
        <v>733</v>
      </c>
      <c r="F1510" s="63">
        <v>711</v>
      </c>
      <c r="G1510" s="63">
        <v>747</v>
      </c>
      <c r="H1510" s="63">
        <v>751</v>
      </c>
      <c r="I1510" s="63">
        <v>729</v>
      </c>
      <c r="J1510" s="63">
        <v>718</v>
      </c>
      <c r="K1510" s="63">
        <v>738</v>
      </c>
      <c r="L1510" s="63">
        <v>744</v>
      </c>
      <c r="M1510" s="63">
        <v>734</v>
      </c>
      <c r="N1510" s="63">
        <v>748</v>
      </c>
      <c r="O1510" s="63">
        <v>761</v>
      </c>
      <c r="P1510" s="63">
        <v>794</v>
      </c>
      <c r="Q1510" s="63">
        <v>828</v>
      </c>
      <c r="R1510" s="63">
        <v>816</v>
      </c>
      <c r="S1510" s="63">
        <v>860</v>
      </c>
      <c r="T1510" s="63">
        <v>904</v>
      </c>
      <c r="U1510" s="63">
        <v>914</v>
      </c>
      <c r="V1510" s="63">
        <v>923</v>
      </c>
      <c r="W1510" s="63">
        <v>960</v>
      </c>
      <c r="X1510" s="63">
        <v>1008</v>
      </c>
      <c r="Y1510" s="63">
        <v>930</v>
      </c>
      <c r="Z1510" s="63">
        <v>898</v>
      </c>
      <c r="AA1510" s="63">
        <v>860</v>
      </c>
      <c r="AB1510" s="63">
        <v>814</v>
      </c>
    </row>
    <row r="1511" spans="1:28" x14ac:dyDescent="0.2">
      <c r="A1511" s="62">
        <v>125</v>
      </c>
      <c r="B1511" s="62" t="s">
        <v>406</v>
      </c>
      <c r="C1511" s="62">
        <v>2</v>
      </c>
      <c r="D1511" s="62" t="s">
        <v>319</v>
      </c>
      <c r="E1511" s="63">
        <v>41</v>
      </c>
      <c r="F1511" s="63">
        <v>40</v>
      </c>
      <c r="G1511" s="63">
        <v>45</v>
      </c>
      <c r="H1511" s="63">
        <v>46</v>
      </c>
      <c r="I1511" s="63">
        <v>42</v>
      </c>
      <c r="J1511" s="63">
        <v>40</v>
      </c>
      <c r="K1511" s="63">
        <v>38</v>
      </c>
      <c r="L1511" s="63">
        <v>36</v>
      </c>
      <c r="M1511" s="63">
        <v>38</v>
      </c>
      <c r="N1511" s="63">
        <v>35</v>
      </c>
      <c r="O1511" s="63">
        <v>38</v>
      </c>
      <c r="P1511" s="63">
        <v>34</v>
      </c>
      <c r="Q1511" s="63">
        <v>36</v>
      </c>
      <c r="R1511" s="63">
        <v>36</v>
      </c>
      <c r="S1511" s="63">
        <v>51</v>
      </c>
      <c r="T1511" s="63">
        <v>55</v>
      </c>
      <c r="U1511" s="63">
        <v>55</v>
      </c>
      <c r="V1511" s="63">
        <v>54</v>
      </c>
      <c r="W1511" s="63">
        <v>53</v>
      </c>
      <c r="X1511" s="63">
        <v>53</v>
      </c>
      <c r="Y1511" s="63">
        <v>51</v>
      </c>
      <c r="Z1511" s="63">
        <v>54</v>
      </c>
      <c r="AA1511" s="63">
        <v>53</v>
      </c>
      <c r="AB1511" s="63">
        <v>54</v>
      </c>
    </row>
    <row r="1512" spans="1:28" x14ac:dyDescent="0.2">
      <c r="A1512" s="62">
        <v>125</v>
      </c>
      <c r="B1512" s="62" t="s">
        <v>406</v>
      </c>
      <c r="C1512" s="62">
        <v>21</v>
      </c>
      <c r="D1512" s="64" t="s">
        <v>320</v>
      </c>
      <c r="E1512" s="65"/>
      <c r="F1512" s="65"/>
      <c r="G1512" s="63">
        <v>139</v>
      </c>
      <c r="H1512" s="63">
        <v>174</v>
      </c>
      <c r="I1512" s="63">
        <v>215</v>
      </c>
      <c r="J1512" s="63">
        <v>283</v>
      </c>
      <c r="K1512" s="63">
        <v>380</v>
      </c>
      <c r="L1512" s="63">
        <v>420</v>
      </c>
      <c r="M1512" s="63">
        <v>309</v>
      </c>
      <c r="N1512" s="63">
        <v>248</v>
      </c>
      <c r="O1512" s="63">
        <v>304</v>
      </c>
      <c r="P1512" s="63">
        <v>265</v>
      </c>
      <c r="Q1512" s="63">
        <v>242</v>
      </c>
      <c r="R1512" s="63">
        <v>259</v>
      </c>
      <c r="S1512" s="63">
        <v>199</v>
      </c>
      <c r="T1512" s="63">
        <v>107</v>
      </c>
      <c r="U1512" s="63">
        <v>112</v>
      </c>
      <c r="V1512" s="63">
        <v>104</v>
      </c>
      <c r="W1512" s="63">
        <v>108</v>
      </c>
      <c r="X1512" s="63">
        <v>101</v>
      </c>
      <c r="Y1512" s="63">
        <v>101</v>
      </c>
      <c r="Z1512" s="63">
        <v>113</v>
      </c>
      <c r="AA1512" s="63">
        <v>101</v>
      </c>
      <c r="AB1512" s="63">
        <v>95</v>
      </c>
    </row>
    <row r="1513" spans="1:28" x14ac:dyDescent="0.2">
      <c r="A1513" s="62">
        <v>125</v>
      </c>
      <c r="B1513" s="62" t="s">
        <v>406</v>
      </c>
      <c r="C1513" s="62">
        <v>22</v>
      </c>
      <c r="D1513" s="62" t="s">
        <v>321</v>
      </c>
      <c r="E1513" s="62"/>
      <c r="F1513" s="62"/>
      <c r="G1513" s="62"/>
      <c r="H1513" s="63">
        <v>0</v>
      </c>
      <c r="I1513" s="63">
        <v>3</v>
      </c>
      <c r="J1513" s="62"/>
      <c r="K1513" s="62"/>
      <c r="L1513" s="63">
        <v>4</v>
      </c>
      <c r="M1513" s="62"/>
      <c r="N1513" s="63">
        <v>7</v>
      </c>
      <c r="O1513" s="63">
        <v>9</v>
      </c>
      <c r="P1513" s="62"/>
      <c r="Q1513" s="63">
        <v>12</v>
      </c>
      <c r="R1513" s="63">
        <v>12</v>
      </c>
      <c r="S1513" s="63">
        <v>15</v>
      </c>
      <c r="T1513" s="63">
        <v>15</v>
      </c>
      <c r="U1513" s="62"/>
      <c r="V1513" s="62"/>
      <c r="W1513" s="62"/>
      <c r="X1513" s="63">
        <v>8</v>
      </c>
      <c r="Y1513" s="63">
        <v>8</v>
      </c>
      <c r="Z1513" s="62"/>
      <c r="AA1513" s="62"/>
      <c r="AB1513" s="62"/>
    </row>
    <row r="1514" spans="1:28" x14ac:dyDescent="0.2">
      <c r="A1514" s="62">
        <v>125</v>
      </c>
      <c r="B1514" s="62" t="s">
        <v>406</v>
      </c>
      <c r="C1514" s="62">
        <v>23</v>
      </c>
      <c r="D1514" s="62" t="s">
        <v>322</v>
      </c>
      <c r="E1514" s="63">
        <v>191</v>
      </c>
      <c r="F1514" s="63">
        <v>194</v>
      </c>
      <c r="G1514" s="63">
        <v>203</v>
      </c>
      <c r="H1514" s="63">
        <v>201</v>
      </c>
      <c r="I1514" s="63">
        <v>212</v>
      </c>
      <c r="J1514" s="63">
        <v>243</v>
      </c>
      <c r="K1514" s="63">
        <v>274</v>
      </c>
      <c r="L1514" s="63">
        <v>247</v>
      </c>
      <c r="M1514" s="63">
        <v>224</v>
      </c>
      <c r="N1514" s="63">
        <v>218</v>
      </c>
      <c r="O1514" s="63">
        <v>241</v>
      </c>
      <c r="P1514" s="63">
        <v>237</v>
      </c>
      <c r="Q1514" s="63">
        <v>259</v>
      </c>
      <c r="R1514" s="63">
        <v>287</v>
      </c>
      <c r="S1514" s="63">
        <v>300</v>
      </c>
      <c r="T1514" s="63">
        <v>260</v>
      </c>
      <c r="U1514" s="63">
        <v>281</v>
      </c>
      <c r="V1514" s="63">
        <v>488</v>
      </c>
      <c r="W1514" s="63">
        <v>618</v>
      </c>
      <c r="X1514" s="63">
        <v>282</v>
      </c>
      <c r="Y1514" s="63">
        <v>290</v>
      </c>
      <c r="Z1514" s="63">
        <v>276</v>
      </c>
      <c r="AA1514" s="63">
        <v>284</v>
      </c>
      <c r="AB1514" s="63">
        <v>299</v>
      </c>
    </row>
    <row r="1515" spans="1:28" x14ac:dyDescent="0.2">
      <c r="A1515" s="62">
        <v>125</v>
      </c>
      <c r="B1515" s="62" t="s">
        <v>406</v>
      </c>
      <c r="C1515" s="62">
        <v>3</v>
      </c>
      <c r="D1515" s="62" t="s">
        <v>323</v>
      </c>
      <c r="E1515" s="63">
        <v>771</v>
      </c>
      <c r="F1515" s="63">
        <v>798</v>
      </c>
      <c r="G1515" s="63">
        <v>790</v>
      </c>
      <c r="H1515" s="63">
        <v>793</v>
      </c>
      <c r="I1515" s="63">
        <v>827</v>
      </c>
      <c r="J1515" s="63">
        <v>886</v>
      </c>
      <c r="K1515" s="63">
        <v>877</v>
      </c>
      <c r="L1515" s="63">
        <v>917</v>
      </c>
      <c r="M1515" s="63">
        <v>922</v>
      </c>
      <c r="N1515" s="63">
        <v>907</v>
      </c>
      <c r="O1515" s="63">
        <v>887</v>
      </c>
      <c r="P1515" s="63">
        <v>898</v>
      </c>
      <c r="Q1515" s="63">
        <v>915</v>
      </c>
      <c r="R1515" s="63">
        <v>904</v>
      </c>
      <c r="S1515" s="63">
        <v>884</v>
      </c>
      <c r="T1515" s="63">
        <v>902</v>
      </c>
      <c r="U1515" s="63">
        <v>914</v>
      </c>
      <c r="V1515" s="63">
        <v>925</v>
      </c>
      <c r="W1515" s="63">
        <v>932</v>
      </c>
      <c r="X1515" s="63">
        <v>915</v>
      </c>
      <c r="Y1515" s="63">
        <v>934</v>
      </c>
      <c r="Z1515" s="63">
        <v>940</v>
      </c>
      <c r="AA1515" s="63">
        <v>950</v>
      </c>
      <c r="AB1515" s="63">
        <v>968</v>
      </c>
    </row>
    <row r="1516" spans="1:28" x14ac:dyDescent="0.2">
      <c r="A1516" s="62">
        <v>125</v>
      </c>
      <c r="B1516" s="62" t="s">
        <v>406</v>
      </c>
      <c r="C1516" s="62" t="s">
        <v>324</v>
      </c>
      <c r="D1516" s="62" t="s">
        <v>325</v>
      </c>
      <c r="E1516" s="63">
        <v>106</v>
      </c>
      <c r="F1516" s="63">
        <v>100</v>
      </c>
      <c r="G1516" s="63">
        <v>96</v>
      </c>
      <c r="H1516" s="63">
        <v>68</v>
      </c>
      <c r="I1516" s="63">
        <v>62</v>
      </c>
      <c r="J1516" s="63">
        <v>67</v>
      </c>
      <c r="K1516" s="63">
        <v>83</v>
      </c>
      <c r="L1516" s="63">
        <v>92</v>
      </c>
      <c r="M1516" s="63">
        <v>83</v>
      </c>
      <c r="N1516" s="63">
        <v>76</v>
      </c>
      <c r="O1516" s="63">
        <v>92</v>
      </c>
      <c r="P1516" s="63">
        <v>96</v>
      </c>
      <c r="Q1516" s="63">
        <v>92</v>
      </c>
      <c r="R1516" s="63">
        <v>91</v>
      </c>
      <c r="S1516" s="63">
        <v>93</v>
      </c>
      <c r="T1516" s="63">
        <v>103</v>
      </c>
      <c r="U1516" s="63">
        <v>105</v>
      </c>
      <c r="V1516" s="63">
        <v>108</v>
      </c>
      <c r="W1516" s="63">
        <v>103</v>
      </c>
      <c r="X1516" s="63">
        <v>116</v>
      </c>
      <c r="Y1516" s="63">
        <v>119</v>
      </c>
      <c r="Z1516" s="63">
        <v>125</v>
      </c>
      <c r="AA1516" s="63">
        <v>136</v>
      </c>
      <c r="AB1516" s="63">
        <v>163</v>
      </c>
    </row>
    <row r="1517" spans="1:28" x14ac:dyDescent="0.2">
      <c r="A1517" s="62">
        <v>125</v>
      </c>
      <c r="B1517" s="62" t="s">
        <v>406</v>
      </c>
      <c r="C1517" s="62">
        <v>42</v>
      </c>
      <c r="D1517" s="62" t="s">
        <v>326</v>
      </c>
      <c r="E1517" s="63">
        <v>275</v>
      </c>
      <c r="F1517" s="63">
        <v>278</v>
      </c>
      <c r="G1517" s="63">
        <v>255</v>
      </c>
      <c r="H1517" s="63">
        <v>238</v>
      </c>
      <c r="I1517" s="63">
        <v>239</v>
      </c>
      <c r="J1517" s="63">
        <v>241</v>
      </c>
      <c r="K1517" s="63">
        <v>231</v>
      </c>
      <c r="L1517" s="63">
        <v>209</v>
      </c>
      <c r="M1517" s="63">
        <v>220</v>
      </c>
      <c r="N1517" s="63">
        <v>219</v>
      </c>
      <c r="O1517" s="63">
        <v>219</v>
      </c>
      <c r="P1517" s="63">
        <v>236</v>
      </c>
      <c r="Q1517" s="63">
        <v>261</v>
      </c>
      <c r="R1517" s="63">
        <v>271</v>
      </c>
      <c r="S1517" s="63">
        <v>305</v>
      </c>
      <c r="T1517" s="63">
        <v>327</v>
      </c>
      <c r="U1517" s="63">
        <v>278</v>
      </c>
      <c r="V1517" s="63">
        <v>254</v>
      </c>
      <c r="W1517" s="63">
        <v>269</v>
      </c>
      <c r="X1517" s="63">
        <v>252</v>
      </c>
      <c r="Y1517" s="63">
        <v>239</v>
      </c>
      <c r="Z1517" s="63">
        <v>230</v>
      </c>
      <c r="AA1517" s="63">
        <v>223</v>
      </c>
      <c r="AB1517" s="63">
        <v>227</v>
      </c>
    </row>
    <row r="1518" spans="1:28" x14ac:dyDescent="0.2">
      <c r="A1518" s="62">
        <v>125</v>
      </c>
      <c r="B1518" s="62" t="s">
        <v>406</v>
      </c>
      <c r="C1518" s="62" t="s">
        <v>327</v>
      </c>
      <c r="D1518" s="62" t="s">
        <v>328</v>
      </c>
      <c r="E1518" s="63">
        <v>504</v>
      </c>
      <c r="F1518" s="63">
        <v>529</v>
      </c>
      <c r="G1518" s="63">
        <v>548</v>
      </c>
      <c r="H1518" s="63">
        <v>551</v>
      </c>
      <c r="I1518" s="63">
        <v>547</v>
      </c>
      <c r="J1518" s="63">
        <v>517</v>
      </c>
      <c r="K1518" s="63">
        <v>518</v>
      </c>
      <c r="L1518" s="63">
        <v>548</v>
      </c>
      <c r="M1518" s="63">
        <v>537</v>
      </c>
      <c r="N1518" s="63">
        <v>538</v>
      </c>
      <c r="O1518" s="63">
        <v>556</v>
      </c>
      <c r="P1518" s="63">
        <v>534</v>
      </c>
      <c r="Q1518" s="63">
        <v>537</v>
      </c>
      <c r="R1518" s="63">
        <v>542</v>
      </c>
      <c r="S1518" s="63">
        <v>543</v>
      </c>
      <c r="T1518" s="63">
        <v>535</v>
      </c>
      <c r="U1518" s="63">
        <v>531</v>
      </c>
      <c r="V1518" s="63">
        <v>530</v>
      </c>
      <c r="W1518" s="63">
        <v>526</v>
      </c>
      <c r="X1518" s="63">
        <v>519</v>
      </c>
      <c r="Y1518" s="63">
        <v>508</v>
      </c>
      <c r="Z1518" s="63">
        <v>498</v>
      </c>
      <c r="AA1518" s="63">
        <v>506</v>
      </c>
      <c r="AB1518" s="63">
        <v>520</v>
      </c>
    </row>
    <row r="1519" spans="1:28" x14ac:dyDescent="0.2">
      <c r="A1519" s="62">
        <v>125</v>
      </c>
      <c r="B1519" s="62" t="s">
        <v>406</v>
      </c>
      <c r="C1519" s="62" t="s">
        <v>329</v>
      </c>
      <c r="D1519" s="62" t="s">
        <v>330</v>
      </c>
      <c r="E1519" s="63">
        <v>116</v>
      </c>
      <c r="F1519" s="63">
        <v>138</v>
      </c>
      <c r="G1519" s="63">
        <v>132</v>
      </c>
      <c r="H1519" s="63">
        <v>130</v>
      </c>
      <c r="I1519" s="63">
        <v>123</v>
      </c>
      <c r="J1519" s="63">
        <v>124</v>
      </c>
      <c r="K1519" s="63">
        <v>131</v>
      </c>
      <c r="L1519" s="63">
        <v>154</v>
      </c>
      <c r="M1519" s="63">
        <v>164</v>
      </c>
      <c r="N1519" s="63">
        <v>160</v>
      </c>
      <c r="O1519" s="63">
        <v>111</v>
      </c>
      <c r="P1519" s="63">
        <v>120</v>
      </c>
      <c r="Q1519" s="63">
        <v>115</v>
      </c>
      <c r="R1519" s="63">
        <v>144</v>
      </c>
      <c r="S1519" s="63">
        <v>147</v>
      </c>
      <c r="T1519" s="63">
        <v>159</v>
      </c>
      <c r="U1519" s="63">
        <v>161</v>
      </c>
      <c r="V1519" s="63">
        <v>163</v>
      </c>
      <c r="W1519" s="63">
        <v>176</v>
      </c>
      <c r="X1519" s="63">
        <v>179</v>
      </c>
      <c r="Y1519" s="63">
        <v>180</v>
      </c>
      <c r="Z1519" s="63">
        <v>171</v>
      </c>
      <c r="AA1519" s="63">
        <v>200</v>
      </c>
      <c r="AB1519" s="63">
        <v>195</v>
      </c>
    </row>
    <row r="1520" spans="1:28" x14ac:dyDescent="0.2">
      <c r="A1520" s="62">
        <v>125</v>
      </c>
      <c r="B1520" s="62" t="s">
        <v>406</v>
      </c>
      <c r="C1520" s="62">
        <v>51</v>
      </c>
      <c r="D1520" s="62" t="s">
        <v>331</v>
      </c>
      <c r="E1520" s="63">
        <v>48</v>
      </c>
      <c r="F1520" s="63">
        <v>63</v>
      </c>
      <c r="G1520" s="63">
        <v>63</v>
      </c>
      <c r="H1520" s="63">
        <v>69</v>
      </c>
      <c r="I1520" s="63">
        <v>69</v>
      </c>
      <c r="J1520" s="63">
        <v>63</v>
      </c>
      <c r="K1520" s="63">
        <v>62</v>
      </c>
      <c r="L1520" s="63">
        <v>58</v>
      </c>
      <c r="M1520" s="63">
        <v>59</v>
      </c>
      <c r="N1520" s="63">
        <v>48</v>
      </c>
      <c r="O1520" s="63">
        <v>50</v>
      </c>
      <c r="P1520" s="63">
        <v>47</v>
      </c>
      <c r="Q1520" s="63">
        <v>38</v>
      </c>
      <c r="R1520" s="63">
        <v>31</v>
      </c>
      <c r="S1520" s="63">
        <v>31</v>
      </c>
      <c r="T1520" s="63">
        <v>33</v>
      </c>
      <c r="U1520" s="63">
        <v>27</v>
      </c>
      <c r="V1520" s="63">
        <v>29</v>
      </c>
      <c r="W1520" s="63">
        <v>30</v>
      </c>
      <c r="X1520" s="63">
        <v>29</v>
      </c>
      <c r="Y1520" s="63">
        <v>26</v>
      </c>
      <c r="Z1520" s="63">
        <v>24</v>
      </c>
      <c r="AA1520" s="63">
        <v>24</v>
      </c>
      <c r="AB1520" s="63">
        <v>25</v>
      </c>
    </row>
    <row r="1521" spans="1:28" x14ac:dyDescent="0.2">
      <c r="A1521" s="62">
        <v>125</v>
      </c>
      <c r="B1521" s="62" t="s">
        <v>406</v>
      </c>
      <c r="C1521" s="62">
        <v>52</v>
      </c>
      <c r="D1521" s="62" t="s">
        <v>332</v>
      </c>
      <c r="E1521" s="63">
        <v>243</v>
      </c>
      <c r="F1521" s="63">
        <v>239</v>
      </c>
      <c r="G1521" s="63">
        <v>202</v>
      </c>
      <c r="H1521" s="63">
        <v>199</v>
      </c>
      <c r="I1521" s="63">
        <v>208</v>
      </c>
      <c r="J1521" s="63">
        <v>226</v>
      </c>
      <c r="K1521" s="63">
        <v>226</v>
      </c>
      <c r="L1521" s="63">
        <v>219</v>
      </c>
      <c r="M1521" s="63">
        <v>214</v>
      </c>
      <c r="N1521" s="63">
        <v>202</v>
      </c>
      <c r="O1521" s="63">
        <v>180</v>
      </c>
      <c r="P1521" s="63">
        <v>192</v>
      </c>
      <c r="Q1521" s="63">
        <v>198</v>
      </c>
      <c r="R1521" s="63">
        <v>203</v>
      </c>
      <c r="S1521" s="63">
        <v>202</v>
      </c>
      <c r="T1521" s="63">
        <v>208</v>
      </c>
      <c r="U1521" s="63">
        <v>204</v>
      </c>
      <c r="V1521" s="63">
        <v>201</v>
      </c>
      <c r="W1521" s="63">
        <v>205</v>
      </c>
      <c r="X1521" s="63">
        <v>195</v>
      </c>
      <c r="Y1521" s="63">
        <v>194</v>
      </c>
      <c r="Z1521" s="63">
        <v>202</v>
      </c>
      <c r="AA1521" s="63">
        <v>206</v>
      </c>
      <c r="AB1521" s="63">
        <v>214</v>
      </c>
    </row>
    <row r="1522" spans="1:28" x14ac:dyDescent="0.2">
      <c r="A1522" s="62">
        <v>125</v>
      </c>
      <c r="B1522" s="62" t="s">
        <v>406</v>
      </c>
      <c r="C1522" s="62">
        <v>53</v>
      </c>
      <c r="D1522" s="62" t="s">
        <v>333</v>
      </c>
      <c r="E1522" s="63">
        <v>70</v>
      </c>
      <c r="F1522" s="63">
        <v>77</v>
      </c>
      <c r="G1522" s="63">
        <v>86</v>
      </c>
      <c r="H1522" s="63">
        <v>89</v>
      </c>
      <c r="I1522" s="63">
        <v>94</v>
      </c>
      <c r="J1522" s="63">
        <v>103</v>
      </c>
      <c r="K1522" s="63">
        <v>114</v>
      </c>
      <c r="L1522" s="63">
        <v>95</v>
      </c>
      <c r="M1522" s="63">
        <v>127</v>
      </c>
      <c r="N1522" s="63">
        <v>131</v>
      </c>
      <c r="O1522" s="63">
        <v>140</v>
      </c>
      <c r="P1522" s="63">
        <v>149</v>
      </c>
      <c r="Q1522" s="63">
        <v>146</v>
      </c>
      <c r="R1522" s="63">
        <v>147</v>
      </c>
      <c r="S1522" s="63">
        <v>138</v>
      </c>
      <c r="T1522" s="63">
        <v>142</v>
      </c>
      <c r="U1522" s="63">
        <v>130</v>
      </c>
      <c r="V1522" s="63">
        <v>142</v>
      </c>
      <c r="W1522" s="63">
        <v>140</v>
      </c>
      <c r="X1522" s="63">
        <v>139</v>
      </c>
      <c r="Y1522" s="63">
        <v>147</v>
      </c>
      <c r="Z1522" s="63">
        <v>150</v>
      </c>
      <c r="AA1522" s="63">
        <v>132</v>
      </c>
      <c r="AB1522" s="63">
        <v>126</v>
      </c>
    </row>
    <row r="1523" spans="1:28" x14ac:dyDescent="0.2">
      <c r="A1523" s="62">
        <v>125</v>
      </c>
      <c r="B1523" s="62" t="s">
        <v>406</v>
      </c>
      <c r="C1523" s="62">
        <v>54</v>
      </c>
      <c r="D1523" s="62" t="s">
        <v>334</v>
      </c>
      <c r="E1523" s="63">
        <v>111</v>
      </c>
      <c r="F1523" s="63">
        <v>113</v>
      </c>
      <c r="G1523" s="63">
        <v>119</v>
      </c>
      <c r="H1523" s="63">
        <v>111</v>
      </c>
      <c r="I1523" s="63">
        <v>100</v>
      </c>
      <c r="J1523" s="63">
        <v>108</v>
      </c>
      <c r="K1523" s="63">
        <v>111</v>
      </c>
      <c r="L1523" s="63">
        <v>115</v>
      </c>
      <c r="M1523" s="63">
        <v>117</v>
      </c>
      <c r="N1523" s="63">
        <v>115</v>
      </c>
      <c r="O1523" s="63">
        <v>120</v>
      </c>
      <c r="P1523" s="63">
        <v>115</v>
      </c>
      <c r="Q1523" s="63">
        <v>142</v>
      </c>
      <c r="R1523" s="63">
        <v>141</v>
      </c>
      <c r="S1523" s="63">
        <v>145</v>
      </c>
      <c r="T1523" s="63">
        <v>141</v>
      </c>
      <c r="U1523" s="63">
        <v>142</v>
      </c>
      <c r="V1523" s="63">
        <v>142</v>
      </c>
      <c r="W1523" s="63">
        <v>134</v>
      </c>
      <c r="X1523" s="63">
        <v>142</v>
      </c>
      <c r="Y1523" s="63">
        <v>153</v>
      </c>
      <c r="Z1523" s="63">
        <v>168</v>
      </c>
      <c r="AA1523" s="63">
        <v>174</v>
      </c>
      <c r="AB1523" s="63">
        <v>175</v>
      </c>
    </row>
    <row r="1524" spans="1:28" x14ac:dyDescent="0.2">
      <c r="A1524" s="62">
        <v>125</v>
      </c>
      <c r="B1524" s="62" t="s">
        <v>406</v>
      </c>
      <c r="C1524" s="62">
        <v>55</v>
      </c>
      <c r="D1524" s="64" t="s">
        <v>335</v>
      </c>
      <c r="E1524" s="65"/>
      <c r="F1524" s="65"/>
      <c r="G1524" s="65"/>
      <c r="H1524" s="62"/>
      <c r="I1524" s="62"/>
      <c r="J1524" s="62"/>
      <c r="K1524" s="62"/>
      <c r="L1524" s="62"/>
      <c r="M1524" s="62"/>
      <c r="N1524" s="62"/>
      <c r="O1524" s="62"/>
      <c r="P1524" s="62"/>
      <c r="Q1524" s="62"/>
      <c r="R1524" s="63">
        <v>27</v>
      </c>
      <c r="S1524" s="62"/>
      <c r="T1524" s="63">
        <v>1</v>
      </c>
      <c r="U1524" s="62"/>
      <c r="V1524" s="62"/>
      <c r="W1524" s="62"/>
      <c r="X1524" s="62"/>
      <c r="Y1524" s="62"/>
      <c r="Z1524" s="62"/>
      <c r="AA1524" s="62"/>
      <c r="AB1524" s="62"/>
    </row>
    <row r="1525" spans="1:28" x14ac:dyDescent="0.2">
      <c r="A1525" s="62">
        <v>125</v>
      </c>
      <c r="B1525" s="62" t="s">
        <v>406</v>
      </c>
      <c r="C1525" s="62">
        <v>56</v>
      </c>
      <c r="D1525" s="62" t="s">
        <v>336</v>
      </c>
      <c r="E1525" s="63">
        <v>32</v>
      </c>
      <c r="F1525" s="63">
        <v>54</v>
      </c>
      <c r="G1525" s="63">
        <v>48</v>
      </c>
      <c r="H1525" s="63">
        <v>45</v>
      </c>
      <c r="I1525" s="63">
        <v>55</v>
      </c>
      <c r="J1525" s="63">
        <v>51</v>
      </c>
      <c r="K1525" s="63">
        <v>90</v>
      </c>
      <c r="L1525" s="63">
        <v>101</v>
      </c>
      <c r="M1525" s="63">
        <v>93</v>
      </c>
      <c r="N1525" s="63">
        <v>93</v>
      </c>
      <c r="O1525" s="63">
        <v>82</v>
      </c>
      <c r="P1525" s="63">
        <v>101</v>
      </c>
      <c r="Q1525" s="63">
        <v>108</v>
      </c>
      <c r="R1525" s="63">
        <v>105</v>
      </c>
      <c r="S1525" s="63">
        <v>92</v>
      </c>
      <c r="T1525" s="63">
        <v>114</v>
      </c>
      <c r="U1525" s="63">
        <v>128</v>
      </c>
      <c r="V1525" s="63">
        <v>146</v>
      </c>
      <c r="W1525" s="63">
        <v>175</v>
      </c>
      <c r="X1525" s="63">
        <v>167</v>
      </c>
      <c r="Y1525" s="63">
        <v>159</v>
      </c>
      <c r="Z1525" s="63">
        <v>156</v>
      </c>
      <c r="AA1525" s="63">
        <v>161</v>
      </c>
      <c r="AB1525" s="63">
        <v>219</v>
      </c>
    </row>
    <row r="1526" spans="1:28" x14ac:dyDescent="0.2">
      <c r="A1526" s="62">
        <v>125</v>
      </c>
      <c r="B1526" s="62" t="s">
        <v>406</v>
      </c>
      <c r="C1526" s="62">
        <v>61</v>
      </c>
      <c r="D1526" s="64" t="s">
        <v>337</v>
      </c>
      <c r="E1526" s="65"/>
      <c r="F1526" s="62"/>
      <c r="G1526" s="62"/>
      <c r="H1526" s="62"/>
      <c r="I1526" s="62"/>
      <c r="J1526" s="62"/>
      <c r="K1526" s="63">
        <v>6</v>
      </c>
      <c r="L1526" s="63">
        <v>4</v>
      </c>
      <c r="M1526" s="63">
        <v>7</v>
      </c>
      <c r="N1526" s="62"/>
      <c r="O1526" s="63">
        <v>8</v>
      </c>
      <c r="P1526" s="62"/>
      <c r="Q1526" s="62"/>
      <c r="R1526" s="62"/>
      <c r="S1526" s="63">
        <v>20</v>
      </c>
      <c r="T1526" s="63">
        <v>21</v>
      </c>
      <c r="U1526" s="63">
        <v>19</v>
      </c>
      <c r="V1526" s="63">
        <v>29</v>
      </c>
      <c r="W1526" s="63">
        <v>27</v>
      </c>
      <c r="X1526" s="63">
        <v>25</v>
      </c>
      <c r="Y1526" s="63">
        <v>27</v>
      </c>
      <c r="Z1526" s="63">
        <v>35</v>
      </c>
      <c r="AA1526" s="62"/>
      <c r="AB1526" s="63">
        <v>8</v>
      </c>
    </row>
    <row r="1527" spans="1:28" x14ac:dyDescent="0.2">
      <c r="A1527" s="62">
        <v>125</v>
      </c>
      <c r="B1527" s="62" t="s">
        <v>406</v>
      </c>
      <c r="C1527" s="62">
        <v>62</v>
      </c>
      <c r="D1527" s="62" t="s">
        <v>338</v>
      </c>
      <c r="E1527" s="63">
        <v>333</v>
      </c>
      <c r="F1527" s="63">
        <v>326</v>
      </c>
      <c r="G1527" s="63">
        <v>325</v>
      </c>
      <c r="H1527" s="63">
        <v>302</v>
      </c>
      <c r="I1527" s="63">
        <v>300</v>
      </c>
      <c r="J1527" s="63">
        <v>372</v>
      </c>
      <c r="K1527" s="63">
        <v>372</v>
      </c>
      <c r="L1527" s="63">
        <v>378</v>
      </c>
      <c r="M1527" s="63">
        <v>348</v>
      </c>
      <c r="N1527" s="63">
        <v>359</v>
      </c>
      <c r="O1527" s="63">
        <v>356</v>
      </c>
      <c r="P1527" s="63">
        <v>352</v>
      </c>
      <c r="Q1527" s="63">
        <v>350</v>
      </c>
      <c r="R1527" s="63">
        <v>366</v>
      </c>
      <c r="S1527" s="63">
        <v>344</v>
      </c>
      <c r="T1527" s="63">
        <v>313</v>
      </c>
      <c r="U1527" s="63">
        <v>329</v>
      </c>
      <c r="V1527" s="63">
        <v>310</v>
      </c>
      <c r="W1527" s="63">
        <v>288</v>
      </c>
      <c r="X1527" s="63">
        <v>262</v>
      </c>
      <c r="Y1527" s="63">
        <v>275</v>
      </c>
      <c r="Z1527" s="63">
        <v>300</v>
      </c>
      <c r="AA1527" s="63">
        <v>301</v>
      </c>
      <c r="AB1527" s="63">
        <v>312</v>
      </c>
    </row>
    <row r="1528" spans="1:28" x14ac:dyDescent="0.2">
      <c r="A1528" s="62">
        <v>125</v>
      </c>
      <c r="B1528" s="62" t="s">
        <v>406</v>
      </c>
      <c r="C1528" s="62">
        <v>71</v>
      </c>
      <c r="D1528" s="62" t="s">
        <v>339</v>
      </c>
      <c r="E1528" s="63">
        <v>44</v>
      </c>
      <c r="F1528" s="63">
        <v>30</v>
      </c>
      <c r="G1528" s="63">
        <v>38</v>
      </c>
      <c r="H1528" s="63">
        <v>27</v>
      </c>
      <c r="I1528" s="63">
        <v>29</v>
      </c>
      <c r="J1528" s="63">
        <v>36</v>
      </c>
      <c r="K1528" s="63">
        <v>38</v>
      </c>
      <c r="L1528" s="63">
        <v>19</v>
      </c>
      <c r="M1528" s="63">
        <v>26</v>
      </c>
      <c r="N1528" s="63">
        <v>42</v>
      </c>
      <c r="O1528" s="63">
        <v>54</v>
      </c>
      <c r="P1528" s="63">
        <v>31</v>
      </c>
      <c r="Q1528" s="63">
        <v>34</v>
      </c>
      <c r="R1528" s="63">
        <v>40</v>
      </c>
      <c r="S1528" s="63">
        <v>44</v>
      </c>
      <c r="T1528" s="63">
        <v>43</v>
      </c>
      <c r="U1528" s="63">
        <v>49</v>
      </c>
      <c r="V1528" s="63">
        <v>54</v>
      </c>
      <c r="W1528" s="63">
        <v>56</v>
      </c>
      <c r="X1528" s="63">
        <v>50</v>
      </c>
      <c r="Y1528" s="63">
        <v>62</v>
      </c>
      <c r="Z1528" s="63">
        <v>72</v>
      </c>
      <c r="AA1528" s="63">
        <v>80</v>
      </c>
      <c r="AB1528" s="63">
        <v>195</v>
      </c>
    </row>
    <row r="1529" spans="1:28" x14ac:dyDescent="0.2">
      <c r="A1529" s="62">
        <v>125</v>
      </c>
      <c r="B1529" s="62" t="s">
        <v>406</v>
      </c>
      <c r="C1529" s="62">
        <v>72</v>
      </c>
      <c r="D1529" s="62" t="s">
        <v>340</v>
      </c>
      <c r="E1529" s="63">
        <v>243</v>
      </c>
      <c r="F1529" s="63">
        <v>252</v>
      </c>
      <c r="G1529" s="63">
        <v>273</v>
      </c>
      <c r="H1529" s="63">
        <v>294</v>
      </c>
      <c r="I1529" s="63">
        <v>267</v>
      </c>
      <c r="J1529" s="63">
        <v>254</v>
      </c>
      <c r="K1529" s="63">
        <v>277</v>
      </c>
      <c r="L1529" s="63">
        <v>323</v>
      </c>
      <c r="M1529" s="63">
        <v>325</v>
      </c>
      <c r="N1529" s="63">
        <v>295</v>
      </c>
      <c r="O1529" s="63">
        <v>301</v>
      </c>
      <c r="P1529" s="63">
        <v>282</v>
      </c>
      <c r="Q1529" s="63">
        <v>264</v>
      </c>
      <c r="R1529" s="63">
        <v>251</v>
      </c>
      <c r="S1529" s="63">
        <v>234</v>
      </c>
      <c r="T1529" s="63">
        <v>253</v>
      </c>
      <c r="U1529" s="63">
        <v>261</v>
      </c>
      <c r="V1529" s="63">
        <v>261</v>
      </c>
      <c r="W1529" s="63">
        <v>235</v>
      </c>
      <c r="X1529" s="63">
        <v>251</v>
      </c>
      <c r="Y1529" s="63">
        <v>266</v>
      </c>
      <c r="Z1529" s="63">
        <v>282</v>
      </c>
      <c r="AA1529" s="63">
        <v>306</v>
      </c>
      <c r="AB1529" s="63">
        <v>238</v>
      </c>
    </row>
    <row r="1530" spans="1:28" x14ac:dyDescent="0.2">
      <c r="A1530" s="62">
        <v>125</v>
      </c>
      <c r="B1530" s="62" t="s">
        <v>406</v>
      </c>
      <c r="C1530" s="62">
        <v>81</v>
      </c>
      <c r="D1530" s="62" t="s">
        <v>341</v>
      </c>
      <c r="E1530" s="63">
        <v>216</v>
      </c>
      <c r="F1530" s="63">
        <v>200</v>
      </c>
      <c r="G1530" s="63">
        <v>214</v>
      </c>
      <c r="H1530" s="63">
        <v>212</v>
      </c>
      <c r="I1530" s="63">
        <v>211</v>
      </c>
      <c r="J1530" s="63">
        <v>193</v>
      </c>
      <c r="K1530" s="63">
        <v>187</v>
      </c>
      <c r="L1530" s="63">
        <v>200</v>
      </c>
      <c r="M1530" s="63">
        <v>192</v>
      </c>
      <c r="N1530" s="63">
        <v>193</v>
      </c>
      <c r="O1530" s="63">
        <v>201</v>
      </c>
      <c r="P1530" s="63">
        <v>213</v>
      </c>
      <c r="Q1530" s="63">
        <v>195</v>
      </c>
      <c r="R1530" s="63">
        <v>202</v>
      </c>
      <c r="S1530" s="63">
        <v>200</v>
      </c>
      <c r="T1530" s="63">
        <v>191</v>
      </c>
      <c r="U1530" s="63">
        <v>229</v>
      </c>
      <c r="V1530" s="63">
        <v>195</v>
      </c>
      <c r="W1530" s="63">
        <v>203</v>
      </c>
      <c r="X1530" s="63">
        <v>202</v>
      </c>
      <c r="Y1530" s="63">
        <v>190</v>
      </c>
      <c r="Z1530" s="63">
        <v>201</v>
      </c>
      <c r="AA1530" s="63">
        <v>200</v>
      </c>
      <c r="AB1530" s="63">
        <v>202</v>
      </c>
    </row>
    <row r="1531" spans="1:28" x14ac:dyDescent="0.2">
      <c r="A1531" s="62">
        <v>125</v>
      </c>
      <c r="B1531" s="62" t="s">
        <v>406</v>
      </c>
      <c r="C1531" s="62">
        <v>99</v>
      </c>
      <c r="D1531" s="62" t="s">
        <v>342</v>
      </c>
      <c r="E1531" s="62"/>
      <c r="F1531" s="62"/>
      <c r="G1531" s="62"/>
      <c r="H1531" s="62"/>
      <c r="I1531" s="63">
        <v>0</v>
      </c>
      <c r="J1531" s="62"/>
      <c r="K1531" s="62"/>
      <c r="L1531" s="62"/>
      <c r="M1531" s="62"/>
      <c r="N1531" s="62"/>
      <c r="O1531" s="62"/>
      <c r="P1531" s="62"/>
      <c r="Q1531" s="62"/>
      <c r="R1531" s="62"/>
      <c r="S1531" s="62"/>
      <c r="T1531" s="62"/>
      <c r="U1531" s="62"/>
      <c r="V1531" s="63">
        <v>1</v>
      </c>
      <c r="W1531" s="62"/>
      <c r="X1531" s="62"/>
      <c r="Y1531" s="62"/>
      <c r="Z1531" s="62"/>
      <c r="AA1531" s="63">
        <v>1</v>
      </c>
      <c r="AB1531" s="63">
        <v>1</v>
      </c>
    </row>
  </sheetData>
  <mergeCells count="178">
    <mergeCell ref="D1506:E1506"/>
    <mergeCell ref="D1512:F1512"/>
    <mergeCell ref="D1524:G1524"/>
    <mergeCell ref="D1526:E1526"/>
    <mergeCell ref="D1408:F1408"/>
    <mergeCell ref="D1413:E1413"/>
    <mergeCell ref="D1415:G1415"/>
    <mergeCell ref="D1462:E1462"/>
    <mergeCell ref="D1463:E1463"/>
    <mergeCell ref="D1479:F1479"/>
    <mergeCell ref="D1361:F1361"/>
    <mergeCell ref="D1363:F1363"/>
    <mergeCell ref="D1393:G1393"/>
    <mergeCell ref="D1397:E1397"/>
    <mergeCell ref="D1403:E1403"/>
    <mergeCell ref="D1406:E1406"/>
    <mergeCell ref="D1353:F1353"/>
    <mergeCell ref="D1355:E1355"/>
    <mergeCell ref="D1357:E1357"/>
    <mergeCell ref="D1358:F1358"/>
    <mergeCell ref="D1359:E1359"/>
    <mergeCell ref="D1360:F1360"/>
    <mergeCell ref="D1288:F1288"/>
    <mergeCell ref="D1290:E1290"/>
    <mergeCell ref="D1335:G1335"/>
    <mergeCell ref="D1345:F1345"/>
    <mergeCell ref="D1347:G1347"/>
    <mergeCell ref="D1351:E1351"/>
    <mergeCell ref="D1170:E1170"/>
    <mergeCell ref="D1172:E1172"/>
    <mergeCell ref="D1180:G1180"/>
    <mergeCell ref="D1216:G1216"/>
    <mergeCell ref="D1264:G1264"/>
    <mergeCell ref="D1266:E1266"/>
    <mergeCell ref="D1115:E1115"/>
    <mergeCell ref="D1120:G1120"/>
    <mergeCell ref="D1122:E1122"/>
    <mergeCell ref="D1144:F1144"/>
    <mergeCell ref="D1156:G1156"/>
    <mergeCell ref="D1168:G1168"/>
    <mergeCell ref="D1026:E1026"/>
    <mergeCell ref="D1048:E1048"/>
    <mergeCell ref="D1050:E1050"/>
    <mergeCell ref="D1072:G1072"/>
    <mergeCell ref="D1074:E1074"/>
    <mergeCell ref="D1084:G1084"/>
    <mergeCell ref="D976:G976"/>
    <mergeCell ref="D977:E977"/>
    <mergeCell ref="D978:E978"/>
    <mergeCell ref="D979:F979"/>
    <mergeCell ref="D1000:G1000"/>
    <mergeCell ref="D1024:G1024"/>
    <mergeCell ref="D931:E931"/>
    <mergeCell ref="D965:G965"/>
    <mergeCell ref="D968:E968"/>
    <mergeCell ref="D969:E969"/>
    <mergeCell ref="D971:F971"/>
    <mergeCell ref="D973:E973"/>
    <mergeCell ref="D887:E887"/>
    <mergeCell ref="D893:G893"/>
    <mergeCell ref="D897:E897"/>
    <mergeCell ref="D905:G905"/>
    <mergeCell ref="D907:E907"/>
    <mergeCell ref="D929:F929"/>
    <mergeCell ref="D786:E786"/>
    <mergeCell ref="D794:F794"/>
    <mergeCell ref="D796:F796"/>
    <mergeCell ref="D808:G808"/>
    <mergeCell ref="D810:E810"/>
    <mergeCell ref="D880:G880"/>
    <mergeCell ref="D749:G749"/>
    <mergeCell ref="D758:E758"/>
    <mergeCell ref="D759:F759"/>
    <mergeCell ref="D762:E762"/>
    <mergeCell ref="D764:F764"/>
    <mergeCell ref="D772:G772"/>
    <mergeCell ref="D705:E705"/>
    <mergeCell ref="D706:E706"/>
    <mergeCell ref="D710:E710"/>
    <mergeCell ref="D713:G713"/>
    <mergeCell ref="D715:E715"/>
    <mergeCell ref="D748:E748"/>
    <mergeCell ref="D667:E667"/>
    <mergeCell ref="D668:F668"/>
    <mergeCell ref="D677:G677"/>
    <mergeCell ref="D689:F689"/>
    <mergeCell ref="D690:I690"/>
    <mergeCell ref="D701:G701"/>
    <mergeCell ref="D653:G653"/>
    <mergeCell ref="D657:E657"/>
    <mergeCell ref="D658:E658"/>
    <mergeCell ref="D660:F660"/>
    <mergeCell ref="D662:E662"/>
    <mergeCell ref="D665:G665"/>
    <mergeCell ref="D593:G593"/>
    <mergeCell ref="D595:E595"/>
    <mergeCell ref="D617:E617"/>
    <mergeCell ref="D641:F641"/>
    <mergeCell ref="D651:F651"/>
    <mergeCell ref="D652:E652"/>
    <mergeCell ref="D485:G485"/>
    <mergeCell ref="D532:E532"/>
    <mergeCell ref="D545:G545"/>
    <mergeCell ref="D569:F569"/>
    <mergeCell ref="D579:F579"/>
    <mergeCell ref="D585:E585"/>
    <mergeCell ref="D409:E409"/>
    <mergeCell ref="D419:E419"/>
    <mergeCell ref="D423:E423"/>
    <mergeCell ref="D427:E427"/>
    <mergeCell ref="D429:F429"/>
    <mergeCell ref="D461:F461"/>
    <mergeCell ref="D334:F334"/>
    <mergeCell ref="D342:G342"/>
    <mergeCell ref="D354:F354"/>
    <mergeCell ref="D356:E356"/>
    <mergeCell ref="D366:E366"/>
    <mergeCell ref="D378:G378"/>
    <mergeCell ref="D318:G318"/>
    <mergeCell ref="D322:E322"/>
    <mergeCell ref="D323:E323"/>
    <mergeCell ref="D327:E327"/>
    <mergeCell ref="D330:G330"/>
    <mergeCell ref="D331:I331"/>
    <mergeCell ref="D306:G306"/>
    <mergeCell ref="D307:E307"/>
    <mergeCell ref="D308:E308"/>
    <mergeCell ref="D310:E310"/>
    <mergeCell ref="D316:F316"/>
    <mergeCell ref="D317:E317"/>
    <mergeCell ref="D282:G282"/>
    <mergeCell ref="D294:G294"/>
    <mergeCell ref="D298:E298"/>
    <mergeCell ref="D299:E299"/>
    <mergeCell ref="D301:E301"/>
    <mergeCell ref="D303:E303"/>
    <mergeCell ref="D236:E236"/>
    <mergeCell ref="D237:E237"/>
    <mergeCell ref="D239:E239"/>
    <mergeCell ref="D245:F245"/>
    <mergeCell ref="D247:G247"/>
    <mergeCell ref="D270:E270"/>
    <mergeCell ref="D193:E193"/>
    <mergeCell ref="D199:G199"/>
    <mergeCell ref="D211:G211"/>
    <mergeCell ref="D222:E222"/>
    <mergeCell ref="D227:E227"/>
    <mergeCell ref="D235:G235"/>
    <mergeCell ref="D187:E187"/>
    <mergeCell ref="D188:E188"/>
    <mergeCell ref="D189:E189"/>
    <mergeCell ref="D190:E190"/>
    <mergeCell ref="D191:E191"/>
    <mergeCell ref="D192:E192"/>
    <mergeCell ref="D179:E179"/>
    <mergeCell ref="D180:E180"/>
    <mergeCell ref="D182:E182"/>
    <mergeCell ref="D184:E184"/>
    <mergeCell ref="D185:E185"/>
    <mergeCell ref="D186:E186"/>
    <mergeCell ref="D171:E171"/>
    <mergeCell ref="D172:E172"/>
    <mergeCell ref="D173:F173"/>
    <mergeCell ref="D174:E174"/>
    <mergeCell ref="D175:E175"/>
    <mergeCell ref="D178:E178"/>
    <mergeCell ref="D127:G127"/>
    <mergeCell ref="D139:G139"/>
    <mergeCell ref="D140:I140"/>
    <mergeCell ref="D141:E141"/>
    <mergeCell ref="D143:F143"/>
    <mergeCell ref="D150:E150"/>
    <mergeCell ref="D73:E73"/>
    <mergeCell ref="D91:F91"/>
    <mergeCell ref="D103:G103"/>
    <mergeCell ref="D107:E107"/>
    <mergeCell ref="D117:E117"/>
    <mergeCell ref="D119:E1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3634D-9A8B-4442-84E6-34EBB9BB9EF8}">
  <dimension ref="A1:D66"/>
  <sheetViews>
    <sheetView workbookViewId="0">
      <selection activeCell="C2" sqref="C2"/>
    </sheetView>
  </sheetViews>
  <sheetFormatPr baseColWidth="10" defaultRowHeight="16" x14ac:dyDescent="0.2"/>
  <cols>
    <col min="1" max="1" width="21.28515625" bestFit="1" customWidth="1"/>
    <col min="3" max="3" width="12.42578125" bestFit="1" customWidth="1"/>
  </cols>
  <sheetData>
    <row r="1" spans="1:4" x14ac:dyDescent="0.2">
      <c r="A1" t="str" cm="1">
        <f t="array" ref="A1:A66">_xlfn.UNIQUE(CountyHousingProf!B2:B197)</f>
        <v>name</v>
      </c>
      <c r="B1" t="str">
        <f>CountyHousingProf!A2</f>
        <v>countyfips</v>
      </c>
      <c r="C1" t="s">
        <v>237</v>
      </c>
      <c r="D1" t="s">
        <v>235</v>
      </c>
    </row>
    <row r="2" spans="1:4" x14ac:dyDescent="0.2">
      <c r="A2" t="str">
        <v>COLORADO STATE</v>
      </c>
      <c r="B2" t="str">
        <f>_xlfn.XLOOKUP(A2,CountyHousingProf!$B$3:$B$197,CountyHousingProf!$A$3:$A$197)</f>
        <v>000</v>
      </c>
      <c r="C2" s="25">
        <f>SUM(C3:C66)</f>
        <v>104095.97000000002</v>
      </c>
    </row>
    <row r="3" spans="1:4" x14ac:dyDescent="0.2">
      <c r="A3" t="str">
        <v>ADAMS COUNTY</v>
      </c>
      <c r="B3" t="str">
        <f>_xlfn.XLOOKUP(A3,CountyHousingProf!$B$3:$B$197,CountyHousingProf!$A$3:$A$197)</f>
        <v>001</v>
      </c>
      <c r="C3" s="25">
        <v>1182.29</v>
      </c>
      <c r="D3">
        <v>3</v>
      </c>
    </row>
    <row r="4" spans="1:4" x14ac:dyDescent="0.2">
      <c r="A4" t="str">
        <v>ALAMOSA COUNTY</v>
      </c>
      <c r="B4" t="str">
        <f>_xlfn.XLOOKUP(A4,CountyHousingProf!$B$3:$B$197,CountyHousingProf!$A$3:$A$197)</f>
        <v>003</v>
      </c>
      <c r="C4" s="25">
        <v>723.21</v>
      </c>
      <c r="D4">
        <v>8</v>
      </c>
    </row>
    <row r="5" spans="1:4" x14ac:dyDescent="0.2">
      <c r="A5" t="str">
        <v>ARAPAHOE COUNTY</v>
      </c>
      <c r="B5" t="str">
        <f>_xlfn.XLOOKUP(A5,CountyHousingProf!$B$3:$B$197,CountyHousingProf!$A$3:$A$197)</f>
        <v>005</v>
      </c>
      <c r="C5" s="25">
        <v>804.41</v>
      </c>
      <c r="D5">
        <v>3</v>
      </c>
    </row>
    <row r="6" spans="1:4" x14ac:dyDescent="0.2">
      <c r="A6" t="str">
        <v>ARCHULETA COUNTY</v>
      </c>
      <c r="B6" t="str">
        <f>_xlfn.XLOOKUP(A6,CountyHousingProf!$B$3:$B$197,CountyHousingProf!$A$3:$A$197)</f>
        <v>007</v>
      </c>
      <c r="C6" s="25">
        <v>1354.53</v>
      </c>
      <c r="D6">
        <v>9</v>
      </c>
    </row>
    <row r="7" spans="1:4" x14ac:dyDescent="0.2">
      <c r="A7" t="str">
        <v>BACA COUNTY</v>
      </c>
      <c r="B7" t="str">
        <f>_xlfn.XLOOKUP(A7,CountyHousingProf!$B$3:$B$197,CountyHousingProf!$A$3:$A$197)</f>
        <v>009</v>
      </c>
      <c r="C7" s="25">
        <v>2558.48</v>
      </c>
      <c r="D7">
        <v>6</v>
      </c>
    </row>
    <row r="8" spans="1:4" x14ac:dyDescent="0.2">
      <c r="A8" t="str">
        <v>BENT COUNTY</v>
      </c>
      <c r="B8" t="str">
        <f>_xlfn.XLOOKUP(A8,CountyHousingProf!$B$3:$B$197,CountyHousingProf!$A$3:$A$197)</f>
        <v>011</v>
      </c>
      <c r="C8" s="25">
        <v>1541.07</v>
      </c>
      <c r="D8">
        <v>6</v>
      </c>
    </row>
    <row r="9" spans="1:4" x14ac:dyDescent="0.2">
      <c r="A9" t="str">
        <v>BOULDER COUNTY</v>
      </c>
      <c r="B9" t="str">
        <f>_xlfn.XLOOKUP(A9,CountyHousingProf!$B$3:$B$197,CountyHousingProf!$A$3:$A$197)</f>
        <v>013</v>
      </c>
      <c r="C9" s="25">
        <v>740.48</v>
      </c>
      <c r="D9">
        <v>3</v>
      </c>
    </row>
    <row r="10" spans="1:4" x14ac:dyDescent="0.2">
      <c r="A10" t="str">
        <v>BROOMFIELD COUNTY</v>
      </c>
      <c r="B10" t="str">
        <f>_xlfn.XLOOKUP(A10,CountyHousingProf!$B$3:$B$197,CountyHousingProf!$A$3:$A$197)</f>
        <v>014</v>
      </c>
      <c r="C10" s="25">
        <v>33.57</v>
      </c>
      <c r="D10">
        <v>3</v>
      </c>
    </row>
    <row r="11" spans="1:4" x14ac:dyDescent="0.2">
      <c r="A11" t="str">
        <v>CHAFFEE COUNTY</v>
      </c>
      <c r="B11" t="str">
        <f>_xlfn.XLOOKUP(A11,CountyHousingProf!$B$3:$B$197,CountyHousingProf!$A$3:$A$197)</f>
        <v>015</v>
      </c>
      <c r="C11" s="25">
        <v>1014.12</v>
      </c>
      <c r="D11">
        <v>13</v>
      </c>
    </row>
    <row r="12" spans="1:4" x14ac:dyDescent="0.2">
      <c r="A12" t="str">
        <v>CHEYENNE COUNTY</v>
      </c>
      <c r="B12" t="str">
        <f>_xlfn.XLOOKUP(A12,CountyHousingProf!$B$3:$B$197,CountyHousingProf!$A$3:$A$197)</f>
        <v>017</v>
      </c>
      <c r="C12" s="25">
        <v>1781.9</v>
      </c>
      <c r="D12">
        <v>5</v>
      </c>
    </row>
    <row r="13" spans="1:4" x14ac:dyDescent="0.2">
      <c r="A13" t="str">
        <v>CLEAR CREEK COUNTY</v>
      </c>
      <c r="B13" t="str">
        <f>_xlfn.XLOOKUP(A13,CountyHousingProf!$B$3:$B$197,CountyHousingProf!$A$3:$A$197)</f>
        <v>019</v>
      </c>
      <c r="C13" s="25">
        <v>396.53</v>
      </c>
      <c r="D13">
        <v>3</v>
      </c>
    </row>
    <row r="14" spans="1:4" x14ac:dyDescent="0.2">
      <c r="A14" t="str">
        <v>CONEJOS COUNTY</v>
      </c>
      <c r="B14" t="str">
        <f>_xlfn.XLOOKUP(A14,CountyHousingProf!$B$3:$B$197,CountyHousingProf!$A$3:$A$197)</f>
        <v>021</v>
      </c>
      <c r="C14" s="25">
        <v>1290.22</v>
      </c>
      <c r="D14">
        <v>8</v>
      </c>
    </row>
    <row r="15" spans="1:4" x14ac:dyDescent="0.2">
      <c r="A15" t="str">
        <v>COSTILLA COUNTY</v>
      </c>
      <c r="B15" t="str">
        <f>_xlfn.XLOOKUP(A15,CountyHousingProf!$B$3:$B$197,CountyHousingProf!$A$3:$A$197)</f>
        <v>023</v>
      </c>
      <c r="C15" s="25">
        <v>1229.3800000000001</v>
      </c>
      <c r="D15">
        <v>8</v>
      </c>
    </row>
    <row r="16" spans="1:4" x14ac:dyDescent="0.2">
      <c r="A16" t="str">
        <v>CROWLEY COUNTY</v>
      </c>
      <c r="B16" t="str">
        <f>_xlfn.XLOOKUP(A16,CountyHousingProf!$B$3:$B$197,CountyHousingProf!$A$3:$A$197)</f>
        <v>025</v>
      </c>
      <c r="C16" s="25">
        <v>800.27</v>
      </c>
      <c r="D16">
        <v>6</v>
      </c>
    </row>
    <row r="17" spans="1:4" x14ac:dyDescent="0.2">
      <c r="A17" t="str">
        <v>CUSTER COUNTY</v>
      </c>
      <c r="B17" t="str">
        <f>_xlfn.XLOOKUP(A17,CountyHousingProf!$B$3:$B$197,CountyHousingProf!$A$3:$A$197)</f>
        <v>027</v>
      </c>
      <c r="C17" s="25">
        <v>739.24</v>
      </c>
      <c r="D17">
        <v>13</v>
      </c>
    </row>
    <row r="18" spans="1:4" x14ac:dyDescent="0.2">
      <c r="A18" t="str">
        <v>DELTA COUNTY</v>
      </c>
      <c r="B18" t="str">
        <f>_xlfn.XLOOKUP(A18,CountyHousingProf!$B$3:$B$197,CountyHousingProf!$A$3:$A$197)</f>
        <v>029</v>
      </c>
      <c r="C18" s="25">
        <v>1149.44</v>
      </c>
      <c r="D18">
        <v>10</v>
      </c>
    </row>
    <row r="19" spans="1:4" x14ac:dyDescent="0.2">
      <c r="A19" t="str">
        <v>DENVER COUNTY</v>
      </c>
      <c r="B19" t="str">
        <f>_xlfn.XLOOKUP(A19,CountyHousingProf!$B$3:$B$197,CountyHousingProf!$A$3:$A$197)</f>
        <v>031</v>
      </c>
      <c r="C19" s="25">
        <v>155.66</v>
      </c>
      <c r="D19">
        <v>3</v>
      </c>
    </row>
    <row r="20" spans="1:4" x14ac:dyDescent="0.2">
      <c r="A20" t="str">
        <v>DOLORES COUNTY</v>
      </c>
      <c r="B20" t="str">
        <f>_xlfn.XLOOKUP(A20,CountyHousingProf!$B$3:$B$197,CountyHousingProf!$A$3:$A$197)</f>
        <v>033</v>
      </c>
      <c r="C20" s="25">
        <v>1076.93</v>
      </c>
      <c r="D20">
        <v>9</v>
      </c>
    </row>
    <row r="21" spans="1:4" x14ac:dyDescent="0.2">
      <c r="A21" t="str">
        <v>DOUGLAS COUNTY</v>
      </c>
      <c r="B21" t="str">
        <f>_xlfn.XLOOKUP(A21,CountyHousingProf!$B$3:$B$197,CountyHousingProf!$A$3:$A$197)</f>
        <v>035</v>
      </c>
      <c r="C21" s="25">
        <v>842.3</v>
      </c>
      <c r="D21">
        <v>3</v>
      </c>
    </row>
    <row r="22" spans="1:4" x14ac:dyDescent="0.2">
      <c r="A22" t="str">
        <v>EAGLE COUNTY</v>
      </c>
      <c r="B22" t="str">
        <f>_xlfn.XLOOKUP(A22,CountyHousingProf!$B$3:$B$197,CountyHousingProf!$A$3:$A$197)</f>
        <v>037</v>
      </c>
      <c r="C22" s="25">
        <v>1700.76</v>
      </c>
      <c r="D22">
        <v>12</v>
      </c>
    </row>
    <row r="23" spans="1:4" x14ac:dyDescent="0.2">
      <c r="A23" t="str">
        <v>ELBERT COUNTY</v>
      </c>
      <c r="B23" t="str">
        <f>_xlfn.XLOOKUP(A23,CountyHousingProf!$B$3:$B$197,CountyHousingProf!$A$3:$A$197)</f>
        <v>039</v>
      </c>
      <c r="C23" s="25">
        <v>1849.08</v>
      </c>
      <c r="D23">
        <v>5</v>
      </c>
    </row>
    <row r="24" spans="1:4" x14ac:dyDescent="0.2">
      <c r="A24" t="str">
        <v>EL PASO COUNTY</v>
      </c>
      <c r="B24" t="str">
        <f>_xlfn.XLOOKUP(A24,CountyHousingProf!$B$3:$B$197,CountyHousingProf!$A$3:$A$197)</f>
        <v>041</v>
      </c>
      <c r="C24" s="25">
        <v>2128.6</v>
      </c>
      <c r="D24">
        <v>4</v>
      </c>
    </row>
    <row r="25" spans="1:4" x14ac:dyDescent="0.2">
      <c r="A25" t="str">
        <v>FREMONT COUNTY</v>
      </c>
      <c r="B25" t="str">
        <f>_xlfn.XLOOKUP(A25,CountyHousingProf!$B$3:$B$197,CountyHousingProf!$A$3:$A$197)</f>
        <v>043</v>
      </c>
      <c r="C25" s="25">
        <v>1533.09</v>
      </c>
      <c r="D25">
        <v>13</v>
      </c>
    </row>
    <row r="26" spans="1:4" x14ac:dyDescent="0.2">
      <c r="A26" t="str">
        <v>GARFIELD COUNTY</v>
      </c>
      <c r="B26" t="str">
        <f>_xlfn.XLOOKUP(A26,CountyHousingProf!$B$3:$B$197,CountyHousingProf!$A$3:$A$197)</f>
        <v>045</v>
      </c>
      <c r="C26" s="25">
        <v>2958.23</v>
      </c>
      <c r="D26">
        <v>11</v>
      </c>
    </row>
    <row r="27" spans="1:4" x14ac:dyDescent="0.2">
      <c r="A27" t="str">
        <v>GILPIN COUNTY</v>
      </c>
      <c r="B27" t="str">
        <f>_xlfn.XLOOKUP(A27,CountyHousingProf!$B$3:$B$197,CountyHousingProf!$A$3:$A$197)</f>
        <v>047</v>
      </c>
      <c r="C27" s="25">
        <v>150.15</v>
      </c>
      <c r="D27">
        <v>3</v>
      </c>
    </row>
    <row r="28" spans="1:4" x14ac:dyDescent="0.2">
      <c r="A28" t="str">
        <v>GRAND COUNTY</v>
      </c>
      <c r="B28" t="str">
        <f>_xlfn.XLOOKUP(A28,CountyHousingProf!$B$3:$B$197,CountyHousingProf!$A$3:$A$197)</f>
        <v>049</v>
      </c>
      <c r="C28" s="25">
        <v>1868.53</v>
      </c>
      <c r="D28">
        <v>12</v>
      </c>
    </row>
    <row r="29" spans="1:4" x14ac:dyDescent="0.2">
      <c r="A29" t="str">
        <v>GUNNISON COUNTY</v>
      </c>
      <c r="B29" t="str">
        <f>_xlfn.XLOOKUP(A29,CountyHousingProf!$B$3:$B$197,CountyHousingProf!$A$3:$A$197)</f>
        <v>051</v>
      </c>
      <c r="C29" s="25">
        <v>3259.22</v>
      </c>
      <c r="D29">
        <v>10</v>
      </c>
    </row>
    <row r="30" spans="1:4" x14ac:dyDescent="0.2">
      <c r="A30" t="str">
        <v>HINSDALE COUNTY</v>
      </c>
      <c r="B30" t="str">
        <f>_xlfn.XLOOKUP(A30,CountyHousingProf!$B$3:$B$197,CountyHousingProf!$A$3:$A$197)</f>
        <v>053</v>
      </c>
      <c r="C30" s="25">
        <v>1123.3499999999999</v>
      </c>
      <c r="D30">
        <v>10</v>
      </c>
    </row>
    <row r="31" spans="1:4" x14ac:dyDescent="0.2">
      <c r="A31" t="str">
        <v>HUERFANO COUNTY</v>
      </c>
      <c r="B31" t="str">
        <f>_xlfn.XLOOKUP(A31,CountyHousingProf!$B$3:$B$197,CountyHousingProf!$A$3:$A$197)</f>
        <v>055</v>
      </c>
      <c r="C31" s="25">
        <v>1592.37</v>
      </c>
      <c r="D31">
        <v>14</v>
      </c>
    </row>
    <row r="32" spans="1:4" x14ac:dyDescent="0.2">
      <c r="A32" t="str">
        <v>JACKSON COUNTY</v>
      </c>
      <c r="B32" t="str">
        <f>_xlfn.XLOOKUP(A32,CountyHousingProf!$B$3:$B$197,CountyHousingProf!$A$3:$A$197)</f>
        <v>057</v>
      </c>
      <c r="C32" s="25">
        <v>1619.75</v>
      </c>
      <c r="D32">
        <v>12</v>
      </c>
    </row>
    <row r="33" spans="1:4" x14ac:dyDescent="0.2">
      <c r="A33" t="str">
        <v>JEFFERSON COUNTY</v>
      </c>
      <c r="B33" t="str">
        <f>_xlfn.XLOOKUP(A33,CountyHousingProf!$B$3:$B$197,CountyHousingProf!$A$3:$A$197)</f>
        <v>059</v>
      </c>
      <c r="C33" s="25">
        <v>772.85</v>
      </c>
      <c r="D33">
        <v>4</v>
      </c>
    </row>
    <row r="34" spans="1:4" x14ac:dyDescent="0.2">
      <c r="A34" t="str">
        <v>KIOWA COUNTY</v>
      </c>
      <c r="B34" t="str">
        <f>_xlfn.XLOOKUP(A34,CountyHousingProf!$B$3:$B$197,CountyHousingProf!$A$3:$A$197)</f>
        <v>061</v>
      </c>
      <c r="C34" s="25">
        <v>1785.9</v>
      </c>
      <c r="D34">
        <v>6</v>
      </c>
    </row>
    <row r="35" spans="1:4" x14ac:dyDescent="0.2">
      <c r="A35" t="str">
        <v>KIT CARSON COUNTY</v>
      </c>
      <c r="B35" t="str">
        <f>_xlfn.XLOOKUP(A35,CountyHousingProf!$B$3:$B$197,CountyHousingProf!$A$3:$A$197)</f>
        <v>063</v>
      </c>
      <c r="C35" s="25">
        <v>2162.4299999999998</v>
      </c>
      <c r="D35">
        <v>5</v>
      </c>
    </row>
    <row r="36" spans="1:4" x14ac:dyDescent="0.2">
      <c r="A36" t="str">
        <v>LAKE COUNTY</v>
      </c>
      <c r="B36" t="str">
        <f>_xlfn.XLOOKUP(A36,CountyHousingProf!$B$3:$B$197,CountyHousingProf!$A$3:$A$197)</f>
        <v>065</v>
      </c>
      <c r="C36" s="25">
        <v>383.55</v>
      </c>
      <c r="D36">
        <v>13</v>
      </c>
    </row>
    <row r="37" spans="1:4" x14ac:dyDescent="0.2">
      <c r="A37" t="str">
        <v>LA PLATA COUNTY</v>
      </c>
      <c r="B37" t="str">
        <f>_xlfn.XLOOKUP(A37,CountyHousingProf!$B$3:$B$197,CountyHousingProf!$A$3:$A$197)</f>
        <v>067</v>
      </c>
      <c r="C37" s="25">
        <v>1700.44</v>
      </c>
      <c r="D37">
        <v>9</v>
      </c>
    </row>
    <row r="38" spans="1:4" x14ac:dyDescent="0.2">
      <c r="A38" t="str">
        <v>LARIMER COUNTY</v>
      </c>
      <c r="B38" t="str">
        <f>_xlfn.XLOOKUP(A38,CountyHousingProf!$B$3:$B$197,CountyHousingProf!$A$3:$A$197)</f>
        <v>069</v>
      </c>
      <c r="C38" s="25">
        <v>2631.75</v>
      </c>
      <c r="D38">
        <v>2</v>
      </c>
    </row>
    <row r="39" spans="1:4" x14ac:dyDescent="0.2">
      <c r="A39" t="str">
        <v>LAS ANIMAS COUNTY</v>
      </c>
      <c r="B39" t="str">
        <f>_xlfn.XLOOKUP(A39,CountyHousingProf!$B$3:$B$197,CountyHousingProf!$A$3:$A$197)</f>
        <v>071</v>
      </c>
      <c r="C39" s="25">
        <v>4773.2700000000004</v>
      </c>
      <c r="D39">
        <v>14</v>
      </c>
    </row>
    <row r="40" spans="1:4" x14ac:dyDescent="0.2">
      <c r="A40" t="str">
        <v>LINCOLN COUNTY</v>
      </c>
      <c r="B40" t="str">
        <f>_xlfn.XLOOKUP(A40,CountyHousingProf!$B$3:$B$197,CountyHousingProf!$A$3:$A$197)</f>
        <v>073</v>
      </c>
      <c r="C40" s="25">
        <v>2585.21</v>
      </c>
      <c r="D40">
        <v>5</v>
      </c>
    </row>
    <row r="41" spans="1:4" x14ac:dyDescent="0.2">
      <c r="A41" t="str">
        <v>LOGAN COUNTY</v>
      </c>
      <c r="B41" t="str">
        <f>_xlfn.XLOOKUP(A41,CountyHousingProf!$B$3:$B$197,CountyHousingProf!$A$3:$A$197)</f>
        <v>075</v>
      </c>
      <c r="C41" s="25">
        <v>1845.31</v>
      </c>
      <c r="D41">
        <v>1</v>
      </c>
    </row>
    <row r="42" spans="1:4" x14ac:dyDescent="0.2">
      <c r="A42" t="str">
        <v>MESA COUNTY</v>
      </c>
      <c r="B42" t="str">
        <f>_xlfn.XLOOKUP(A42,CountyHousingProf!$B$3:$B$197,CountyHousingProf!$A$3:$A$197)</f>
        <v>077</v>
      </c>
      <c r="C42" s="25">
        <v>3345.69</v>
      </c>
      <c r="D42">
        <v>11</v>
      </c>
    </row>
    <row r="43" spans="1:4" x14ac:dyDescent="0.2">
      <c r="A43" t="str">
        <v>MINERAL COUNTY</v>
      </c>
      <c r="B43" t="str">
        <f>_xlfn.XLOOKUP(A43,CountyHousingProf!$B$3:$B$197,CountyHousingProf!$A$3:$A$197)</f>
        <v>079</v>
      </c>
      <c r="C43" s="25">
        <v>878.16</v>
      </c>
      <c r="D43">
        <v>8</v>
      </c>
    </row>
    <row r="44" spans="1:4" x14ac:dyDescent="0.2">
      <c r="A44" t="str">
        <v>MOFFAT COUNTY</v>
      </c>
      <c r="B44" t="str">
        <f>_xlfn.XLOOKUP(A44,CountyHousingProf!$B$3:$B$197,CountyHousingProf!$A$3:$A$197)</f>
        <v>081</v>
      </c>
      <c r="C44" s="25">
        <v>4755.8599999999997</v>
      </c>
      <c r="D44">
        <v>11</v>
      </c>
    </row>
    <row r="45" spans="1:4" x14ac:dyDescent="0.2">
      <c r="A45" t="str">
        <v>MONTEZUMA COUNTY</v>
      </c>
      <c r="B45" t="str">
        <f>_xlfn.XLOOKUP(A45,CountyHousingProf!$B$3:$B$197,CountyHousingProf!$A$3:$A$197)</f>
        <v>083</v>
      </c>
      <c r="C45" s="25">
        <v>2035.8</v>
      </c>
      <c r="D45">
        <v>9</v>
      </c>
    </row>
    <row r="46" spans="1:4" x14ac:dyDescent="0.2">
      <c r="A46" t="str">
        <v>MONTROSE COUNTY</v>
      </c>
      <c r="B46" t="str">
        <f>_xlfn.XLOOKUP(A46,CountyHousingProf!$B$3:$B$197,CountyHousingProf!$A$3:$A$197)</f>
        <v>085</v>
      </c>
      <c r="C46" s="25">
        <v>2246.4299999999998</v>
      </c>
      <c r="D46">
        <v>10</v>
      </c>
    </row>
    <row r="47" spans="1:4" x14ac:dyDescent="0.2">
      <c r="A47" t="str">
        <v>MORGAN COUNTY</v>
      </c>
      <c r="B47" t="str">
        <f>_xlfn.XLOOKUP(A47,CountyHousingProf!$B$3:$B$197,CountyHousingProf!$A$3:$A$197)</f>
        <v>087</v>
      </c>
      <c r="C47" s="25">
        <v>1293.83</v>
      </c>
      <c r="D47">
        <v>1</v>
      </c>
    </row>
    <row r="48" spans="1:4" x14ac:dyDescent="0.2">
      <c r="A48" t="str">
        <v>OTERO COUNTY</v>
      </c>
      <c r="B48" t="str">
        <f>_xlfn.XLOOKUP(A48,CountyHousingProf!$B$3:$B$197,CountyHousingProf!$A$3:$A$197)</f>
        <v>089</v>
      </c>
      <c r="C48" s="25">
        <v>1267.6600000000001</v>
      </c>
      <c r="D48">
        <v>6</v>
      </c>
    </row>
    <row r="49" spans="1:4" x14ac:dyDescent="0.2">
      <c r="A49" t="str">
        <v>OURAY COUNTY</v>
      </c>
      <c r="B49" t="str">
        <f>_xlfn.XLOOKUP(A49,CountyHousingProf!$B$3:$B$197,CountyHousingProf!$A$3:$A$197)</f>
        <v>091</v>
      </c>
      <c r="C49" s="25">
        <v>542.29999999999995</v>
      </c>
      <c r="D49">
        <v>10</v>
      </c>
    </row>
    <row r="50" spans="1:4" x14ac:dyDescent="0.2">
      <c r="A50" t="str">
        <v>PARK COUNTY</v>
      </c>
      <c r="B50" t="str">
        <f>_xlfn.XLOOKUP(A50,CountyHousingProf!$B$3:$B$197,CountyHousingProf!$A$3:$A$197)</f>
        <v>093</v>
      </c>
      <c r="C50" s="25">
        <v>2209.36</v>
      </c>
      <c r="D50">
        <v>4</v>
      </c>
    </row>
    <row r="51" spans="1:4" x14ac:dyDescent="0.2">
      <c r="A51" t="str">
        <v>PHILLIPS COUNTY</v>
      </c>
      <c r="B51" t="str">
        <f>_xlfn.XLOOKUP(A51,CountyHousingProf!$B$3:$B$197,CountyHousingProf!$A$3:$A$197)</f>
        <v>095</v>
      </c>
      <c r="C51" s="25">
        <v>688.3</v>
      </c>
      <c r="D51">
        <v>1</v>
      </c>
    </row>
    <row r="52" spans="1:4" x14ac:dyDescent="0.2">
      <c r="A52" t="str">
        <v>PITKIN COUNTY</v>
      </c>
      <c r="B52" t="str">
        <f>_xlfn.XLOOKUP(A52,CountyHousingProf!$B$3:$B$197,CountyHousingProf!$A$3:$A$197)</f>
        <v>097</v>
      </c>
      <c r="C52" s="25">
        <v>970.37</v>
      </c>
      <c r="D52">
        <v>12</v>
      </c>
    </row>
    <row r="53" spans="1:4" x14ac:dyDescent="0.2">
      <c r="A53" t="str">
        <v>PROWERS COUNTY</v>
      </c>
      <c r="B53" t="str">
        <f>_xlfn.XLOOKUP(A53,CountyHousingProf!$B$3:$B$197,CountyHousingProf!$A$3:$A$197)</f>
        <v>099</v>
      </c>
      <c r="C53" s="25">
        <v>1645.37</v>
      </c>
      <c r="D53">
        <v>6</v>
      </c>
    </row>
    <row r="54" spans="1:4" x14ac:dyDescent="0.2">
      <c r="A54" t="str">
        <v>PUEBLO COUNTY</v>
      </c>
      <c r="B54" t="str">
        <f>_xlfn.XLOOKUP(A54,CountyHousingProf!$B$3:$B$197,CountyHousingProf!$A$3:$A$197)</f>
        <v>101</v>
      </c>
      <c r="C54" s="25">
        <v>2396.77</v>
      </c>
      <c r="D54">
        <v>7</v>
      </c>
    </row>
    <row r="55" spans="1:4" x14ac:dyDescent="0.2">
      <c r="A55" t="str">
        <v>RIO BLANCO COUNTY</v>
      </c>
      <c r="B55" t="str">
        <f>_xlfn.XLOOKUP(A55,CountyHousingProf!$B$3:$B$197,CountyHousingProf!$A$3:$A$197)</f>
        <v>103</v>
      </c>
      <c r="C55" s="25">
        <v>3226.24</v>
      </c>
      <c r="D55">
        <v>11</v>
      </c>
    </row>
    <row r="56" spans="1:4" x14ac:dyDescent="0.2">
      <c r="A56" t="str">
        <v>RIO GRANDE COUNTY</v>
      </c>
      <c r="B56" t="str">
        <f>_xlfn.XLOOKUP(A56,CountyHousingProf!$B$3:$B$197,CountyHousingProf!$A$3:$A$197)</f>
        <v>105</v>
      </c>
      <c r="C56" s="25">
        <v>913.1</v>
      </c>
      <c r="D56">
        <v>8</v>
      </c>
    </row>
    <row r="57" spans="1:4" x14ac:dyDescent="0.2">
      <c r="A57" t="str">
        <v>ROUTT COUNTY</v>
      </c>
      <c r="B57" t="str">
        <f>_xlfn.XLOOKUP(A57,CountyHousingProf!$B$3:$B$197,CountyHousingProf!$A$3:$A$197)</f>
        <v>107</v>
      </c>
      <c r="C57" s="25">
        <v>2362.11</v>
      </c>
      <c r="D57">
        <v>11</v>
      </c>
    </row>
    <row r="58" spans="1:4" x14ac:dyDescent="0.2">
      <c r="A58" t="str">
        <v>SAGUACHE COUNTY</v>
      </c>
      <c r="B58" t="str">
        <f>_xlfn.XLOOKUP(A58,CountyHousingProf!$B$3:$B$197,CountyHousingProf!$A$3:$A$197)</f>
        <v>109</v>
      </c>
      <c r="C58" s="25">
        <v>3168.32</v>
      </c>
      <c r="D58">
        <v>8</v>
      </c>
    </row>
    <row r="59" spans="1:4" x14ac:dyDescent="0.2">
      <c r="A59" t="str">
        <v>SAN JUAN COUNTY</v>
      </c>
      <c r="B59" t="str">
        <f>_xlfn.XLOOKUP(A59,CountyHousingProf!$B$3:$B$197,CountyHousingProf!$A$3:$A$197)</f>
        <v>111</v>
      </c>
      <c r="C59" s="25">
        <v>388.99</v>
      </c>
      <c r="D59">
        <v>9</v>
      </c>
    </row>
    <row r="60" spans="1:4" x14ac:dyDescent="0.2">
      <c r="A60" t="str">
        <v>SAN MIGUEL COUNTY</v>
      </c>
      <c r="B60" t="str">
        <f>_xlfn.XLOOKUP(A60,CountyHousingProf!$B$3:$B$197,CountyHousingProf!$A$3:$A$197)</f>
        <v>113</v>
      </c>
      <c r="C60" s="25">
        <v>1290.76</v>
      </c>
      <c r="D60">
        <v>10</v>
      </c>
    </row>
    <row r="61" spans="1:4" x14ac:dyDescent="0.2">
      <c r="A61" t="str">
        <v>SEDGWICK COUNTY</v>
      </c>
      <c r="B61" t="str">
        <f>_xlfn.XLOOKUP(A61,CountyHousingProf!$B$3:$B$197,CountyHousingProf!$A$3:$A$197)</f>
        <v>115</v>
      </c>
      <c r="C61" s="25">
        <v>548.83000000000004</v>
      </c>
      <c r="D61">
        <v>1</v>
      </c>
    </row>
    <row r="62" spans="1:4" x14ac:dyDescent="0.2">
      <c r="A62" t="str">
        <v>SUMMIT COUNTY</v>
      </c>
      <c r="B62" t="str">
        <f>_xlfn.XLOOKUP(A62,CountyHousingProf!$B$3:$B$197,CountyHousingProf!$A$3:$A$197)</f>
        <v>117</v>
      </c>
      <c r="C62" s="25">
        <v>618.91999999999996</v>
      </c>
      <c r="D62">
        <v>12</v>
      </c>
    </row>
    <row r="63" spans="1:4" x14ac:dyDescent="0.2">
      <c r="A63" t="str">
        <v>TELLER COUNTY</v>
      </c>
      <c r="B63" t="str">
        <f>_xlfn.XLOOKUP(A63,CountyHousingProf!$B$3:$B$197,CountyHousingProf!$A$3:$A$197)</f>
        <v>119</v>
      </c>
      <c r="C63" s="25">
        <v>558.58000000000004</v>
      </c>
      <c r="D63">
        <v>4</v>
      </c>
    </row>
    <row r="64" spans="1:4" x14ac:dyDescent="0.2">
      <c r="A64" t="str">
        <v>WASHINGTON COUNTY</v>
      </c>
      <c r="B64" t="str">
        <f>_xlfn.XLOOKUP(A64,CountyHousingProf!$B$3:$B$197,CountyHousingProf!$A$3:$A$197)</f>
        <v>121</v>
      </c>
      <c r="C64" s="25">
        <v>2522.9</v>
      </c>
      <c r="D64">
        <v>1</v>
      </c>
    </row>
    <row r="65" spans="1:4" x14ac:dyDescent="0.2">
      <c r="A65" t="str">
        <v>WELD COUNTY</v>
      </c>
      <c r="B65" t="str">
        <f>_xlfn.XLOOKUP(A65,CountyHousingProf!$B$3:$B$197,CountyHousingProf!$A$3:$A$197)</f>
        <v>123</v>
      </c>
      <c r="C65" s="25">
        <v>4013.84</v>
      </c>
      <c r="D65">
        <v>2</v>
      </c>
    </row>
    <row r="66" spans="1:4" x14ac:dyDescent="0.2">
      <c r="A66" t="str">
        <v>YUMA COUNTY</v>
      </c>
      <c r="B66" t="str">
        <f>_xlfn.XLOOKUP(A66,CountyHousingProf!$B$3:$B$197,CountyHousingProf!$A$3:$A$197)</f>
        <v>125</v>
      </c>
      <c r="C66" s="25">
        <v>2369.61</v>
      </c>
      <c r="D6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41ED3-41C2-3744-9090-5B06C37970E1}">
  <dimension ref="A1:AA846"/>
  <sheetViews>
    <sheetView topLeftCell="F1" workbookViewId="0">
      <selection activeCell="V25" sqref="V25"/>
    </sheetView>
  </sheetViews>
  <sheetFormatPr baseColWidth="10" defaultRowHeight="16" x14ac:dyDescent="0.2"/>
  <cols>
    <col min="14" max="14" width="12.140625" bestFit="1" customWidth="1"/>
  </cols>
  <sheetData>
    <row r="1" spans="1:27" x14ac:dyDescent="0.2">
      <c r="A1" t="s">
        <v>132</v>
      </c>
      <c r="B1" t="s">
        <v>236</v>
      </c>
      <c r="C1" t="s">
        <v>133</v>
      </c>
      <c r="D1" t="s">
        <v>134</v>
      </c>
      <c r="E1" t="s">
        <v>135</v>
      </c>
      <c r="F1" t="s">
        <v>0</v>
      </c>
      <c r="G1" t="s">
        <v>136</v>
      </c>
      <c r="H1" t="s">
        <v>137</v>
      </c>
      <c r="I1" t="s">
        <v>138</v>
      </c>
      <c r="J1" t="s">
        <v>139</v>
      </c>
      <c r="K1" t="s">
        <v>140</v>
      </c>
      <c r="L1" t="s">
        <v>141</v>
      </c>
      <c r="M1" t="s">
        <v>142</v>
      </c>
      <c r="N1" t="s">
        <v>243</v>
      </c>
      <c r="O1" t="s">
        <v>211</v>
      </c>
      <c r="P1" t="s">
        <v>212</v>
      </c>
      <c r="Q1" t="s">
        <v>213</v>
      </c>
      <c r="R1" t="s">
        <v>214</v>
      </c>
      <c r="S1" t="s">
        <v>215</v>
      </c>
      <c r="T1" t="s">
        <v>216</v>
      </c>
      <c r="U1" t="s">
        <v>217</v>
      </c>
      <c r="V1" t="s">
        <v>218</v>
      </c>
      <c r="W1" t="s">
        <v>219</v>
      </c>
      <c r="X1" t="s">
        <v>220</v>
      </c>
      <c r="Y1" t="s">
        <v>221</v>
      </c>
      <c r="Z1" t="s">
        <v>222</v>
      </c>
      <c r="AA1" t="s">
        <v>223</v>
      </c>
    </row>
    <row r="2" spans="1:27" x14ac:dyDescent="0.2">
      <c r="A2">
        <v>1</v>
      </c>
      <c r="B2">
        <v>3</v>
      </c>
      <c r="C2" t="s">
        <v>144</v>
      </c>
      <c r="D2">
        <v>2010</v>
      </c>
      <c r="E2">
        <v>443711</v>
      </c>
      <c r="F2">
        <v>439684</v>
      </c>
      <c r="G2">
        <v>4027</v>
      </c>
      <c r="H2">
        <v>2.85</v>
      </c>
      <c r="I2">
        <v>163435</v>
      </c>
      <c r="J2">
        <v>154505</v>
      </c>
      <c r="K2">
        <v>8930</v>
      </c>
      <c r="L2">
        <v>5.46</v>
      </c>
      <c r="M2">
        <v>2.6902683019999998</v>
      </c>
      <c r="N2">
        <f>E2/_xlfn.XLOOKUP(C2,Lookups!$A$2:$A$66,Lookups!$C$2:$C$66)</f>
        <v>375.29793874599295</v>
      </c>
    </row>
    <row r="3" spans="1:27" x14ac:dyDescent="0.2">
      <c r="A3">
        <v>1</v>
      </c>
      <c r="B3">
        <v>3</v>
      </c>
      <c r="C3" t="s">
        <v>144</v>
      </c>
      <c r="D3">
        <v>2011</v>
      </c>
      <c r="E3">
        <v>452181</v>
      </c>
      <c r="F3">
        <v>448120</v>
      </c>
      <c r="G3">
        <v>4061</v>
      </c>
      <c r="H3">
        <v>2.85</v>
      </c>
      <c r="I3">
        <v>164593</v>
      </c>
      <c r="J3">
        <v>157248</v>
      </c>
      <c r="K3">
        <v>7345</v>
      </c>
      <c r="L3">
        <v>4.46</v>
      </c>
      <c r="M3">
        <v>2.722594521</v>
      </c>
      <c r="N3">
        <f>E3/_xlfn.XLOOKUP(C3,Lookups!$A$2:$A$66,Lookups!$C$2:$C$66)</f>
        <v>382.46200170854866</v>
      </c>
    </row>
    <row r="4" spans="1:27" x14ac:dyDescent="0.2">
      <c r="A4">
        <v>1</v>
      </c>
      <c r="B4">
        <v>3</v>
      </c>
      <c r="C4" t="s">
        <v>144</v>
      </c>
      <c r="D4">
        <v>2012</v>
      </c>
      <c r="E4">
        <v>460468</v>
      </c>
      <c r="F4">
        <v>456411</v>
      </c>
      <c r="G4">
        <v>4057</v>
      </c>
      <c r="H4">
        <v>2.85</v>
      </c>
      <c r="I4">
        <v>165858</v>
      </c>
      <c r="J4">
        <v>159932</v>
      </c>
      <c r="K4">
        <v>5926</v>
      </c>
      <c r="L4">
        <v>3.57</v>
      </c>
      <c r="M4">
        <v>2.7518178199999999</v>
      </c>
      <c r="N4">
        <f>E4/_xlfn.XLOOKUP(C4,Lookups!$A$2:$A$66,Lookups!$C$2:$C$66)</f>
        <v>389.47128031193699</v>
      </c>
    </row>
    <row r="5" spans="1:27" x14ac:dyDescent="0.2">
      <c r="A5">
        <v>1</v>
      </c>
      <c r="B5">
        <v>3</v>
      </c>
      <c r="C5" t="s">
        <v>144</v>
      </c>
      <c r="D5">
        <v>2013</v>
      </c>
      <c r="E5">
        <v>469878</v>
      </c>
      <c r="F5">
        <v>465792</v>
      </c>
      <c r="G5">
        <v>4086</v>
      </c>
      <c r="H5">
        <v>2.86</v>
      </c>
      <c r="I5">
        <v>167459</v>
      </c>
      <c r="J5">
        <v>162991</v>
      </c>
      <c r="K5">
        <v>4468</v>
      </c>
      <c r="L5">
        <v>2.67</v>
      </c>
      <c r="M5">
        <v>2.7815286129999999</v>
      </c>
      <c r="N5">
        <f>E5/_xlfn.XLOOKUP(C5,Lookups!$A$2:$A$66,Lookups!$C$2:$C$66)</f>
        <v>397.43041047458746</v>
      </c>
    </row>
    <row r="6" spans="1:27" x14ac:dyDescent="0.2">
      <c r="A6">
        <v>1</v>
      </c>
      <c r="B6">
        <v>3</v>
      </c>
      <c r="C6" t="s">
        <v>144</v>
      </c>
      <c r="D6">
        <v>2014</v>
      </c>
      <c r="E6">
        <v>479901</v>
      </c>
      <c r="F6">
        <v>475690</v>
      </c>
      <c r="G6">
        <v>4211</v>
      </c>
      <c r="H6">
        <v>2.86</v>
      </c>
      <c r="I6">
        <v>169377</v>
      </c>
      <c r="J6">
        <v>166221</v>
      </c>
      <c r="K6">
        <v>3156</v>
      </c>
      <c r="L6">
        <v>1.86</v>
      </c>
      <c r="M6">
        <v>2.808468682</v>
      </c>
      <c r="N6">
        <f>E6/_xlfn.XLOOKUP(C6,Lookups!$A$2:$A$66,Lookups!$C$2:$C$66)</f>
        <v>405.90802594964009</v>
      </c>
    </row>
    <row r="7" spans="1:27" x14ac:dyDescent="0.2">
      <c r="A7">
        <v>1</v>
      </c>
      <c r="B7">
        <v>3</v>
      </c>
      <c r="C7" t="s">
        <v>144</v>
      </c>
      <c r="D7">
        <v>2015</v>
      </c>
      <c r="E7">
        <v>490351</v>
      </c>
      <c r="F7">
        <v>486126</v>
      </c>
      <c r="G7">
        <v>4225</v>
      </c>
      <c r="H7">
        <v>2.87</v>
      </c>
      <c r="I7">
        <v>171361</v>
      </c>
      <c r="J7">
        <v>169630</v>
      </c>
      <c r="K7">
        <v>1731</v>
      </c>
      <c r="L7">
        <v>1.01</v>
      </c>
      <c r="M7">
        <v>2.8368531930000001</v>
      </c>
      <c r="N7">
        <f>E7/_xlfn.XLOOKUP(C7,Lookups!$A$2:$A$66,Lookups!$C$2:$C$66)</f>
        <v>414.74680492941667</v>
      </c>
    </row>
    <row r="8" spans="1:27" x14ac:dyDescent="0.2">
      <c r="A8">
        <v>1</v>
      </c>
      <c r="B8">
        <v>3</v>
      </c>
      <c r="C8" t="s">
        <v>144</v>
      </c>
      <c r="D8">
        <v>2016</v>
      </c>
      <c r="E8">
        <v>497822</v>
      </c>
      <c r="F8">
        <v>493406</v>
      </c>
      <c r="G8">
        <v>4416</v>
      </c>
      <c r="H8">
        <v>2.87</v>
      </c>
      <c r="I8">
        <v>173204</v>
      </c>
      <c r="J8">
        <v>171930</v>
      </c>
      <c r="K8">
        <v>1274</v>
      </c>
      <c r="L8">
        <v>0.74</v>
      </c>
      <c r="M8">
        <v>2.8486986440000002</v>
      </c>
      <c r="N8">
        <f>E8/_xlfn.XLOOKUP(C8,Lookups!$A$2:$A$66,Lookups!$C$2:$C$66)</f>
        <v>421.06589753782913</v>
      </c>
    </row>
    <row r="9" spans="1:27" x14ac:dyDescent="0.2">
      <c r="A9">
        <v>1</v>
      </c>
      <c r="B9">
        <v>3</v>
      </c>
      <c r="C9" t="s">
        <v>144</v>
      </c>
      <c r="D9">
        <v>2017</v>
      </c>
      <c r="E9">
        <v>503706</v>
      </c>
      <c r="F9">
        <v>499300</v>
      </c>
      <c r="G9">
        <v>4406</v>
      </c>
      <c r="H9">
        <v>2.87</v>
      </c>
      <c r="I9">
        <v>176439</v>
      </c>
      <c r="J9">
        <v>173741</v>
      </c>
      <c r="K9">
        <v>2698</v>
      </c>
      <c r="L9">
        <v>1.53</v>
      </c>
      <c r="M9">
        <v>2.829873214</v>
      </c>
      <c r="N9">
        <f>E9/_xlfn.XLOOKUP(C9,Lookups!$A$2:$A$66,Lookups!$C$2:$C$66)</f>
        <v>426.04267988395401</v>
      </c>
    </row>
    <row r="10" spans="1:27" x14ac:dyDescent="0.2">
      <c r="A10">
        <v>1</v>
      </c>
      <c r="B10">
        <v>3</v>
      </c>
      <c r="C10" t="s">
        <v>144</v>
      </c>
      <c r="D10">
        <v>2018</v>
      </c>
      <c r="E10">
        <v>511422</v>
      </c>
      <c r="F10">
        <v>506996</v>
      </c>
      <c r="G10">
        <v>4426</v>
      </c>
      <c r="H10">
        <v>2.88</v>
      </c>
      <c r="I10">
        <v>180056</v>
      </c>
      <c r="J10">
        <v>176173</v>
      </c>
      <c r="K10">
        <v>3883</v>
      </c>
      <c r="L10">
        <v>2.16</v>
      </c>
      <c r="M10">
        <v>2.8157684280000002</v>
      </c>
      <c r="N10">
        <f>E10/_xlfn.XLOOKUP(C10,Lookups!$A$2:$A$66,Lookups!$C$2:$C$66)</f>
        <v>432.56899745409333</v>
      </c>
    </row>
    <row r="11" spans="1:27" x14ac:dyDescent="0.2">
      <c r="A11">
        <v>1</v>
      </c>
      <c r="B11">
        <v>3</v>
      </c>
      <c r="C11" t="s">
        <v>144</v>
      </c>
      <c r="D11">
        <v>2019</v>
      </c>
      <c r="E11">
        <v>516482</v>
      </c>
      <c r="F11">
        <v>512038</v>
      </c>
      <c r="G11">
        <v>4444</v>
      </c>
      <c r="H11">
        <v>2.88</v>
      </c>
      <c r="I11">
        <v>183751</v>
      </c>
      <c r="J11">
        <v>177677</v>
      </c>
      <c r="K11">
        <v>6074</v>
      </c>
      <c r="L11">
        <v>3.31</v>
      </c>
      <c r="M11">
        <v>2.7865861949999999</v>
      </c>
      <c r="N11">
        <f>E11/_xlfn.XLOOKUP(C11,Lookups!$A$2:$A$66,Lookups!$C$2:$C$66)</f>
        <v>436.8488272758799</v>
      </c>
    </row>
    <row r="12" spans="1:27" x14ac:dyDescent="0.2">
      <c r="A12">
        <v>1</v>
      </c>
      <c r="B12">
        <v>3</v>
      </c>
      <c r="C12" t="s">
        <v>144</v>
      </c>
      <c r="D12">
        <v>2020</v>
      </c>
      <c r="E12">
        <v>520433</v>
      </c>
      <c r="F12">
        <v>515957</v>
      </c>
      <c r="G12">
        <v>4476</v>
      </c>
      <c r="I12">
        <v>187288</v>
      </c>
      <c r="M12">
        <v>2.7548855240000001</v>
      </c>
      <c r="N12">
        <f>E12/_xlfn.XLOOKUP(C12,Lookups!$A$2:$A$66,Lookups!$C$2:$C$66)</f>
        <v>440.1906469647887</v>
      </c>
      <c r="O12">
        <v>520433</v>
      </c>
      <c r="P12">
        <v>6805</v>
      </c>
      <c r="Q12">
        <v>3403</v>
      </c>
      <c r="R12">
        <v>548</v>
      </c>
      <c r="S12">
        <v>3402</v>
      </c>
      <c r="T12">
        <v>187288</v>
      </c>
      <c r="W12">
        <v>515957</v>
      </c>
      <c r="X12">
        <v>4027</v>
      </c>
      <c r="AA12">
        <v>2.7548855240000001</v>
      </c>
    </row>
    <row r="13" spans="1:27" x14ac:dyDescent="0.2">
      <c r="A13">
        <v>1</v>
      </c>
      <c r="B13">
        <v>3</v>
      </c>
      <c r="C13" t="s">
        <v>144</v>
      </c>
      <c r="D13">
        <v>2021</v>
      </c>
      <c r="E13">
        <v>523417</v>
      </c>
      <c r="F13">
        <v>518896</v>
      </c>
      <c r="G13">
        <v>4521</v>
      </c>
      <c r="I13">
        <v>191198</v>
      </c>
      <c r="M13">
        <v>2.7139196019999998</v>
      </c>
      <c r="N13">
        <f>E13/_xlfn.XLOOKUP(C13,Lookups!$A$2:$A$66,Lookups!$C$2:$C$66)</f>
        <v>442.71456241700429</v>
      </c>
      <c r="O13">
        <v>523417</v>
      </c>
      <c r="P13">
        <v>6644</v>
      </c>
      <c r="Q13">
        <v>2686</v>
      </c>
      <c r="R13">
        <v>298</v>
      </c>
      <c r="S13">
        <v>3958</v>
      </c>
      <c r="T13">
        <v>191198</v>
      </c>
      <c r="W13">
        <v>518896</v>
      </c>
      <c r="X13">
        <v>4687</v>
      </c>
      <c r="AA13">
        <v>2.7139196019999998</v>
      </c>
    </row>
    <row r="14" spans="1:27" x14ac:dyDescent="0.2">
      <c r="A14">
        <v>1</v>
      </c>
      <c r="B14">
        <v>3</v>
      </c>
      <c r="C14" t="s">
        <v>144</v>
      </c>
      <c r="D14">
        <v>2022</v>
      </c>
      <c r="E14">
        <v>527501</v>
      </c>
      <c r="F14">
        <v>522937</v>
      </c>
      <c r="G14">
        <v>4564</v>
      </c>
      <c r="I14">
        <v>196741</v>
      </c>
      <c r="M14">
        <v>2.6579970620000002</v>
      </c>
      <c r="N14">
        <f>E14/_xlfn.XLOOKUP(C14,Lookups!$A$2:$A$66,Lookups!$C$2:$C$66)</f>
        <v>446.16887565656481</v>
      </c>
      <c r="O14">
        <v>527501</v>
      </c>
      <c r="P14">
        <v>6838</v>
      </c>
      <c r="Q14">
        <v>2544</v>
      </c>
      <c r="R14">
        <v>1540</v>
      </c>
      <c r="S14">
        <v>4294</v>
      </c>
      <c r="T14">
        <v>196741</v>
      </c>
      <c r="W14">
        <v>522937</v>
      </c>
      <c r="X14">
        <v>2811</v>
      </c>
      <c r="AA14">
        <v>2.6579970620000002</v>
      </c>
    </row>
    <row r="15" spans="1:27" x14ac:dyDescent="0.2">
      <c r="A15">
        <v>3</v>
      </c>
      <c r="B15">
        <v>8</v>
      </c>
      <c r="C15" t="s">
        <v>145</v>
      </c>
      <c r="D15">
        <v>2010</v>
      </c>
      <c r="E15">
        <v>15474</v>
      </c>
      <c r="F15">
        <v>14734</v>
      </c>
      <c r="G15">
        <v>740</v>
      </c>
      <c r="H15">
        <v>2.4500000000000002</v>
      </c>
      <c r="I15">
        <v>6561</v>
      </c>
      <c r="J15">
        <v>6007</v>
      </c>
      <c r="K15">
        <v>554</v>
      </c>
      <c r="L15">
        <v>8.44</v>
      </c>
      <c r="M15">
        <v>2.245694254</v>
      </c>
      <c r="N15">
        <f>E15/_xlfn.XLOOKUP(C15,Lookups!$A$2:$A$66,Lookups!$C$2:$C$66)</f>
        <v>21.396274940888539</v>
      </c>
    </row>
    <row r="16" spans="1:27" x14ac:dyDescent="0.2">
      <c r="A16">
        <v>3</v>
      </c>
      <c r="B16">
        <v>8</v>
      </c>
      <c r="C16" t="s">
        <v>145</v>
      </c>
      <c r="D16">
        <v>2011</v>
      </c>
      <c r="E16">
        <v>15528</v>
      </c>
      <c r="F16">
        <v>14788</v>
      </c>
      <c r="G16">
        <v>740</v>
      </c>
      <c r="H16">
        <v>2.4500000000000002</v>
      </c>
      <c r="I16">
        <v>6591</v>
      </c>
      <c r="J16">
        <v>6037</v>
      </c>
      <c r="K16">
        <v>554</v>
      </c>
      <c r="L16">
        <v>8.41</v>
      </c>
      <c r="M16">
        <v>2.2436656049999999</v>
      </c>
      <c r="N16">
        <f>E16/_xlfn.XLOOKUP(C16,Lookups!$A$2:$A$66,Lookups!$C$2:$C$66)</f>
        <v>21.470942050026963</v>
      </c>
    </row>
    <row r="17" spans="1:27" x14ac:dyDescent="0.2">
      <c r="A17">
        <v>3</v>
      </c>
      <c r="B17">
        <v>8</v>
      </c>
      <c r="C17" t="s">
        <v>145</v>
      </c>
      <c r="D17">
        <v>2012</v>
      </c>
      <c r="E17">
        <v>15604</v>
      </c>
      <c r="F17">
        <v>14864</v>
      </c>
      <c r="G17">
        <v>740</v>
      </c>
      <c r="H17">
        <v>2.4500000000000002</v>
      </c>
      <c r="I17">
        <v>6636</v>
      </c>
      <c r="J17">
        <v>6075</v>
      </c>
      <c r="K17">
        <v>561</v>
      </c>
      <c r="L17">
        <v>8.4499999999999993</v>
      </c>
      <c r="M17">
        <v>2.2399035559999998</v>
      </c>
      <c r="N17">
        <f>E17/_xlfn.XLOOKUP(C17,Lookups!$A$2:$A$66,Lookups!$C$2:$C$66)</f>
        <v>21.576029092518077</v>
      </c>
    </row>
    <row r="18" spans="1:27" x14ac:dyDescent="0.2">
      <c r="A18">
        <v>3</v>
      </c>
      <c r="B18">
        <v>8</v>
      </c>
      <c r="C18" t="s">
        <v>145</v>
      </c>
      <c r="D18">
        <v>2013</v>
      </c>
      <c r="E18">
        <v>15709</v>
      </c>
      <c r="F18">
        <v>14969</v>
      </c>
      <c r="G18">
        <v>740</v>
      </c>
      <c r="H18">
        <v>2.44</v>
      </c>
      <c r="I18">
        <v>6700</v>
      </c>
      <c r="J18">
        <v>6126</v>
      </c>
      <c r="K18">
        <v>574</v>
      </c>
      <c r="L18">
        <v>8.57</v>
      </c>
      <c r="M18">
        <v>2.2341791039999999</v>
      </c>
      <c r="N18">
        <f>E18/_xlfn.XLOOKUP(C18,Lookups!$A$2:$A$66,Lookups!$C$2:$C$66)</f>
        <v>21.721215138065016</v>
      </c>
    </row>
    <row r="19" spans="1:27" x14ac:dyDescent="0.2">
      <c r="A19">
        <v>3</v>
      </c>
      <c r="B19">
        <v>8</v>
      </c>
      <c r="C19" t="s">
        <v>145</v>
      </c>
      <c r="D19">
        <v>2014</v>
      </c>
      <c r="E19">
        <v>15788</v>
      </c>
      <c r="F19">
        <v>14923</v>
      </c>
      <c r="G19">
        <v>865</v>
      </c>
      <c r="H19">
        <v>2.44</v>
      </c>
      <c r="I19">
        <v>6747</v>
      </c>
      <c r="J19">
        <v>6115</v>
      </c>
      <c r="K19">
        <v>632</v>
      </c>
      <c r="L19">
        <v>9.3699999999999992</v>
      </c>
      <c r="M19">
        <v>2.2117978360000001</v>
      </c>
      <c r="N19">
        <f>E19/_xlfn.XLOOKUP(C19,Lookups!$A$2:$A$66,Lookups!$C$2:$C$66)</f>
        <v>21.830450353286043</v>
      </c>
    </row>
    <row r="20" spans="1:27" x14ac:dyDescent="0.2">
      <c r="A20">
        <v>3</v>
      </c>
      <c r="B20">
        <v>8</v>
      </c>
      <c r="C20" t="s">
        <v>145</v>
      </c>
      <c r="D20">
        <v>2015</v>
      </c>
      <c r="E20">
        <v>15885</v>
      </c>
      <c r="F20">
        <v>15020</v>
      </c>
      <c r="G20">
        <v>865</v>
      </c>
      <c r="H20">
        <v>2.44</v>
      </c>
      <c r="I20">
        <v>6807</v>
      </c>
      <c r="J20">
        <v>6163</v>
      </c>
      <c r="K20">
        <v>644</v>
      </c>
      <c r="L20">
        <v>9.4600000000000009</v>
      </c>
      <c r="M20">
        <v>2.2065520790000002</v>
      </c>
      <c r="N20">
        <f>E20/_xlfn.XLOOKUP(C20,Lookups!$A$2:$A$66,Lookups!$C$2:$C$66)</f>
        <v>21.964574604886547</v>
      </c>
    </row>
    <row r="21" spans="1:27" x14ac:dyDescent="0.2">
      <c r="A21">
        <v>3</v>
      </c>
      <c r="B21">
        <v>8</v>
      </c>
      <c r="C21" t="s">
        <v>145</v>
      </c>
      <c r="D21">
        <v>2016</v>
      </c>
      <c r="E21">
        <v>15936</v>
      </c>
      <c r="F21">
        <v>15071</v>
      </c>
      <c r="G21">
        <v>865</v>
      </c>
      <c r="H21">
        <v>2.4300000000000002</v>
      </c>
      <c r="I21">
        <v>6835</v>
      </c>
      <c r="J21">
        <v>6192</v>
      </c>
      <c r="K21">
        <v>643</v>
      </c>
      <c r="L21">
        <v>9.41</v>
      </c>
      <c r="M21">
        <v>2.2049743959999999</v>
      </c>
      <c r="N21">
        <f>E21/_xlfn.XLOOKUP(C21,Lookups!$A$2:$A$66,Lookups!$C$2:$C$66)</f>
        <v>22.035093541295058</v>
      </c>
    </row>
    <row r="22" spans="1:27" x14ac:dyDescent="0.2">
      <c r="A22">
        <v>3</v>
      </c>
      <c r="B22">
        <v>8</v>
      </c>
      <c r="C22" t="s">
        <v>145</v>
      </c>
      <c r="D22">
        <v>2017</v>
      </c>
      <c r="E22">
        <v>16053</v>
      </c>
      <c r="F22">
        <v>15188</v>
      </c>
      <c r="G22">
        <v>865</v>
      </c>
      <c r="H22">
        <v>2.4300000000000002</v>
      </c>
      <c r="I22">
        <v>6908</v>
      </c>
      <c r="J22">
        <v>6247</v>
      </c>
      <c r="K22">
        <v>661</v>
      </c>
      <c r="L22">
        <v>9.57</v>
      </c>
      <c r="M22">
        <v>2.198610307</v>
      </c>
      <c r="N22">
        <f>E22/_xlfn.XLOOKUP(C22,Lookups!$A$2:$A$66,Lookups!$C$2:$C$66)</f>
        <v>22.196872277761646</v>
      </c>
    </row>
    <row r="23" spans="1:27" x14ac:dyDescent="0.2">
      <c r="A23">
        <v>3</v>
      </c>
      <c r="B23">
        <v>8</v>
      </c>
      <c r="C23" t="s">
        <v>145</v>
      </c>
      <c r="D23">
        <v>2018</v>
      </c>
      <c r="E23">
        <v>16184</v>
      </c>
      <c r="F23">
        <v>15319</v>
      </c>
      <c r="G23">
        <v>865</v>
      </c>
      <c r="H23">
        <v>2.4300000000000002</v>
      </c>
      <c r="I23">
        <v>6990</v>
      </c>
      <c r="J23">
        <v>6310</v>
      </c>
      <c r="K23">
        <v>680</v>
      </c>
      <c r="L23">
        <v>9.73</v>
      </c>
      <c r="M23">
        <v>2.1915593709999999</v>
      </c>
      <c r="N23">
        <f>E23/_xlfn.XLOOKUP(C23,Lookups!$A$2:$A$66,Lookups!$C$2:$C$66)</f>
        <v>22.378009153634491</v>
      </c>
    </row>
    <row r="24" spans="1:27" x14ac:dyDescent="0.2">
      <c r="A24">
        <v>3</v>
      </c>
      <c r="B24">
        <v>8</v>
      </c>
      <c r="C24" t="s">
        <v>145</v>
      </c>
      <c r="D24">
        <v>2019</v>
      </c>
      <c r="E24">
        <v>16247</v>
      </c>
      <c r="F24">
        <v>15382</v>
      </c>
      <c r="G24">
        <v>865</v>
      </c>
      <c r="H24">
        <v>2.4300000000000002</v>
      </c>
      <c r="I24">
        <v>7026</v>
      </c>
      <c r="J24">
        <v>6343</v>
      </c>
      <c r="K24">
        <v>683</v>
      </c>
      <c r="L24">
        <v>9.7200000000000006</v>
      </c>
      <c r="M24">
        <v>2.1892968970000002</v>
      </c>
      <c r="N24">
        <f>E24/_xlfn.XLOOKUP(C24,Lookups!$A$2:$A$66,Lookups!$C$2:$C$66)</f>
        <v>22.46512078096265</v>
      </c>
    </row>
    <row r="25" spans="1:27" x14ac:dyDescent="0.2">
      <c r="A25">
        <v>3</v>
      </c>
      <c r="B25">
        <v>8</v>
      </c>
      <c r="C25" t="s">
        <v>145</v>
      </c>
      <c r="D25">
        <v>2020</v>
      </c>
      <c r="E25">
        <v>16371</v>
      </c>
      <c r="F25">
        <v>15411</v>
      </c>
      <c r="G25">
        <v>960</v>
      </c>
      <c r="I25">
        <v>7072</v>
      </c>
      <c r="M25">
        <v>2.1791572399999999</v>
      </c>
      <c r="N25">
        <f>E25/_xlfn.XLOOKUP(C25,Lookups!$A$2:$A$66,Lookups!$C$2:$C$66)</f>
        <v>22.636578587132366</v>
      </c>
      <c r="O25">
        <v>16371</v>
      </c>
      <c r="P25">
        <v>187</v>
      </c>
      <c r="Q25">
        <v>28</v>
      </c>
      <c r="R25">
        <v>96</v>
      </c>
      <c r="S25">
        <v>159</v>
      </c>
      <c r="T25">
        <v>7072</v>
      </c>
      <c r="W25">
        <v>15411</v>
      </c>
      <c r="X25">
        <v>62</v>
      </c>
      <c r="AA25">
        <v>2.1791572399999999</v>
      </c>
    </row>
    <row r="26" spans="1:27" x14ac:dyDescent="0.2">
      <c r="A26">
        <v>3</v>
      </c>
      <c r="B26">
        <v>8</v>
      </c>
      <c r="C26" t="s">
        <v>145</v>
      </c>
      <c r="D26">
        <v>2021</v>
      </c>
      <c r="E26">
        <v>16574</v>
      </c>
      <c r="F26">
        <v>15590</v>
      </c>
      <c r="G26">
        <v>984</v>
      </c>
      <c r="I26">
        <v>7137</v>
      </c>
      <c r="M26">
        <v>2.1843912009999999</v>
      </c>
      <c r="N26">
        <f>E26/_xlfn.XLOOKUP(C26,Lookups!$A$2:$A$66,Lookups!$C$2:$C$66)</f>
        <v>22.917271608523112</v>
      </c>
      <c r="O26">
        <v>16574</v>
      </c>
      <c r="P26">
        <v>188</v>
      </c>
      <c r="Q26">
        <v>26</v>
      </c>
      <c r="R26">
        <v>177</v>
      </c>
      <c r="S26">
        <v>162</v>
      </c>
      <c r="T26">
        <v>7137</v>
      </c>
      <c r="W26">
        <v>15590</v>
      </c>
      <c r="X26">
        <v>109</v>
      </c>
      <c r="AA26">
        <v>2.1843912009999999</v>
      </c>
    </row>
    <row r="27" spans="1:27" x14ac:dyDescent="0.2">
      <c r="A27">
        <v>3</v>
      </c>
      <c r="B27">
        <v>8</v>
      </c>
      <c r="C27" t="s">
        <v>145</v>
      </c>
      <c r="D27">
        <v>2022</v>
      </c>
      <c r="E27">
        <v>16575</v>
      </c>
      <c r="F27">
        <v>15609</v>
      </c>
      <c r="G27">
        <v>966</v>
      </c>
      <c r="I27">
        <v>7250</v>
      </c>
      <c r="M27">
        <v>2.1529655170000002</v>
      </c>
      <c r="N27">
        <f>E27/_xlfn.XLOOKUP(C27,Lookups!$A$2:$A$66,Lookups!$C$2:$C$66)</f>
        <v>22.918654332766415</v>
      </c>
      <c r="O27">
        <v>16575</v>
      </c>
      <c r="P27">
        <v>196</v>
      </c>
      <c r="Q27">
        <v>-11</v>
      </c>
      <c r="R27">
        <v>12</v>
      </c>
      <c r="S27">
        <v>207</v>
      </c>
      <c r="T27">
        <v>7250</v>
      </c>
      <c r="W27">
        <v>15609</v>
      </c>
      <c r="X27">
        <v>102</v>
      </c>
      <c r="AA27">
        <v>2.1529655170000002</v>
      </c>
    </row>
    <row r="28" spans="1:27" x14ac:dyDescent="0.2">
      <c r="A28">
        <v>5</v>
      </c>
      <c r="B28">
        <v>3</v>
      </c>
      <c r="C28" t="s">
        <v>146</v>
      </c>
      <c r="D28">
        <v>2010</v>
      </c>
      <c r="E28">
        <v>574819</v>
      </c>
      <c r="F28">
        <v>569899</v>
      </c>
      <c r="G28">
        <v>4920</v>
      </c>
      <c r="H28">
        <v>2.5299999999999998</v>
      </c>
      <c r="I28">
        <v>239171</v>
      </c>
      <c r="J28">
        <v>225108</v>
      </c>
      <c r="K28">
        <v>14063</v>
      </c>
      <c r="L28">
        <v>5.88</v>
      </c>
      <c r="M28">
        <v>2.382809789</v>
      </c>
      <c r="N28">
        <f>E28/_xlfn.XLOOKUP(C28,Lookups!$A$2:$A$66,Lookups!$C$2:$C$66)</f>
        <v>714.58460237938368</v>
      </c>
    </row>
    <row r="29" spans="1:27" x14ac:dyDescent="0.2">
      <c r="A29">
        <v>5</v>
      </c>
      <c r="B29">
        <v>3</v>
      </c>
      <c r="C29" t="s">
        <v>146</v>
      </c>
      <c r="D29">
        <v>2011</v>
      </c>
      <c r="E29">
        <v>585817</v>
      </c>
      <c r="F29">
        <v>580907</v>
      </c>
      <c r="G29">
        <v>4910</v>
      </c>
      <c r="H29">
        <v>2.54</v>
      </c>
      <c r="I29">
        <v>240616</v>
      </c>
      <c r="J29">
        <v>228868</v>
      </c>
      <c r="K29">
        <v>11748</v>
      </c>
      <c r="L29">
        <v>4.88</v>
      </c>
      <c r="M29">
        <v>2.4142492600000001</v>
      </c>
      <c r="N29">
        <f>E29/_xlfn.XLOOKUP(C29,Lookups!$A$2:$A$66,Lookups!$C$2:$C$66)</f>
        <v>728.25673474969233</v>
      </c>
    </row>
    <row r="30" spans="1:27" x14ac:dyDescent="0.2">
      <c r="A30">
        <v>5</v>
      </c>
      <c r="B30">
        <v>3</v>
      </c>
      <c r="C30" t="s">
        <v>146</v>
      </c>
      <c r="D30">
        <v>2012</v>
      </c>
      <c r="E30">
        <v>596228</v>
      </c>
      <c r="F30">
        <v>591240</v>
      </c>
      <c r="G30">
        <v>4988</v>
      </c>
      <c r="H30">
        <v>2.54</v>
      </c>
      <c r="I30">
        <v>241137</v>
      </c>
      <c r="J30">
        <v>232344</v>
      </c>
      <c r="K30">
        <v>8793</v>
      </c>
      <c r="L30">
        <v>3.65</v>
      </c>
      <c r="M30">
        <v>2.4518841990000002</v>
      </c>
      <c r="N30">
        <f>E30/_xlfn.XLOOKUP(C30,Lookups!$A$2:$A$66,Lookups!$C$2:$C$66)</f>
        <v>741.19913974217127</v>
      </c>
    </row>
    <row r="31" spans="1:27" x14ac:dyDescent="0.2">
      <c r="A31">
        <v>5</v>
      </c>
      <c r="B31">
        <v>3</v>
      </c>
      <c r="C31" t="s">
        <v>146</v>
      </c>
      <c r="D31">
        <v>2013</v>
      </c>
      <c r="E31">
        <v>607861</v>
      </c>
      <c r="F31">
        <v>602977</v>
      </c>
      <c r="G31">
        <v>4884</v>
      </c>
      <c r="H31">
        <v>2.5499999999999998</v>
      </c>
      <c r="I31">
        <v>242604</v>
      </c>
      <c r="J31">
        <v>236352</v>
      </c>
      <c r="K31">
        <v>6252</v>
      </c>
      <c r="L31">
        <v>2.58</v>
      </c>
      <c r="M31">
        <v>2.4854371730000002</v>
      </c>
      <c r="N31">
        <f>E31/_xlfn.XLOOKUP(C31,Lookups!$A$2:$A$66,Lookups!$C$2:$C$66)</f>
        <v>755.66067055357348</v>
      </c>
    </row>
    <row r="32" spans="1:27" x14ac:dyDescent="0.2">
      <c r="A32">
        <v>5</v>
      </c>
      <c r="B32">
        <v>3</v>
      </c>
      <c r="C32" t="s">
        <v>146</v>
      </c>
      <c r="D32">
        <v>2014</v>
      </c>
      <c r="E32">
        <v>618310</v>
      </c>
      <c r="F32">
        <v>613335</v>
      </c>
      <c r="G32">
        <v>4975</v>
      </c>
      <c r="H32">
        <v>2.56</v>
      </c>
      <c r="I32">
        <v>245659</v>
      </c>
      <c r="J32">
        <v>239801</v>
      </c>
      <c r="K32">
        <v>5858</v>
      </c>
      <c r="L32">
        <v>2.38</v>
      </c>
      <c r="M32">
        <v>2.49669257</v>
      </c>
      <c r="N32">
        <f>E32/_xlfn.XLOOKUP(C32,Lookups!$A$2:$A$66,Lookups!$C$2:$C$66)</f>
        <v>768.65031513780286</v>
      </c>
    </row>
    <row r="33" spans="1:27" x14ac:dyDescent="0.2">
      <c r="A33">
        <v>5</v>
      </c>
      <c r="B33">
        <v>3</v>
      </c>
      <c r="C33" t="s">
        <v>146</v>
      </c>
      <c r="D33">
        <v>2015</v>
      </c>
      <c r="E33">
        <v>629965</v>
      </c>
      <c r="F33">
        <v>625080</v>
      </c>
      <c r="G33">
        <v>4885</v>
      </c>
      <c r="H33">
        <v>2.56</v>
      </c>
      <c r="I33">
        <v>247801</v>
      </c>
      <c r="J33">
        <v>243773</v>
      </c>
      <c r="K33">
        <v>4028</v>
      </c>
      <c r="L33">
        <v>1.63</v>
      </c>
      <c r="M33">
        <v>2.5225079799999999</v>
      </c>
      <c r="N33">
        <f>E33/_xlfn.XLOOKUP(C33,Lookups!$A$2:$A$66,Lookups!$C$2:$C$66)</f>
        <v>783.13919518653427</v>
      </c>
    </row>
    <row r="34" spans="1:27" x14ac:dyDescent="0.2">
      <c r="A34">
        <v>5</v>
      </c>
      <c r="B34">
        <v>3</v>
      </c>
      <c r="C34" t="s">
        <v>146</v>
      </c>
      <c r="D34">
        <v>2016</v>
      </c>
      <c r="E34">
        <v>637656</v>
      </c>
      <c r="F34">
        <v>632707</v>
      </c>
      <c r="G34">
        <v>4949</v>
      </c>
      <c r="H34">
        <v>2.57</v>
      </c>
      <c r="I34">
        <v>249881</v>
      </c>
      <c r="J34">
        <v>246123</v>
      </c>
      <c r="K34">
        <v>3758</v>
      </c>
      <c r="L34">
        <v>1.5</v>
      </c>
      <c r="M34">
        <v>2.5320332479999998</v>
      </c>
      <c r="N34">
        <f>E34/_xlfn.XLOOKUP(C34,Lookups!$A$2:$A$66,Lookups!$C$2:$C$66)</f>
        <v>792.70023992740028</v>
      </c>
    </row>
    <row r="35" spans="1:27" x14ac:dyDescent="0.2">
      <c r="A35">
        <v>5</v>
      </c>
      <c r="B35">
        <v>3</v>
      </c>
      <c r="C35" t="s">
        <v>146</v>
      </c>
      <c r="D35">
        <v>2017</v>
      </c>
      <c r="E35">
        <v>642976</v>
      </c>
      <c r="F35">
        <v>637915</v>
      </c>
      <c r="G35">
        <v>5061</v>
      </c>
      <c r="H35">
        <v>2.58</v>
      </c>
      <c r="I35">
        <v>254352</v>
      </c>
      <c r="J35">
        <v>247523</v>
      </c>
      <c r="K35">
        <v>6829</v>
      </c>
      <c r="L35">
        <v>2.68</v>
      </c>
      <c r="M35">
        <v>2.5080007229999999</v>
      </c>
      <c r="N35">
        <f>E35/_xlfn.XLOOKUP(C35,Lookups!$A$2:$A$66,Lookups!$C$2:$C$66)</f>
        <v>799.31378277246677</v>
      </c>
    </row>
    <row r="36" spans="1:27" x14ac:dyDescent="0.2">
      <c r="A36">
        <v>5</v>
      </c>
      <c r="B36">
        <v>3</v>
      </c>
      <c r="C36" t="s">
        <v>146</v>
      </c>
      <c r="D36">
        <v>2018</v>
      </c>
      <c r="E36">
        <v>650167</v>
      </c>
      <c r="F36">
        <v>644993</v>
      </c>
      <c r="G36">
        <v>5174</v>
      </c>
      <c r="H36">
        <v>2.58</v>
      </c>
      <c r="I36">
        <v>257003</v>
      </c>
      <c r="J36">
        <v>249640</v>
      </c>
      <c r="K36">
        <v>7363</v>
      </c>
      <c r="L36">
        <v>2.86</v>
      </c>
      <c r="M36">
        <v>2.5096710930000001</v>
      </c>
      <c r="N36">
        <f>E36/_xlfn.XLOOKUP(C36,Lookups!$A$2:$A$66,Lookups!$C$2:$C$66)</f>
        <v>808.25325393766866</v>
      </c>
    </row>
    <row r="37" spans="1:27" x14ac:dyDescent="0.2">
      <c r="A37">
        <v>5</v>
      </c>
      <c r="B37">
        <v>3</v>
      </c>
      <c r="C37" t="s">
        <v>146</v>
      </c>
      <c r="D37">
        <v>2019</v>
      </c>
      <c r="E37">
        <v>653804</v>
      </c>
      <c r="F37">
        <v>648519</v>
      </c>
      <c r="G37">
        <v>5285</v>
      </c>
      <c r="H37">
        <v>2.59</v>
      </c>
      <c r="I37">
        <v>259939</v>
      </c>
      <c r="J37">
        <v>250374</v>
      </c>
      <c r="K37">
        <v>9565</v>
      </c>
      <c r="L37">
        <v>3.68</v>
      </c>
      <c r="M37">
        <v>2.494889186</v>
      </c>
      <c r="N37">
        <f>E37/_xlfn.XLOOKUP(C37,Lookups!$A$2:$A$66,Lookups!$C$2:$C$66)</f>
        <v>812.77458012704972</v>
      </c>
    </row>
    <row r="38" spans="1:27" x14ac:dyDescent="0.2">
      <c r="A38">
        <v>5</v>
      </c>
      <c r="B38">
        <v>3</v>
      </c>
      <c r="C38" t="s">
        <v>146</v>
      </c>
      <c r="D38">
        <v>2020</v>
      </c>
      <c r="E38">
        <v>655212</v>
      </c>
      <c r="F38">
        <v>649825</v>
      </c>
      <c r="G38">
        <v>5387</v>
      </c>
      <c r="I38">
        <v>263241</v>
      </c>
      <c r="M38">
        <v>2.4685554299999999</v>
      </c>
      <c r="N38">
        <f>E38/_xlfn.XLOOKUP(C38,Lookups!$A$2:$A$66,Lookups!$C$2:$C$66)</f>
        <v>814.52493131611993</v>
      </c>
      <c r="O38">
        <v>655212</v>
      </c>
      <c r="P38">
        <v>7580</v>
      </c>
      <c r="Q38">
        <v>2964</v>
      </c>
      <c r="R38">
        <v>-1556</v>
      </c>
      <c r="S38">
        <v>4616</v>
      </c>
      <c r="T38">
        <v>263241</v>
      </c>
      <c r="W38">
        <v>649825</v>
      </c>
      <c r="X38">
        <v>4116</v>
      </c>
      <c r="AA38">
        <v>2.4685554299999999</v>
      </c>
    </row>
    <row r="39" spans="1:27" x14ac:dyDescent="0.2">
      <c r="A39">
        <v>5</v>
      </c>
      <c r="B39">
        <v>3</v>
      </c>
      <c r="C39" t="s">
        <v>146</v>
      </c>
      <c r="D39">
        <v>2021</v>
      </c>
      <c r="E39">
        <v>656722</v>
      </c>
      <c r="F39">
        <v>651475</v>
      </c>
      <c r="G39">
        <v>5247</v>
      </c>
      <c r="I39">
        <v>266515</v>
      </c>
      <c r="M39">
        <v>2.4444215150000002</v>
      </c>
      <c r="N39">
        <f>E39/_xlfn.XLOOKUP(C39,Lookups!$A$2:$A$66,Lookups!$C$2:$C$66)</f>
        <v>816.4020835146257</v>
      </c>
      <c r="O39">
        <v>656722</v>
      </c>
      <c r="P39">
        <v>7551</v>
      </c>
      <c r="Q39">
        <v>2814</v>
      </c>
      <c r="R39">
        <v>-1304</v>
      </c>
      <c r="S39">
        <v>4737</v>
      </c>
      <c r="T39">
        <v>266515</v>
      </c>
      <c r="W39">
        <v>651475</v>
      </c>
      <c r="X39">
        <v>5519</v>
      </c>
      <c r="AA39">
        <v>2.4444215150000002</v>
      </c>
    </row>
    <row r="40" spans="1:27" x14ac:dyDescent="0.2">
      <c r="A40">
        <v>5</v>
      </c>
      <c r="B40">
        <v>3</v>
      </c>
      <c r="C40" t="s">
        <v>146</v>
      </c>
      <c r="D40">
        <v>2022</v>
      </c>
      <c r="E40">
        <v>656015</v>
      </c>
      <c r="F40">
        <v>650714</v>
      </c>
      <c r="G40">
        <v>5301</v>
      </c>
      <c r="I40">
        <v>270939</v>
      </c>
      <c r="M40">
        <v>2.4016992749999999</v>
      </c>
      <c r="N40">
        <f>E40/_xlfn.XLOOKUP(C40,Lookups!$A$2:$A$66,Lookups!$C$2:$C$66)</f>
        <v>815.52317847863651</v>
      </c>
      <c r="O40">
        <v>656015</v>
      </c>
      <c r="P40">
        <v>7612</v>
      </c>
      <c r="Q40">
        <v>2532</v>
      </c>
      <c r="R40">
        <v>-3239</v>
      </c>
      <c r="S40">
        <v>5080</v>
      </c>
      <c r="T40">
        <v>270939</v>
      </c>
      <c r="W40">
        <v>650714</v>
      </c>
      <c r="X40">
        <v>4325</v>
      </c>
      <c r="AA40">
        <v>2.4016992749999999</v>
      </c>
    </row>
    <row r="41" spans="1:27" x14ac:dyDescent="0.2">
      <c r="A41">
        <v>7</v>
      </c>
      <c r="B41">
        <v>9</v>
      </c>
      <c r="C41" t="s">
        <v>147</v>
      </c>
      <c r="D41">
        <v>2010</v>
      </c>
      <c r="E41">
        <v>12060</v>
      </c>
      <c r="F41">
        <v>11931</v>
      </c>
      <c r="G41">
        <v>129</v>
      </c>
      <c r="H41">
        <v>2.27</v>
      </c>
      <c r="I41">
        <v>8762</v>
      </c>
      <c r="J41">
        <v>5257</v>
      </c>
      <c r="K41">
        <v>3505</v>
      </c>
      <c r="L41">
        <v>40</v>
      </c>
      <c r="M41">
        <v>1.3616754170000001</v>
      </c>
      <c r="N41">
        <f>E41/_xlfn.XLOOKUP(C41,Lookups!$A$2:$A$66,Lookups!$C$2:$C$66)</f>
        <v>8.9034572877677132</v>
      </c>
    </row>
    <row r="42" spans="1:27" x14ac:dyDescent="0.2">
      <c r="A42">
        <v>7</v>
      </c>
      <c r="B42">
        <v>9</v>
      </c>
      <c r="C42" t="s">
        <v>147</v>
      </c>
      <c r="D42">
        <v>2011</v>
      </c>
      <c r="E42">
        <v>11955</v>
      </c>
      <c r="F42">
        <v>11830</v>
      </c>
      <c r="G42">
        <v>125</v>
      </c>
      <c r="H42">
        <v>2.27</v>
      </c>
      <c r="I42">
        <v>8781</v>
      </c>
      <c r="J42">
        <v>5208</v>
      </c>
      <c r="K42">
        <v>3573</v>
      </c>
      <c r="L42">
        <v>40.69</v>
      </c>
      <c r="M42">
        <v>1.3472269670000001</v>
      </c>
      <c r="N42">
        <f>E42/_xlfn.XLOOKUP(C42,Lookups!$A$2:$A$66,Lookups!$C$2:$C$66)</f>
        <v>8.8259396248145112</v>
      </c>
    </row>
    <row r="43" spans="1:27" x14ac:dyDescent="0.2">
      <c r="A43">
        <v>7</v>
      </c>
      <c r="B43">
        <v>9</v>
      </c>
      <c r="C43" t="s">
        <v>147</v>
      </c>
      <c r="D43">
        <v>2012</v>
      </c>
      <c r="E43">
        <v>11990</v>
      </c>
      <c r="F43">
        <v>11869</v>
      </c>
      <c r="G43">
        <v>121</v>
      </c>
      <c r="H43">
        <v>2.27</v>
      </c>
      <c r="I43">
        <v>8807</v>
      </c>
      <c r="J43">
        <v>5220</v>
      </c>
      <c r="K43">
        <v>3587</v>
      </c>
      <c r="L43">
        <v>40.729999999999997</v>
      </c>
      <c r="M43">
        <v>1.3476779830000001</v>
      </c>
      <c r="N43">
        <f>E43/_xlfn.XLOOKUP(C43,Lookups!$A$2:$A$66,Lookups!$C$2:$C$66)</f>
        <v>8.8517788457989113</v>
      </c>
    </row>
    <row r="44" spans="1:27" x14ac:dyDescent="0.2">
      <c r="A44">
        <v>7</v>
      </c>
      <c r="B44">
        <v>9</v>
      </c>
      <c r="C44" t="s">
        <v>147</v>
      </c>
      <c r="D44">
        <v>2013</v>
      </c>
      <c r="E44">
        <v>11995</v>
      </c>
      <c r="F44">
        <v>11878</v>
      </c>
      <c r="G44">
        <v>117</v>
      </c>
      <c r="H44">
        <v>2.2799999999999998</v>
      </c>
      <c r="I44">
        <v>8840</v>
      </c>
      <c r="J44">
        <v>5219</v>
      </c>
      <c r="K44">
        <v>3621</v>
      </c>
      <c r="L44">
        <v>40.96</v>
      </c>
      <c r="M44">
        <v>1.3436651580000001</v>
      </c>
      <c r="N44">
        <f>E44/_xlfn.XLOOKUP(C44,Lookups!$A$2:$A$66,Lookups!$C$2:$C$66)</f>
        <v>8.8554701630823978</v>
      </c>
    </row>
    <row r="45" spans="1:27" x14ac:dyDescent="0.2">
      <c r="A45">
        <v>7</v>
      </c>
      <c r="B45">
        <v>9</v>
      </c>
      <c r="C45" t="s">
        <v>147</v>
      </c>
      <c r="D45">
        <v>2014</v>
      </c>
      <c r="E45">
        <v>11931</v>
      </c>
      <c r="F45">
        <v>11818</v>
      </c>
      <c r="G45">
        <v>113</v>
      </c>
      <c r="H45">
        <v>2.2799999999999998</v>
      </c>
      <c r="I45">
        <v>8899</v>
      </c>
      <c r="J45">
        <v>5187</v>
      </c>
      <c r="K45">
        <v>3712</v>
      </c>
      <c r="L45">
        <v>41.71</v>
      </c>
      <c r="M45">
        <v>1.328014384</v>
      </c>
      <c r="N45">
        <f>E45/_xlfn.XLOOKUP(C45,Lookups!$A$2:$A$66,Lookups!$C$2:$C$66)</f>
        <v>8.8082213018537789</v>
      </c>
    </row>
    <row r="46" spans="1:27" x14ac:dyDescent="0.2">
      <c r="A46">
        <v>7</v>
      </c>
      <c r="B46">
        <v>9</v>
      </c>
      <c r="C46" t="s">
        <v>147</v>
      </c>
      <c r="D46">
        <v>2015</v>
      </c>
      <c r="E46">
        <v>12009</v>
      </c>
      <c r="F46">
        <v>11900</v>
      </c>
      <c r="G46">
        <v>109</v>
      </c>
      <c r="H46">
        <v>2.2799999999999998</v>
      </c>
      <c r="I46">
        <v>8952</v>
      </c>
      <c r="J46">
        <v>5218</v>
      </c>
      <c r="K46">
        <v>3734</v>
      </c>
      <c r="L46">
        <v>41.71</v>
      </c>
      <c r="M46">
        <v>1.3293118859999999</v>
      </c>
      <c r="N46">
        <f>E46/_xlfn.XLOOKUP(C46,Lookups!$A$2:$A$66,Lookups!$C$2:$C$66)</f>
        <v>8.8658058514761571</v>
      </c>
    </row>
    <row r="47" spans="1:27" x14ac:dyDescent="0.2">
      <c r="A47">
        <v>7</v>
      </c>
      <c r="B47">
        <v>9</v>
      </c>
      <c r="C47" t="s">
        <v>147</v>
      </c>
      <c r="D47">
        <v>2016</v>
      </c>
      <c r="E47">
        <v>12362</v>
      </c>
      <c r="F47">
        <v>12257</v>
      </c>
      <c r="G47">
        <v>105</v>
      </c>
      <c r="H47">
        <v>2.2799999999999998</v>
      </c>
      <c r="I47">
        <v>9033</v>
      </c>
      <c r="J47">
        <v>5370</v>
      </c>
      <c r="K47">
        <v>3663</v>
      </c>
      <c r="L47">
        <v>40.549999999999997</v>
      </c>
      <c r="M47">
        <v>1.356913539</v>
      </c>
      <c r="N47">
        <f>E47/_xlfn.XLOOKUP(C47,Lookups!$A$2:$A$66,Lookups!$C$2:$C$66)</f>
        <v>9.1264128516902545</v>
      </c>
    </row>
    <row r="48" spans="1:27" x14ac:dyDescent="0.2">
      <c r="A48">
        <v>7</v>
      </c>
      <c r="B48">
        <v>9</v>
      </c>
      <c r="C48" t="s">
        <v>147</v>
      </c>
      <c r="D48">
        <v>2017</v>
      </c>
      <c r="E48">
        <v>12758</v>
      </c>
      <c r="F48">
        <v>12657</v>
      </c>
      <c r="G48">
        <v>101</v>
      </c>
      <c r="H48">
        <v>2.2799999999999998</v>
      </c>
      <c r="I48">
        <v>9137</v>
      </c>
      <c r="J48">
        <v>5540</v>
      </c>
      <c r="K48">
        <v>3597</v>
      </c>
      <c r="L48">
        <v>39.369999999999997</v>
      </c>
      <c r="M48">
        <v>1.3852467989999999</v>
      </c>
      <c r="N48">
        <f>E48/_xlfn.XLOOKUP(C48,Lookups!$A$2:$A$66,Lookups!$C$2:$C$66)</f>
        <v>9.4187651805423283</v>
      </c>
    </row>
    <row r="49" spans="1:27" x14ac:dyDescent="0.2">
      <c r="A49">
        <v>7</v>
      </c>
      <c r="B49">
        <v>9</v>
      </c>
      <c r="C49" t="s">
        <v>147</v>
      </c>
      <c r="D49">
        <v>2018</v>
      </c>
      <c r="E49">
        <v>13034</v>
      </c>
      <c r="F49">
        <v>12937</v>
      </c>
      <c r="G49">
        <v>97</v>
      </c>
      <c r="H49">
        <v>2.29</v>
      </c>
      <c r="I49">
        <v>9277</v>
      </c>
      <c r="J49">
        <v>5657</v>
      </c>
      <c r="K49">
        <v>3620</v>
      </c>
      <c r="L49">
        <v>39.020000000000003</v>
      </c>
      <c r="M49">
        <v>1.3945240919999999</v>
      </c>
      <c r="N49">
        <f>E49/_xlfn.XLOOKUP(C49,Lookups!$A$2:$A$66,Lookups!$C$2:$C$66)</f>
        <v>9.6225258945907441</v>
      </c>
    </row>
    <row r="50" spans="1:27" x14ac:dyDescent="0.2">
      <c r="A50">
        <v>7</v>
      </c>
      <c r="B50">
        <v>9</v>
      </c>
      <c r="C50" t="s">
        <v>147</v>
      </c>
      <c r="D50">
        <v>2019</v>
      </c>
      <c r="E50">
        <v>13194</v>
      </c>
      <c r="F50">
        <v>13101</v>
      </c>
      <c r="G50">
        <v>93</v>
      </c>
      <c r="H50">
        <v>2.29</v>
      </c>
      <c r="I50">
        <v>9411</v>
      </c>
      <c r="J50">
        <v>5723</v>
      </c>
      <c r="K50">
        <v>3688</v>
      </c>
      <c r="L50">
        <v>39.19</v>
      </c>
      <c r="M50">
        <v>1.392094358</v>
      </c>
      <c r="N50">
        <f>E50/_xlfn.XLOOKUP(C50,Lookups!$A$2:$A$66,Lookups!$C$2:$C$66)</f>
        <v>9.7406480476622885</v>
      </c>
    </row>
    <row r="51" spans="1:27" x14ac:dyDescent="0.2">
      <c r="A51">
        <v>7</v>
      </c>
      <c r="B51">
        <v>9</v>
      </c>
      <c r="C51" t="s">
        <v>147</v>
      </c>
      <c r="D51">
        <v>2020</v>
      </c>
      <c r="E51">
        <v>13428</v>
      </c>
      <c r="F51">
        <v>13330</v>
      </c>
      <c r="G51">
        <v>98</v>
      </c>
      <c r="I51">
        <v>9537</v>
      </c>
      <c r="M51">
        <v>1.3977141660000001</v>
      </c>
      <c r="N51">
        <f>E51/_xlfn.XLOOKUP(C51,Lookups!$A$2:$A$66,Lookups!$C$2:$C$66)</f>
        <v>9.9134016965294229</v>
      </c>
      <c r="O51">
        <v>13428</v>
      </c>
      <c r="P51">
        <v>102</v>
      </c>
      <c r="Q51">
        <v>-8</v>
      </c>
      <c r="R51">
        <v>242</v>
      </c>
      <c r="S51">
        <v>110</v>
      </c>
      <c r="T51">
        <v>9537</v>
      </c>
      <c r="W51">
        <v>13330</v>
      </c>
      <c r="X51">
        <v>153</v>
      </c>
      <c r="AA51">
        <v>1.3977141660000001</v>
      </c>
    </row>
    <row r="52" spans="1:27" x14ac:dyDescent="0.2">
      <c r="A52">
        <v>7</v>
      </c>
      <c r="B52">
        <v>9</v>
      </c>
      <c r="C52" t="s">
        <v>147</v>
      </c>
      <c r="D52">
        <v>2021</v>
      </c>
      <c r="E52">
        <v>13812</v>
      </c>
      <c r="F52">
        <v>13720</v>
      </c>
      <c r="G52">
        <v>92</v>
      </c>
      <c r="I52">
        <v>9687</v>
      </c>
      <c r="M52">
        <v>1.4163311649999999</v>
      </c>
      <c r="N52">
        <f>E52/_xlfn.XLOOKUP(C52,Lookups!$A$2:$A$66,Lookups!$C$2:$C$66)</f>
        <v>10.196894863901132</v>
      </c>
      <c r="O52">
        <v>13812</v>
      </c>
      <c r="P52">
        <v>118</v>
      </c>
      <c r="Q52">
        <v>-4</v>
      </c>
      <c r="R52">
        <v>388</v>
      </c>
      <c r="S52">
        <v>122</v>
      </c>
      <c r="T52">
        <v>9687</v>
      </c>
      <c r="W52">
        <v>13720</v>
      </c>
      <c r="X52">
        <v>193</v>
      </c>
      <c r="AA52">
        <v>1.4163311649999999</v>
      </c>
    </row>
    <row r="53" spans="1:27" x14ac:dyDescent="0.2">
      <c r="A53">
        <v>7</v>
      </c>
      <c r="B53">
        <v>9</v>
      </c>
      <c r="C53" t="s">
        <v>147</v>
      </c>
      <c r="D53">
        <v>2022</v>
      </c>
      <c r="E53">
        <v>13986</v>
      </c>
      <c r="F53">
        <v>13898</v>
      </c>
      <c r="G53">
        <v>88</v>
      </c>
      <c r="I53">
        <v>9879</v>
      </c>
      <c r="M53">
        <v>1.406822553</v>
      </c>
      <c r="N53">
        <f>E53/_xlfn.XLOOKUP(C53,Lookups!$A$2:$A$66,Lookups!$C$2:$C$66)</f>
        <v>10.325352705366438</v>
      </c>
      <c r="O53">
        <v>13986</v>
      </c>
      <c r="P53">
        <v>104</v>
      </c>
      <c r="Q53">
        <v>-48</v>
      </c>
      <c r="R53">
        <v>222</v>
      </c>
      <c r="S53">
        <v>152</v>
      </c>
      <c r="T53">
        <v>9879</v>
      </c>
      <c r="W53">
        <v>13898</v>
      </c>
      <c r="X53">
        <v>164</v>
      </c>
      <c r="AA53">
        <v>1.406822553</v>
      </c>
    </row>
    <row r="54" spans="1:27" x14ac:dyDescent="0.2">
      <c r="A54">
        <v>9</v>
      </c>
      <c r="B54">
        <v>6</v>
      </c>
      <c r="C54" t="s">
        <v>148</v>
      </c>
      <c r="D54">
        <v>2010</v>
      </c>
      <c r="E54">
        <v>3795</v>
      </c>
      <c r="F54">
        <v>3713</v>
      </c>
      <c r="G54">
        <v>82</v>
      </c>
      <c r="H54">
        <v>2.52</v>
      </c>
      <c r="I54">
        <v>1964</v>
      </c>
      <c r="J54">
        <v>1475</v>
      </c>
      <c r="K54">
        <v>489</v>
      </c>
      <c r="L54">
        <v>24.9</v>
      </c>
      <c r="M54">
        <v>1.890529532</v>
      </c>
      <c r="N54">
        <f>E54/_xlfn.XLOOKUP(C54,Lookups!$A$2:$A$66,Lookups!$C$2:$C$66)</f>
        <v>1.4833025859103843</v>
      </c>
    </row>
    <row r="55" spans="1:27" x14ac:dyDescent="0.2">
      <c r="A55">
        <v>9</v>
      </c>
      <c r="B55">
        <v>6</v>
      </c>
      <c r="C55" t="s">
        <v>148</v>
      </c>
      <c r="D55">
        <v>2011</v>
      </c>
      <c r="E55">
        <v>3767</v>
      </c>
      <c r="F55">
        <v>3689</v>
      </c>
      <c r="G55">
        <v>78</v>
      </c>
      <c r="H55">
        <v>2.2200000000000002</v>
      </c>
      <c r="I55">
        <v>1966</v>
      </c>
      <c r="J55">
        <v>1661</v>
      </c>
      <c r="K55">
        <v>305</v>
      </c>
      <c r="L55">
        <v>15.54</v>
      </c>
      <c r="M55">
        <v>1.8763987790000001</v>
      </c>
      <c r="N55">
        <f>E55/_xlfn.XLOOKUP(C55,Lookups!$A$2:$A$66,Lookups!$C$2:$C$66)</f>
        <v>1.4723585879115726</v>
      </c>
    </row>
    <row r="56" spans="1:27" x14ac:dyDescent="0.2">
      <c r="A56">
        <v>9</v>
      </c>
      <c r="B56">
        <v>6</v>
      </c>
      <c r="C56" t="s">
        <v>148</v>
      </c>
      <c r="D56">
        <v>2012</v>
      </c>
      <c r="E56">
        <v>3704</v>
      </c>
      <c r="F56">
        <v>3631</v>
      </c>
      <c r="G56">
        <v>73</v>
      </c>
      <c r="H56">
        <v>2.2200000000000002</v>
      </c>
      <c r="I56">
        <v>1968</v>
      </c>
      <c r="J56">
        <v>1634</v>
      </c>
      <c r="K56">
        <v>334</v>
      </c>
      <c r="L56">
        <v>16.97</v>
      </c>
      <c r="M56">
        <v>1.8450203249999999</v>
      </c>
      <c r="N56">
        <f>E56/_xlfn.XLOOKUP(C56,Lookups!$A$2:$A$66,Lookups!$C$2:$C$66)</f>
        <v>1.447734592414246</v>
      </c>
    </row>
    <row r="57" spans="1:27" x14ac:dyDescent="0.2">
      <c r="A57">
        <v>9</v>
      </c>
      <c r="B57">
        <v>6</v>
      </c>
      <c r="C57" t="s">
        <v>148</v>
      </c>
      <c r="D57">
        <v>2013</v>
      </c>
      <c r="E57">
        <v>3637</v>
      </c>
      <c r="F57">
        <v>3568</v>
      </c>
      <c r="G57">
        <v>69</v>
      </c>
      <c r="H57">
        <v>2.1800000000000002</v>
      </c>
      <c r="I57">
        <v>1968</v>
      </c>
      <c r="J57">
        <v>1634</v>
      </c>
      <c r="K57">
        <v>334</v>
      </c>
      <c r="L57">
        <v>16.97</v>
      </c>
      <c r="M57">
        <v>1.8130081300000001</v>
      </c>
      <c r="N57">
        <f>E57/_xlfn.XLOOKUP(C57,Lookups!$A$2:$A$66,Lookups!$C$2:$C$66)</f>
        <v>1.4215471686313748</v>
      </c>
    </row>
    <row r="58" spans="1:27" x14ac:dyDescent="0.2">
      <c r="A58">
        <v>9</v>
      </c>
      <c r="B58">
        <v>6</v>
      </c>
      <c r="C58" t="s">
        <v>148</v>
      </c>
      <c r="D58">
        <v>2014</v>
      </c>
      <c r="E58">
        <v>3564</v>
      </c>
      <c r="F58">
        <v>3500</v>
      </c>
      <c r="G58">
        <v>64</v>
      </c>
      <c r="H58">
        <v>2.14</v>
      </c>
      <c r="I58">
        <v>1968</v>
      </c>
      <c r="J58">
        <v>1634</v>
      </c>
      <c r="K58">
        <v>334</v>
      </c>
      <c r="L58">
        <v>16.97</v>
      </c>
      <c r="M58">
        <v>1.7784552849999999</v>
      </c>
      <c r="N58">
        <f>E58/_xlfn.XLOOKUP(C58,Lookups!$A$2:$A$66,Lookups!$C$2:$C$66)</f>
        <v>1.393014602420187</v>
      </c>
    </row>
    <row r="59" spans="1:27" x14ac:dyDescent="0.2">
      <c r="A59">
        <v>9</v>
      </c>
      <c r="B59">
        <v>6</v>
      </c>
      <c r="C59" t="s">
        <v>148</v>
      </c>
      <c r="D59">
        <v>2015</v>
      </c>
      <c r="E59">
        <v>3530</v>
      </c>
      <c r="F59">
        <v>3470</v>
      </c>
      <c r="G59">
        <v>60</v>
      </c>
      <c r="H59">
        <v>2.12</v>
      </c>
      <c r="I59">
        <v>1968</v>
      </c>
      <c r="J59">
        <v>1634</v>
      </c>
      <c r="K59">
        <v>334</v>
      </c>
      <c r="L59">
        <v>16.97</v>
      </c>
      <c r="M59">
        <v>1.7632113819999999</v>
      </c>
      <c r="N59">
        <f>E59/_xlfn.XLOOKUP(C59,Lookups!$A$2:$A$66,Lookups!$C$2:$C$66)</f>
        <v>1.3797254619930583</v>
      </c>
    </row>
    <row r="60" spans="1:27" x14ac:dyDescent="0.2">
      <c r="A60">
        <v>9</v>
      </c>
      <c r="B60">
        <v>6</v>
      </c>
      <c r="C60" t="s">
        <v>148</v>
      </c>
      <c r="D60">
        <v>2016</v>
      </c>
      <c r="E60">
        <v>3505</v>
      </c>
      <c r="F60">
        <v>3450</v>
      </c>
      <c r="G60">
        <v>55</v>
      </c>
      <c r="H60">
        <v>2.11</v>
      </c>
      <c r="I60">
        <v>1968</v>
      </c>
      <c r="J60">
        <v>1634</v>
      </c>
      <c r="K60">
        <v>334</v>
      </c>
      <c r="L60">
        <v>16.97</v>
      </c>
      <c r="M60">
        <v>1.7530487800000001</v>
      </c>
      <c r="N60">
        <f>E60/_xlfn.XLOOKUP(C60,Lookups!$A$2:$A$66,Lookups!$C$2:$C$66)</f>
        <v>1.369954035208405</v>
      </c>
    </row>
    <row r="61" spans="1:27" x14ac:dyDescent="0.2">
      <c r="A61">
        <v>9</v>
      </c>
      <c r="B61">
        <v>6</v>
      </c>
      <c r="C61" t="s">
        <v>148</v>
      </c>
      <c r="D61">
        <v>2017</v>
      </c>
      <c r="E61">
        <v>3523</v>
      </c>
      <c r="F61">
        <v>3472</v>
      </c>
      <c r="G61">
        <v>51</v>
      </c>
      <c r="H61">
        <v>2.14</v>
      </c>
      <c r="I61">
        <v>1969</v>
      </c>
      <c r="J61">
        <v>1621</v>
      </c>
      <c r="K61">
        <v>348</v>
      </c>
      <c r="L61">
        <v>17.68</v>
      </c>
      <c r="M61">
        <v>1.7633316400000001</v>
      </c>
      <c r="N61">
        <f>E61/_xlfn.XLOOKUP(C61,Lookups!$A$2:$A$66,Lookups!$C$2:$C$66)</f>
        <v>1.3769894624933554</v>
      </c>
    </row>
    <row r="62" spans="1:27" x14ac:dyDescent="0.2">
      <c r="A62">
        <v>9</v>
      </c>
      <c r="B62">
        <v>6</v>
      </c>
      <c r="C62" t="s">
        <v>148</v>
      </c>
      <c r="D62">
        <v>2018</v>
      </c>
      <c r="E62">
        <v>3550</v>
      </c>
      <c r="F62">
        <v>3504</v>
      </c>
      <c r="G62">
        <v>46</v>
      </c>
      <c r="H62">
        <v>2.16</v>
      </c>
      <c r="I62">
        <v>1969</v>
      </c>
      <c r="J62">
        <v>1621</v>
      </c>
      <c r="K62">
        <v>348</v>
      </c>
      <c r="L62">
        <v>17.68</v>
      </c>
      <c r="M62">
        <v>1.7795835449999999</v>
      </c>
      <c r="N62">
        <f>E62/_xlfn.XLOOKUP(C62,Lookups!$A$2:$A$66,Lookups!$C$2:$C$66)</f>
        <v>1.3875426034207812</v>
      </c>
    </row>
    <row r="63" spans="1:27" x14ac:dyDescent="0.2">
      <c r="A63">
        <v>9</v>
      </c>
      <c r="B63">
        <v>6</v>
      </c>
      <c r="C63" t="s">
        <v>148</v>
      </c>
      <c r="D63">
        <v>2019</v>
      </c>
      <c r="E63">
        <v>3565</v>
      </c>
      <c r="F63">
        <v>3523</v>
      </c>
      <c r="G63">
        <v>42</v>
      </c>
      <c r="H63">
        <v>2.17</v>
      </c>
      <c r="I63">
        <v>1969</v>
      </c>
      <c r="J63">
        <v>1621</v>
      </c>
      <c r="K63">
        <v>348</v>
      </c>
      <c r="L63">
        <v>17.68</v>
      </c>
      <c r="M63">
        <v>1.7892331130000001</v>
      </c>
      <c r="N63">
        <f>E63/_xlfn.XLOOKUP(C63,Lookups!$A$2:$A$66,Lookups!$C$2:$C$66)</f>
        <v>1.393405459491573</v>
      </c>
    </row>
    <row r="64" spans="1:27" x14ac:dyDescent="0.2">
      <c r="A64">
        <v>9</v>
      </c>
      <c r="B64">
        <v>6</v>
      </c>
      <c r="C64" t="s">
        <v>148</v>
      </c>
      <c r="D64">
        <v>2020</v>
      </c>
      <c r="E64">
        <v>3478</v>
      </c>
      <c r="F64">
        <v>3424</v>
      </c>
      <c r="G64">
        <v>54</v>
      </c>
      <c r="I64">
        <v>1972</v>
      </c>
      <c r="M64">
        <v>1.7363083159999999</v>
      </c>
      <c r="N64">
        <f>E64/_xlfn.XLOOKUP(C64,Lookups!$A$2:$A$66,Lookups!$C$2:$C$66)</f>
        <v>1.3594008942809794</v>
      </c>
      <c r="O64">
        <v>3478</v>
      </c>
      <c r="P64">
        <v>40</v>
      </c>
      <c r="Q64">
        <v>-28</v>
      </c>
      <c r="R64">
        <v>-59</v>
      </c>
      <c r="S64">
        <v>68</v>
      </c>
      <c r="T64">
        <v>1972</v>
      </c>
      <c r="W64">
        <v>3424</v>
      </c>
      <c r="X64">
        <v>2</v>
      </c>
      <c r="AA64">
        <v>1.7363083159999999</v>
      </c>
    </row>
    <row r="65" spans="1:27" x14ac:dyDescent="0.2">
      <c r="A65">
        <v>9</v>
      </c>
      <c r="B65">
        <v>6</v>
      </c>
      <c r="C65" t="s">
        <v>148</v>
      </c>
      <c r="D65">
        <v>2021</v>
      </c>
      <c r="E65">
        <v>3491</v>
      </c>
      <c r="F65">
        <v>3443</v>
      </c>
      <c r="G65">
        <v>48</v>
      </c>
      <c r="I65">
        <v>1977</v>
      </c>
      <c r="M65">
        <v>1.7415275670000001</v>
      </c>
      <c r="N65">
        <f>E65/_xlfn.XLOOKUP(C65,Lookups!$A$2:$A$66,Lookups!$C$2:$C$66)</f>
        <v>1.3644820362089991</v>
      </c>
      <c r="O65">
        <v>3491</v>
      </c>
      <c r="P65">
        <v>35</v>
      </c>
      <c r="Q65">
        <v>-34</v>
      </c>
      <c r="R65">
        <v>47</v>
      </c>
      <c r="S65">
        <v>69</v>
      </c>
      <c r="T65">
        <v>1977</v>
      </c>
      <c r="W65">
        <v>3443</v>
      </c>
      <c r="X65">
        <v>3</v>
      </c>
      <c r="AA65">
        <v>1.7415275670000001</v>
      </c>
    </row>
    <row r="66" spans="1:27" x14ac:dyDescent="0.2">
      <c r="A66">
        <v>9</v>
      </c>
      <c r="B66">
        <v>6</v>
      </c>
      <c r="C66" t="s">
        <v>148</v>
      </c>
      <c r="D66">
        <v>2022</v>
      </c>
      <c r="E66">
        <v>3431</v>
      </c>
      <c r="F66">
        <v>3383</v>
      </c>
      <c r="G66">
        <v>48</v>
      </c>
      <c r="I66">
        <v>1981</v>
      </c>
      <c r="M66">
        <v>1.707723372</v>
      </c>
      <c r="N66">
        <f>E66/_xlfn.XLOOKUP(C66,Lookups!$A$2:$A$66,Lookups!$C$2:$C$66)</f>
        <v>1.3410306119258311</v>
      </c>
      <c r="O66">
        <v>3431</v>
      </c>
      <c r="P66">
        <v>34</v>
      </c>
      <c r="Q66">
        <v>-45</v>
      </c>
      <c r="R66">
        <v>-15</v>
      </c>
      <c r="S66">
        <v>79</v>
      </c>
      <c r="T66">
        <v>1981</v>
      </c>
      <c r="W66">
        <v>3383</v>
      </c>
      <c r="X66">
        <v>26</v>
      </c>
      <c r="AA66">
        <v>1.707723372</v>
      </c>
    </row>
    <row r="67" spans="1:27" x14ac:dyDescent="0.2">
      <c r="A67">
        <v>11</v>
      </c>
      <c r="B67">
        <v>6</v>
      </c>
      <c r="C67" t="s">
        <v>149</v>
      </c>
      <c r="D67">
        <v>2010</v>
      </c>
      <c r="E67">
        <v>6506</v>
      </c>
      <c r="F67">
        <v>4298</v>
      </c>
      <c r="G67">
        <v>2208</v>
      </c>
      <c r="H67">
        <v>2.4900000000000002</v>
      </c>
      <c r="I67">
        <v>2111</v>
      </c>
      <c r="J67">
        <v>1728</v>
      </c>
      <c r="K67">
        <v>383</v>
      </c>
      <c r="L67">
        <v>18.14</v>
      </c>
      <c r="M67">
        <v>2.0360018950000001</v>
      </c>
      <c r="N67">
        <f>E67/_xlfn.XLOOKUP(C67,Lookups!$A$2:$A$66,Lookups!$C$2:$C$66)</f>
        <v>4.2217420363773224</v>
      </c>
    </row>
    <row r="68" spans="1:27" x14ac:dyDescent="0.2">
      <c r="A68">
        <v>11</v>
      </c>
      <c r="B68">
        <v>6</v>
      </c>
      <c r="C68" t="s">
        <v>149</v>
      </c>
      <c r="D68">
        <v>2011</v>
      </c>
      <c r="E68">
        <v>6355</v>
      </c>
      <c r="F68">
        <v>4241</v>
      </c>
      <c r="G68">
        <v>2114</v>
      </c>
      <c r="H68">
        <v>2.34</v>
      </c>
      <c r="I68">
        <v>2116</v>
      </c>
      <c r="J68">
        <v>1816</v>
      </c>
      <c r="K68">
        <v>300</v>
      </c>
      <c r="L68">
        <v>14.19</v>
      </c>
      <c r="M68">
        <v>2.004253308</v>
      </c>
      <c r="N68">
        <f>E68/_xlfn.XLOOKUP(C68,Lookups!$A$2:$A$66,Lookups!$C$2:$C$66)</f>
        <v>4.1237581680261117</v>
      </c>
    </row>
    <row r="69" spans="1:27" x14ac:dyDescent="0.2">
      <c r="A69">
        <v>11</v>
      </c>
      <c r="B69">
        <v>6</v>
      </c>
      <c r="C69" t="s">
        <v>149</v>
      </c>
      <c r="D69">
        <v>2012</v>
      </c>
      <c r="E69">
        <v>5864</v>
      </c>
      <c r="F69">
        <v>4178</v>
      </c>
      <c r="G69">
        <v>1686</v>
      </c>
      <c r="H69">
        <v>2.33</v>
      </c>
      <c r="I69">
        <v>2118</v>
      </c>
      <c r="J69">
        <v>1794</v>
      </c>
      <c r="K69">
        <v>324</v>
      </c>
      <c r="L69">
        <v>15.31</v>
      </c>
      <c r="M69">
        <v>1.9726156749999999</v>
      </c>
      <c r="N69">
        <f>E69/_xlfn.XLOOKUP(C69,Lookups!$A$2:$A$66,Lookups!$C$2:$C$66)</f>
        <v>3.8051483709370761</v>
      </c>
    </row>
    <row r="70" spans="1:27" x14ac:dyDescent="0.2">
      <c r="A70">
        <v>11</v>
      </c>
      <c r="B70">
        <v>6</v>
      </c>
      <c r="C70" t="s">
        <v>149</v>
      </c>
      <c r="D70">
        <v>2013</v>
      </c>
      <c r="E70">
        <v>5800</v>
      </c>
      <c r="F70">
        <v>4085</v>
      </c>
      <c r="G70">
        <v>1715</v>
      </c>
      <c r="H70">
        <v>2.3199999999999998</v>
      </c>
      <c r="I70">
        <v>2122</v>
      </c>
      <c r="J70">
        <v>1759</v>
      </c>
      <c r="K70">
        <v>363</v>
      </c>
      <c r="L70">
        <v>17.12</v>
      </c>
      <c r="M70">
        <v>1.9250706879999999</v>
      </c>
      <c r="N70">
        <f>E70/_xlfn.XLOOKUP(C70,Lookups!$A$2:$A$66,Lookups!$C$2:$C$66)</f>
        <v>3.7636187843511326</v>
      </c>
    </row>
    <row r="71" spans="1:27" x14ac:dyDescent="0.2">
      <c r="A71">
        <v>11</v>
      </c>
      <c r="B71">
        <v>6</v>
      </c>
      <c r="C71" t="s">
        <v>149</v>
      </c>
      <c r="D71">
        <v>2014</v>
      </c>
      <c r="E71">
        <v>5851</v>
      </c>
      <c r="F71">
        <v>3982</v>
      </c>
      <c r="G71">
        <v>1869</v>
      </c>
      <c r="H71">
        <v>2.3199999999999998</v>
      </c>
      <c r="I71">
        <v>2124</v>
      </c>
      <c r="J71">
        <v>1719</v>
      </c>
      <c r="K71">
        <v>405</v>
      </c>
      <c r="L71">
        <v>19.05</v>
      </c>
      <c r="M71">
        <v>1.874764595</v>
      </c>
      <c r="N71">
        <f>E71/_xlfn.XLOOKUP(C71,Lookups!$A$2:$A$66,Lookups!$C$2:$C$66)</f>
        <v>3.7967126736618066</v>
      </c>
    </row>
    <row r="72" spans="1:27" x14ac:dyDescent="0.2">
      <c r="A72">
        <v>11</v>
      </c>
      <c r="B72">
        <v>6</v>
      </c>
      <c r="C72" t="s">
        <v>149</v>
      </c>
      <c r="D72">
        <v>2015</v>
      </c>
      <c r="E72">
        <v>5966</v>
      </c>
      <c r="F72">
        <v>4059</v>
      </c>
      <c r="G72">
        <v>1907</v>
      </c>
      <c r="H72">
        <v>2.31</v>
      </c>
      <c r="I72">
        <v>2124</v>
      </c>
      <c r="J72">
        <v>1758</v>
      </c>
      <c r="K72">
        <v>366</v>
      </c>
      <c r="L72">
        <v>17.25</v>
      </c>
      <c r="M72">
        <v>1.911016949</v>
      </c>
      <c r="N72">
        <f>E72/_xlfn.XLOOKUP(C72,Lookups!$A$2:$A$66,Lookups!$C$2:$C$66)</f>
        <v>3.8713361495584238</v>
      </c>
    </row>
    <row r="73" spans="1:27" x14ac:dyDescent="0.2">
      <c r="A73">
        <v>11</v>
      </c>
      <c r="B73">
        <v>6</v>
      </c>
      <c r="C73" t="s">
        <v>149</v>
      </c>
      <c r="D73">
        <v>2016</v>
      </c>
      <c r="E73">
        <v>5753</v>
      </c>
      <c r="F73">
        <v>4018</v>
      </c>
      <c r="G73">
        <v>1735</v>
      </c>
      <c r="H73">
        <v>2.2999999999999998</v>
      </c>
      <c r="I73">
        <v>2128</v>
      </c>
      <c r="J73">
        <v>1745</v>
      </c>
      <c r="K73">
        <v>383</v>
      </c>
      <c r="L73">
        <v>18.010000000000002</v>
      </c>
      <c r="M73">
        <v>1.888157895</v>
      </c>
      <c r="N73">
        <f>E73/_xlfn.XLOOKUP(C73,Lookups!$A$2:$A$66,Lookups!$C$2:$C$66)</f>
        <v>3.7331204942020806</v>
      </c>
    </row>
    <row r="74" spans="1:27" x14ac:dyDescent="0.2">
      <c r="A74">
        <v>11</v>
      </c>
      <c r="B74">
        <v>6</v>
      </c>
      <c r="C74" t="s">
        <v>149</v>
      </c>
      <c r="D74">
        <v>2017</v>
      </c>
      <c r="E74">
        <v>5968</v>
      </c>
      <c r="F74">
        <v>4034</v>
      </c>
      <c r="G74">
        <v>1934</v>
      </c>
      <c r="H74">
        <v>2.2999999999999998</v>
      </c>
      <c r="I74">
        <v>2130</v>
      </c>
      <c r="J74">
        <v>1757</v>
      </c>
      <c r="K74">
        <v>373</v>
      </c>
      <c r="L74">
        <v>17.53</v>
      </c>
      <c r="M74">
        <v>1.893896714</v>
      </c>
      <c r="N74">
        <f>E74/_xlfn.XLOOKUP(C74,Lookups!$A$2:$A$66,Lookups!$C$2:$C$66)</f>
        <v>3.8726339491392348</v>
      </c>
    </row>
    <row r="75" spans="1:27" x14ac:dyDescent="0.2">
      <c r="A75">
        <v>11</v>
      </c>
      <c r="B75">
        <v>6</v>
      </c>
      <c r="C75" t="s">
        <v>149</v>
      </c>
      <c r="D75">
        <v>2018</v>
      </c>
      <c r="E75">
        <v>5984</v>
      </c>
      <c r="F75">
        <v>4052</v>
      </c>
      <c r="G75">
        <v>1932</v>
      </c>
      <c r="H75">
        <v>2.29</v>
      </c>
      <c r="I75">
        <v>2133</v>
      </c>
      <c r="J75">
        <v>1770</v>
      </c>
      <c r="K75">
        <v>363</v>
      </c>
      <c r="L75">
        <v>17.04</v>
      </c>
      <c r="M75">
        <v>1.8996718239999999</v>
      </c>
      <c r="N75">
        <f>E75/_xlfn.XLOOKUP(C75,Lookups!$A$2:$A$66,Lookups!$C$2:$C$66)</f>
        <v>3.8830163457857205</v>
      </c>
    </row>
    <row r="76" spans="1:27" x14ac:dyDescent="0.2">
      <c r="A76">
        <v>11</v>
      </c>
      <c r="B76">
        <v>6</v>
      </c>
      <c r="C76" t="s">
        <v>149</v>
      </c>
      <c r="D76">
        <v>2019</v>
      </c>
      <c r="E76">
        <v>5980</v>
      </c>
      <c r="F76">
        <v>4046</v>
      </c>
      <c r="G76">
        <v>1934</v>
      </c>
      <c r="H76">
        <v>2.2799999999999998</v>
      </c>
      <c r="I76">
        <v>2135</v>
      </c>
      <c r="J76">
        <v>1772</v>
      </c>
      <c r="K76">
        <v>363</v>
      </c>
      <c r="L76">
        <v>17</v>
      </c>
      <c r="M76">
        <v>1.8950819670000001</v>
      </c>
      <c r="N76">
        <f>E76/_xlfn.XLOOKUP(C76,Lookups!$A$2:$A$66,Lookups!$C$2:$C$66)</f>
        <v>3.880420746624099</v>
      </c>
    </row>
    <row r="77" spans="1:27" x14ac:dyDescent="0.2">
      <c r="A77">
        <v>11</v>
      </c>
      <c r="B77">
        <v>6</v>
      </c>
      <c r="C77" t="s">
        <v>149</v>
      </c>
      <c r="D77">
        <v>2020</v>
      </c>
      <c r="E77">
        <v>5477</v>
      </c>
      <c r="F77">
        <v>4071</v>
      </c>
      <c r="G77">
        <v>1406</v>
      </c>
      <c r="I77">
        <v>2136</v>
      </c>
      <c r="M77">
        <v>1.905898876</v>
      </c>
      <c r="N77">
        <f>E77/_xlfn.XLOOKUP(C77,Lookups!$A$2:$A$66,Lookups!$C$2:$C$66)</f>
        <v>3.5540241520501992</v>
      </c>
      <c r="O77">
        <v>5477</v>
      </c>
      <c r="P77">
        <v>43</v>
      </c>
      <c r="Q77">
        <v>-28</v>
      </c>
      <c r="R77">
        <v>-475</v>
      </c>
      <c r="S77">
        <v>71</v>
      </c>
      <c r="T77">
        <v>2136</v>
      </c>
      <c r="W77">
        <v>4071</v>
      </c>
      <c r="X77">
        <v>5</v>
      </c>
      <c r="AA77">
        <v>1.905898876</v>
      </c>
    </row>
    <row r="78" spans="1:27" x14ac:dyDescent="0.2">
      <c r="A78">
        <v>11</v>
      </c>
      <c r="B78">
        <v>6</v>
      </c>
      <c r="C78" t="s">
        <v>149</v>
      </c>
      <c r="D78">
        <v>2021</v>
      </c>
      <c r="E78">
        <v>5334</v>
      </c>
      <c r="F78">
        <v>4166</v>
      </c>
      <c r="G78">
        <v>1168</v>
      </c>
      <c r="I78">
        <v>2143</v>
      </c>
      <c r="M78">
        <v>1.944003733</v>
      </c>
      <c r="N78">
        <f>E78/_xlfn.XLOOKUP(C78,Lookups!$A$2:$A$66,Lookups!$C$2:$C$66)</f>
        <v>3.4612314820222316</v>
      </c>
      <c r="O78">
        <v>5334</v>
      </c>
      <c r="P78">
        <v>36</v>
      </c>
      <c r="Q78">
        <v>-43</v>
      </c>
      <c r="R78">
        <v>-100</v>
      </c>
      <c r="S78">
        <v>79</v>
      </c>
      <c r="T78">
        <v>2143</v>
      </c>
      <c r="W78">
        <v>4166</v>
      </c>
      <c r="X78">
        <v>8</v>
      </c>
      <c r="AA78">
        <v>1.944003733</v>
      </c>
    </row>
    <row r="79" spans="1:27" x14ac:dyDescent="0.2">
      <c r="A79">
        <v>11</v>
      </c>
      <c r="B79">
        <v>6</v>
      </c>
      <c r="C79" t="s">
        <v>149</v>
      </c>
      <c r="D79">
        <v>2022</v>
      </c>
      <c r="E79">
        <v>5400</v>
      </c>
      <c r="F79">
        <v>4105</v>
      </c>
      <c r="G79">
        <v>1295</v>
      </c>
      <c r="I79">
        <v>2171</v>
      </c>
      <c r="M79">
        <v>1.890833717</v>
      </c>
      <c r="N79">
        <f>E79/_xlfn.XLOOKUP(C79,Lookups!$A$2:$A$66,Lookups!$C$2:$C$66)</f>
        <v>3.5040588681889857</v>
      </c>
      <c r="O79">
        <v>5400</v>
      </c>
      <c r="P79">
        <v>41</v>
      </c>
      <c r="Q79">
        <v>-45</v>
      </c>
      <c r="R79">
        <v>111</v>
      </c>
      <c r="S79">
        <v>86</v>
      </c>
      <c r="T79">
        <v>2171</v>
      </c>
      <c r="W79">
        <v>4105</v>
      </c>
      <c r="X79">
        <v>29</v>
      </c>
      <c r="AA79">
        <v>1.890833717</v>
      </c>
    </row>
    <row r="80" spans="1:27" x14ac:dyDescent="0.2">
      <c r="A80">
        <v>13</v>
      </c>
      <c r="B80">
        <v>3</v>
      </c>
      <c r="C80" t="s">
        <v>150</v>
      </c>
      <c r="D80">
        <v>2010</v>
      </c>
      <c r="E80">
        <v>295605</v>
      </c>
      <c r="F80">
        <v>286209</v>
      </c>
      <c r="G80">
        <v>9396</v>
      </c>
      <c r="H80">
        <v>2.39</v>
      </c>
      <c r="I80">
        <v>127213</v>
      </c>
      <c r="J80">
        <v>119568</v>
      </c>
      <c r="K80">
        <v>7645</v>
      </c>
      <c r="L80">
        <v>6.01</v>
      </c>
      <c r="M80">
        <v>2.249840818</v>
      </c>
      <c r="N80">
        <f>E80/_xlfn.XLOOKUP(C80,Lookups!$A$2:$A$66,Lookups!$C$2:$C$66)</f>
        <v>399.20727095937769</v>
      </c>
    </row>
    <row r="81" spans="1:27" x14ac:dyDescent="0.2">
      <c r="A81">
        <v>13</v>
      </c>
      <c r="B81">
        <v>3</v>
      </c>
      <c r="C81" t="s">
        <v>150</v>
      </c>
      <c r="D81">
        <v>2011</v>
      </c>
      <c r="E81">
        <v>300526</v>
      </c>
      <c r="F81">
        <v>290383</v>
      </c>
      <c r="G81">
        <v>10143</v>
      </c>
      <c r="H81">
        <v>2.39</v>
      </c>
      <c r="I81">
        <v>127865</v>
      </c>
      <c r="J81">
        <v>121382</v>
      </c>
      <c r="K81">
        <v>6483</v>
      </c>
      <c r="L81">
        <v>5.07</v>
      </c>
      <c r="M81">
        <v>2.2710123960000002</v>
      </c>
      <c r="N81">
        <f>E81/_xlfn.XLOOKUP(C81,Lookups!$A$2:$A$66,Lookups!$C$2:$C$66)</f>
        <v>405.85296024200517</v>
      </c>
    </row>
    <row r="82" spans="1:27" x14ac:dyDescent="0.2">
      <c r="A82">
        <v>13</v>
      </c>
      <c r="B82">
        <v>3</v>
      </c>
      <c r="C82" t="s">
        <v>150</v>
      </c>
      <c r="D82">
        <v>2012</v>
      </c>
      <c r="E82">
        <v>305881</v>
      </c>
      <c r="F82">
        <v>294996</v>
      </c>
      <c r="G82">
        <v>10885</v>
      </c>
      <c r="H82">
        <v>2.39</v>
      </c>
      <c r="I82">
        <v>128405</v>
      </c>
      <c r="J82">
        <v>123381</v>
      </c>
      <c r="K82">
        <v>5024</v>
      </c>
      <c r="L82">
        <v>3.91</v>
      </c>
      <c r="M82">
        <v>2.2973871730000002</v>
      </c>
      <c r="N82">
        <f>E82/_xlfn.XLOOKUP(C82,Lookups!$A$2:$A$66,Lookups!$C$2:$C$66)</f>
        <v>413.08475583405357</v>
      </c>
    </row>
    <row r="83" spans="1:27" x14ac:dyDescent="0.2">
      <c r="A83">
        <v>13</v>
      </c>
      <c r="B83">
        <v>3</v>
      </c>
      <c r="C83" t="s">
        <v>150</v>
      </c>
      <c r="D83">
        <v>2013</v>
      </c>
      <c r="E83">
        <v>310896</v>
      </c>
      <c r="F83">
        <v>299300</v>
      </c>
      <c r="G83">
        <v>11596</v>
      </c>
      <c r="H83">
        <v>2.39</v>
      </c>
      <c r="I83">
        <v>129616</v>
      </c>
      <c r="J83">
        <v>125254</v>
      </c>
      <c r="K83">
        <v>4362</v>
      </c>
      <c r="L83">
        <v>3.37</v>
      </c>
      <c r="M83">
        <v>2.3091285030000002</v>
      </c>
      <c r="N83">
        <f>E83/_xlfn.XLOOKUP(C83,Lookups!$A$2:$A$66,Lookups!$C$2:$C$66)</f>
        <v>419.85738980120999</v>
      </c>
    </row>
    <row r="84" spans="1:27" x14ac:dyDescent="0.2">
      <c r="A84">
        <v>13</v>
      </c>
      <c r="B84">
        <v>3</v>
      </c>
      <c r="C84" t="s">
        <v>150</v>
      </c>
      <c r="D84">
        <v>2014</v>
      </c>
      <c r="E84">
        <v>314213</v>
      </c>
      <c r="F84">
        <v>301907</v>
      </c>
      <c r="G84">
        <v>12306</v>
      </c>
      <c r="H84">
        <v>2.39</v>
      </c>
      <c r="I84">
        <v>131002</v>
      </c>
      <c r="J84">
        <v>126418</v>
      </c>
      <c r="K84">
        <v>4584</v>
      </c>
      <c r="L84">
        <v>3.5</v>
      </c>
      <c r="M84">
        <v>2.304598403</v>
      </c>
      <c r="N84">
        <f>E84/_xlfn.XLOOKUP(C84,Lookups!$A$2:$A$66,Lookups!$C$2:$C$66)</f>
        <v>424.33691659464131</v>
      </c>
    </row>
    <row r="85" spans="1:27" x14ac:dyDescent="0.2">
      <c r="A85">
        <v>13</v>
      </c>
      <c r="B85">
        <v>3</v>
      </c>
      <c r="C85" t="s">
        <v>150</v>
      </c>
      <c r="D85">
        <v>2015</v>
      </c>
      <c r="E85">
        <v>320352</v>
      </c>
      <c r="F85">
        <v>307247</v>
      </c>
      <c r="G85">
        <v>13105</v>
      </c>
      <c r="H85">
        <v>2.39</v>
      </c>
      <c r="I85">
        <v>132127</v>
      </c>
      <c r="J85">
        <v>128728</v>
      </c>
      <c r="K85">
        <v>3399</v>
      </c>
      <c r="L85">
        <v>2.57</v>
      </c>
      <c r="M85">
        <v>2.3253914789999999</v>
      </c>
      <c r="N85">
        <f>E85/_xlfn.XLOOKUP(C85,Lookups!$A$2:$A$66,Lookups!$C$2:$C$66)</f>
        <v>432.62748487467587</v>
      </c>
    </row>
    <row r="86" spans="1:27" x14ac:dyDescent="0.2">
      <c r="A86">
        <v>13</v>
      </c>
      <c r="B86">
        <v>3</v>
      </c>
      <c r="C86" t="s">
        <v>150</v>
      </c>
      <c r="D86">
        <v>2016</v>
      </c>
      <c r="E86">
        <v>323957</v>
      </c>
      <c r="F86">
        <v>310498</v>
      </c>
      <c r="G86">
        <v>13459</v>
      </c>
      <c r="H86">
        <v>2.39</v>
      </c>
      <c r="I86">
        <v>133334</v>
      </c>
      <c r="J86">
        <v>130165</v>
      </c>
      <c r="K86">
        <v>3169</v>
      </c>
      <c r="L86">
        <v>2.38</v>
      </c>
      <c r="M86">
        <v>2.3287233559999998</v>
      </c>
      <c r="N86">
        <f>E86/_xlfn.XLOOKUP(C86,Lookups!$A$2:$A$66,Lookups!$C$2:$C$66)</f>
        <v>437.49594857389798</v>
      </c>
    </row>
    <row r="87" spans="1:27" x14ac:dyDescent="0.2">
      <c r="A87">
        <v>13</v>
      </c>
      <c r="B87">
        <v>3</v>
      </c>
      <c r="C87" t="s">
        <v>150</v>
      </c>
      <c r="D87">
        <v>2017</v>
      </c>
      <c r="E87">
        <v>325414</v>
      </c>
      <c r="F87">
        <v>311468</v>
      </c>
      <c r="G87">
        <v>13946</v>
      </c>
      <c r="H87">
        <v>2.38</v>
      </c>
      <c r="I87">
        <v>135024</v>
      </c>
      <c r="J87">
        <v>130647</v>
      </c>
      <c r="K87">
        <v>4377</v>
      </c>
      <c r="L87">
        <v>3.24</v>
      </c>
      <c r="M87">
        <v>2.3067602800000002</v>
      </c>
      <c r="N87">
        <f>E87/_xlfn.XLOOKUP(C87,Lookups!$A$2:$A$66,Lookups!$C$2:$C$66)</f>
        <v>439.4635911840968</v>
      </c>
    </row>
    <row r="88" spans="1:27" x14ac:dyDescent="0.2">
      <c r="A88">
        <v>13</v>
      </c>
      <c r="B88">
        <v>3</v>
      </c>
      <c r="C88" t="s">
        <v>150</v>
      </c>
      <c r="D88">
        <v>2018</v>
      </c>
      <c r="E88">
        <v>328055</v>
      </c>
      <c r="F88">
        <v>313643</v>
      </c>
      <c r="G88">
        <v>14412</v>
      </c>
      <c r="H88">
        <v>2.38</v>
      </c>
      <c r="I88">
        <v>136410</v>
      </c>
      <c r="J88">
        <v>131636</v>
      </c>
      <c r="K88">
        <v>4774</v>
      </c>
      <c r="L88">
        <v>3.5</v>
      </c>
      <c r="M88">
        <v>2.2992669160000001</v>
      </c>
      <c r="N88">
        <f>E88/_xlfn.XLOOKUP(C88,Lookups!$A$2:$A$66,Lookups!$C$2:$C$66)</f>
        <v>443.03019662921349</v>
      </c>
    </row>
    <row r="89" spans="1:27" x14ac:dyDescent="0.2">
      <c r="A89">
        <v>13</v>
      </c>
      <c r="B89">
        <v>3</v>
      </c>
      <c r="C89" t="s">
        <v>150</v>
      </c>
      <c r="D89">
        <v>2019</v>
      </c>
      <c r="E89">
        <v>328827</v>
      </c>
      <c r="F89">
        <v>314030</v>
      </c>
      <c r="G89">
        <v>14797</v>
      </c>
      <c r="H89">
        <v>2.38</v>
      </c>
      <c r="I89">
        <v>139591</v>
      </c>
      <c r="J89">
        <v>131875</v>
      </c>
      <c r="K89">
        <v>7716</v>
      </c>
      <c r="L89">
        <v>5.53</v>
      </c>
      <c r="M89">
        <v>2.2496436019999999</v>
      </c>
      <c r="N89">
        <f>E89/_xlfn.XLOOKUP(C89,Lookups!$A$2:$A$66,Lookups!$C$2:$C$66)</f>
        <v>444.07276361279168</v>
      </c>
    </row>
    <row r="90" spans="1:27" x14ac:dyDescent="0.2">
      <c r="A90">
        <v>13</v>
      </c>
      <c r="B90">
        <v>3</v>
      </c>
      <c r="C90" t="s">
        <v>150</v>
      </c>
      <c r="D90">
        <v>2020</v>
      </c>
      <c r="E90">
        <v>330923</v>
      </c>
      <c r="F90">
        <v>315633</v>
      </c>
      <c r="G90">
        <v>15290</v>
      </c>
      <c r="I90">
        <v>141291</v>
      </c>
      <c r="M90">
        <v>2.2339214809999999</v>
      </c>
      <c r="N90">
        <f>E90/_xlfn.XLOOKUP(C90,Lookups!$A$2:$A$66,Lookups!$C$2:$C$66)</f>
        <v>446.90335998271388</v>
      </c>
      <c r="O90">
        <v>330923</v>
      </c>
      <c r="P90">
        <v>2507</v>
      </c>
      <c r="Q90">
        <v>467</v>
      </c>
      <c r="R90">
        <v>1629</v>
      </c>
      <c r="S90">
        <v>2040</v>
      </c>
      <c r="T90">
        <v>141291</v>
      </c>
      <c r="W90">
        <v>315633</v>
      </c>
      <c r="X90">
        <v>1634</v>
      </c>
      <c r="AA90">
        <v>2.2339214809999999</v>
      </c>
    </row>
    <row r="91" spans="1:27" x14ac:dyDescent="0.2">
      <c r="A91">
        <v>13</v>
      </c>
      <c r="B91">
        <v>3</v>
      </c>
      <c r="C91" t="s">
        <v>150</v>
      </c>
      <c r="D91">
        <v>2021</v>
      </c>
      <c r="E91">
        <v>327080</v>
      </c>
      <c r="F91">
        <v>315126</v>
      </c>
      <c r="G91">
        <v>11954</v>
      </c>
      <c r="I91">
        <v>143362</v>
      </c>
      <c r="M91">
        <v>2.1981138659999999</v>
      </c>
      <c r="N91">
        <f>E91/_xlfn.XLOOKUP(C91,Lookups!$A$2:$A$66,Lookups!$C$2:$C$66)</f>
        <v>441.7134831460674</v>
      </c>
      <c r="O91">
        <v>327080</v>
      </c>
      <c r="P91">
        <v>2472</v>
      </c>
      <c r="Q91">
        <v>343</v>
      </c>
      <c r="R91">
        <v>-4186</v>
      </c>
      <c r="S91">
        <v>2129</v>
      </c>
      <c r="T91">
        <v>143362</v>
      </c>
      <c r="W91">
        <v>315126</v>
      </c>
      <c r="X91">
        <v>1237</v>
      </c>
      <c r="AA91">
        <v>2.1981138659999999</v>
      </c>
    </row>
    <row r="92" spans="1:27" x14ac:dyDescent="0.2">
      <c r="A92">
        <v>13</v>
      </c>
      <c r="B92">
        <v>3</v>
      </c>
      <c r="C92" t="s">
        <v>150</v>
      </c>
      <c r="D92">
        <v>2022</v>
      </c>
      <c r="E92">
        <v>327424</v>
      </c>
      <c r="F92">
        <v>313031</v>
      </c>
      <c r="G92">
        <v>14393</v>
      </c>
      <c r="I92">
        <v>144094</v>
      </c>
      <c r="M92">
        <v>2.1724082889999998</v>
      </c>
      <c r="N92">
        <f>E92/_xlfn.XLOOKUP(C92,Lookups!$A$2:$A$66,Lookups!$C$2:$C$66)</f>
        <v>442.17804667242871</v>
      </c>
      <c r="O92">
        <v>327424</v>
      </c>
      <c r="P92">
        <v>2420</v>
      </c>
      <c r="Q92">
        <v>220</v>
      </c>
      <c r="R92">
        <v>124</v>
      </c>
      <c r="S92">
        <v>2200</v>
      </c>
      <c r="T92">
        <v>144094</v>
      </c>
      <c r="W92">
        <v>313031</v>
      </c>
      <c r="X92">
        <v>1642</v>
      </c>
      <c r="AA92">
        <v>2.1724082889999998</v>
      </c>
    </row>
    <row r="93" spans="1:27" x14ac:dyDescent="0.2">
      <c r="A93">
        <v>14</v>
      </c>
      <c r="B93">
        <v>3</v>
      </c>
      <c r="C93" t="s">
        <v>151</v>
      </c>
      <c r="D93">
        <v>2010</v>
      </c>
      <c r="E93">
        <v>56107</v>
      </c>
      <c r="F93">
        <v>55825</v>
      </c>
      <c r="G93">
        <v>282</v>
      </c>
      <c r="H93">
        <v>2.6</v>
      </c>
      <c r="I93">
        <v>22685</v>
      </c>
      <c r="J93">
        <v>21498</v>
      </c>
      <c r="K93">
        <v>1187</v>
      </c>
      <c r="L93">
        <v>5.23</v>
      </c>
      <c r="M93">
        <v>2.4608772320000001</v>
      </c>
      <c r="N93">
        <f>E93/_xlfn.XLOOKUP(C93,Lookups!$A$2:$A$66,Lookups!$C$2:$C$66)</f>
        <v>1671.3434614238904</v>
      </c>
    </row>
    <row r="94" spans="1:27" x14ac:dyDescent="0.2">
      <c r="A94">
        <v>14</v>
      </c>
      <c r="B94">
        <v>3</v>
      </c>
      <c r="C94" t="s">
        <v>151</v>
      </c>
      <c r="D94">
        <v>2011</v>
      </c>
      <c r="E94">
        <v>57584</v>
      </c>
      <c r="F94">
        <v>57307</v>
      </c>
      <c r="G94">
        <v>277</v>
      </c>
      <c r="H94">
        <v>2.59</v>
      </c>
      <c r="I94">
        <v>23056</v>
      </c>
      <c r="J94">
        <v>22168</v>
      </c>
      <c r="K94">
        <v>888</v>
      </c>
      <c r="L94">
        <v>3.85</v>
      </c>
      <c r="M94">
        <v>2.4855569050000001</v>
      </c>
      <c r="N94">
        <f>E94/_xlfn.XLOOKUP(C94,Lookups!$A$2:$A$66,Lookups!$C$2:$C$66)</f>
        <v>1715.3410783437594</v>
      </c>
    </row>
    <row r="95" spans="1:27" x14ac:dyDescent="0.2">
      <c r="A95">
        <v>14</v>
      </c>
      <c r="B95">
        <v>3</v>
      </c>
      <c r="C95" t="s">
        <v>151</v>
      </c>
      <c r="D95">
        <v>2012</v>
      </c>
      <c r="E95">
        <v>59271</v>
      </c>
      <c r="F95">
        <v>59001</v>
      </c>
      <c r="G95">
        <v>270</v>
      </c>
      <c r="H95">
        <v>2.57</v>
      </c>
      <c r="I95">
        <v>23426</v>
      </c>
      <c r="J95">
        <v>22927</v>
      </c>
      <c r="K95">
        <v>499</v>
      </c>
      <c r="L95">
        <v>2.13</v>
      </c>
      <c r="M95">
        <v>2.5186117989999999</v>
      </c>
      <c r="N95">
        <f>E95/_xlfn.XLOOKUP(C95,Lookups!$A$2:$A$66,Lookups!$C$2:$C$66)</f>
        <v>1765.5942806076855</v>
      </c>
    </row>
    <row r="96" spans="1:27" x14ac:dyDescent="0.2">
      <c r="A96">
        <v>14</v>
      </c>
      <c r="B96">
        <v>3</v>
      </c>
      <c r="C96" t="s">
        <v>151</v>
      </c>
      <c r="D96">
        <v>2013</v>
      </c>
      <c r="E96">
        <v>60669</v>
      </c>
      <c r="F96">
        <v>60404</v>
      </c>
      <c r="G96">
        <v>265</v>
      </c>
      <c r="H96">
        <v>2.56</v>
      </c>
      <c r="I96">
        <v>25541</v>
      </c>
      <c r="J96">
        <v>23579</v>
      </c>
      <c r="K96">
        <v>1962</v>
      </c>
      <c r="L96">
        <v>7.68</v>
      </c>
      <c r="M96">
        <v>2.3649817940000002</v>
      </c>
      <c r="N96">
        <f>E96/_xlfn.XLOOKUP(C96,Lookups!$A$2:$A$66,Lookups!$C$2:$C$66)</f>
        <v>1807.2386058981233</v>
      </c>
    </row>
    <row r="97" spans="1:27" x14ac:dyDescent="0.2">
      <c r="A97">
        <v>14</v>
      </c>
      <c r="B97">
        <v>3</v>
      </c>
      <c r="C97" t="s">
        <v>151</v>
      </c>
      <c r="D97">
        <v>2014</v>
      </c>
      <c r="E97">
        <v>62504</v>
      </c>
      <c r="F97">
        <v>62245</v>
      </c>
      <c r="G97">
        <v>259</v>
      </c>
      <c r="H97">
        <v>2.5499999999999998</v>
      </c>
      <c r="I97">
        <v>26564</v>
      </c>
      <c r="J97">
        <v>24409</v>
      </c>
      <c r="K97">
        <v>2155</v>
      </c>
      <c r="L97">
        <v>8.11</v>
      </c>
      <c r="M97">
        <v>2.3432088539999998</v>
      </c>
      <c r="N97">
        <f>E97/_xlfn.XLOOKUP(C97,Lookups!$A$2:$A$66,Lookups!$C$2:$C$66)</f>
        <v>1861.9005064045277</v>
      </c>
    </row>
    <row r="98" spans="1:27" x14ac:dyDescent="0.2">
      <c r="A98">
        <v>14</v>
      </c>
      <c r="B98">
        <v>3</v>
      </c>
      <c r="C98" t="s">
        <v>151</v>
      </c>
      <c r="D98">
        <v>2015</v>
      </c>
      <c r="E98">
        <v>65831</v>
      </c>
      <c r="F98">
        <v>65577</v>
      </c>
      <c r="G98">
        <v>254</v>
      </c>
      <c r="H98">
        <v>2.54</v>
      </c>
      <c r="I98">
        <v>27750</v>
      </c>
      <c r="J98">
        <v>25834</v>
      </c>
      <c r="K98">
        <v>1916</v>
      </c>
      <c r="L98">
        <v>6.9</v>
      </c>
      <c r="M98">
        <v>2.3631351349999998</v>
      </c>
      <c r="N98">
        <f>E98/_xlfn.XLOOKUP(C98,Lookups!$A$2:$A$66,Lookups!$C$2:$C$66)</f>
        <v>1961.0068513553767</v>
      </c>
    </row>
    <row r="99" spans="1:27" x14ac:dyDescent="0.2">
      <c r="A99">
        <v>14</v>
      </c>
      <c r="B99">
        <v>3</v>
      </c>
      <c r="C99" t="s">
        <v>151</v>
      </c>
      <c r="D99">
        <v>2016</v>
      </c>
      <c r="E99">
        <v>67707</v>
      </c>
      <c r="F99">
        <v>67459</v>
      </c>
      <c r="G99">
        <v>248</v>
      </c>
      <c r="H99">
        <v>2.5299999999999998</v>
      </c>
      <c r="I99">
        <v>28585</v>
      </c>
      <c r="J99">
        <v>26698</v>
      </c>
      <c r="K99">
        <v>1887</v>
      </c>
      <c r="L99">
        <v>6.6</v>
      </c>
      <c r="M99">
        <v>2.3599440270000001</v>
      </c>
      <c r="N99">
        <f>E99/_xlfn.XLOOKUP(C99,Lookups!$A$2:$A$66,Lookups!$C$2:$C$66)</f>
        <v>2016.8900804289544</v>
      </c>
    </row>
    <row r="100" spans="1:27" x14ac:dyDescent="0.2">
      <c r="A100">
        <v>14</v>
      </c>
      <c r="B100">
        <v>3</v>
      </c>
      <c r="C100" t="s">
        <v>151</v>
      </c>
      <c r="D100">
        <v>2017</v>
      </c>
      <c r="E100">
        <v>69655</v>
      </c>
      <c r="F100">
        <v>69413</v>
      </c>
      <c r="G100">
        <v>242</v>
      </c>
      <c r="H100">
        <v>2.52</v>
      </c>
      <c r="I100">
        <v>29498</v>
      </c>
      <c r="J100">
        <v>27598</v>
      </c>
      <c r="K100">
        <v>1900</v>
      </c>
      <c r="L100">
        <v>6.44</v>
      </c>
      <c r="M100">
        <v>2.3531425860000001</v>
      </c>
      <c r="N100">
        <f>E100/_xlfn.XLOOKUP(C100,Lookups!$A$2:$A$66,Lookups!$C$2:$C$66)</f>
        <v>2074.9180816204944</v>
      </c>
    </row>
    <row r="101" spans="1:27" x14ac:dyDescent="0.2">
      <c r="A101">
        <v>14</v>
      </c>
      <c r="B101">
        <v>3</v>
      </c>
      <c r="C101" t="s">
        <v>151</v>
      </c>
      <c r="D101">
        <v>2018</v>
      </c>
      <c r="E101">
        <v>71322</v>
      </c>
      <c r="F101">
        <v>70723</v>
      </c>
      <c r="G101">
        <v>599</v>
      </c>
      <c r="H101">
        <v>2.5</v>
      </c>
      <c r="I101">
        <v>30060</v>
      </c>
      <c r="J101">
        <v>28250</v>
      </c>
      <c r="K101">
        <v>1810</v>
      </c>
      <c r="L101">
        <v>6.02</v>
      </c>
      <c r="M101">
        <v>2.3527278780000001</v>
      </c>
      <c r="N101">
        <f>E101/_xlfn.XLOOKUP(C101,Lookups!$A$2:$A$66,Lookups!$C$2:$C$66)</f>
        <v>2124.5755138516533</v>
      </c>
    </row>
    <row r="102" spans="1:27" x14ac:dyDescent="0.2">
      <c r="A102">
        <v>14</v>
      </c>
      <c r="B102">
        <v>3</v>
      </c>
      <c r="C102" t="s">
        <v>151</v>
      </c>
      <c r="D102">
        <v>2019</v>
      </c>
      <c r="E102">
        <v>72669</v>
      </c>
      <c r="F102">
        <v>72439</v>
      </c>
      <c r="G102">
        <v>230</v>
      </c>
      <c r="H102">
        <v>2.4900000000000002</v>
      </c>
      <c r="I102">
        <v>30982</v>
      </c>
      <c r="J102">
        <v>29071</v>
      </c>
      <c r="K102">
        <v>1911</v>
      </c>
      <c r="L102">
        <v>6.17</v>
      </c>
      <c r="M102">
        <v>2.3380995420000001</v>
      </c>
      <c r="N102">
        <f>E102/_xlfn.XLOOKUP(C102,Lookups!$A$2:$A$66,Lookups!$C$2:$C$66)</f>
        <v>2164.7006255585343</v>
      </c>
    </row>
    <row r="103" spans="1:27" x14ac:dyDescent="0.2">
      <c r="A103">
        <v>14</v>
      </c>
      <c r="B103">
        <v>3</v>
      </c>
      <c r="C103" t="s">
        <v>151</v>
      </c>
      <c r="D103">
        <v>2020</v>
      </c>
      <c r="E103">
        <v>74494</v>
      </c>
      <c r="F103">
        <v>74013</v>
      </c>
      <c r="G103">
        <v>481</v>
      </c>
      <c r="I103">
        <v>31463</v>
      </c>
      <c r="M103">
        <v>2.3523821630000001</v>
      </c>
      <c r="N103">
        <f>E103/_xlfn.XLOOKUP(C103,Lookups!$A$2:$A$66,Lookups!$C$2:$C$66)</f>
        <v>2219.0646410485551</v>
      </c>
      <c r="O103">
        <v>74494</v>
      </c>
      <c r="P103">
        <v>642</v>
      </c>
      <c r="Q103">
        <v>210</v>
      </c>
      <c r="R103">
        <v>1615</v>
      </c>
      <c r="S103">
        <v>432</v>
      </c>
      <c r="T103">
        <v>31463</v>
      </c>
      <c r="W103">
        <v>74013</v>
      </c>
      <c r="X103">
        <v>427</v>
      </c>
      <c r="AA103">
        <v>2.3523821630000001</v>
      </c>
    </row>
    <row r="104" spans="1:27" x14ac:dyDescent="0.2">
      <c r="A104">
        <v>14</v>
      </c>
      <c r="B104">
        <v>3</v>
      </c>
      <c r="C104" t="s">
        <v>151</v>
      </c>
      <c r="D104">
        <v>2021</v>
      </c>
      <c r="E104">
        <v>75415</v>
      </c>
      <c r="F104">
        <v>74984</v>
      </c>
      <c r="G104">
        <v>431</v>
      </c>
      <c r="I104">
        <v>32231</v>
      </c>
      <c r="M104">
        <v>2.3264558960000001</v>
      </c>
      <c r="N104">
        <f>E104/_xlfn.XLOOKUP(C104,Lookups!$A$2:$A$66,Lookups!$C$2:$C$66)</f>
        <v>2246.4998510574919</v>
      </c>
      <c r="O104">
        <v>75415</v>
      </c>
      <c r="P104">
        <v>645</v>
      </c>
      <c r="Q104">
        <v>201</v>
      </c>
      <c r="R104">
        <v>720</v>
      </c>
      <c r="S104">
        <v>444</v>
      </c>
      <c r="T104">
        <v>32231</v>
      </c>
      <c r="W104">
        <v>74984</v>
      </c>
      <c r="X104">
        <v>501</v>
      </c>
      <c r="AA104">
        <v>2.3264558960000001</v>
      </c>
    </row>
    <row r="105" spans="1:27" x14ac:dyDescent="0.2">
      <c r="A105">
        <v>14</v>
      </c>
      <c r="B105">
        <v>3</v>
      </c>
      <c r="C105" t="s">
        <v>151</v>
      </c>
      <c r="D105">
        <v>2022</v>
      </c>
      <c r="E105">
        <v>76155</v>
      </c>
      <c r="F105">
        <v>75704</v>
      </c>
      <c r="G105">
        <v>451</v>
      </c>
      <c r="I105">
        <v>33645</v>
      </c>
      <c r="M105">
        <v>2.2500817359999998</v>
      </c>
      <c r="N105">
        <f>E105/_xlfn.XLOOKUP(C105,Lookups!$A$2:$A$66,Lookups!$C$2:$C$66)</f>
        <v>2268.5433422698839</v>
      </c>
      <c r="O105">
        <v>76155</v>
      </c>
      <c r="P105">
        <v>635</v>
      </c>
      <c r="Q105">
        <v>145</v>
      </c>
      <c r="R105">
        <v>595</v>
      </c>
      <c r="S105">
        <v>490</v>
      </c>
      <c r="T105">
        <v>33645</v>
      </c>
      <c r="W105">
        <v>75704</v>
      </c>
      <c r="X105">
        <v>538</v>
      </c>
      <c r="AA105">
        <v>2.2500817359999998</v>
      </c>
    </row>
    <row r="106" spans="1:27" x14ac:dyDescent="0.2">
      <c r="A106">
        <v>15</v>
      </c>
      <c r="B106">
        <v>13</v>
      </c>
      <c r="C106" t="s">
        <v>152</v>
      </c>
      <c r="D106">
        <v>2010</v>
      </c>
      <c r="E106">
        <v>17797</v>
      </c>
      <c r="F106">
        <v>16361</v>
      </c>
      <c r="G106">
        <v>1436</v>
      </c>
      <c r="H106">
        <v>2.15</v>
      </c>
      <c r="I106">
        <v>10030</v>
      </c>
      <c r="J106">
        <v>7595</v>
      </c>
      <c r="K106">
        <v>2435</v>
      </c>
      <c r="L106">
        <v>24.28</v>
      </c>
      <c r="M106">
        <v>1.6312063809999999</v>
      </c>
      <c r="N106">
        <f>E106/_xlfn.XLOOKUP(C106,Lookups!$A$2:$A$66,Lookups!$C$2:$C$66)</f>
        <v>17.549205222261666</v>
      </c>
    </row>
    <row r="107" spans="1:27" x14ac:dyDescent="0.2">
      <c r="A107">
        <v>15</v>
      </c>
      <c r="B107">
        <v>13</v>
      </c>
      <c r="C107" t="s">
        <v>152</v>
      </c>
      <c r="D107">
        <v>2011</v>
      </c>
      <c r="E107">
        <v>17932</v>
      </c>
      <c r="F107">
        <v>16449</v>
      </c>
      <c r="G107">
        <v>1483</v>
      </c>
      <c r="H107">
        <v>2.15</v>
      </c>
      <c r="I107">
        <v>10058</v>
      </c>
      <c r="J107">
        <v>7634</v>
      </c>
      <c r="K107">
        <v>2424</v>
      </c>
      <c r="L107">
        <v>24.1</v>
      </c>
      <c r="M107">
        <v>1.6354145950000001</v>
      </c>
      <c r="N107">
        <f>E107/_xlfn.XLOOKUP(C107,Lookups!$A$2:$A$66,Lookups!$C$2:$C$66)</f>
        <v>17.682325563049737</v>
      </c>
    </row>
    <row r="108" spans="1:27" x14ac:dyDescent="0.2">
      <c r="A108">
        <v>15</v>
      </c>
      <c r="B108">
        <v>13</v>
      </c>
      <c r="C108" t="s">
        <v>152</v>
      </c>
      <c r="D108">
        <v>2012</v>
      </c>
      <c r="E108">
        <v>17967</v>
      </c>
      <c r="F108">
        <v>16497</v>
      </c>
      <c r="G108">
        <v>1470</v>
      </c>
      <c r="H108">
        <v>2.16</v>
      </c>
      <c r="I108">
        <v>10056</v>
      </c>
      <c r="J108">
        <v>7654</v>
      </c>
      <c r="K108">
        <v>2402</v>
      </c>
      <c r="L108">
        <v>23.89</v>
      </c>
      <c r="M108">
        <v>1.6405131260000001</v>
      </c>
      <c r="N108">
        <f>E108/_xlfn.XLOOKUP(C108,Lookups!$A$2:$A$66,Lookups!$C$2:$C$66)</f>
        <v>17.716838243994793</v>
      </c>
    </row>
    <row r="109" spans="1:27" x14ac:dyDescent="0.2">
      <c r="A109">
        <v>15</v>
      </c>
      <c r="B109">
        <v>13</v>
      </c>
      <c r="C109" t="s">
        <v>152</v>
      </c>
      <c r="D109">
        <v>2013</v>
      </c>
      <c r="E109">
        <v>18036</v>
      </c>
      <c r="F109">
        <v>16720</v>
      </c>
      <c r="G109">
        <v>1316</v>
      </c>
      <c r="H109">
        <v>2.16</v>
      </c>
      <c r="I109">
        <v>10085</v>
      </c>
      <c r="J109">
        <v>7756</v>
      </c>
      <c r="K109">
        <v>2329</v>
      </c>
      <c r="L109">
        <v>23.09</v>
      </c>
      <c r="M109">
        <v>1.6579077840000001</v>
      </c>
      <c r="N109">
        <f>E109/_xlfn.XLOOKUP(C109,Lookups!$A$2:$A$66,Lookups!$C$2:$C$66)</f>
        <v>17.784877529286476</v>
      </c>
    </row>
    <row r="110" spans="1:27" x14ac:dyDescent="0.2">
      <c r="A110">
        <v>15</v>
      </c>
      <c r="B110">
        <v>13</v>
      </c>
      <c r="C110" t="s">
        <v>152</v>
      </c>
      <c r="D110">
        <v>2014</v>
      </c>
      <c r="E110">
        <v>18066</v>
      </c>
      <c r="F110">
        <v>16614</v>
      </c>
      <c r="G110">
        <v>1452</v>
      </c>
      <c r="H110">
        <v>2.16</v>
      </c>
      <c r="I110">
        <v>10114</v>
      </c>
      <c r="J110">
        <v>7705</v>
      </c>
      <c r="K110">
        <v>2409</v>
      </c>
      <c r="L110">
        <v>23.82</v>
      </c>
      <c r="M110">
        <v>1.6426735219999999</v>
      </c>
      <c r="N110">
        <f>E110/_xlfn.XLOOKUP(C110,Lookups!$A$2:$A$66,Lookups!$C$2:$C$66)</f>
        <v>17.814459827239379</v>
      </c>
    </row>
    <row r="111" spans="1:27" x14ac:dyDescent="0.2">
      <c r="A111">
        <v>15</v>
      </c>
      <c r="B111">
        <v>13</v>
      </c>
      <c r="C111" t="s">
        <v>152</v>
      </c>
      <c r="D111">
        <v>2015</v>
      </c>
      <c r="E111">
        <v>18108</v>
      </c>
      <c r="F111">
        <v>16713</v>
      </c>
      <c r="G111">
        <v>1395</v>
      </c>
      <c r="H111">
        <v>2.16</v>
      </c>
      <c r="I111">
        <v>10183</v>
      </c>
      <c r="J111">
        <v>7749</v>
      </c>
      <c r="K111">
        <v>2434</v>
      </c>
      <c r="L111">
        <v>23.9</v>
      </c>
      <c r="M111">
        <v>1.641264853</v>
      </c>
      <c r="N111">
        <f>E111/_xlfn.XLOOKUP(C111,Lookups!$A$2:$A$66,Lookups!$C$2:$C$66)</f>
        <v>17.855875044373448</v>
      </c>
    </row>
    <row r="112" spans="1:27" x14ac:dyDescent="0.2">
      <c r="A112">
        <v>15</v>
      </c>
      <c r="B112">
        <v>13</v>
      </c>
      <c r="C112" t="s">
        <v>152</v>
      </c>
      <c r="D112">
        <v>2016</v>
      </c>
      <c r="E112">
        <v>18519</v>
      </c>
      <c r="F112">
        <v>17076</v>
      </c>
      <c r="G112">
        <v>1443</v>
      </c>
      <c r="H112">
        <v>2.16</v>
      </c>
      <c r="I112">
        <v>10286</v>
      </c>
      <c r="J112">
        <v>7915</v>
      </c>
      <c r="K112">
        <v>2371</v>
      </c>
      <c r="L112">
        <v>23.05</v>
      </c>
      <c r="M112">
        <v>1.660120552</v>
      </c>
      <c r="N112">
        <f>E112/_xlfn.XLOOKUP(C112,Lookups!$A$2:$A$66,Lookups!$C$2:$C$66)</f>
        <v>18.261152526328246</v>
      </c>
    </row>
    <row r="113" spans="1:27" x14ac:dyDescent="0.2">
      <c r="A113">
        <v>15</v>
      </c>
      <c r="B113">
        <v>13</v>
      </c>
      <c r="C113" t="s">
        <v>152</v>
      </c>
      <c r="D113">
        <v>2017</v>
      </c>
      <c r="E113">
        <v>18967</v>
      </c>
      <c r="F113">
        <v>17546</v>
      </c>
      <c r="G113">
        <v>1421</v>
      </c>
      <c r="H113">
        <v>2.16</v>
      </c>
      <c r="I113">
        <v>10484</v>
      </c>
      <c r="J113">
        <v>8131</v>
      </c>
      <c r="K113">
        <v>2353</v>
      </c>
      <c r="L113">
        <v>22.44</v>
      </c>
      <c r="M113">
        <v>1.6735978629999999</v>
      </c>
      <c r="N113">
        <f>E113/_xlfn.XLOOKUP(C113,Lookups!$A$2:$A$66,Lookups!$C$2:$C$66)</f>
        <v>18.70291484242496</v>
      </c>
    </row>
    <row r="114" spans="1:27" x14ac:dyDescent="0.2">
      <c r="A114">
        <v>15</v>
      </c>
      <c r="B114">
        <v>13</v>
      </c>
      <c r="C114" t="s">
        <v>152</v>
      </c>
      <c r="D114">
        <v>2018</v>
      </c>
      <c r="E114">
        <v>19250</v>
      </c>
      <c r="F114">
        <v>17829</v>
      </c>
      <c r="G114">
        <v>1421</v>
      </c>
      <c r="H114">
        <v>2.16</v>
      </c>
      <c r="I114">
        <v>10673</v>
      </c>
      <c r="J114">
        <v>8260</v>
      </c>
      <c r="K114">
        <v>2413</v>
      </c>
      <c r="L114">
        <v>22.61</v>
      </c>
      <c r="M114">
        <v>1.670476904</v>
      </c>
      <c r="N114">
        <f>E114/_xlfn.XLOOKUP(C114,Lookups!$A$2:$A$66,Lookups!$C$2:$C$66)</f>
        <v>18.981974519780696</v>
      </c>
    </row>
    <row r="115" spans="1:27" x14ac:dyDescent="0.2">
      <c r="A115">
        <v>15</v>
      </c>
      <c r="B115">
        <v>13</v>
      </c>
      <c r="C115" t="s">
        <v>152</v>
      </c>
      <c r="D115">
        <v>2019</v>
      </c>
      <c r="E115">
        <v>19391</v>
      </c>
      <c r="F115">
        <v>17990</v>
      </c>
      <c r="G115">
        <v>1401</v>
      </c>
      <c r="H115">
        <v>2.16</v>
      </c>
      <c r="I115">
        <v>10806</v>
      </c>
      <c r="J115">
        <v>8332</v>
      </c>
      <c r="K115">
        <v>2474</v>
      </c>
      <c r="L115">
        <v>22.89</v>
      </c>
      <c r="M115">
        <v>1.664815843</v>
      </c>
      <c r="N115">
        <f>E115/_xlfn.XLOOKUP(C115,Lookups!$A$2:$A$66,Lookups!$C$2:$C$66)</f>
        <v>19.121011320159351</v>
      </c>
    </row>
    <row r="116" spans="1:27" x14ac:dyDescent="0.2">
      <c r="A116">
        <v>15</v>
      </c>
      <c r="B116">
        <v>13</v>
      </c>
      <c r="C116" t="s">
        <v>152</v>
      </c>
      <c r="D116">
        <v>2020</v>
      </c>
      <c r="E116">
        <v>19478</v>
      </c>
      <c r="F116">
        <v>18247</v>
      </c>
      <c r="G116">
        <v>1231</v>
      </c>
      <c r="I116">
        <v>10993</v>
      </c>
      <c r="M116">
        <v>1.659874466</v>
      </c>
      <c r="N116">
        <f>E116/_xlfn.XLOOKUP(C116,Lookups!$A$2:$A$66,Lookups!$C$2:$C$66)</f>
        <v>19.206799984222773</v>
      </c>
      <c r="O116">
        <v>19478</v>
      </c>
      <c r="P116">
        <v>135</v>
      </c>
      <c r="Q116">
        <v>-74</v>
      </c>
      <c r="R116">
        <v>161</v>
      </c>
      <c r="S116">
        <v>209</v>
      </c>
      <c r="T116">
        <v>10993</v>
      </c>
      <c r="W116">
        <v>18247</v>
      </c>
      <c r="X116">
        <v>186</v>
      </c>
      <c r="AA116">
        <v>1.659874466</v>
      </c>
    </row>
    <row r="117" spans="1:27" x14ac:dyDescent="0.2">
      <c r="A117">
        <v>15</v>
      </c>
      <c r="B117">
        <v>13</v>
      </c>
      <c r="C117" t="s">
        <v>152</v>
      </c>
      <c r="D117">
        <v>2021</v>
      </c>
      <c r="E117">
        <v>19737</v>
      </c>
      <c r="F117">
        <v>18809</v>
      </c>
      <c r="G117">
        <v>928</v>
      </c>
      <c r="I117">
        <v>11322</v>
      </c>
      <c r="M117">
        <v>1.661278926</v>
      </c>
      <c r="N117">
        <f>E117/_xlfn.XLOOKUP(C117,Lookups!$A$2:$A$66,Lookups!$C$2:$C$66)</f>
        <v>19.462193823216186</v>
      </c>
      <c r="O117">
        <v>19737</v>
      </c>
      <c r="P117">
        <v>148</v>
      </c>
      <c r="Q117">
        <v>-25</v>
      </c>
      <c r="R117">
        <v>284</v>
      </c>
      <c r="S117">
        <v>173</v>
      </c>
      <c r="T117">
        <v>11322</v>
      </c>
      <c r="W117">
        <v>18809</v>
      </c>
      <c r="X117">
        <v>349</v>
      </c>
      <c r="AA117">
        <v>1.661278926</v>
      </c>
    </row>
    <row r="118" spans="1:27" x14ac:dyDescent="0.2">
      <c r="A118">
        <v>15</v>
      </c>
      <c r="B118">
        <v>13</v>
      </c>
      <c r="C118" t="s">
        <v>152</v>
      </c>
      <c r="D118">
        <v>2022</v>
      </c>
      <c r="E118">
        <v>20261</v>
      </c>
      <c r="F118">
        <v>19071</v>
      </c>
      <c r="G118">
        <v>1190</v>
      </c>
      <c r="I118">
        <v>11903</v>
      </c>
      <c r="M118">
        <v>1.602201126</v>
      </c>
      <c r="N118">
        <f>E118/_xlfn.XLOOKUP(C118,Lookups!$A$2:$A$66,Lookups!$C$2:$C$66)</f>
        <v>19.978897960793596</v>
      </c>
      <c r="O118">
        <v>20261</v>
      </c>
      <c r="P118">
        <v>145</v>
      </c>
      <c r="Q118">
        <v>-41</v>
      </c>
      <c r="R118">
        <v>565</v>
      </c>
      <c r="S118">
        <v>186</v>
      </c>
      <c r="T118">
        <v>11903</v>
      </c>
      <c r="W118">
        <v>19071</v>
      </c>
      <c r="X118">
        <v>277</v>
      </c>
      <c r="AA118">
        <v>1.602201126</v>
      </c>
    </row>
    <row r="119" spans="1:27" x14ac:dyDescent="0.2">
      <c r="A119">
        <v>17</v>
      </c>
      <c r="B119">
        <v>5</v>
      </c>
      <c r="C119" t="s">
        <v>153</v>
      </c>
      <c r="D119">
        <v>2010</v>
      </c>
      <c r="E119">
        <v>1834</v>
      </c>
      <c r="F119">
        <v>1792</v>
      </c>
      <c r="G119">
        <v>42</v>
      </c>
      <c r="H119">
        <v>2.5499999999999998</v>
      </c>
      <c r="I119">
        <v>868</v>
      </c>
      <c r="J119">
        <v>702</v>
      </c>
      <c r="K119">
        <v>166</v>
      </c>
      <c r="L119">
        <v>19.12</v>
      </c>
      <c r="M119">
        <v>2.0645161289999998</v>
      </c>
      <c r="N119">
        <f>E119/_xlfn.XLOOKUP(C119,Lookups!$A$2:$A$66,Lookups!$C$2:$C$66)</f>
        <v>1.0292384533363264</v>
      </c>
    </row>
    <row r="120" spans="1:27" x14ac:dyDescent="0.2">
      <c r="A120">
        <v>17</v>
      </c>
      <c r="B120">
        <v>5</v>
      </c>
      <c r="C120" t="s">
        <v>153</v>
      </c>
      <c r="D120">
        <v>2011</v>
      </c>
      <c r="E120">
        <v>1832</v>
      </c>
      <c r="F120">
        <v>1790</v>
      </c>
      <c r="G120">
        <v>42</v>
      </c>
      <c r="H120">
        <v>2.2799999999999998</v>
      </c>
      <c r="I120">
        <v>869</v>
      </c>
      <c r="J120">
        <v>784</v>
      </c>
      <c r="K120">
        <v>85</v>
      </c>
      <c r="L120">
        <v>9.76</v>
      </c>
      <c r="M120">
        <v>2.0598388949999999</v>
      </c>
      <c r="N120">
        <f>E120/_xlfn.XLOOKUP(C120,Lookups!$A$2:$A$66,Lookups!$C$2:$C$66)</f>
        <v>1.0281160558953926</v>
      </c>
    </row>
    <row r="121" spans="1:27" x14ac:dyDescent="0.2">
      <c r="A121">
        <v>17</v>
      </c>
      <c r="B121">
        <v>5</v>
      </c>
      <c r="C121" t="s">
        <v>153</v>
      </c>
      <c r="D121">
        <v>2012</v>
      </c>
      <c r="E121">
        <v>1832</v>
      </c>
      <c r="F121">
        <v>1790</v>
      </c>
      <c r="G121">
        <v>42</v>
      </c>
      <c r="H121">
        <v>2.29</v>
      </c>
      <c r="I121">
        <v>869</v>
      </c>
      <c r="J121">
        <v>783</v>
      </c>
      <c r="K121">
        <v>86</v>
      </c>
      <c r="L121">
        <v>9.89</v>
      </c>
      <c r="M121">
        <v>2.0598388949999999</v>
      </c>
      <c r="N121">
        <f>E121/_xlfn.XLOOKUP(C121,Lookups!$A$2:$A$66,Lookups!$C$2:$C$66)</f>
        <v>1.0281160558953926</v>
      </c>
    </row>
    <row r="122" spans="1:27" x14ac:dyDescent="0.2">
      <c r="A122">
        <v>17</v>
      </c>
      <c r="B122">
        <v>5</v>
      </c>
      <c r="C122" t="s">
        <v>153</v>
      </c>
      <c r="D122">
        <v>2013</v>
      </c>
      <c r="E122">
        <v>1818</v>
      </c>
      <c r="F122">
        <v>1776</v>
      </c>
      <c r="G122">
        <v>42</v>
      </c>
      <c r="H122">
        <v>2.29</v>
      </c>
      <c r="I122">
        <v>878</v>
      </c>
      <c r="J122">
        <v>776</v>
      </c>
      <c r="K122">
        <v>102</v>
      </c>
      <c r="L122">
        <v>11.64</v>
      </c>
      <c r="M122">
        <v>2.0227790429999999</v>
      </c>
      <c r="N122">
        <f>E122/_xlfn.XLOOKUP(C122,Lookups!$A$2:$A$66,Lookups!$C$2:$C$66)</f>
        <v>1.0202592738088556</v>
      </c>
    </row>
    <row r="123" spans="1:27" x14ac:dyDescent="0.2">
      <c r="A123">
        <v>17</v>
      </c>
      <c r="B123">
        <v>5</v>
      </c>
      <c r="C123" t="s">
        <v>153</v>
      </c>
      <c r="D123">
        <v>2014</v>
      </c>
      <c r="E123">
        <v>1817</v>
      </c>
      <c r="F123">
        <v>1775</v>
      </c>
      <c r="G123">
        <v>42</v>
      </c>
      <c r="H123">
        <v>2.29</v>
      </c>
      <c r="I123">
        <v>879</v>
      </c>
      <c r="J123">
        <v>774</v>
      </c>
      <c r="K123">
        <v>105</v>
      </c>
      <c r="L123">
        <v>11.94</v>
      </c>
      <c r="M123">
        <v>2.019340159</v>
      </c>
      <c r="N123">
        <f>E123/_xlfn.XLOOKUP(C123,Lookups!$A$2:$A$66,Lookups!$C$2:$C$66)</f>
        <v>1.0196980750883888</v>
      </c>
    </row>
    <row r="124" spans="1:27" x14ac:dyDescent="0.2">
      <c r="A124">
        <v>17</v>
      </c>
      <c r="B124">
        <v>5</v>
      </c>
      <c r="C124" t="s">
        <v>153</v>
      </c>
      <c r="D124">
        <v>2015</v>
      </c>
      <c r="E124">
        <v>1806</v>
      </c>
      <c r="F124">
        <v>1764</v>
      </c>
      <c r="G124">
        <v>42</v>
      </c>
      <c r="H124">
        <v>2.2999999999999998</v>
      </c>
      <c r="I124">
        <v>886</v>
      </c>
      <c r="J124">
        <v>768</v>
      </c>
      <c r="K124">
        <v>118</v>
      </c>
      <c r="L124">
        <v>13.3</v>
      </c>
      <c r="M124">
        <v>1.9909706549999999</v>
      </c>
      <c r="N124">
        <f>E124/_xlfn.XLOOKUP(C124,Lookups!$A$2:$A$66,Lookups!$C$2:$C$66)</f>
        <v>1.0135248891632527</v>
      </c>
    </row>
    <row r="125" spans="1:27" x14ac:dyDescent="0.2">
      <c r="A125">
        <v>17</v>
      </c>
      <c r="B125">
        <v>5</v>
      </c>
      <c r="C125" t="s">
        <v>153</v>
      </c>
      <c r="D125">
        <v>2016</v>
      </c>
      <c r="E125">
        <v>1794</v>
      </c>
      <c r="F125">
        <v>1752</v>
      </c>
      <c r="G125">
        <v>42</v>
      </c>
      <c r="H125">
        <v>2.2999999999999998</v>
      </c>
      <c r="I125">
        <v>894</v>
      </c>
      <c r="J125">
        <v>762</v>
      </c>
      <c r="K125">
        <v>132</v>
      </c>
      <c r="L125">
        <v>14.8</v>
      </c>
      <c r="M125">
        <v>1.959731544</v>
      </c>
      <c r="N125">
        <f>E125/_xlfn.XLOOKUP(C125,Lookups!$A$2:$A$66,Lookups!$C$2:$C$66)</f>
        <v>1.0067905045176497</v>
      </c>
    </row>
    <row r="126" spans="1:27" x14ac:dyDescent="0.2">
      <c r="A126">
        <v>17</v>
      </c>
      <c r="B126">
        <v>5</v>
      </c>
      <c r="C126" t="s">
        <v>153</v>
      </c>
      <c r="D126">
        <v>2017</v>
      </c>
      <c r="E126">
        <v>1788</v>
      </c>
      <c r="F126">
        <v>1746</v>
      </c>
      <c r="G126">
        <v>42</v>
      </c>
      <c r="H126">
        <v>2.2999999999999998</v>
      </c>
      <c r="I126">
        <v>898</v>
      </c>
      <c r="J126">
        <v>758</v>
      </c>
      <c r="K126">
        <v>140</v>
      </c>
      <c r="L126">
        <v>15.6</v>
      </c>
      <c r="M126">
        <v>1.944320713</v>
      </c>
      <c r="N126">
        <f>E126/_xlfn.XLOOKUP(C126,Lookups!$A$2:$A$66,Lookups!$C$2:$C$66)</f>
        <v>1.0034233121948481</v>
      </c>
    </row>
    <row r="127" spans="1:27" x14ac:dyDescent="0.2">
      <c r="A127">
        <v>17</v>
      </c>
      <c r="B127">
        <v>5</v>
      </c>
      <c r="C127" t="s">
        <v>153</v>
      </c>
      <c r="D127">
        <v>2018</v>
      </c>
      <c r="E127">
        <v>1783</v>
      </c>
      <c r="F127">
        <v>1741</v>
      </c>
      <c r="G127">
        <v>42</v>
      </c>
      <c r="H127">
        <v>2.31</v>
      </c>
      <c r="I127">
        <v>901</v>
      </c>
      <c r="J127">
        <v>755</v>
      </c>
      <c r="K127">
        <v>146</v>
      </c>
      <c r="L127">
        <v>16.23</v>
      </c>
      <c r="M127">
        <v>1.9322974470000001</v>
      </c>
      <c r="N127">
        <f>E127/_xlfn.XLOOKUP(C127,Lookups!$A$2:$A$66,Lookups!$C$2:$C$66)</f>
        <v>1.0006173185925136</v>
      </c>
    </row>
    <row r="128" spans="1:27" x14ac:dyDescent="0.2">
      <c r="A128">
        <v>17</v>
      </c>
      <c r="B128">
        <v>5</v>
      </c>
      <c r="C128" t="s">
        <v>153</v>
      </c>
      <c r="D128">
        <v>2019</v>
      </c>
      <c r="E128">
        <v>1777</v>
      </c>
      <c r="F128">
        <v>1735</v>
      </c>
      <c r="G128">
        <v>42</v>
      </c>
      <c r="H128">
        <v>2.31</v>
      </c>
      <c r="I128">
        <v>905</v>
      </c>
      <c r="J128">
        <v>751</v>
      </c>
      <c r="K128">
        <v>154</v>
      </c>
      <c r="L128">
        <v>17.02</v>
      </c>
      <c r="M128">
        <v>1.917127072</v>
      </c>
      <c r="N128">
        <f>E128/_xlfn.XLOOKUP(C128,Lookups!$A$2:$A$66,Lookups!$C$2:$C$66)</f>
        <v>0.9972501262697121</v>
      </c>
    </row>
    <row r="129" spans="1:27" x14ac:dyDescent="0.2">
      <c r="A129">
        <v>17</v>
      </c>
      <c r="B129">
        <v>5</v>
      </c>
      <c r="C129" t="s">
        <v>153</v>
      </c>
      <c r="D129">
        <v>2020</v>
      </c>
      <c r="E129">
        <v>1744</v>
      </c>
      <c r="F129">
        <v>1722</v>
      </c>
      <c r="G129">
        <v>22</v>
      </c>
      <c r="I129">
        <v>929</v>
      </c>
      <c r="M129">
        <v>1.853606028</v>
      </c>
      <c r="N129">
        <f>E129/_xlfn.XLOOKUP(C129,Lookups!$A$2:$A$66,Lookups!$C$2:$C$66)</f>
        <v>0.97873056849430373</v>
      </c>
      <c r="O129">
        <v>1744</v>
      </c>
      <c r="P129">
        <v>17</v>
      </c>
      <c r="Q129">
        <v>0</v>
      </c>
      <c r="R129">
        <v>-33</v>
      </c>
      <c r="S129">
        <v>17</v>
      </c>
      <c r="T129">
        <v>929</v>
      </c>
      <c r="W129">
        <v>1722</v>
      </c>
      <c r="X129">
        <v>6</v>
      </c>
      <c r="AA129">
        <v>1.853606028</v>
      </c>
    </row>
    <row r="130" spans="1:27" x14ac:dyDescent="0.2">
      <c r="A130">
        <v>17</v>
      </c>
      <c r="B130">
        <v>5</v>
      </c>
      <c r="C130" t="s">
        <v>153</v>
      </c>
      <c r="D130">
        <v>2021</v>
      </c>
      <c r="E130">
        <v>1716</v>
      </c>
      <c r="F130">
        <v>1690</v>
      </c>
      <c r="G130">
        <v>26</v>
      </c>
      <c r="I130">
        <v>933</v>
      </c>
      <c r="M130">
        <v>1.8113611999999999</v>
      </c>
      <c r="N130">
        <f>E130/_xlfn.XLOOKUP(C130,Lookups!$A$2:$A$66,Lookups!$C$2:$C$66)</f>
        <v>0.96301700432123005</v>
      </c>
      <c r="O130">
        <v>1716</v>
      </c>
      <c r="P130">
        <v>21</v>
      </c>
      <c r="Q130">
        <v>-4</v>
      </c>
      <c r="R130">
        <v>-24</v>
      </c>
      <c r="S130">
        <v>25</v>
      </c>
      <c r="T130">
        <v>933</v>
      </c>
      <c r="W130">
        <v>1690</v>
      </c>
      <c r="X130">
        <v>12</v>
      </c>
      <c r="AA130">
        <v>1.8113611999999999</v>
      </c>
    </row>
    <row r="131" spans="1:27" x14ac:dyDescent="0.2">
      <c r="A131">
        <v>17</v>
      </c>
      <c r="B131">
        <v>5</v>
      </c>
      <c r="C131" t="s">
        <v>153</v>
      </c>
      <c r="D131">
        <v>2022</v>
      </c>
      <c r="E131">
        <v>1722</v>
      </c>
      <c r="F131">
        <v>1698</v>
      </c>
      <c r="G131">
        <v>24</v>
      </c>
      <c r="I131">
        <v>945</v>
      </c>
      <c r="M131">
        <v>1.7968253970000001</v>
      </c>
      <c r="N131">
        <f>E131/_xlfn.XLOOKUP(C131,Lookups!$A$2:$A$66,Lookups!$C$2:$C$66)</f>
        <v>0.96638419664403163</v>
      </c>
      <c r="O131">
        <v>1722</v>
      </c>
      <c r="P131">
        <v>15</v>
      </c>
      <c r="Q131">
        <v>-14</v>
      </c>
      <c r="R131">
        <v>20</v>
      </c>
      <c r="S131">
        <v>29</v>
      </c>
      <c r="T131">
        <v>945</v>
      </c>
      <c r="W131">
        <v>1698</v>
      </c>
      <c r="X131">
        <v>11</v>
      </c>
      <c r="AA131">
        <v>1.7968253970000001</v>
      </c>
    </row>
    <row r="132" spans="1:27" x14ac:dyDescent="0.2">
      <c r="A132">
        <v>19</v>
      </c>
      <c r="B132">
        <v>3</v>
      </c>
      <c r="C132" t="s">
        <v>154</v>
      </c>
      <c r="D132">
        <v>2010</v>
      </c>
      <c r="E132">
        <v>9155</v>
      </c>
      <c r="F132">
        <v>9024</v>
      </c>
      <c r="G132">
        <v>131</v>
      </c>
      <c r="H132">
        <v>2.2200000000000002</v>
      </c>
      <c r="I132">
        <v>5472</v>
      </c>
      <c r="J132">
        <v>4060</v>
      </c>
      <c r="K132">
        <v>1412</v>
      </c>
      <c r="L132">
        <v>25.8</v>
      </c>
      <c r="M132">
        <v>1.6491228069999999</v>
      </c>
      <c r="N132">
        <f>E132/_xlfn.XLOOKUP(C132,Lookups!$A$2:$A$66,Lookups!$C$2:$C$66)</f>
        <v>23.087786548306561</v>
      </c>
    </row>
    <row r="133" spans="1:27" x14ac:dyDescent="0.2">
      <c r="A133">
        <v>19</v>
      </c>
      <c r="B133">
        <v>3</v>
      </c>
      <c r="C133" t="s">
        <v>154</v>
      </c>
      <c r="D133">
        <v>2011</v>
      </c>
      <c r="E133">
        <v>9027</v>
      </c>
      <c r="F133">
        <v>8923</v>
      </c>
      <c r="G133">
        <v>104</v>
      </c>
      <c r="H133">
        <v>2.14</v>
      </c>
      <c r="I133">
        <v>5485</v>
      </c>
      <c r="J133">
        <v>4173</v>
      </c>
      <c r="K133">
        <v>1312</v>
      </c>
      <c r="L133">
        <v>23.92</v>
      </c>
      <c r="M133">
        <v>1.626800365</v>
      </c>
      <c r="N133">
        <f>E133/_xlfn.XLOOKUP(C133,Lookups!$A$2:$A$66,Lookups!$C$2:$C$66)</f>
        <v>22.764986255768797</v>
      </c>
    </row>
    <row r="134" spans="1:27" x14ac:dyDescent="0.2">
      <c r="A134">
        <v>19</v>
      </c>
      <c r="B134">
        <v>3</v>
      </c>
      <c r="C134" t="s">
        <v>154</v>
      </c>
      <c r="D134">
        <v>2012</v>
      </c>
      <c r="E134">
        <v>9016</v>
      </c>
      <c r="F134">
        <v>8895</v>
      </c>
      <c r="G134">
        <v>121</v>
      </c>
      <c r="H134">
        <v>2.14</v>
      </c>
      <c r="I134">
        <v>5501</v>
      </c>
      <c r="J134">
        <v>4163</v>
      </c>
      <c r="K134">
        <v>1338</v>
      </c>
      <c r="L134">
        <v>24.33</v>
      </c>
      <c r="M134">
        <v>1.6169787309999999</v>
      </c>
      <c r="N134">
        <f>E134/_xlfn.XLOOKUP(C134,Lookups!$A$2:$A$66,Lookups!$C$2:$C$66)</f>
        <v>22.737245605628832</v>
      </c>
    </row>
    <row r="135" spans="1:27" x14ac:dyDescent="0.2">
      <c r="A135">
        <v>19</v>
      </c>
      <c r="B135">
        <v>3</v>
      </c>
      <c r="C135" t="s">
        <v>154</v>
      </c>
      <c r="D135">
        <v>2013</v>
      </c>
      <c r="E135">
        <v>8966</v>
      </c>
      <c r="F135">
        <v>8876</v>
      </c>
      <c r="G135">
        <v>90</v>
      </c>
      <c r="H135">
        <v>2.14</v>
      </c>
      <c r="I135">
        <v>5496</v>
      </c>
      <c r="J135">
        <v>4157</v>
      </c>
      <c r="K135">
        <v>1339</v>
      </c>
      <c r="L135">
        <v>24.36</v>
      </c>
      <c r="M135">
        <v>1.614992722</v>
      </c>
      <c r="N135">
        <f>E135/_xlfn.XLOOKUP(C135,Lookups!$A$2:$A$66,Lookups!$C$2:$C$66)</f>
        <v>22.611151741356267</v>
      </c>
    </row>
    <row r="136" spans="1:27" x14ac:dyDescent="0.2">
      <c r="A136">
        <v>19</v>
      </c>
      <c r="B136">
        <v>3</v>
      </c>
      <c r="C136" t="s">
        <v>154</v>
      </c>
      <c r="D136">
        <v>2014</v>
      </c>
      <c r="E136">
        <v>9034</v>
      </c>
      <c r="F136">
        <v>8949</v>
      </c>
      <c r="G136">
        <v>85</v>
      </c>
      <c r="H136">
        <v>2.13</v>
      </c>
      <c r="I136">
        <v>5535</v>
      </c>
      <c r="J136">
        <v>4194</v>
      </c>
      <c r="K136">
        <v>1341</v>
      </c>
      <c r="L136">
        <v>24.22</v>
      </c>
      <c r="M136">
        <v>1.616802168</v>
      </c>
      <c r="N136">
        <f>E136/_xlfn.XLOOKUP(C136,Lookups!$A$2:$A$66,Lookups!$C$2:$C$66)</f>
        <v>22.782639396766953</v>
      </c>
    </row>
    <row r="137" spans="1:27" x14ac:dyDescent="0.2">
      <c r="A137">
        <v>19</v>
      </c>
      <c r="B137">
        <v>3</v>
      </c>
      <c r="C137" t="s">
        <v>154</v>
      </c>
      <c r="D137">
        <v>2015</v>
      </c>
      <c r="E137">
        <v>9158</v>
      </c>
      <c r="F137">
        <v>9047</v>
      </c>
      <c r="G137">
        <v>111</v>
      </c>
      <c r="H137">
        <v>2.13</v>
      </c>
      <c r="I137">
        <v>5544</v>
      </c>
      <c r="J137">
        <v>4243</v>
      </c>
      <c r="K137">
        <v>1301</v>
      </c>
      <c r="L137">
        <v>23.46</v>
      </c>
      <c r="M137">
        <v>1.6318542570000001</v>
      </c>
      <c r="N137">
        <f>E137/_xlfn.XLOOKUP(C137,Lookups!$A$2:$A$66,Lookups!$C$2:$C$66)</f>
        <v>23.095352180162916</v>
      </c>
    </row>
    <row r="138" spans="1:27" x14ac:dyDescent="0.2">
      <c r="A138">
        <v>19</v>
      </c>
      <c r="B138">
        <v>3</v>
      </c>
      <c r="C138" t="s">
        <v>154</v>
      </c>
      <c r="D138">
        <v>2016</v>
      </c>
      <c r="E138">
        <v>9237</v>
      </c>
      <c r="F138">
        <v>9124</v>
      </c>
      <c r="G138">
        <v>113</v>
      </c>
      <c r="H138">
        <v>2.13</v>
      </c>
      <c r="I138">
        <v>5560</v>
      </c>
      <c r="J138">
        <v>4283</v>
      </c>
      <c r="K138">
        <v>1277</v>
      </c>
      <c r="L138">
        <v>22.98</v>
      </c>
      <c r="M138">
        <v>1.6410071939999999</v>
      </c>
      <c r="N138">
        <f>E138/_xlfn.XLOOKUP(C138,Lookups!$A$2:$A$66,Lookups!$C$2:$C$66)</f>
        <v>23.294580485713567</v>
      </c>
    </row>
    <row r="139" spans="1:27" x14ac:dyDescent="0.2">
      <c r="A139">
        <v>19</v>
      </c>
      <c r="B139">
        <v>3</v>
      </c>
      <c r="C139" t="s">
        <v>154</v>
      </c>
      <c r="D139">
        <v>2017</v>
      </c>
      <c r="E139">
        <v>9427</v>
      </c>
      <c r="F139">
        <v>9312</v>
      </c>
      <c r="G139">
        <v>115</v>
      </c>
      <c r="H139">
        <v>2.13</v>
      </c>
      <c r="I139">
        <v>5572</v>
      </c>
      <c r="J139">
        <v>4374</v>
      </c>
      <c r="K139">
        <v>1198</v>
      </c>
      <c r="L139">
        <v>21.5</v>
      </c>
      <c r="M139">
        <v>1.671213209</v>
      </c>
      <c r="N139">
        <f>E139/_xlfn.XLOOKUP(C139,Lookups!$A$2:$A$66,Lookups!$C$2:$C$66)</f>
        <v>23.77373716994931</v>
      </c>
    </row>
    <row r="140" spans="1:27" x14ac:dyDescent="0.2">
      <c r="A140">
        <v>19</v>
      </c>
      <c r="B140">
        <v>3</v>
      </c>
      <c r="C140" t="s">
        <v>154</v>
      </c>
      <c r="D140">
        <v>2018</v>
      </c>
      <c r="E140">
        <v>9385</v>
      </c>
      <c r="F140">
        <v>9260</v>
      </c>
      <c r="G140">
        <v>125</v>
      </c>
      <c r="H140">
        <v>2.13</v>
      </c>
      <c r="I140">
        <v>5602</v>
      </c>
      <c r="J140">
        <v>4353</v>
      </c>
      <c r="K140">
        <v>1249</v>
      </c>
      <c r="L140">
        <v>22.3</v>
      </c>
      <c r="M140">
        <v>1.652981078</v>
      </c>
      <c r="N140">
        <f>E140/_xlfn.XLOOKUP(C140,Lookups!$A$2:$A$66,Lookups!$C$2:$C$66)</f>
        <v>23.667818323960358</v>
      </c>
    </row>
    <row r="141" spans="1:27" x14ac:dyDescent="0.2">
      <c r="A141">
        <v>19</v>
      </c>
      <c r="B141">
        <v>3</v>
      </c>
      <c r="C141" t="s">
        <v>154</v>
      </c>
      <c r="D141">
        <v>2019</v>
      </c>
      <c r="E141">
        <v>9414</v>
      </c>
      <c r="F141">
        <v>9299</v>
      </c>
      <c r="G141">
        <v>115</v>
      </c>
      <c r="H141">
        <v>2.13</v>
      </c>
      <c r="I141">
        <v>5634</v>
      </c>
      <c r="J141">
        <v>4374</v>
      </c>
      <c r="K141">
        <v>1260</v>
      </c>
      <c r="L141">
        <v>22.36</v>
      </c>
      <c r="M141">
        <v>1.650514732</v>
      </c>
      <c r="N141">
        <f>E141/_xlfn.XLOOKUP(C141,Lookups!$A$2:$A$66,Lookups!$C$2:$C$66)</f>
        <v>23.740952765238447</v>
      </c>
    </row>
    <row r="142" spans="1:27" x14ac:dyDescent="0.2">
      <c r="A142">
        <v>19</v>
      </c>
      <c r="B142">
        <v>3</v>
      </c>
      <c r="C142" t="s">
        <v>154</v>
      </c>
      <c r="D142">
        <v>2020</v>
      </c>
      <c r="E142">
        <v>9397</v>
      </c>
      <c r="F142">
        <v>9315</v>
      </c>
      <c r="G142">
        <v>82</v>
      </c>
      <c r="I142">
        <v>5688</v>
      </c>
      <c r="M142">
        <v>1.637658228</v>
      </c>
      <c r="N142">
        <f>E142/_xlfn.XLOOKUP(C142,Lookups!$A$2:$A$66,Lookups!$C$2:$C$66)</f>
        <v>23.698080851385772</v>
      </c>
      <c r="O142">
        <v>9397</v>
      </c>
      <c r="P142">
        <v>67</v>
      </c>
      <c r="Q142">
        <v>-6</v>
      </c>
      <c r="R142">
        <v>-11</v>
      </c>
      <c r="S142">
        <v>73</v>
      </c>
      <c r="T142">
        <v>5688</v>
      </c>
      <c r="W142">
        <v>9315</v>
      </c>
      <c r="X142">
        <v>94</v>
      </c>
      <c r="AA142">
        <v>1.637658228</v>
      </c>
    </row>
    <row r="143" spans="1:27" x14ac:dyDescent="0.2">
      <c r="A143">
        <v>19</v>
      </c>
      <c r="B143">
        <v>3</v>
      </c>
      <c r="C143" t="s">
        <v>154</v>
      </c>
      <c r="D143">
        <v>2021</v>
      </c>
      <c r="E143">
        <v>9457</v>
      </c>
      <c r="F143">
        <v>9375</v>
      </c>
      <c r="G143">
        <v>82</v>
      </c>
      <c r="I143">
        <v>5771</v>
      </c>
      <c r="M143">
        <v>1.624501819</v>
      </c>
      <c r="N143">
        <f>E143/_xlfn.XLOOKUP(C143,Lookups!$A$2:$A$66,Lookups!$C$2:$C$66)</f>
        <v>23.849393488512849</v>
      </c>
      <c r="O143">
        <v>9457</v>
      </c>
      <c r="P143">
        <v>70</v>
      </c>
      <c r="Q143">
        <v>5</v>
      </c>
      <c r="R143">
        <v>55</v>
      </c>
      <c r="S143">
        <v>65</v>
      </c>
      <c r="T143">
        <v>5771</v>
      </c>
      <c r="W143">
        <v>9375</v>
      </c>
      <c r="X143">
        <v>97</v>
      </c>
      <c r="AA143">
        <v>1.624501819</v>
      </c>
    </row>
    <row r="144" spans="1:27" x14ac:dyDescent="0.2">
      <c r="A144">
        <v>19</v>
      </c>
      <c r="B144">
        <v>3</v>
      </c>
      <c r="C144" t="s">
        <v>154</v>
      </c>
      <c r="D144">
        <v>2022</v>
      </c>
      <c r="E144">
        <v>9366</v>
      </c>
      <c r="F144">
        <v>9284</v>
      </c>
      <c r="G144">
        <v>82</v>
      </c>
      <c r="I144">
        <v>5868</v>
      </c>
      <c r="M144">
        <v>1.582140423</v>
      </c>
      <c r="N144">
        <f>E144/_xlfn.XLOOKUP(C144,Lookups!$A$2:$A$66,Lookups!$C$2:$C$66)</f>
        <v>23.619902655536784</v>
      </c>
      <c r="O144">
        <v>9366</v>
      </c>
      <c r="P144">
        <v>60</v>
      </c>
      <c r="Q144">
        <v>-18</v>
      </c>
      <c r="R144">
        <v>-73</v>
      </c>
      <c r="S144">
        <v>78</v>
      </c>
      <c r="T144">
        <v>5868</v>
      </c>
      <c r="W144">
        <v>9284</v>
      </c>
      <c r="X144">
        <v>20</v>
      </c>
      <c r="AA144">
        <v>1.582140423</v>
      </c>
    </row>
    <row r="145" spans="1:27" x14ac:dyDescent="0.2">
      <c r="A145">
        <v>0</v>
      </c>
      <c r="B145">
        <v>0</v>
      </c>
      <c r="C145" t="s">
        <v>143</v>
      </c>
      <c r="D145">
        <v>2010</v>
      </c>
      <c r="E145">
        <v>5050332</v>
      </c>
      <c r="F145">
        <v>4933380</v>
      </c>
      <c r="G145">
        <v>116952</v>
      </c>
      <c r="H145">
        <v>2.5</v>
      </c>
      <c r="I145">
        <v>2205618</v>
      </c>
      <c r="J145">
        <v>1971855</v>
      </c>
      <c r="K145">
        <v>233763</v>
      </c>
      <c r="L145">
        <v>10.6</v>
      </c>
      <c r="M145">
        <v>2.2367336500000001</v>
      </c>
      <c r="N145">
        <f>E145/_xlfn.XLOOKUP(C145,Lookups!$A$2:$A$66,Lookups!$C$2:$C$66)</f>
        <v>48.516114504720974</v>
      </c>
    </row>
    <row r="146" spans="1:27" x14ac:dyDescent="0.2">
      <c r="A146">
        <v>0</v>
      </c>
      <c r="B146">
        <v>0</v>
      </c>
      <c r="C146" t="s">
        <v>143</v>
      </c>
      <c r="D146">
        <v>2011</v>
      </c>
      <c r="E146">
        <v>5123553</v>
      </c>
      <c r="F146">
        <v>5004680</v>
      </c>
      <c r="G146">
        <v>118873</v>
      </c>
      <c r="H146">
        <v>2.4900000000000002</v>
      </c>
      <c r="I146">
        <v>2217639</v>
      </c>
      <c r="J146">
        <v>2008680</v>
      </c>
      <c r="K146">
        <v>208959</v>
      </c>
      <c r="L146">
        <v>9.42</v>
      </c>
      <c r="M146">
        <v>2.2567604559999999</v>
      </c>
      <c r="N146">
        <f>E146/_xlfn.XLOOKUP(C146,Lookups!$A$2:$A$66,Lookups!$C$2:$C$66)</f>
        <v>49.21951349317365</v>
      </c>
    </row>
    <row r="147" spans="1:27" x14ac:dyDescent="0.2">
      <c r="A147">
        <v>0</v>
      </c>
      <c r="B147">
        <v>0</v>
      </c>
      <c r="C147" t="s">
        <v>143</v>
      </c>
      <c r="D147">
        <v>2012</v>
      </c>
      <c r="E147">
        <v>5194662</v>
      </c>
      <c r="F147">
        <v>5075290</v>
      </c>
      <c r="G147">
        <v>119372</v>
      </c>
      <c r="H147">
        <v>2.4900000000000002</v>
      </c>
      <c r="I147">
        <v>2230882</v>
      </c>
      <c r="J147">
        <v>2036224</v>
      </c>
      <c r="K147">
        <v>194658</v>
      </c>
      <c r="L147">
        <v>8.73</v>
      </c>
      <c r="M147">
        <v>2.2750149940000002</v>
      </c>
      <c r="N147">
        <f>E147/_xlfn.XLOOKUP(C147,Lookups!$A$2:$A$66,Lookups!$C$2:$C$66)</f>
        <v>49.902623511745929</v>
      </c>
    </row>
    <row r="148" spans="1:27" x14ac:dyDescent="0.2">
      <c r="A148">
        <v>0</v>
      </c>
      <c r="B148">
        <v>0</v>
      </c>
      <c r="C148" t="s">
        <v>143</v>
      </c>
      <c r="D148">
        <v>2013</v>
      </c>
      <c r="E148">
        <v>5270883</v>
      </c>
      <c r="F148">
        <v>5149736</v>
      </c>
      <c r="G148">
        <v>121147</v>
      </c>
      <c r="H148">
        <v>2.4900000000000002</v>
      </c>
      <c r="I148">
        <v>2254094</v>
      </c>
      <c r="J148">
        <v>2065107</v>
      </c>
      <c r="K148">
        <v>188987</v>
      </c>
      <c r="L148">
        <v>8.3800000000000008</v>
      </c>
      <c r="M148">
        <v>2.2846145720000002</v>
      </c>
      <c r="N148">
        <f>E148/_xlfn.XLOOKUP(C148,Lookups!$A$2:$A$66,Lookups!$C$2:$C$66)</f>
        <v>50.634842059687799</v>
      </c>
    </row>
    <row r="149" spans="1:27" x14ac:dyDescent="0.2">
      <c r="A149">
        <v>0</v>
      </c>
      <c r="B149">
        <v>0</v>
      </c>
      <c r="C149" t="s">
        <v>143</v>
      </c>
      <c r="D149">
        <v>2014</v>
      </c>
      <c r="E149">
        <v>5347655</v>
      </c>
      <c r="F149">
        <v>5225942</v>
      </c>
      <c r="G149">
        <v>121712</v>
      </c>
      <c r="H149">
        <v>2.4900000000000002</v>
      </c>
      <c r="I149">
        <v>2281231</v>
      </c>
      <c r="J149">
        <v>2094728</v>
      </c>
      <c r="K149">
        <v>186503</v>
      </c>
      <c r="L149">
        <v>8.18</v>
      </c>
      <c r="M149">
        <v>2.2908429699999999</v>
      </c>
      <c r="N149">
        <f>E149/_xlfn.XLOOKUP(C149,Lookups!$A$2:$A$66,Lookups!$C$2:$C$66)</f>
        <v>51.372353800055848</v>
      </c>
    </row>
    <row r="150" spans="1:27" x14ac:dyDescent="0.2">
      <c r="A150">
        <v>0</v>
      </c>
      <c r="B150">
        <v>0</v>
      </c>
      <c r="C150" t="s">
        <v>143</v>
      </c>
      <c r="D150">
        <v>2015</v>
      </c>
      <c r="E150">
        <v>5446594</v>
      </c>
      <c r="F150">
        <v>5322337</v>
      </c>
      <c r="G150">
        <v>124256</v>
      </c>
      <c r="H150">
        <v>2.5</v>
      </c>
      <c r="I150">
        <v>2310630</v>
      </c>
      <c r="J150">
        <v>2132504</v>
      </c>
      <c r="K150">
        <v>178126</v>
      </c>
      <c r="L150">
        <v>7.71</v>
      </c>
      <c r="M150">
        <v>2.3034137879999999</v>
      </c>
      <c r="N150">
        <f>E150/_xlfn.XLOOKUP(C150,Lookups!$A$2:$A$66,Lookups!$C$2:$C$66)</f>
        <v>52.322813265489522</v>
      </c>
    </row>
    <row r="151" spans="1:27" x14ac:dyDescent="0.2">
      <c r="A151">
        <v>0</v>
      </c>
      <c r="B151">
        <v>0</v>
      </c>
      <c r="C151" t="s">
        <v>143</v>
      </c>
      <c r="D151">
        <v>2016</v>
      </c>
      <c r="E151">
        <v>5529631</v>
      </c>
      <c r="F151">
        <v>5404120</v>
      </c>
      <c r="G151">
        <v>125511</v>
      </c>
      <c r="H151">
        <v>2.5</v>
      </c>
      <c r="I151">
        <v>2339866</v>
      </c>
      <c r="J151">
        <v>2164521</v>
      </c>
      <c r="K151">
        <v>175345</v>
      </c>
      <c r="L151">
        <v>7.49</v>
      </c>
      <c r="M151">
        <v>2.30958525</v>
      </c>
      <c r="N151">
        <f>E151/_xlfn.XLOOKUP(C151,Lookups!$A$2:$A$66,Lookups!$C$2:$C$66)</f>
        <v>53.120509852590828</v>
      </c>
    </row>
    <row r="152" spans="1:27" x14ac:dyDescent="0.2">
      <c r="A152">
        <v>0</v>
      </c>
      <c r="B152">
        <v>0</v>
      </c>
      <c r="C152" t="s">
        <v>143</v>
      </c>
      <c r="D152">
        <v>2017</v>
      </c>
      <c r="E152">
        <v>5599588</v>
      </c>
      <c r="F152">
        <v>5472360</v>
      </c>
      <c r="G152">
        <v>127227</v>
      </c>
      <c r="H152">
        <v>2.5</v>
      </c>
      <c r="I152">
        <v>2377152</v>
      </c>
      <c r="J152">
        <v>2190473</v>
      </c>
      <c r="K152">
        <v>186679</v>
      </c>
      <c r="L152">
        <v>7.85</v>
      </c>
      <c r="M152">
        <v>2.3020656650000002</v>
      </c>
      <c r="N152">
        <f>E152/_xlfn.XLOOKUP(C152,Lookups!$A$2:$A$66,Lookups!$C$2:$C$66)</f>
        <v>53.792553160319265</v>
      </c>
    </row>
    <row r="153" spans="1:27" x14ac:dyDescent="0.2">
      <c r="A153">
        <v>0</v>
      </c>
      <c r="B153">
        <v>0</v>
      </c>
      <c r="C153" t="s">
        <v>143</v>
      </c>
      <c r="D153">
        <v>2018</v>
      </c>
      <c r="E153">
        <v>5676912</v>
      </c>
      <c r="F153">
        <v>5549371</v>
      </c>
      <c r="G153">
        <v>127541</v>
      </c>
      <c r="H153">
        <v>2.5</v>
      </c>
      <c r="I153">
        <v>2418599</v>
      </c>
      <c r="J153">
        <v>2220185</v>
      </c>
      <c r="K153">
        <v>198414</v>
      </c>
      <c r="L153">
        <v>8.1999999999999993</v>
      </c>
      <c r="M153">
        <v>2.2944568319999998</v>
      </c>
      <c r="N153">
        <f>E153/_xlfn.XLOOKUP(C153,Lookups!$A$2:$A$66,Lookups!$C$2:$C$66)</f>
        <v>54.535367699633319</v>
      </c>
    </row>
    <row r="154" spans="1:27" x14ac:dyDescent="0.2">
      <c r="A154">
        <v>0</v>
      </c>
      <c r="B154">
        <v>0</v>
      </c>
      <c r="C154" t="s">
        <v>143</v>
      </c>
      <c r="D154">
        <v>2019</v>
      </c>
      <c r="E154">
        <v>5734909</v>
      </c>
      <c r="F154">
        <v>5606576</v>
      </c>
      <c r="G154">
        <v>128333</v>
      </c>
      <c r="H154">
        <v>2.5</v>
      </c>
      <c r="I154">
        <v>2460839</v>
      </c>
      <c r="J154">
        <v>2242111</v>
      </c>
      <c r="K154">
        <v>218728</v>
      </c>
      <c r="L154">
        <v>8.89</v>
      </c>
      <c r="M154">
        <v>2.2783188989999998</v>
      </c>
      <c r="N154">
        <f>E154/_xlfn.XLOOKUP(C154,Lookups!$A$2:$A$66,Lookups!$C$2:$C$66)</f>
        <v>55.092517030198181</v>
      </c>
    </row>
    <row r="155" spans="1:27" x14ac:dyDescent="0.2">
      <c r="A155">
        <v>0</v>
      </c>
      <c r="B155">
        <v>0</v>
      </c>
      <c r="C155" t="s">
        <v>143</v>
      </c>
      <c r="D155">
        <v>2020</v>
      </c>
      <c r="E155">
        <v>5784584</v>
      </c>
      <c r="F155">
        <v>5659934</v>
      </c>
      <c r="G155">
        <v>124650</v>
      </c>
      <c r="I155">
        <v>2501178</v>
      </c>
      <c r="M155">
        <v>2.2629073179999999</v>
      </c>
      <c r="N155">
        <f>E155/_xlfn.XLOOKUP(C155,Lookups!$A$2:$A$66,Lookups!$C$2:$C$66)</f>
        <v>55.569720902740031</v>
      </c>
      <c r="O155">
        <v>5784584</v>
      </c>
      <c r="P155">
        <v>62809</v>
      </c>
      <c r="Q155">
        <v>20660</v>
      </c>
      <c r="R155">
        <v>29011</v>
      </c>
      <c r="S155">
        <v>42149</v>
      </c>
      <c r="T155">
        <v>2501178</v>
      </c>
      <c r="W155">
        <v>5659934</v>
      </c>
      <c r="X155">
        <v>40469</v>
      </c>
      <c r="AA155">
        <v>2.2629073179999999</v>
      </c>
    </row>
    <row r="156" spans="1:27" x14ac:dyDescent="0.2">
      <c r="A156">
        <v>0</v>
      </c>
      <c r="B156">
        <v>0</v>
      </c>
      <c r="C156" t="s">
        <v>143</v>
      </c>
      <c r="D156">
        <v>2021</v>
      </c>
      <c r="E156">
        <v>5811026</v>
      </c>
      <c r="F156">
        <v>5696338</v>
      </c>
      <c r="G156">
        <v>114688</v>
      </c>
      <c r="I156">
        <v>2542505</v>
      </c>
      <c r="M156">
        <v>2.2404431850000002</v>
      </c>
      <c r="N156">
        <f>E156/_xlfn.XLOOKUP(C156,Lookups!$A$2:$A$66,Lookups!$C$2:$C$66)</f>
        <v>55.823736500077757</v>
      </c>
      <c r="O156">
        <v>5811026</v>
      </c>
      <c r="P156">
        <v>61980</v>
      </c>
      <c r="Q156">
        <v>15430</v>
      </c>
      <c r="R156">
        <v>11012</v>
      </c>
      <c r="S156">
        <v>46550</v>
      </c>
      <c r="T156">
        <v>2542505</v>
      </c>
      <c r="W156">
        <v>5696338</v>
      </c>
      <c r="X156">
        <v>56524</v>
      </c>
      <c r="AA156">
        <v>2.2404431850000002</v>
      </c>
    </row>
    <row r="157" spans="1:27" x14ac:dyDescent="0.2">
      <c r="A157">
        <v>0</v>
      </c>
      <c r="B157">
        <v>0</v>
      </c>
      <c r="C157" t="s">
        <v>143</v>
      </c>
      <c r="D157">
        <v>2022</v>
      </c>
      <c r="E157">
        <v>5838736</v>
      </c>
      <c r="F157">
        <v>5715606</v>
      </c>
      <c r="G157">
        <v>123130</v>
      </c>
      <c r="I157">
        <v>2598686</v>
      </c>
      <c r="M157">
        <v>2.1994215540000002</v>
      </c>
      <c r="N157">
        <f>E157/_xlfn.XLOOKUP(C157,Lookups!$A$2:$A$66,Lookups!$C$2:$C$66)</f>
        <v>56.089933164559582</v>
      </c>
      <c r="O157">
        <v>5838736</v>
      </c>
      <c r="P157">
        <v>62467</v>
      </c>
      <c r="Q157">
        <v>12786</v>
      </c>
      <c r="R157">
        <v>14924</v>
      </c>
      <c r="S157">
        <v>49681</v>
      </c>
      <c r="T157">
        <v>2598686</v>
      </c>
      <c r="W157">
        <v>5715606</v>
      </c>
      <c r="X157">
        <v>48839</v>
      </c>
      <c r="AA157">
        <v>2.1994215540000002</v>
      </c>
    </row>
    <row r="158" spans="1:27" x14ac:dyDescent="0.2">
      <c r="A158">
        <v>21</v>
      </c>
      <c r="B158">
        <v>8</v>
      </c>
      <c r="C158" t="s">
        <v>155</v>
      </c>
      <c r="D158">
        <v>2010</v>
      </c>
      <c r="E158">
        <v>8282</v>
      </c>
      <c r="F158">
        <v>8246</v>
      </c>
      <c r="G158">
        <v>36</v>
      </c>
      <c r="H158">
        <v>2.96</v>
      </c>
      <c r="I158">
        <v>3810</v>
      </c>
      <c r="J158">
        <v>2785</v>
      </c>
      <c r="K158">
        <v>1025</v>
      </c>
      <c r="L158">
        <v>26.9</v>
      </c>
      <c r="M158">
        <v>2.164304462</v>
      </c>
      <c r="N158">
        <f>E158/_xlfn.XLOOKUP(C158,Lookups!$A$2:$A$66,Lookups!$C$2:$C$66)</f>
        <v>6.4190603152950656</v>
      </c>
    </row>
    <row r="159" spans="1:27" x14ac:dyDescent="0.2">
      <c r="A159">
        <v>21</v>
      </c>
      <c r="B159">
        <v>8</v>
      </c>
      <c r="C159" t="s">
        <v>155</v>
      </c>
      <c r="D159">
        <v>2011</v>
      </c>
      <c r="E159">
        <v>8201</v>
      </c>
      <c r="F159">
        <v>8163</v>
      </c>
      <c r="G159">
        <v>39</v>
      </c>
      <c r="H159">
        <v>2.63</v>
      </c>
      <c r="I159">
        <v>3828</v>
      </c>
      <c r="J159">
        <v>3106</v>
      </c>
      <c r="K159">
        <v>722</v>
      </c>
      <c r="L159">
        <v>18.86</v>
      </c>
      <c r="M159">
        <v>2.1324451409999998</v>
      </c>
      <c r="N159">
        <f>E159/_xlfn.XLOOKUP(C159,Lookups!$A$2:$A$66,Lookups!$C$2:$C$66)</f>
        <v>6.3562803242857804</v>
      </c>
    </row>
    <row r="160" spans="1:27" x14ac:dyDescent="0.2">
      <c r="A160">
        <v>21</v>
      </c>
      <c r="B160">
        <v>8</v>
      </c>
      <c r="C160" t="s">
        <v>155</v>
      </c>
      <c r="D160">
        <v>2012</v>
      </c>
      <c r="E160">
        <v>8134</v>
      </c>
      <c r="F160">
        <v>8093</v>
      </c>
      <c r="G160">
        <v>41</v>
      </c>
      <c r="H160">
        <v>2.62</v>
      </c>
      <c r="I160">
        <v>3842</v>
      </c>
      <c r="J160">
        <v>3089</v>
      </c>
      <c r="K160">
        <v>753</v>
      </c>
      <c r="L160">
        <v>19.600000000000001</v>
      </c>
      <c r="M160">
        <v>2.1064549709999998</v>
      </c>
      <c r="N160">
        <f>E160/_xlfn.XLOOKUP(C160,Lookups!$A$2:$A$66,Lookups!$C$2:$C$66)</f>
        <v>6.3043511959200753</v>
      </c>
    </row>
    <row r="161" spans="1:27" x14ac:dyDescent="0.2">
      <c r="A161">
        <v>21</v>
      </c>
      <c r="B161">
        <v>8</v>
      </c>
      <c r="C161" t="s">
        <v>155</v>
      </c>
      <c r="D161">
        <v>2013</v>
      </c>
      <c r="E161">
        <v>8067</v>
      </c>
      <c r="F161">
        <v>8023</v>
      </c>
      <c r="G161">
        <v>44</v>
      </c>
      <c r="H161">
        <v>2.61</v>
      </c>
      <c r="I161">
        <v>3856</v>
      </c>
      <c r="J161">
        <v>3072</v>
      </c>
      <c r="K161">
        <v>784</v>
      </c>
      <c r="L161">
        <v>20.34</v>
      </c>
      <c r="M161">
        <v>2.0806535269999999</v>
      </c>
      <c r="N161">
        <f>E161/_xlfn.XLOOKUP(C161,Lookups!$A$2:$A$66,Lookups!$C$2:$C$66)</f>
        <v>6.2524220675543702</v>
      </c>
    </row>
    <row r="162" spans="1:27" x14ac:dyDescent="0.2">
      <c r="A162">
        <v>21</v>
      </c>
      <c r="B162">
        <v>8</v>
      </c>
      <c r="C162" t="s">
        <v>155</v>
      </c>
      <c r="D162">
        <v>2014</v>
      </c>
      <c r="E162">
        <v>7997</v>
      </c>
      <c r="F162">
        <v>7950</v>
      </c>
      <c r="G162">
        <v>47</v>
      </c>
      <c r="H162">
        <v>2.6</v>
      </c>
      <c r="I162">
        <v>3871</v>
      </c>
      <c r="J162">
        <v>3053</v>
      </c>
      <c r="K162">
        <v>818</v>
      </c>
      <c r="L162">
        <v>21.12</v>
      </c>
      <c r="M162">
        <v>2.0537328860000001</v>
      </c>
      <c r="N162">
        <f>E162/_xlfn.XLOOKUP(C162,Lookups!$A$2:$A$66,Lookups!$C$2:$C$66)</f>
        <v>6.1981677543364695</v>
      </c>
    </row>
    <row r="163" spans="1:27" x14ac:dyDescent="0.2">
      <c r="A163">
        <v>21</v>
      </c>
      <c r="B163">
        <v>8</v>
      </c>
      <c r="C163" t="s">
        <v>155</v>
      </c>
      <c r="D163">
        <v>2015</v>
      </c>
      <c r="E163">
        <v>7930</v>
      </c>
      <c r="F163">
        <v>7881</v>
      </c>
      <c r="G163">
        <v>50</v>
      </c>
      <c r="H163">
        <v>2.6</v>
      </c>
      <c r="I163">
        <v>3885</v>
      </c>
      <c r="J163">
        <v>3036</v>
      </c>
      <c r="K163">
        <v>849</v>
      </c>
      <c r="L163">
        <v>21.85</v>
      </c>
      <c r="M163">
        <v>2.0285714289999999</v>
      </c>
      <c r="N163">
        <f>E163/_xlfn.XLOOKUP(C163,Lookups!$A$2:$A$66,Lookups!$C$2:$C$66)</f>
        <v>6.1462386259707644</v>
      </c>
    </row>
    <row r="164" spans="1:27" x14ac:dyDescent="0.2">
      <c r="A164">
        <v>21</v>
      </c>
      <c r="B164">
        <v>8</v>
      </c>
      <c r="C164" t="s">
        <v>155</v>
      </c>
      <c r="D164">
        <v>2016</v>
      </c>
      <c r="E164">
        <v>7842</v>
      </c>
      <c r="F164">
        <v>7790</v>
      </c>
      <c r="G164">
        <v>52</v>
      </c>
      <c r="H164">
        <v>2.59</v>
      </c>
      <c r="I164">
        <v>3906</v>
      </c>
      <c r="J164">
        <v>3011</v>
      </c>
      <c r="K164">
        <v>895</v>
      </c>
      <c r="L164">
        <v>22.92</v>
      </c>
      <c r="M164">
        <v>1.9943676400000001</v>
      </c>
      <c r="N164">
        <f>E164/_xlfn.XLOOKUP(C164,Lookups!$A$2:$A$66,Lookups!$C$2:$C$66)</f>
        <v>6.0780332036396896</v>
      </c>
    </row>
    <row r="165" spans="1:27" x14ac:dyDescent="0.2">
      <c r="A165">
        <v>21</v>
      </c>
      <c r="B165">
        <v>8</v>
      </c>
      <c r="C165" t="s">
        <v>155</v>
      </c>
      <c r="D165">
        <v>2017</v>
      </c>
      <c r="E165">
        <v>7757</v>
      </c>
      <c r="F165">
        <v>7702</v>
      </c>
      <c r="G165">
        <v>55</v>
      </c>
      <c r="H165">
        <v>2.58</v>
      </c>
      <c r="I165">
        <v>3926</v>
      </c>
      <c r="J165">
        <v>2986</v>
      </c>
      <c r="K165">
        <v>940</v>
      </c>
      <c r="L165">
        <v>23.94</v>
      </c>
      <c r="M165">
        <v>1.9617931740000001</v>
      </c>
      <c r="N165">
        <f>E165/_xlfn.XLOOKUP(C165,Lookups!$A$2:$A$66,Lookups!$C$2:$C$66)</f>
        <v>6.0121529661608095</v>
      </c>
    </row>
    <row r="166" spans="1:27" x14ac:dyDescent="0.2">
      <c r="A166">
        <v>21</v>
      </c>
      <c r="B166">
        <v>8</v>
      </c>
      <c r="C166" t="s">
        <v>155</v>
      </c>
      <c r="D166">
        <v>2018</v>
      </c>
      <c r="E166">
        <v>7660</v>
      </c>
      <c r="F166">
        <v>7602</v>
      </c>
      <c r="G166">
        <v>58</v>
      </c>
      <c r="H166">
        <v>2.57</v>
      </c>
      <c r="I166">
        <v>3950</v>
      </c>
      <c r="J166">
        <v>2957</v>
      </c>
      <c r="K166">
        <v>993</v>
      </c>
      <c r="L166">
        <v>25.15</v>
      </c>
      <c r="M166">
        <v>1.924556962</v>
      </c>
      <c r="N166">
        <f>E166/_xlfn.XLOOKUP(C166,Lookups!$A$2:$A$66,Lookups!$C$2:$C$66)</f>
        <v>5.9369719892731467</v>
      </c>
    </row>
    <row r="167" spans="1:27" x14ac:dyDescent="0.2">
      <c r="A167">
        <v>21</v>
      </c>
      <c r="B167">
        <v>8</v>
      </c>
      <c r="C167" t="s">
        <v>155</v>
      </c>
      <c r="D167">
        <v>2019</v>
      </c>
      <c r="E167">
        <v>7551</v>
      </c>
      <c r="F167">
        <v>7490</v>
      </c>
      <c r="G167">
        <v>60</v>
      </c>
      <c r="H167">
        <v>2.56</v>
      </c>
      <c r="I167">
        <v>3978</v>
      </c>
      <c r="J167">
        <v>2922</v>
      </c>
      <c r="K167">
        <v>1056</v>
      </c>
      <c r="L167">
        <v>26.53</v>
      </c>
      <c r="M167">
        <v>1.882855706</v>
      </c>
      <c r="N167">
        <f>E167/_xlfn.XLOOKUP(C167,Lookups!$A$2:$A$66,Lookups!$C$2:$C$66)</f>
        <v>5.8524902729767012</v>
      </c>
    </row>
    <row r="168" spans="1:27" x14ac:dyDescent="0.2">
      <c r="A168">
        <v>21</v>
      </c>
      <c r="B168">
        <v>8</v>
      </c>
      <c r="C168" t="s">
        <v>155</v>
      </c>
      <c r="D168">
        <v>2020</v>
      </c>
      <c r="E168">
        <v>7454</v>
      </c>
      <c r="F168">
        <v>7395</v>
      </c>
      <c r="G168">
        <v>59</v>
      </c>
      <c r="I168">
        <v>4009</v>
      </c>
      <c r="M168">
        <v>1.844599651</v>
      </c>
      <c r="N168">
        <f>E168/_xlfn.XLOOKUP(C168,Lookups!$A$2:$A$66,Lookups!$C$2:$C$66)</f>
        <v>5.7773092960890393</v>
      </c>
      <c r="O168">
        <v>7454</v>
      </c>
      <c r="P168">
        <v>88</v>
      </c>
      <c r="Q168">
        <v>-12</v>
      </c>
      <c r="R168">
        <v>-85</v>
      </c>
      <c r="S168">
        <v>100</v>
      </c>
      <c r="T168">
        <v>4009</v>
      </c>
      <c r="W168">
        <v>7395</v>
      </c>
      <c r="X168">
        <v>36</v>
      </c>
      <c r="AA168">
        <v>1.844599651</v>
      </c>
    </row>
    <row r="169" spans="1:27" x14ac:dyDescent="0.2">
      <c r="A169">
        <v>21</v>
      </c>
      <c r="B169">
        <v>8</v>
      </c>
      <c r="C169" t="s">
        <v>155</v>
      </c>
      <c r="D169">
        <v>2021</v>
      </c>
      <c r="E169">
        <v>7586</v>
      </c>
      <c r="F169">
        <v>7535</v>
      </c>
      <c r="G169">
        <v>51</v>
      </c>
      <c r="I169">
        <v>4062</v>
      </c>
      <c r="M169">
        <v>1.8549975379999999</v>
      </c>
      <c r="N169">
        <f>E169/_xlfn.XLOOKUP(C169,Lookups!$A$2:$A$66,Lookups!$C$2:$C$66)</f>
        <v>5.879617429585652</v>
      </c>
      <c r="O169">
        <v>7586</v>
      </c>
      <c r="P169">
        <v>97</v>
      </c>
      <c r="Q169">
        <v>-5</v>
      </c>
      <c r="R169">
        <v>137</v>
      </c>
      <c r="S169">
        <v>102</v>
      </c>
      <c r="T169">
        <v>4062</v>
      </c>
      <c r="W169">
        <v>7535</v>
      </c>
      <c r="X169">
        <v>45</v>
      </c>
      <c r="AA169">
        <v>1.8549975379999999</v>
      </c>
    </row>
    <row r="170" spans="1:27" x14ac:dyDescent="0.2">
      <c r="A170">
        <v>21</v>
      </c>
      <c r="B170">
        <v>8</v>
      </c>
      <c r="C170" t="s">
        <v>155</v>
      </c>
      <c r="D170">
        <v>2022</v>
      </c>
      <c r="E170">
        <v>7572</v>
      </c>
      <c r="F170">
        <v>7524</v>
      </c>
      <c r="G170">
        <v>48</v>
      </c>
      <c r="I170">
        <v>4119</v>
      </c>
      <c r="M170">
        <v>1.8266569560000001</v>
      </c>
      <c r="N170">
        <f>E170/_xlfn.XLOOKUP(C170,Lookups!$A$2:$A$66,Lookups!$C$2:$C$66)</f>
        <v>5.8687665669420719</v>
      </c>
      <c r="O170">
        <v>7572</v>
      </c>
      <c r="P170">
        <v>105</v>
      </c>
      <c r="Q170">
        <v>-34</v>
      </c>
      <c r="R170">
        <v>20</v>
      </c>
      <c r="S170">
        <v>139</v>
      </c>
      <c r="T170">
        <v>4119</v>
      </c>
      <c r="W170">
        <v>7524</v>
      </c>
      <c r="X170">
        <v>40</v>
      </c>
      <c r="AA170">
        <v>1.8266569560000001</v>
      </c>
    </row>
    <row r="171" spans="1:27" x14ac:dyDescent="0.2">
      <c r="A171">
        <v>23</v>
      </c>
      <c r="B171">
        <v>8</v>
      </c>
      <c r="C171" t="s">
        <v>156</v>
      </c>
      <c r="D171">
        <v>2010</v>
      </c>
      <c r="E171">
        <v>3532</v>
      </c>
      <c r="F171">
        <v>3532</v>
      </c>
      <c r="G171">
        <v>0</v>
      </c>
      <c r="H171">
        <v>2.68</v>
      </c>
      <c r="I171">
        <v>2241</v>
      </c>
      <c r="J171">
        <v>1317</v>
      </c>
      <c r="K171">
        <v>924</v>
      </c>
      <c r="L171">
        <v>41.23</v>
      </c>
      <c r="M171">
        <v>1.5760821060000001</v>
      </c>
      <c r="N171">
        <f>E171/_xlfn.XLOOKUP(C171,Lookups!$A$2:$A$66,Lookups!$C$2:$C$66)</f>
        <v>2.8729928907254059</v>
      </c>
    </row>
    <row r="172" spans="1:27" x14ac:dyDescent="0.2">
      <c r="A172">
        <v>23</v>
      </c>
      <c r="B172">
        <v>8</v>
      </c>
      <c r="C172" t="s">
        <v>156</v>
      </c>
      <c r="D172">
        <v>2011</v>
      </c>
      <c r="E172">
        <v>3518</v>
      </c>
      <c r="F172">
        <v>3518</v>
      </c>
      <c r="G172">
        <v>0</v>
      </c>
      <c r="H172">
        <v>2.27</v>
      </c>
      <c r="I172">
        <v>2301</v>
      </c>
      <c r="J172">
        <v>1553</v>
      </c>
      <c r="K172">
        <v>748</v>
      </c>
      <c r="L172">
        <v>32.5</v>
      </c>
      <c r="M172">
        <v>1.528900478</v>
      </c>
      <c r="N172">
        <f>E172/_xlfn.XLOOKUP(C172,Lookups!$A$2:$A$66,Lookups!$C$2:$C$66)</f>
        <v>2.861605036685158</v>
      </c>
    </row>
    <row r="173" spans="1:27" x14ac:dyDescent="0.2">
      <c r="A173">
        <v>23</v>
      </c>
      <c r="B173">
        <v>8</v>
      </c>
      <c r="C173" t="s">
        <v>156</v>
      </c>
      <c r="D173">
        <v>2012</v>
      </c>
      <c r="E173">
        <v>3517</v>
      </c>
      <c r="F173">
        <v>3517</v>
      </c>
      <c r="G173">
        <v>0</v>
      </c>
      <c r="H173">
        <v>2.2599999999999998</v>
      </c>
      <c r="I173">
        <v>2305</v>
      </c>
      <c r="J173">
        <v>1558</v>
      </c>
      <c r="K173">
        <v>747</v>
      </c>
      <c r="L173">
        <v>32.39</v>
      </c>
      <c r="M173">
        <v>1.5258134489999999</v>
      </c>
      <c r="N173">
        <f>E173/_xlfn.XLOOKUP(C173,Lookups!$A$2:$A$66,Lookups!$C$2:$C$66)</f>
        <v>2.8607916185394262</v>
      </c>
    </row>
    <row r="174" spans="1:27" x14ac:dyDescent="0.2">
      <c r="A174">
        <v>23</v>
      </c>
      <c r="B174">
        <v>8</v>
      </c>
      <c r="C174" t="s">
        <v>156</v>
      </c>
      <c r="D174">
        <v>2013</v>
      </c>
      <c r="E174">
        <v>3516</v>
      </c>
      <c r="F174">
        <v>3516</v>
      </c>
      <c r="G174">
        <v>0</v>
      </c>
      <c r="H174">
        <v>2.25</v>
      </c>
      <c r="I174">
        <v>2310</v>
      </c>
      <c r="J174">
        <v>1563</v>
      </c>
      <c r="K174">
        <v>747</v>
      </c>
      <c r="L174">
        <v>32.32</v>
      </c>
      <c r="M174">
        <v>1.522077922</v>
      </c>
      <c r="N174">
        <f>E174/_xlfn.XLOOKUP(C174,Lookups!$A$2:$A$66,Lookups!$C$2:$C$66)</f>
        <v>2.859978200393694</v>
      </c>
    </row>
    <row r="175" spans="1:27" x14ac:dyDescent="0.2">
      <c r="A175">
        <v>23</v>
      </c>
      <c r="B175">
        <v>8</v>
      </c>
      <c r="C175" t="s">
        <v>156</v>
      </c>
      <c r="D175">
        <v>2014</v>
      </c>
      <c r="E175">
        <v>3516</v>
      </c>
      <c r="F175">
        <v>3516</v>
      </c>
      <c r="G175">
        <v>0</v>
      </c>
      <c r="H175">
        <v>2.2400000000000002</v>
      </c>
      <c r="I175">
        <v>2310</v>
      </c>
      <c r="J175">
        <v>1569</v>
      </c>
      <c r="K175">
        <v>741</v>
      </c>
      <c r="L175">
        <v>32.08</v>
      </c>
      <c r="M175">
        <v>1.522077922</v>
      </c>
      <c r="N175">
        <f>E175/_xlfn.XLOOKUP(C175,Lookups!$A$2:$A$66,Lookups!$C$2:$C$66)</f>
        <v>2.859978200393694</v>
      </c>
    </row>
    <row r="176" spans="1:27" x14ac:dyDescent="0.2">
      <c r="A176">
        <v>23</v>
      </c>
      <c r="B176">
        <v>8</v>
      </c>
      <c r="C176" t="s">
        <v>156</v>
      </c>
      <c r="D176">
        <v>2015</v>
      </c>
      <c r="E176">
        <v>3516</v>
      </c>
      <c r="F176">
        <v>3516</v>
      </c>
      <c r="G176">
        <v>0</v>
      </c>
      <c r="H176">
        <v>2.23</v>
      </c>
      <c r="I176">
        <v>2310</v>
      </c>
      <c r="J176">
        <v>1575</v>
      </c>
      <c r="K176">
        <v>735</v>
      </c>
      <c r="L176">
        <v>31.84</v>
      </c>
      <c r="M176">
        <v>1.522077922</v>
      </c>
      <c r="N176">
        <f>E176/_xlfn.XLOOKUP(C176,Lookups!$A$2:$A$66,Lookups!$C$2:$C$66)</f>
        <v>2.859978200393694</v>
      </c>
    </row>
    <row r="177" spans="1:27" x14ac:dyDescent="0.2">
      <c r="A177">
        <v>23</v>
      </c>
      <c r="B177">
        <v>8</v>
      </c>
      <c r="C177" t="s">
        <v>156</v>
      </c>
      <c r="D177">
        <v>2016</v>
      </c>
      <c r="E177">
        <v>3516</v>
      </c>
      <c r="F177">
        <v>3516</v>
      </c>
      <c r="G177">
        <v>0</v>
      </c>
      <c r="H177">
        <v>2.23</v>
      </c>
      <c r="I177">
        <v>2310</v>
      </c>
      <c r="J177">
        <v>1580</v>
      </c>
      <c r="K177">
        <v>730</v>
      </c>
      <c r="L177">
        <v>31.59</v>
      </c>
      <c r="M177">
        <v>1.522077922</v>
      </c>
      <c r="N177">
        <f>E177/_xlfn.XLOOKUP(C177,Lookups!$A$2:$A$66,Lookups!$C$2:$C$66)</f>
        <v>2.859978200393694</v>
      </c>
    </row>
    <row r="178" spans="1:27" x14ac:dyDescent="0.2">
      <c r="A178">
        <v>23</v>
      </c>
      <c r="B178">
        <v>8</v>
      </c>
      <c r="C178" t="s">
        <v>156</v>
      </c>
      <c r="D178">
        <v>2017</v>
      </c>
      <c r="E178">
        <v>3516</v>
      </c>
      <c r="F178">
        <v>3516</v>
      </c>
      <c r="G178">
        <v>0</v>
      </c>
      <c r="H178">
        <v>2.2200000000000002</v>
      </c>
      <c r="I178">
        <v>2311</v>
      </c>
      <c r="J178">
        <v>1586</v>
      </c>
      <c r="K178">
        <v>725</v>
      </c>
      <c r="L178">
        <v>31.38</v>
      </c>
      <c r="M178">
        <v>1.5214192989999999</v>
      </c>
      <c r="N178">
        <f>E178/_xlfn.XLOOKUP(C178,Lookups!$A$2:$A$66,Lookups!$C$2:$C$66)</f>
        <v>2.859978200393694</v>
      </c>
    </row>
    <row r="179" spans="1:27" x14ac:dyDescent="0.2">
      <c r="A179">
        <v>23</v>
      </c>
      <c r="B179">
        <v>8</v>
      </c>
      <c r="C179" t="s">
        <v>156</v>
      </c>
      <c r="D179">
        <v>2018</v>
      </c>
      <c r="E179">
        <v>3515</v>
      </c>
      <c r="F179">
        <v>3515</v>
      </c>
      <c r="G179">
        <v>0</v>
      </c>
      <c r="H179">
        <v>2.21</v>
      </c>
      <c r="I179">
        <v>2313</v>
      </c>
      <c r="J179">
        <v>1591</v>
      </c>
      <c r="K179">
        <v>722</v>
      </c>
      <c r="L179">
        <v>31.2</v>
      </c>
      <c r="M179">
        <v>1.519671422</v>
      </c>
      <c r="N179">
        <f>E179/_xlfn.XLOOKUP(C179,Lookups!$A$2:$A$66,Lookups!$C$2:$C$66)</f>
        <v>2.8591647822479622</v>
      </c>
    </row>
    <row r="180" spans="1:27" x14ac:dyDescent="0.2">
      <c r="A180">
        <v>23</v>
      </c>
      <c r="B180">
        <v>8</v>
      </c>
      <c r="C180" t="s">
        <v>156</v>
      </c>
      <c r="D180">
        <v>2019</v>
      </c>
      <c r="E180">
        <v>3501</v>
      </c>
      <c r="F180">
        <v>3501</v>
      </c>
      <c r="G180">
        <v>0</v>
      </c>
      <c r="H180">
        <v>2.2000000000000002</v>
      </c>
      <c r="I180">
        <v>2374</v>
      </c>
      <c r="J180">
        <v>1591</v>
      </c>
      <c r="K180">
        <v>783</v>
      </c>
      <c r="L180">
        <v>33</v>
      </c>
      <c r="M180">
        <v>1.474726201</v>
      </c>
      <c r="N180">
        <f>E180/_xlfn.XLOOKUP(C180,Lookups!$A$2:$A$66,Lookups!$C$2:$C$66)</f>
        <v>2.8477769282077143</v>
      </c>
    </row>
    <row r="181" spans="1:27" x14ac:dyDescent="0.2">
      <c r="A181">
        <v>23</v>
      </c>
      <c r="B181">
        <v>8</v>
      </c>
      <c r="C181" t="s">
        <v>156</v>
      </c>
      <c r="D181">
        <v>2020</v>
      </c>
      <c r="E181">
        <v>3503</v>
      </c>
      <c r="F181">
        <v>3491</v>
      </c>
      <c r="G181">
        <v>12</v>
      </c>
      <c r="I181">
        <v>2424</v>
      </c>
      <c r="M181">
        <v>1.4401815179999999</v>
      </c>
      <c r="N181">
        <f>E181/_xlfn.XLOOKUP(C181,Lookups!$A$2:$A$66,Lookups!$C$2:$C$66)</f>
        <v>2.8494037644991783</v>
      </c>
      <c r="O181">
        <v>3503</v>
      </c>
      <c r="P181">
        <v>28</v>
      </c>
      <c r="Q181">
        <v>-10</v>
      </c>
      <c r="R181">
        <v>12</v>
      </c>
      <c r="S181">
        <v>38</v>
      </c>
      <c r="T181">
        <v>2424</v>
      </c>
      <c r="W181">
        <v>3491</v>
      </c>
      <c r="X181">
        <v>0</v>
      </c>
      <c r="AA181">
        <v>1.4401815179999999</v>
      </c>
    </row>
    <row r="182" spans="1:27" x14ac:dyDescent="0.2">
      <c r="A182">
        <v>23</v>
      </c>
      <c r="B182">
        <v>8</v>
      </c>
      <c r="C182" t="s">
        <v>156</v>
      </c>
      <c r="D182">
        <v>2021</v>
      </c>
      <c r="E182">
        <v>3617</v>
      </c>
      <c r="F182">
        <v>3605</v>
      </c>
      <c r="G182">
        <v>12</v>
      </c>
      <c r="I182">
        <v>2424</v>
      </c>
      <c r="M182">
        <v>1.4872112209999999</v>
      </c>
      <c r="N182">
        <f>E182/_xlfn.XLOOKUP(C182,Lookups!$A$2:$A$66,Lookups!$C$2:$C$66)</f>
        <v>2.9421334331126254</v>
      </c>
      <c r="O182">
        <v>3617</v>
      </c>
      <c r="P182">
        <v>41</v>
      </c>
      <c r="Q182">
        <v>1</v>
      </c>
      <c r="R182">
        <v>113</v>
      </c>
      <c r="S182">
        <v>40</v>
      </c>
      <c r="T182">
        <v>2424</v>
      </c>
      <c r="W182">
        <v>3605</v>
      </c>
      <c r="X182">
        <v>0</v>
      </c>
      <c r="AA182">
        <v>1.4872112209999999</v>
      </c>
    </row>
    <row r="183" spans="1:27" x14ac:dyDescent="0.2">
      <c r="A183">
        <v>23</v>
      </c>
      <c r="B183">
        <v>8</v>
      </c>
      <c r="C183" t="s">
        <v>156</v>
      </c>
      <c r="D183">
        <v>2022</v>
      </c>
      <c r="E183">
        <v>3614</v>
      </c>
      <c r="F183">
        <v>3602</v>
      </c>
      <c r="G183">
        <v>12</v>
      </c>
      <c r="I183">
        <v>2424</v>
      </c>
      <c r="M183">
        <v>1.4859735970000001</v>
      </c>
      <c r="N183">
        <f>E183/_xlfn.XLOOKUP(C183,Lookups!$A$2:$A$66,Lookups!$C$2:$C$66)</f>
        <v>2.9396931786754297</v>
      </c>
      <c r="O183">
        <v>3614</v>
      </c>
      <c r="P183">
        <v>28</v>
      </c>
      <c r="Q183">
        <v>-30</v>
      </c>
      <c r="R183">
        <v>27</v>
      </c>
      <c r="S183">
        <v>58</v>
      </c>
      <c r="T183">
        <v>2424</v>
      </c>
      <c r="W183">
        <v>3602</v>
      </c>
      <c r="X183">
        <v>0</v>
      </c>
      <c r="AA183">
        <v>1.4859735970000001</v>
      </c>
    </row>
    <row r="184" spans="1:27" x14ac:dyDescent="0.2">
      <c r="A184">
        <v>25</v>
      </c>
      <c r="B184">
        <v>6</v>
      </c>
      <c r="C184" t="s">
        <v>157</v>
      </c>
      <c r="D184">
        <v>2010</v>
      </c>
      <c r="E184">
        <v>5838</v>
      </c>
      <c r="F184">
        <v>3156</v>
      </c>
      <c r="G184">
        <v>2682</v>
      </c>
      <c r="H184">
        <v>2.54</v>
      </c>
      <c r="I184">
        <v>1479</v>
      </c>
      <c r="J184">
        <v>1244</v>
      </c>
      <c r="K184">
        <v>235</v>
      </c>
      <c r="L184">
        <v>15.89</v>
      </c>
      <c r="M184">
        <v>2.1338742389999998</v>
      </c>
      <c r="N184">
        <f>E184/_xlfn.XLOOKUP(C184,Lookups!$A$2:$A$66,Lookups!$C$2:$C$66)</f>
        <v>7.2950379247004138</v>
      </c>
    </row>
    <row r="185" spans="1:27" x14ac:dyDescent="0.2">
      <c r="A185">
        <v>25</v>
      </c>
      <c r="B185">
        <v>6</v>
      </c>
      <c r="C185" t="s">
        <v>157</v>
      </c>
      <c r="D185">
        <v>2011</v>
      </c>
      <c r="E185">
        <v>5837</v>
      </c>
      <c r="F185">
        <v>3139</v>
      </c>
      <c r="G185">
        <v>2698</v>
      </c>
      <c r="H185">
        <v>2.4</v>
      </c>
      <c r="I185">
        <v>1483</v>
      </c>
      <c r="J185">
        <v>1309</v>
      </c>
      <c r="K185">
        <v>174</v>
      </c>
      <c r="L185">
        <v>11.72</v>
      </c>
      <c r="M185">
        <v>2.1166554280000001</v>
      </c>
      <c r="N185">
        <f>E185/_xlfn.XLOOKUP(C185,Lookups!$A$2:$A$66,Lookups!$C$2:$C$66)</f>
        <v>7.2937883464330788</v>
      </c>
    </row>
    <row r="186" spans="1:27" x14ac:dyDescent="0.2">
      <c r="A186">
        <v>25</v>
      </c>
      <c r="B186">
        <v>6</v>
      </c>
      <c r="C186" t="s">
        <v>157</v>
      </c>
      <c r="D186">
        <v>2012</v>
      </c>
      <c r="E186">
        <v>5839</v>
      </c>
      <c r="F186">
        <v>3125</v>
      </c>
      <c r="G186">
        <v>2714</v>
      </c>
      <c r="H186">
        <v>2.39</v>
      </c>
      <c r="I186">
        <v>1485</v>
      </c>
      <c r="J186">
        <v>1308</v>
      </c>
      <c r="K186">
        <v>177</v>
      </c>
      <c r="L186">
        <v>11.91</v>
      </c>
      <c r="M186">
        <v>2.1043771040000001</v>
      </c>
      <c r="N186">
        <f>E186/_xlfn.XLOOKUP(C186,Lookups!$A$2:$A$66,Lookups!$C$2:$C$66)</f>
        <v>7.2962875029677488</v>
      </c>
    </row>
    <row r="187" spans="1:27" x14ac:dyDescent="0.2">
      <c r="A187">
        <v>25</v>
      </c>
      <c r="B187">
        <v>6</v>
      </c>
      <c r="C187" t="s">
        <v>157</v>
      </c>
      <c r="D187">
        <v>2013</v>
      </c>
      <c r="E187">
        <v>5843</v>
      </c>
      <c r="F187">
        <v>3112</v>
      </c>
      <c r="G187">
        <v>2730</v>
      </c>
      <c r="H187">
        <v>2.38</v>
      </c>
      <c r="I187">
        <v>1485</v>
      </c>
      <c r="J187">
        <v>1308</v>
      </c>
      <c r="K187">
        <v>177</v>
      </c>
      <c r="L187">
        <v>11.91</v>
      </c>
      <c r="M187">
        <v>2.0956228960000001</v>
      </c>
      <c r="N187">
        <f>E187/_xlfn.XLOOKUP(C187,Lookups!$A$2:$A$66,Lookups!$C$2:$C$66)</f>
        <v>7.3012858160370877</v>
      </c>
    </row>
    <row r="188" spans="1:27" x14ac:dyDescent="0.2">
      <c r="A188">
        <v>25</v>
      </c>
      <c r="B188">
        <v>6</v>
      </c>
      <c r="C188" t="s">
        <v>157</v>
      </c>
      <c r="D188">
        <v>2014</v>
      </c>
      <c r="E188">
        <v>5843</v>
      </c>
      <c r="F188">
        <v>3097</v>
      </c>
      <c r="G188">
        <v>2746</v>
      </c>
      <c r="H188">
        <v>2.37</v>
      </c>
      <c r="I188">
        <v>1488</v>
      </c>
      <c r="J188">
        <v>1307</v>
      </c>
      <c r="K188">
        <v>181</v>
      </c>
      <c r="L188">
        <v>12.18</v>
      </c>
      <c r="M188">
        <v>2.0813172039999999</v>
      </c>
      <c r="N188">
        <f>E188/_xlfn.XLOOKUP(C188,Lookups!$A$2:$A$66,Lookups!$C$2:$C$66)</f>
        <v>7.3012858160370877</v>
      </c>
    </row>
    <row r="189" spans="1:27" x14ac:dyDescent="0.2">
      <c r="A189">
        <v>25</v>
      </c>
      <c r="B189">
        <v>6</v>
      </c>
      <c r="C189" t="s">
        <v>157</v>
      </c>
      <c r="D189">
        <v>2015</v>
      </c>
      <c r="E189">
        <v>5839</v>
      </c>
      <c r="F189">
        <v>3077</v>
      </c>
      <c r="G189">
        <v>2762</v>
      </c>
      <c r="H189">
        <v>2.36</v>
      </c>
      <c r="I189">
        <v>1495</v>
      </c>
      <c r="J189">
        <v>1304</v>
      </c>
      <c r="K189">
        <v>191</v>
      </c>
      <c r="L189">
        <v>12.81</v>
      </c>
      <c r="M189">
        <v>2.05819398</v>
      </c>
      <c r="N189">
        <f>E189/_xlfn.XLOOKUP(C189,Lookups!$A$2:$A$66,Lookups!$C$2:$C$66)</f>
        <v>7.2962875029677488</v>
      </c>
    </row>
    <row r="190" spans="1:27" x14ac:dyDescent="0.2">
      <c r="A190">
        <v>25</v>
      </c>
      <c r="B190">
        <v>6</v>
      </c>
      <c r="C190" t="s">
        <v>157</v>
      </c>
      <c r="D190">
        <v>2016</v>
      </c>
      <c r="E190">
        <v>5837</v>
      </c>
      <c r="F190">
        <v>3059</v>
      </c>
      <c r="G190">
        <v>2779</v>
      </c>
      <c r="H190">
        <v>2.35</v>
      </c>
      <c r="I190">
        <v>1500</v>
      </c>
      <c r="J190">
        <v>1301</v>
      </c>
      <c r="K190">
        <v>199</v>
      </c>
      <c r="L190">
        <v>13.25</v>
      </c>
      <c r="M190">
        <v>2.0393333330000001</v>
      </c>
      <c r="N190">
        <f>E190/_xlfn.XLOOKUP(C190,Lookups!$A$2:$A$66,Lookups!$C$2:$C$66)</f>
        <v>7.2937883464330788</v>
      </c>
    </row>
    <row r="191" spans="1:27" x14ac:dyDescent="0.2">
      <c r="A191">
        <v>25</v>
      </c>
      <c r="B191">
        <v>6</v>
      </c>
      <c r="C191" t="s">
        <v>157</v>
      </c>
      <c r="D191">
        <v>2017</v>
      </c>
      <c r="E191">
        <v>5837</v>
      </c>
      <c r="F191">
        <v>3042</v>
      </c>
      <c r="G191">
        <v>2795</v>
      </c>
      <c r="H191">
        <v>2.34</v>
      </c>
      <c r="I191">
        <v>1504</v>
      </c>
      <c r="J191">
        <v>1299</v>
      </c>
      <c r="K191">
        <v>205</v>
      </c>
      <c r="L191">
        <v>13.61</v>
      </c>
      <c r="M191">
        <v>2.0226063829999998</v>
      </c>
      <c r="N191">
        <f>E191/_xlfn.XLOOKUP(C191,Lookups!$A$2:$A$66,Lookups!$C$2:$C$66)</f>
        <v>7.2937883464330788</v>
      </c>
    </row>
    <row r="192" spans="1:27" x14ac:dyDescent="0.2">
      <c r="A192">
        <v>25</v>
      </c>
      <c r="B192">
        <v>6</v>
      </c>
      <c r="C192" t="s">
        <v>157</v>
      </c>
      <c r="D192">
        <v>2018</v>
      </c>
      <c r="E192">
        <v>5837</v>
      </c>
      <c r="F192">
        <v>3027</v>
      </c>
      <c r="G192">
        <v>2811</v>
      </c>
      <c r="H192">
        <v>2.33</v>
      </c>
      <c r="I192">
        <v>1507</v>
      </c>
      <c r="J192">
        <v>1298</v>
      </c>
      <c r="K192">
        <v>209</v>
      </c>
      <c r="L192">
        <v>13.87</v>
      </c>
      <c r="M192">
        <v>2.0086264100000002</v>
      </c>
      <c r="N192">
        <f>E192/_xlfn.XLOOKUP(C192,Lookups!$A$2:$A$66,Lookups!$C$2:$C$66)</f>
        <v>7.2937883464330788</v>
      </c>
    </row>
    <row r="193" spans="1:27" x14ac:dyDescent="0.2">
      <c r="A193">
        <v>25</v>
      </c>
      <c r="B193">
        <v>6</v>
      </c>
      <c r="C193" t="s">
        <v>157</v>
      </c>
      <c r="D193">
        <v>2019</v>
      </c>
      <c r="E193">
        <v>5840</v>
      </c>
      <c r="F193">
        <v>3013</v>
      </c>
      <c r="G193">
        <v>2827</v>
      </c>
      <c r="H193">
        <v>2.3199999999999998</v>
      </c>
      <c r="I193">
        <v>1508</v>
      </c>
      <c r="J193">
        <v>1297</v>
      </c>
      <c r="K193">
        <v>211</v>
      </c>
      <c r="L193">
        <v>13.96</v>
      </c>
      <c r="M193">
        <v>1.9980106099999999</v>
      </c>
      <c r="N193">
        <f>E193/_xlfn.XLOOKUP(C193,Lookups!$A$2:$A$66,Lookups!$C$2:$C$66)</f>
        <v>7.2975370812350837</v>
      </c>
    </row>
    <row r="194" spans="1:27" x14ac:dyDescent="0.2">
      <c r="A194">
        <v>25</v>
      </c>
      <c r="B194">
        <v>6</v>
      </c>
      <c r="C194" t="s">
        <v>157</v>
      </c>
      <c r="D194">
        <v>2020</v>
      </c>
      <c r="E194">
        <v>5696</v>
      </c>
      <c r="F194">
        <v>3022</v>
      </c>
      <c r="G194">
        <v>2674</v>
      </c>
      <c r="I194">
        <v>1509</v>
      </c>
      <c r="M194">
        <v>2.002650762</v>
      </c>
      <c r="N194">
        <f>E194/_xlfn.XLOOKUP(C194,Lookups!$A$2:$A$66,Lookups!$C$2:$C$66)</f>
        <v>7.117597810738876</v>
      </c>
      <c r="O194">
        <v>5696</v>
      </c>
      <c r="P194">
        <v>23</v>
      </c>
      <c r="Q194">
        <v>-34</v>
      </c>
      <c r="R194">
        <v>-110</v>
      </c>
      <c r="S194">
        <v>57</v>
      </c>
      <c r="T194">
        <v>1509</v>
      </c>
      <c r="W194">
        <v>3022</v>
      </c>
      <c r="X194">
        <v>12</v>
      </c>
      <c r="AA194">
        <v>2.002650762</v>
      </c>
    </row>
    <row r="195" spans="1:27" x14ac:dyDescent="0.2">
      <c r="A195">
        <v>25</v>
      </c>
      <c r="B195">
        <v>6</v>
      </c>
      <c r="C195" t="s">
        <v>157</v>
      </c>
      <c r="D195">
        <v>2021</v>
      </c>
      <c r="E195">
        <v>5744</v>
      </c>
      <c r="F195">
        <v>3143</v>
      </c>
      <c r="G195">
        <v>2601</v>
      </c>
      <c r="I195">
        <v>1521</v>
      </c>
      <c r="M195">
        <v>2.0664036819999998</v>
      </c>
      <c r="N195">
        <f>E195/_xlfn.XLOOKUP(C195,Lookups!$A$2:$A$66,Lookups!$C$2:$C$66)</f>
        <v>7.1775775675709452</v>
      </c>
      <c r="O195">
        <v>5744</v>
      </c>
      <c r="P195">
        <v>30</v>
      </c>
      <c r="Q195">
        <v>-36</v>
      </c>
      <c r="R195">
        <v>84</v>
      </c>
      <c r="S195">
        <v>66</v>
      </c>
      <c r="T195">
        <v>1521</v>
      </c>
      <c r="W195">
        <v>3143</v>
      </c>
      <c r="X195">
        <v>14</v>
      </c>
      <c r="AA195">
        <v>2.0664036819999998</v>
      </c>
    </row>
    <row r="196" spans="1:27" x14ac:dyDescent="0.2">
      <c r="A196">
        <v>25</v>
      </c>
      <c r="B196">
        <v>6</v>
      </c>
      <c r="C196" t="s">
        <v>157</v>
      </c>
      <c r="D196">
        <v>2022</v>
      </c>
      <c r="E196">
        <v>5620</v>
      </c>
      <c r="F196">
        <v>3116</v>
      </c>
      <c r="G196">
        <v>2504</v>
      </c>
      <c r="I196">
        <v>1535</v>
      </c>
      <c r="M196">
        <v>2.0299674269999999</v>
      </c>
      <c r="N196">
        <f>E196/_xlfn.XLOOKUP(C196,Lookups!$A$2:$A$66,Lookups!$C$2:$C$66)</f>
        <v>7.0226298624214332</v>
      </c>
      <c r="O196">
        <v>5620</v>
      </c>
      <c r="P196">
        <v>24</v>
      </c>
      <c r="Q196">
        <v>-56</v>
      </c>
      <c r="R196">
        <v>-68</v>
      </c>
      <c r="S196">
        <v>80</v>
      </c>
      <c r="T196">
        <v>1535</v>
      </c>
      <c r="W196">
        <v>3116</v>
      </c>
      <c r="X196">
        <v>45</v>
      </c>
      <c r="AA196">
        <v>2.0299674269999999</v>
      </c>
    </row>
    <row r="197" spans="1:27" x14ac:dyDescent="0.2">
      <c r="A197">
        <v>27</v>
      </c>
      <c r="B197">
        <v>13</v>
      </c>
      <c r="C197" t="s">
        <v>158</v>
      </c>
      <c r="D197">
        <v>2010</v>
      </c>
      <c r="E197">
        <v>4272</v>
      </c>
      <c r="F197">
        <v>4257</v>
      </c>
      <c r="G197">
        <v>15</v>
      </c>
      <c r="H197">
        <v>2.34</v>
      </c>
      <c r="I197">
        <v>3593</v>
      </c>
      <c r="J197">
        <v>1816</v>
      </c>
      <c r="K197">
        <v>1777</v>
      </c>
      <c r="L197">
        <v>49.46</v>
      </c>
      <c r="M197">
        <v>1.1848037849999999</v>
      </c>
      <c r="N197">
        <f>E197/_xlfn.XLOOKUP(C197,Lookups!$A$2:$A$66,Lookups!$C$2:$C$66)</f>
        <v>5.7789080677452516</v>
      </c>
    </row>
    <row r="198" spans="1:27" x14ac:dyDescent="0.2">
      <c r="A198">
        <v>27</v>
      </c>
      <c r="B198">
        <v>13</v>
      </c>
      <c r="C198" t="s">
        <v>158</v>
      </c>
      <c r="D198">
        <v>2011</v>
      </c>
      <c r="E198">
        <v>4318</v>
      </c>
      <c r="F198">
        <v>4304</v>
      </c>
      <c r="G198">
        <v>15</v>
      </c>
      <c r="H198">
        <v>2.13</v>
      </c>
      <c r="I198">
        <v>3656</v>
      </c>
      <c r="J198">
        <v>2020</v>
      </c>
      <c r="K198">
        <v>1636</v>
      </c>
      <c r="L198">
        <v>44.74</v>
      </c>
      <c r="M198">
        <v>1.1772428880000001</v>
      </c>
      <c r="N198">
        <f>E198/_xlfn.XLOOKUP(C198,Lookups!$A$2:$A$66,Lookups!$C$2:$C$66)</f>
        <v>5.8411341377631079</v>
      </c>
    </row>
    <row r="199" spans="1:27" x14ac:dyDescent="0.2">
      <c r="A199">
        <v>27</v>
      </c>
      <c r="B199">
        <v>13</v>
      </c>
      <c r="C199" t="s">
        <v>158</v>
      </c>
      <c r="D199">
        <v>2012</v>
      </c>
      <c r="E199">
        <v>4367</v>
      </c>
      <c r="F199">
        <v>4353</v>
      </c>
      <c r="G199">
        <v>14</v>
      </c>
      <c r="H199">
        <v>2.13</v>
      </c>
      <c r="I199">
        <v>3722</v>
      </c>
      <c r="J199">
        <v>2045</v>
      </c>
      <c r="K199">
        <v>1677</v>
      </c>
      <c r="L199">
        <v>45.06</v>
      </c>
      <c r="M199">
        <v>1.1695325089999999</v>
      </c>
      <c r="N199">
        <f>E199/_xlfn.XLOOKUP(C199,Lookups!$A$2:$A$66,Lookups!$C$2:$C$66)</f>
        <v>5.9074184297386507</v>
      </c>
    </row>
    <row r="200" spans="1:27" x14ac:dyDescent="0.2">
      <c r="A200">
        <v>27</v>
      </c>
      <c r="B200">
        <v>13</v>
      </c>
      <c r="C200" t="s">
        <v>158</v>
      </c>
      <c r="D200">
        <v>2013</v>
      </c>
      <c r="E200">
        <v>4405</v>
      </c>
      <c r="F200">
        <v>4391</v>
      </c>
      <c r="G200">
        <v>14</v>
      </c>
      <c r="H200">
        <v>2.13</v>
      </c>
      <c r="I200">
        <v>3775</v>
      </c>
      <c r="J200">
        <v>2065</v>
      </c>
      <c r="K200">
        <v>1710</v>
      </c>
      <c r="L200">
        <v>45.31</v>
      </c>
      <c r="M200">
        <v>1.1631788080000001</v>
      </c>
      <c r="N200">
        <f>E200/_xlfn.XLOOKUP(C200,Lookups!$A$2:$A$66,Lookups!$C$2:$C$66)</f>
        <v>5.9588225745360095</v>
      </c>
    </row>
    <row r="201" spans="1:27" x14ac:dyDescent="0.2">
      <c r="A201">
        <v>27</v>
      </c>
      <c r="B201">
        <v>13</v>
      </c>
      <c r="C201" t="s">
        <v>158</v>
      </c>
      <c r="D201">
        <v>2014</v>
      </c>
      <c r="E201">
        <v>4437</v>
      </c>
      <c r="F201">
        <v>4424</v>
      </c>
      <c r="G201">
        <v>13</v>
      </c>
      <c r="H201">
        <v>2.12</v>
      </c>
      <c r="I201">
        <v>3821</v>
      </c>
      <c r="J201">
        <v>2082</v>
      </c>
      <c r="K201">
        <v>1739</v>
      </c>
      <c r="L201">
        <v>45.52</v>
      </c>
      <c r="M201">
        <v>1.157812091</v>
      </c>
      <c r="N201">
        <f>E201/_xlfn.XLOOKUP(C201,Lookups!$A$2:$A$66,Lookups!$C$2:$C$66)</f>
        <v>6.0021102754179969</v>
      </c>
    </row>
    <row r="202" spans="1:27" x14ac:dyDescent="0.2">
      <c r="A202">
        <v>27</v>
      </c>
      <c r="B202">
        <v>13</v>
      </c>
      <c r="C202" t="s">
        <v>158</v>
      </c>
      <c r="D202">
        <v>2015</v>
      </c>
      <c r="E202">
        <v>4467</v>
      </c>
      <c r="F202">
        <v>4454</v>
      </c>
      <c r="G202">
        <v>13</v>
      </c>
      <c r="H202">
        <v>2.12</v>
      </c>
      <c r="I202">
        <v>3863</v>
      </c>
      <c r="J202">
        <v>2097</v>
      </c>
      <c r="K202">
        <v>1766</v>
      </c>
      <c r="L202">
        <v>45.71</v>
      </c>
      <c r="M202">
        <v>1.152989904</v>
      </c>
      <c r="N202">
        <f>E202/_xlfn.XLOOKUP(C202,Lookups!$A$2:$A$66,Lookups!$C$2:$C$66)</f>
        <v>6.0426924949948599</v>
      </c>
    </row>
    <row r="203" spans="1:27" x14ac:dyDescent="0.2">
      <c r="A203">
        <v>27</v>
      </c>
      <c r="B203">
        <v>13</v>
      </c>
      <c r="C203" t="s">
        <v>158</v>
      </c>
      <c r="D203">
        <v>2016</v>
      </c>
      <c r="E203">
        <v>4496</v>
      </c>
      <c r="F203">
        <v>4483</v>
      </c>
      <c r="G203">
        <v>13</v>
      </c>
      <c r="H203">
        <v>2.12</v>
      </c>
      <c r="I203">
        <v>3905</v>
      </c>
      <c r="J203">
        <v>2113</v>
      </c>
      <c r="K203">
        <v>1792</v>
      </c>
      <c r="L203">
        <v>45.89</v>
      </c>
      <c r="M203">
        <v>1.148015365</v>
      </c>
      <c r="N203">
        <f>E203/_xlfn.XLOOKUP(C203,Lookups!$A$2:$A$66,Lookups!$C$2:$C$66)</f>
        <v>6.0819219739191599</v>
      </c>
    </row>
    <row r="204" spans="1:27" x14ac:dyDescent="0.2">
      <c r="A204">
        <v>27</v>
      </c>
      <c r="B204">
        <v>13</v>
      </c>
      <c r="C204" t="s">
        <v>158</v>
      </c>
      <c r="D204">
        <v>2017</v>
      </c>
      <c r="E204">
        <v>4539</v>
      </c>
      <c r="F204">
        <v>4526</v>
      </c>
      <c r="G204">
        <v>12</v>
      </c>
      <c r="H204">
        <v>2.12</v>
      </c>
      <c r="I204">
        <v>3964</v>
      </c>
      <c r="J204">
        <v>2135</v>
      </c>
      <c r="K204">
        <v>1829</v>
      </c>
      <c r="L204">
        <v>46.14</v>
      </c>
      <c r="M204">
        <v>1.1417759839999999</v>
      </c>
      <c r="N204">
        <f>E204/_xlfn.XLOOKUP(C204,Lookups!$A$2:$A$66,Lookups!$C$2:$C$66)</f>
        <v>6.1400898219793296</v>
      </c>
    </row>
    <row r="205" spans="1:27" x14ac:dyDescent="0.2">
      <c r="A205">
        <v>27</v>
      </c>
      <c r="B205">
        <v>13</v>
      </c>
      <c r="C205" t="s">
        <v>158</v>
      </c>
      <c r="D205">
        <v>2018</v>
      </c>
      <c r="E205">
        <v>4591</v>
      </c>
      <c r="F205">
        <v>4580</v>
      </c>
      <c r="G205">
        <v>12</v>
      </c>
      <c r="H205">
        <v>2.12</v>
      </c>
      <c r="I205">
        <v>4036</v>
      </c>
      <c r="J205">
        <v>2162</v>
      </c>
      <c r="K205">
        <v>1874</v>
      </c>
      <c r="L205">
        <v>46.44</v>
      </c>
      <c r="M205">
        <v>1.1347869180000001</v>
      </c>
      <c r="N205">
        <f>E205/_xlfn.XLOOKUP(C205,Lookups!$A$2:$A$66,Lookups!$C$2:$C$66)</f>
        <v>6.2104323359125591</v>
      </c>
    </row>
    <row r="206" spans="1:27" x14ac:dyDescent="0.2">
      <c r="A206">
        <v>27</v>
      </c>
      <c r="B206">
        <v>13</v>
      </c>
      <c r="C206" t="s">
        <v>158</v>
      </c>
      <c r="D206">
        <v>2019</v>
      </c>
      <c r="E206">
        <v>4646</v>
      </c>
      <c r="F206">
        <v>4634</v>
      </c>
      <c r="G206">
        <v>11</v>
      </c>
      <c r="H206">
        <v>2.12</v>
      </c>
      <c r="I206">
        <v>4110</v>
      </c>
      <c r="J206">
        <v>2189</v>
      </c>
      <c r="K206">
        <v>1921</v>
      </c>
      <c r="L206">
        <v>46.73</v>
      </c>
      <c r="M206">
        <v>1.127493917</v>
      </c>
      <c r="N206">
        <f>E206/_xlfn.XLOOKUP(C206,Lookups!$A$2:$A$66,Lookups!$C$2:$C$66)</f>
        <v>6.2848330718034742</v>
      </c>
    </row>
    <row r="207" spans="1:27" x14ac:dyDescent="0.2">
      <c r="A207">
        <v>27</v>
      </c>
      <c r="B207">
        <v>13</v>
      </c>
      <c r="C207" t="s">
        <v>158</v>
      </c>
      <c r="D207">
        <v>2020</v>
      </c>
      <c r="E207">
        <v>4720</v>
      </c>
      <c r="F207">
        <v>4717</v>
      </c>
      <c r="G207">
        <v>3</v>
      </c>
      <c r="I207">
        <v>4198</v>
      </c>
      <c r="M207">
        <v>1.1236303000000001</v>
      </c>
      <c r="N207">
        <f>E207/_xlfn.XLOOKUP(C207,Lookups!$A$2:$A$66,Lookups!$C$2:$C$66)</f>
        <v>6.3849358800930682</v>
      </c>
      <c r="O207">
        <v>4720</v>
      </c>
      <c r="P207">
        <v>39</v>
      </c>
      <c r="Q207">
        <v>-9</v>
      </c>
      <c r="R207">
        <v>83</v>
      </c>
      <c r="S207">
        <v>48</v>
      </c>
      <c r="T207">
        <v>4198</v>
      </c>
      <c r="W207">
        <v>4717</v>
      </c>
      <c r="X207">
        <v>118</v>
      </c>
      <c r="AA207">
        <v>1.1236303000000001</v>
      </c>
    </row>
    <row r="208" spans="1:27" x14ac:dyDescent="0.2">
      <c r="A208">
        <v>27</v>
      </c>
      <c r="B208">
        <v>13</v>
      </c>
      <c r="C208" t="s">
        <v>158</v>
      </c>
      <c r="D208">
        <v>2021</v>
      </c>
      <c r="E208">
        <v>5064</v>
      </c>
      <c r="F208">
        <v>5061</v>
      </c>
      <c r="G208">
        <v>3</v>
      </c>
      <c r="I208">
        <v>4326</v>
      </c>
      <c r="M208">
        <v>1.169902913</v>
      </c>
      <c r="N208">
        <f>E208/_xlfn.XLOOKUP(C208,Lookups!$A$2:$A$66,Lookups!$C$2:$C$66)</f>
        <v>6.8502786645744278</v>
      </c>
      <c r="O208">
        <v>5064</v>
      </c>
      <c r="P208">
        <v>41</v>
      </c>
      <c r="Q208">
        <v>-18</v>
      </c>
      <c r="R208">
        <v>362</v>
      </c>
      <c r="S208">
        <v>59</v>
      </c>
      <c r="T208">
        <v>4326</v>
      </c>
      <c r="W208">
        <v>5061</v>
      </c>
      <c r="X208">
        <v>146</v>
      </c>
      <c r="AA208">
        <v>1.169902913</v>
      </c>
    </row>
    <row r="209" spans="1:27" x14ac:dyDescent="0.2">
      <c r="A209">
        <v>27</v>
      </c>
      <c r="B209">
        <v>13</v>
      </c>
      <c r="C209" t="s">
        <v>158</v>
      </c>
      <c r="D209">
        <v>2022</v>
      </c>
      <c r="E209">
        <v>5338</v>
      </c>
      <c r="F209">
        <v>5335</v>
      </c>
      <c r="G209">
        <v>3</v>
      </c>
      <c r="I209">
        <v>4470</v>
      </c>
      <c r="M209">
        <v>1.193512304</v>
      </c>
      <c r="N209">
        <f>E209/_xlfn.XLOOKUP(C209,Lookups!$A$2:$A$66,Lookups!$C$2:$C$66)</f>
        <v>7.2209296033764403</v>
      </c>
      <c r="O209">
        <v>5338</v>
      </c>
      <c r="P209">
        <v>44</v>
      </c>
      <c r="Q209">
        <v>-22</v>
      </c>
      <c r="R209">
        <v>296</v>
      </c>
      <c r="S209">
        <v>66</v>
      </c>
      <c r="T209">
        <v>4470</v>
      </c>
      <c r="W209">
        <v>5335</v>
      </c>
      <c r="X209">
        <v>132</v>
      </c>
      <c r="AA209">
        <v>1.193512304</v>
      </c>
    </row>
    <row r="210" spans="1:27" x14ac:dyDescent="0.2">
      <c r="A210">
        <v>29</v>
      </c>
      <c r="B210">
        <v>10</v>
      </c>
      <c r="C210" t="s">
        <v>159</v>
      </c>
      <c r="D210">
        <v>2010</v>
      </c>
      <c r="E210">
        <v>30889</v>
      </c>
      <c r="F210">
        <v>30176</v>
      </c>
      <c r="G210">
        <v>713</v>
      </c>
      <c r="H210">
        <v>2.38</v>
      </c>
      <c r="I210">
        <v>14575</v>
      </c>
      <c r="J210">
        <v>12679</v>
      </c>
      <c r="K210">
        <v>1896</v>
      </c>
      <c r="L210">
        <v>13.01</v>
      </c>
      <c r="M210">
        <v>2.0703945109999999</v>
      </c>
      <c r="N210">
        <f>E210/_xlfn.XLOOKUP(C210,Lookups!$A$2:$A$66,Lookups!$C$2:$C$66)</f>
        <v>26.873086024498885</v>
      </c>
    </row>
    <row r="211" spans="1:27" x14ac:dyDescent="0.2">
      <c r="A211">
        <v>29</v>
      </c>
      <c r="B211">
        <v>10</v>
      </c>
      <c r="C211" t="s">
        <v>159</v>
      </c>
      <c r="D211">
        <v>2011</v>
      </c>
      <c r="E211">
        <v>30433</v>
      </c>
      <c r="F211">
        <v>29737</v>
      </c>
      <c r="G211">
        <v>696</v>
      </c>
      <c r="H211">
        <v>2.37</v>
      </c>
      <c r="I211">
        <v>14577</v>
      </c>
      <c r="J211">
        <v>12523</v>
      </c>
      <c r="K211">
        <v>2054</v>
      </c>
      <c r="L211">
        <v>14.09</v>
      </c>
      <c r="M211">
        <v>2.0399945119999998</v>
      </c>
      <c r="N211">
        <f>E211/_xlfn.XLOOKUP(C211,Lookups!$A$2:$A$66,Lookups!$C$2:$C$66)</f>
        <v>26.476371102449889</v>
      </c>
    </row>
    <row r="212" spans="1:27" x14ac:dyDescent="0.2">
      <c r="A212">
        <v>29</v>
      </c>
      <c r="B212">
        <v>10</v>
      </c>
      <c r="C212" t="s">
        <v>159</v>
      </c>
      <c r="D212">
        <v>2012</v>
      </c>
      <c r="E212">
        <v>30554</v>
      </c>
      <c r="F212">
        <v>29799</v>
      </c>
      <c r="G212">
        <v>755</v>
      </c>
      <c r="H212">
        <v>2.37</v>
      </c>
      <c r="I212">
        <v>14616</v>
      </c>
      <c r="J212">
        <v>12577</v>
      </c>
      <c r="K212">
        <v>2039</v>
      </c>
      <c r="L212">
        <v>13.95</v>
      </c>
      <c r="M212">
        <v>2.0387931030000002</v>
      </c>
      <c r="N212">
        <f>E212/_xlfn.XLOOKUP(C212,Lookups!$A$2:$A$66,Lookups!$C$2:$C$66)</f>
        <v>26.581639755011135</v>
      </c>
    </row>
    <row r="213" spans="1:27" x14ac:dyDescent="0.2">
      <c r="A213">
        <v>29</v>
      </c>
      <c r="B213">
        <v>10</v>
      </c>
      <c r="C213" t="s">
        <v>159</v>
      </c>
      <c r="D213">
        <v>2013</v>
      </c>
      <c r="E213">
        <v>30428</v>
      </c>
      <c r="F213">
        <v>29835</v>
      </c>
      <c r="G213">
        <v>593</v>
      </c>
      <c r="H213">
        <v>2.36</v>
      </c>
      <c r="I213">
        <v>14616</v>
      </c>
      <c r="J213">
        <v>12620</v>
      </c>
      <c r="K213">
        <v>1996</v>
      </c>
      <c r="L213">
        <v>13.66</v>
      </c>
      <c r="M213">
        <v>2.0412561579999999</v>
      </c>
      <c r="N213">
        <f>E213/_xlfn.XLOOKUP(C213,Lookups!$A$2:$A$66,Lookups!$C$2:$C$66)</f>
        <v>26.472021158129174</v>
      </c>
    </row>
    <row r="214" spans="1:27" x14ac:dyDescent="0.2">
      <c r="A214">
        <v>29</v>
      </c>
      <c r="B214">
        <v>10</v>
      </c>
      <c r="C214" t="s">
        <v>159</v>
      </c>
      <c r="D214">
        <v>2014</v>
      </c>
      <c r="E214">
        <v>30066</v>
      </c>
      <c r="F214">
        <v>29319</v>
      </c>
      <c r="G214">
        <v>747</v>
      </c>
      <c r="H214">
        <v>2.36</v>
      </c>
      <c r="I214">
        <v>14623</v>
      </c>
      <c r="J214">
        <v>12430</v>
      </c>
      <c r="K214">
        <v>2193</v>
      </c>
      <c r="L214">
        <v>15</v>
      </c>
      <c r="M214">
        <v>2.0049921359999998</v>
      </c>
      <c r="N214">
        <f>E214/_xlfn.XLOOKUP(C214,Lookups!$A$2:$A$66,Lookups!$C$2:$C$66)</f>
        <v>26.157085189309576</v>
      </c>
    </row>
    <row r="215" spans="1:27" x14ac:dyDescent="0.2">
      <c r="A215">
        <v>29</v>
      </c>
      <c r="B215">
        <v>10</v>
      </c>
      <c r="C215" t="s">
        <v>159</v>
      </c>
      <c r="D215">
        <v>2015</v>
      </c>
      <c r="E215">
        <v>30039</v>
      </c>
      <c r="F215">
        <v>29267</v>
      </c>
      <c r="G215">
        <v>772</v>
      </c>
      <c r="H215">
        <v>2.35</v>
      </c>
      <c r="I215">
        <v>14673</v>
      </c>
      <c r="J215">
        <v>12436</v>
      </c>
      <c r="K215">
        <v>2237</v>
      </c>
      <c r="L215">
        <v>15.25</v>
      </c>
      <c r="M215">
        <v>1.994615961</v>
      </c>
      <c r="N215">
        <f>E215/_xlfn.XLOOKUP(C215,Lookups!$A$2:$A$66,Lookups!$C$2:$C$66)</f>
        <v>26.133595489977726</v>
      </c>
    </row>
    <row r="216" spans="1:27" x14ac:dyDescent="0.2">
      <c r="A216">
        <v>29</v>
      </c>
      <c r="B216">
        <v>10</v>
      </c>
      <c r="C216" t="s">
        <v>159</v>
      </c>
      <c r="D216">
        <v>2016</v>
      </c>
      <c r="E216">
        <v>30489</v>
      </c>
      <c r="F216">
        <v>29685</v>
      </c>
      <c r="G216">
        <v>804</v>
      </c>
      <c r="H216">
        <v>2.35</v>
      </c>
      <c r="I216">
        <v>14658</v>
      </c>
      <c r="J216">
        <v>12642</v>
      </c>
      <c r="K216">
        <v>2016</v>
      </c>
      <c r="L216">
        <v>13.75</v>
      </c>
      <c r="M216">
        <v>2.0251739660000001</v>
      </c>
      <c r="N216">
        <f>E216/_xlfn.XLOOKUP(C216,Lookups!$A$2:$A$66,Lookups!$C$2:$C$66)</f>
        <v>26.525090478841868</v>
      </c>
    </row>
    <row r="217" spans="1:27" x14ac:dyDescent="0.2">
      <c r="A217">
        <v>29</v>
      </c>
      <c r="B217">
        <v>10</v>
      </c>
      <c r="C217" t="s">
        <v>159</v>
      </c>
      <c r="D217">
        <v>2017</v>
      </c>
      <c r="E217">
        <v>30703</v>
      </c>
      <c r="F217">
        <v>29858</v>
      </c>
      <c r="G217">
        <v>845</v>
      </c>
      <c r="H217">
        <v>2.34</v>
      </c>
      <c r="I217">
        <v>14660</v>
      </c>
      <c r="J217">
        <v>12745</v>
      </c>
      <c r="K217">
        <v>1915</v>
      </c>
      <c r="L217">
        <v>13.06</v>
      </c>
      <c r="M217">
        <v>2.0366984989999999</v>
      </c>
      <c r="N217">
        <f>E217/_xlfn.XLOOKUP(C217,Lookups!$A$2:$A$66,Lookups!$C$2:$C$66)</f>
        <v>26.711268095768371</v>
      </c>
    </row>
    <row r="218" spans="1:27" x14ac:dyDescent="0.2">
      <c r="A218">
        <v>29</v>
      </c>
      <c r="B218">
        <v>10</v>
      </c>
      <c r="C218" t="s">
        <v>159</v>
      </c>
      <c r="D218">
        <v>2018</v>
      </c>
      <c r="E218">
        <v>31033</v>
      </c>
      <c r="F218">
        <v>30182</v>
      </c>
      <c r="G218">
        <v>851</v>
      </c>
      <c r="H218">
        <v>2.34</v>
      </c>
      <c r="I218">
        <v>14694</v>
      </c>
      <c r="J218">
        <v>12913</v>
      </c>
      <c r="K218">
        <v>1781</v>
      </c>
      <c r="L218">
        <v>12.12</v>
      </c>
      <c r="M218">
        <v>2.0540356609999999</v>
      </c>
      <c r="N218">
        <f>E218/_xlfn.XLOOKUP(C218,Lookups!$A$2:$A$66,Lookups!$C$2:$C$66)</f>
        <v>26.99836442093541</v>
      </c>
    </row>
    <row r="219" spans="1:27" x14ac:dyDescent="0.2">
      <c r="A219">
        <v>29</v>
      </c>
      <c r="B219">
        <v>10</v>
      </c>
      <c r="C219" t="s">
        <v>159</v>
      </c>
      <c r="D219">
        <v>2019</v>
      </c>
      <c r="E219">
        <v>31237</v>
      </c>
      <c r="F219">
        <v>30360</v>
      </c>
      <c r="G219">
        <v>877</v>
      </c>
      <c r="H219">
        <v>2.33</v>
      </c>
      <c r="I219">
        <v>14728</v>
      </c>
      <c r="J219">
        <v>13018</v>
      </c>
      <c r="K219">
        <v>1710</v>
      </c>
      <c r="L219">
        <v>11.61</v>
      </c>
      <c r="M219">
        <v>2.0613796849999999</v>
      </c>
      <c r="N219">
        <f>E219/_xlfn.XLOOKUP(C219,Lookups!$A$2:$A$66,Lookups!$C$2:$C$66)</f>
        <v>27.17584214922049</v>
      </c>
    </row>
    <row r="220" spans="1:27" x14ac:dyDescent="0.2">
      <c r="A220">
        <v>29</v>
      </c>
      <c r="B220">
        <v>10</v>
      </c>
      <c r="C220" t="s">
        <v>159</v>
      </c>
      <c r="D220">
        <v>2020</v>
      </c>
      <c r="E220">
        <v>31052</v>
      </c>
      <c r="F220">
        <v>30486</v>
      </c>
      <c r="G220">
        <v>566</v>
      </c>
      <c r="I220">
        <v>14794</v>
      </c>
      <c r="M220">
        <v>2.0607002840000002</v>
      </c>
      <c r="N220">
        <f>E220/_xlfn.XLOOKUP(C220,Lookups!$A$2:$A$66,Lookups!$C$2:$C$66)</f>
        <v>27.014894209354118</v>
      </c>
      <c r="O220">
        <v>31052</v>
      </c>
      <c r="P220">
        <v>277</v>
      </c>
      <c r="Q220">
        <v>-139</v>
      </c>
      <c r="R220">
        <v>-46</v>
      </c>
      <c r="S220">
        <v>416</v>
      </c>
      <c r="T220">
        <v>14794</v>
      </c>
      <c r="W220">
        <v>30486</v>
      </c>
      <c r="X220">
        <v>73</v>
      </c>
      <c r="AA220">
        <v>2.0607002840000002</v>
      </c>
    </row>
    <row r="221" spans="1:27" x14ac:dyDescent="0.2">
      <c r="A221">
        <v>29</v>
      </c>
      <c r="B221">
        <v>10</v>
      </c>
      <c r="C221" t="s">
        <v>159</v>
      </c>
      <c r="D221">
        <v>2021</v>
      </c>
      <c r="E221">
        <v>31386</v>
      </c>
      <c r="F221">
        <v>30916</v>
      </c>
      <c r="G221">
        <v>470</v>
      </c>
      <c r="I221">
        <v>14860</v>
      </c>
      <c r="M221">
        <v>2.0804845219999999</v>
      </c>
      <c r="N221">
        <f>E221/_xlfn.XLOOKUP(C221,Lookups!$A$2:$A$66,Lookups!$C$2:$C$66)</f>
        <v>27.305470489977726</v>
      </c>
      <c r="O221">
        <v>31386</v>
      </c>
      <c r="P221">
        <v>300</v>
      </c>
      <c r="Q221">
        <v>-191</v>
      </c>
      <c r="R221">
        <v>525</v>
      </c>
      <c r="S221">
        <v>491</v>
      </c>
      <c r="T221">
        <v>14860</v>
      </c>
      <c r="W221">
        <v>30916</v>
      </c>
      <c r="X221">
        <v>223</v>
      </c>
      <c r="AA221">
        <v>2.0804845219999999</v>
      </c>
    </row>
    <row r="222" spans="1:27" x14ac:dyDescent="0.2">
      <c r="A222">
        <v>29</v>
      </c>
      <c r="B222">
        <v>10</v>
      </c>
      <c r="C222" t="s">
        <v>159</v>
      </c>
      <c r="D222">
        <v>2022</v>
      </c>
      <c r="E222">
        <v>31581</v>
      </c>
      <c r="F222">
        <v>31086</v>
      </c>
      <c r="G222">
        <v>495</v>
      </c>
      <c r="I222">
        <v>15081</v>
      </c>
      <c r="M222">
        <v>2.061269147</v>
      </c>
      <c r="N222">
        <f>E222/_xlfn.XLOOKUP(C222,Lookups!$A$2:$A$66,Lookups!$C$2:$C$66)</f>
        <v>27.475118318485521</v>
      </c>
      <c r="O222">
        <v>31581</v>
      </c>
      <c r="P222">
        <v>261</v>
      </c>
      <c r="Q222">
        <v>-242</v>
      </c>
      <c r="R222">
        <v>437</v>
      </c>
      <c r="S222">
        <v>503</v>
      </c>
      <c r="T222">
        <v>15081</v>
      </c>
      <c r="W222">
        <v>31086</v>
      </c>
      <c r="X222">
        <v>60</v>
      </c>
      <c r="AA222">
        <v>2.061269147</v>
      </c>
    </row>
    <row r="223" spans="1:27" x14ac:dyDescent="0.2">
      <c r="A223">
        <v>31</v>
      </c>
      <c r="B223">
        <v>3</v>
      </c>
      <c r="C223" t="s">
        <v>160</v>
      </c>
      <c r="D223">
        <v>2010</v>
      </c>
      <c r="E223">
        <v>604879</v>
      </c>
      <c r="F223">
        <v>588898</v>
      </c>
      <c r="G223">
        <v>15981</v>
      </c>
      <c r="H223">
        <v>2.2200000000000002</v>
      </c>
      <c r="I223">
        <v>287392</v>
      </c>
      <c r="J223">
        <v>265233</v>
      </c>
      <c r="K223">
        <v>22159</v>
      </c>
      <c r="L223">
        <v>7.71</v>
      </c>
      <c r="M223">
        <v>2.0491106220000002</v>
      </c>
      <c r="N223">
        <f>E223/_xlfn.XLOOKUP(C223,Lookups!$A$2:$A$66,Lookups!$C$2:$C$66)</f>
        <v>3885.8987536939485</v>
      </c>
    </row>
    <row r="224" spans="1:27" x14ac:dyDescent="0.2">
      <c r="A224">
        <v>31</v>
      </c>
      <c r="B224">
        <v>3</v>
      </c>
      <c r="C224" t="s">
        <v>160</v>
      </c>
      <c r="D224">
        <v>2011</v>
      </c>
      <c r="E224">
        <v>620229</v>
      </c>
      <c r="F224">
        <v>604024</v>
      </c>
      <c r="G224">
        <v>16205</v>
      </c>
      <c r="H224">
        <v>2.2200000000000002</v>
      </c>
      <c r="I224">
        <v>288388</v>
      </c>
      <c r="J224">
        <v>272237</v>
      </c>
      <c r="K224">
        <v>16151</v>
      </c>
      <c r="L224">
        <v>5.6</v>
      </c>
      <c r="M224">
        <v>2.0944838200000002</v>
      </c>
      <c r="N224">
        <f>E224/_xlfn.XLOOKUP(C224,Lookups!$A$2:$A$66,Lookups!$C$2:$C$66)</f>
        <v>3984.5111139663368</v>
      </c>
    </row>
    <row r="225" spans="1:27" x14ac:dyDescent="0.2">
      <c r="A225">
        <v>31</v>
      </c>
      <c r="B225">
        <v>3</v>
      </c>
      <c r="C225" t="s">
        <v>160</v>
      </c>
      <c r="D225">
        <v>2012</v>
      </c>
      <c r="E225">
        <v>632924</v>
      </c>
      <c r="F225">
        <v>616740</v>
      </c>
      <c r="G225">
        <v>16184</v>
      </c>
      <c r="H225">
        <v>2.2200000000000002</v>
      </c>
      <c r="I225">
        <v>290342</v>
      </c>
      <c r="J225">
        <v>278164</v>
      </c>
      <c r="K225">
        <v>12178</v>
      </c>
      <c r="L225">
        <v>4.1900000000000004</v>
      </c>
      <c r="M225">
        <v>2.1241845819999998</v>
      </c>
      <c r="N225">
        <f>E225/_xlfn.XLOOKUP(C225,Lookups!$A$2:$A$66,Lookups!$C$2:$C$66)</f>
        <v>4066.0670692535014</v>
      </c>
    </row>
    <row r="226" spans="1:27" x14ac:dyDescent="0.2">
      <c r="A226">
        <v>31</v>
      </c>
      <c r="B226">
        <v>3</v>
      </c>
      <c r="C226" t="s">
        <v>160</v>
      </c>
      <c r="D226">
        <v>2013</v>
      </c>
      <c r="E226">
        <v>645302</v>
      </c>
      <c r="F226">
        <v>629224</v>
      </c>
      <c r="G226">
        <v>16078</v>
      </c>
      <c r="H226">
        <v>2.2200000000000002</v>
      </c>
      <c r="I226">
        <v>295120</v>
      </c>
      <c r="J226">
        <v>283994</v>
      </c>
      <c r="K226">
        <v>11126</v>
      </c>
      <c r="L226">
        <v>3.77</v>
      </c>
      <c r="M226">
        <v>2.1320954190000001</v>
      </c>
      <c r="N226">
        <f>E226/_xlfn.XLOOKUP(C226,Lookups!$A$2:$A$66,Lookups!$C$2:$C$66)</f>
        <v>4145.5865347552362</v>
      </c>
    </row>
    <row r="227" spans="1:27" x14ac:dyDescent="0.2">
      <c r="A227">
        <v>31</v>
      </c>
      <c r="B227">
        <v>3</v>
      </c>
      <c r="C227" t="s">
        <v>160</v>
      </c>
      <c r="D227">
        <v>2014</v>
      </c>
      <c r="E227">
        <v>658632</v>
      </c>
      <c r="F227">
        <v>642474</v>
      </c>
      <c r="G227">
        <v>16158</v>
      </c>
      <c r="H227">
        <v>2.21</v>
      </c>
      <c r="I227">
        <v>300889</v>
      </c>
      <c r="J227">
        <v>290179</v>
      </c>
      <c r="K227">
        <v>10710</v>
      </c>
      <c r="L227">
        <v>3.56</v>
      </c>
      <c r="M227">
        <v>2.1352525349999998</v>
      </c>
      <c r="N227">
        <f>E227/_xlfn.XLOOKUP(C227,Lookups!$A$2:$A$66,Lookups!$C$2:$C$66)</f>
        <v>4231.2218938712576</v>
      </c>
    </row>
    <row r="228" spans="1:27" x14ac:dyDescent="0.2">
      <c r="A228">
        <v>31</v>
      </c>
      <c r="B228">
        <v>3</v>
      </c>
      <c r="C228" t="s">
        <v>160</v>
      </c>
      <c r="D228">
        <v>2015</v>
      </c>
      <c r="E228">
        <v>675534</v>
      </c>
      <c r="F228">
        <v>659092</v>
      </c>
      <c r="G228">
        <v>16442</v>
      </c>
      <c r="H228">
        <v>2.21</v>
      </c>
      <c r="I228">
        <v>306476</v>
      </c>
      <c r="J228">
        <v>297895</v>
      </c>
      <c r="K228">
        <v>8581</v>
      </c>
      <c r="L228">
        <v>2.8</v>
      </c>
      <c r="M228">
        <v>2.1505501250000001</v>
      </c>
      <c r="N228">
        <f>E228/_xlfn.XLOOKUP(C228,Lookups!$A$2:$A$66,Lookups!$C$2:$C$66)</f>
        <v>4339.8047025568549</v>
      </c>
    </row>
    <row r="229" spans="1:27" x14ac:dyDescent="0.2">
      <c r="A229">
        <v>31</v>
      </c>
      <c r="B229">
        <v>3</v>
      </c>
      <c r="C229" t="s">
        <v>160</v>
      </c>
      <c r="D229">
        <v>2016</v>
      </c>
      <c r="E229">
        <v>686468</v>
      </c>
      <c r="F229">
        <v>670083</v>
      </c>
      <c r="G229">
        <v>16385</v>
      </c>
      <c r="H229">
        <v>2.21</v>
      </c>
      <c r="I229">
        <v>314369</v>
      </c>
      <c r="J229">
        <v>303076</v>
      </c>
      <c r="K229">
        <v>11293</v>
      </c>
      <c r="L229">
        <v>3.59</v>
      </c>
      <c r="M229">
        <v>2.1315174209999999</v>
      </c>
      <c r="N229">
        <f>E229/_xlfn.XLOOKUP(C229,Lookups!$A$2:$A$66,Lookups!$C$2:$C$66)</f>
        <v>4410.0475395091871</v>
      </c>
    </row>
    <row r="230" spans="1:27" x14ac:dyDescent="0.2">
      <c r="A230">
        <v>31</v>
      </c>
      <c r="B230">
        <v>3</v>
      </c>
      <c r="C230" t="s">
        <v>160</v>
      </c>
      <c r="D230">
        <v>2017</v>
      </c>
      <c r="E230">
        <v>693134</v>
      </c>
      <c r="F230">
        <v>676812</v>
      </c>
      <c r="G230">
        <v>16322</v>
      </c>
      <c r="H230">
        <v>2.21</v>
      </c>
      <c r="I230">
        <v>321058</v>
      </c>
      <c r="J230">
        <v>306336</v>
      </c>
      <c r="K230">
        <v>14722</v>
      </c>
      <c r="L230">
        <v>4.59</v>
      </c>
      <c r="M230">
        <v>2.108067701</v>
      </c>
      <c r="N230">
        <f>E230/_xlfn.XLOOKUP(C230,Lookups!$A$2:$A$66,Lookups!$C$2:$C$66)</f>
        <v>4452.8716433251957</v>
      </c>
    </row>
    <row r="231" spans="1:27" x14ac:dyDescent="0.2">
      <c r="A231">
        <v>31</v>
      </c>
      <c r="B231">
        <v>3</v>
      </c>
      <c r="C231" t="s">
        <v>160</v>
      </c>
      <c r="D231">
        <v>2018</v>
      </c>
      <c r="E231">
        <v>702679</v>
      </c>
      <c r="F231">
        <v>686379</v>
      </c>
      <c r="G231">
        <v>16300</v>
      </c>
      <c r="H231">
        <v>2.21</v>
      </c>
      <c r="I231">
        <v>331306</v>
      </c>
      <c r="J231">
        <v>310886</v>
      </c>
      <c r="K231">
        <v>20420</v>
      </c>
      <c r="L231">
        <v>6.16</v>
      </c>
      <c r="M231">
        <v>2.0717373060000002</v>
      </c>
      <c r="N231">
        <f>E231/_xlfn.XLOOKUP(C231,Lookups!$A$2:$A$66,Lookups!$C$2:$C$66)</f>
        <v>4514.1911859180263</v>
      </c>
    </row>
    <row r="232" spans="1:27" x14ac:dyDescent="0.2">
      <c r="A232">
        <v>31</v>
      </c>
      <c r="B232">
        <v>3</v>
      </c>
      <c r="C232" t="s">
        <v>160</v>
      </c>
      <c r="D232">
        <v>2019</v>
      </c>
      <c r="E232">
        <v>710143</v>
      </c>
      <c r="F232">
        <v>693851</v>
      </c>
      <c r="G232">
        <v>16292</v>
      </c>
      <c r="H232">
        <v>2.21</v>
      </c>
      <c r="I232">
        <v>338605</v>
      </c>
      <c r="J232">
        <v>314493</v>
      </c>
      <c r="K232">
        <v>24112</v>
      </c>
      <c r="L232">
        <v>7.12</v>
      </c>
      <c r="M232">
        <v>2.04914576</v>
      </c>
      <c r="N232">
        <f>E232/_xlfn.XLOOKUP(C232,Lookups!$A$2:$A$66,Lookups!$C$2:$C$66)</f>
        <v>4562.1418476166</v>
      </c>
    </row>
    <row r="233" spans="1:27" x14ac:dyDescent="0.2">
      <c r="A233">
        <v>31</v>
      </c>
      <c r="B233">
        <v>3</v>
      </c>
      <c r="C233" t="s">
        <v>160</v>
      </c>
      <c r="D233">
        <v>2020</v>
      </c>
      <c r="E233">
        <v>717545</v>
      </c>
      <c r="F233">
        <v>701933</v>
      </c>
      <c r="G233">
        <v>15612</v>
      </c>
      <c r="I233">
        <v>347042</v>
      </c>
      <c r="M233">
        <v>2.0226168590000002</v>
      </c>
      <c r="N233">
        <f>E233/_xlfn.XLOOKUP(C233,Lookups!$A$2:$A$66,Lookups!$C$2:$C$66)</f>
        <v>4609.6942053192861</v>
      </c>
      <c r="O233">
        <v>717545</v>
      </c>
      <c r="P233">
        <v>8696</v>
      </c>
      <c r="Q233">
        <v>3572</v>
      </c>
      <c r="R233">
        <v>3830</v>
      </c>
      <c r="S233">
        <v>5124</v>
      </c>
      <c r="T233">
        <v>347042</v>
      </c>
      <c r="W233">
        <v>701933</v>
      </c>
      <c r="X233">
        <v>5059</v>
      </c>
      <c r="AA233">
        <v>2.0226168590000002</v>
      </c>
    </row>
    <row r="234" spans="1:27" x14ac:dyDescent="0.2">
      <c r="A234">
        <v>31</v>
      </c>
      <c r="B234">
        <v>3</v>
      </c>
      <c r="C234" t="s">
        <v>160</v>
      </c>
      <c r="D234">
        <v>2021</v>
      </c>
      <c r="E234">
        <v>711375</v>
      </c>
      <c r="F234">
        <v>697456</v>
      </c>
      <c r="G234">
        <v>13919</v>
      </c>
      <c r="I234">
        <v>352130</v>
      </c>
      <c r="M234">
        <v>1.9806775910000001</v>
      </c>
      <c r="N234">
        <f>E234/_xlfn.XLOOKUP(C234,Lookups!$A$2:$A$66,Lookups!$C$2:$C$66)</f>
        <v>4570.0565334703842</v>
      </c>
      <c r="O234">
        <v>711375</v>
      </c>
      <c r="P234">
        <v>8557</v>
      </c>
      <c r="Q234">
        <v>3392</v>
      </c>
      <c r="R234">
        <v>-9562</v>
      </c>
      <c r="S234">
        <v>5165</v>
      </c>
      <c r="T234">
        <v>352130</v>
      </c>
      <c r="W234">
        <v>697456</v>
      </c>
      <c r="X234">
        <v>10000</v>
      </c>
      <c r="AA234">
        <v>1.9806775910000001</v>
      </c>
    </row>
    <row r="235" spans="1:27" x14ac:dyDescent="0.2">
      <c r="A235">
        <v>31</v>
      </c>
      <c r="B235">
        <v>3</v>
      </c>
      <c r="C235" t="s">
        <v>160</v>
      </c>
      <c r="D235">
        <v>2022</v>
      </c>
      <c r="E235">
        <v>712637</v>
      </c>
      <c r="F235">
        <v>697243</v>
      </c>
      <c r="G235">
        <v>15394</v>
      </c>
      <c r="I235">
        <v>360938</v>
      </c>
      <c r="M235">
        <v>1.931752822</v>
      </c>
      <c r="N235">
        <f>E235/_xlfn.XLOOKUP(C235,Lookups!$A$2:$A$66,Lookups!$C$2:$C$66)</f>
        <v>4578.1639470641139</v>
      </c>
      <c r="O235">
        <v>712637</v>
      </c>
      <c r="P235">
        <v>8165</v>
      </c>
      <c r="Q235">
        <v>2761</v>
      </c>
      <c r="R235">
        <v>-1499</v>
      </c>
      <c r="S235">
        <v>5404</v>
      </c>
      <c r="T235">
        <v>360938</v>
      </c>
      <c r="W235">
        <v>697243</v>
      </c>
      <c r="X235">
        <v>8296</v>
      </c>
      <c r="AA235">
        <v>1.931752822</v>
      </c>
    </row>
    <row r="236" spans="1:27" x14ac:dyDescent="0.2">
      <c r="A236">
        <v>33</v>
      </c>
      <c r="B236">
        <v>9</v>
      </c>
      <c r="C236" t="s">
        <v>161</v>
      </c>
      <c r="D236">
        <v>2010</v>
      </c>
      <c r="E236">
        <v>2060</v>
      </c>
      <c r="F236">
        <v>2060</v>
      </c>
      <c r="G236">
        <v>0</v>
      </c>
      <c r="H236">
        <v>3.04</v>
      </c>
      <c r="I236">
        <v>1060</v>
      </c>
      <c r="J236">
        <v>678</v>
      </c>
      <c r="K236">
        <v>382</v>
      </c>
      <c r="L236">
        <v>36.04</v>
      </c>
      <c r="M236">
        <v>1.9433962259999999</v>
      </c>
      <c r="N236">
        <f>E236/_xlfn.XLOOKUP(C236,Lookups!$A$2:$A$66,Lookups!$C$2:$C$66)</f>
        <v>1.9128448459974186</v>
      </c>
    </row>
    <row r="237" spans="1:27" x14ac:dyDescent="0.2">
      <c r="A237">
        <v>33</v>
      </c>
      <c r="B237">
        <v>9</v>
      </c>
      <c r="C237" t="s">
        <v>161</v>
      </c>
      <c r="D237">
        <v>2011</v>
      </c>
      <c r="E237">
        <v>2065</v>
      </c>
      <c r="F237">
        <v>2065</v>
      </c>
      <c r="G237">
        <v>0</v>
      </c>
      <c r="H237">
        <v>2.29</v>
      </c>
      <c r="I237">
        <v>1096</v>
      </c>
      <c r="J237">
        <v>903</v>
      </c>
      <c r="K237">
        <v>193</v>
      </c>
      <c r="L237">
        <v>17.600000000000001</v>
      </c>
      <c r="M237">
        <v>1.8841240880000001</v>
      </c>
      <c r="N237">
        <f>E237/_xlfn.XLOOKUP(C237,Lookups!$A$2:$A$66,Lookups!$C$2:$C$66)</f>
        <v>1.9174876732935286</v>
      </c>
    </row>
    <row r="238" spans="1:27" x14ac:dyDescent="0.2">
      <c r="A238">
        <v>33</v>
      </c>
      <c r="B238">
        <v>9</v>
      </c>
      <c r="C238" t="s">
        <v>161</v>
      </c>
      <c r="D238">
        <v>2012</v>
      </c>
      <c r="E238">
        <v>2078</v>
      </c>
      <c r="F238">
        <v>2078</v>
      </c>
      <c r="G238">
        <v>0</v>
      </c>
      <c r="H238">
        <v>2.2799999999999998</v>
      </c>
      <c r="I238">
        <v>1156</v>
      </c>
      <c r="J238">
        <v>912</v>
      </c>
      <c r="K238">
        <v>244</v>
      </c>
      <c r="L238">
        <v>21.15</v>
      </c>
      <c r="M238">
        <v>1.7975778549999999</v>
      </c>
      <c r="N238">
        <f>E238/_xlfn.XLOOKUP(C238,Lookups!$A$2:$A$66,Lookups!$C$2:$C$66)</f>
        <v>1.9295590242634153</v>
      </c>
    </row>
    <row r="239" spans="1:27" x14ac:dyDescent="0.2">
      <c r="A239">
        <v>33</v>
      </c>
      <c r="B239">
        <v>9</v>
      </c>
      <c r="C239" t="s">
        <v>161</v>
      </c>
      <c r="D239">
        <v>2013</v>
      </c>
      <c r="E239">
        <v>2082</v>
      </c>
      <c r="F239">
        <v>2082</v>
      </c>
      <c r="G239">
        <v>0</v>
      </c>
      <c r="H239">
        <v>2.27</v>
      </c>
      <c r="I239">
        <v>1186</v>
      </c>
      <c r="J239">
        <v>916</v>
      </c>
      <c r="K239">
        <v>270</v>
      </c>
      <c r="L239">
        <v>22.78</v>
      </c>
      <c r="M239">
        <v>1.755480607</v>
      </c>
      <c r="N239">
        <f>E239/_xlfn.XLOOKUP(C239,Lookups!$A$2:$A$66,Lookups!$C$2:$C$66)</f>
        <v>1.9332732861003035</v>
      </c>
    </row>
    <row r="240" spans="1:27" x14ac:dyDescent="0.2">
      <c r="A240">
        <v>33</v>
      </c>
      <c r="B240">
        <v>9</v>
      </c>
      <c r="C240" t="s">
        <v>161</v>
      </c>
      <c r="D240">
        <v>2014</v>
      </c>
      <c r="E240">
        <v>2084</v>
      </c>
      <c r="F240">
        <v>2084</v>
      </c>
      <c r="G240">
        <v>0</v>
      </c>
      <c r="H240">
        <v>2.27</v>
      </c>
      <c r="I240">
        <v>1212</v>
      </c>
      <c r="J240">
        <v>919</v>
      </c>
      <c r="K240">
        <v>293</v>
      </c>
      <c r="L240">
        <v>24.14</v>
      </c>
      <c r="M240">
        <v>1.7194719469999999</v>
      </c>
      <c r="N240">
        <f>E240/_xlfn.XLOOKUP(C240,Lookups!$A$2:$A$66,Lookups!$C$2:$C$66)</f>
        <v>1.9351304170187476</v>
      </c>
    </row>
    <row r="241" spans="1:27" x14ac:dyDescent="0.2">
      <c r="A241">
        <v>33</v>
      </c>
      <c r="B241">
        <v>9</v>
      </c>
      <c r="C241" t="s">
        <v>161</v>
      </c>
      <c r="D241">
        <v>2015</v>
      </c>
      <c r="E241">
        <v>2087</v>
      </c>
      <c r="F241">
        <v>2087</v>
      </c>
      <c r="G241">
        <v>0</v>
      </c>
      <c r="H241">
        <v>2.2599999999999998</v>
      </c>
      <c r="I241">
        <v>1243</v>
      </c>
      <c r="J241">
        <v>924</v>
      </c>
      <c r="K241">
        <v>319</v>
      </c>
      <c r="L241">
        <v>25.68</v>
      </c>
      <c r="M241">
        <v>1.6790024139999999</v>
      </c>
      <c r="N241">
        <f>E241/_xlfn.XLOOKUP(C241,Lookups!$A$2:$A$66,Lookups!$C$2:$C$66)</f>
        <v>1.9379161133964138</v>
      </c>
    </row>
    <row r="242" spans="1:27" x14ac:dyDescent="0.2">
      <c r="A242">
        <v>33</v>
      </c>
      <c r="B242">
        <v>9</v>
      </c>
      <c r="C242" t="s">
        <v>161</v>
      </c>
      <c r="D242">
        <v>2016</v>
      </c>
      <c r="E242">
        <v>2088</v>
      </c>
      <c r="F242">
        <v>2088</v>
      </c>
      <c r="G242">
        <v>0</v>
      </c>
      <c r="H242">
        <v>2.25</v>
      </c>
      <c r="I242">
        <v>1267</v>
      </c>
      <c r="J242">
        <v>927</v>
      </c>
      <c r="K242">
        <v>340</v>
      </c>
      <c r="L242">
        <v>26.82</v>
      </c>
      <c r="M242">
        <v>1.647987372</v>
      </c>
      <c r="N242">
        <f>E242/_xlfn.XLOOKUP(C242,Lookups!$A$2:$A$66,Lookups!$C$2:$C$66)</f>
        <v>1.9388446788556357</v>
      </c>
    </row>
    <row r="243" spans="1:27" x14ac:dyDescent="0.2">
      <c r="A243">
        <v>33</v>
      </c>
      <c r="B243">
        <v>9</v>
      </c>
      <c r="C243" t="s">
        <v>161</v>
      </c>
      <c r="D243">
        <v>2017</v>
      </c>
      <c r="E243">
        <v>2088</v>
      </c>
      <c r="F243">
        <v>2088</v>
      </c>
      <c r="G243">
        <v>0</v>
      </c>
      <c r="H243">
        <v>2.25</v>
      </c>
      <c r="I243">
        <v>1287</v>
      </c>
      <c r="J243">
        <v>930</v>
      </c>
      <c r="K243">
        <v>357</v>
      </c>
      <c r="L243">
        <v>27.73</v>
      </c>
      <c r="M243">
        <v>1.6223776219999999</v>
      </c>
      <c r="N243">
        <f>E243/_xlfn.XLOOKUP(C243,Lookups!$A$2:$A$66,Lookups!$C$2:$C$66)</f>
        <v>1.9388446788556357</v>
      </c>
    </row>
    <row r="244" spans="1:27" x14ac:dyDescent="0.2">
      <c r="A244">
        <v>33</v>
      </c>
      <c r="B244">
        <v>9</v>
      </c>
      <c r="C244" t="s">
        <v>161</v>
      </c>
      <c r="D244">
        <v>2018</v>
      </c>
      <c r="E244">
        <v>2091</v>
      </c>
      <c r="F244">
        <v>2091</v>
      </c>
      <c r="G244">
        <v>0</v>
      </c>
      <c r="H244">
        <v>2.2400000000000002</v>
      </c>
      <c r="I244">
        <v>1317</v>
      </c>
      <c r="J244">
        <v>934</v>
      </c>
      <c r="K244">
        <v>383</v>
      </c>
      <c r="L244">
        <v>29.06</v>
      </c>
      <c r="M244">
        <v>1.587699317</v>
      </c>
      <c r="N244">
        <f>E244/_xlfn.XLOOKUP(C244,Lookups!$A$2:$A$66,Lookups!$C$2:$C$66)</f>
        <v>1.941630375233302</v>
      </c>
    </row>
    <row r="245" spans="1:27" x14ac:dyDescent="0.2">
      <c r="A245">
        <v>33</v>
      </c>
      <c r="B245">
        <v>9</v>
      </c>
      <c r="C245" t="s">
        <v>161</v>
      </c>
      <c r="D245">
        <v>2019</v>
      </c>
      <c r="E245">
        <v>2085</v>
      </c>
      <c r="F245">
        <v>2085</v>
      </c>
      <c r="G245">
        <v>0</v>
      </c>
      <c r="H245">
        <v>2.23</v>
      </c>
      <c r="I245">
        <v>1318</v>
      </c>
      <c r="J245">
        <v>934</v>
      </c>
      <c r="K245">
        <v>384</v>
      </c>
      <c r="L245">
        <v>29.1</v>
      </c>
      <c r="M245">
        <v>1.5819423370000001</v>
      </c>
      <c r="N245">
        <f>E245/_xlfn.XLOOKUP(C245,Lookups!$A$2:$A$66,Lookups!$C$2:$C$66)</f>
        <v>1.9360589824779697</v>
      </c>
    </row>
    <row r="246" spans="1:27" x14ac:dyDescent="0.2">
      <c r="A246">
        <v>33</v>
      </c>
      <c r="B246">
        <v>9</v>
      </c>
      <c r="C246" t="s">
        <v>161</v>
      </c>
      <c r="D246">
        <v>2020</v>
      </c>
      <c r="E246">
        <v>2078</v>
      </c>
      <c r="F246">
        <v>2078</v>
      </c>
      <c r="G246">
        <v>0</v>
      </c>
      <c r="I246">
        <v>1321</v>
      </c>
      <c r="M246">
        <v>1.573050719</v>
      </c>
      <c r="N246">
        <f>E246/_xlfn.XLOOKUP(C246,Lookups!$A$2:$A$66,Lookups!$C$2:$C$66)</f>
        <v>1.9295590242634153</v>
      </c>
      <c r="O246">
        <v>2078</v>
      </c>
      <c r="P246">
        <v>13</v>
      </c>
      <c r="Q246">
        <v>-12</v>
      </c>
      <c r="R246">
        <v>5</v>
      </c>
      <c r="S246">
        <v>25</v>
      </c>
      <c r="T246">
        <v>1321</v>
      </c>
      <c r="W246">
        <v>2078</v>
      </c>
      <c r="X246">
        <v>6</v>
      </c>
      <c r="AA246">
        <v>1.573050719</v>
      </c>
    </row>
    <row r="247" spans="1:27" x14ac:dyDescent="0.2">
      <c r="A247">
        <v>33</v>
      </c>
      <c r="B247">
        <v>9</v>
      </c>
      <c r="C247" t="s">
        <v>161</v>
      </c>
      <c r="D247">
        <v>2021</v>
      </c>
      <c r="E247">
        <v>2121</v>
      </c>
      <c r="F247">
        <v>2121</v>
      </c>
      <c r="G247">
        <v>0</v>
      </c>
      <c r="I247">
        <v>1337</v>
      </c>
      <c r="M247">
        <v>1.586387435</v>
      </c>
      <c r="N247">
        <f>E247/_xlfn.XLOOKUP(C247,Lookups!$A$2:$A$66,Lookups!$C$2:$C$66)</f>
        <v>1.9694873390099634</v>
      </c>
      <c r="O247">
        <v>2121</v>
      </c>
      <c r="P247">
        <v>16</v>
      </c>
      <c r="Q247">
        <v>-14</v>
      </c>
      <c r="R247">
        <v>57</v>
      </c>
      <c r="S247">
        <v>30</v>
      </c>
      <c r="T247">
        <v>1337</v>
      </c>
      <c r="W247">
        <v>2121</v>
      </c>
      <c r="X247">
        <v>6</v>
      </c>
      <c r="AA247">
        <v>1.586387435</v>
      </c>
    </row>
    <row r="248" spans="1:27" x14ac:dyDescent="0.2">
      <c r="A248">
        <v>33</v>
      </c>
      <c r="B248">
        <v>9</v>
      </c>
      <c r="C248" t="s">
        <v>161</v>
      </c>
      <c r="D248">
        <v>2022</v>
      </c>
      <c r="E248">
        <v>2203</v>
      </c>
      <c r="F248">
        <v>2203</v>
      </c>
      <c r="G248">
        <v>0</v>
      </c>
      <c r="I248">
        <v>1357</v>
      </c>
      <c r="M248">
        <v>1.6234340460000001</v>
      </c>
      <c r="N248">
        <f>E248/_xlfn.XLOOKUP(C248,Lookups!$A$2:$A$66,Lookups!$C$2:$C$66)</f>
        <v>2.0456297066661713</v>
      </c>
      <c r="O248">
        <v>2203</v>
      </c>
      <c r="P248">
        <v>20</v>
      </c>
      <c r="Q248">
        <v>-22</v>
      </c>
      <c r="R248">
        <v>104</v>
      </c>
      <c r="S248">
        <v>42</v>
      </c>
      <c r="T248">
        <v>1357</v>
      </c>
      <c r="W248">
        <v>2203</v>
      </c>
      <c r="X248">
        <v>2</v>
      </c>
      <c r="AA248">
        <v>1.6234340460000001</v>
      </c>
    </row>
    <row r="249" spans="1:27" x14ac:dyDescent="0.2">
      <c r="A249">
        <v>35</v>
      </c>
      <c r="B249">
        <v>3</v>
      </c>
      <c r="C249" t="s">
        <v>162</v>
      </c>
      <c r="D249">
        <v>2010</v>
      </c>
      <c r="E249">
        <v>287124</v>
      </c>
      <c r="F249">
        <v>286324</v>
      </c>
      <c r="G249">
        <v>800</v>
      </c>
      <c r="H249">
        <v>2.79</v>
      </c>
      <c r="I249">
        <v>107260</v>
      </c>
      <c r="J249">
        <v>102559</v>
      </c>
      <c r="K249">
        <v>4701</v>
      </c>
      <c r="L249">
        <v>4.38</v>
      </c>
      <c r="M249">
        <v>2.6694387470000001</v>
      </c>
      <c r="N249">
        <f>E249/_xlfn.XLOOKUP(C249,Lookups!$A$2:$A$66,Lookups!$C$2:$C$66)</f>
        <v>340.8809212869524</v>
      </c>
    </row>
    <row r="250" spans="1:27" x14ac:dyDescent="0.2">
      <c r="A250">
        <v>35</v>
      </c>
      <c r="B250">
        <v>3</v>
      </c>
      <c r="C250" t="s">
        <v>162</v>
      </c>
      <c r="D250">
        <v>2011</v>
      </c>
      <c r="E250">
        <v>292623</v>
      </c>
      <c r="F250">
        <v>291772</v>
      </c>
      <c r="G250">
        <v>851</v>
      </c>
      <c r="H250">
        <v>2.79</v>
      </c>
      <c r="I250">
        <v>108031</v>
      </c>
      <c r="J250">
        <v>104563</v>
      </c>
      <c r="K250">
        <v>3468</v>
      </c>
      <c r="L250">
        <v>3.21</v>
      </c>
      <c r="M250">
        <v>2.7008173580000001</v>
      </c>
      <c r="N250">
        <f>E250/_xlfn.XLOOKUP(C250,Lookups!$A$2:$A$66,Lookups!$C$2:$C$66)</f>
        <v>347.40947405912385</v>
      </c>
    </row>
    <row r="251" spans="1:27" x14ac:dyDescent="0.2">
      <c r="A251">
        <v>35</v>
      </c>
      <c r="B251">
        <v>3</v>
      </c>
      <c r="C251" t="s">
        <v>162</v>
      </c>
      <c r="D251">
        <v>2012</v>
      </c>
      <c r="E251">
        <v>298733</v>
      </c>
      <c r="F251">
        <v>297801</v>
      </c>
      <c r="G251">
        <v>932</v>
      </c>
      <c r="H251">
        <v>2.79</v>
      </c>
      <c r="I251">
        <v>109233</v>
      </c>
      <c r="J251">
        <v>106782</v>
      </c>
      <c r="K251">
        <v>2451</v>
      </c>
      <c r="L251">
        <v>2.2400000000000002</v>
      </c>
      <c r="M251">
        <v>2.7262915049999998</v>
      </c>
      <c r="N251">
        <f>E251/_xlfn.XLOOKUP(C251,Lookups!$A$2:$A$66,Lookups!$C$2:$C$66)</f>
        <v>354.66342158375875</v>
      </c>
    </row>
    <row r="252" spans="1:27" x14ac:dyDescent="0.2">
      <c r="A252">
        <v>35</v>
      </c>
      <c r="B252">
        <v>3</v>
      </c>
      <c r="C252" t="s">
        <v>162</v>
      </c>
      <c r="D252">
        <v>2013</v>
      </c>
      <c r="E252">
        <v>306327</v>
      </c>
      <c r="F252">
        <v>305221</v>
      </c>
      <c r="G252">
        <v>1106</v>
      </c>
      <c r="H252">
        <v>2.79</v>
      </c>
      <c r="I252">
        <v>111597</v>
      </c>
      <c r="J252">
        <v>109511</v>
      </c>
      <c r="K252">
        <v>2086</v>
      </c>
      <c r="L252">
        <v>1.87</v>
      </c>
      <c r="M252">
        <v>2.7350287190000002</v>
      </c>
      <c r="N252">
        <f>E252/_xlfn.XLOOKUP(C252,Lookups!$A$2:$A$66,Lookups!$C$2:$C$66)</f>
        <v>363.6792116822985</v>
      </c>
    </row>
    <row r="253" spans="1:27" x14ac:dyDescent="0.2">
      <c r="A253">
        <v>35</v>
      </c>
      <c r="B253">
        <v>3</v>
      </c>
      <c r="C253" t="s">
        <v>162</v>
      </c>
      <c r="D253">
        <v>2014</v>
      </c>
      <c r="E253">
        <v>314609</v>
      </c>
      <c r="F253">
        <v>313424</v>
      </c>
      <c r="G253">
        <v>1185</v>
      </c>
      <c r="H253">
        <v>2.79</v>
      </c>
      <c r="I253">
        <v>114036</v>
      </c>
      <c r="J253">
        <v>112530</v>
      </c>
      <c r="K253">
        <v>1506</v>
      </c>
      <c r="L253">
        <v>1.32</v>
      </c>
      <c r="M253">
        <v>2.7484653969999999</v>
      </c>
      <c r="N253">
        <f>E253/_xlfn.XLOOKUP(C253,Lookups!$A$2:$A$66,Lookups!$C$2:$C$66)</f>
        <v>373.51181289326843</v>
      </c>
    </row>
    <row r="254" spans="1:27" x14ac:dyDescent="0.2">
      <c r="A254">
        <v>35</v>
      </c>
      <c r="B254">
        <v>3</v>
      </c>
      <c r="C254" t="s">
        <v>162</v>
      </c>
      <c r="D254">
        <v>2015</v>
      </c>
      <c r="E254">
        <v>322079</v>
      </c>
      <c r="F254">
        <v>320816</v>
      </c>
      <c r="G254">
        <v>1263</v>
      </c>
      <c r="H254">
        <v>2.78</v>
      </c>
      <c r="I254">
        <v>117377</v>
      </c>
      <c r="J254">
        <v>115347</v>
      </c>
      <c r="K254">
        <v>2030</v>
      </c>
      <c r="L254">
        <v>1.73</v>
      </c>
      <c r="M254">
        <v>2.733210084</v>
      </c>
      <c r="N254">
        <f>E254/_xlfn.XLOOKUP(C254,Lookups!$A$2:$A$66,Lookups!$C$2:$C$66)</f>
        <v>382.38038703549807</v>
      </c>
    </row>
    <row r="255" spans="1:27" x14ac:dyDescent="0.2">
      <c r="A255">
        <v>35</v>
      </c>
      <c r="B255">
        <v>3</v>
      </c>
      <c r="C255" t="s">
        <v>162</v>
      </c>
      <c r="D255">
        <v>2016</v>
      </c>
      <c r="E255">
        <v>328333</v>
      </c>
      <c r="F255">
        <v>326991</v>
      </c>
      <c r="G255">
        <v>1342</v>
      </c>
      <c r="H255">
        <v>2.77</v>
      </c>
      <c r="I255">
        <v>119437</v>
      </c>
      <c r="J255">
        <v>117953</v>
      </c>
      <c r="K255">
        <v>1484</v>
      </c>
      <c r="L255">
        <v>1.24</v>
      </c>
      <c r="M255">
        <v>2.7377697030000001</v>
      </c>
      <c r="N255">
        <f>E255/_xlfn.XLOOKUP(C255,Lookups!$A$2:$A$66,Lookups!$C$2:$C$66)</f>
        <v>389.80529502552537</v>
      </c>
    </row>
    <row r="256" spans="1:27" x14ac:dyDescent="0.2">
      <c r="A256">
        <v>35</v>
      </c>
      <c r="B256">
        <v>3</v>
      </c>
      <c r="C256" t="s">
        <v>162</v>
      </c>
      <c r="D256">
        <v>2017</v>
      </c>
      <c r="E256">
        <v>335933</v>
      </c>
      <c r="F256">
        <v>334512</v>
      </c>
      <c r="G256">
        <v>1421</v>
      </c>
      <c r="H256">
        <v>2.77</v>
      </c>
      <c r="I256">
        <v>122812</v>
      </c>
      <c r="J256">
        <v>120764</v>
      </c>
      <c r="K256">
        <v>2048</v>
      </c>
      <c r="L256">
        <v>1.67</v>
      </c>
      <c r="M256">
        <v>2.7237729210000001</v>
      </c>
      <c r="N256">
        <f>E256/_xlfn.XLOOKUP(C256,Lookups!$A$2:$A$66,Lookups!$C$2:$C$66)</f>
        <v>398.82820847678977</v>
      </c>
    </row>
    <row r="257" spans="1:27" x14ac:dyDescent="0.2">
      <c r="A257">
        <v>35</v>
      </c>
      <c r="B257">
        <v>3</v>
      </c>
      <c r="C257" t="s">
        <v>162</v>
      </c>
      <c r="D257">
        <v>2018</v>
      </c>
      <c r="E257">
        <v>343267</v>
      </c>
      <c r="F257">
        <v>341768</v>
      </c>
      <c r="G257">
        <v>1499</v>
      </c>
      <c r="H257">
        <v>2.76</v>
      </c>
      <c r="I257">
        <v>128333</v>
      </c>
      <c r="J257">
        <v>123660</v>
      </c>
      <c r="K257">
        <v>4673</v>
      </c>
      <c r="L257">
        <v>3.64</v>
      </c>
      <c r="M257">
        <v>2.6631341900000001</v>
      </c>
      <c r="N257">
        <f>E257/_xlfn.XLOOKUP(C257,Lookups!$A$2:$A$66,Lookups!$C$2:$C$66)</f>
        <v>407.5353199572599</v>
      </c>
    </row>
    <row r="258" spans="1:27" x14ac:dyDescent="0.2">
      <c r="A258">
        <v>35</v>
      </c>
      <c r="B258">
        <v>3</v>
      </c>
      <c r="C258" t="s">
        <v>162</v>
      </c>
      <c r="D258">
        <v>2019</v>
      </c>
      <c r="E258">
        <v>351212</v>
      </c>
      <c r="F258">
        <v>349635</v>
      </c>
      <c r="G258">
        <v>1577</v>
      </c>
      <c r="H258">
        <v>2.76</v>
      </c>
      <c r="I258">
        <v>132630</v>
      </c>
      <c r="J258">
        <v>126845</v>
      </c>
      <c r="K258">
        <v>5785</v>
      </c>
      <c r="L258">
        <v>4.3600000000000003</v>
      </c>
      <c r="M258">
        <v>2.6361682879999999</v>
      </c>
      <c r="N258">
        <f>E258/_xlfn.XLOOKUP(C258,Lookups!$A$2:$A$66,Lookups!$C$2:$C$66)</f>
        <v>416.96782619019353</v>
      </c>
    </row>
    <row r="259" spans="1:27" x14ac:dyDescent="0.2">
      <c r="A259">
        <v>35</v>
      </c>
      <c r="B259">
        <v>3</v>
      </c>
      <c r="C259" t="s">
        <v>162</v>
      </c>
      <c r="D259">
        <v>2020</v>
      </c>
      <c r="E259">
        <v>360272</v>
      </c>
      <c r="F259">
        <v>358629</v>
      </c>
      <c r="G259">
        <v>1643</v>
      </c>
      <c r="I259">
        <v>136477</v>
      </c>
      <c r="M259">
        <v>2.6277614539999998</v>
      </c>
      <c r="N259">
        <f>E259/_xlfn.XLOOKUP(C259,Lookups!$A$2:$A$66,Lookups!$C$2:$C$66)</f>
        <v>427.72408880446397</v>
      </c>
      <c r="O259">
        <v>360272</v>
      </c>
      <c r="P259">
        <v>3583</v>
      </c>
      <c r="Q259">
        <v>1828</v>
      </c>
      <c r="R259">
        <v>7232</v>
      </c>
      <c r="S259">
        <v>1755</v>
      </c>
      <c r="T259">
        <v>136477</v>
      </c>
      <c r="W259">
        <v>358629</v>
      </c>
      <c r="X259">
        <v>3370</v>
      </c>
      <c r="AA259">
        <v>2.6277614539999998</v>
      </c>
    </row>
    <row r="260" spans="1:27" x14ac:dyDescent="0.2">
      <c r="A260">
        <v>35</v>
      </c>
      <c r="B260">
        <v>3</v>
      </c>
      <c r="C260" t="s">
        <v>162</v>
      </c>
      <c r="D260">
        <v>2021</v>
      </c>
      <c r="E260">
        <v>369758</v>
      </c>
      <c r="F260">
        <v>368151</v>
      </c>
      <c r="G260">
        <v>1607</v>
      </c>
      <c r="I260">
        <v>140356</v>
      </c>
      <c r="M260">
        <v>2.6229801359999998</v>
      </c>
      <c r="N260">
        <f>E260/_xlfn.XLOOKUP(C260,Lookups!$A$2:$A$66,Lookups!$C$2:$C$66)</f>
        <v>438.9861094621869</v>
      </c>
      <c r="O260">
        <v>369758</v>
      </c>
      <c r="P260">
        <v>3529</v>
      </c>
      <c r="Q260">
        <v>1657</v>
      </c>
      <c r="R260">
        <v>7829</v>
      </c>
      <c r="S260">
        <v>1872</v>
      </c>
      <c r="T260">
        <v>140356</v>
      </c>
      <c r="W260">
        <v>368151</v>
      </c>
      <c r="X260">
        <v>6059</v>
      </c>
      <c r="AA260">
        <v>2.6229801359999998</v>
      </c>
    </row>
    <row r="261" spans="1:27" x14ac:dyDescent="0.2">
      <c r="A261">
        <v>35</v>
      </c>
      <c r="B261">
        <v>3</v>
      </c>
      <c r="C261" t="s">
        <v>162</v>
      </c>
      <c r="D261">
        <v>2022</v>
      </c>
      <c r="E261">
        <v>376026</v>
      </c>
      <c r="F261">
        <v>374404</v>
      </c>
      <c r="G261">
        <v>1622</v>
      </c>
      <c r="I261">
        <v>145974</v>
      </c>
      <c r="M261">
        <v>2.5648677160000002</v>
      </c>
      <c r="N261">
        <f>E261/_xlfn.XLOOKUP(C261,Lookups!$A$2:$A$66,Lookups!$C$2:$C$66)</f>
        <v>446.42763860857178</v>
      </c>
      <c r="O261">
        <v>376026</v>
      </c>
      <c r="P261">
        <v>3850</v>
      </c>
      <c r="Q261">
        <v>1724</v>
      </c>
      <c r="R261">
        <v>4544</v>
      </c>
      <c r="S261">
        <v>2126</v>
      </c>
      <c r="T261">
        <v>145974</v>
      </c>
      <c r="W261">
        <v>374404</v>
      </c>
      <c r="X261">
        <v>4767</v>
      </c>
      <c r="AA261">
        <v>2.5648677160000002</v>
      </c>
    </row>
    <row r="262" spans="1:27" x14ac:dyDescent="0.2">
      <c r="A262">
        <v>37</v>
      </c>
      <c r="B262">
        <v>12</v>
      </c>
      <c r="C262" t="s">
        <v>163</v>
      </c>
      <c r="D262">
        <v>2010</v>
      </c>
      <c r="E262">
        <v>52057</v>
      </c>
      <c r="F262">
        <v>52002</v>
      </c>
      <c r="G262">
        <v>55</v>
      </c>
      <c r="H262">
        <v>2.75</v>
      </c>
      <c r="I262">
        <v>30810</v>
      </c>
      <c r="J262">
        <v>18902</v>
      </c>
      <c r="K262">
        <v>11908</v>
      </c>
      <c r="L262">
        <v>38.65</v>
      </c>
      <c r="M262">
        <v>1.687828627</v>
      </c>
      <c r="N262">
        <f>E262/_xlfn.XLOOKUP(C262,Lookups!$A$2:$A$66,Lookups!$C$2:$C$66)</f>
        <v>30.608081093158354</v>
      </c>
    </row>
    <row r="263" spans="1:27" x14ac:dyDescent="0.2">
      <c r="A263">
        <v>37</v>
      </c>
      <c r="B263">
        <v>12</v>
      </c>
      <c r="C263" t="s">
        <v>163</v>
      </c>
      <c r="D263">
        <v>2011</v>
      </c>
      <c r="E263">
        <v>52120</v>
      </c>
      <c r="F263">
        <v>52060</v>
      </c>
      <c r="G263">
        <v>60</v>
      </c>
      <c r="H263">
        <v>2.71</v>
      </c>
      <c r="I263">
        <v>30875</v>
      </c>
      <c r="J263">
        <v>19227</v>
      </c>
      <c r="K263">
        <v>11648</v>
      </c>
      <c r="L263">
        <v>37.729999999999997</v>
      </c>
      <c r="M263">
        <v>1.6861538460000001</v>
      </c>
      <c r="N263">
        <f>E263/_xlfn.XLOOKUP(C263,Lookups!$A$2:$A$66,Lookups!$C$2:$C$66)</f>
        <v>30.645123356617042</v>
      </c>
    </row>
    <row r="264" spans="1:27" x14ac:dyDescent="0.2">
      <c r="A264">
        <v>37</v>
      </c>
      <c r="B264">
        <v>12</v>
      </c>
      <c r="C264" t="s">
        <v>163</v>
      </c>
      <c r="D264">
        <v>2012</v>
      </c>
      <c r="E264">
        <v>52160</v>
      </c>
      <c r="F264">
        <v>52094</v>
      </c>
      <c r="G264">
        <v>65</v>
      </c>
      <c r="H264">
        <v>2.7</v>
      </c>
      <c r="I264">
        <v>30927</v>
      </c>
      <c r="J264">
        <v>19262</v>
      </c>
      <c r="K264">
        <v>11665</v>
      </c>
      <c r="L264">
        <v>37.72</v>
      </c>
      <c r="M264">
        <v>1.6844181460000001</v>
      </c>
      <c r="N264">
        <f>E264/_xlfn.XLOOKUP(C264,Lookups!$A$2:$A$66,Lookups!$C$2:$C$66)</f>
        <v>30.668642254051129</v>
      </c>
    </row>
    <row r="265" spans="1:27" x14ac:dyDescent="0.2">
      <c r="A265">
        <v>37</v>
      </c>
      <c r="B265">
        <v>12</v>
      </c>
      <c r="C265" t="s">
        <v>163</v>
      </c>
      <c r="D265">
        <v>2013</v>
      </c>
      <c r="E265">
        <v>52262</v>
      </c>
      <c r="F265">
        <v>52192</v>
      </c>
      <c r="G265">
        <v>71</v>
      </c>
      <c r="H265">
        <v>2.7</v>
      </c>
      <c r="I265">
        <v>31014</v>
      </c>
      <c r="J265">
        <v>19320</v>
      </c>
      <c r="K265">
        <v>11694</v>
      </c>
      <c r="L265">
        <v>37.71</v>
      </c>
      <c r="M265">
        <v>1.6828529050000001</v>
      </c>
      <c r="N265">
        <f>E265/_xlfn.XLOOKUP(C265,Lookups!$A$2:$A$66,Lookups!$C$2:$C$66)</f>
        <v>30.728615442508055</v>
      </c>
    </row>
    <row r="266" spans="1:27" x14ac:dyDescent="0.2">
      <c r="A266">
        <v>37</v>
      </c>
      <c r="B266">
        <v>12</v>
      </c>
      <c r="C266" t="s">
        <v>163</v>
      </c>
      <c r="D266">
        <v>2014</v>
      </c>
      <c r="E266">
        <v>52398</v>
      </c>
      <c r="F266">
        <v>52323</v>
      </c>
      <c r="G266">
        <v>76</v>
      </c>
      <c r="H266">
        <v>2.7</v>
      </c>
      <c r="I266">
        <v>31120</v>
      </c>
      <c r="J266">
        <v>19391</v>
      </c>
      <c r="K266">
        <v>11729</v>
      </c>
      <c r="L266">
        <v>37.69</v>
      </c>
      <c r="M266">
        <v>1.6813303340000001</v>
      </c>
      <c r="N266">
        <f>E266/_xlfn.XLOOKUP(C266,Lookups!$A$2:$A$66,Lookups!$C$2:$C$66)</f>
        <v>30.808579693783955</v>
      </c>
    </row>
    <row r="267" spans="1:27" x14ac:dyDescent="0.2">
      <c r="A267">
        <v>37</v>
      </c>
      <c r="B267">
        <v>12</v>
      </c>
      <c r="C267" t="s">
        <v>163</v>
      </c>
      <c r="D267">
        <v>2015</v>
      </c>
      <c r="E267">
        <v>52780</v>
      </c>
      <c r="F267">
        <v>52699</v>
      </c>
      <c r="G267">
        <v>81</v>
      </c>
      <c r="H267">
        <v>2.7</v>
      </c>
      <c r="I267">
        <v>31363</v>
      </c>
      <c r="J267">
        <v>19553</v>
      </c>
      <c r="K267">
        <v>11810</v>
      </c>
      <c r="L267">
        <v>37.659999999999997</v>
      </c>
      <c r="M267">
        <v>1.6802920640000001</v>
      </c>
      <c r="N267">
        <f>E267/_xlfn.XLOOKUP(C267,Lookups!$A$2:$A$66,Lookups!$C$2:$C$66)</f>
        <v>31.033185164279498</v>
      </c>
    </row>
    <row r="268" spans="1:27" x14ac:dyDescent="0.2">
      <c r="A268">
        <v>37</v>
      </c>
      <c r="B268">
        <v>12</v>
      </c>
      <c r="C268" t="s">
        <v>163</v>
      </c>
      <c r="D268">
        <v>2016</v>
      </c>
      <c r="E268">
        <v>53041</v>
      </c>
      <c r="F268">
        <v>52955</v>
      </c>
      <c r="G268">
        <v>86</v>
      </c>
      <c r="H268">
        <v>2.69</v>
      </c>
      <c r="I268">
        <v>31539</v>
      </c>
      <c r="J268">
        <v>19670</v>
      </c>
      <c r="K268">
        <v>11869</v>
      </c>
      <c r="L268">
        <v>37.630000000000003</v>
      </c>
      <c r="M268">
        <v>1.6790323089999999</v>
      </c>
      <c r="N268">
        <f>E268/_xlfn.XLOOKUP(C268,Lookups!$A$2:$A$66,Lookups!$C$2:$C$66)</f>
        <v>31.186645970036924</v>
      </c>
    </row>
    <row r="269" spans="1:27" x14ac:dyDescent="0.2">
      <c r="A269">
        <v>37</v>
      </c>
      <c r="B269">
        <v>12</v>
      </c>
      <c r="C269" t="s">
        <v>163</v>
      </c>
      <c r="D269">
        <v>2017</v>
      </c>
      <c r="E269">
        <v>53724</v>
      </c>
      <c r="F269">
        <v>53633</v>
      </c>
      <c r="G269">
        <v>91</v>
      </c>
      <c r="H269">
        <v>2.69</v>
      </c>
      <c r="I269">
        <v>31951</v>
      </c>
      <c r="J269">
        <v>19945</v>
      </c>
      <c r="K269">
        <v>12006</v>
      </c>
      <c r="L269">
        <v>37.58</v>
      </c>
      <c r="M269">
        <v>1.678601609</v>
      </c>
      <c r="N269">
        <f>E269/_xlfn.XLOOKUP(C269,Lookups!$A$2:$A$66,Lookups!$C$2:$C$66)</f>
        <v>31.588231143723981</v>
      </c>
    </row>
    <row r="270" spans="1:27" x14ac:dyDescent="0.2">
      <c r="A270">
        <v>37</v>
      </c>
      <c r="B270">
        <v>12</v>
      </c>
      <c r="C270" t="s">
        <v>163</v>
      </c>
      <c r="D270">
        <v>2018</v>
      </c>
      <c r="E270">
        <v>54205</v>
      </c>
      <c r="F270">
        <v>54108</v>
      </c>
      <c r="G270">
        <v>97</v>
      </c>
      <c r="H270">
        <v>2.69</v>
      </c>
      <c r="I270">
        <v>32251</v>
      </c>
      <c r="J270">
        <v>20145</v>
      </c>
      <c r="K270">
        <v>12106</v>
      </c>
      <c r="L270">
        <v>37.54</v>
      </c>
      <c r="M270">
        <v>1.67771542</v>
      </c>
      <c r="N270">
        <f>E270/_xlfn.XLOOKUP(C270,Lookups!$A$2:$A$66,Lookups!$C$2:$C$66)</f>
        <v>31.871045885368893</v>
      </c>
    </row>
    <row r="271" spans="1:27" x14ac:dyDescent="0.2">
      <c r="A271">
        <v>37</v>
      </c>
      <c r="B271">
        <v>12</v>
      </c>
      <c r="C271" t="s">
        <v>163</v>
      </c>
      <c r="D271">
        <v>2019</v>
      </c>
      <c r="E271">
        <v>54819</v>
      </c>
      <c r="F271">
        <v>54717</v>
      </c>
      <c r="G271">
        <v>102</v>
      </c>
      <c r="H271">
        <v>2.68</v>
      </c>
      <c r="I271">
        <v>32626</v>
      </c>
      <c r="J271">
        <v>20395</v>
      </c>
      <c r="K271">
        <v>12231</v>
      </c>
      <c r="L271">
        <v>37.49</v>
      </c>
      <c r="M271">
        <v>1.6770980200000001</v>
      </c>
      <c r="N271">
        <f>E271/_xlfn.XLOOKUP(C271,Lookups!$A$2:$A$66,Lookups!$C$2:$C$66)</f>
        <v>32.232060960982146</v>
      </c>
    </row>
    <row r="272" spans="1:27" x14ac:dyDescent="0.2">
      <c r="A272">
        <v>37</v>
      </c>
      <c r="B272">
        <v>12</v>
      </c>
      <c r="C272" t="s">
        <v>163</v>
      </c>
      <c r="D272">
        <v>2020</v>
      </c>
      <c r="E272">
        <v>55667</v>
      </c>
      <c r="F272">
        <v>55568</v>
      </c>
      <c r="G272">
        <v>99</v>
      </c>
      <c r="I272">
        <v>33102</v>
      </c>
      <c r="M272">
        <v>1.6786901089999999</v>
      </c>
      <c r="N272">
        <f>E272/_xlfn.XLOOKUP(C272,Lookups!$A$2:$A$66,Lookups!$C$2:$C$66)</f>
        <v>32.730661586584823</v>
      </c>
      <c r="O272">
        <v>55667</v>
      </c>
      <c r="P272">
        <v>529</v>
      </c>
      <c r="Q272">
        <v>358</v>
      </c>
      <c r="R272">
        <v>490</v>
      </c>
      <c r="S272">
        <v>171</v>
      </c>
      <c r="T272">
        <v>33102</v>
      </c>
      <c r="W272">
        <v>55568</v>
      </c>
      <c r="X272">
        <v>403</v>
      </c>
      <c r="AA272">
        <v>1.6786901089999999</v>
      </c>
    </row>
    <row r="273" spans="1:27" x14ac:dyDescent="0.2">
      <c r="A273">
        <v>37</v>
      </c>
      <c r="B273">
        <v>12</v>
      </c>
      <c r="C273" t="s">
        <v>163</v>
      </c>
      <c r="D273">
        <v>2021</v>
      </c>
      <c r="E273">
        <v>55785</v>
      </c>
      <c r="F273">
        <v>55688</v>
      </c>
      <c r="G273">
        <v>97</v>
      </c>
      <c r="I273">
        <v>33694</v>
      </c>
      <c r="M273">
        <v>1.6527571670000001</v>
      </c>
      <c r="N273">
        <f>E273/_xlfn.XLOOKUP(C273,Lookups!$A$2:$A$66,Lookups!$C$2:$C$66)</f>
        <v>32.80004233401538</v>
      </c>
      <c r="O273">
        <v>55785</v>
      </c>
      <c r="P273">
        <v>518</v>
      </c>
      <c r="Q273">
        <v>351</v>
      </c>
      <c r="R273">
        <v>-233</v>
      </c>
      <c r="S273">
        <v>167</v>
      </c>
      <c r="T273">
        <v>33694</v>
      </c>
      <c r="W273">
        <v>55688</v>
      </c>
      <c r="X273">
        <v>439</v>
      </c>
      <c r="AA273">
        <v>1.6527571670000001</v>
      </c>
    </row>
    <row r="274" spans="1:27" x14ac:dyDescent="0.2">
      <c r="A274">
        <v>37</v>
      </c>
      <c r="B274">
        <v>12</v>
      </c>
      <c r="C274" t="s">
        <v>163</v>
      </c>
      <c r="D274">
        <v>2022</v>
      </c>
      <c r="E274">
        <v>55291</v>
      </c>
      <c r="F274">
        <v>55190</v>
      </c>
      <c r="G274">
        <v>101</v>
      </c>
      <c r="I274">
        <v>34333</v>
      </c>
      <c r="M274">
        <v>1.607491335</v>
      </c>
      <c r="N274">
        <f>E274/_xlfn.XLOOKUP(C274,Lookups!$A$2:$A$66,Lookups!$C$2:$C$66)</f>
        <v>32.509583950704389</v>
      </c>
      <c r="O274">
        <v>55291</v>
      </c>
      <c r="P274">
        <v>523</v>
      </c>
      <c r="Q274">
        <v>344</v>
      </c>
      <c r="R274">
        <v>-838</v>
      </c>
      <c r="S274">
        <v>179</v>
      </c>
      <c r="T274">
        <v>34333</v>
      </c>
      <c r="W274">
        <v>55190</v>
      </c>
      <c r="X274">
        <v>268</v>
      </c>
      <c r="AA274">
        <v>1.607491335</v>
      </c>
    </row>
    <row r="275" spans="1:27" x14ac:dyDescent="0.2">
      <c r="A275">
        <v>41</v>
      </c>
      <c r="B275">
        <v>4</v>
      </c>
      <c r="C275" t="s">
        <v>165</v>
      </c>
      <c r="D275">
        <v>2010</v>
      </c>
      <c r="E275">
        <v>627232</v>
      </c>
      <c r="F275">
        <v>608091</v>
      </c>
      <c r="G275">
        <v>19141</v>
      </c>
      <c r="H275">
        <v>2.56</v>
      </c>
      <c r="I275">
        <v>253716</v>
      </c>
      <c r="J275">
        <v>237924</v>
      </c>
      <c r="K275">
        <v>15792</v>
      </c>
      <c r="L275">
        <v>6.22</v>
      </c>
      <c r="M275">
        <v>2.3967388729999999</v>
      </c>
      <c r="N275">
        <f>E275/_xlfn.XLOOKUP(C275,Lookups!$A$2:$A$66,Lookups!$C$2:$C$66)</f>
        <v>294.66879639199476</v>
      </c>
    </row>
    <row r="276" spans="1:27" x14ac:dyDescent="0.2">
      <c r="A276">
        <v>41</v>
      </c>
      <c r="B276">
        <v>4</v>
      </c>
      <c r="C276" t="s">
        <v>165</v>
      </c>
      <c r="D276">
        <v>2011</v>
      </c>
      <c r="E276">
        <v>639139</v>
      </c>
      <c r="F276">
        <v>618897</v>
      </c>
      <c r="G276">
        <v>20242</v>
      </c>
      <c r="H276">
        <v>2.56</v>
      </c>
      <c r="I276">
        <v>255593</v>
      </c>
      <c r="J276">
        <v>241699</v>
      </c>
      <c r="K276">
        <v>13894</v>
      </c>
      <c r="L276">
        <v>5.44</v>
      </c>
      <c r="M276">
        <v>2.4214160790000001</v>
      </c>
      <c r="N276">
        <f>E276/_xlfn.XLOOKUP(C276,Lookups!$A$2:$A$66,Lookups!$C$2:$C$66)</f>
        <v>300.26261392464534</v>
      </c>
    </row>
    <row r="277" spans="1:27" x14ac:dyDescent="0.2">
      <c r="A277">
        <v>41</v>
      </c>
      <c r="B277">
        <v>4</v>
      </c>
      <c r="C277" t="s">
        <v>165</v>
      </c>
      <c r="D277">
        <v>2012</v>
      </c>
      <c r="E277">
        <v>648445</v>
      </c>
      <c r="F277">
        <v>628404</v>
      </c>
      <c r="G277">
        <v>20041</v>
      </c>
      <c r="H277">
        <v>2.57</v>
      </c>
      <c r="I277">
        <v>257927</v>
      </c>
      <c r="J277">
        <v>244953</v>
      </c>
      <c r="K277">
        <v>12974</v>
      </c>
      <c r="L277">
        <v>5.03</v>
      </c>
      <c r="M277">
        <v>2.436363777</v>
      </c>
      <c r="N277">
        <f>E277/_xlfn.XLOOKUP(C277,Lookups!$A$2:$A$66,Lookups!$C$2:$C$66)</f>
        <v>304.63450155031478</v>
      </c>
    </row>
    <row r="278" spans="1:27" x14ac:dyDescent="0.2">
      <c r="A278">
        <v>41</v>
      </c>
      <c r="B278">
        <v>4</v>
      </c>
      <c r="C278" t="s">
        <v>165</v>
      </c>
      <c r="D278">
        <v>2013</v>
      </c>
      <c r="E278">
        <v>658303</v>
      </c>
      <c r="F278">
        <v>637964</v>
      </c>
      <c r="G278">
        <v>20339</v>
      </c>
      <c r="H278">
        <v>2.57</v>
      </c>
      <c r="I278">
        <v>261089</v>
      </c>
      <c r="J278">
        <v>248215</v>
      </c>
      <c r="K278">
        <v>12874</v>
      </c>
      <c r="L278">
        <v>4.93</v>
      </c>
      <c r="M278">
        <v>2.4434732979999998</v>
      </c>
      <c r="N278">
        <f>E278/_xlfn.XLOOKUP(C278,Lookups!$A$2:$A$66,Lookups!$C$2:$C$66)</f>
        <v>309.26571455416706</v>
      </c>
    </row>
    <row r="279" spans="1:27" x14ac:dyDescent="0.2">
      <c r="A279">
        <v>41</v>
      </c>
      <c r="B279">
        <v>4</v>
      </c>
      <c r="C279" t="s">
        <v>165</v>
      </c>
      <c r="D279">
        <v>2014</v>
      </c>
      <c r="E279">
        <v>665754</v>
      </c>
      <c r="F279">
        <v>645729</v>
      </c>
      <c r="G279">
        <v>20025</v>
      </c>
      <c r="H279">
        <v>2.57</v>
      </c>
      <c r="I279">
        <v>264933</v>
      </c>
      <c r="J279">
        <v>250769</v>
      </c>
      <c r="K279">
        <v>14164</v>
      </c>
      <c r="L279">
        <v>5.35</v>
      </c>
      <c r="M279">
        <v>2.4373294379999999</v>
      </c>
      <c r="N279">
        <f>E279/_xlfn.XLOOKUP(C279,Lookups!$A$2:$A$66,Lookups!$C$2:$C$66)</f>
        <v>312.76613736728365</v>
      </c>
    </row>
    <row r="280" spans="1:27" x14ac:dyDescent="0.2">
      <c r="A280">
        <v>41</v>
      </c>
      <c r="B280">
        <v>4</v>
      </c>
      <c r="C280" t="s">
        <v>165</v>
      </c>
      <c r="D280">
        <v>2015</v>
      </c>
      <c r="E280">
        <v>677969</v>
      </c>
      <c r="F280">
        <v>657529</v>
      </c>
      <c r="G280">
        <v>20440</v>
      </c>
      <c r="H280">
        <v>2.58</v>
      </c>
      <c r="I280">
        <v>268705</v>
      </c>
      <c r="J280">
        <v>254877</v>
      </c>
      <c r="K280">
        <v>13828</v>
      </c>
      <c r="L280">
        <v>5.15</v>
      </c>
      <c r="M280">
        <v>2.4470292699999998</v>
      </c>
      <c r="N280">
        <f>E280/_xlfn.XLOOKUP(C280,Lookups!$A$2:$A$66,Lookups!$C$2:$C$66)</f>
        <v>318.50465094428262</v>
      </c>
    </row>
    <row r="281" spans="1:27" x14ac:dyDescent="0.2">
      <c r="A281">
        <v>41</v>
      </c>
      <c r="B281">
        <v>4</v>
      </c>
      <c r="C281" t="s">
        <v>165</v>
      </c>
      <c r="D281">
        <v>2016</v>
      </c>
      <c r="E281">
        <v>692295</v>
      </c>
      <c r="F281">
        <v>671321</v>
      </c>
      <c r="G281">
        <v>20974</v>
      </c>
      <c r="H281">
        <v>2.58</v>
      </c>
      <c r="I281">
        <v>272240</v>
      </c>
      <c r="J281">
        <v>259740</v>
      </c>
      <c r="K281">
        <v>12500</v>
      </c>
      <c r="L281">
        <v>4.59</v>
      </c>
      <c r="M281">
        <v>2.4659161030000001</v>
      </c>
      <c r="N281">
        <f>E281/_xlfn.XLOOKUP(C281,Lookups!$A$2:$A$66,Lookups!$C$2:$C$66)</f>
        <v>325.2348961758903</v>
      </c>
    </row>
    <row r="282" spans="1:27" x14ac:dyDescent="0.2">
      <c r="A282">
        <v>41</v>
      </c>
      <c r="B282">
        <v>4</v>
      </c>
      <c r="C282" t="s">
        <v>165</v>
      </c>
      <c r="D282">
        <v>2017</v>
      </c>
      <c r="E282">
        <v>704797</v>
      </c>
      <c r="F282">
        <v>683661</v>
      </c>
      <c r="G282">
        <v>21136</v>
      </c>
      <c r="H282">
        <v>2.59</v>
      </c>
      <c r="I282">
        <v>276227</v>
      </c>
      <c r="J282">
        <v>264025</v>
      </c>
      <c r="K282">
        <v>12202</v>
      </c>
      <c r="L282">
        <v>4.42</v>
      </c>
      <c r="M282">
        <v>2.4749970129999999</v>
      </c>
      <c r="N282">
        <f>E282/_xlfn.XLOOKUP(C282,Lookups!$A$2:$A$66,Lookups!$C$2:$C$66)</f>
        <v>331.10824015785022</v>
      </c>
    </row>
    <row r="283" spans="1:27" x14ac:dyDescent="0.2">
      <c r="A283">
        <v>41</v>
      </c>
      <c r="B283">
        <v>4</v>
      </c>
      <c r="C283" t="s">
        <v>165</v>
      </c>
      <c r="D283">
        <v>2018</v>
      </c>
      <c r="E283">
        <v>717812</v>
      </c>
      <c r="F283">
        <v>696781</v>
      </c>
      <c r="G283">
        <v>21031</v>
      </c>
      <c r="H283">
        <v>2.59</v>
      </c>
      <c r="I283">
        <v>280240</v>
      </c>
      <c r="J283">
        <v>268594</v>
      </c>
      <c r="K283">
        <v>11646</v>
      </c>
      <c r="L283">
        <v>4.16</v>
      </c>
      <c r="M283">
        <v>2.4863723950000001</v>
      </c>
      <c r="N283">
        <f>E283/_xlfn.XLOOKUP(C283,Lookups!$A$2:$A$66,Lookups!$C$2:$C$66)</f>
        <v>337.22258761627364</v>
      </c>
    </row>
    <row r="284" spans="1:27" x14ac:dyDescent="0.2">
      <c r="A284">
        <v>41</v>
      </c>
      <c r="B284">
        <v>4</v>
      </c>
      <c r="C284" t="s">
        <v>165</v>
      </c>
      <c r="D284">
        <v>2019</v>
      </c>
      <c r="E284">
        <v>725497</v>
      </c>
      <c r="F284">
        <v>704321</v>
      </c>
      <c r="G284">
        <v>21176</v>
      </c>
      <c r="H284">
        <v>2.6</v>
      </c>
      <c r="I284">
        <v>284340</v>
      </c>
      <c r="J284">
        <v>271000</v>
      </c>
      <c r="K284">
        <v>13340</v>
      </c>
      <c r="L284">
        <v>4.6900000000000004</v>
      </c>
      <c r="M284">
        <v>2.4770380529999998</v>
      </c>
      <c r="N284">
        <f>E284/_xlfn.XLOOKUP(C284,Lookups!$A$2:$A$66,Lookups!$C$2:$C$66)</f>
        <v>340.83294183970685</v>
      </c>
    </row>
    <row r="285" spans="1:27" x14ac:dyDescent="0.2">
      <c r="A285">
        <v>41</v>
      </c>
      <c r="B285">
        <v>4</v>
      </c>
      <c r="C285" t="s">
        <v>165</v>
      </c>
      <c r="D285">
        <v>2020</v>
      </c>
      <c r="E285">
        <v>732366</v>
      </c>
      <c r="F285">
        <v>711877</v>
      </c>
      <c r="G285">
        <v>20489</v>
      </c>
      <c r="I285">
        <v>288421</v>
      </c>
      <c r="M285">
        <v>2.4681871289999999</v>
      </c>
      <c r="N285">
        <f>E285/_xlfn.XLOOKUP(C285,Lookups!$A$2:$A$66,Lookups!$C$2:$C$66)</f>
        <v>344.05994550408718</v>
      </c>
      <c r="O285">
        <v>732366</v>
      </c>
      <c r="P285">
        <v>9003</v>
      </c>
      <c r="Q285">
        <v>4014</v>
      </c>
      <c r="R285">
        <v>2855</v>
      </c>
      <c r="S285">
        <v>4989</v>
      </c>
      <c r="T285">
        <v>288421</v>
      </c>
      <c r="W285">
        <v>711877</v>
      </c>
      <c r="X285">
        <v>6819</v>
      </c>
      <c r="AA285">
        <v>2.4681871289999999</v>
      </c>
    </row>
    <row r="286" spans="1:27" x14ac:dyDescent="0.2">
      <c r="A286">
        <v>41</v>
      </c>
      <c r="B286">
        <v>4</v>
      </c>
      <c r="C286" t="s">
        <v>165</v>
      </c>
      <c r="D286">
        <v>2021</v>
      </c>
      <c r="E286">
        <v>737202</v>
      </c>
      <c r="F286">
        <v>718092</v>
      </c>
      <c r="G286">
        <v>19110</v>
      </c>
      <c r="I286">
        <v>295128</v>
      </c>
      <c r="M286">
        <v>2.4331544279999999</v>
      </c>
      <c r="N286">
        <f>E286/_xlfn.XLOOKUP(C286,Lookups!$A$2:$A$66,Lookups!$C$2:$C$66)</f>
        <v>346.33186131729775</v>
      </c>
      <c r="O286">
        <v>737202</v>
      </c>
      <c r="P286">
        <v>9280</v>
      </c>
      <c r="Q286">
        <v>3355</v>
      </c>
      <c r="R286">
        <v>1481</v>
      </c>
      <c r="S286">
        <v>5925</v>
      </c>
      <c r="T286">
        <v>295128</v>
      </c>
      <c r="W286">
        <v>718092</v>
      </c>
      <c r="X286">
        <v>9186</v>
      </c>
      <c r="AA286">
        <v>2.4331544279999999</v>
      </c>
    </row>
    <row r="287" spans="1:27" x14ac:dyDescent="0.2">
      <c r="A287">
        <v>41</v>
      </c>
      <c r="B287">
        <v>4</v>
      </c>
      <c r="C287" t="s">
        <v>165</v>
      </c>
      <c r="D287">
        <v>2022</v>
      </c>
      <c r="E287">
        <v>740552</v>
      </c>
      <c r="F287">
        <v>720084</v>
      </c>
      <c r="G287">
        <v>20468</v>
      </c>
      <c r="I287">
        <v>304114</v>
      </c>
      <c r="M287">
        <v>2.3678094399999998</v>
      </c>
      <c r="N287">
        <f>E287/_xlfn.XLOOKUP(C287,Lookups!$A$2:$A$66,Lookups!$C$2:$C$66)</f>
        <v>347.90566569576248</v>
      </c>
      <c r="O287">
        <v>740552</v>
      </c>
      <c r="P287">
        <v>9267</v>
      </c>
      <c r="Q287">
        <v>3029</v>
      </c>
      <c r="R287">
        <v>321</v>
      </c>
      <c r="S287">
        <v>6238</v>
      </c>
      <c r="T287">
        <v>304114</v>
      </c>
      <c r="W287">
        <v>720084</v>
      </c>
      <c r="X287">
        <v>8685</v>
      </c>
      <c r="AA287">
        <v>2.3678094399999998</v>
      </c>
    </row>
    <row r="288" spans="1:27" x14ac:dyDescent="0.2">
      <c r="A288">
        <v>39</v>
      </c>
      <c r="B288">
        <v>5</v>
      </c>
      <c r="C288" t="s">
        <v>164</v>
      </c>
      <c r="D288">
        <v>2010</v>
      </c>
      <c r="E288">
        <v>23107</v>
      </c>
      <c r="F288">
        <v>23034</v>
      </c>
      <c r="G288">
        <v>73</v>
      </c>
      <c r="H288">
        <v>2.75</v>
      </c>
      <c r="I288">
        <v>8949</v>
      </c>
      <c r="J288">
        <v>8388</v>
      </c>
      <c r="K288">
        <v>561</v>
      </c>
      <c r="L288">
        <v>6.27</v>
      </c>
      <c r="M288">
        <v>2.5739188739999999</v>
      </c>
      <c r="N288">
        <f>E288/_xlfn.XLOOKUP(C288,Lookups!$A$2:$A$66,Lookups!$C$2:$C$66)</f>
        <v>12.496484738356372</v>
      </c>
    </row>
    <row r="289" spans="1:27" x14ac:dyDescent="0.2">
      <c r="A289">
        <v>39</v>
      </c>
      <c r="B289">
        <v>5</v>
      </c>
      <c r="C289" t="s">
        <v>164</v>
      </c>
      <c r="D289">
        <v>2011</v>
      </c>
      <c r="E289">
        <v>23032</v>
      </c>
      <c r="F289">
        <v>22959</v>
      </c>
      <c r="G289">
        <v>73</v>
      </c>
      <c r="H289">
        <v>2.75</v>
      </c>
      <c r="I289">
        <v>8956</v>
      </c>
      <c r="J289">
        <v>8353</v>
      </c>
      <c r="K289">
        <v>603</v>
      </c>
      <c r="L289">
        <v>6.73</v>
      </c>
      <c r="M289">
        <v>2.563532827</v>
      </c>
      <c r="N289">
        <f>E289/_xlfn.XLOOKUP(C289,Lookups!$A$2:$A$66,Lookups!$C$2:$C$66)</f>
        <v>12.455924027083739</v>
      </c>
    </row>
    <row r="290" spans="1:27" x14ac:dyDescent="0.2">
      <c r="A290">
        <v>39</v>
      </c>
      <c r="B290">
        <v>5</v>
      </c>
      <c r="C290" t="s">
        <v>164</v>
      </c>
      <c r="D290">
        <v>2012</v>
      </c>
      <c r="E290">
        <v>23034</v>
      </c>
      <c r="F290">
        <v>22961</v>
      </c>
      <c r="G290">
        <v>73</v>
      </c>
      <c r="H290">
        <v>2.75</v>
      </c>
      <c r="I290">
        <v>8960</v>
      </c>
      <c r="J290">
        <v>8345</v>
      </c>
      <c r="K290">
        <v>615</v>
      </c>
      <c r="L290">
        <v>6.86</v>
      </c>
      <c r="M290">
        <v>2.562611607</v>
      </c>
      <c r="N290">
        <f>E290/_xlfn.XLOOKUP(C290,Lookups!$A$2:$A$66,Lookups!$C$2:$C$66)</f>
        <v>12.457005646051009</v>
      </c>
    </row>
    <row r="291" spans="1:27" x14ac:dyDescent="0.2">
      <c r="A291">
        <v>39</v>
      </c>
      <c r="B291">
        <v>5</v>
      </c>
      <c r="C291" t="s">
        <v>164</v>
      </c>
      <c r="D291">
        <v>2013</v>
      </c>
      <c r="E291">
        <v>23183</v>
      </c>
      <c r="F291">
        <v>23111</v>
      </c>
      <c r="G291">
        <v>72</v>
      </c>
      <c r="H291">
        <v>2.75</v>
      </c>
      <c r="I291">
        <v>8978</v>
      </c>
      <c r="J291">
        <v>8392</v>
      </c>
      <c r="K291">
        <v>586</v>
      </c>
      <c r="L291">
        <v>6.53</v>
      </c>
      <c r="M291">
        <v>2.5741813320000002</v>
      </c>
      <c r="N291">
        <f>E291/_xlfn.XLOOKUP(C291,Lookups!$A$2:$A$66,Lookups!$C$2:$C$66)</f>
        <v>12.53758625911264</v>
      </c>
    </row>
    <row r="292" spans="1:27" x14ac:dyDescent="0.2">
      <c r="A292">
        <v>39</v>
      </c>
      <c r="B292">
        <v>5</v>
      </c>
      <c r="C292" t="s">
        <v>164</v>
      </c>
      <c r="D292">
        <v>2014</v>
      </c>
      <c r="E292">
        <v>23569</v>
      </c>
      <c r="F292">
        <v>23497</v>
      </c>
      <c r="G292">
        <v>72</v>
      </c>
      <c r="H292">
        <v>2.76</v>
      </c>
      <c r="I292">
        <v>9029</v>
      </c>
      <c r="J292">
        <v>8524</v>
      </c>
      <c r="K292">
        <v>505</v>
      </c>
      <c r="L292">
        <v>5.59</v>
      </c>
      <c r="M292">
        <v>2.6023922920000002</v>
      </c>
      <c r="N292">
        <f>E292/_xlfn.XLOOKUP(C292,Lookups!$A$2:$A$66,Lookups!$C$2:$C$66)</f>
        <v>12.746338719795791</v>
      </c>
    </row>
    <row r="293" spans="1:27" x14ac:dyDescent="0.2">
      <c r="A293">
        <v>39</v>
      </c>
      <c r="B293">
        <v>5</v>
      </c>
      <c r="C293" t="s">
        <v>164</v>
      </c>
      <c r="D293">
        <v>2015</v>
      </c>
      <c r="E293">
        <v>24061</v>
      </c>
      <c r="F293">
        <v>23989</v>
      </c>
      <c r="G293">
        <v>72</v>
      </c>
      <c r="H293">
        <v>2.76</v>
      </c>
      <c r="I293">
        <v>9116</v>
      </c>
      <c r="J293">
        <v>8694</v>
      </c>
      <c r="K293">
        <v>422</v>
      </c>
      <c r="L293">
        <v>4.63</v>
      </c>
      <c r="M293">
        <v>2.6315269859999999</v>
      </c>
      <c r="N293">
        <f>E293/_xlfn.XLOOKUP(C293,Lookups!$A$2:$A$66,Lookups!$C$2:$C$66)</f>
        <v>13.012416985744263</v>
      </c>
    </row>
    <row r="294" spans="1:27" x14ac:dyDescent="0.2">
      <c r="A294">
        <v>39</v>
      </c>
      <c r="B294">
        <v>5</v>
      </c>
      <c r="C294" t="s">
        <v>164</v>
      </c>
      <c r="D294">
        <v>2016</v>
      </c>
      <c r="E294">
        <v>24450</v>
      </c>
      <c r="F294">
        <v>24379</v>
      </c>
      <c r="G294">
        <v>71</v>
      </c>
      <c r="H294">
        <v>2.76</v>
      </c>
      <c r="I294">
        <v>9236</v>
      </c>
      <c r="J294">
        <v>8827</v>
      </c>
      <c r="K294">
        <v>409</v>
      </c>
      <c r="L294">
        <v>4.43</v>
      </c>
      <c r="M294">
        <v>2.6395625809999999</v>
      </c>
      <c r="N294">
        <f>E294/_xlfn.XLOOKUP(C294,Lookups!$A$2:$A$66,Lookups!$C$2:$C$66)</f>
        <v>13.222791874878318</v>
      </c>
    </row>
    <row r="295" spans="1:27" x14ac:dyDescent="0.2">
      <c r="A295">
        <v>39</v>
      </c>
      <c r="B295">
        <v>5</v>
      </c>
      <c r="C295" t="s">
        <v>164</v>
      </c>
      <c r="D295">
        <v>2017</v>
      </c>
      <c r="E295">
        <v>24942</v>
      </c>
      <c r="F295">
        <v>24871</v>
      </c>
      <c r="G295">
        <v>71</v>
      </c>
      <c r="H295">
        <v>2.76</v>
      </c>
      <c r="I295">
        <v>9328</v>
      </c>
      <c r="J295">
        <v>8997</v>
      </c>
      <c r="K295">
        <v>331</v>
      </c>
      <c r="L295">
        <v>3.55</v>
      </c>
      <c r="M295">
        <v>2.6662735849999999</v>
      </c>
      <c r="N295">
        <f>E295/_xlfn.XLOOKUP(C295,Lookups!$A$2:$A$66,Lookups!$C$2:$C$66)</f>
        <v>13.488870140826791</v>
      </c>
    </row>
    <row r="296" spans="1:27" x14ac:dyDescent="0.2">
      <c r="A296">
        <v>39</v>
      </c>
      <c r="B296">
        <v>5</v>
      </c>
      <c r="C296" t="s">
        <v>164</v>
      </c>
      <c r="D296">
        <v>2018</v>
      </c>
      <c r="E296">
        <v>25366</v>
      </c>
      <c r="F296">
        <v>25296</v>
      </c>
      <c r="G296">
        <v>70</v>
      </c>
      <c r="H296">
        <v>2.77</v>
      </c>
      <c r="I296">
        <v>9463</v>
      </c>
      <c r="J296">
        <v>9142</v>
      </c>
      <c r="K296">
        <v>321</v>
      </c>
      <c r="L296">
        <v>3.39</v>
      </c>
      <c r="M296">
        <v>2.67314805</v>
      </c>
      <c r="N296">
        <f>E296/_xlfn.XLOOKUP(C296,Lookups!$A$2:$A$66,Lookups!$C$2:$C$66)</f>
        <v>13.718173361888075</v>
      </c>
    </row>
    <row r="297" spans="1:27" x14ac:dyDescent="0.2">
      <c r="A297">
        <v>39</v>
      </c>
      <c r="B297">
        <v>5</v>
      </c>
      <c r="C297" t="s">
        <v>164</v>
      </c>
      <c r="D297">
        <v>2019</v>
      </c>
      <c r="E297">
        <v>25667</v>
      </c>
      <c r="F297">
        <v>25597</v>
      </c>
      <c r="G297">
        <v>70</v>
      </c>
      <c r="H297">
        <v>2.77</v>
      </c>
      <c r="I297">
        <v>9673</v>
      </c>
      <c r="J297">
        <v>9242</v>
      </c>
      <c r="K297">
        <v>431</v>
      </c>
      <c r="L297">
        <v>4.46</v>
      </c>
      <c r="M297">
        <v>2.6462317789999998</v>
      </c>
      <c r="N297">
        <f>E297/_xlfn.XLOOKUP(C297,Lookups!$A$2:$A$66,Lookups!$C$2:$C$66)</f>
        <v>13.880957016462242</v>
      </c>
    </row>
    <row r="298" spans="1:27" x14ac:dyDescent="0.2">
      <c r="A298">
        <v>39</v>
      </c>
      <c r="B298">
        <v>5</v>
      </c>
      <c r="C298" t="s">
        <v>164</v>
      </c>
      <c r="D298">
        <v>2020</v>
      </c>
      <c r="E298">
        <v>26220</v>
      </c>
      <c r="F298">
        <v>26159</v>
      </c>
      <c r="G298">
        <v>61</v>
      </c>
      <c r="I298">
        <v>9858</v>
      </c>
      <c r="M298">
        <v>2.6535808479999998</v>
      </c>
      <c r="N298">
        <f>E298/_xlfn.XLOOKUP(C298,Lookups!$A$2:$A$66,Lookups!$C$2:$C$66)</f>
        <v>14.180024660912455</v>
      </c>
      <c r="O298">
        <v>26220</v>
      </c>
      <c r="P298">
        <v>233</v>
      </c>
      <c r="Q298">
        <v>71</v>
      </c>
      <c r="R298">
        <v>482</v>
      </c>
      <c r="S298">
        <v>162</v>
      </c>
      <c r="T298">
        <v>9858</v>
      </c>
      <c r="W298">
        <v>26159</v>
      </c>
      <c r="X298">
        <v>296</v>
      </c>
      <c r="AA298">
        <v>2.6535808479999998</v>
      </c>
    </row>
    <row r="299" spans="1:27" x14ac:dyDescent="0.2">
      <c r="A299">
        <v>39</v>
      </c>
      <c r="B299">
        <v>5</v>
      </c>
      <c r="C299" t="s">
        <v>164</v>
      </c>
      <c r="D299">
        <v>2021</v>
      </c>
      <c r="E299">
        <v>27144</v>
      </c>
      <c r="F299">
        <v>27082</v>
      </c>
      <c r="G299">
        <v>62</v>
      </c>
      <c r="I299">
        <v>10145</v>
      </c>
      <c r="M299">
        <v>2.6694923610000001</v>
      </c>
      <c r="N299">
        <f>E299/_xlfn.XLOOKUP(C299,Lookups!$A$2:$A$66,Lookups!$C$2:$C$66)</f>
        <v>14.679732623791292</v>
      </c>
      <c r="O299">
        <v>27144</v>
      </c>
      <c r="P299">
        <v>219</v>
      </c>
      <c r="Q299">
        <v>20</v>
      </c>
      <c r="R299">
        <v>904</v>
      </c>
      <c r="S299">
        <v>199</v>
      </c>
      <c r="T299">
        <v>10145</v>
      </c>
      <c r="W299">
        <v>27082</v>
      </c>
      <c r="X299">
        <v>413</v>
      </c>
      <c r="AA299">
        <v>2.6694923610000001</v>
      </c>
    </row>
    <row r="300" spans="1:27" x14ac:dyDescent="0.2">
      <c r="A300">
        <v>39</v>
      </c>
      <c r="B300">
        <v>5</v>
      </c>
      <c r="C300" t="s">
        <v>164</v>
      </c>
      <c r="D300">
        <v>2022</v>
      </c>
      <c r="E300">
        <v>27821</v>
      </c>
      <c r="F300">
        <v>27762</v>
      </c>
      <c r="G300">
        <v>59</v>
      </c>
      <c r="I300">
        <v>10555</v>
      </c>
      <c r="M300">
        <v>2.6302226430000002</v>
      </c>
      <c r="N300">
        <f>E300/_xlfn.XLOOKUP(C300,Lookups!$A$2:$A$66,Lookups!$C$2:$C$66)</f>
        <v>15.045860644212258</v>
      </c>
      <c r="O300">
        <v>27821</v>
      </c>
      <c r="P300">
        <v>261</v>
      </c>
      <c r="Q300">
        <v>31</v>
      </c>
      <c r="R300">
        <v>646</v>
      </c>
      <c r="S300">
        <v>230</v>
      </c>
      <c r="T300">
        <v>10555</v>
      </c>
      <c r="W300">
        <v>27762</v>
      </c>
      <c r="X300">
        <v>284</v>
      </c>
      <c r="AA300">
        <v>2.6302226430000002</v>
      </c>
    </row>
    <row r="301" spans="1:27" x14ac:dyDescent="0.2">
      <c r="A301">
        <v>43</v>
      </c>
      <c r="B301">
        <v>13</v>
      </c>
      <c r="C301" t="s">
        <v>166</v>
      </c>
      <c r="D301">
        <v>2010</v>
      </c>
      <c r="E301">
        <v>46854</v>
      </c>
      <c r="F301">
        <v>38150</v>
      </c>
      <c r="G301">
        <v>8704</v>
      </c>
      <c r="H301">
        <v>2.2799999999999998</v>
      </c>
      <c r="I301">
        <v>19448</v>
      </c>
      <c r="J301">
        <v>16744</v>
      </c>
      <c r="K301">
        <v>2704</v>
      </c>
      <c r="L301">
        <v>13.9</v>
      </c>
      <c r="M301">
        <v>1.9616412999999999</v>
      </c>
      <c r="N301">
        <f>E301/_xlfn.XLOOKUP(C301,Lookups!$A$2:$A$66,Lookups!$C$2:$C$66)</f>
        <v>30.56180654756081</v>
      </c>
    </row>
    <row r="302" spans="1:27" x14ac:dyDescent="0.2">
      <c r="A302">
        <v>43</v>
      </c>
      <c r="B302">
        <v>13</v>
      </c>
      <c r="C302" t="s">
        <v>166</v>
      </c>
      <c r="D302">
        <v>2011</v>
      </c>
      <c r="E302">
        <v>47076</v>
      </c>
      <c r="F302">
        <v>38459</v>
      </c>
      <c r="G302">
        <v>8618</v>
      </c>
      <c r="H302">
        <v>2.2999999999999998</v>
      </c>
      <c r="I302">
        <v>19536</v>
      </c>
      <c r="J302">
        <v>16735</v>
      </c>
      <c r="K302">
        <v>2801</v>
      </c>
      <c r="L302">
        <v>14.34</v>
      </c>
      <c r="M302">
        <v>1.968622031</v>
      </c>
      <c r="N302">
        <f>E302/_xlfn.XLOOKUP(C302,Lookups!$A$2:$A$66,Lookups!$C$2:$C$66)</f>
        <v>30.706612136273801</v>
      </c>
    </row>
    <row r="303" spans="1:27" x14ac:dyDescent="0.2">
      <c r="A303">
        <v>43</v>
      </c>
      <c r="B303">
        <v>13</v>
      </c>
      <c r="C303" t="s">
        <v>166</v>
      </c>
      <c r="D303">
        <v>2012</v>
      </c>
      <c r="E303">
        <v>47130</v>
      </c>
      <c r="F303">
        <v>38599</v>
      </c>
      <c r="G303">
        <v>8531</v>
      </c>
      <c r="H303">
        <v>2.2999999999999998</v>
      </c>
      <c r="I303">
        <v>19578</v>
      </c>
      <c r="J303">
        <v>16803</v>
      </c>
      <c r="K303">
        <v>2775</v>
      </c>
      <c r="L303">
        <v>14.18</v>
      </c>
      <c r="M303">
        <v>1.9715496990000001</v>
      </c>
      <c r="N303">
        <f>E303/_xlfn.XLOOKUP(C303,Lookups!$A$2:$A$66,Lookups!$C$2:$C$66)</f>
        <v>30.741835117312096</v>
      </c>
    </row>
    <row r="304" spans="1:27" x14ac:dyDescent="0.2">
      <c r="A304">
        <v>43</v>
      </c>
      <c r="B304">
        <v>13</v>
      </c>
      <c r="C304" t="s">
        <v>166</v>
      </c>
      <c r="D304">
        <v>2013</v>
      </c>
      <c r="E304">
        <v>47183</v>
      </c>
      <c r="F304">
        <v>38739</v>
      </c>
      <c r="G304">
        <v>8445</v>
      </c>
      <c r="H304">
        <v>2.2999999999999998</v>
      </c>
      <c r="I304">
        <v>19620</v>
      </c>
      <c r="J304">
        <v>16870</v>
      </c>
      <c r="K304">
        <v>2750</v>
      </c>
      <c r="L304">
        <v>14.02</v>
      </c>
      <c r="M304">
        <v>1.974464832</v>
      </c>
      <c r="N304">
        <f>E304/_xlfn.XLOOKUP(C304,Lookups!$A$2:$A$66,Lookups!$C$2:$C$66)</f>
        <v>30.776405820923756</v>
      </c>
    </row>
    <row r="305" spans="1:27" x14ac:dyDescent="0.2">
      <c r="A305">
        <v>43</v>
      </c>
      <c r="B305">
        <v>13</v>
      </c>
      <c r="C305" t="s">
        <v>166</v>
      </c>
      <c r="D305">
        <v>2014</v>
      </c>
      <c r="E305">
        <v>47119</v>
      </c>
      <c r="F305">
        <v>38761</v>
      </c>
      <c r="G305">
        <v>8358</v>
      </c>
      <c r="H305">
        <v>2.2999999999999998</v>
      </c>
      <c r="I305">
        <v>19630</v>
      </c>
      <c r="J305">
        <v>16886</v>
      </c>
      <c r="K305">
        <v>2744</v>
      </c>
      <c r="L305">
        <v>13.98</v>
      </c>
      <c r="M305">
        <v>1.9745797249999999</v>
      </c>
      <c r="N305">
        <f>E305/_xlfn.XLOOKUP(C305,Lookups!$A$2:$A$66,Lookups!$C$2:$C$66)</f>
        <v>30.73466006561911</v>
      </c>
    </row>
    <row r="306" spans="1:27" x14ac:dyDescent="0.2">
      <c r="A306">
        <v>43</v>
      </c>
      <c r="B306">
        <v>13</v>
      </c>
      <c r="C306" t="s">
        <v>166</v>
      </c>
      <c r="D306">
        <v>2015</v>
      </c>
      <c r="E306">
        <v>47213</v>
      </c>
      <c r="F306">
        <v>38941</v>
      </c>
      <c r="G306">
        <v>8272</v>
      </c>
      <c r="H306">
        <v>2.29</v>
      </c>
      <c r="I306">
        <v>19683</v>
      </c>
      <c r="J306">
        <v>16970</v>
      </c>
      <c r="K306">
        <v>2713</v>
      </c>
      <c r="L306">
        <v>13.78</v>
      </c>
      <c r="M306">
        <v>1.9784077630000001</v>
      </c>
      <c r="N306">
        <f>E306/_xlfn.XLOOKUP(C306,Lookups!$A$2:$A$66,Lookups!$C$2:$C$66)</f>
        <v>30.795974143722809</v>
      </c>
    </row>
    <row r="307" spans="1:27" x14ac:dyDescent="0.2">
      <c r="A307">
        <v>43</v>
      </c>
      <c r="B307">
        <v>13</v>
      </c>
      <c r="C307" t="s">
        <v>166</v>
      </c>
      <c r="D307">
        <v>2016</v>
      </c>
      <c r="E307">
        <v>47284</v>
      </c>
      <c r="F307">
        <v>39099</v>
      </c>
      <c r="G307">
        <v>8186</v>
      </c>
      <c r="H307">
        <v>2.29</v>
      </c>
      <c r="I307">
        <v>19730</v>
      </c>
      <c r="J307">
        <v>17045</v>
      </c>
      <c r="K307">
        <v>2685</v>
      </c>
      <c r="L307">
        <v>13.61</v>
      </c>
      <c r="M307">
        <v>1.9817029900000001</v>
      </c>
      <c r="N307">
        <f>E307/_xlfn.XLOOKUP(C307,Lookups!$A$2:$A$66,Lookups!$C$2:$C$66)</f>
        <v>30.842285841013901</v>
      </c>
    </row>
    <row r="308" spans="1:27" x14ac:dyDescent="0.2">
      <c r="A308">
        <v>43</v>
      </c>
      <c r="B308">
        <v>13</v>
      </c>
      <c r="C308" t="s">
        <v>166</v>
      </c>
      <c r="D308">
        <v>2017</v>
      </c>
      <c r="E308">
        <v>47564</v>
      </c>
      <c r="F308">
        <v>39465</v>
      </c>
      <c r="G308">
        <v>8099</v>
      </c>
      <c r="H308">
        <v>2.29</v>
      </c>
      <c r="I308">
        <v>19834</v>
      </c>
      <c r="J308">
        <v>17211</v>
      </c>
      <c r="K308">
        <v>2623</v>
      </c>
      <c r="L308">
        <v>13.22</v>
      </c>
      <c r="M308">
        <v>1.9897650499999999</v>
      </c>
      <c r="N308">
        <f>E308/_xlfn.XLOOKUP(C308,Lookups!$A$2:$A$66,Lookups!$C$2:$C$66)</f>
        <v>31.024923520471727</v>
      </c>
    </row>
    <row r="309" spans="1:27" x14ac:dyDescent="0.2">
      <c r="A309">
        <v>43</v>
      </c>
      <c r="B309">
        <v>13</v>
      </c>
      <c r="C309" t="s">
        <v>166</v>
      </c>
      <c r="D309">
        <v>2018</v>
      </c>
      <c r="E309">
        <v>47990</v>
      </c>
      <c r="F309">
        <v>39977</v>
      </c>
      <c r="G309">
        <v>8013</v>
      </c>
      <c r="H309">
        <v>2.29</v>
      </c>
      <c r="I309">
        <v>19978</v>
      </c>
      <c r="J309">
        <v>17441</v>
      </c>
      <c r="K309">
        <v>2537</v>
      </c>
      <c r="L309">
        <v>12.7</v>
      </c>
      <c r="M309">
        <v>2.0010511559999999</v>
      </c>
      <c r="N309">
        <f>E309/_xlfn.XLOOKUP(C309,Lookups!$A$2:$A$66,Lookups!$C$2:$C$66)</f>
        <v>31.302793704218281</v>
      </c>
    </row>
    <row r="310" spans="1:27" x14ac:dyDescent="0.2">
      <c r="A310">
        <v>43</v>
      </c>
      <c r="B310">
        <v>13</v>
      </c>
      <c r="C310" t="s">
        <v>166</v>
      </c>
      <c r="D310">
        <v>2019</v>
      </c>
      <c r="E310">
        <v>48379</v>
      </c>
      <c r="F310">
        <v>40453</v>
      </c>
      <c r="G310">
        <v>7926</v>
      </c>
      <c r="H310">
        <v>2.29</v>
      </c>
      <c r="I310">
        <v>20112</v>
      </c>
      <c r="J310">
        <v>17655</v>
      </c>
      <c r="K310">
        <v>2457</v>
      </c>
      <c r="L310">
        <v>12.22</v>
      </c>
      <c r="M310">
        <v>2.011386237</v>
      </c>
      <c r="N310">
        <f>E310/_xlfn.XLOOKUP(C310,Lookups!$A$2:$A$66,Lookups!$C$2:$C$66)</f>
        <v>31.556529623179333</v>
      </c>
    </row>
    <row r="311" spans="1:27" x14ac:dyDescent="0.2">
      <c r="A311">
        <v>43</v>
      </c>
      <c r="B311">
        <v>13</v>
      </c>
      <c r="C311" t="s">
        <v>166</v>
      </c>
      <c r="D311">
        <v>2020</v>
      </c>
      <c r="E311">
        <v>48881</v>
      </c>
      <c r="F311">
        <v>41006</v>
      </c>
      <c r="G311">
        <v>7875</v>
      </c>
      <c r="I311">
        <v>20281</v>
      </c>
      <c r="M311">
        <v>2.0218924120000001</v>
      </c>
      <c r="N311">
        <f>E311/_xlfn.XLOOKUP(C311,Lookups!$A$2:$A$66,Lookups!$C$2:$C$66)</f>
        <v>31.883972891350151</v>
      </c>
      <c r="O311">
        <v>48881</v>
      </c>
      <c r="P311">
        <v>412</v>
      </c>
      <c r="Q311">
        <v>-168</v>
      </c>
      <c r="R311">
        <v>670</v>
      </c>
      <c r="S311">
        <v>580</v>
      </c>
      <c r="T311">
        <v>20281</v>
      </c>
      <c r="W311">
        <v>41006</v>
      </c>
      <c r="X311">
        <v>155</v>
      </c>
      <c r="AA311">
        <v>2.0218924120000001</v>
      </c>
    </row>
    <row r="312" spans="1:27" x14ac:dyDescent="0.2">
      <c r="A312">
        <v>43</v>
      </c>
      <c r="B312">
        <v>13</v>
      </c>
      <c r="C312" t="s">
        <v>166</v>
      </c>
      <c r="D312">
        <v>2021</v>
      </c>
      <c r="E312">
        <v>49249</v>
      </c>
      <c r="F312">
        <v>41707</v>
      </c>
      <c r="G312">
        <v>7542</v>
      </c>
      <c r="I312">
        <v>20408</v>
      </c>
      <c r="M312">
        <v>2.0436593489999999</v>
      </c>
      <c r="N312">
        <f>E312/_xlfn.XLOOKUP(C312,Lookups!$A$2:$A$66,Lookups!$C$2:$C$66)</f>
        <v>32.12401098435187</v>
      </c>
      <c r="O312">
        <v>49249</v>
      </c>
      <c r="P312">
        <v>380</v>
      </c>
      <c r="Q312">
        <v>-298</v>
      </c>
      <c r="R312">
        <v>666</v>
      </c>
      <c r="S312">
        <v>678</v>
      </c>
      <c r="T312">
        <v>20408</v>
      </c>
      <c r="W312">
        <v>41707</v>
      </c>
      <c r="X312">
        <v>174</v>
      </c>
      <c r="AA312">
        <v>2.0436593489999999</v>
      </c>
    </row>
    <row r="313" spans="1:27" x14ac:dyDescent="0.2">
      <c r="A313">
        <v>43</v>
      </c>
      <c r="B313">
        <v>13</v>
      </c>
      <c r="C313" t="s">
        <v>166</v>
      </c>
      <c r="D313">
        <v>2022</v>
      </c>
      <c r="E313">
        <v>49570</v>
      </c>
      <c r="F313">
        <v>41601</v>
      </c>
      <c r="G313">
        <v>7969</v>
      </c>
      <c r="I313">
        <v>20610</v>
      </c>
      <c r="M313">
        <v>2.0184861719999998</v>
      </c>
      <c r="N313">
        <f>E313/_xlfn.XLOOKUP(C313,Lookups!$A$2:$A$66,Lookups!$C$2:$C$66)</f>
        <v>32.333392038301731</v>
      </c>
      <c r="O313">
        <v>49570</v>
      </c>
      <c r="P313">
        <v>332</v>
      </c>
      <c r="Q313">
        <v>-422</v>
      </c>
      <c r="R313">
        <v>743</v>
      </c>
      <c r="S313">
        <v>754</v>
      </c>
      <c r="T313">
        <v>20610</v>
      </c>
      <c r="W313">
        <v>41601</v>
      </c>
      <c r="X313">
        <v>190</v>
      </c>
      <c r="AA313">
        <v>2.0184861719999998</v>
      </c>
    </row>
    <row r="314" spans="1:27" x14ac:dyDescent="0.2">
      <c r="A314">
        <v>45</v>
      </c>
      <c r="B314">
        <v>11</v>
      </c>
      <c r="C314" t="s">
        <v>167</v>
      </c>
      <c r="D314">
        <v>2010</v>
      </c>
      <c r="E314">
        <v>56150</v>
      </c>
      <c r="F314">
        <v>55266</v>
      </c>
      <c r="G314">
        <v>884</v>
      </c>
      <c r="H314">
        <v>2.77</v>
      </c>
      <c r="I314">
        <v>22892</v>
      </c>
      <c r="J314">
        <v>19921</v>
      </c>
      <c r="K314">
        <v>2971</v>
      </c>
      <c r="L314">
        <v>12.98</v>
      </c>
      <c r="M314">
        <v>2.4142058359999998</v>
      </c>
      <c r="N314">
        <f>E314/_xlfn.XLOOKUP(C314,Lookups!$A$2:$A$66,Lookups!$C$2:$C$66)</f>
        <v>18.980944686518626</v>
      </c>
    </row>
    <row r="315" spans="1:27" x14ac:dyDescent="0.2">
      <c r="A315">
        <v>45</v>
      </c>
      <c r="B315">
        <v>11</v>
      </c>
      <c r="C315" t="s">
        <v>167</v>
      </c>
      <c r="D315">
        <v>2011</v>
      </c>
      <c r="E315">
        <v>56267</v>
      </c>
      <c r="F315">
        <v>55358</v>
      </c>
      <c r="G315">
        <v>909</v>
      </c>
      <c r="H315">
        <v>2.72</v>
      </c>
      <c r="I315">
        <v>22920</v>
      </c>
      <c r="J315">
        <v>20319</v>
      </c>
      <c r="K315">
        <v>2601</v>
      </c>
      <c r="L315">
        <v>11.35</v>
      </c>
      <c r="M315">
        <v>2.4152705060000002</v>
      </c>
      <c r="N315">
        <f>E315/_xlfn.XLOOKUP(C315,Lookups!$A$2:$A$66,Lookups!$C$2:$C$66)</f>
        <v>19.02049536378172</v>
      </c>
    </row>
    <row r="316" spans="1:27" x14ac:dyDescent="0.2">
      <c r="A316">
        <v>45</v>
      </c>
      <c r="B316">
        <v>11</v>
      </c>
      <c r="C316" t="s">
        <v>167</v>
      </c>
      <c r="D316">
        <v>2012</v>
      </c>
      <c r="E316">
        <v>56415</v>
      </c>
      <c r="F316">
        <v>55481</v>
      </c>
      <c r="G316">
        <v>934</v>
      </c>
      <c r="H316">
        <v>2.72</v>
      </c>
      <c r="I316">
        <v>22955</v>
      </c>
      <c r="J316">
        <v>20378</v>
      </c>
      <c r="K316">
        <v>2577</v>
      </c>
      <c r="L316">
        <v>11.23</v>
      </c>
      <c r="M316">
        <v>2.4169461989999999</v>
      </c>
      <c r="N316">
        <f>E316/_xlfn.XLOOKUP(C316,Lookups!$A$2:$A$66,Lookups!$C$2:$C$66)</f>
        <v>19.07052528031965</v>
      </c>
    </row>
    <row r="317" spans="1:27" x14ac:dyDescent="0.2">
      <c r="A317">
        <v>45</v>
      </c>
      <c r="B317">
        <v>11</v>
      </c>
      <c r="C317" t="s">
        <v>167</v>
      </c>
      <c r="D317">
        <v>2013</v>
      </c>
      <c r="E317">
        <v>56798</v>
      </c>
      <c r="F317">
        <v>55839</v>
      </c>
      <c r="G317">
        <v>959</v>
      </c>
      <c r="H317">
        <v>2.72</v>
      </c>
      <c r="I317">
        <v>23042</v>
      </c>
      <c r="J317">
        <v>20522</v>
      </c>
      <c r="K317">
        <v>2520</v>
      </c>
      <c r="L317">
        <v>10.94</v>
      </c>
      <c r="M317">
        <v>2.4233573470000001</v>
      </c>
      <c r="N317">
        <f>E317/_xlfn.XLOOKUP(C317,Lookups!$A$2:$A$66,Lookups!$C$2:$C$66)</f>
        <v>19.199994591360372</v>
      </c>
    </row>
    <row r="318" spans="1:27" x14ac:dyDescent="0.2">
      <c r="A318">
        <v>45</v>
      </c>
      <c r="B318">
        <v>11</v>
      </c>
      <c r="C318" t="s">
        <v>167</v>
      </c>
      <c r="D318">
        <v>2014</v>
      </c>
      <c r="E318">
        <v>57131</v>
      </c>
      <c r="F318">
        <v>56147</v>
      </c>
      <c r="G318">
        <v>984</v>
      </c>
      <c r="H318">
        <v>2.72</v>
      </c>
      <c r="I318">
        <v>23118</v>
      </c>
      <c r="J318">
        <v>20648</v>
      </c>
      <c r="K318">
        <v>2470</v>
      </c>
      <c r="L318">
        <v>10.68</v>
      </c>
      <c r="M318">
        <v>2.428713557</v>
      </c>
      <c r="N318">
        <f>E318/_xlfn.XLOOKUP(C318,Lookups!$A$2:$A$66,Lookups!$C$2:$C$66)</f>
        <v>19.312561903570717</v>
      </c>
    </row>
    <row r="319" spans="1:27" x14ac:dyDescent="0.2">
      <c r="A319">
        <v>45</v>
      </c>
      <c r="B319">
        <v>11</v>
      </c>
      <c r="C319" t="s">
        <v>167</v>
      </c>
      <c r="D319">
        <v>2015</v>
      </c>
      <c r="E319">
        <v>57495</v>
      </c>
      <c r="F319">
        <v>56486</v>
      </c>
      <c r="G319">
        <v>1010</v>
      </c>
      <c r="H319">
        <v>2.72</v>
      </c>
      <c r="I319">
        <v>23201</v>
      </c>
      <c r="J319">
        <v>20786</v>
      </c>
      <c r="K319">
        <v>2415</v>
      </c>
      <c r="L319">
        <v>10.41</v>
      </c>
      <c r="M319">
        <v>2.4346364380000001</v>
      </c>
      <c r="N319">
        <f>E319/_xlfn.XLOOKUP(C319,Lookups!$A$2:$A$66,Lookups!$C$2:$C$66)</f>
        <v>19.435608455055895</v>
      </c>
    </row>
    <row r="320" spans="1:27" x14ac:dyDescent="0.2">
      <c r="A320">
        <v>45</v>
      </c>
      <c r="B320">
        <v>11</v>
      </c>
      <c r="C320" t="s">
        <v>167</v>
      </c>
      <c r="D320">
        <v>2016</v>
      </c>
      <c r="E320">
        <v>58161</v>
      </c>
      <c r="F320">
        <v>57126</v>
      </c>
      <c r="G320">
        <v>1035</v>
      </c>
      <c r="H320">
        <v>2.72</v>
      </c>
      <c r="I320">
        <v>23351</v>
      </c>
      <c r="J320">
        <v>21035</v>
      </c>
      <c r="K320">
        <v>2316</v>
      </c>
      <c r="L320">
        <v>9.92</v>
      </c>
      <c r="M320">
        <v>2.4464048649999999</v>
      </c>
      <c r="N320">
        <f>E320/_xlfn.XLOOKUP(C320,Lookups!$A$2:$A$66,Lookups!$C$2:$C$66)</f>
        <v>19.660743079476578</v>
      </c>
    </row>
    <row r="321" spans="1:27" x14ac:dyDescent="0.2">
      <c r="A321">
        <v>45</v>
      </c>
      <c r="B321">
        <v>11</v>
      </c>
      <c r="C321" t="s">
        <v>167</v>
      </c>
      <c r="D321">
        <v>2017</v>
      </c>
      <c r="E321">
        <v>58871</v>
      </c>
      <c r="F321">
        <v>57811</v>
      </c>
      <c r="G321">
        <v>1060</v>
      </c>
      <c r="H321">
        <v>2.71</v>
      </c>
      <c r="I321">
        <v>23511</v>
      </c>
      <c r="J321">
        <v>21300</v>
      </c>
      <c r="K321">
        <v>2211</v>
      </c>
      <c r="L321">
        <v>9.4</v>
      </c>
      <c r="M321">
        <v>2.4588915830000002</v>
      </c>
      <c r="N321">
        <f>E321/_xlfn.XLOOKUP(C321,Lookups!$A$2:$A$66,Lookups!$C$2:$C$66)</f>
        <v>19.900751462867998</v>
      </c>
    </row>
    <row r="322" spans="1:27" x14ac:dyDescent="0.2">
      <c r="A322">
        <v>45</v>
      </c>
      <c r="B322">
        <v>11</v>
      </c>
      <c r="C322" t="s">
        <v>167</v>
      </c>
      <c r="D322">
        <v>2018</v>
      </c>
      <c r="E322">
        <v>59769</v>
      </c>
      <c r="F322">
        <v>58684</v>
      </c>
      <c r="G322">
        <v>1085</v>
      </c>
      <c r="H322">
        <v>2.71</v>
      </c>
      <c r="I322">
        <v>23713</v>
      </c>
      <c r="J322">
        <v>21636</v>
      </c>
      <c r="K322">
        <v>2077</v>
      </c>
      <c r="L322">
        <v>8.76</v>
      </c>
      <c r="M322">
        <v>2.4747606800000002</v>
      </c>
      <c r="N322">
        <f>E322/_xlfn.XLOOKUP(C322,Lookups!$A$2:$A$66,Lookups!$C$2:$C$66)</f>
        <v>20.204311361861652</v>
      </c>
    </row>
    <row r="323" spans="1:27" x14ac:dyDescent="0.2">
      <c r="A323">
        <v>45</v>
      </c>
      <c r="B323">
        <v>11</v>
      </c>
      <c r="C323" t="s">
        <v>167</v>
      </c>
      <c r="D323">
        <v>2019</v>
      </c>
      <c r="E323">
        <v>60558</v>
      </c>
      <c r="F323">
        <v>59448</v>
      </c>
      <c r="G323">
        <v>1110</v>
      </c>
      <c r="H323">
        <v>2.71</v>
      </c>
      <c r="I323">
        <v>23891</v>
      </c>
      <c r="J323">
        <v>21931</v>
      </c>
      <c r="K323">
        <v>1960</v>
      </c>
      <c r="L323">
        <v>8.1999999999999993</v>
      </c>
      <c r="M323">
        <v>2.488301034</v>
      </c>
      <c r="N323">
        <f>E323/_xlfn.XLOOKUP(C323,Lookups!$A$2:$A$66,Lookups!$C$2:$C$66)</f>
        <v>20.471024903405077</v>
      </c>
    </row>
    <row r="324" spans="1:27" x14ac:dyDescent="0.2">
      <c r="A324">
        <v>45</v>
      </c>
      <c r="B324">
        <v>11</v>
      </c>
      <c r="C324" t="s">
        <v>167</v>
      </c>
      <c r="D324">
        <v>2020</v>
      </c>
      <c r="E324">
        <v>61791</v>
      </c>
      <c r="F324">
        <v>60735</v>
      </c>
      <c r="G324">
        <v>1056</v>
      </c>
      <c r="I324">
        <v>24169</v>
      </c>
      <c r="M324">
        <v>2.5129297859999999</v>
      </c>
      <c r="N324">
        <f>E324/_xlfn.XLOOKUP(C324,Lookups!$A$2:$A$66,Lookups!$C$2:$C$66)</f>
        <v>20.887828194562289</v>
      </c>
      <c r="O324">
        <v>61791</v>
      </c>
      <c r="P324">
        <v>748</v>
      </c>
      <c r="Q324">
        <v>390</v>
      </c>
      <c r="R324">
        <v>843</v>
      </c>
      <c r="S324">
        <v>358</v>
      </c>
      <c r="T324">
        <v>24169</v>
      </c>
      <c r="W324">
        <v>60735</v>
      </c>
      <c r="X324">
        <v>334</v>
      </c>
      <c r="AA324">
        <v>2.5129297859999999</v>
      </c>
    </row>
    <row r="325" spans="1:27" x14ac:dyDescent="0.2">
      <c r="A325">
        <v>45</v>
      </c>
      <c r="B325">
        <v>11</v>
      </c>
      <c r="C325" t="s">
        <v>167</v>
      </c>
      <c r="D325">
        <v>2021</v>
      </c>
      <c r="E325">
        <v>62164</v>
      </c>
      <c r="F325">
        <v>61254</v>
      </c>
      <c r="G325">
        <v>910</v>
      </c>
      <c r="I325">
        <v>24500</v>
      </c>
      <c r="M325">
        <v>2.5001632649999999</v>
      </c>
      <c r="N325">
        <f>E325/_xlfn.XLOOKUP(C325,Lookups!$A$2:$A$66,Lookups!$C$2:$C$66)</f>
        <v>21.013917105836935</v>
      </c>
      <c r="O325">
        <v>62164</v>
      </c>
      <c r="P325">
        <v>729</v>
      </c>
      <c r="Q325">
        <v>292</v>
      </c>
      <c r="R325">
        <v>81</v>
      </c>
      <c r="S325">
        <v>437</v>
      </c>
      <c r="T325">
        <v>24500</v>
      </c>
      <c r="W325">
        <v>61254</v>
      </c>
      <c r="X325">
        <v>631</v>
      </c>
      <c r="AA325">
        <v>2.5001632649999999</v>
      </c>
    </row>
    <row r="326" spans="1:27" x14ac:dyDescent="0.2">
      <c r="A326">
        <v>45</v>
      </c>
      <c r="B326">
        <v>11</v>
      </c>
      <c r="C326" t="s">
        <v>167</v>
      </c>
      <c r="D326">
        <v>2022</v>
      </c>
      <c r="E326">
        <v>62254</v>
      </c>
      <c r="F326">
        <v>61221</v>
      </c>
      <c r="G326">
        <v>1033</v>
      </c>
      <c r="I326">
        <v>25068</v>
      </c>
      <c r="M326">
        <v>2.4421972240000001</v>
      </c>
      <c r="N326">
        <f>E326/_xlfn.XLOOKUP(C326,Lookups!$A$2:$A$66,Lookups!$C$2:$C$66)</f>
        <v>21.044340703731624</v>
      </c>
      <c r="O326">
        <v>62254</v>
      </c>
      <c r="P326">
        <v>728</v>
      </c>
      <c r="Q326">
        <v>314</v>
      </c>
      <c r="R326">
        <v>-224</v>
      </c>
      <c r="S326">
        <v>414</v>
      </c>
      <c r="T326">
        <v>25068</v>
      </c>
      <c r="W326">
        <v>61221</v>
      </c>
      <c r="X326">
        <v>240</v>
      </c>
      <c r="AA326">
        <v>2.4421972240000001</v>
      </c>
    </row>
    <row r="327" spans="1:27" x14ac:dyDescent="0.2">
      <c r="A327">
        <v>47</v>
      </c>
      <c r="B327">
        <v>3</v>
      </c>
      <c r="C327" t="s">
        <v>168</v>
      </c>
      <c r="D327">
        <v>2010</v>
      </c>
      <c r="E327">
        <v>5463</v>
      </c>
      <c r="F327">
        <v>5414</v>
      </c>
      <c r="G327">
        <v>49</v>
      </c>
      <c r="H327">
        <v>2.37</v>
      </c>
      <c r="I327">
        <v>3298</v>
      </c>
      <c r="J327">
        <v>2289</v>
      </c>
      <c r="K327">
        <v>1009</v>
      </c>
      <c r="L327">
        <v>30.59</v>
      </c>
      <c r="M327">
        <v>1.64160097</v>
      </c>
      <c r="N327">
        <f>E327/_xlfn.XLOOKUP(C327,Lookups!$A$2:$A$66,Lookups!$C$2:$C$66)</f>
        <v>36.383616383616385</v>
      </c>
    </row>
    <row r="328" spans="1:27" x14ac:dyDescent="0.2">
      <c r="A328">
        <v>47</v>
      </c>
      <c r="B328">
        <v>3</v>
      </c>
      <c r="C328" t="s">
        <v>168</v>
      </c>
      <c r="D328">
        <v>2011</v>
      </c>
      <c r="E328">
        <v>5477</v>
      </c>
      <c r="F328">
        <v>5429</v>
      </c>
      <c r="G328">
        <v>48</v>
      </c>
      <c r="H328">
        <v>2.19</v>
      </c>
      <c r="I328">
        <v>3306</v>
      </c>
      <c r="J328">
        <v>2475</v>
      </c>
      <c r="K328">
        <v>831</v>
      </c>
      <c r="L328">
        <v>25.14</v>
      </c>
      <c r="M328">
        <v>1.6421657590000001</v>
      </c>
      <c r="N328">
        <f>E328/_xlfn.XLOOKUP(C328,Lookups!$A$2:$A$66,Lookups!$C$2:$C$66)</f>
        <v>36.476856476856476</v>
      </c>
    </row>
    <row r="329" spans="1:27" x14ac:dyDescent="0.2">
      <c r="A329">
        <v>47</v>
      </c>
      <c r="B329">
        <v>3</v>
      </c>
      <c r="C329" t="s">
        <v>168</v>
      </c>
      <c r="D329">
        <v>2012</v>
      </c>
      <c r="E329">
        <v>5500</v>
      </c>
      <c r="F329">
        <v>5453</v>
      </c>
      <c r="G329">
        <v>47</v>
      </c>
      <c r="H329">
        <v>2.2000000000000002</v>
      </c>
      <c r="I329">
        <v>3321</v>
      </c>
      <c r="J329">
        <v>2484</v>
      </c>
      <c r="K329">
        <v>837</v>
      </c>
      <c r="L329">
        <v>25.2</v>
      </c>
      <c r="M329">
        <v>1.641975309</v>
      </c>
      <c r="N329">
        <f>E329/_xlfn.XLOOKUP(C329,Lookups!$A$2:$A$66,Lookups!$C$2:$C$66)</f>
        <v>36.630036630036628</v>
      </c>
    </row>
    <row r="330" spans="1:27" x14ac:dyDescent="0.2">
      <c r="A330">
        <v>47</v>
      </c>
      <c r="B330">
        <v>3</v>
      </c>
      <c r="C330" t="s">
        <v>168</v>
      </c>
      <c r="D330">
        <v>2013</v>
      </c>
      <c r="E330">
        <v>5512</v>
      </c>
      <c r="F330">
        <v>5466</v>
      </c>
      <c r="G330">
        <v>46</v>
      </c>
      <c r="H330">
        <v>2.2000000000000002</v>
      </c>
      <c r="I330">
        <v>3328</v>
      </c>
      <c r="J330">
        <v>2488</v>
      </c>
      <c r="K330">
        <v>840</v>
      </c>
      <c r="L330">
        <v>25.23</v>
      </c>
      <c r="M330">
        <v>1.642427885</v>
      </c>
      <c r="N330">
        <f>E330/_xlfn.XLOOKUP(C330,Lookups!$A$2:$A$66,Lookups!$C$2:$C$66)</f>
        <v>36.709956709956707</v>
      </c>
    </row>
    <row r="331" spans="1:27" x14ac:dyDescent="0.2">
      <c r="A331">
        <v>47</v>
      </c>
      <c r="B331">
        <v>3</v>
      </c>
      <c r="C331" t="s">
        <v>168</v>
      </c>
      <c r="D331">
        <v>2014</v>
      </c>
      <c r="E331">
        <v>5536</v>
      </c>
      <c r="F331">
        <v>5490</v>
      </c>
      <c r="G331">
        <v>45</v>
      </c>
      <c r="H331">
        <v>2.2000000000000002</v>
      </c>
      <c r="I331">
        <v>3343</v>
      </c>
      <c r="J331">
        <v>2498</v>
      </c>
      <c r="K331">
        <v>845</v>
      </c>
      <c r="L331">
        <v>25.29</v>
      </c>
      <c r="M331">
        <v>1.642237511</v>
      </c>
      <c r="N331">
        <f>E331/_xlfn.XLOOKUP(C331,Lookups!$A$2:$A$66,Lookups!$C$2:$C$66)</f>
        <v>36.869796869796872</v>
      </c>
    </row>
    <row r="332" spans="1:27" x14ac:dyDescent="0.2">
      <c r="A332">
        <v>47</v>
      </c>
      <c r="B332">
        <v>3</v>
      </c>
      <c r="C332" t="s">
        <v>168</v>
      </c>
      <c r="D332">
        <v>2015</v>
      </c>
      <c r="E332">
        <v>5553</v>
      </c>
      <c r="F332">
        <v>5509</v>
      </c>
      <c r="G332">
        <v>44</v>
      </c>
      <c r="H332">
        <v>2.2000000000000002</v>
      </c>
      <c r="I332">
        <v>3354</v>
      </c>
      <c r="J332">
        <v>2504</v>
      </c>
      <c r="K332">
        <v>850</v>
      </c>
      <c r="L332">
        <v>25.33</v>
      </c>
      <c r="M332">
        <v>1.6425163979999999</v>
      </c>
      <c r="N332">
        <f>E332/_xlfn.XLOOKUP(C332,Lookups!$A$2:$A$66,Lookups!$C$2:$C$66)</f>
        <v>36.983016983016981</v>
      </c>
    </row>
    <row r="333" spans="1:27" x14ac:dyDescent="0.2">
      <c r="A333">
        <v>47</v>
      </c>
      <c r="B333">
        <v>3</v>
      </c>
      <c r="C333" t="s">
        <v>168</v>
      </c>
      <c r="D333">
        <v>2016</v>
      </c>
      <c r="E333">
        <v>5578</v>
      </c>
      <c r="F333">
        <v>5534</v>
      </c>
      <c r="G333">
        <v>44</v>
      </c>
      <c r="H333">
        <v>2.2000000000000002</v>
      </c>
      <c r="I333">
        <v>3370</v>
      </c>
      <c r="J333">
        <v>2514</v>
      </c>
      <c r="K333">
        <v>856</v>
      </c>
      <c r="L333">
        <v>25.39</v>
      </c>
      <c r="M333">
        <v>1.642136499</v>
      </c>
      <c r="N333">
        <f>E333/_xlfn.XLOOKUP(C333,Lookups!$A$2:$A$66,Lookups!$C$2:$C$66)</f>
        <v>37.149517149517145</v>
      </c>
    </row>
    <row r="334" spans="1:27" x14ac:dyDescent="0.2">
      <c r="A334">
        <v>47</v>
      </c>
      <c r="B334">
        <v>3</v>
      </c>
      <c r="C334" t="s">
        <v>168</v>
      </c>
      <c r="D334">
        <v>2017</v>
      </c>
      <c r="E334">
        <v>5635</v>
      </c>
      <c r="F334">
        <v>5592</v>
      </c>
      <c r="G334">
        <v>43</v>
      </c>
      <c r="H334">
        <v>2.2000000000000002</v>
      </c>
      <c r="I334">
        <v>3410</v>
      </c>
      <c r="J334">
        <v>2539</v>
      </c>
      <c r="K334">
        <v>871</v>
      </c>
      <c r="L334">
        <v>25.55</v>
      </c>
      <c r="M334">
        <v>1.6398826980000001</v>
      </c>
      <c r="N334">
        <f>E334/_xlfn.XLOOKUP(C334,Lookups!$A$2:$A$66,Lookups!$C$2:$C$66)</f>
        <v>37.529137529137529</v>
      </c>
    </row>
    <row r="335" spans="1:27" x14ac:dyDescent="0.2">
      <c r="A335">
        <v>47</v>
      </c>
      <c r="B335">
        <v>3</v>
      </c>
      <c r="C335" t="s">
        <v>168</v>
      </c>
      <c r="D335">
        <v>2018</v>
      </c>
      <c r="E335">
        <v>5707</v>
      </c>
      <c r="F335">
        <v>5666</v>
      </c>
      <c r="G335">
        <v>42</v>
      </c>
      <c r="H335">
        <v>2.2000000000000002</v>
      </c>
      <c r="I335">
        <v>3461</v>
      </c>
      <c r="J335">
        <v>2570</v>
      </c>
      <c r="K335">
        <v>891</v>
      </c>
      <c r="L335">
        <v>25.74</v>
      </c>
      <c r="M335">
        <v>1.637099104</v>
      </c>
      <c r="N335">
        <f>E335/_xlfn.XLOOKUP(C335,Lookups!$A$2:$A$66,Lookups!$C$2:$C$66)</f>
        <v>38.00865800865801</v>
      </c>
    </row>
    <row r="336" spans="1:27" x14ac:dyDescent="0.2">
      <c r="A336">
        <v>47</v>
      </c>
      <c r="B336">
        <v>3</v>
      </c>
      <c r="C336" t="s">
        <v>168</v>
      </c>
      <c r="D336">
        <v>2019</v>
      </c>
      <c r="E336">
        <v>5751</v>
      </c>
      <c r="F336">
        <v>5710</v>
      </c>
      <c r="G336">
        <v>41</v>
      </c>
      <c r="H336">
        <v>2.21</v>
      </c>
      <c r="I336">
        <v>3491</v>
      </c>
      <c r="J336">
        <v>2589</v>
      </c>
      <c r="K336">
        <v>902</v>
      </c>
      <c r="L336">
        <v>25.85</v>
      </c>
      <c r="M336">
        <v>1.6356344890000001</v>
      </c>
      <c r="N336">
        <f>E336/_xlfn.XLOOKUP(C336,Lookups!$A$2:$A$66,Lookups!$C$2:$C$66)</f>
        <v>38.301698301698302</v>
      </c>
    </row>
    <row r="337" spans="1:27" x14ac:dyDescent="0.2">
      <c r="A337">
        <v>47</v>
      </c>
      <c r="B337">
        <v>3</v>
      </c>
      <c r="C337" t="s">
        <v>168</v>
      </c>
      <c r="D337">
        <v>2020</v>
      </c>
      <c r="E337">
        <v>5823</v>
      </c>
      <c r="F337">
        <v>5775</v>
      </c>
      <c r="G337">
        <v>48</v>
      </c>
      <c r="I337">
        <v>3523</v>
      </c>
      <c r="M337">
        <v>1.639227931</v>
      </c>
      <c r="N337">
        <f>E337/_xlfn.XLOOKUP(C337,Lookups!$A$2:$A$66,Lookups!$C$2:$C$66)</f>
        <v>38.781218781218783</v>
      </c>
      <c r="O337">
        <v>5823</v>
      </c>
      <c r="P337">
        <v>46</v>
      </c>
      <c r="Q337">
        <v>-2</v>
      </c>
      <c r="R337">
        <v>74</v>
      </c>
      <c r="S337">
        <v>48</v>
      </c>
      <c r="T337">
        <v>3523</v>
      </c>
      <c r="W337">
        <v>5775</v>
      </c>
      <c r="X337">
        <v>20</v>
      </c>
      <c r="AA337">
        <v>1.639227931</v>
      </c>
    </row>
    <row r="338" spans="1:27" x14ac:dyDescent="0.2">
      <c r="A338">
        <v>47</v>
      </c>
      <c r="B338">
        <v>3</v>
      </c>
      <c r="C338" t="s">
        <v>168</v>
      </c>
      <c r="D338">
        <v>2021</v>
      </c>
      <c r="E338">
        <v>5894</v>
      </c>
      <c r="F338">
        <v>5846</v>
      </c>
      <c r="G338">
        <v>48</v>
      </c>
      <c r="I338">
        <v>3543</v>
      </c>
      <c r="M338">
        <v>1.650014112</v>
      </c>
      <c r="N338">
        <f>E338/_xlfn.XLOOKUP(C338,Lookups!$A$2:$A$66,Lookups!$C$2:$C$66)</f>
        <v>39.254079254079251</v>
      </c>
      <c r="O338">
        <v>5894</v>
      </c>
      <c r="P338">
        <v>33</v>
      </c>
      <c r="Q338">
        <v>-1</v>
      </c>
      <c r="R338">
        <v>72</v>
      </c>
      <c r="S338">
        <v>34</v>
      </c>
      <c r="T338">
        <v>3543</v>
      </c>
      <c r="W338">
        <v>5846</v>
      </c>
      <c r="X338">
        <v>22</v>
      </c>
      <c r="AA338">
        <v>1.650014112</v>
      </c>
    </row>
    <row r="339" spans="1:27" x14ac:dyDescent="0.2">
      <c r="A339">
        <v>47</v>
      </c>
      <c r="B339">
        <v>3</v>
      </c>
      <c r="C339" t="s">
        <v>168</v>
      </c>
      <c r="D339">
        <v>2022</v>
      </c>
      <c r="E339">
        <v>5895</v>
      </c>
      <c r="F339">
        <v>5847</v>
      </c>
      <c r="G339">
        <v>48</v>
      </c>
      <c r="I339">
        <v>3564</v>
      </c>
      <c r="M339">
        <v>1.6405723910000001</v>
      </c>
      <c r="N339">
        <f>E339/_xlfn.XLOOKUP(C339,Lookups!$A$2:$A$66,Lookups!$C$2:$C$66)</f>
        <v>39.260739260739257</v>
      </c>
      <c r="O339">
        <v>5895</v>
      </c>
      <c r="P339">
        <v>49</v>
      </c>
      <c r="Q339">
        <v>14</v>
      </c>
      <c r="R339">
        <v>-13</v>
      </c>
      <c r="S339">
        <v>35</v>
      </c>
      <c r="T339">
        <v>3564</v>
      </c>
      <c r="W339">
        <v>5847</v>
      </c>
      <c r="X339">
        <v>36</v>
      </c>
      <c r="AA339">
        <v>1.6405723910000001</v>
      </c>
    </row>
    <row r="340" spans="1:27" x14ac:dyDescent="0.2">
      <c r="A340">
        <v>49</v>
      </c>
      <c r="B340">
        <v>12</v>
      </c>
      <c r="C340" t="s">
        <v>169</v>
      </c>
      <c r="D340">
        <v>2010</v>
      </c>
      <c r="E340">
        <v>14790</v>
      </c>
      <c r="F340">
        <v>14568</v>
      </c>
      <c r="G340">
        <v>222</v>
      </c>
      <c r="H340">
        <v>2.36</v>
      </c>
      <c r="I340">
        <v>15396</v>
      </c>
      <c r="J340">
        <v>6168</v>
      </c>
      <c r="K340">
        <v>9228</v>
      </c>
      <c r="L340">
        <v>59.94</v>
      </c>
      <c r="M340">
        <v>0.94621979700000003</v>
      </c>
      <c r="N340">
        <f>E340/_xlfn.XLOOKUP(C340,Lookups!$A$2:$A$66,Lookups!$C$2:$C$66)</f>
        <v>7.9153131070948826</v>
      </c>
    </row>
    <row r="341" spans="1:27" x14ac:dyDescent="0.2">
      <c r="A341">
        <v>49</v>
      </c>
      <c r="B341">
        <v>12</v>
      </c>
      <c r="C341" t="s">
        <v>169</v>
      </c>
      <c r="D341">
        <v>2011</v>
      </c>
      <c r="E341">
        <v>14836</v>
      </c>
      <c r="F341">
        <v>14617</v>
      </c>
      <c r="G341">
        <v>220</v>
      </c>
      <c r="H341">
        <v>2.2599999999999998</v>
      </c>
      <c r="I341">
        <v>15482</v>
      </c>
      <c r="J341">
        <v>6478</v>
      </c>
      <c r="K341">
        <v>9004</v>
      </c>
      <c r="L341">
        <v>58.15</v>
      </c>
      <c r="M341">
        <v>0.94412866600000001</v>
      </c>
      <c r="N341">
        <f>E341/_xlfn.XLOOKUP(C341,Lookups!$A$2:$A$66,Lookups!$C$2:$C$66)</f>
        <v>7.9399313899161372</v>
      </c>
    </row>
    <row r="342" spans="1:27" x14ac:dyDescent="0.2">
      <c r="A342">
        <v>49</v>
      </c>
      <c r="B342">
        <v>12</v>
      </c>
      <c r="C342" t="s">
        <v>169</v>
      </c>
      <c r="D342">
        <v>2012</v>
      </c>
      <c r="E342">
        <v>14925</v>
      </c>
      <c r="F342">
        <v>14707</v>
      </c>
      <c r="G342">
        <v>217</v>
      </c>
      <c r="H342">
        <v>2.25</v>
      </c>
      <c r="I342">
        <v>15615</v>
      </c>
      <c r="J342">
        <v>6532</v>
      </c>
      <c r="K342">
        <v>9083</v>
      </c>
      <c r="L342">
        <v>58.17</v>
      </c>
      <c r="M342">
        <v>0.94185078499999997</v>
      </c>
      <c r="N342">
        <f>E342/_xlfn.XLOOKUP(C342,Lookups!$A$2:$A$66,Lookups!$C$2:$C$66)</f>
        <v>7.9875624153746525</v>
      </c>
    </row>
    <row r="343" spans="1:27" x14ac:dyDescent="0.2">
      <c r="A343">
        <v>49</v>
      </c>
      <c r="B343">
        <v>12</v>
      </c>
      <c r="C343" t="s">
        <v>169</v>
      </c>
      <c r="D343">
        <v>2013</v>
      </c>
      <c r="E343">
        <v>14948</v>
      </c>
      <c r="F343">
        <v>14733</v>
      </c>
      <c r="G343">
        <v>215</v>
      </c>
      <c r="H343">
        <v>2.25</v>
      </c>
      <c r="I343">
        <v>15676</v>
      </c>
      <c r="J343">
        <v>6556</v>
      </c>
      <c r="K343">
        <v>9120</v>
      </c>
      <c r="L343">
        <v>58.18</v>
      </c>
      <c r="M343">
        <v>0.93984434800000005</v>
      </c>
      <c r="N343">
        <f>E343/_xlfn.XLOOKUP(C343,Lookups!$A$2:$A$66,Lookups!$C$2:$C$66)</f>
        <v>7.9998715567852807</v>
      </c>
    </row>
    <row r="344" spans="1:27" x14ac:dyDescent="0.2">
      <c r="A344">
        <v>49</v>
      </c>
      <c r="B344">
        <v>12</v>
      </c>
      <c r="C344" t="s">
        <v>169</v>
      </c>
      <c r="D344">
        <v>2014</v>
      </c>
      <c r="E344">
        <v>14934</v>
      </c>
      <c r="F344">
        <v>14722</v>
      </c>
      <c r="G344">
        <v>212</v>
      </c>
      <c r="H344">
        <v>2.2400000000000002</v>
      </c>
      <c r="I344">
        <v>15697</v>
      </c>
      <c r="J344">
        <v>6565</v>
      </c>
      <c r="K344">
        <v>9132</v>
      </c>
      <c r="L344">
        <v>58.18</v>
      </c>
      <c r="M344">
        <v>0.93788621999999999</v>
      </c>
      <c r="N344">
        <f>E344/_xlfn.XLOOKUP(C344,Lookups!$A$2:$A$66,Lookups!$C$2:$C$66)</f>
        <v>7.9923790359266373</v>
      </c>
    </row>
    <row r="345" spans="1:27" x14ac:dyDescent="0.2">
      <c r="A345">
        <v>49</v>
      </c>
      <c r="B345">
        <v>12</v>
      </c>
      <c r="C345" t="s">
        <v>169</v>
      </c>
      <c r="D345">
        <v>2015</v>
      </c>
      <c r="E345">
        <v>14961</v>
      </c>
      <c r="F345">
        <v>14751</v>
      </c>
      <c r="G345">
        <v>210</v>
      </c>
      <c r="H345">
        <v>2.2400000000000002</v>
      </c>
      <c r="I345">
        <v>15762</v>
      </c>
      <c r="J345">
        <v>6591</v>
      </c>
      <c r="K345">
        <v>9171</v>
      </c>
      <c r="L345">
        <v>58.19</v>
      </c>
      <c r="M345">
        <v>0.93585839400000004</v>
      </c>
      <c r="N345">
        <f>E345/_xlfn.XLOOKUP(C345,Lookups!$A$2:$A$66,Lookups!$C$2:$C$66)</f>
        <v>8.0068288975825919</v>
      </c>
    </row>
    <row r="346" spans="1:27" x14ac:dyDescent="0.2">
      <c r="A346">
        <v>49</v>
      </c>
      <c r="B346">
        <v>12</v>
      </c>
      <c r="C346" t="s">
        <v>169</v>
      </c>
      <c r="D346">
        <v>2016</v>
      </c>
      <c r="E346">
        <v>15042</v>
      </c>
      <c r="F346">
        <v>14835</v>
      </c>
      <c r="G346">
        <v>208</v>
      </c>
      <c r="H346">
        <v>2.23</v>
      </c>
      <c r="I346">
        <v>15889</v>
      </c>
      <c r="J346">
        <v>6641</v>
      </c>
      <c r="K346">
        <v>9248</v>
      </c>
      <c r="L346">
        <v>58.2</v>
      </c>
      <c r="M346">
        <v>0.93366479999999996</v>
      </c>
      <c r="N346">
        <f>E346/_xlfn.XLOOKUP(C346,Lookups!$A$2:$A$66,Lookups!$C$2:$C$66)</f>
        <v>8.0501784825504537</v>
      </c>
    </row>
    <row r="347" spans="1:27" x14ac:dyDescent="0.2">
      <c r="A347">
        <v>49</v>
      </c>
      <c r="B347">
        <v>12</v>
      </c>
      <c r="C347" t="s">
        <v>169</v>
      </c>
      <c r="D347">
        <v>2017</v>
      </c>
      <c r="E347">
        <v>15147</v>
      </c>
      <c r="F347">
        <v>14942</v>
      </c>
      <c r="G347">
        <v>205</v>
      </c>
      <c r="H347">
        <v>2.23</v>
      </c>
      <c r="I347">
        <v>16043</v>
      </c>
      <c r="J347">
        <v>6703</v>
      </c>
      <c r="K347">
        <v>9340</v>
      </c>
      <c r="L347">
        <v>58.22</v>
      </c>
      <c r="M347">
        <v>0.93137193799999995</v>
      </c>
      <c r="N347">
        <f>E347/_xlfn.XLOOKUP(C347,Lookups!$A$2:$A$66,Lookups!$C$2:$C$66)</f>
        <v>8.106372388990275</v>
      </c>
    </row>
    <row r="348" spans="1:27" x14ac:dyDescent="0.2">
      <c r="A348">
        <v>49</v>
      </c>
      <c r="B348">
        <v>12</v>
      </c>
      <c r="C348" t="s">
        <v>169</v>
      </c>
      <c r="D348">
        <v>2018</v>
      </c>
      <c r="E348">
        <v>15268</v>
      </c>
      <c r="F348">
        <v>15065</v>
      </c>
      <c r="G348">
        <v>203</v>
      </c>
      <c r="H348">
        <v>2.2200000000000002</v>
      </c>
      <c r="I348">
        <v>16215</v>
      </c>
      <c r="J348">
        <v>6772</v>
      </c>
      <c r="K348">
        <v>9443</v>
      </c>
      <c r="L348">
        <v>58.24</v>
      </c>
      <c r="M348">
        <v>0.92907801400000001</v>
      </c>
      <c r="N348">
        <f>E348/_xlfn.XLOOKUP(C348,Lookups!$A$2:$A$66,Lookups!$C$2:$C$66)</f>
        <v>8.1711291764114033</v>
      </c>
    </row>
    <row r="349" spans="1:27" x14ac:dyDescent="0.2">
      <c r="A349">
        <v>49</v>
      </c>
      <c r="B349">
        <v>12</v>
      </c>
      <c r="C349" t="s">
        <v>169</v>
      </c>
      <c r="D349">
        <v>2019</v>
      </c>
      <c r="E349">
        <v>15408</v>
      </c>
      <c r="F349">
        <v>15207</v>
      </c>
      <c r="G349">
        <v>200</v>
      </c>
      <c r="H349">
        <v>2.2200000000000002</v>
      </c>
      <c r="I349">
        <v>16409</v>
      </c>
      <c r="J349">
        <v>6850</v>
      </c>
      <c r="K349">
        <v>9559</v>
      </c>
      <c r="L349">
        <v>58.26</v>
      </c>
      <c r="M349">
        <v>0.92674751700000002</v>
      </c>
      <c r="N349">
        <f>E349/_xlfn.XLOOKUP(C349,Lookups!$A$2:$A$66,Lookups!$C$2:$C$66)</f>
        <v>8.2460543849978318</v>
      </c>
    </row>
    <row r="350" spans="1:27" x14ac:dyDescent="0.2">
      <c r="A350">
        <v>49</v>
      </c>
      <c r="B350">
        <v>12</v>
      </c>
      <c r="C350" t="s">
        <v>169</v>
      </c>
      <c r="D350">
        <v>2020</v>
      </c>
      <c r="E350">
        <v>15748</v>
      </c>
      <c r="F350">
        <v>15536</v>
      </c>
      <c r="G350">
        <v>212</v>
      </c>
      <c r="I350">
        <v>16805</v>
      </c>
      <c r="M350">
        <v>0.92448675999999996</v>
      </c>
      <c r="N350">
        <f>E350/_xlfn.XLOOKUP(C350,Lookups!$A$2:$A$66,Lookups!$C$2:$C$66)</f>
        <v>8.4280156058505877</v>
      </c>
      <c r="O350">
        <v>15748</v>
      </c>
      <c r="P350">
        <v>132</v>
      </c>
      <c r="Q350">
        <v>65</v>
      </c>
      <c r="R350">
        <v>275</v>
      </c>
      <c r="S350">
        <v>67</v>
      </c>
      <c r="T350">
        <v>16805</v>
      </c>
      <c r="W350">
        <v>15536</v>
      </c>
      <c r="X350">
        <v>234</v>
      </c>
      <c r="AA350">
        <v>0.92448675999999996</v>
      </c>
    </row>
    <row r="351" spans="1:27" x14ac:dyDescent="0.2">
      <c r="A351">
        <v>49</v>
      </c>
      <c r="B351">
        <v>12</v>
      </c>
      <c r="C351" t="s">
        <v>169</v>
      </c>
      <c r="D351">
        <v>2021</v>
      </c>
      <c r="E351">
        <v>15860</v>
      </c>
      <c r="F351">
        <v>15648</v>
      </c>
      <c r="G351">
        <v>212</v>
      </c>
      <c r="I351">
        <v>16627</v>
      </c>
      <c r="M351">
        <v>0.941119865</v>
      </c>
      <c r="N351">
        <f>E351/_xlfn.XLOOKUP(C351,Lookups!$A$2:$A$66,Lookups!$C$2:$C$66)</f>
        <v>8.4879557727197312</v>
      </c>
      <c r="O351">
        <v>15860</v>
      </c>
      <c r="P351">
        <v>113</v>
      </c>
      <c r="Q351">
        <v>21</v>
      </c>
      <c r="R351">
        <v>91</v>
      </c>
      <c r="S351">
        <v>92</v>
      </c>
      <c r="T351">
        <v>16627</v>
      </c>
      <c r="W351">
        <v>15648</v>
      </c>
      <c r="X351">
        <v>467</v>
      </c>
      <c r="AA351">
        <v>0.941119865</v>
      </c>
    </row>
    <row r="352" spans="1:27" x14ac:dyDescent="0.2">
      <c r="A352">
        <v>49</v>
      </c>
      <c r="B352">
        <v>12</v>
      </c>
      <c r="C352" t="s">
        <v>169</v>
      </c>
      <c r="D352">
        <v>2022</v>
      </c>
      <c r="E352">
        <v>15748</v>
      </c>
      <c r="F352">
        <v>15536</v>
      </c>
      <c r="G352">
        <v>212</v>
      </c>
      <c r="I352">
        <v>17285</v>
      </c>
      <c r="M352">
        <v>0.89881400099999997</v>
      </c>
      <c r="N352">
        <f>E352/_xlfn.XLOOKUP(C352,Lookups!$A$2:$A$66,Lookups!$C$2:$C$66)</f>
        <v>8.4280156058505877</v>
      </c>
      <c r="O352">
        <v>15748</v>
      </c>
      <c r="P352">
        <v>127</v>
      </c>
      <c r="Q352">
        <v>13</v>
      </c>
      <c r="R352">
        <v>-125</v>
      </c>
      <c r="S352">
        <v>114</v>
      </c>
      <c r="T352">
        <v>17285</v>
      </c>
      <c r="W352">
        <v>15536</v>
      </c>
      <c r="X352">
        <v>375</v>
      </c>
      <c r="AA352">
        <v>0.89881400099999997</v>
      </c>
    </row>
    <row r="353" spans="1:27" x14ac:dyDescent="0.2">
      <c r="A353">
        <v>51</v>
      </c>
      <c r="B353">
        <v>10</v>
      </c>
      <c r="C353" t="s">
        <v>170</v>
      </c>
      <c r="D353">
        <v>2010</v>
      </c>
      <c r="E353">
        <v>15309</v>
      </c>
      <c r="F353">
        <v>14459</v>
      </c>
      <c r="G353">
        <v>850</v>
      </c>
      <c r="H353">
        <v>2.2200000000000002</v>
      </c>
      <c r="I353">
        <v>11431</v>
      </c>
      <c r="J353">
        <v>6511</v>
      </c>
      <c r="K353">
        <v>4920</v>
      </c>
      <c r="L353">
        <v>43.04</v>
      </c>
      <c r="M353">
        <v>1.2648937099999999</v>
      </c>
      <c r="N353">
        <f>E353/_xlfn.XLOOKUP(C353,Lookups!$A$2:$A$66,Lookups!$C$2:$C$66)</f>
        <v>4.6971361245942287</v>
      </c>
    </row>
    <row r="354" spans="1:27" x14ac:dyDescent="0.2">
      <c r="A354">
        <v>51</v>
      </c>
      <c r="B354">
        <v>10</v>
      </c>
      <c r="C354" t="s">
        <v>170</v>
      </c>
      <c r="D354">
        <v>2011</v>
      </c>
      <c r="E354">
        <v>15348</v>
      </c>
      <c r="F354">
        <v>14477</v>
      </c>
      <c r="G354">
        <v>871</v>
      </c>
      <c r="H354">
        <v>2.2200000000000002</v>
      </c>
      <c r="I354">
        <v>11448</v>
      </c>
      <c r="J354">
        <v>6517</v>
      </c>
      <c r="K354">
        <v>4931</v>
      </c>
      <c r="L354">
        <v>43.07</v>
      </c>
      <c r="M354">
        <v>1.264587701</v>
      </c>
      <c r="N354">
        <f>E354/_xlfn.XLOOKUP(C354,Lookups!$A$2:$A$66,Lookups!$C$2:$C$66)</f>
        <v>4.7091021778216877</v>
      </c>
    </row>
    <row r="355" spans="1:27" x14ac:dyDescent="0.2">
      <c r="A355">
        <v>51</v>
      </c>
      <c r="B355">
        <v>10</v>
      </c>
      <c r="C355" t="s">
        <v>170</v>
      </c>
      <c r="D355">
        <v>2012</v>
      </c>
      <c r="E355">
        <v>15270</v>
      </c>
      <c r="F355">
        <v>14440</v>
      </c>
      <c r="G355">
        <v>830</v>
      </c>
      <c r="H355">
        <v>2.2200000000000002</v>
      </c>
      <c r="I355">
        <v>11459</v>
      </c>
      <c r="J355">
        <v>6499</v>
      </c>
      <c r="K355">
        <v>4960</v>
      </c>
      <c r="L355">
        <v>43.28</v>
      </c>
      <c r="M355">
        <v>1.2601448639999999</v>
      </c>
      <c r="N355">
        <f>E355/_xlfn.XLOOKUP(C355,Lookups!$A$2:$A$66,Lookups!$C$2:$C$66)</f>
        <v>4.6851700713667688</v>
      </c>
    </row>
    <row r="356" spans="1:27" x14ac:dyDescent="0.2">
      <c r="A356">
        <v>51</v>
      </c>
      <c r="B356">
        <v>10</v>
      </c>
      <c r="C356" t="s">
        <v>170</v>
      </c>
      <c r="D356">
        <v>2013</v>
      </c>
      <c r="E356">
        <v>15425</v>
      </c>
      <c r="F356">
        <v>14414</v>
      </c>
      <c r="G356">
        <v>1011</v>
      </c>
      <c r="H356">
        <v>2.2200000000000002</v>
      </c>
      <c r="I356">
        <v>11475</v>
      </c>
      <c r="J356">
        <v>6486</v>
      </c>
      <c r="K356">
        <v>4989</v>
      </c>
      <c r="L356">
        <v>43.48</v>
      </c>
      <c r="M356">
        <v>1.2561220040000001</v>
      </c>
      <c r="N356">
        <f>E356/_xlfn.XLOOKUP(C356,Lookups!$A$2:$A$66,Lookups!$C$2:$C$66)</f>
        <v>4.7327274623989792</v>
      </c>
    </row>
    <row r="357" spans="1:27" x14ac:dyDescent="0.2">
      <c r="A357">
        <v>51</v>
      </c>
      <c r="B357">
        <v>10</v>
      </c>
      <c r="C357" t="s">
        <v>170</v>
      </c>
      <c r="D357">
        <v>2014</v>
      </c>
      <c r="E357">
        <v>15552</v>
      </c>
      <c r="F357">
        <v>14549</v>
      </c>
      <c r="G357">
        <v>1003</v>
      </c>
      <c r="H357">
        <v>2.2200000000000002</v>
      </c>
      <c r="I357">
        <v>11497</v>
      </c>
      <c r="J357">
        <v>6545</v>
      </c>
      <c r="K357">
        <v>4952</v>
      </c>
      <c r="L357">
        <v>43.07</v>
      </c>
      <c r="M357">
        <v>1.265460555</v>
      </c>
      <c r="N357">
        <f>E357/_xlfn.XLOOKUP(C357,Lookups!$A$2:$A$66,Lookups!$C$2:$C$66)</f>
        <v>4.7716938408576288</v>
      </c>
    </row>
    <row r="358" spans="1:27" x14ac:dyDescent="0.2">
      <c r="A358">
        <v>51</v>
      </c>
      <c r="B358">
        <v>10</v>
      </c>
      <c r="C358" t="s">
        <v>170</v>
      </c>
      <c r="D358">
        <v>2015</v>
      </c>
      <c r="E358">
        <v>15826</v>
      </c>
      <c r="F358">
        <v>14822</v>
      </c>
      <c r="G358">
        <v>1004</v>
      </c>
      <c r="H358">
        <v>2.2200000000000002</v>
      </c>
      <c r="I358">
        <v>11514</v>
      </c>
      <c r="J358">
        <v>6666</v>
      </c>
      <c r="K358">
        <v>4848</v>
      </c>
      <c r="L358">
        <v>42.11</v>
      </c>
      <c r="M358">
        <v>1.287302414</v>
      </c>
      <c r="N358">
        <f>E358/_xlfn.XLOOKUP(C358,Lookups!$A$2:$A$66,Lookups!$C$2:$C$66)</f>
        <v>4.8557630353274712</v>
      </c>
    </row>
    <row r="359" spans="1:27" x14ac:dyDescent="0.2">
      <c r="A359">
        <v>51</v>
      </c>
      <c r="B359">
        <v>10</v>
      </c>
      <c r="C359" t="s">
        <v>170</v>
      </c>
      <c r="D359">
        <v>2016</v>
      </c>
      <c r="E359">
        <v>16082</v>
      </c>
      <c r="F359">
        <v>15045</v>
      </c>
      <c r="G359">
        <v>1037</v>
      </c>
      <c r="H359">
        <v>2.2200000000000002</v>
      </c>
      <c r="I359">
        <v>11539</v>
      </c>
      <c r="J359">
        <v>6765</v>
      </c>
      <c r="K359">
        <v>4774</v>
      </c>
      <c r="L359">
        <v>41.37</v>
      </c>
      <c r="M359">
        <v>1.3038391540000001</v>
      </c>
      <c r="N359">
        <f>E359/_xlfn.XLOOKUP(C359,Lookups!$A$2:$A$66,Lookups!$C$2:$C$66)</f>
        <v>4.9343094360000253</v>
      </c>
    </row>
    <row r="360" spans="1:27" x14ac:dyDescent="0.2">
      <c r="A360">
        <v>51</v>
      </c>
      <c r="B360">
        <v>10</v>
      </c>
      <c r="C360" t="s">
        <v>170</v>
      </c>
      <c r="D360">
        <v>2017</v>
      </c>
      <c r="E360">
        <v>16464</v>
      </c>
      <c r="F360">
        <v>15411</v>
      </c>
      <c r="G360">
        <v>1053</v>
      </c>
      <c r="H360">
        <v>2.2200000000000002</v>
      </c>
      <c r="I360">
        <v>11633</v>
      </c>
      <c r="J360">
        <v>6928</v>
      </c>
      <c r="K360">
        <v>4705</v>
      </c>
      <c r="L360">
        <v>40.450000000000003</v>
      </c>
      <c r="M360">
        <v>1.3247657530000001</v>
      </c>
      <c r="N360">
        <f>E360/_xlfn.XLOOKUP(C360,Lookups!$A$2:$A$66,Lookups!$C$2:$C$66)</f>
        <v>5.0515153932536005</v>
      </c>
    </row>
    <row r="361" spans="1:27" x14ac:dyDescent="0.2">
      <c r="A361">
        <v>51</v>
      </c>
      <c r="B361">
        <v>10</v>
      </c>
      <c r="C361" t="s">
        <v>170</v>
      </c>
      <c r="D361">
        <v>2018</v>
      </c>
      <c r="E361">
        <v>16681</v>
      </c>
      <c r="F361">
        <v>15625</v>
      </c>
      <c r="G361">
        <v>1056</v>
      </c>
      <c r="H361">
        <v>2.23</v>
      </c>
      <c r="I361">
        <v>11766</v>
      </c>
      <c r="J361">
        <v>7022</v>
      </c>
      <c r="K361">
        <v>4744</v>
      </c>
      <c r="L361">
        <v>40.32</v>
      </c>
      <c r="M361">
        <v>1.327978922</v>
      </c>
      <c r="N361">
        <f>E361/_xlfn.XLOOKUP(C361,Lookups!$A$2:$A$66,Lookups!$C$2:$C$66)</f>
        <v>5.1180957406986947</v>
      </c>
    </row>
    <row r="362" spans="1:27" x14ac:dyDescent="0.2">
      <c r="A362">
        <v>51</v>
      </c>
      <c r="B362">
        <v>10</v>
      </c>
      <c r="C362" t="s">
        <v>170</v>
      </c>
      <c r="D362">
        <v>2019</v>
      </c>
      <c r="E362">
        <v>16941</v>
      </c>
      <c r="F362">
        <v>15882</v>
      </c>
      <c r="G362">
        <v>1059</v>
      </c>
      <c r="H362">
        <v>2.23</v>
      </c>
      <c r="I362">
        <v>11882</v>
      </c>
      <c r="J362">
        <v>7136</v>
      </c>
      <c r="K362">
        <v>4746</v>
      </c>
      <c r="L362">
        <v>39.94</v>
      </c>
      <c r="M362">
        <v>1.336643663</v>
      </c>
      <c r="N362">
        <f>E362/_xlfn.XLOOKUP(C362,Lookups!$A$2:$A$66,Lookups!$C$2:$C$66)</f>
        <v>5.1978694288817575</v>
      </c>
    </row>
    <row r="363" spans="1:27" x14ac:dyDescent="0.2">
      <c r="A363">
        <v>51</v>
      </c>
      <c r="B363">
        <v>10</v>
      </c>
      <c r="C363" t="s">
        <v>170</v>
      </c>
      <c r="D363">
        <v>2020</v>
      </c>
      <c r="E363">
        <v>16946</v>
      </c>
      <c r="F363">
        <v>15926</v>
      </c>
      <c r="G363">
        <v>1020</v>
      </c>
      <c r="I363">
        <v>12220</v>
      </c>
      <c r="M363">
        <v>1.3032733219999999</v>
      </c>
      <c r="N363">
        <f>E363/_xlfn.XLOOKUP(C363,Lookups!$A$2:$A$66,Lookups!$C$2:$C$66)</f>
        <v>5.1994035382698929</v>
      </c>
      <c r="O363">
        <v>16946</v>
      </c>
      <c r="P363">
        <v>134</v>
      </c>
      <c r="Q363">
        <v>41</v>
      </c>
      <c r="R363">
        <v>-36</v>
      </c>
      <c r="S363">
        <v>93</v>
      </c>
      <c r="T363">
        <v>12220</v>
      </c>
      <c r="W363">
        <v>15926</v>
      </c>
      <c r="X363">
        <v>228</v>
      </c>
      <c r="AA363">
        <v>1.3032733219999999</v>
      </c>
    </row>
    <row r="364" spans="1:27" x14ac:dyDescent="0.2">
      <c r="A364">
        <v>51</v>
      </c>
      <c r="B364">
        <v>10</v>
      </c>
      <c r="C364" t="s">
        <v>170</v>
      </c>
      <c r="D364">
        <v>2021</v>
      </c>
      <c r="E364">
        <v>17313</v>
      </c>
      <c r="F364">
        <v>16316</v>
      </c>
      <c r="G364">
        <v>997</v>
      </c>
      <c r="I364">
        <v>12421</v>
      </c>
      <c r="M364">
        <v>1.3135818370000001</v>
      </c>
      <c r="N364">
        <f>E364/_xlfn.XLOOKUP(C364,Lookups!$A$2:$A$66,Lookups!$C$2:$C$66)</f>
        <v>5.3120071673590621</v>
      </c>
      <c r="O364">
        <v>17313</v>
      </c>
      <c r="P364">
        <v>133</v>
      </c>
      <c r="Q364">
        <v>52</v>
      </c>
      <c r="R364">
        <v>315</v>
      </c>
      <c r="S364">
        <v>81</v>
      </c>
      <c r="T364">
        <v>12421</v>
      </c>
      <c r="W364">
        <v>16316</v>
      </c>
      <c r="X364">
        <v>197</v>
      </c>
      <c r="AA364">
        <v>1.3135818370000001</v>
      </c>
    </row>
    <row r="365" spans="1:27" x14ac:dyDescent="0.2">
      <c r="A365">
        <v>51</v>
      </c>
      <c r="B365">
        <v>10</v>
      </c>
      <c r="C365" t="s">
        <v>170</v>
      </c>
      <c r="D365">
        <v>2022</v>
      </c>
      <c r="E365">
        <v>17269</v>
      </c>
      <c r="F365">
        <v>16212</v>
      </c>
      <c r="G365">
        <v>1057</v>
      </c>
      <c r="I365">
        <v>12619</v>
      </c>
      <c r="M365">
        <v>1.284729376</v>
      </c>
      <c r="N365">
        <f>E365/_xlfn.XLOOKUP(C365,Lookups!$A$2:$A$66,Lookups!$C$2:$C$66)</f>
        <v>5.2985070047434668</v>
      </c>
      <c r="O365">
        <v>17269</v>
      </c>
      <c r="P365">
        <v>133</v>
      </c>
      <c r="Q365">
        <v>44</v>
      </c>
      <c r="R365">
        <v>-88</v>
      </c>
      <c r="S365">
        <v>89</v>
      </c>
      <c r="T365">
        <v>12619</v>
      </c>
      <c r="W365">
        <v>16212</v>
      </c>
      <c r="X365">
        <v>149</v>
      </c>
      <c r="AA365">
        <v>1.284729376</v>
      </c>
    </row>
    <row r="366" spans="1:27" x14ac:dyDescent="0.2">
      <c r="A366">
        <v>53</v>
      </c>
      <c r="B366">
        <v>10</v>
      </c>
      <c r="C366" t="s">
        <v>171</v>
      </c>
      <c r="D366">
        <v>2010</v>
      </c>
      <c r="E366">
        <v>843</v>
      </c>
      <c r="F366">
        <v>787</v>
      </c>
      <c r="G366">
        <v>56</v>
      </c>
      <c r="H366">
        <v>2.34</v>
      </c>
      <c r="I366">
        <v>1274</v>
      </c>
      <c r="J366">
        <v>337</v>
      </c>
      <c r="K366">
        <v>937</v>
      </c>
      <c r="L366">
        <v>73.55</v>
      </c>
      <c r="M366">
        <v>0.61773940299999996</v>
      </c>
      <c r="N366">
        <f>E366/_xlfn.XLOOKUP(C366,Lookups!$A$2:$A$66,Lookups!$C$2:$C$66)</f>
        <v>0.75043396982240629</v>
      </c>
    </row>
    <row r="367" spans="1:27" x14ac:dyDescent="0.2">
      <c r="A367">
        <v>53</v>
      </c>
      <c r="B367">
        <v>10</v>
      </c>
      <c r="C367" t="s">
        <v>171</v>
      </c>
      <c r="D367">
        <v>2011</v>
      </c>
      <c r="E367">
        <v>835</v>
      </c>
      <c r="F367">
        <v>785</v>
      </c>
      <c r="G367">
        <v>50</v>
      </c>
      <c r="H367">
        <v>2.17</v>
      </c>
      <c r="I367">
        <v>1275</v>
      </c>
      <c r="J367">
        <v>362</v>
      </c>
      <c r="K367">
        <v>913</v>
      </c>
      <c r="L367">
        <v>71.59</v>
      </c>
      <c r="M367">
        <v>0.61568627499999995</v>
      </c>
      <c r="N367">
        <f>E367/_xlfn.XLOOKUP(C367,Lookups!$A$2:$A$66,Lookups!$C$2:$C$66)</f>
        <v>0.7433124137624072</v>
      </c>
    </row>
    <row r="368" spans="1:27" x14ac:dyDescent="0.2">
      <c r="A368">
        <v>53</v>
      </c>
      <c r="B368">
        <v>10</v>
      </c>
      <c r="C368" t="s">
        <v>171</v>
      </c>
      <c r="D368">
        <v>2012</v>
      </c>
      <c r="E368">
        <v>831</v>
      </c>
      <c r="F368">
        <v>786</v>
      </c>
      <c r="G368">
        <v>45</v>
      </c>
      <c r="H368">
        <v>2.16</v>
      </c>
      <c r="I368">
        <v>1281</v>
      </c>
      <c r="J368">
        <v>364</v>
      </c>
      <c r="K368">
        <v>917</v>
      </c>
      <c r="L368">
        <v>71.58</v>
      </c>
      <c r="M368">
        <v>0.61358313799999997</v>
      </c>
      <c r="N368">
        <f>E368/_xlfn.XLOOKUP(C368,Lookups!$A$2:$A$66,Lookups!$C$2:$C$66)</f>
        <v>0.73975163573240754</v>
      </c>
    </row>
    <row r="369" spans="1:27" x14ac:dyDescent="0.2">
      <c r="A369">
        <v>53</v>
      </c>
      <c r="B369">
        <v>10</v>
      </c>
      <c r="C369" t="s">
        <v>171</v>
      </c>
      <c r="D369">
        <v>2013</v>
      </c>
      <c r="E369">
        <v>825</v>
      </c>
      <c r="F369">
        <v>785</v>
      </c>
      <c r="G369">
        <v>39</v>
      </c>
      <c r="H369">
        <v>2.15</v>
      </c>
      <c r="I369">
        <v>1284</v>
      </c>
      <c r="J369">
        <v>365</v>
      </c>
      <c r="K369">
        <v>919</v>
      </c>
      <c r="L369">
        <v>71.58</v>
      </c>
      <c r="M369">
        <v>0.61137071700000001</v>
      </c>
      <c r="N369">
        <f>E369/_xlfn.XLOOKUP(C369,Lookups!$A$2:$A$66,Lookups!$C$2:$C$66)</f>
        <v>0.73441046868740822</v>
      </c>
    </row>
    <row r="370" spans="1:27" x14ac:dyDescent="0.2">
      <c r="A370">
        <v>53</v>
      </c>
      <c r="B370">
        <v>10</v>
      </c>
      <c r="C370" t="s">
        <v>171</v>
      </c>
      <c r="D370">
        <v>2014</v>
      </c>
      <c r="E370">
        <v>819</v>
      </c>
      <c r="F370">
        <v>785</v>
      </c>
      <c r="G370">
        <v>34</v>
      </c>
      <c r="H370">
        <v>2.14</v>
      </c>
      <c r="I370">
        <v>1288</v>
      </c>
      <c r="J370">
        <v>366</v>
      </c>
      <c r="K370">
        <v>922</v>
      </c>
      <c r="L370">
        <v>71.58</v>
      </c>
      <c r="M370">
        <v>0.60947205000000004</v>
      </c>
      <c r="N370">
        <f>E370/_xlfn.XLOOKUP(C370,Lookups!$A$2:$A$66,Lookups!$C$2:$C$66)</f>
        <v>0.72906930164240891</v>
      </c>
    </row>
    <row r="371" spans="1:27" x14ac:dyDescent="0.2">
      <c r="A371">
        <v>53</v>
      </c>
      <c r="B371">
        <v>10</v>
      </c>
      <c r="C371" t="s">
        <v>171</v>
      </c>
      <c r="D371">
        <v>2015</v>
      </c>
      <c r="E371">
        <v>813</v>
      </c>
      <c r="F371">
        <v>785</v>
      </c>
      <c r="G371">
        <v>28</v>
      </c>
      <c r="H371">
        <v>2.14</v>
      </c>
      <c r="I371">
        <v>1292</v>
      </c>
      <c r="J371">
        <v>367</v>
      </c>
      <c r="K371">
        <v>925</v>
      </c>
      <c r="L371">
        <v>71.58</v>
      </c>
      <c r="M371">
        <v>0.607585139</v>
      </c>
      <c r="N371">
        <f>E371/_xlfn.XLOOKUP(C371,Lookups!$A$2:$A$66,Lookups!$C$2:$C$66)</f>
        <v>0.72372813459740959</v>
      </c>
    </row>
    <row r="372" spans="1:27" x14ac:dyDescent="0.2">
      <c r="A372">
        <v>53</v>
      </c>
      <c r="B372">
        <v>10</v>
      </c>
      <c r="C372" t="s">
        <v>171</v>
      </c>
      <c r="D372">
        <v>2016</v>
      </c>
      <c r="E372">
        <v>809</v>
      </c>
      <c r="F372">
        <v>786</v>
      </c>
      <c r="G372">
        <v>22</v>
      </c>
      <c r="H372">
        <v>2.13</v>
      </c>
      <c r="I372">
        <v>1298</v>
      </c>
      <c r="J372">
        <v>369</v>
      </c>
      <c r="K372">
        <v>929</v>
      </c>
      <c r="L372">
        <v>71.58</v>
      </c>
      <c r="M372">
        <v>0.60554699499999998</v>
      </c>
      <c r="N372">
        <f>E372/_xlfn.XLOOKUP(C372,Lookups!$A$2:$A$66,Lookups!$C$2:$C$66)</f>
        <v>0.72016735656741004</v>
      </c>
    </row>
    <row r="373" spans="1:27" x14ac:dyDescent="0.2">
      <c r="A373">
        <v>53</v>
      </c>
      <c r="B373">
        <v>10</v>
      </c>
      <c r="C373" t="s">
        <v>171</v>
      </c>
      <c r="D373">
        <v>2017</v>
      </c>
      <c r="E373">
        <v>805</v>
      </c>
      <c r="F373">
        <v>788</v>
      </c>
      <c r="G373">
        <v>17</v>
      </c>
      <c r="H373">
        <v>2.12</v>
      </c>
      <c r="I373">
        <v>1305</v>
      </c>
      <c r="J373">
        <v>371</v>
      </c>
      <c r="K373">
        <v>934</v>
      </c>
      <c r="L373">
        <v>71.58</v>
      </c>
      <c r="M373">
        <v>0.60383141799999995</v>
      </c>
      <c r="N373">
        <f>E373/_xlfn.XLOOKUP(C373,Lookups!$A$2:$A$66,Lookups!$C$2:$C$66)</f>
        <v>0.7166065785374105</v>
      </c>
    </row>
    <row r="374" spans="1:27" x14ac:dyDescent="0.2">
      <c r="A374">
        <v>53</v>
      </c>
      <c r="B374">
        <v>10</v>
      </c>
      <c r="C374" t="s">
        <v>171</v>
      </c>
      <c r="D374">
        <v>2018</v>
      </c>
      <c r="E374">
        <v>801</v>
      </c>
      <c r="F374">
        <v>790</v>
      </c>
      <c r="G374">
        <v>11</v>
      </c>
      <c r="H374">
        <v>2.12</v>
      </c>
      <c r="I374">
        <v>1313</v>
      </c>
      <c r="J374">
        <v>373</v>
      </c>
      <c r="K374">
        <v>940</v>
      </c>
      <c r="L374">
        <v>71.58</v>
      </c>
      <c r="M374">
        <v>0.601675552</v>
      </c>
      <c r="N374">
        <f>E374/_xlfn.XLOOKUP(C374,Lookups!$A$2:$A$66,Lookups!$C$2:$C$66)</f>
        <v>0.71304580050741095</v>
      </c>
    </row>
    <row r="375" spans="1:27" x14ac:dyDescent="0.2">
      <c r="A375">
        <v>53</v>
      </c>
      <c r="B375">
        <v>10</v>
      </c>
      <c r="C375" t="s">
        <v>171</v>
      </c>
      <c r="D375">
        <v>2019</v>
      </c>
      <c r="E375">
        <v>798</v>
      </c>
      <c r="F375">
        <v>792</v>
      </c>
      <c r="G375">
        <v>6</v>
      </c>
      <c r="H375">
        <v>2.11</v>
      </c>
      <c r="I375">
        <v>1321</v>
      </c>
      <c r="J375">
        <v>375</v>
      </c>
      <c r="K375">
        <v>946</v>
      </c>
      <c r="L375">
        <v>71.58</v>
      </c>
      <c r="M375">
        <v>0.59954579900000005</v>
      </c>
      <c r="N375">
        <f>E375/_xlfn.XLOOKUP(C375,Lookups!$A$2:$A$66,Lookups!$C$2:$C$66)</f>
        <v>0.71037521698491124</v>
      </c>
    </row>
    <row r="376" spans="1:27" x14ac:dyDescent="0.2">
      <c r="A376">
        <v>53</v>
      </c>
      <c r="B376">
        <v>10</v>
      </c>
      <c r="C376" t="s">
        <v>171</v>
      </c>
      <c r="D376">
        <v>2020</v>
      </c>
      <c r="E376">
        <v>792</v>
      </c>
      <c r="F376">
        <v>792</v>
      </c>
      <c r="G376">
        <v>0</v>
      </c>
      <c r="I376">
        <v>1332</v>
      </c>
      <c r="M376">
        <v>0.594594595</v>
      </c>
      <c r="N376">
        <f>E376/_xlfn.XLOOKUP(C376,Lookups!$A$2:$A$66,Lookups!$C$2:$C$66)</f>
        <v>0.70503404993991192</v>
      </c>
      <c r="O376">
        <v>792</v>
      </c>
      <c r="P376">
        <v>5</v>
      </c>
      <c r="Q376">
        <v>-6</v>
      </c>
      <c r="R376">
        <v>0</v>
      </c>
      <c r="S376">
        <v>11</v>
      </c>
      <c r="T376">
        <v>1332</v>
      </c>
      <c r="W376">
        <v>792</v>
      </c>
      <c r="X376">
        <v>11</v>
      </c>
      <c r="AA376">
        <v>0.594594595</v>
      </c>
    </row>
    <row r="377" spans="1:27" x14ac:dyDescent="0.2">
      <c r="A377">
        <v>53</v>
      </c>
      <c r="B377">
        <v>10</v>
      </c>
      <c r="C377" t="s">
        <v>171</v>
      </c>
      <c r="D377">
        <v>2021</v>
      </c>
      <c r="E377">
        <v>778</v>
      </c>
      <c r="F377">
        <v>778</v>
      </c>
      <c r="G377">
        <v>0</v>
      </c>
      <c r="I377">
        <v>1347</v>
      </c>
      <c r="M377">
        <v>0.577579807</v>
      </c>
      <c r="N377">
        <f>E377/_xlfn.XLOOKUP(C377,Lookups!$A$2:$A$66,Lookups!$C$2:$C$66)</f>
        <v>0.69257132683491351</v>
      </c>
      <c r="O377">
        <v>778</v>
      </c>
      <c r="P377">
        <v>3</v>
      </c>
      <c r="Q377">
        <v>-2</v>
      </c>
      <c r="R377">
        <v>-12</v>
      </c>
      <c r="S377">
        <v>5</v>
      </c>
      <c r="T377">
        <v>1347</v>
      </c>
      <c r="W377">
        <v>778</v>
      </c>
      <c r="X377">
        <v>14</v>
      </c>
      <c r="AA377">
        <v>0.577579807</v>
      </c>
    </row>
    <row r="378" spans="1:27" x14ac:dyDescent="0.2">
      <c r="A378">
        <v>53</v>
      </c>
      <c r="B378">
        <v>10</v>
      </c>
      <c r="C378" t="s">
        <v>171</v>
      </c>
      <c r="D378">
        <v>2022</v>
      </c>
      <c r="E378">
        <v>779</v>
      </c>
      <c r="F378">
        <v>779</v>
      </c>
      <c r="G378">
        <v>0</v>
      </c>
      <c r="I378">
        <v>1358</v>
      </c>
      <c r="M378">
        <v>0.57363770300000005</v>
      </c>
      <c r="N378">
        <f>E378/_xlfn.XLOOKUP(C378,Lookups!$A$2:$A$66,Lookups!$C$2:$C$66)</f>
        <v>0.69346152134241335</v>
      </c>
      <c r="O378">
        <v>779</v>
      </c>
      <c r="P378">
        <v>4</v>
      </c>
      <c r="Q378">
        <v>-3</v>
      </c>
      <c r="R378">
        <v>4</v>
      </c>
      <c r="S378">
        <v>7</v>
      </c>
      <c r="T378">
        <v>1358</v>
      </c>
      <c r="W378">
        <v>779</v>
      </c>
      <c r="X378">
        <v>15</v>
      </c>
      <c r="AA378">
        <v>0.57363770300000005</v>
      </c>
    </row>
    <row r="379" spans="1:27" x14ac:dyDescent="0.2">
      <c r="A379">
        <v>55</v>
      </c>
      <c r="B379">
        <v>14</v>
      </c>
      <c r="C379" t="s">
        <v>172</v>
      </c>
      <c r="D379">
        <v>2010</v>
      </c>
      <c r="E379">
        <v>6655</v>
      </c>
      <c r="F379">
        <v>6490</v>
      </c>
      <c r="G379">
        <v>165</v>
      </c>
      <c r="H379">
        <v>2.35</v>
      </c>
      <c r="I379">
        <v>4445</v>
      </c>
      <c r="J379">
        <v>2764</v>
      </c>
      <c r="K379">
        <v>1681</v>
      </c>
      <c r="L379">
        <v>37.82</v>
      </c>
      <c r="M379">
        <v>1.4600674920000001</v>
      </c>
      <c r="N379">
        <f>E379/_xlfn.XLOOKUP(C379,Lookups!$A$2:$A$66,Lookups!$C$2:$C$66)</f>
        <v>4.17930506100969</v>
      </c>
    </row>
    <row r="380" spans="1:27" x14ac:dyDescent="0.2">
      <c r="A380">
        <v>55</v>
      </c>
      <c r="B380">
        <v>14</v>
      </c>
      <c r="C380" t="s">
        <v>172</v>
      </c>
      <c r="D380">
        <v>2011</v>
      </c>
      <c r="E380">
        <v>6671</v>
      </c>
      <c r="F380">
        <v>6512</v>
      </c>
      <c r="G380">
        <v>159</v>
      </c>
      <c r="H380">
        <v>2.09</v>
      </c>
      <c r="I380">
        <v>4474</v>
      </c>
      <c r="J380">
        <v>3118</v>
      </c>
      <c r="K380">
        <v>1356</v>
      </c>
      <c r="L380">
        <v>30.3</v>
      </c>
      <c r="M380">
        <v>1.455520787</v>
      </c>
      <c r="N380">
        <f>E380/_xlfn.XLOOKUP(C380,Lookups!$A$2:$A$66,Lookups!$C$2:$C$66)</f>
        <v>4.1893529770091122</v>
      </c>
    </row>
    <row r="381" spans="1:27" x14ac:dyDescent="0.2">
      <c r="A381">
        <v>55</v>
      </c>
      <c r="B381">
        <v>14</v>
      </c>
      <c r="C381" t="s">
        <v>172</v>
      </c>
      <c r="D381">
        <v>2012</v>
      </c>
      <c r="E381">
        <v>6686</v>
      </c>
      <c r="F381">
        <v>6533</v>
      </c>
      <c r="G381">
        <v>153</v>
      </c>
      <c r="H381">
        <v>2.09</v>
      </c>
      <c r="I381">
        <v>4502</v>
      </c>
      <c r="J381">
        <v>3126</v>
      </c>
      <c r="K381">
        <v>1376</v>
      </c>
      <c r="L381">
        <v>30.55</v>
      </c>
      <c r="M381">
        <v>1.4511328299999999</v>
      </c>
      <c r="N381">
        <f>E381/_xlfn.XLOOKUP(C381,Lookups!$A$2:$A$66,Lookups!$C$2:$C$66)</f>
        <v>4.1987728982585706</v>
      </c>
    </row>
    <row r="382" spans="1:27" x14ac:dyDescent="0.2">
      <c r="A382">
        <v>55</v>
      </c>
      <c r="B382">
        <v>14</v>
      </c>
      <c r="C382" t="s">
        <v>172</v>
      </c>
      <c r="D382">
        <v>2013</v>
      </c>
      <c r="E382">
        <v>6697</v>
      </c>
      <c r="F382">
        <v>6551</v>
      </c>
      <c r="G382">
        <v>146</v>
      </c>
      <c r="H382">
        <v>2.09</v>
      </c>
      <c r="I382">
        <v>4523</v>
      </c>
      <c r="J382">
        <v>3132</v>
      </c>
      <c r="K382">
        <v>1391</v>
      </c>
      <c r="L382">
        <v>30.74</v>
      </c>
      <c r="M382">
        <v>1.4483749720000001</v>
      </c>
      <c r="N382">
        <f>E382/_xlfn.XLOOKUP(C382,Lookups!$A$2:$A$66,Lookups!$C$2:$C$66)</f>
        <v>4.2056808405081734</v>
      </c>
    </row>
    <row r="383" spans="1:27" x14ac:dyDescent="0.2">
      <c r="A383">
        <v>55</v>
      </c>
      <c r="B383">
        <v>14</v>
      </c>
      <c r="C383" t="s">
        <v>172</v>
      </c>
      <c r="D383">
        <v>2014</v>
      </c>
      <c r="E383">
        <v>6700</v>
      </c>
      <c r="F383">
        <v>6560</v>
      </c>
      <c r="G383">
        <v>140</v>
      </c>
      <c r="H383">
        <v>2.09</v>
      </c>
      <c r="I383">
        <v>4531</v>
      </c>
      <c r="J383">
        <v>3135</v>
      </c>
      <c r="K383">
        <v>1396</v>
      </c>
      <c r="L383">
        <v>30.81</v>
      </c>
      <c r="M383">
        <v>1.4478040169999999</v>
      </c>
      <c r="N383">
        <f>E383/_xlfn.XLOOKUP(C383,Lookups!$A$2:$A$66,Lookups!$C$2:$C$66)</f>
        <v>4.207564824758065</v>
      </c>
    </row>
    <row r="384" spans="1:27" x14ac:dyDescent="0.2">
      <c r="A384">
        <v>55</v>
      </c>
      <c r="B384">
        <v>14</v>
      </c>
      <c r="C384" t="s">
        <v>172</v>
      </c>
      <c r="D384">
        <v>2015</v>
      </c>
      <c r="E384">
        <v>6706</v>
      </c>
      <c r="F384">
        <v>6572</v>
      </c>
      <c r="G384">
        <v>134</v>
      </c>
      <c r="H384">
        <v>2.09</v>
      </c>
      <c r="I384">
        <v>4543</v>
      </c>
      <c r="J384">
        <v>3138</v>
      </c>
      <c r="K384">
        <v>1405</v>
      </c>
      <c r="L384">
        <v>30.92</v>
      </c>
      <c r="M384">
        <v>1.446621175</v>
      </c>
      <c r="N384">
        <f>E384/_xlfn.XLOOKUP(C384,Lookups!$A$2:$A$66,Lookups!$C$2:$C$66)</f>
        <v>4.2113327932578484</v>
      </c>
    </row>
    <row r="385" spans="1:27" x14ac:dyDescent="0.2">
      <c r="A385">
        <v>55</v>
      </c>
      <c r="B385">
        <v>14</v>
      </c>
      <c r="C385" t="s">
        <v>172</v>
      </c>
      <c r="D385">
        <v>2016</v>
      </c>
      <c r="E385">
        <v>6721</v>
      </c>
      <c r="F385">
        <v>6593</v>
      </c>
      <c r="G385">
        <v>128</v>
      </c>
      <c r="H385">
        <v>2.1</v>
      </c>
      <c r="I385">
        <v>4571</v>
      </c>
      <c r="J385">
        <v>3146</v>
      </c>
      <c r="K385">
        <v>1425</v>
      </c>
      <c r="L385">
        <v>31.17</v>
      </c>
      <c r="M385">
        <v>1.442353971</v>
      </c>
      <c r="N385">
        <f>E385/_xlfn.XLOOKUP(C385,Lookups!$A$2:$A$66,Lookups!$C$2:$C$66)</f>
        <v>4.2207527145073067</v>
      </c>
    </row>
    <row r="386" spans="1:27" x14ac:dyDescent="0.2">
      <c r="A386">
        <v>55</v>
      </c>
      <c r="B386">
        <v>14</v>
      </c>
      <c r="C386" t="s">
        <v>172</v>
      </c>
      <c r="D386">
        <v>2017</v>
      </c>
      <c r="E386">
        <v>6737</v>
      </c>
      <c r="F386">
        <v>6615</v>
      </c>
      <c r="G386">
        <v>122</v>
      </c>
      <c r="H386">
        <v>2.1</v>
      </c>
      <c r="I386">
        <v>4600</v>
      </c>
      <c r="J386">
        <v>3155</v>
      </c>
      <c r="K386">
        <v>1445</v>
      </c>
      <c r="L386">
        <v>31.42</v>
      </c>
      <c r="M386">
        <v>1.438043478</v>
      </c>
      <c r="N386">
        <f>E386/_xlfn.XLOOKUP(C386,Lookups!$A$2:$A$66,Lookups!$C$2:$C$66)</f>
        <v>4.2308006305067289</v>
      </c>
    </row>
    <row r="387" spans="1:27" x14ac:dyDescent="0.2">
      <c r="A387">
        <v>55</v>
      </c>
      <c r="B387">
        <v>14</v>
      </c>
      <c r="C387" t="s">
        <v>172</v>
      </c>
      <c r="D387">
        <v>2018</v>
      </c>
      <c r="E387">
        <v>6758</v>
      </c>
      <c r="F387">
        <v>6642</v>
      </c>
      <c r="G387">
        <v>115</v>
      </c>
      <c r="H387">
        <v>2.1</v>
      </c>
      <c r="I387">
        <v>4637</v>
      </c>
      <c r="J387">
        <v>3165</v>
      </c>
      <c r="K387">
        <v>1472</v>
      </c>
      <c r="L387">
        <v>31.74</v>
      </c>
      <c r="M387">
        <v>1.4323916329999999</v>
      </c>
      <c r="N387">
        <f>E387/_xlfn.XLOOKUP(C387,Lookups!$A$2:$A$66,Lookups!$C$2:$C$66)</f>
        <v>4.2439885202559706</v>
      </c>
    </row>
    <row r="388" spans="1:27" x14ac:dyDescent="0.2">
      <c r="A388">
        <v>55</v>
      </c>
      <c r="B388">
        <v>14</v>
      </c>
      <c r="C388" t="s">
        <v>172</v>
      </c>
      <c r="D388">
        <v>2019</v>
      </c>
      <c r="E388">
        <v>6778</v>
      </c>
      <c r="F388">
        <v>6669</v>
      </c>
      <c r="G388">
        <v>109</v>
      </c>
      <c r="H388">
        <v>2.1</v>
      </c>
      <c r="I388">
        <v>4674</v>
      </c>
      <c r="J388">
        <v>3176</v>
      </c>
      <c r="K388">
        <v>1498</v>
      </c>
      <c r="L388">
        <v>32.049999999999997</v>
      </c>
      <c r="M388">
        <v>1.4268292680000001</v>
      </c>
      <c r="N388">
        <f>E388/_xlfn.XLOOKUP(C388,Lookups!$A$2:$A$66,Lookups!$C$2:$C$66)</f>
        <v>4.2565484152552484</v>
      </c>
    </row>
    <row r="389" spans="1:27" x14ac:dyDescent="0.2">
      <c r="A389">
        <v>55</v>
      </c>
      <c r="B389">
        <v>14</v>
      </c>
      <c r="C389" t="s">
        <v>172</v>
      </c>
      <c r="D389">
        <v>2020</v>
      </c>
      <c r="E389">
        <v>6833</v>
      </c>
      <c r="F389">
        <v>6713</v>
      </c>
      <c r="G389">
        <v>120</v>
      </c>
      <c r="I389">
        <v>4690</v>
      </c>
      <c r="M389">
        <v>1.431343284</v>
      </c>
      <c r="N389">
        <f>E389/_xlfn.XLOOKUP(C389,Lookups!$A$2:$A$66,Lookups!$C$2:$C$66)</f>
        <v>4.2910881265032623</v>
      </c>
      <c r="O389">
        <v>6833</v>
      </c>
      <c r="P389">
        <v>45</v>
      </c>
      <c r="Q389">
        <v>-81</v>
      </c>
      <c r="R389">
        <v>136</v>
      </c>
      <c r="S389">
        <v>126</v>
      </c>
      <c r="T389">
        <v>4690</v>
      </c>
      <c r="W389">
        <v>6713</v>
      </c>
      <c r="X389">
        <v>43</v>
      </c>
      <c r="AA389">
        <v>1.431343284</v>
      </c>
    </row>
    <row r="390" spans="1:27" x14ac:dyDescent="0.2">
      <c r="A390">
        <v>55</v>
      </c>
      <c r="B390">
        <v>14</v>
      </c>
      <c r="C390" t="s">
        <v>172</v>
      </c>
      <c r="D390">
        <v>2021</v>
      </c>
      <c r="E390">
        <v>6948</v>
      </c>
      <c r="F390">
        <v>6842</v>
      </c>
      <c r="G390">
        <v>106</v>
      </c>
      <c r="I390">
        <v>4702</v>
      </c>
      <c r="M390">
        <v>1.4551254790000001</v>
      </c>
      <c r="N390">
        <f>E390/_xlfn.XLOOKUP(C390,Lookups!$A$2:$A$66,Lookups!$C$2:$C$66)</f>
        <v>4.3633075227491105</v>
      </c>
      <c r="O390">
        <v>6948</v>
      </c>
      <c r="P390">
        <v>43</v>
      </c>
      <c r="Q390">
        <v>-83</v>
      </c>
      <c r="R390">
        <v>198</v>
      </c>
      <c r="S390">
        <v>126</v>
      </c>
      <c r="T390">
        <v>4702</v>
      </c>
      <c r="W390">
        <v>6842</v>
      </c>
      <c r="X390">
        <v>57</v>
      </c>
      <c r="AA390">
        <v>1.4551254790000001</v>
      </c>
    </row>
    <row r="391" spans="1:27" x14ac:dyDescent="0.2">
      <c r="A391">
        <v>55</v>
      </c>
      <c r="B391">
        <v>14</v>
      </c>
      <c r="C391" t="s">
        <v>172</v>
      </c>
      <c r="D391">
        <v>2022</v>
      </c>
      <c r="E391">
        <v>7104</v>
      </c>
      <c r="F391">
        <v>7001</v>
      </c>
      <c r="G391">
        <v>103</v>
      </c>
      <c r="I391">
        <v>4747</v>
      </c>
      <c r="M391">
        <v>1.4748262059999999</v>
      </c>
      <c r="N391">
        <f>E391/_xlfn.XLOOKUP(C391,Lookups!$A$2:$A$66,Lookups!$C$2:$C$66)</f>
        <v>4.4612747037434772</v>
      </c>
      <c r="O391">
        <v>7104</v>
      </c>
      <c r="P391">
        <v>44</v>
      </c>
      <c r="Q391">
        <v>-108</v>
      </c>
      <c r="R391">
        <v>264</v>
      </c>
      <c r="S391">
        <v>152</v>
      </c>
      <c r="T391">
        <v>4747</v>
      </c>
      <c r="W391">
        <v>7001</v>
      </c>
      <c r="X391">
        <v>57</v>
      </c>
      <c r="AA391">
        <v>1.4748262059999999</v>
      </c>
    </row>
    <row r="392" spans="1:27" x14ac:dyDescent="0.2">
      <c r="A392">
        <v>57</v>
      </c>
      <c r="B392">
        <v>12</v>
      </c>
      <c r="C392" t="s">
        <v>173</v>
      </c>
      <c r="D392">
        <v>2010</v>
      </c>
      <c r="E392">
        <v>1387</v>
      </c>
      <c r="F392">
        <v>1385</v>
      </c>
      <c r="G392">
        <v>2</v>
      </c>
      <c r="H392">
        <v>2.4</v>
      </c>
      <c r="I392">
        <v>1140</v>
      </c>
      <c r="J392">
        <v>578</v>
      </c>
      <c r="K392">
        <v>562</v>
      </c>
      <c r="L392">
        <v>49.3</v>
      </c>
      <c r="M392">
        <v>1.2149122809999999</v>
      </c>
      <c r="N392">
        <f>E392/_xlfn.XLOOKUP(C392,Lookups!$A$2:$A$66,Lookups!$C$2:$C$66)</f>
        <v>0.85630498533724342</v>
      </c>
    </row>
    <row r="393" spans="1:27" x14ac:dyDescent="0.2">
      <c r="A393">
        <v>57</v>
      </c>
      <c r="B393">
        <v>12</v>
      </c>
      <c r="C393" t="s">
        <v>173</v>
      </c>
      <c r="D393">
        <v>2011</v>
      </c>
      <c r="E393">
        <v>1387</v>
      </c>
      <c r="F393">
        <v>1385</v>
      </c>
      <c r="G393">
        <v>2</v>
      </c>
      <c r="H393">
        <v>2.14</v>
      </c>
      <c r="I393">
        <v>1147</v>
      </c>
      <c r="J393">
        <v>647</v>
      </c>
      <c r="K393">
        <v>500</v>
      </c>
      <c r="L393">
        <v>43.56</v>
      </c>
      <c r="M393">
        <v>1.2074978199999999</v>
      </c>
      <c r="N393">
        <f>E393/_xlfn.XLOOKUP(C393,Lookups!$A$2:$A$66,Lookups!$C$2:$C$66)</f>
        <v>0.85630498533724342</v>
      </c>
    </row>
    <row r="394" spans="1:27" x14ac:dyDescent="0.2">
      <c r="A394">
        <v>57</v>
      </c>
      <c r="B394">
        <v>12</v>
      </c>
      <c r="C394" t="s">
        <v>173</v>
      </c>
      <c r="D394">
        <v>2012</v>
      </c>
      <c r="E394">
        <v>1385</v>
      </c>
      <c r="F394">
        <v>1383</v>
      </c>
      <c r="G394">
        <v>2</v>
      </c>
      <c r="H394">
        <v>2.13</v>
      </c>
      <c r="I394">
        <v>1149</v>
      </c>
      <c r="J394">
        <v>648</v>
      </c>
      <c r="K394">
        <v>501</v>
      </c>
      <c r="L394">
        <v>43.62</v>
      </c>
      <c r="M394">
        <v>1.203655352</v>
      </c>
      <c r="N394">
        <f>E394/_xlfn.XLOOKUP(C394,Lookups!$A$2:$A$66,Lookups!$C$2:$C$66)</f>
        <v>0.85507022688686529</v>
      </c>
    </row>
    <row r="395" spans="1:27" x14ac:dyDescent="0.2">
      <c r="A395">
        <v>57</v>
      </c>
      <c r="B395">
        <v>12</v>
      </c>
      <c r="C395" t="s">
        <v>173</v>
      </c>
      <c r="D395">
        <v>2013</v>
      </c>
      <c r="E395">
        <v>1383</v>
      </c>
      <c r="F395">
        <v>1381</v>
      </c>
      <c r="G395">
        <v>2</v>
      </c>
      <c r="H395">
        <v>2.13</v>
      </c>
      <c r="I395">
        <v>1151</v>
      </c>
      <c r="J395">
        <v>648</v>
      </c>
      <c r="K395">
        <v>503</v>
      </c>
      <c r="L395">
        <v>43.69</v>
      </c>
      <c r="M395">
        <v>1.199826238</v>
      </c>
      <c r="N395">
        <f>E395/_xlfn.XLOOKUP(C395,Lookups!$A$2:$A$66,Lookups!$C$2:$C$66)</f>
        <v>0.85383546843648717</v>
      </c>
    </row>
    <row r="396" spans="1:27" x14ac:dyDescent="0.2">
      <c r="A396">
        <v>57</v>
      </c>
      <c r="B396">
        <v>12</v>
      </c>
      <c r="C396" t="s">
        <v>173</v>
      </c>
      <c r="D396">
        <v>2014</v>
      </c>
      <c r="E396">
        <v>1381</v>
      </c>
      <c r="F396">
        <v>1379</v>
      </c>
      <c r="G396">
        <v>2</v>
      </c>
      <c r="H396">
        <v>2.12</v>
      </c>
      <c r="I396">
        <v>1155</v>
      </c>
      <c r="J396">
        <v>649</v>
      </c>
      <c r="K396">
        <v>506</v>
      </c>
      <c r="L396">
        <v>43.81</v>
      </c>
      <c r="M396">
        <v>1.193939394</v>
      </c>
      <c r="N396">
        <f>E396/_xlfn.XLOOKUP(C396,Lookups!$A$2:$A$66,Lookups!$C$2:$C$66)</f>
        <v>0.85260070998610893</v>
      </c>
    </row>
    <row r="397" spans="1:27" x14ac:dyDescent="0.2">
      <c r="A397">
        <v>57</v>
      </c>
      <c r="B397">
        <v>12</v>
      </c>
      <c r="C397" t="s">
        <v>173</v>
      </c>
      <c r="D397">
        <v>2015</v>
      </c>
      <c r="E397">
        <v>1381</v>
      </c>
      <c r="F397">
        <v>1379</v>
      </c>
      <c r="G397">
        <v>2</v>
      </c>
      <c r="H397">
        <v>2.12</v>
      </c>
      <c r="I397">
        <v>1161</v>
      </c>
      <c r="J397">
        <v>650</v>
      </c>
      <c r="K397">
        <v>511</v>
      </c>
      <c r="L397">
        <v>44</v>
      </c>
      <c r="M397">
        <v>1.187769165</v>
      </c>
      <c r="N397">
        <f>E397/_xlfn.XLOOKUP(C397,Lookups!$A$2:$A$66,Lookups!$C$2:$C$66)</f>
        <v>0.85260070998610893</v>
      </c>
    </row>
    <row r="398" spans="1:27" x14ac:dyDescent="0.2">
      <c r="A398">
        <v>57</v>
      </c>
      <c r="B398">
        <v>12</v>
      </c>
      <c r="C398" t="s">
        <v>173</v>
      </c>
      <c r="D398">
        <v>2016</v>
      </c>
      <c r="E398">
        <v>1379</v>
      </c>
      <c r="F398">
        <v>1377</v>
      </c>
      <c r="G398">
        <v>2</v>
      </c>
      <c r="H398">
        <v>2.12</v>
      </c>
      <c r="I398">
        <v>1165</v>
      </c>
      <c r="J398">
        <v>651</v>
      </c>
      <c r="K398">
        <v>514</v>
      </c>
      <c r="L398">
        <v>44.13</v>
      </c>
      <c r="M398">
        <v>1.181974249</v>
      </c>
      <c r="N398">
        <f>E398/_xlfn.XLOOKUP(C398,Lookups!$A$2:$A$66,Lookups!$C$2:$C$66)</f>
        <v>0.8513659515357308</v>
      </c>
    </row>
    <row r="399" spans="1:27" x14ac:dyDescent="0.2">
      <c r="A399">
        <v>57</v>
      </c>
      <c r="B399">
        <v>12</v>
      </c>
      <c r="C399" t="s">
        <v>173</v>
      </c>
      <c r="D399">
        <v>2017</v>
      </c>
      <c r="E399">
        <v>1379</v>
      </c>
      <c r="F399">
        <v>1377</v>
      </c>
      <c r="G399">
        <v>2</v>
      </c>
      <c r="H399">
        <v>2.11</v>
      </c>
      <c r="I399">
        <v>1172</v>
      </c>
      <c r="J399">
        <v>652</v>
      </c>
      <c r="K399">
        <v>520</v>
      </c>
      <c r="L399">
        <v>44.35</v>
      </c>
      <c r="M399">
        <v>1.174914676</v>
      </c>
      <c r="N399">
        <f>E399/_xlfn.XLOOKUP(C399,Lookups!$A$2:$A$66,Lookups!$C$2:$C$66)</f>
        <v>0.8513659515357308</v>
      </c>
    </row>
    <row r="400" spans="1:27" x14ac:dyDescent="0.2">
      <c r="A400">
        <v>57</v>
      </c>
      <c r="B400">
        <v>12</v>
      </c>
      <c r="C400" t="s">
        <v>173</v>
      </c>
      <c r="D400">
        <v>2018</v>
      </c>
      <c r="E400">
        <v>1379</v>
      </c>
      <c r="F400">
        <v>1377</v>
      </c>
      <c r="G400">
        <v>2</v>
      </c>
      <c r="H400">
        <v>2.11</v>
      </c>
      <c r="I400">
        <v>1179</v>
      </c>
      <c r="J400">
        <v>654</v>
      </c>
      <c r="K400">
        <v>525</v>
      </c>
      <c r="L400">
        <v>44.56</v>
      </c>
      <c r="M400">
        <v>1.1679389309999999</v>
      </c>
      <c r="N400">
        <f>E400/_xlfn.XLOOKUP(C400,Lookups!$A$2:$A$66,Lookups!$C$2:$C$66)</f>
        <v>0.8513659515357308</v>
      </c>
    </row>
    <row r="401" spans="1:27" x14ac:dyDescent="0.2">
      <c r="A401">
        <v>57</v>
      </c>
      <c r="B401">
        <v>12</v>
      </c>
      <c r="C401" t="s">
        <v>173</v>
      </c>
      <c r="D401">
        <v>2019</v>
      </c>
      <c r="E401">
        <v>1379</v>
      </c>
      <c r="F401">
        <v>1377</v>
      </c>
      <c r="G401">
        <v>2</v>
      </c>
      <c r="H401">
        <v>2.1</v>
      </c>
      <c r="I401">
        <v>1186</v>
      </c>
      <c r="J401">
        <v>655</v>
      </c>
      <c r="K401">
        <v>531</v>
      </c>
      <c r="L401">
        <v>44.77</v>
      </c>
      <c r="M401">
        <v>1.1610455310000001</v>
      </c>
      <c r="N401">
        <f>E401/_xlfn.XLOOKUP(C401,Lookups!$A$2:$A$66,Lookups!$C$2:$C$66)</f>
        <v>0.8513659515357308</v>
      </c>
    </row>
    <row r="402" spans="1:27" x14ac:dyDescent="0.2">
      <c r="A402">
        <v>57</v>
      </c>
      <c r="B402">
        <v>12</v>
      </c>
      <c r="C402" t="s">
        <v>173</v>
      </c>
      <c r="D402">
        <v>2020</v>
      </c>
      <c r="E402">
        <v>1378</v>
      </c>
      <c r="F402">
        <v>1376</v>
      </c>
      <c r="G402">
        <v>2</v>
      </c>
      <c r="I402">
        <v>1191</v>
      </c>
      <c r="M402">
        <v>1.155331654</v>
      </c>
      <c r="N402">
        <f>E402/_xlfn.XLOOKUP(C402,Lookups!$A$2:$A$66,Lookups!$C$2:$C$66)</f>
        <v>0.8507485723105418</v>
      </c>
      <c r="O402">
        <v>1378</v>
      </c>
      <c r="P402">
        <v>7</v>
      </c>
      <c r="Q402">
        <v>-4</v>
      </c>
      <c r="R402">
        <v>3</v>
      </c>
      <c r="S402">
        <v>11</v>
      </c>
      <c r="T402">
        <v>1191</v>
      </c>
      <c r="W402">
        <v>1376</v>
      </c>
      <c r="X402">
        <v>5</v>
      </c>
      <c r="AA402">
        <v>1.155331654</v>
      </c>
    </row>
    <row r="403" spans="1:27" x14ac:dyDescent="0.2">
      <c r="A403">
        <v>57</v>
      </c>
      <c r="B403">
        <v>12</v>
      </c>
      <c r="C403" t="s">
        <v>173</v>
      </c>
      <c r="D403">
        <v>2021</v>
      </c>
      <c r="E403">
        <v>1358</v>
      </c>
      <c r="F403">
        <v>1356</v>
      </c>
      <c r="G403">
        <v>2</v>
      </c>
      <c r="I403">
        <v>1195</v>
      </c>
      <c r="M403">
        <v>1.134728033</v>
      </c>
      <c r="N403">
        <f>E403/_xlfn.XLOOKUP(C403,Lookups!$A$2:$A$66,Lookups!$C$2:$C$66)</f>
        <v>0.83840098780676031</v>
      </c>
      <c r="O403">
        <v>1358</v>
      </c>
      <c r="P403">
        <v>6</v>
      </c>
      <c r="Q403">
        <v>-9</v>
      </c>
      <c r="R403">
        <v>-11</v>
      </c>
      <c r="S403">
        <v>15</v>
      </c>
      <c r="T403">
        <v>1195</v>
      </c>
      <c r="W403">
        <v>1356</v>
      </c>
      <c r="X403">
        <v>2</v>
      </c>
      <c r="AA403">
        <v>1.134728033</v>
      </c>
    </row>
    <row r="404" spans="1:27" x14ac:dyDescent="0.2">
      <c r="A404">
        <v>57</v>
      </c>
      <c r="B404">
        <v>12</v>
      </c>
      <c r="C404" t="s">
        <v>173</v>
      </c>
      <c r="D404">
        <v>2022</v>
      </c>
      <c r="E404">
        <v>1314</v>
      </c>
      <c r="F404">
        <v>1312</v>
      </c>
      <c r="G404">
        <v>2</v>
      </c>
      <c r="I404">
        <v>1199</v>
      </c>
      <c r="M404">
        <v>1.0942452039999999</v>
      </c>
      <c r="N404">
        <f>E404/_xlfn.XLOOKUP(C404,Lookups!$A$2:$A$66,Lookups!$C$2:$C$66)</f>
        <v>0.81123630189844109</v>
      </c>
      <c r="O404">
        <v>1314</v>
      </c>
      <c r="P404">
        <v>8</v>
      </c>
      <c r="Q404">
        <v>-1</v>
      </c>
      <c r="R404">
        <v>-43</v>
      </c>
      <c r="S404">
        <v>9</v>
      </c>
      <c r="T404">
        <v>1199</v>
      </c>
      <c r="W404">
        <v>1312</v>
      </c>
      <c r="X404">
        <v>4</v>
      </c>
      <c r="AA404">
        <v>1.0942452039999999</v>
      </c>
    </row>
    <row r="405" spans="1:27" x14ac:dyDescent="0.2">
      <c r="A405">
        <v>59</v>
      </c>
      <c r="B405">
        <v>4</v>
      </c>
      <c r="C405" t="s">
        <v>174</v>
      </c>
      <c r="D405">
        <v>2010</v>
      </c>
      <c r="E405">
        <v>535651</v>
      </c>
      <c r="F405">
        <v>528224</v>
      </c>
      <c r="G405">
        <v>7427</v>
      </c>
      <c r="H405">
        <v>2.42</v>
      </c>
      <c r="I405">
        <v>230181</v>
      </c>
      <c r="J405">
        <v>218630</v>
      </c>
      <c r="K405">
        <v>11551</v>
      </c>
      <c r="L405">
        <v>5.0199999999999996</v>
      </c>
      <c r="M405">
        <v>2.2948201629999998</v>
      </c>
      <c r="N405">
        <f>E405/_xlfn.XLOOKUP(C405,Lookups!$A$2:$A$66,Lookups!$C$2:$C$66)</f>
        <v>693.08533350585492</v>
      </c>
    </row>
    <row r="406" spans="1:27" x14ac:dyDescent="0.2">
      <c r="A406">
        <v>59</v>
      </c>
      <c r="B406">
        <v>4</v>
      </c>
      <c r="C406" t="s">
        <v>174</v>
      </c>
      <c r="D406">
        <v>2011</v>
      </c>
      <c r="E406">
        <v>540625</v>
      </c>
      <c r="F406">
        <v>532839</v>
      </c>
      <c r="G406">
        <v>7786</v>
      </c>
      <c r="H406">
        <v>2.42</v>
      </c>
      <c r="I406">
        <v>230936</v>
      </c>
      <c r="J406">
        <v>220545</v>
      </c>
      <c r="K406">
        <v>10391</v>
      </c>
      <c r="L406">
        <v>4.5</v>
      </c>
      <c r="M406">
        <v>2.3073015899999998</v>
      </c>
      <c r="N406">
        <f>E406/_xlfn.XLOOKUP(C406,Lookups!$A$2:$A$66,Lookups!$C$2:$C$66)</f>
        <v>699.52125250695474</v>
      </c>
    </row>
    <row r="407" spans="1:27" x14ac:dyDescent="0.2">
      <c r="A407">
        <v>59</v>
      </c>
      <c r="B407">
        <v>4</v>
      </c>
      <c r="C407" t="s">
        <v>174</v>
      </c>
      <c r="D407">
        <v>2012</v>
      </c>
      <c r="E407">
        <v>546631</v>
      </c>
      <c r="F407">
        <v>538930</v>
      </c>
      <c r="G407">
        <v>7701</v>
      </c>
      <c r="H407">
        <v>2.42</v>
      </c>
      <c r="I407">
        <v>232054</v>
      </c>
      <c r="J407">
        <v>223071</v>
      </c>
      <c r="K407">
        <v>8983</v>
      </c>
      <c r="L407">
        <v>3.87</v>
      </c>
      <c r="M407">
        <v>2.3224335709999999</v>
      </c>
      <c r="N407">
        <f>E407/_xlfn.XLOOKUP(C407,Lookups!$A$2:$A$66,Lookups!$C$2:$C$66)</f>
        <v>707.29248884000776</v>
      </c>
    </row>
    <row r="408" spans="1:27" x14ac:dyDescent="0.2">
      <c r="A408">
        <v>59</v>
      </c>
      <c r="B408">
        <v>4</v>
      </c>
      <c r="C408" t="s">
        <v>174</v>
      </c>
      <c r="D408">
        <v>2013</v>
      </c>
      <c r="E408">
        <v>552236</v>
      </c>
      <c r="F408">
        <v>544284</v>
      </c>
      <c r="G408">
        <v>7952</v>
      </c>
      <c r="H408">
        <v>2.42</v>
      </c>
      <c r="I408">
        <v>233257</v>
      </c>
      <c r="J408">
        <v>225291</v>
      </c>
      <c r="K408">
        <v>7966</v>
      </c>
      <c r="L408">
        <v>3.42</v>
      </c>
      <c r="M408">
        <v>2.3334090719999998</v>
      </c>
      <c r="N408">
        <f>E408/_xlfn.XLOOKUP(C408,Lookups!$A$2:$A$66,Lookups!$C$2:$C$66)</f>
        <v>714.54486640357118</v>
      </c>
    </row>
    <row r="409" spans="1:27" x14ac:dyDescent="0.2">
      <c r="A409">
        <v>59</v>
      </c>
      <c r="B409">
        <v>4</v>
      </c>
      <c r="C409" t="s">
        <v>174</v>
      </c>
      <c r="D409">
        <v>2014</v>
      </c>
      <c r="E409">
        <v>559016</v>
      </c>
      <c r="F409">
        <v>550990</v>
      </c>
      <c r="G409">
        <v>8026</v>
      </c>
      <c r="H409">
        <v>2.42</v>
      </c>
      <c r="I409">
        <v>234710</v>
      </c>
      <c r="J409">
        <v>228072</v>
      </c>
      <c r="K409">
        <v>6638</v>
      </c>
      <c r="L409">
        <v>2.83</v>
      </c>
      <c r="M409">
        <v>2.347535256</v>
      </c>
      <c r="N409">
        <f>E409/_xlfn.XLOOKUP(C409,Lookups!$A$2:$A$66,Lookups!$C$2:$C$66)</f>
        <v>723.31759073558908</v>
      </c>
    </row>
    <row r="410" spans="1:27" x14ac:dyDescent="0.2">
      <c r="A410">
        <v>59</v>
      </c>
      <c r="B410">
        <v>4</v>
      </c>
      <c r="C410" t="s">
        <v>174</v>
      </c>
      <c r="D410">
        <v>2015</v>
      </c>
      <c r="E410">
        <v>565161</v>
      </c>
      <c r="F410">
        <v>557032</v>
      </c>
      <c r="G410">
        <v>8129</v>
      </c>
      <c r="H410">
        <v>2.42</v>
      </c>
      <c r="I410">
        <v>237424</v>
      </c>
      <c r="J410">
        <v>230578</v>
      </c>
      <c r="K410">
        <v>6846</v>
      </c>
      <c r="L410">
        <v>2.88</v>
      </c>
      <c r="M410">
        <v>2.3461486620000001</v>
      </c>
      <c r="N410">
        <f>E410/_xlfn.XLOOKUP(C410,Lookups!$A$2:$A$66,Lookups!$C$2:$C$66)</f>
        <v>731.26868085656986</v>
      </c>
    </row>
    <row r="411" spans="1:27" x14ac:dyDescent="0.2">
      <c r="A411">
        <v>59</v>
      </c>
      <c r="B411">
        <v>4</v>
      </c>
      <c r="C411" t="s">
        <v>174</v>
      </c>
      <c r="D411">
        <v>2016</v>
      </c>
      <c r="E411">
        <v>571744</v>
      </c>
      <c r="F411">
        <v>563381</v>
      </c>
      <c r="G411">
        <v>8363</v>
      </c>
      <c r="H411">
        <v>2.42</v>
      </c>
      <c r="I411">
        <v>239371</v>
      </c>
      <c r="J411">
        <v>233211</v>
      </c>
      <c r="K411">
        <v>6160</v>
      </c>
      <c r="L411">
        <v>2.57</v>
      </c>
      <c r="M411">
        <v>2.3535891979999999</v>
      </c>
      <c r="N411">
        <f>E411/_xlfn.XLOOKUP(C411,Lookups!$A$2:$A$66,Lookups!$C$2:$C$66)</f>
        <v>739.78650449634472</v>
      </c>
    </row>
    <row r="412" spans="1:27" x14ac:dyDescent="0.2">
      <c r="A412">
        <v>59</v>
      </c>
      <c r="B412">
        <v>4</v>
      </c>
      <c r="C412" t="s">
        <v>174</v>
      </c>
      <c r="D412">
        <v>2017</v>
      </c>
      <c r="E412">
        <v>575923</v>
      </c>
      <c r="F412">
        <v>566813</v>
      </c>
      <c r="G412">
        <v>9110</v>
      </c>
      <c r="H412">
        <v>2.42</v>
      </c>
      <c r="I412">
        <v>242056</v>
      </c>
      <c r="J412">
        <v>234636</v>
      </c>
      <c r="K412">
        <v>7420</v>
      </c>
      <c r="L412">
        <v>3.07</v>
      </c>
      <c r="M412">
        <v>2.3416606070000001</v>
      </c>
      <c r="N412">
        <f>E412/_xlfn.XLOOKUP(C412,Lookups!$A$2:$A$66,Lookups!$C$2:$C$66)</f>
        <v>745.19376334346896</v>
      </c>
    </row>
    <row r="413" spans="1:27" x14ac:dyDescent="0.2">
      <c r="A413">
        <v>59</v>
      </c>
      <c r="B413">
        <v>4</v>
      </c>
      <c r="C413" t="s">
        <v>174</v>
      </c>
      <c r="D413">
        <v>2018</v>
      </c>
      <c r="E413">
        <v>579821</v>
      </c>
      <c r="F413">
        <v>570999</v>
      </c>
      <c r="G413">
        <v>8822</v>
      </c>
      <c r="H413">
        <v>2.42</v>
      </c>
      <c r="I413">
        <v>244236</v>
      </c>
      <c r="J413">
        <v>236374</v>
      </c>
      <c r="K413">
        <v>7862</v>
      </c>
      <c r="L413">
        <v>3.22</v>
      </c>
      <c r="M413">
        <v>2.33789859</v>
      </c>
      <c r="N413">
        <f>E413/_xlfn.XLOOKUP(C413,Lookups!$A$2:$A$66,Lookups!$C$2:$C$66)</f>
        <v>750.23743287830757</v>
      </c>
    </row>
    <row r="414" spans="1:27" x14ac:dyDescent="0.2">
      <c r="A414">
        <v>59</v>
      </c>
      <c r="B414">
        <v>4</v>
      </c>
      <c r="C414" t="s">
        <v>174</v>
      </c>
      <c r="D414">
        <v>2019</v>
      </c>
      <c r="E414">
        <v>582568</v>
      </c>
      <c r="F414">
        <v>573332</v>
      </c>
      <c r="G414">
        <v>9236</v>
      </c>
      <c r="H414">
        <v>2.42</v>
      </c>
      <c r="I414">
        <v>246873</v>
      </c>
      <c r="J414">
        <v>237345</v>
      </c>
      <c r="K414">
        <v>9528</v>
      </c>
      <c r="L414">
        <v>3.86</v>
      </c>
      <c r="M414">
        <v>2.3223762830000001</v>
      </c>
      <c r="N414">
        <f>E414/_xlfn.XLOOKUP(C414,Lookups!$A$2:$A$66,Lookups!$C$2:$C$66)</f>
        <v>753.79180953613252</v>
      </c>
    </row>
    <row r="415" spans="1:27" x14ac:dyDescent="0.2">
      <c r="A415">
        <v>59</v>
      </c>
      <c r="B415">
        <v>4</v>
      </c>
      <c r="C415" t="s">
        <v>174</v>
      </c>
      <c r="D415">
        <v>2020</v>
      </c>
      <c r="E415">
        <v>583063</v>
      </c>
      <c r="F415">
        <v>574379</v>
      </c>
      <c r="G415">
        <v>8684</v>
      </c>
      <c r="I415">
        <v>248886</v>
      </c>
      <c r="M415">
        <v>2.3077995549999999</v>
      </c>
      <c r="N415">
        <f>E415/_xlfn.XLOOKUP(C415,Lookups!$A$2:$A$66,Lookups!$C$2:$C$66)</f>
        <v>754.43229604709836</v>
      </c>
      <c r="O415">
        <v>583063</v>
      </c>
      <c r="P415">
        <v>5723</v>
      </c>
      <c r="Q415">
        <v>822</v>
      </c>
      <c r="R415">
        <v>-327</v>
      </c>
      <c r="S415">
        <v>4901</v>
      </c>
      <c r="T415">
        <v>248886</v>
      </c>
      <c r="W415">
        <v>574379</v>
      </c>
      <c r="X415">
        <v>2161</v>
      </c>
      <c r="AA415">
        <v>2.3077995549999999</v>
      </c>
    </row>
    <row r="416" spans="1:27" x14ac:dyDescent="0.2">
      <c r="A416">
        <v>59</v>
      </c>
      <c r="B416">
        <v>4</v>
      </c>
      <c r="C416" t="s">
        <v>174</v>
      </c>
      <c r="D416">
        <v>2021</v>
      </c>
      <c r="E416">
        <v>580726</v>
      </c>
      <c r="F416">
        <v>571625</v>
      </c>
      <c r="G416">
        <v>9101</v>
      </c>
      <c r="I416">
        <v>251462</v>
      </c>
      <c r="M416">
        <v>2.2732062900000001</v>
      </c>
      <c r="N416">
        <f>E416/_xlfn.XLOOKUP(C416,Lookups!$A$2:$A$66,Lookups!$C$2:$C$66)</f>
        <v>751.40842336805326</v>
      </c>
      <c r="O416">
        <v>580726</v>
      </c>
      <c r="P416">
        <v>5379</v>
      </c>
      <c r="Q416">
        <v>12</v>
      </c>
      <c r="R416">
        <v>-2349</v>
      </c>
      <c r="S416">
        <v>5367</v>
      </c>
      <c r="T416">
        <v>251462</v>
      </c>
      <c r="W416">
        <v>571625</v>
      </c>
      <c r="X416">
        <v>2515</v>
      </c>
      <c r="AA416">
        <v>2.2732062900000001</v>
      </c>
    </row>
    <row r="417" spans="1:27" x14ac:dyDescent="0.2">
      <c r="A417">
        <v>59</v>
      </c>
      <c r="B417">
        <v>4</v>
      </c>
      <c r="C417" t="s">
        <v>174</v>
      </c>
      <c r="D417">
        <v>2022</v>
      </c>
      <c r="E417">
        <v>575936</v>
      </c>
      <c r="F417">
        <v>566554</v>
      </c>
      <c r="G417">
        <v>9382</v>
      </c>
      <c r="I417">
        <v>254441</v>
      </c>
      <c r="M417">
        <v>2.2266615839999999</v>
      </c>
      <c r="N417">
        <f>E417/_xlfn.XLOOKUP(C417,Lookups!$A$2:$A$66,Lookups!$C$2:$C$66)</f>
        <v>745.21058420133272</v>
      </c>
      <c r="O417">
        <v>575936</v>
      </c>
      <c r="P417">
        <v>5523</v>
      </c>
      <c r="Q417">
        <v>82</v>
      </c>
      <c r="R417">
        <v>-4872</v>
      </c>
      <c r="S417">
        <v>5441</v>
      </c>
      <c r="T417">
        <v>254441</v>
      </c>
      <c r="W417">
        <v>566554</v>
      </c>
      <c r="X417">
        <v>2206</v>
      </c>
      <c r="AA417">
        <v>2.2266615839999999</v>
      </c>
    </row>
    <row r="418" spans="1:27" x14ac:dyDescent="0.2">
      <c r="A418">
        <v>61</v>
      </c>
      <c r="B418">
        <v>6</v>
      </c>
      <c r="C418" t="s">
        <v>175</v>
      </c>
      <c r="D418">
        <v>2010</v>
      </c>
      <c r="E418">
        <v>1399</v>
      </c>
      <c r="F418">
        <v>1385</v>
      </c>
      <c r="G418">
        <v>14</v>
      </c>
      <c r="H418">
        <v>2.4900000000000002</v>
      </c>
      <c r="I418">
        <v>720</v>
      </c>
      <c r="J418">
        <v>557</v>
      </c>
      <c r="K418">
        <v>163</v>
      </c>
      <c r="L418">
        <v>22.64</v>
      </c>
      <c r="M418">
        <v>1.923611111</v>
      </c>
      <c r="N418">
        <f>E418/_xlfn.XLOOKUP(C418,Lookups!$A$2:$A$66,Lookups!$C$2:$C$66)</f>
        <v>0.78335853071280581</v>
      </c>
    </row>
    <row r="419" spans="1:27" x14ac:dyDescent="0.2">
      <c r="A419">
        <v>61</v>
      </c>
      <c r="B419">
        <v>6</v>
      </c>
      <c r="C419" t="s">
        <v>175</v>
      </c>
      <c r="D419">
        <v>2011</v>
      </c>
      <c r="E419">
        <v>1383</v>
      </c>
      <c r="F419">
        <v>1367</v>
      </c>
      <c r="G419">
        <v>16</v>
      </c>
      <c r="H419">
        <v>2.25</v>
      </c>
      <c r="I419">
        <v>727</v>
      </c>
      <c r="J419">
        <v>607</v>
      </c>
      <c r="K419">
        <v>120</v>
      </c>
      <c r="L419">
        <v>16.53</v>
      </c>
      <c r="M419">
        <v>1.8803301240000001</v>
      </c>
      <c r="N419">
        <f>E419/_xlfn.XLOOKUP(C419,Lookups!$A$2:$A$66,Lookups!$C$2:$C$66)</f>
        <v>0.77439946245590452</v>
      </c>
    </row>
    <row r="420" spans="1:27" x14ac:dyDescent="0.2">
      <c r="A420">
        <v>61</v>
      </c>
      <c r="B420">
        <v>6</v>
      </c>
      <c r="C420" t="s">
        <v>175</v>
      </c>
      <c r="D420">
        <v>2012</v>
      </c>
      <c r="E420">
        <v>1392</v>
      </c>
      <c r="F420">
        <v>1375</v>
      </c>
      <c r="G420">
        <v>18</v>
      </c>
      <c r="H420">
        <v>2.27</v>
      </c>
      <c r="I420">
        <v>728</v>
      </c>
      <c r="J420">
        <v>605</v>
      </c>
      <c r="K420">
        <v>123</v>
      </c>
      <c r="L420">
        <v>16.899999999999999</v>
      </c>
      <c r="M420">
        <v>1.8887362640000001</v>
      </c>
      <c r="N420">
        <f>E420/_xlfn.XLOOKUP(C420,Lookups!$A$2:$A$66,Lookups!$C$2:$C$66)</f>
        <v>0.77943893835041156</v>
      </c>
    </row>
    <row r="421" spans="1:27" x14ac:dyDescent="0.2">
      <c r="A421">
        <v>61</v>
      </c>
      <c r="B421">
        <v>6</v>
      </c>
      <c r="C421" t="s">
        <v>175</v>
      </c>
      <c r="D421">
        <v>2013</v>
      </c>
      <c r="E421">
        <v>1397</v>
      </c>
      <c r="F421">
        <v>1377</v>
      </c>
      <c r="G421">
        <v>20</v>
      </c>
      <c r="H421">
        <v>2.29</v>
      </c>
      <c r="I421">
        <v>730</v>
      </c>
      <c r="J421">
        <v>601</v>
      </c>
      <c r="K421">
        <v>129</v>
      </c>
      <c r="L421">
        <v>17.649999999999999</v>
      </c>
      <c r="M421">
        <v>1.88630137</v>
      </c>
      <c r="N421">
        <f>E421/_xlfn.XLOOKUP(C421,Lookups!$A$2:$A$66,Lookups!$C$2:$C$66)</f>
        <v>0.78223864718069314</v>
      </c>
    </row>
    <row r="422" spans="1:27" x14ac:dyDescent="0.2">
      <c r="A422">
        <v>61</v>
      </c>
      <c r="B422">
        <v>6</v>
      </c>
      <c r="C422" t="s">
        <v>175</v>
      </c>
      <c r="D422">
        <v>2014</v>
      </c>
      <c r="E422">
        <v>1393</v>
      </c>
      <c r="F422">
        <v>1372</v>
      </c>
      <c r="G422">
        <v>22</v>
      </c>
      <c r="H422">
        <v>2.31</v>
      </c>
      <c r="I422">
        <v>734</v>
      </c>
      <c r="J422">
        <v>594</v>
      </c>
      <c r="K422">
        <v>140</v>
      </c>
      <c r="L422">
        <v>19.12</v>
      </c>
      <c r="M422">
        <v>1.869209809</v>
      </c>
      <c r="N422">
        <f>E422/_xlfn.XLOOKUP(C422,Lookups!$A$2:$A$66,Lookups!$C$2:$C$66)</f>
        <v>0.7799988801164679</v>
      </c>
    </row>
    <row r="423" spans="1:27" x14ac:dyDescent="0.2">
      <c r="A423">
        <v>61</v>
      </c>
      <c r="B423">
        <v>6</v>
      </c>
      <c r="C423" t="s">
        <v>175</v>
      </c>
      <c r="D423">
        <v>2015</v>
      </c>
      <c r="E423">
        <v>1406</v>
      </c>
      <c r="F423">
        <v>1383</v>
      </c>
      <c r="G423">
        <v>24</v>
      </c>
      <c r="H423">
        <v>2.33</v>
      </c>
      <c r="I423">
        <v>734</v>
      </c>
      <c r="J423">
        <v>594</v>
      </c>
      <c r="K423">
        <v>140</v>
      </c>
      <c r="L423">
        <v>19.12</v>
      </c>
      <c r="M423">
        <v>1.884196185</v>
      </c>
      <c r="N423">
        <f>E423/_xlfn.XLOOKUP(C423,Lookups!$A$2:$A$66,Lookups!$C$2:$C$66)</f>
        <v>0.78727812307520018</v>
      </c>
    </row>
    <row r="424" spans="1:27" x14ac:dyDescent="0.2">
      <c r="A424">
        <v>61</v>
      </c>
      <c r="B424">
        <v>6</v>
      </c>
      <c r="C424" t="s">
        <v>175</v>
      </c>
      <c r="D424">
        <v>2016</v>
      </c>
      <c r="E424">
        <v>1420</v>
      </c>
      <c r="F424">
        <v>1394</v>
      </c>
      <c r="G424">
        <v>25</v>
      </c>
      <c r="H424">
        <v>2.35</v>
      </c>
      <c r="I424">
        <v>734</v>
      </c>
      <c r="J424">
        <v>594</v>
      </c>
      <c r="K424">
        <v>140</v>
      </c>
      <c r="L424">
        <v>19.12</v>
      </c>
      <c r="M424">
        <v>1.8991825609999999</v>
      </c>
      <c r="N424">
        <f>E424/_xlfn.XLOOKUP(C424,Lookups!$A$2:$A$66,Lookups!$C$2:$C$66)</f>
        <v>0.79511730779998879</v>
      </c>
    </row>
    <row r="425" spans="1:27" x14ac:dyDescent="0.2">
      <c r="A425">
        <v>61</v>
      </c>
      <c r="B425">
        <v>6</v>
      </c>
      <c r="C425" t="s">
        <v>175</v>
      </c>
      <c r="D425">
        <v>2017</v>
      </c>
      <c r="E425">
        <v>1428</v>
      </c>
      <c r="F425">
        <v>1401</v>
      </c>
      <c r="G425">
        <v>27</v>
      </c>
      <c r="H425">
        <v>2.37</v>
      </c>
      <c r="I425">
        <v>735</v>
      </c>
      <c r="J425">
        <v>592</v>
      </c>
      <c r="K425">
        <v>143</v>
      </c>
      <c r="L425">
        <v>19.489999999999998</v>
      </c>
      <c r="M425">
        <v>1.9061224489999999</v>
      </c>
      <c r="N425">
        <f>E425/_xlfn.XLOOKUP(C425,Lookups!$A$2:$A$66,Lookups!$C$2:$C$66)</f>
        <v>0.79959684192843938</v>
      </c>
    </row>
    <row r="426" spans="1:27" x14ac:dyDescent="0.2">
      <c r="A426">
        <v>61</v>
      </c>
      <c r="B426">
        <v>6</v>
      </c>
      <c r="C426" t="s">
        <v>175</v>
      </c>
      <c r="D426">
        <v>2018</v>
      </c>
      <c r="E426">
        <v>1442</v>
      </c>
      <c r="F426">
        <v>1412</v>
      </c>
      <c r="G426">
        <v>29</v>
      </c>
      <c r="H426">
        <v>2.39</v>
      </c>
      <c r="I426">
        <v>735</v>
      </c>
      <c r="J426">
        <v>592</v>
      </c>
      <c r="K426">
        <v>143</v>
      </c>
      <c r="L426">
        <v>19.489999999999998</v>
      </c>
      <c r="M426">
        <v>1.9210884349999999</v>
      </c>
      <c r="N426">
        <f>E426/_xlfn.XLOOKUP(C426,Lookups!$A$2:$A$66,Lookups!$C$2:$C$66)</f>
        <v>0.807436026653228</v>
      </c>
    </row>
    <row r="427" spans="1:27" x14ac:dyDescent="0.2">
      <c r="A427">
        <v>61</v>
      </c>
      <c r="B427">
        <v>6</v>
      </c>
      <c r="C427" t="s">
        <v>175</v>
      </c>
      <c r="D427">
        <v>2019</v>
      </c>
      <c r="E427">
        <v>1455</v>
      </c>
      <c r="F427">
        <v>1424</v>
      </c>
      <c r="G427">
        <v>31</v>
      </c>
      <c r="H427">
        <v>2.41</v>
      </c>
      <c r="I427">
        <v>735</v>
      </c>
      <c r="J427">
        <v>592</v>
      </c>
      <c r="K427">
        <v>143</v>
      </c>
      <c r="L427">
        <v>19.489999999999998</v>
      </c>
      <c r="M427">
        <v>1.937414966</v>
      </c>
      <c r="N427">
        <f>E427/_xlfn.XLOOKUP(C427,Lookups!$A$2:$A$66,Lookups!$C$2:$C$66)</f>
        <v>0.81471526961196028</v>
      </c>
    </row>
    <row r="428" spans="1:27" x14ac:dyDescent="0.2">
      <c r="A428">
        <v>61</v>
      </c>
      <c r="B428">
        <v>6</v>
      </c>
      <c r="C428" t="s">
        <v>175</v>
      </c>
      <c r="D428">
        <v>2020</v>
      </c>
      <c r="E428">
        <v>1454</v>
      </c>
      <c r="F428">
        <v>1425</v>
      </c>
      <c r="G428">
        <v>29</v>
      </c>
      <c r="I428">
        <v>737</v>
      </c>
      <c r="M428">
        <v>1.933514247</v>
      </c>
      <c r="N428">
        <f>E428/_xlfn.XLOOKUP(C428,Lookups!$A$2:$A$66,Lookups!$C$2:$C$66)</f>
        <v>0.81415532784590394</v>
      </c>
      <c r="O428">
        <v>1454</v>
      </c>
      <c r="P428">
        <v>13</v>
      </c>
      <c r="Q428">
        <v>-2</v>
      </c>
      <c r="R428">
        <v>1</v>
      </c>
      <c r="S428">
        <v>15</v>
      </c>
      <c r="T428">
        <v>737</v>
      </c>
      <c r="W428">
        <v>1425</v>
      </c>
      <c r="X428">
        <v>5</v>
      </c>
      <c r="AA428">
        <v>1.933514247</v>
      </c>
    </row>
    <row r="429" spans="1:27" x14ac:dyDescent="0.2">
      <c r="A429">
        <v>61</v>
      </c>
      <c r="B429">
        <v>6</v>
      </c>
      <c r="C429" t="s">
        <v>175</v>
      </c>
      <c r="D429">
        <v>2021</v>
      </c>
      <c r="E429">
        <v>1453</v>
      </c>
      <c r="F429">
        <v>1424</v>
      </c>
      <c r="G429">
        <v>29</v>
      </c>
      <c r="I429">
        <v>742</v>
      </c>
      <c r="M429">
        <v>1.919137466</v>
      </c>
      <c r="N429">
        <f>E429/_xlfn.XLOOKUP(C429,Lookups!$A$2:$A$66,Lookups!$C$2:$C$66)</f>
        <v>0.8135953860798476</v>
      </c>
      <c r="O429">
        <v>1453</v>
      </c>
      <c r="P429">
        <v>20</v>
      </c>
      <c r="Q429">
        <v>-1</v>
      </c>
      <c r="R429">
        <v>0</v>
      </c>
      <c r="S429">
        <v>21</v>
      </c>
      <c r="T429">
        <v>742</v>
      </c>
      <c r="W429">
        <v>1424</v>
      </c>
      <c r="X429">
        <v>6</v>
      </c>
      <c r="AA429">
        <v>1.919137466</v>
      </c>
    </row>
    <row r="430" spans="1:27" x14ac:dyDescent="0.2">
      <c r="A430">
        <v>61</v>
      </c>
      <c r="B430">
        <v>6</v>
      </c>
      <c r="C430" t="s">
        <v>175</v>
      </c>
      <c r="D430">
        <v>2022</v>
      </c>
      <c r="E430">
        <v>1428</v>
      </c>
      <c r="F430">
        <v>1399</v>
      </c>
      <c r="G430">
        <v>29</v>
      </c>
      <c r="I430">
        <v>748</v>
      </c>
      <c r="M430">
        <v>1.870320856</v>
      </c>
      <c r="N430">
        <f>E430/_xlfn.XLOOKUP(C430,Lookups!$A$2:$A$66,Lookups!$C$2:$C$66)</f>
        <v>0.79959684192843938</v>
      </c>
      <c r="O430">
        <v>1428</v>
      </c>
      <c r="P430">
        <v>11</v>
      </c>
      <c r="Q430">
        <v>-8</v>
      </c>
      <c r="R430">
        <v>-17</v>
      </c>
      <c r="S430">
        <v>19</v>
      </c>
      <c r="T430">
        <v>748</v>
      </c>
      <c r="W430">
        <v>1399</v>
      </c>
      <c r="X430">
        <v>6</v>
      </c>
      <c r="AA430">
        <v>1.870320856</v>
      </c>
    </row>
    <row r="431" spans="1:27" x14ac:dyDescent="0.2">
      <c r="A431">
        <v>63</v>
      </c>
      <c r="B431">
        <v>5</v>
      </c>
      <c r="C431" t="s">
        <v>176</v>
      </c>
      <c r="D431">
        <v>2010</v>
      </c>
      <c r="E431">
        <v>8267</v>
      </c>
      <c r="F431">
        <v>7192</v>
      </c>
      <c r="G431">
        <v>1075</v>
      </c>
      <c r="H431">
        <v>2.4700000000000002</v>
      </c>
      <c r="I431">
        <v>3377</v>
      </c>
      <c r="J431">
        <v>2916</v>
      </c>
      <c r="K431">
        <v>461</v>
      </c>
      <c r="L431">
        <v>13.65</v>
      </c>
      <c r="M431">
        <v>2.1297009180000002</v>
      </c>
      <c r="N431">
        <f>E431/_xlfn.XLOOKUP(C431,Lookups!$A$2:$A$66,Lookups!$C$2:$C$66)</f>
        <v>3.8230139241501462</v>
      </c>
    </row>
    <row r="432" spans="1:27" x14ac:dyDescent="0.2">
      <c r="A432">
        <v>63</v>
      </c>
      <c r="B432">
        <v>5</v>
      </c>
      <c r="C432" t="s">
        <v>176</v>
      </c>
      <c r="D432">
        <v>2011</v>
      </c>
      <c r="E432">
        <v>8165</v>
      </c>
      <c r="F432">
        <v>7188</v>
      </c>
      <c r="G432">
        <v>977</v>
      </c>
      <c r="H432">
        <v>2.37</v>
      </c>
      <c r="I432">
        <v>3379</v>
      </c>
      <c r="J432">
        <v>3028</v>
      </c>
      <c r="K432">
        <v>351</v>
      </c>
      <c r="L432">
        <v>10.37</v>
      </c>
      <c r="M432">
        <v>2.127256585</v>
      </c>
      <c r="N432">
        <f>E432/_xlfn.XLOOKUP(C432,Lookups!$A$2:$A$66,Lookups!$C$2:$C$66)</f>
        <v>3.7758447672294597</v>
      </c>
    </row>
    <row r="433" spans="1:27" x14ac:dyDescent="0.2">
      <c r="A433">
        <v>63</v>
      </c>
      <c r="B433">
        <v>5</v>
      </c>
      <c r="C433" t="s">
        <v>176</v>
      </c>
      <c r="D433">
        <v>2012</v>
      </c>
      <c r="E433">
        <v>8085</v>
      </c>
      <c r="F433">
        <v>7207</v>
      </c>
      <c r="G433">
        <v>879</v>
      </c>
      <c r="H433">
        <v>2.38</v>
      </c>
      <c r="I433">
        <v>3379</v>
      </c>
      <c r="J433">
        <v>3028</v>
      </c>
      <c r="K433">
        <v>351</v>
      </c>
      <c r="L433">
        <v>10.37</v>
      </c>
      <c r="M433">
        <v>2.1328795500000002</v>
      </c>
      <c r="N433">
        <f>E433/_xlfn.XLOOKUP(C433,Lookups!$A$2:$A$66,Lookups!$C$2:$C$66)</f>
        <v>3.7388493500367646</v>
      </c>
    </row>
    <row r="434" spans="1:27" x14ac:dyDescent="0.2">
      <c r="A434">
        <v>63</v>
      </c>
      <c r="B434">
        <v>5</v>
      </c>
      <c r="C434" t="s">
        <v>176</v>
      </c>
      <c r="D434">
        <v>2013</v>
      </c>
      <c r="E434">
        <v>8006</v>
      </c>
      <c r="F434">
        <v>7225</v>
      </c>
      <c r="G434">
        <v>780</v>
      </c>
      <c r="H434">
        <v>2.39</v>
      </c>
      <c r="I434">
        <v>3379</v>
      </c>
      <c r="J434">
        <v>3028</v>
      </c>
      <c r="K434">
        <v>351</v>
      </c>
      <c r="L434">
        <v>10.37</v>
      </c>
      <c r="M434">
        <v>2.1382065699999999</v>
      </c>
      <c r="N434">
        <f>E434/_xlfn.XLOOKUP(C434,Lookups!$A$2:$A$66,Lookups!$C$2:$C$66)</f>
        <v>3.7023163755589779</v>
      </c>
    </row>
    <row r="435" spans="1:27" x14ac:dyDescent="0.2">
      <c r="A435">
        <v>63</v>
      </c>
      <c r="B435">
        <v>5</v>
      </c>
      <c r="C435" t="s">
        <v>176</v>
      </c>
      <c r="D435">
        <v>2014</v>
      </c>
      <c r="E435">
        <v>7664</v>
      </c>
      <c r="F435">
        <v>6982</v>
      </c>
      <c r="G435">
        <v>682</v>
      </c>
      <c r="H435">
        <v>2.39</v>
      </c>
      <c r="I435">
        <v>3402</v>
      </c>
      <c r="J435">
        <v>2919</v>
      </c>
      <c r="K435">
        <v>483</v>
      </c>
      <c r="L435">
        <v>14.2</v>
      </c>
      <c r="M435">
        <v>2.0523221629999999</v>
      </c>
      <c r="N435">
        <f>E435/_xlfn.XLOOKUP(C435,Lookups!$A$2:$A$66,Lookups!$C$2:$C$66)</f>
        <v>3.5441609670602059</v>
      </c>
    </row>
    <row r="436" spans="1:27" x14ac:dyDescent="0.2">
      <c r="A436">
        <v>63</v>
      </c>
      <c r="B436">
        <v>5</v>
      </c>
      <c r="C436" t="s">
        <v>176</v>
      </c>
      <c r="D436">
        <v>2015</v>
      </c>
      <c r="E436">
        <v>7561</v>
      </c>
      <c r="F436">
        <v>6977</v>
      </c>
      <c r="G436">
        <v>584</v>
      </c>
      <c r="H436">
        <v>2.4</v>
      </c>
      <c r="I436">
        <v>3404</v>
      </c>
      <c r="J436">
        <v>2909</v>
      </c>
      <c r="K436">
        <v>495</v>
      </c>
      <c r="L436">
        <v>14.53</v>
      </c>
      <c r="M436">
        <v>2.0496474739999999</v>
      </c>
      <c r="N436">
        <f>E436/_xlfn.XLOOKUP(C436,Lookups!$A$2:$A$66,Lookups!$C$2:$C$66)</f>
        <v>3.4965293674246105</v>
      </c>
    </row>
    <row r="437" spans="1:27" x14ac:dyDescent="0.2">
      <c r="A437">
        <v>63</v>
      </c>
      <c r="B437">
        <v>5</v>
      </c>
      <c r="C437" t="s">
        <v>176</v>
      </c>
      <c r="D437">
        <v>2016</v>
      </c>
      <c r="E437">
        <v>7480</v>
      </c>
      <c r="F437">
        <v>6995</v>
      </c>
      <c r="G437">
        <v>486</v>
      </c>
      <c r="H437">
        <v>2.4</v>
      </c>
      <c r="I437">
        <v>3404</v>
      </c>
      <c r="J437">
        <v>2909</v>
      </c>
      <c r="K437">
        <v>495</v>
      </c>
      <c r="L437">
        <v>14.53</v>
      </c>
      <c r="M437">
        <v>2.0549353699999999</v>
      </c>
      <c r="N437">
        <f>E437/_xlfn.XLOOKUP(C437,Lookups!$A$2:$A$66,Lookups!$C$2:$C$66)</f>
        <v>3.4590715075170064</v>
      </c>
    </row>
    <row r="438" spans="1:27" x14ac:dyDescent="0.2">
      <c r="A438">
        <v>63</v>
      </c>
      <c r="B438">
        <v>5</v>
      </c>
      <c r="C438" t="s">
        <v>176</v>
      </c>
      <c r="D438">
        <v>2017</v>
      </c>
      <c r="E438">
        <v>7400</v>
      </c>
      <c r="F438">
        <v>7012</v>
      </c>
      <c r="G438">
        <v>388</v>
      </c>
      <c r="H438">
        <v>2.41</v>
      </c>
      <c r="I438">
        <v>3404</v>
      </c>
      <c r="J438">
        <v>2909</v>
      </c>
      <c r="K438">
        <v>495</v>
      </c>
      <c r="L438">
        <v>14.53</v>
      </c>
      <c r="M438">
        <v>2.059929495</v>
      </c>
      <c r="N438">
        <f>E438/_xlfn.XLOOKUP(C438,Lookups!$A$2:$A$66,Lookups!$C$2:$C$66)</f>
        <v>3.4220760903243113</v>
      </c>
    </row>
    <row r="439" spans="1:27" x14ac:dyDescent="0.2">
      <c r="A439">
        <v>63</v>
      </c>
      <c r="B439">
        <v>5</v>
      </c>
      <c r="C439" t="s">
        <v>176</v>
      </c>
      <c r="D439">
        <v>2018</v>
      </c>
      <c r="E439">
        <v>7285</v>
      </c>
      <c r="F439">
        <v>6996</v>
      </c>
      <c r="G439">
        <v>289</v>
      </c>
      <c r="H439">
        <v>2.42</v>
      </c>
      <c r="I439">
        <v>3407</v>
      </c>
      <c r="J439">
        <v>2895</v>
      </c>
      <c r="K439">
        <v>512</v>
      </c>
      <c r="L439">
        <v>15.03</v>
      </c>
      <c r="M439">
        <v>2.053419431</v>
      </c>
      <c r="N439">
        <f>E439/_xlfn.XLOOKUP(C439,Lookups!$A$2:$A$66,Lookups!$C$2:$C$66)</f>
        <v>3.368895178109812</v>
      </c>
    </row>
    <row r="440" spans="1:27" x14ac:dyDescent="0.2">
      <c r="A440">
        <v>63</v>
      </c>
      <c r="B440">
        <v>5</v>
      </c>
      <c r="C440" t="s">
        <v>176</v>
      </c>
      <c r="D440">
        <v>2019</v>
      </c>
      <c r="E440">
        <v>7182</v>
      </c>
      <c r="F440">
        <v>6990</v>
      </c>
      <c r="G440">
        <v>191</v>
      </c>
      <c r="H440">
        <v>2.42</v>
      </c>
      <c r="I440">
        <v>3409</v>
      </c>
      <c r="J440">
        <v>2886</v>
      </c>
      <c r="K440">
        <v>523</v>
      </c>
      <c r="L440">
        <v>15.36</v>
      </c>
      <c r="M440">
        <v>2.050454679</v>
      </c>
      <c r="N440">
        <f>E440/_xlfn.XLOOKUP(C440,Lookups!$A$2:$A$66,Lookups!$C$2:$C$66)</f>
        <v>3.3212635784742166</v>
      </c>
    </row>
    <row r="441" spans="1:27" x14ac:dyDescent="0.2">
      <c r="A441">
        <v>63</v>
      </c>
      <c r="B441">
        <v>5</v>
      </c>
      <c r="C441" t="s">
        <v>176</v>
      </c>
      <c r="D441">
        <v>2020</v>
      </c>
      <c r="E441">
        <v>7067</v>
      </c>
      <c r="F441">
        <v>6973</v>
      </c>
      <c r="G441">
        <v>94</v>
      </c>
      <c r="I441">
        <v>3411</v>
      </c>
      <c r="M441">
        <v>2.0442685429999998</v>
      </c>
      <c r="N441">
        <f>E441/_xlfn.XLOOKUP(C441,Lookups!$A$2:$A$66,Lookups!$C$2:$C$66)</f>
        <v>3.2680826662597173</v>
      </c>
      <c r="O441">
        <v>7067</v>
      </c>
      <c r="P441">
        <v>91</v>
      </c>
      <c r="Q441">
        <v>11</v>
      </c>
      <c r="R441">
        <v>-126</v>
      </c>
      <c r="S441">
        <v>80</v>
      </c>
      <c r="T441">
        <v>3411</v>
      </c>
      <c r="W441">
        <v>6973</v>
      </c>
      <c r="X441">
        <v>11</v>
      </c>
      <c r="AA441">
        <v>2.0442685429999998</v>
      </c>
    </row>
    <row r="442" spans="1:27" x14ac:dyDescent="0.2">
      <c r="A442">
        <v>63</v>
      </c>
      <c r="B442">
        <v>5</v>
      </c>
      <c r="C442" t="s">
        <v>176</v>
      </c>
      <c r="D442">
        <v>2021</v>
      </c>
      <c r="E442">
        <v>6929</v>
      </c>
      <c r="F442">
        <v>6838</v>
      </c>
      <c r="G442">
        <v>91</v>
      </c>
      <c r="I442">
        <v>3422</v>
      </c>
      <c r="M442">
        <v>1.998246639</v>
      </c>
      <c r="N442">
        <f>E442/_xlfn.XLOOKUP(C442,Lookups!$A$2:$A$66,Lookups!$C$2:$C$66)</f>
        <v>3.2042655716023178</v>
      </c>
      <c r="O442">
        <v>6929</v>
      </c>
      <c r="P442">
        <v>81</v>
      </c>
      <c r="Q442">
        <v>-16</v>
      </c>
      <c r="R442">
        <v>-122</v>
      </c>
      <c r="S442">
        <v>97</v>
      </c>
      <c r="T442">
        <v>3422</v>
      </c>
      <c r="W442">
        <v>6838</v>
      </c>
      <c r="X442">
        <v>6</v>
      </c>
      <c r="AA442">
        <v>1.998246639</v>
      </c>
    </row>
    <row r="443" spans="1:27" x14ac:dyDescent="0.2">
      <c r="A443">
        <v>63</v>
      </c>
      <c r="B443">
        <v>5</v>
      </c>
      <c r="C443" t="s">
        <v>176</v>
      </c>
      <c r="D443">
        <v>2022</v>
      </c>
      <c r="E443">
        <v>6974</v>
      </c>
      <c r="F443">
        <v>6881</v>
      </c>
      <c r="G443">
        <v>93</v>
      </c>
      <c r="I443">
        <v>3428</v>
      </c>
      <c r="M443">
        <v>2.0072928819999998</v>
      </c>
      <c r="N443">
        <f>E443/_xlfn.XLOOKUP(C443,Lookups!$A$2:$A$66,Lookups!$C$2:$C$66)</f>
        <v>3.2250754937732089</v>
      </c>
      <c r="O443">
        <v>6974</v>
      </c>
      <c r="P443">
        <v>104</v>
      </c>
      <c r="Q443">
        <v>11</v>
      </c>
      <c r="R443">
        <v>34</v>
      </c>
      <c r="S443">
        <v>93</v>
      </c>
      <c r="T443">
        <v>3428</v>
      </c>
      <c r="W443">
        <v>6881</v>
      </c>
      <c r="X443">
        <v>1</v>
      </c>
      <c r="AA443">
        <v>2.0072928819999998</v>
      </c>
    </row>
    <row r="444" spans="1:27" x14ac:dyDescent="0.2">
      <c r="A444">
        <v>67</v>
      </c>
      <c r="B444">
        <v>9</v>
      </c>
      <c r="C444" t="s">
        <v>178</v>
      </c>
      <c r="D444">
        <v>2010</v>
      </c>
      <c r="E444">
        <v>51441</v>
      </c>
      <c r="F444">
        <v>49726</v>
      </c>
      <c r="G444">
        <v>1715</v>
      </c>
      <c r="H444">
        <v>2.35</v>
      </c>
      <c r="I444">
        <v>25910</v>
      </c>
      <c r="J444">
        <v>21143</v>
      </c>
      <c r="K444">
        <v>4767</v>
      </c>
      <c r="L444">
        <v>18.399999999999999</v>
      </c>
      <c r="M444">
        <v>1.919181783</v>
      </c>
      <c r="N444">
        <f>E444/_xlfn.XLOOKUP(C444,Lookups!$A$2:$A$66,Lookups!$C$2:$C$66)</f>
        <v>30.251581943496976</v>
      </c>
    </row>
    <row r="445" spans="1:27" x14ac:dyDescent="0.2">
      <c r="A445">
        <v>67</v>
      </c>
      <c r="B445">
        <v>9</v>
      </c>
      <c r="C445" t="s">
        <v>178</v>
      </c>
      <c r="D445">
        <v>2011</v>
      </c>
      <c r="E445">
        <v>51803</v>
      </c>
      <c r="F445">
        <v>50096</v>
      </c>
      <c r="G445">
        <v>1707</v>
      </c>
      <c r="H445">
        <v>2.35</v>
      </c>
      <c r="I445">
        <v>26063</v>
      </c>
      <c r="J445">
        <v>21354</v>
      </c>
      <c r="K445">
        <v>4709</v>
      </c>
      <c r="L445">
        <v>18.07</v>
      </c>
      <c r="M445">
        <v>1.922111806</v>
      </c>
      <c r="N445">
        <f>E445/_xlfn.XLOOKUP(C445,Lookups!$A$2:$A$66,Lookups!$C$2:$C$66)</f>
        <v>30.46446802004187</v>
      </c>
    </row>
    <row r="446" spans="1:27" x14ac:dyDescent="0.2">
      <c r="A446">
        <v>67</v>
      </c>
      <c r="B446">
        <v>9</v>
      </c>
      <c r="C446" t="s">
        <v>178</v>
      </c>
      <c r="D446">
        <v>2012</v>
      </c>
      <c r="E446">
        <v>52314</v>
      </c>
      <c r="F446">
        <v>50450</v>
      </c>
      <c r="G446">
        <v>1864</v>
      </c>
      <c r="H446">
        <v>2.34</v>
      </c>
      <c r="I446">
        <v>26154</v>
      </c>
      <c r="J446">
        <v>21559</v>
      </c>
      <c r="K446">
        <v>4595</v>
      </c>
      <c r="L446">
        <v>17.57</v>
      </c>
      <c r="M446">
        <v>1.928959241</v>
      </c>
      <c r="N446">
        <f>E446/_xlfn.XLOOKUP(C446,Lookups!$A$2:$A$66,Lookups!$C$2:$C$66)</f>
        <v>30.764978476159111</v>
      </c>
    </row>
    <row r="447" spans="1:27" x14ac:dyDescent="0.2">
      <c r="A447">
        <v>67</v>
      </c>
      <c r="B447">
        <v>9</v>
      </c>
      <c r="C447" t="s">
        <v>178</v>
      </c>
      <c r="D447">
        <v>2013</v>
      </c>
      <c r="E447">
        <v>53146</v>
      </c>
      <c r="F447">
        <v>51067</v>
      </c>
      <c r="G447">
        <v>2079</v>
      </c>
      <c r="H447">
        <v>2.33</v>
      </c>
      <c r="I447">
        <v>26262</v>
      </c>
      <c r="J447">
        <v>21878</v>
      </c>
      <c r="K447">
        <v>4384</v>
      </c>
      <c r="L447">
        <v>16.690000000000001</v>
      </c>
      <c r="M447">
        <v>1.9445205999999999</v>
      </c>
      <c r="N447">
        <f>E447/_xlfn.XLOOKUP(C447,Lookups!$A$2:$A$66,Lookups!$C$2:$C$66)</f>
        <v>31.254263602361739</v>
      </c>
    </row>
    <row r="448" spans="1:27" x14ac:dyDescent="0.2">
      <c r="A448">
        <v>67</v>
      </c>
      <c r="B448">
        <v>9</v>
      </c>
      <c r="C448" t="s">
        <v>178</v>
      </c>
      <c r="D448">
        <v>2014</v>
      </c>
      <c r="E448">
        <v>53557</v>
      </c>
      <c r="F448">
        <v>51603</v>
      </c>
      <c r="G448">
        <v>1954</v>
      </c>
      <c r="H448">
        <v>2.33</v>
      </c>
      <c r="I448">
        <v>26464</v>
      </c>
      <c r="J448">
        <v>22164</v>
      </c>
      <c r="K448">
        <v>4300</v>
      </c>
      <c r="L448">
        <v>16.25</v>
      </c>
      <c r="M448">
        <v>1.9499319829999999</v>
      </c>
      <c r="N448">
        <f>E448/_xlfn.XLOOKUP(C448,Lookups!$A$2:$A$66,Lookups!$C$2:$C$66)</f>
        <v>31.495965750041165</v>
      </c>
    </row>
    <row r="449" spans="1:27" x14ac:dyDescent="0.2">
      <c r="A449">
        <v>67</v>
      </c>
      <c r="B449">
        <v>9</v>
      </c>
      <c r="C449" t="s">
        <v>178</v>
      </c>
      <c r="D449">
        <v>2015</v>
      </c>
      <c r="E449">
        <v>54300</v>
      </c>
      <c r="F449">
        <v>52304</v>
      </c>
      <c r="G449">
        <v>1996</v>
      </c>
      <c r="H449">
        <v>2.3199999999999998</v>
      </c>
      <c r="I449">
        <v>26672</v>
      </c>
      <c r="J449">
        <v>22522</v>
      </c>
      <c r="K449">
        <v>4150</v>
      </c>
      <c r="L449">
        <v>15.56</v>
      </c>
      <c r="M449">
        <v>1.961007798</v>
      </c>
      <c r="N449">
        <f>E449/_xlfn.XLOOKUP(C449,Lookups!$A$2:$A$66,Lookups!$C$2:$C$66)</f>
        <v>31.932911481734138</v>
      </c>
    </row>
    <row r="450" spans="1:27" x14ac:dyDescent="0.2">
      <c r="A450">
        <v>67</v>
      </c>
      <c r="B450">
        <v>9</v>
      </c>
      <c r="C450" t="s">
        <v>178</v>
      </c>
      <c r="D450">
        <v>2016</v>
      </c>
      <c r="E450">
        <v>54884</v>
      </c>
      <c r="F450">
        <v>52945</v>
      </c>
      <c r="G450">
        <v>1939</v>
      </c>
      <c r="H450">
        <v>2.3199999999999998</v>
      </c>
      <c r="I450">
        <v>26937</v>
      </c>
      <c r="J450">
        <v>22856</v>
      </c>
      <c r="K450">
        <v>4081</v>
      </c>
      <c r="L450">
        <v>15.15</v>
      </c>
      <c r="M450">
        <v>1.9655121209999999</v>
      </c>
      <c r="N450">
        <f>E450/_xlfn.XLOOKUP(C450,Lookups!$A$2:$A$66,Lookups!$C$2:$C$66)</f>
        <v>32.276352003010985</v>
      </c>
    </row>
    <row r="451" spans="1:27" x14ac:dyDescent="0.2">
      <c r="A451">
        <v>67</v>
      </c>
      <c r="B451">
        <v>9</v>
      </c>
      <c r="C451" t="s">
        <v>178</v>
      </c>
      <c r="D451">
        <v>2017</v>
      </c>
      <c r="E451">
        <v>55034</v>
      </c>
      <c r="F451">
        <v>53179</v>
      </c>
      <c r="G451">
        <v>1855</v>
      </c>
      <c r="H451">
        <v>2.31</v>
      </c>
      <c r="I451">
        <v>27145</v>
      </c>
      <c r="J451">
        <v>23015</v>
      </c>
      <c r="K451">
        <v>4130</v>
      </c>
      <c r="L451">
        <v>15.21</v>
      </c>
      <c r="M451">
        <v>1.959071652</v>
      </c>
      <c r="N451">
        <f>E451/_xlfn.XLOOKUP(C451,Lookups!$A$2:$A$66,Lookups!$C$2:$C$66)</f>
        <v>32.364564465667705</v>
      </c>
    </row>
    <row r="452" spans="1:27" x14ac:dyDescent="0.2">
      <c r="A452">
        <v>67</v>
      </c>
      <c r="B452">
        <v>9</v>
      </c>
      <c r="C452" t="s">
        <v>178</v>
      </c>
      <c r="D452">
        <v>2018</v>
      </c>
      <c r="E452">
        <v>55731</v>
      </c>
      <c r="F452">
        <v>53884</v>
      </c>
      <c r="G452">
        <v>1847</v>
      </c>
      <c r="H452">
        <v>2.2999999999999998</v>
      </c>
      <c r="I452">
        <v>27670</v>
      </c>
      <c r="J452">
        <v>23380</v>
      </c>
      <c r="K452">
        <v>4290</v>
      </c>
      <c r="L452">
        <v>15.5</v>
      </c>
      <c r="M452">
        <v>1.9473798339999999</v>
      </c>
      <c r="N452">
        <f>E452/_xlfn.XLOOKUP(C452,Lookups!$A$2:$A$66,Lookups!$C$2:$C$66)</f>
        <v>32.774458375479284</v>
      </c>
    </row>
    <row r="453" spans="1:27" x14ac:dyDescent="0.2">
      <c r="A453">
        <v>67</v>
      </c>
      <c r="B453">
        <v>9</v>
      </c>
      <c r="C453" t="s">
        <v>178</v>
      </c>
      <c r="D453">
        <v>2019</v>
      </c>
      <c r="E453">
        <v>55509</v>
      </c>
      <c r="F453">
        <v>53666</v>
      </c>
      <c r="G453">
        <v>1843</v>
      </c>
      <c r="H453">
        <v>2.2999999999999998</v>
      </c>
      <c r="I453">
        <v>27983</v>
      </c>
      <c r="J453">
        <v>23346</v>
      </c>
      <c r="K453">
        <v>4637</v>
      </c>
      <c r="L453">
        <v>16.57</v>
      </c>
      <c r="M453">
        <v>1.9178072399999999</v>
      </c>
      <c r="N453">
        <f>E453/_xlfn.XLOOKUP(C453,Lookups!$A$2:$A$66,Lookups!$C$2:$C$66)</f>
        <v>32.643903930747335</v>
      </c>
    </row>
    <row r="454" spans="1:27" x14ac:dyDescent="0.2">
      <c r="A454">
        <v>67</v>
      </c>
      <c r="B454">
        <v>9</v>
      </c>
      <c r="C454" t="s">
        <v>178</v>
      </c>
      <c r="D454">
        <v>2020</v>
      </c>
      <c r="E454">
        <v>55668</v>
      </c>
      <c r="F454">
        <v>53928</v>
      </c>
      <c r="G454">
        <v>1740</v>
      </c>
      <c r="I454">
        <v>28285</v>
      </c>
      <c r="M454">
        <v>1.906593601</v>
      </c>
      <c r="N454">
        <f>E454/_xlfn.XLOOKUP(C454,Lookups!$A$2:$A$66,Lookups!$C$2:$C$66)</f>
        <v>32.737409141163461</v>
      </c>
      <c r="O454">
        <v>55668</v>
      </c>
      <c r="P454">
        <v>481</v>
      </c>
      <c r="Q454">
        <v>110</v>
      </c>
      <c r="R454">
        <v>49</v>
      </c>
      <c r="S454">
        <v>371</v>
      </c>
      <c r="T454">
        <v>28285</v>
      </c>
      <c r="W454">
        <v>53928</v>
      </c>
      <c r="X454">
        <v>253</v>
      </c>
      <c r="AA454">
        <v>1.906593601</v>
      </c>
    </row>
    <row r="455" spans="1:27" x14ac:dyDescent="0.2">
      <c r="A455">
        <v>67</v>
      </c>
      <c r="B455">
        <v>9</v>
      </c>
      <c r="C455" t="s">
        <v>178</v>
      </c>
      <c r="D455">
        <v>2021</v>
      </c>
      <c r="E455">
        <v>56171</v>
      </c>
      <c r="F455">
        <v>54621</v>
      </c>
      <c r="G455">
        <v>1550</v>
      </c>
      <c r="I455">
        <v>28533</v>
      </c>
      <c r="M455">
        <v>1.9143097469999999</v>
      </c>
      <c r="N455">
        <f>E455/_xlfn.XLOOKUP(C455,Lookups!$A$2:$A$66,Lookups!$C$2:$C$66)</f>
        <v>33.033214932605681</v>
      </c>
      <c r="O455">
        <v>56171</v>
      </c>
      <c r="P455">
        <v>437</v>
      </c>
      <c r="Q455">
        <v>-2</v>
      </c>
      <c r="R455">
        <v>505</v>
      </c>
      <c r="S455">
        <v>439</v>
      </c>
      <c r="T455">
        <v>28533</v>
      </c>
      <c r="W455">
        <v>54621</v>
      </c>
      <c r="X455">
        <v>415</v>
      </c>
      <c r="AA455">
        <v>1.9143097469999999</v>
      </c>
    </row>
    <row r="456" spans="1:27" x14ac:dyDescent="0.2">
      <c r="A456">
        <v>67</v>
      </c>
      <c r="B456">
        <v>9</v>
      </c>
      <c r="C456" t="s">
        <v>178</v>
      </c>
      <c r="D456">
        <v>2022</v>
      </c>
      <c r="E456">
        <v>56557</v>
      </c>
      <c r="F456">
        <v>54645</v>
      </c>
      <c r="G456">
        <v>1912</v>
      </c>
      <c r="I456">
        <v>28946</v>
      </c>
      <c r="M456">
        <v>1.887825606</v>
      </c>
      <c r="N456">
        <f>E456/_xlfn.XLOOKUP(C456,Lookups!$A$2:$A$66,Lookups!$C$2:$C$66)</f>
        <v>33.260215003175645</v>
      </c>
      <c r="O456">
        <v>56557</v>
      </c>
      <c r="P456">
        <v>423</v>
      </c>
      <c r="Q456">
        <v>-39</v>
      </c>
      <c r="R456">
        <v>425</v>
      </c>
      <c r="S456">
        <v>462</v>
      </c>
      <c r="T456">
        <v>28946</v>
      </c>
      <c r="W456">
        <v>54645</v>
      </c>
      <c r="X456">
        <v>389</v>
      </c>
      <c r="AA456">
        <v>1.887825606</v>
      </c>
    </row>
    <row r="457" spans="1:27" x14ac:dyDescent="0.2">
      <c r="A457">
        <v>65</v>
      </c>
      <c r="B457">
        <v>13</v>
      </c>
      <c r="C457" t="s">
        <v>177</v>
      </c>
      <c r="D457">
        <v>2010</v>
      </c>
      <c r="E457">
        <v>7282</v>
      </c>
      <c r="F457">
        <v>7149</v>
      </c>
      <c r="G457">
        <v>133</v>
      </c>
      <c r="H457">
        <v>2.4300000000000002</v>
      </c>
      <c r="I457">
        <v>4271</v>
      </c>
      <c r="J457">
        <v>2941</v>
      </c>
      <c r="K457">
        <v>1330</v>
      </c>
      <c r="L457">
        <v>31.14</v>
      </c>
      <c r="M457">
        <v>1.6738468740000001</v>
      </c>
      <c r="N457">
        <f>E457/_xlfn.XLOOKUP(C457,Lookups!$A$2:$A$66,Lookups!$C$2:$C$66)</f>
        <v>18.985790640073002</v>
      </c>
    </row>
    <row r="458" spans="1:27" x14ac:dyDescent="0.2">
      <c r="A458">
        <v>65</v>
      </c>
      <c r="B458">
        <v>13</v>
      </c>
      <c r="C458" t="s">
        <v>177</v>
      </c>
      <c r="D458">
        <v>2011</v>
      </c>
      <c r="E458">
        <v>7242</v>
      </c>
      <c r="F458">
        <v>7170</v>
      </c>
      <c r="G458">
        <v>72</v>
      </c>
      <c r="H458">
        <v>2.4300000000000002</v>
      </c>
      <c r="I458">
        <v>4272</v>
      </c>
      <c r="J458">
        <v>2956</v>
      </c>
      <c r="K458">
        <v>1316</v>
      </c>
      <c r="L458">
        <v>30.81</v>
      </c>
      <c r="M458">
        <v>1.678370787</v>
      </c>
      <c r="N458">
        <f>E458/_xlfn.XLOOKUP(C458,Lookups!$A$2:$A$66,Lookups!$C$2:$C$66)</f>
        <v>18.881501759874851</v>
      </c>
    </row>
    <row r="459" spans="1:27" x14ac:dyDescent="0.2">
      <c r="A459">
        <v>65</v>
      </c>
      <c r="B459">
        <v>13</v>
      </c>
      <c r="C459" t="s">
        <v>177</v>
      </c>
      <c r="D459">
        <v>2012</v>
      </c>
      <c r="E459">
        <v>7103</v>
      </c>
      <c r="F459">
        <v>7031</v>
      </c>
      <c r="G459">
        <v>72</v>
      </c>
      <c r="H459">
        <v>2.42</v>
      </c>
      <c r="I459">
        <v>4277</v>
      </c>
      <c r="J459">
        <v>2904</v>
      </c>
      <c r="K459">
        <v>1373</v>
      </c>
      <c r="L459">
        <v>32.1</v>
      </c>
      <c r="M459">
        <v>1.6439092820000001</v>
      </c>
      <c r="N459">
        <f>E459/_xlfn.XLOOKUP(C459,Lookups!$A$2:$A$66,Lookups!$C$2:$C$66)</f>
        <v>18.519097901186285</v>
      </c>
    </row>
    <row r="460" spans="1:27" x14ac:dyDescent="0.2">
      <c r="A460">
        <v>65</v>
      </c>
      <c r="B460">
        <v>13</v>
      </c>
      <c r="C460" t="s">
        <v>177</v>
      </c>
      <c r="D460">
        <v>2013</v>
      </c>
      <c r="E460">
        <v>7071</v>
      </c>
      <c r="F460">
        <v>6997</v>
      </c>
      <c r="G460">
        <v>74</v>
      </c>
      <c r="H460">
        <v>2.42</v>
      </c>
      <c r="I460">
        <v>4277</v>
      </c>
      <c r="J460">
        <v>2896</v>
      </c>
      <c r="K460">
        <v>1381</v>
      </c>
      <c r="L460">
        <v>32.29</v>
      </c>
      <c r="M460">
        <v>1.6359597850000001</v>
      </c>
      <c r="N460">
        <f>E460/_xlfn.XLOOKUP(C460,Lookups!$A$2:$A$66,Lookups!$C$2:$C$66)</f>
        <v>18.435666797027768</v>
      </c>
    </row>
    <row r="461" spans="1:27" x14ac:dyDescent="0.2">
      <c r="A461">
        <v>65</v>
      </c>
      <c r="B461">
        <v>13</v>
      </c>
      <c r="C461" t="s">
        <v>177</v>
      </c>
      <c r="D461">
        <v>2014</v>
      </c>
      <c r="E461">
        <v>7085</v>
      </c>
      <c r="F461">
        <v>6995</v>
      </c>
      <c r="G461">
        <v>90</v>
      </c>
      <c r="H461">
        <v>2.41</v>
      </c>
      <c r="I461">
        <v>4277</v>
      </c>
      <c r="J461">
        <v>2901</v>
      </c>
      <c r="K461">
        <v>1376</v>
      </c>
      <c r="L461">
        <v>32.17</v>
      </c>
      <c r="M461">
        <v>1.635492167</v>
      </c>
      <c r="N461">
        <f>E461/_xlfn.XLOOKUP(C461,Lookups!$A$2:$A$66,Lookups!$C$2:$C$66)</f>
        <v>18.47216790509712</v>
      </c>
    </row>
    <row r="462" spans="1:27" x14ac:dyDescent="0.2">
      <c r="A462">
        <v>65</v>
      </c>
      <c r="B462">
        <v>13</v>
      </c>
      <c r="C462" t="s">
        <v>177</v>
      </c>
      <c r="D462">
        <v>2015</v>
      </c>
      <c r="E462">
        <v>7159</v>
      </c>
      <c r="F462">
        <v>7047</v>
      </c>
      <c r="G462">
        <v>112</v>
      </c>
      <c r="H462">
        <v>2.41</v>
      </c>
      <c r="I462">
        <v>4277</v>
      </c>
      <c r="J462">
        <v>2928</v>
      </c>
      <c r="K462">
        <v>1349</v>
      </c>
      <c r="L462">
        <v>31.54</v>
      </c>
      <c r="M462">
        <v>1.647650222</v>
      </c>
      <c r="N462">
        <f>E462/_xlfn.XLOOKUP(C462,Lookups!$A$2:$A$66,Lookups!$C$2:$C$66)</f>
        <v>18.665102333463693</v>
      </c>
    </row>
    <row r="463" spans="1:27" x14ac:dyDescent="0.2">
      <c r="A463">
        <v>65</v>
      </c>
      <c r="B463">
        <v>13</v>
      </c>
      <c r="C463" t="s">
        <v>177</v>
      </c>
      <c r="D463">
        <v>2016</v>
      </c>
      <c r="E463">
        <v>7246</v>
      </c>
      <c r="F463">
        <v>7139</v>
      </c>
      <c r="G463">
        <v>107</v>
      </c>
      <c r="H463">
        <v>2.4</v>
      </c>
      <c r="I463">
        <v>4294</v>
      </c>
      <c r="J463">
        <v>2972</v>
      </c>
      <c r="K463">
        <v>1322</v>
      </c>
      <c r="L463">
        <v>30.79</v>
      </c>
      <c r="M463">
        <v>1.662552399</v>
      </c>
      <c r="N463">
        <f>E463/_xlfn.XLOOKUP(C463,Lookups!$A$2:$A$66,Lookups!$C$2:$C$66)</f>
        <v>18.891930647894668</v>
      </c>
    </row>
    <row r="464" spans="1:27" x14ac:dyDescent="0.2">
      <c r="A464">
        <v>65</v>
      </c>
      <c r="B464">
        <v>13</v>
      </c>
      <c r="C464" t="s">
        <v>177</v>
      </c>
      <c r="D464">
        <v>2017</v>
      </c>
      <c r="E464">
        <v>7352</v>
      </c>
      <c r="F464">
        <v>7264</v>
      </c>
      <c r="G464">
        <v>88</v>
      </c>
      <c r="H464">
        <v>2.4</v>
      </c>
      <c r="I464">
        <v>4294</v>
      </c>
      <c r="J464">
        <v>3030</v>
      </c>
      <c r="K464">
        <v>1264</v>
      </c>
      <c r="L464">
        <v>29.44</v>
      </c>
      <c r="M464">
        <v>1.6916627849999999</v>
      </c>
      <c r="N464">
        <f>E464/_xlfn.XLOOKUP(C464,Lookups!$A$2:$A$66,Lookups!$C$2:$C$66)</f>
        <v>19.168296180419762</v>
      </c>
    </row>
    <row r="465" spans="1:27" x14ac:dyDescent="0.2">
      <c r="A465">
        <v>65</v>
      </c>
      <c r="B465">
        <v>13</v>
      </c>
      <c r="C465" t="s">
        <v>177</v>
      </c>
      <c r="D465">
        <v>2018</v>
      </c>
      <c r="E465">
        <v>7332</v>
      </c>
      <c r="F465">
        <v>7249</v>
      </c>
      <c r="G465">
        <v>83</v>
      </c>
      <c r="H465">
        <v>2.39</v>
      </c>
      <c r="I465">
        <v>4300</v>
      </c>
      <c r="J465">
        <v>3030</v>
      </c>
      <c r="K465">
        <v>1270</v>
      </c>
      <c r="L465">
        <v>29.53</v>
      </c>
      <c r="M465">
        <v>1.685813953</v>
      </c>
      <c r="N465">
        <f>E465/_xlfn.XLOOKUP(C465,Lookups!$A$2:$A$66,Lookups!$C$2:$C$66)</f>
        <v>19.116151740320689</v>
      </c>
    </row>
    <row r="466" spans="1:27" x14ac:dyDescent="0.2">
      <c r="A466">
        <v>65</v>
      </c>
      <c r="B466">
        <v>13</v>
      </c>
      <c r="C466" t="s">
        <v>177</v>
      </c>
      <c r="D466">
        <v>2019</v>
      </c>
      <c r="E466">
        <v>7555</v>
      </c>
      <c r="F466">
        <v>7459</v>
      </c>
      <c r="G466">
        <v>96</v>
      </c>
      <c r="H466">
        <v>2.39</v>
      </c>
      <c r="I466">
        <v>4302</v>
      </c>
      <c r="J466">
        <v>3124</v>
      </c>
      <c r="K466">
        <v>1178</v>
      </c>
      <c r="L466">
        <v>27.38</v>
      </c>
      <c r="M466">
        <v>1.733844723</v>
      </c>
      <c r="N466">
        <f>E466/_xlfn.XLOOKUP(C466,Lookups!$A$2:$A$66,Lookups!$C$2:$C$66)</f>
        <v>19.697562247425367</v>
      </c>
    </row>
    <row r="467" spans="1:27" x14ac:dyDescent="0.2">
      <c r="A467">
        <v>65</v>
      </c>
      <c r="B467">
        <v>13</v>
      </c>
      <c r="C467" t="s">
        <v>177</v>
      </c>
      <c r="D467">
        <v>2020</v>
      </c>
      <c r="E467">
        <v>7412</v>
      </c>
      <c r="F467">
        <v>7309</v>
      </c>
      <c r="G467">
        <v>103</v>
      </c>
      <c r="I467">
        <v>4303</v>
      </c>
      <c r="M467">
        <v>1.6985823840000001</v>
      </c>
      <c r="N467">
        <f>E467/_xlfn.XLOOKUP(C467,Lookups!$A$2:$A$66,Lookups!$C$2:$C$66)</f>
        <v>19.324729500716984</v>
      </c>
      <c r="O467">
        <v>7412</v>
      </c>
      <c r="P467">
        <v>75</v>
      </c>
      <c r="Q467">
        <v>48</v>
      </c>
      <c r="R467">
        <v>-191</v>
      </c>
      <c r="S467">
        <v>27</v>
      </c>
      <c r="T467">
        <v>4303</v>
      </c>
      <c r="W467">
        <v>7309</v>
      </c>
      <c r="X467">
        <v>53</v>
      </c>
      <c r="AA467">
        <v>1.6985823840000001</v>
      </c>
    </row>
    <row r="468" spans="1:27" x14ac:dyDescent="0.2">
      <c r="A468">
        <v>65</v>
      </c>
      <c r="B468">
        <v>13</v>
      </c>
      <c r="C468" t="s">
        <v>177</v>
      </c>
      <c r="D468">
        <v>2021</v>
      </c>
      <c r="E468">
        <v>7399</v>
      </c>
      <c r="F468">
        <v>7309</v>
      </c>
      <c r="G468">
        <v>90</v>
      </c>
      <c r="I468">
        <v>4348</v>
      </c>
      <c r="M468">
        <v>1.6810027599999999</v>
      </c>
      <c r="N468">
        <f>E468/_xlfn.XLOOKUP(C468,Lookups!$A$2:$A$66,Lookups!$C$2:$C$66)</f>
        <v>19.290835614652586</v>
      </c>
      <c r="O468">
        <v>7399</v>
      </c>
      <c r="P468">
        <v>72</v>
      </c>
      <c r="Q468">
        <v>20</v>
      </c>
      <c r="R468">
        <v>-33</v>
      </c>
      <c r="S468">
        <v>52</v>
      </c>
      <c r="T468">
        <v>4348</v>
      </c>
      <c r="W468">
        <v>7309</v>
      </c>
      <c r="X468">
        <v>64</v>
      </c>
      <c r="AA468">
        <v>1.6810027599999999</v>
      </c>
    </row>
    <row r="469" spans="1:27" x14ac:dyDescent="0.2">
      <c r="A469">
        <v>65</v>
      </c>
      <c r="B469">
        <v>13</v>
      </c>
      <c r="C469" t="s">
        <v>177</v>
      </c>
      <c r="D469">
        <v>2022</v>
      </c>
      <c r="E469">
        <v>7342</v>
      </c>
      <c r="F469">
        <v>7229</v>
      </c>
      <c r="G469">
        <v>113</v>
      </c>
      <c r="I469">
        <v>4452</v>
      </c>
      <c r="M469">
        <v>1.6237645999999999</v>
      </c>
      <c r="N469">
        <f>E469/_xlfn.XLOOKUP(C469,Lookups!$A$2:$A$66,Lookups!$C$2:$C$66)</f>
        <v>19.142223960370224</v>
      </c>
      <c r="O469">
        <v>7342</v>
      </c>
      <c r="P469">
        <v>83</v>
      </c>
      <c r="Q469">
        <v>35</v>
      </c>
      <c r="R469">
        <v>-92</v>
      </c>
      <c r="S469">
        <v>48</v>
      </c>
      <c r="T469">
        <v>4452</v>
      </c>
      <c r="W469">
        <v>7229</v>
      </c>
      <c r="X469">
        <v>64</v>
      </c>
      <c r="AA469">
        <v>1.6237645999999999</v>
      </c>
    </row>
    <row r="470" spans="1:27" x14ac:dyDescent="0.2">
      <c r="A470">
        <v>69</v>
      </c>
      <c r="B470">
        <v>2</v>
      </c>
      <c r="C470" t="s">
        <v>179</v>
      </c>
      <c r="D470">
        <v>2010</v>
      </c>
      <c r="E470">
        <v>300532</v>
      </c>
      <c r="F470">
        <v>292002</v>
      </c>
      <c r="G470">
        <v>8530</v>
      </c>
      <c r="H470">
        <v>2.42</v>
      </c>
      <c r="I470">
        <v>133171</v>
      </c>
      <c r="J470">
        <v>120666</v>
      </c>
      <c r="K470">
        <v>12505</v>
      </c>
      <c r="L470">
        <v>9.39</v>
      </c>
      <c r="M470">
        <v>2.1926845930000001</v>
      </c>
      <c r="N470">
        <f>E470/_xlfn.XLOOKUP(C470,Lookups!$A$2:$A$66,Lookups!$C$2:$C$66)</f>
        <v>114.19473734207277</v>
      </c>
    </row>
    <row r="471" spans="1:27" x14ac:dyDescent="0.2">
      <c r="A471">
        <v>69</v>
      </c>
      <c r="B471">
        <v>2</v>
      </c>
      <c r="C471" t="s">
        <v>179</v>
      </c>
      <c r="D471">
        <v>2011</v>
      </c>
      <c r="E471">
        <v>305342</v>
      </c>
      <c r="F471">
        <v>296781</v>
      </c>
      <c r="G471">
        <v>8561</v>
      </c>
      <c r="H471">
        <v>2.42</v>
      </c>
      <c r="I471">
        <v>134606</v>
      </c>
      <c r="J471">
        <v>122705</v>
      </c>
      <c r="K471">
        <v>11901</v>
      </c>
      <c r="L471">
        <v>8.84</v>
      </c>
      <c r="M471">
        <v>2.204812564</v>
      </c>
      <c r="N471">
        <f>E471/_xlfn.XLOOKUP(C471,Lookups!$A$2:$A$66,Lookups!$C$2:$C$66)</f>
        <v>116.02241854279472</v>
      </c>
    </row>
    <row r="472" spans="1:27" x14ac:dyDescent="0.2">
      <c r="A472">
        <v>69</v>
      </c>
      <c r="B472">
        <v>2</v>
      </c>
      <c r="C472" t="s">
        <v>179</v>
      </c>
      <c r="D472">
        <v>2012</v>
      </c>
      <c r="E472">
        <v>310952</v>
      </c>
      <c r="F472">
        <v>302135</v>
      </c>
      <c r="G472">
        <v>8817</v>
      </c>
      <c r="H472">
        <v>2.42</v>
      </c>
      <c r="I472">
        <v>136123</v>
      </c>
      <c r="J472">
        <v>124983</v>
      </c>
      <c r="K472">
        <v>11140</v>
      </c>
      <c r="L472">
        <v>8.18</v>
      </c>
      <c r="M472">
        <v>2.2195734740000002</v>
      </c>
      <c r="N472">
        <f>E472/_xlfn.XLOOKUP(C472,Lookups!$A$2:$A$66,Lookups!$C$2:$C$66)</f>
        <v>118.15407998480099</v>
      </c>
    </row>
    <row r="473" spans="1:27" x14ac:dyDescent="0.2">
      <c r="A473">
        <v>69</v>
      </c>
      <c r="B473">
        <v>2</v>
      </c>
      <c r="C473" t="s">
        <v>179</v>
      </c>
      <c r="D473">
        <v>2013</v>
      </c>
      <c r="E473">
        <v>316337</v>
      </c>
      <c r="F473">
        <v>307160</v>
      </c>
      <c r="G473">
        <v>9177</v>
      </c>
      <c r="H473">
        <v>2.42</v>
      </c>
      <c r="I473">
        <v>138277</v>
      </c>
      <c r="J473">
        <v>127128</v>
      </c>
      <c r="K473">
        <v>11149</v>
      </c>
      <c r="L473">
        <v>8.06</v>
      </c>
      <c r="M473">
        <v>2.2213383279999999</v>
      </c>
      <c r="N473">
        <f>E473/_xlfn.XLOOKUP(C473,Lookups!$A$2:$A$66,Lookups!$C$2:$C$66)</f>
        <v>120.20024698394604</v>
      </c>
    </row>
    <row r="474" spans="1:27" x14ac:dyDescent="0.2">
      <c r="A474">
        <v>69</v>
      </c>
      <c r="B474">
        <v>2</v>
      </c>
      <c r="C474" t="s">
        <v>179</v>
      </c>
      <c r="D474">
        <v>2014</v>
      </c>
      <c r="E474">
        <v>324123</v>
      </c>
      <c r="F474">
        <v>314446</v>
      </c>
      <c r="G474">
        <v>9677</v>
      </c>
      <c r="H474">
        <v>2.41</v>
      </c>
      <c r="I474">
        <v>140988</v>
      </c>
      <c r="J474">
        <v>130211</v>
      </c>
      <c r="K474">
        <v>10777</v>
      </c>
      <c r="L474">
        <v>7.64</v>
      </c>
      <c r="M474">
        <v>2.230303288</v>
      </c>
      <c r="N474">
        <f>E474/_xlfn.XLOOKUP(C474,Lookups!$A$2:$A$66,Lookups!$C$2:$C$66)</f>
        <v>123.15873468224565</v>
      </c>
    </row>
    <row r="475" spans="1:27" x14ac:dyDescent="0.2">
      <c r="A475">
        <v>69</v>
      </c>
      <c r="B475">
        <v>2</v>
      </c>
      <c r="C475" t="s">
        <v>179</v>
      </c>
      <c r="D475">
        <v>2015</v>
      </c>
      <c r="E475">
        <v>333445</v>
      </c>
      <c r="F475">
        <v>323148</v>
      </c>
      <c r="G475">
        <v>10297</v>
      </c>
      <c r="H475">
        <v>2.41</v>
      </c>
      <c r="I475">
        <v>143765</v>
      </c>
      <c r="J475">
        <v>133884</v>
      </c>
      <c r="K475">
        <v>9881</v>
      </c>
      <c r="L475">
        <v>6.87</v>
      </c>
      <c r="M475">
        <v>2.2477515389999998</v>
      </c>
      <c r="N475">
        <f>E475/_xlfn.XLOOKUP(C475,Lookups!$A$2:$A$66,Lookups!$C$2:$C$66)</f>
        <v>126.70086444381116</v>
      </c>
    </row>
    <row r="476" spans="1:27" x14ac:dyDescent="0.2">
      <c r="A476">
        <v>69</v>
      </c>
      <c r="B476">
        <v>2</v>
      </c>
      <c r="C476" t="s">
        <v>179</v>
      </c>
      <c r="D476">
        <v>2016</v>
      </c>
      <c r="E476">
        <v>339128</v>
      </c>
      <c r="F476">
        <v>328696</v>
      </c>
      <c r="G476">
        <v>10432</v>
      </c>
      <c r="H476">
        <v>2.41</v>
      </c>
      <c r="I476">
        <v>146124</v>
      </c>
      <c r="J476">
        <v>136253</v>
      </c>
      <c r="K476">
        <v>9871</v>
      </c>
      <c r="L476">
        <v>6.76</v>
      </c>
      <c r="M476">
        <v>2.2494319890000001</v>
      </c>
      <c r="N476">
        <f>E476/_xlfn.XLOOKUP(C476,Lookups!$A$2:$A$66,Lookups!$C$2:$C$66)</f>
        <v>128.86026408283462</v>
      </c>
    </row>
    <row r="477" spans="1:27" x14ac:dyDescent="0.2">
      <c r="A477">
        <v>69</v>
      </c>
      <c r="B477">
        <v>2</v>
      </c>
      <c r="C477" t="s">
        <v>179</v>
      </c>
      <c r="D477">
        <v>2017</v>
      </c>
      <c r="E477">
        <v>344187</v>
      </c>
      <c r="F477">
        <v>333518</v>
      </c>
      <c r="G477">
        <v>10669</v>
      </c>
      <c r="H477">
        <v>2.41</v>
      </c>
      <c r="I477">
        <v>149794</v>
      </c>
      <c r="J477">
        <v>138324</v>
      </c>
      <c r="K477">
        <v>11470</v>
      </c>
      <c r="L477">
        <v>7.66</v>
      </c>
      <c r="M477">
        <v>2.2265110749999999</v>
      </c>
      <c r="N477">
        <f>E477/_xlfn.XLOOKUP(C477,Lookups!$A$2:$A$66,Lookups!$C$2:$C$66)</f>
        <v>130.78255913365632</v>
      </c>
    </row>
    <row r="478" spans="1:27" x14ac:dyDescent="0.2">
      <c r="A478">
        <v>69</v>
      </c>
      <c r="B478">
        <v>2</v>
      </c>
      <c r="C478" t="s">
        <v>179</v>
      </c>
      <c r="D478">
        <v>2018</v>
      </c>
      <c r="E478">
        <v>350661</v>
      </c>
      <c r="F478">
        <v>339773</v>
      </c>
      <c r="G478">
        <v>10888</v>
      </c>
      <c r="H478">
        <v>2.41</v>
      </c>
      <c r="I478">
        <v>152984</v>
      </c>
      <c r="J478">
        <v>140992</v>
      </c>
      <c r="K478">
        <v>11992</v>
      </c>
      <c r="L478">
        <v>7.84</v>
      </c>
      <c r="M478">
        <v>2.2209708199999998</v>
      </c>
      <c r="N478">
        <f>E478/_xlfn.XLOOKUP(C478,Lookups!$A$2:$A$66,Lookups!$C$2:$C$66)</f>
        <v>133.24251923624965</v>
      </c>
    </row>
    <row r="479" spans="1:27" x14ac:dyDescent="0.2">
      <c r="A479">
        <v>69</v>
      </c>
      <c r="B479">
        <v>2</v>
      </c>
      <c r="C479" t="s">
        <v>179</v>
      </c>
      <c r="D479">
        <v>2019</v>
      </c>
      <c r="E479">
        <v>356800</v>
      </c>
      <c r="F479">
        <v>345762</v>
      </c>
      <c r="G479">
        <v>11038</v>
      </c>
      <c r="H479">
        <v>2.41</v>
      </c>
      <c r="I479">
        <v>156745</v>
      </c>
      <c r="J479">
        <v>143552</v>
      </c>
      <c r="K479">
        <v>13193</v>
      </c>
      <c r="L479">
        <v>8.42</v>
      </c>
      <c r="M479">
        <v>2.2058885450000001</v>
      </c>
      <c r="N479">
        <f>E479/_xlfn.XLOOKUP(C479,Lookups!$A$2:$A$66,Lookups!$C$2:$C$66)</f>
        <v>135.57518761280517</v>
      </c>
    </row>
    <row r="480" spans="1:27" x14ac:dyDescent="0.2">
      <c r="A480">
        <v>69</v>
      </c>
      <c r="B480">
        <v>2</v>
      </c>
      <c r="C480" t="s">
        <v>179</v>
      </c>
      <c r="D480">
        <v>2020</v>
      </c>
      <c r="E480">
        <v>359920</v>
      </c>
      <c r="F480">
        <v>348236</v>
      </c>
      <c r="G480">
        <v>11684</v>
      </c>
      <c r="I480">
        <v>159406</v>
      </c>
      <c r="M480">
        <v>2.1845852730000002</v>
      </c>
      <c r="N480">
        <f>E480/_xlfn.XLOOKUP(C480,Lookups!$A$2:$A$66,Lookups!$C$2:$C$66)</f>
        <v>136.76071055381399</v>
      </c>
      <c r="O480">
        <v>359920</v>
      </c>
      <c r="P480">
        <v>3092</v>
      </c>
      <c r="Q480">
        <v>626</v>
      </c>
      <c r="R480">
        <v>2494</v>
      </c>
      <c r="S480">
        <v>2466</v>
      </c>
      <c r="T480">
        <v>159406</v>
      </c>
      <c r="W480">
        <v>348236</v>
      </c>
      <c r="X480">
        <v>2565</v>
      </c>
      <c r="AA480">
        <v>2.1845852730000002</v>
      </c>
    </row>
    <row r="481" spans="1:27" x14ac:dyDescent="0.2">
      <c r="A481">
        <v>69</v>
      </c>
      <c r="B481">
        <v>2</v>
      </c>
      <c r="C481" t="s">
        <v>179</v>
      </c>
      <c r="D481">
        <v>2021</v>
      </c>
      <c r="E481">
        <v>362774</v>
      </c>
      <c r="F481">
        <v>351596</v>
      </c>
      <c r="G481">
        <v>11178</v>
      </c>
      <c r="I481">
        <v>162284</v>
      </c>
      <c r="M481">
        <v>2.1665475340000002</v>
      </c>
      <c r="N481">
        <f>E481/_xlfn.XLOOKUP(C481,Lookups!$A$2:$A$66,Lookups!$C$2:$C$66)</f>
        <v>137.8451600645958</v>
      </c>
      <c r="O481">
        <v>362774</v>
      </c>
      <c r="P481">
        <v>3026</v>
      </c>
      <c r="Q481">
        <v>310</v>
      </c>
      <c r="R481">
        <v>2544</v>
      </c>
      <c r="S481">
        <v>2716</v>
      </c>
      <c r="T481">
        <v>162284</v>
      </c>
      <c r="W481">
        <v>351596</v>
      </c>
      <c r="X481">
        <v>3221</v>
      </c>
      <c r="AA481">
        <v>2.1665475340000002</v>
      </c>
    </row>
    <row r="482" spans="1:27" x14ac:dyDescent="0.2">
      <c r="A482">
        <v>69</v>
      </c>
      <c r="B482">
        <v>2</v>
      </c>
      <c r="C482" t="s">
        <v>179</v>
      </c>
      <c r="D482">
        <v>2022</v>
      </c>
      <c r="E482">
        <v>366843</v>
      </c>
      <c r="F482">
        <v>354725</v>
      </c>
      <c r="G482">
        <v>12118</v>
      </c>
      <c r="I482">
        <v>165658</v>
      </c>
      <c r="M482">
        <v>2.141309203</v>
      </c>
      <c r="N482">
        <f>E482/_xlfn.XLOOKUP(C482,Lookups!$A$2:$A$66,Lookups!$C$2:$C$66)</f>
        <v>139.39127956682816</v>
      </c>
      <c r="O482">
        <v>366843</v>
      </c>
      <c r="P482">
        <v>3119</v>
      </c>
      <c r="Q482">
        <v>222</v>
      </c>
      <c r="R482">
        <v>3847</v>
      </c>
      <c r="S482">
        <v>2897</v>
      </c>
      <c r="T482">
        <v>165658</v>
      </c>
      <c r="W482">
        <v>354725</v>
      </c>
      <c r="X482">
        <v>2572</v>
      </c>
      <c r="AA482">
        <v>2.141309203</v>
      </c>
    </row>
    <row r="483" spans="1:27" x14ac:dyDescent="0.2">
      <c r="A483">
        <v>71</v>
      </c>
      <c r="B483">
        <v>14</v>
      </c>
      <c r="C483" t="s">
        <v>180</v>
      </c>
      <c r="D483">
        <v>2010</v>
      </c>
      <c r="E483">
        <v>15407</v>
      </c>
      <c r="F483">
        <v>14549</v>
      </c>
      <c r="G483">
        <v>858</v>
      </c>
      <c r="H483">
        <v>2.4500000000000002</v>
      </c>
      <c r="I483">
        <v>7648</v>
      </c>
      <c r="J483">
        <v>5934</v>
      </c>
      <c r="K483">
        <v>1714</v>
      </c>
      <c r="L483">
        <v>22.41</v>
      </c>
      <c r="M483">
        <v>1.9023274059999999</v>
      </c>
      <c r="N483">
        <f>E483/_xlfn.XLOOKUP(C483,Lookups!$A$2:$A$66,Lookups!$C$2:$C$66)</f>
        <v>3.2277662901951909</v>
      </c>
    </row>
    <row r="484" spans="1:27" x14ac:dyDescent="0.2">
      <c r="A484">
        <v>71</v>
      </c>
      <c r="B484">
        <v>14</v>
      </c>
      <c r="C484" t="s">
        <v>180</v>
      </c>
      <c r="D484">
        <v>2011</v>
      </c>
      <c r="E484">
        <v>15325</v>
      </c>
      <c r="F484">
        <v>14483</v>
      </c>
      <c r="G484">
        <v>842</v>
      </c>
      <c r="H484">
        <v>2.2799999999999998</v>
      </c>
      <c r="I484">
        <v>7712</v>
      </c>
      <c r="J484">
        <v>6344</v>
      </c>
      <c r="K484">
        <v>1368</v>
      </c>
      <c r="L484">
        <v>17.739999999999998</v>
      </c>
      <c r="M484">
        <v>1.877982365</v>
      </c>
      <c r="N484">
        <f>E484/_xlfn.XLOOKUP(C484,Lookups!$A$2:$A$66,Lookups!$C$2:$C$66)</f>
        <v>3.2105872913118256</v>
      </c>
    </row>
    <row r="485" spans="1:27" x14ac:dyDescent="0.2">
      <c r="A485">
        <v>71</v>
      </c>
      <c r="B485">
        <v>14</v>
      </c>
      <c r="C485" t="s">
        <v>180</v>
      </c>
      <c r="D485">
        <v>2012</v>
      </c>
      <c r="E485">
        <v>15245</v>
      </c>
      <c r="F485">
        <v>14419</v>
      </c>
      <c r="G485">
        <v>826</v>
      </c>
      <c r="H485">
        <v>2.27</v>
      </c>
      <c r="I485">
        <v>7789</v>
      </c>
      <c r="J485">
        <v>6348</v>
      </c>
      <c r="K485">
        <v>1441</v>
      </c>
      <c r="L485">
        <v>18.5</v>
      </c>
      <c r="M485">
        <v>1.851200411</v>
      </c>
      <c r="N485">
        <f>E485/_xlfn.XLOOKUP(C485,Lookups!$A$2:$A$66,Lookups!$C$2:$C$66)</f>
        <v>3.1938272924012256</v>
      </c>
    </row>
    <row r="486" spans="1:27" x14ac:dyDescent="0.2">
      <c r="A486">
        <v>71</v>
      </c>
      <c r="B486">
        <v>14</v>
      </c>
      <c r="C486" t="s">
        <v>180</v>
      </c>
      <c r="D486">
        <v>2013</v>
      </c>
      <c r="E486">
        <v>15172</v>
      </c>
      <c r="F486">
        <v>14362</v>
      </c>
      <c r="G486">
        <v>810</v>
      </c>
      <c r="H486">
        <v>2.2599999999999998</v>
      </c>
      <c r="I486">
        <v>7915</v>
      </c>
      <c r="J486">
        <v>6356</v>
      </c>
      <c r="K486">
        <v>1559</v>
      </c>
      <c r="L486">
        <v>19.7</v>
      </c>
      <c r="M486">
        <v>1.814529375</v>
      </c>
      <c r="N486">
        <f>E486/_xlfn.XLOOKUP(C486,Lookups!$A$2:$A$66,Lookups!$C$2:$C$66)</f>
        <v>3.1785337933953031</v>
      </c>
    </row>
    <row r="487" spans="1:27" x14ac:dyDescent="0.2">
      <c r="A487">
        <v>71</v>
      </c>
      <c r="B487">
        <v>14</v>
      </c>
      <c r="C487" t="s">
        <v>180</v>
      </c>
      <c r="D487">
        <v>2014</v>
      </c>
      <c r="E487">
        <v>15086</v>
      </c>
      <c r="F487">
        <v>14292</v>
      </c>
      <c r="G487">
        <v>794</v>
      </c>
      <c r="H487">
        <v>2.25</v>
      </c>
      <c r="I487">
        <v>7953</v>
      </c>
      <c r="J487">
        <v>6358</v>
      </c>
      <c r="K487">
        <v>1595</v>
      </c>
      <c r="L487">
        <v>20.05</v>
      </c>
      <c r="M487">
        <v>1.7970577139999999</v>
      </c>
      <c r="N487">
        <f>E487/_xlfn.XLOOKUP(C487,Lookups!$A$2:$A$66,Lookups!$C$2:$C$66)</f>
        <v>3.1605167945664081</v>
      </c>
    </row>
    <row r="488" spans="1:27" x14ac:dyDescent="0.2">
      <c r="A488">
        <v>71</v>
      </c>
      <c r="B488">
        <v>14</v>
      </c>
      <c r="C488" t="s">
        <v>180</v>
      </c>
      <c r="D488">
        <v>2015</v>
      </c>
      <c r="E488">
        <v>14997</v>
      </c>
      <c r="F488">
        <v>14219</v>
      </c>
      <c r="G488">
        <v>778</v>
      </c>
      <c r="H488">
        <v>2.2400000000000002</v>
      </c>
      <c r="I488">
        <v>7959</v>
      </c>
      <c r="J488">
        <v>6359</v>
      </c>
      <c r="K488">
        <v>1600</v>
      </c>
      <c r="L488">
        <v>20.11</v>
      </c>
      <c r="M488">
        <v>1.7865309709999999</v>
      </c>
      <c r="N488">
        <f>E488/_xlfn.XLOOKUP(C488,Lookups!$A$2:$A$66,Lookups!$C$2:$C$66)</f>
        <v>3.1418712957783654</v>
      </c>
    </row>
    <row r="489" spans="1:27" x14ac:dyDescent="0.2">
      <c r="A489">
        <v>71</v>
      </c>
      <c r="B489">
        <v>14</v>
      </c>
      <c r="C489" t="s">
        <v>180</v>
      </c>
      <c r="D489">
        <v>2016</v>
      </c>
      <c r="E489">
        <v>14906</v>
      </c>
      <c r="F489">
        <v>14144</v>
      </c>
      <c r="G489">
        <v>762</v>
      </c>
      <c r="H489">
        <v>2.2200000000000002</v>
      </c>
      <c r="I489">
        <v>7962</v>
      </c>
      <c r="J489">
        <v>6359</v>
      </c>
      <c r="K489">
        <v>1603</v>
      </c>
      <c r="L489">
        <v>20.14</v>
      </c>
      <c r="M489">
        <v>1.776438081</v>
      </c>
      <c r="N489">
        <f>E489/_xlfn.XLOOKUP(C489,Lookups!$A$2:$A$66,Lookups!$C$2:$C$66)</f>
        <v>3.1228067970175579</v>
      </c>
    </row>
    <row r="490" spans="1:27" x14ac:dyDescent="0.2">
      <c r="A490">
        <v>71</v>
      </c>
      <c r="B490">
        <v>14</v>
      </c>
      <c r="C490" t="s">
        <v>180</v>
      </c>
      <c r="D490">
        <v>2017</v>
      </c>
      <c r="E490">
        <v>14817</v>
      </c>
      <c r="F490">
        <v>14071</v>
      </c>
      <c r="G490">
        <v>746</v>
      </c>
      <c r="H490">
        <v>2.21</v>
      </c>
      <c r="I490">
        <v>7969</v>
      </c>
      <c r="J490">
        <v>6359</v>
      </c>
      <c r="K490">
        <v>1610</v>
      </c>
      <c r="L490">
        <v>20.2</v>
      </c>
      <c r="M490">
        <v>1.7657171540000001</v>
      </c>
      <c r="N490">
        <f>E490/_xlfn.XLOOKUP(C490,Lookups!$A$2:$A$66,Lookups!$C$2:$C$66)</f>
        <v>3.1041612982295153</v>
      </c>
    </row>
    <row r="491" spans="1:27" x14ac:dyDescent="0.2">
      <c r="A491">
        <v>71</v>
      </c>
      <c r="B491">
        <v>14</v>
      </c>
      <c r="C491" t="s">
        <v>180</v>
      </c>
      <c r="D491">
        <v>2018</v>
      </c>
      <c r="E491">
        <v>14729</v>
      </c>
      <c r="F491">
        <v>13999</v>
      </c>
      <c r="G491">
        <v>730</v>
      </c>
      <c r="H491">
        <v>2.2000000000000002</v>
      </c>
      <c r="I491">
        <v>7989</v>
      </c>
      <c r="J491">
        <v>6360</v>
      </c>
      <c r="K491">
        <v>1629</v>
      </c>
      <c r="L491">
        <v>20.39</v>
      </c>
      <c r="M491">
        <v>1.7522843910000001</v>
      </c>
      <c r="N491">
        <f>E491/_xlfn.XLOOKUP(C491,Lookups!$A$2:$A$66,Lookups!$C$2:$C$66)</f>
        <v>3.0857252994278555</v>
      </c>
    </row>
    <row r="492" spans="1:27" x14ac:dyDescent="0.2">
      <c r="A492">
        <v>71</v>
      </c>
      <c r="B492">
        <v>14</v>
      </c>
      <c r="C492" t="s">
        <v>180</v>
      </c>
      <c r="D492">
        <v>2019</v>
      </c>
      <c r="E492">
        <v>14643</v>
      </c>
      <c r="F492">
        <v>13929</v>
      </c>
      <c r="G492">
        <v>714</v>
      </c>
      <c r="H492">
        <v>2.19</v>
      </c>
      <c r="I492">
        <v>8027</v>
      </c>
      <c r="J492">
        <v>6363</v>
      </c>
      <c r="K492">
        <v>1664</v>
      </c>
      <c r="L492">
        <v>20.74</v>
      </c>
      <c r="M492">
        <v>1.735268469</v>
      </c>
      <c r="N492">
        <f>E492/_xlfn.XLOOKUP(C492,Lookups!$A$2:$A$66,Lookups!$C$2:$C$66)</f>
        <v>3.06770830059896</v>
      </c>
    </row>
    <row r="493" spans="1:27" x14ac:dyDescent="0.2">
      <c r="A493">
        <v>71</v>
      </c>
      <c r="B493">
        <v>14</v>
      </c>
      <c r="C493" t="s">
        <v>180</v>
      </c>
      <c r="D493">
        <v>2020</v>
      </c>
      <c r="E493">
        <v>14479</v>
      </c>
      <c r="F493">
        <v>13850</v>
      </c>
      <c r="G493">
        <v>629</v>
      </c>
      <c r="I493">
        <v>8085</v>
      </c>
      <c r="M493">
        <v>1.7130488559999999</v>
      </c>
      <c r="N493">
        <f>E493/_xlfn.XLOOKUP(C493,Lookups!$A$2:$A$66,Lookups!$C$2:$C$66)</f>
        <v>3.0333503028322299</v>
      </c>
      <c r="O493">
        <v>14479</v>
      </c>
      <c r="P493">
        <v>104</v>
      </c>
      <c r="Q493">
        <v>-88</v>
      </c>
      <c r="R493">
        <v>-76</v>
      </c>
      <c r="S493">
        <v>192</v>
      </c>
      <c r="T493">
        <v>8085</v>
      </c>
      <c r="W493">
        <v>13850</v>
      </c>
      <c r="X493">
        <v>34</v>
      </c>
      <c r="AA493">
        <v>1.7130488559999999</v>
      </c>
    </row>
    <row r="494" spans="1:27" x14ac:dyDescent="0.2">
      <c r="A494">
        <v>71</v>
      </c>
      <c r="B494">
        <v>14</v>
      </c>
      <c r="C494" t="s">
        <v>180</v>
      </c>
      <c r="D494">
        <v>2021</v>
      </c>
      <c r="E494">
        <v>14330</v>
      </c>
      <c r="F494">
        <v>13931</v>
      </c>
      <c r="G494">
        <v>399</v>
      </c>
      <c r="I494">
        <v>8114</v>
      </c>
      <c r="M494">
        <v>1.716909046</v>
      </c>
      <c r="N494">
        <f>E494/_xlfn.XLOOKUP(C494,Lookups!$A$2:$A$66,Lookups!$C$2:$C$66)</f>
        <v>3.0021348048612375</v>
      </c>
      <c r="O494">
        <v>14330</v>
      </c>
      <c r="P494">
        <v>128</v>
      </c>
      <c r="Q494">
        <v>-75</v>
      </c>
      <c r="R494">
        <v>-74</v>
      </c>
      <c r="S494">
        <v>203</v>
      </c>
      <c r="T494">
        <v>8114</v>
      </c>
      <c r="W494">
        <v>13931</v>
      </c>
      <c r="X494">
        <v>41</v>
      </c>
      <c r="AA494">
        <v>1.716909046</v>
      </c>
    </row>
    <row r="495" spans="1:27" x14ac:dyDescent="0.2">
      <c r="A495">
        <v>71</v>
      </c>
      <c r="B495">
        <v>14</v>
      </c>
      <c r="C495" t="s">
        <v>180</v>
      </c>
      <c r="D495">
        <v>2022</v>
      </c>
      <c r="E495">
        <v>14297</v>
      </c>
      <c r="F495">
        <v>13904</v>
      </c>
      <c r="G495">
        <v>393</v>
      </c>
      <c r="I495">
        <v>8155</v>
      </c>
      <c r="M495">
        <v>1.7049662779999999</v>
      </c>
      <c r="N495">
        <f>E495/_xlfn.XLOOKUP(C495,Lookups!$A$2:$A$66,Lookups!$C$2:$C$66)</f>
        <v>2.9952213053106149</v>
      </c>
      <c r="O495">
        <v>14297</v>
      </c>
      <c r="P495">
        <v>108</v>
      </c>
      <c r="Q495">
        <v>-145</v>
      </c>
      <c r="R495">
        <v>112</v>
      </c>
      <c r="S495">
        <v>253</v>
      </c>
      <c r="T495">
        <v>8155</v>
      </c>
      <c r="W495">
        <v>13904</v>
      </c>
      <c r="X495">
        <v>44</v>
      </c>
      <c r="AA495">
        <v>1.7049662779999999</v>
      </c>
    </row>
    <row r="496" spans="1:27" x14ac:dyDescent="0.2">
      <c r="A496">
        <v>73</v>
      </c>
      <c r="B496">
        <v>5</v>
      </c>
      <c r="C496" t="s">
        <v>181</v>
      </c>
      <c r="D496">
        <v>2010</v>
      </c>
      <c r="E496">
        <v>5474</v>
      </c>
      <c r="F496">
        <v>4444</v>
      </c>
      <c r="G496">
        <v>1030</v>
      </c>
      <c r="H496">
        <v>2.46</v>
      </c>
      <c r="I496">
        <v>2242</v>
      </c>
      <c r="J496">
        <v>1810</v>
      </c>
      <c r="K496">
        <v>432</v>
      </c>
      <c r="L496">
        <v>19.27</v>
      </c>
      <c r="M496">
        <v>1.9821587869999999</v>
      </c>
      <c r="N496">
        <f>E496/_xlfn.XLOOKUP(C496,Lookups!$A$2:$A$66,Lookups!$C$2:$C$66)</f>
        <v>2.1174295318368719</v>
      </c>
    </row>
    <row r="497" spans="1:27" x14ac:dyDescent="0.2">
      <c r="A497">
        <v>73</v>
      </c>
      <c r="B497">
        <v>5</v>
      </c>
      <c r="C497" t="s">
        <v>181</v>
      </c>
      <c r="D497">
        <v>2011</v>
      </c>
      <c r="E497">
        <v>5488</v>
      </c>
      <c r="F497">
        <v>4462</v>
      </c>
      <c r="G497">
        <v>1026</v>
      </c>
      <c r="H497">
        <v>2.29</v>
      </c>
      <c r="I497">
        <v>2243</v>
      </c>
      <c r="J497">
        <v>1950</v>
      </c>
      <c r="K497">
        <v>293</v>
      </c>
      <c r="L497">
        <v>13.06</v>
      </c>
      <c r="M497">
        <v>1.989300045</v>
      </c>
      <c r="N497">
        <f>E497/_xlfn.XLOOKUP(C497,Lookups!$A$2:$A$66,Lookups!$C$2:$C$66)</f>
        <v>2.1228449526344089</v>
      </c>
    </row>
    <row r="498" spans="1:27" x14ac:dyDescent="0.2">
      <c r="A498">
        <v>73</v>
      </c>
      <c r="B498">
        <v>5</v>
      </c>
      <c r="C498" t="s">
        <v>181</v>
      </c>
      <c r="D498">
        <v>2012</v>
      </c>
      <c r="E498">
        <v>5503</v>
      </c>
      <c r="F498">
        <v>4481</v>
      </c>
      <c r="G498">
        <v>1022</v>
      </c>
      <c r="H498">
        <v>2.2999999999999998</v>
      </c>
      <c r="I498">
        <v>2246</v>
      </c>
      <c r="J498">
        <v>1951</v>
      </c>
      <c r="K498">
        <v>295</v>
      </c>
      <c r="L498">
        <v>13.15</v>
      </c>
      <c r="M498">
        <v>1.9951024040000001</v>
      </c>
      <c r="N498">
        <f>E498/_xlfn.XLOOKUP(C498,Lookups!$A$2:$A$66,Lookups!$C$2:$C$66)</f>
        <v>2.128647189203198</v>
      </c>
    </row>
    <row r="499" spans="1:27" x14ac:dyDescent="0.2">
      <c r="A499">
        <v>73</v>
      </c>
      <c r="B499">
        <v>5</v>
      </c>
      <c r="C499" t="s">
        <v>181</v>
      </c>
      <c r="D499">
        <v>2013</v>
      </c>
      <c r="E499">
        <v>5522</v>
      </c>
      <c r="F499">
        <v>4504</v>
      </c>
      <c r="G499">
        <v>1018</v>
      </c>
      <c r="H499">
        <v>2.31</v>
      </c>
      <c r="I499">
        <v>2257</v>
      </c>
      <c r="J499">
        <v>1953</v>
      </c>
      <c r="K499">
        <v>304</v>
      </c>
      <c r="L499">
        <v>13.49</v>
      </c>
      <c r="M499">
        <v>1.9955693400000001</v>
      </c>
      <c r="N499">
        <f>E499/_xlfn.XLOOKUP(C499,Lookups!$A$2:$A$66,Lookups!$C$2:$C$66)</f>
        <v>2.1359966888569981</v>
      </c>
    </row>
    <row r="500" spans="1:27" x14ac:dyDescent="0.2">
      <c r="A500">
        <v>73</v>
      </c>
      <c r="B500">
        <v>5</v>
      </c>
      <c r="C500" t="s">
        <v>181</v>
      </c>
      <c r="D500">
        <v>2014</v>
      </c>
      <c r="E500">
        <v>5538</v>
      </c>
      <c r="F500">
        <v>4524</v>
      </c>
      <c r="G500">
        <v>1014</v>
      </c>
      <c r="H500">
        <v>2.3199999999999998</v>
      </c>
      <c r="I500">
        <v>2264</v>
      </c>
      <c r="J500">
        <v>1954</v>
      </c>
      <c r="K500">
        <v>310</v>
      </c>
      <c r="L500">
        <v>13.71</v>
      </c>
      <c r="M500">
        <v>1.998233216</v>
      </c>
      <c r="N500">
        <f>E500/_xlfn.XLOOKUP(C500,Lookups!$A$2:$A$66,Lookups!$C$2:$C$66)</f>
        <v>2.1421857411970402</v>
      </c>
    </row>
    <row r="501" spans="1:27" x14ac:dyDescent="0.2">
      <c r="A501">
        <v>73</v>
      </c>
      <c r="B501">
        <v>5</v>
      </c>
      <c r="C501" t="s">
        <v>181</v>
      </c>
      <c r="D501">
        <v>2015</v>
      </c>
      <c r="E501">
        <v>5553</v>
      </c>
      <c r="F501">
        <v>4543</v>
      </c>
      <c r="G501">
        <v>1010</v>
      </c>
      <c r="H501">
        <v>2.3199999999999998</v>
      </c>
      <c r="I501">
        <v>2266</v>
      </c>
      <c r="J501">
        <v>1954</v>
      </c>
      <c r="K501">
        <v>312</v>
      </c>
      <c r="L501">
        <v>13.77</v>
      </c>
      <c r="M501">
        <v>2.0048543689999998</v>
      </c>
      <c r="N501">
        <f>E501/_xlfn.XLOOKUP(C501,Lookups!$A$2:$A$66,Lookups!$C$2:$C$66)</f>
        <v>2.1479879777658293</v>
      </c>
    </row>
    <row r="502" spans="1:27" x14ac:dyDescent="0.2">
      <c r="A502">
        <v>73</v>
      </c>
      <c r="B502">
        <v>5</v>
      </c>
      <c r="C502" t="s">
        <v>181</v>
      </c>
      <c r="D502">
        <v>2016</v>
      </c>
      <c r="E502">
        <v>5573</v>
      </c>
      <c r="F502">
        <v>4567</v>
      </c>
      <c r="G502">
        <v>1006</v>
      </c>
      <c r="H502">
        <v>2.33</v>
      </c>
      <c r="I502">
        <v>2281</v>
      </c>
      <c r="J502">
        <v>1957</v>
      </c>
      <c r="K502">
        <v>324</v>
      </c>
      <c r="L502">
        <v>14.22</v>
      </c>
      <c r="M502">
        <v>2.0021920209999999</v>
      </c>
      <c r="N502">
        <f>E502/_xlfn.XLOOKUP(C502,Lookups!$A$2:$A$66,Lookups!$C$2:$C$66)</f>
        <v>2.155724293190882</v>
      </c>
    </row>
    <row r="503" spans="1:27" x14ac:dyDescent="0.2">
      <c r="A503">
        <v>73</v>
      </c>
      <c r="B503">
        <v>5</v>
      </c>
      <c r="C503" t="s">
        <v>181</v>
      </c>
      <c r="D503">
        <v>2017</v>
      </c>
      <c r="E503">
        <v>5591</v>
      </c>
      <c r="F503">
        <v>4589</v>
      </c>
      <c r="G503">
        <v>1002</v>
      </c>
      <c r="H503">
        <v>2.34</v>
      </c>
      <c r="I503">
        <v>2290</v>
      </c>
      <c r="J503">
        <v>1958</v>
      </c>
      <c r="K503">
        <v>332</v>
      </c>
      <c r="L503">
        <v>14.49</v>
      </c>
      <c r="M503">
        <v>2.0039301310000002</v>
      </c>
      <c r="N503">
        <f>E503/_xlfn.XLOOKUP(C503,Lookups!$A$2:$A$66,Lookups!$C$2:$C$66)</f>
        <v>2.1626869770734292</v>
      </c>
    </row>
    <row r="504" spans="1:27" x14ac:dyDescent="0.2">
      <c r="A504">
        <v>73</v>
      </c>
      <c r="B504">
        <v>5</v>
      </c>
      <c r="C504" t="s">
        <v>181</v>
      </c>
      <c r="D504">
        <v>2018</v>
      </c>
      <c r="E504">
        <v>5621</v>
      </c>
      <c r="F504">
        <v>4623</v>
      </c>
      <c r="G504">
        <v>998</v>
      </c>
      <c r="H504">
        <v>2.35</v>
      </c>
      <c r="I504">
        <v>2331</v>
      </c>
      <c r="J504">
        <v>1965</v>
      </c>
      <c r="K504">
        <v>366</v>
      </c>
      <c r="L504">
        <v>15.7</v>
      </c>
      <c r="M504">
        <v>1.9832689830000001</v>
      </c>
      <c r="N504">
        <f>E504/_xlfn.XLOOKUP(C504,Lookups!$A$2:$A$66,Lookups!$C$2:$C$66)</f>
        <v>2.1742914502110078</v>
      </c>
    </row>
    <row r="505" spans="1:27" x14ac:dyDescent="0.2">
      <c r="A505">
        <v>73</v>
      </c>
      <c r="B505">
        <v>5</v>
      </c>
      <c r="C505" t="s">
        <v>181</v>
      </c>
      <c r="D505">
        <v>2019</v>
      </c>
      <c r="E505">
        <v>5642</v>
      </c>
      <c r="F505">
        <v>4648</v>
      </c>
      <c r="G505">
        <v>994</v>
      </c>
      <c r="H505">
        <v>2.36</v>
      </c>
      <c r="I505">
        <v>2348</v>
      </c>
      <c r="J505">
        <v>1968</v>
      </c>
      <c r="K505">
        <v>380</v>
      </c>
      <c r="L505">
        <v>16.190000000000001</v>
      </c>
      <c r="M505">
        <v>1.97955707</v>
      </c>
      <c r="N505">
        <f>E505/_xlfn.XLOOKUP(C505,Lookups!$A$2:$A$66,Lookups!$C$2:$C$66)</f>
        <v>2.182414581407313</v>
      </c>
    </row>
    <row r="506" spans="1:27" x14ac:dyDescent="0.2">
      <c r="A506">
        <v>73</v>
      </c>
      <c r="B506">
        <v>5</v>
      </c>
      <c r="C506" t="s">
        <v>181</v>
      </c>
      <c r="D506">
        <v>2020</v>
      </c>
      <c r="E506">
        <v>5662</v>
      </c>
      <c r="F506">
        <v>4678</v>
      </c>
      <c r="G506">
        <v>984</v>
      </c>
      <c r="I506">
        <v>2360</v>
      </c>
      <c r="M506">
        <v>1.98220339</v>
      </c>
      <c r="N506">
        <f>E506/_xlfn.XLOOKUP(C506,Lookups!$A$2:$A$66,Lookups!$C$2:$C$66)</f>
        <v>2.1901508968323657</v>
      </c>
      <c r="O506">
        <v>5662</v>
      </c>
      <c r="P506">
        <v>50</v>
      </c>
      <c r="Q506">
        <v>-19</v>
      </c>
      <c r="R506">
        <v>39</v>
      </c>
      <c r="S506">
        <v>69</v>
      </c>
      <c r="T506">
        <v>2360</v>
      </c>
      <c r="W506">
        <v>4678</v>
      </c>
      <c r="X506">
        <v>9</v>
      </c>
      <c r="AA506">
        <v>1.98220339</v>
      </c>
    </row>
    <row r="507" spans="1:27" x14ac:dyDescent="0.2">
      <c r="A507">
        <v>73</v>
      </c>
      <c r="B507">
        <v>5</v>
      </c>
      <c r="C507" t="s">
        <v>181</v>
      </c>
      <c r="D507">
        <v>2021</v>
      </c>
      <c r="E507">
        <v>5470</v>
      </c>
      <c r="F507">
        <v>4696</v>
      </c>
      <c r="G507">
        <v>774</v>
      </c>
      <c r="I507">
        <v>2374</v>
      </c>
      <c r="M507">
        <v>1.9780960400000001</v>
      </c>
      <c r="N507">
        <f>E507/_xlfn.XLOOKUP(C507,Lookups!$A$2:$A$66,Lookups!$C$2:$C$66)</f>
        <v>2.1158822687518617</v>
      </c>
      <c r="O507">
        <v>5470</v>
      </c>
      <c r="P507">
        <v>42</v>
      </c>
      <c r="Q507">
        <v>-20</v>
      </c>
      <c r="R507">
        <v>-172</v>
      </c>
      <c r="S507">
        <v>62</v>
      </c>
      <c r="T507">
        <v>2374</v>
      </c>
      <c r="W507">
        <v>4696</v>
      </c>
      <c r="X507">
        <v>10</v>
      </c>
      <c r="AA507">
        <v>1.9780960400000001</v>
      </c>
    </row>
    <row r="508" spans="1:27" x14ac:dyDescent="0.2">
      <c r="A508">
        <v>73</v>
      </c>
      <c r="B508">
        <v>5</v>
      </c>
      <c r="C508" t="s">
        <v>181</v>
      </c>
      <c r="D508">
        <v>2022</v>
      </c>
      <c r="E508">
        <v>5513</v>
      </c>
      <c r="F508">
        <v>4671</v>
      </c>
      <c r="G508">
        <v>842</v>
      </c>
      <c r="I508">
        <v>2386</v>
      </c>
      <c r="M508">
        <v>1.95766974</v>
      </c>
      <c r="N508">
        <f>E508/_xlfn.XLOOKUP(C508,Lookups!$A$2:$A$66,Lookups!$C$2:$C$66)</f>
        <v>2.1325153469157243</v>
      </c>
      <c r="O508">
        <v>5513</v>
      </c>
      <c r="P508">
        <v>52</v>
      </c>
      <c r="Q508">
        <v>-11</v>
      </c>
      <c r="R508">
        <v>54</v>
      </c>
      <c r="S508">
        <v>63</v>
      </c>
      <c r="T508">
        <v>2386</v>
      </c>
      <c r="W508">
        <v>4671</v>
      </c>
      <c r="X508">
        <v>10</v>
      </c>
      <c r="AA508">
        <v>1.95766974</v>
      </c>
    </row>
    <row r="509" spans="1:27" x14ac:dyDescent="0.2">
      <c r="A509">
        <v>75</v>
      </c>
      <c r="B509">
        <v>1</v>
      </c>
      <c r="C509" t="s">
        <v>182</v>
      </c>
      <c r="D509">
        <v>2010</v>
      </c>
      <c r="E509">
        <v>22293</v>
      </c>
      <c r="F509">
        <v>18819</v>
      </c>
      <c r="G509">
        <v>3474</v>
      </c>
      <c r="H509">
        <v>2.4700000000000002</v>
      </c>
      <c r="I509">
        <v>8488</v>
      </c>
      <c r="J509">
        <v>7608</v>
      </c>
      <c r="K509">
        <v>880</v>
      </c>
      <c r="L509">
        <v>10.37</v>
      </c>
      <c r="M509">
        <v>2.2171300660000002</v>
      </c>
      <c r="N509">
        <f>E509/_xlfn.XLOOKUP(C509,Lookups!$A$2:$A$66,Lookups!$C$2:$C$66)</f>
        <v>12.080896976659748</v>
      </c>
    </row>
    <row r="510" spans="1:27" x14ac:dyDescent="0.2">
      <c r="A510">
        <v>75</v>
      </c>
      <c r="B510">
        <v>1</v>
      </c>
      <c r="C510" t="s">
        <v>182</v>
      </c>
      <c r="D510">
        <v>2011</v>
      </c>
      <c r="E510">
        <v>22210</v>
      </c>
      <c r="F510">
        <v>18777</v>
      </c>
      <c r="G510">
        <v>3433</v>
      </c>
      <c r="H510">
        <v>2.34</v>
      </c>
      <c r="I510">
        <v>8503</v>
      </c>
      <c r="J510">
        <v>8041</v>
      </c>
      <c r="K510">
        <v>462</v>
      </c>
      <c r="L510">
        <v>5.43</v>
      </c>
      <c r="M510">
        <v>2.2082794309999998</v>
      </c>
      <c r="N510">
        <f>E510/_xlfn.XLOOKUP(C510,Lookups!$A$2:$A$66,Lookups!$C$2:$C$66)</f>
        <v>12.035918084224331</v>
      </c>
    </row>
    <row r="511" spans="1:27" x14ac:dyDescent="0.2">
      <c r="A511">
        <v>75</v>
      </c>
      <c r="B511">
        <v>1</v>
      </c>
      <c r="C511" t="s">
        <v>182</v>
      </c>
      <c r="D511">
        <v>2012</v>
      </c>
      <c r="E511">
        <v>22131</v>
      </c>
      <c r="F511">
        <v>18738</v>
      </c>
      <c r="G511">
        <v>3393</v>
      </c>
      <c r="H511">
        <v>2.33</v>
      </c>
      <c r="I511">
        <v>8516</v>
      </c>
      <c r="J511">
        <v>8032</v>
      </c>
      <c r="K511">
        <v>484</v>
      </c>
      <c r="L511">
        <v>5.68</v>
      </c>
      <c r="M511">
        <v>2.2003287930000002</v>
      </c>
      <c r="N511">
        <f>E511/_xlfn.XLOOKUP(C511,Lookups!$A$2:$A$66,Lookups!$C$2:$C$66)</f>
        <v>11.993106849255682</v>
      </c>
    </row>
    <row r="512" spans="1:27" x14ac:dyDescent="0.2">
      <c r="A512">
        <v>75</v>
      </c>
      <c r="B512">
        <v>1</v>
      </c>
      <c r="C512" t="s">
        <v>182</v>
      </c>
      <c r="D512">
        <v>2013</v>
      </c>
      <c r="E512">
        <v>22056</v>
      </c>
      <c r="F512">
        <v>18704</v>
      </c>
      <c r="G512">
        <v>3352</v>
      </c>
      <c r="H512">
        <v>2.33</v>
      </c>
      <c r="I512">
        <v>8526</v>
      </c>
      <c r="J512">
        <v>8025</v>
      </c>
      <c r="K512">
        <v>501</v>
      </c>
      <c r="L512">
        <v>5.88</v>
      </c>
      <c r="M512">
        <v>2.1937602630000002</v>
      </c>
      <c r="N512">
        <f>E512/_xlfn.XLOOKUP(C512,Lookups!$A$2:$A$66,Lookups!$C$2:$C$66)</f>
        <v>11.952463271753798</v>
      </c>
    </row>
    <row r="513" spans="1:27" x14ac:dyDescent="0.2">
      <c r="A513">
        <v>75</v>
      </c>
      <c r="B513">
        <v>1</v>
      </c>
      <c r="C513" t="s">
        <v>182</v>
      </c>
      <c r="D513">
        <v>2014</v>
      </c>
      <c r="E513">
        <v>21964</v>
      </c>
      <c r="F513">
        <v>18652</v>
      </c>
      <c r="G513">
        <v>3312</v>
      </c>
      <c r="H513">
        <v>2.33</v>
      </c>
      <c r="I513">
        <v>8547</v>
      </c>
      <c r="J513">
        <v>8010</v>
      </c>
      <c r="K513">
        <v>537</v>
      </c>
      <c r="L513">
        <v>6.28</v>
      </c>
      <c r="M513">
        <v>2.1822861819999999</v>
      </c>
      <c r="N513">
        <f>E513/_xlfn.XLOOKUP(C513,Lookups!$A$2:$A$66,Lookups!$C$2:$C$66)</f>
        <v>11.902607150018154</v>
      </c>
    </row>
    <row r="514" spans="1:27" x14ac:dyDescent="0.2">
      <c r="A514">
        <v>75</v>
      </c>
      <c r="B514">
        <v>1</v>
      </c>
      <c r="C514" t="s">
        <v>182</v>
      </c>
      <c r="D514">
        <v>2015</v>
      </c>
      <c r="E514">
        <v>21873</v>
      </c>
      <c r="F514">
        <v>18602</v>
      </c>
      <c r="G514">
        <v>3271</v>
      </c>
      <c r="H514">
        <v>2.33</v>
      </c>
      <c r="I514">
        <v>8567</v>
      </c>
      <c r="J514">
        <v>7996</v>
      </c>
      <c r="K514">
        <v>571</v>
      </c>
      <c r="L514">
        <v>6.67</v>
      </c>
      <c r="M514">
        <v>2.1713551999999998</v>
      </c>
      <c r="N514">
        <f>E514/_xlfn.XLOOKUP(C514,Lookups!$A$2:$A$66,Lookups!$C$2:$C$66)</f>
        <v>11.853292942649203</v>
      </c>
    </row>
    <row r="515" spans="1:27" x14ac:dyDescent="0.2">
      <c r="A515">
        <v>75</v>
      </c>
      <c r="B515">
        <v>1</v>
      </c>
      <c r="C515" t="s">
        <v>182</v>
      </c>
      <c r="D515">
        <v>2016</v>
      </c>
      <c r="E515">
        <v>21772</v>
      </c>
      <c r="F515">
        <v>18542</v>
      </c>
      <c r="G515">
        <v>3230</v>
      </c>
      <c r="H515">
        <v>2.3199999999999998</v>
      </c>
      <c r="I515">
        <v>8593</v>
      </c>
      <c r="J515">
        <v>7977</v>
      </c>
      <c r="K515">
        <v>616</v>
      </c>
      <c r="L515">
        <v>7.16</v>
      </c>
      <c r="M515">
        <v>2.1578028630000001</v>
      </c>
      <c r="N515">
        <f>E515/_xlfn.XLOOKUP(C515,Lookups!$A$2:$A$66,Lookups!$C$2:$C$66)</f>
        <v>11.798559591613333</v>
      </c>
    </row>
    <row r="516" spans="1:27" x14ac:dyDescent="0.2">
      <c r="A516">
        <v>75</v>
      </c>
      <c r="B516">
        <v>1</v>
      </c>
      <c r="C516" t="s">
        <v>182</v>
      </c>
      <c r="D516">
        <v>2017</v>
      </c>
      <c r="E516">
        <v>21691</v>
      </c>
      <c r="F516">
        <v>18502</v>
      </c>
      <c r="G516">
        <v>3190</v>
      </c>
      <c r="H516">
        <v>2.3199999999999998</v>
      </c>
      <c r="I516">
        <v>8607</v>
      </c>
      <c r="J516">
        <v>7968</v>
      </c>
      <c r="K516">
        <v>639</v>
      </c>
      <c r="L516">
        <v>7.43</v>
      </c>
      <c r="M516">
        <v>2.1496456369999999</v>
      </c>
      <c r="N516">
        <f>E516/_xlfn.XLOOKUP(C516,Lookups!$A$2:$A$66,Lookups!$C$2:$C$66)</f>
        <v>11.7546645279113</v>
      </c>
    </row>
    <row r="517" spans="1:27" x14ac:dyDescent="0.2">
      <c r="A517">
        <v>75</v>
      </c>
      <c r="B517">
        <v>1</v>
      </c>
      <c r="C517" t="s">
        <v>182</v>
      </c>
      <c r="D517">
        <v>2018</v>
      </c>
      <c r="E517">
        <v>21611</v>
      </c>
      <c r="F517">
        <v>18461</v>
      </c>
      <c r="G517">
        <v>3149</v>
      </c>
      <c r="H517">
        <v>2.3199999999999998</v>
      </c>
      <c r="I517">
        <v>8621</v>
      </c>
      <c r="J517">
        <v>7958</v>
      </c>
      <c r="K517">
        <v>663</v>
      </c>
      <c r="L517">
        <v>7.7</v>
      </c>
      <c r="M517">
        <v>2.1413989099999999</v>
      </c>
      <c r="N517">
        <f>E517/_xlfn.XLOOKUP(C517,Lookups!$A$2:$A$66,Lookups!$C$2:$C$66)</f>
        <v>11.711311378575958</v>
      </c>
    </row>
    <row r="518" spans="1:27" x14ac:dyDescent="0.2">
      <c r="A518">
        <v>75</v>
      </c>
      <c r="B518">
        <v>1</v>
      </c>
      <c r="C518" t="s">
        <v>182</v>
      </c>
      <c r="D518">
        <v>2019</v>
      </c>
      <c r="E518">
        <v>21505</v>
      </c>
      <c r="F518">
        <v>18397</v>
      </c>
      <c r="G518">
        <v>3109</v>
      </c>
      <c r="H518">
        <v>2.3199999999999998</v>
      </c>
      <c r="I518">
        <v>8650</v>
      </c>
      <c r="J518">
        <v>7937</v>
      </c>
      <c r="K518">
        <v>713</v>
      </c>
      <c r="L518">
        <v>8.24</v>
      </c>
      <c r="M518">
        <v>2.1268208089999998</v>
      </c>
      <c r="N518">
        <f>E518/_xlfn.XLOOKUP(C518,Lookups!$A$2:$A$66,Lookups!$C$2:$C$66)</f>
        <v>11.653868455706629</v>
      </c>
    </row>
    <row r="519" spans="1:27" x14ac:dyDescent="0.2">
      <c r="A519">
        <v>75</v>
      </c>
      <c r="B519">
        <v>1</v>
      </c>
      <c r="C519" t="s">
        <v>182</v>
      </c>
      <c r="D519">
        <v>2020</v>
      </c>
      <c r="E519">
        <v>21203</v>
      </c>
      <c r="F519">
        <v>18354</v>
      </c>
      <c r="G519">
        <v>2849</v>
      </c>
      <c r="I519">
        <v>8674</v>
      </c>
      <c r="M519">
        <v>2.115978787</v>
      </c>
      <c r="N519">
        <f>E519/_xlfn.XLOOKUP(C519,Lookups!$A$2:$A$66,Lookups!$C$2:$C$66)</f>
        <v>11.490210316965713</v>
      </c>
      <c r="O519">
        <v>21203</v>
      </c>
      <c r="P519">
        <v>238</v>
      </c>
      <c r="Q519">
        <v>1</v>
      </c>
      <c r="R519">
        <v>-303</v>
      </c>
      <c r="S519">
        <v>237</v>
      </c>
      <c r="T519">
        <v>8674</v>
      </c>
      <c r="W519">
        <v>18354</v>
      </c>
      <c r="X519">
        <v>12</v>
      </c>
      <c r="AA519">
        <v>2.115978787</v>
      </c>
    </row>
    <row r="520" spans="1:27" x14ac:dyDescent="0.2">
      <c r="A520">
        <v>75</v>
      </c>
      <c r="B520">
        <v>1</v>
      </c>
      <c r="C520" t="s">
        <v>182</v>
      </c>
      <c r="D520">
        <v>2021</v>
      </c>
      <c r="E520">
        <v>21089</v>
      </c>
      <c r="F520">
        <v>18415</v>
      </c>
      <c r="G520">
        <v>2674</v>
      </c>
      <c r="I520">
        <v>8687</v>
      </c>
      <c r="M520">
        <v>2.1198342349999999</v>
      </c>
      <c r="N520">
        <f>E520/_xlfn.XLOOKUP(C520,Lookups!$A$2:$A$66,Lookups!$C$2:$C$66)</f>
        <v>11.428432079162851</v>
      </c>
      <c r="O520">
        <v>21089</v>
      </c>
      <c r="P520">
        <v>189</v>
      </c>
      <c r="Q520">
        <v>-124</v>
      </c>
      <c r="R520">
        <v>10</v>
      </c>
      <c r="S520">
        <v>313</v>
      </c>
      <c r="T520">
        <v>8687</v>
      </c>
      <c r="W520">
        <v>18415</v>
      </c>
      <c r="X520">
        <v>14</v>
      </c>
      <c r="AA520">
        <v>2.1198342349999999</v>
      </c>
    </row>
    <row r="521" spans="1:27" x14ac:dyDescent="0.2">
      <c r="A521">
        <v>75</v>
      </c>
      <c r="B521">
        <v>1</v>
      </c>
      <c r="C521" t="s">
        <v>182</v>
      </c>
      <c r="D521">
        <v>2022</v>
      </c>
      <c r="E521">
        <v>20809</v>
      </c>
      <c r="F521">
        <v>18116</v>
      </c>
      <c r="G521">
        <v>2693</v>
      </c>
      <c r="I521">
        <v>8708</v>
      </c>
      <c r="M521">
        <v>2.080385852</v>
      </c>
      <c r="N521">
        <f>E521/_xlfn.XLOOKUP(C521,Lookups!$A$2:$A$66,Lookups!$C$2:$C$66)</f>
        <v>11.276696056489154</v>
      </c>
      <c r="O521">
        <v>20809</v>
      </c>
      <c r="P521">
        <v>213</v>
      </c>
      <c r="Q521">
        <v>-67</v>
      </c>
      <c r="R521">
        <v>-213</v>
      </c>
      <c r="S521">
        <v>280</v>
      </c>
      <c r="T521">
        <v>8708</v>
      </c>
      <c r="W521">
        <v>18116</v>
      </c>
      <c r="X521">
        <v>22</v>
      </c>
      <c r="AA521">
        <v>2.080385852</v>
      </c>
    </row>
    <row r="522" spans="1:27" x14ac:dyDescent="0.2">
      <c r="A522">
        <v>77</v>
      </c>
      <c r="B522">
        <v>11</v>
      </c>
      <c r="C522" t="s">
        <v>183</v>
      </c>
      <c r="D522">
        <v>2010</v>
      </c>
      <c r="E522">
        <v>147155</v>
      </c>
      <c r="F522">
        <v>142688</v>
      </c>
      <c r="G522">
        <v>4467</v>
      </c>
      <c r="H522">
        <v>2.46</v>
      </c>
      <c r="I522">
        <v>62994</v>
      </c>
      <c r="J522">
        <v>57942</v>
      </c>
      <c r="K522">
        <v>5052</v>
      </c>
      <c r="L522">
        <v>8.02</v>
      </c>
      <c r="M522">
        <v>2.2651046130000001</v>
      </c>
      <c r="N522">
        <f>E522/_xlfn.XLOOKUP(C522,Lookups!$A$2:$A$66,Lookups!$C$2:$C$66)</f>
        <v>43.983453338474277</v>
      </c>
    </row>
    <row r="523" spans="1:27" x14ac:dyDescent="0.2">
      <c r="A523">
        <v>77</v>
      </c>
      <c r="B523">
        <v>11</v>
      </c>
      <c r="C523" t="s">
        <v>183</v>
      </c>
      <c r="D523">
        <v>2011</v>
      </c>
      <c r="E523">
        <v>147957</v>
      </c>
      <c r="F523">
        <v>143425</v>
      </c>
      <c r="G523">
        <v>4532</v>
      </c>
      <c r="H523">
        <v>2.46</v>
      </c>
      <c r="I523">
        <v>63269</v>
      </c>
      <c r="J523">
        <v>58381</v>
      </c>
      <c r="K523">
        <v>4888</v>
      </c>
      <c r="L523">
        <v>7.73</v>
      </c>
      <c r="M523">
        <v>2.2669079640000001</v>
      </c>
      <c r="N523">
        <f>E523/_xlfn.XLOOKUP(C523,Lookups!$A$2:$A$66,Lookups!$C$2:$C$66)</f>
        <v>44.223164728351996</v>
      </c>
    </row>
    <row r="524" spans="1:27" x14ac:dyDescent="0.2">
      <c r="A524">
        <v>77</v>
      </c>
      <c r="B524">
        <v>11</v>
      </c>
      <c r="C524" t="s">
        <v>183</v>
      </c>
      <c r="D524">
        <v>2012</v>
      </c>
      <c r="E524">
        <v>147939</v>
      </c>
      <c r="F524">
        <v>143494</v>
      </c>
      <c r="G524">
        <v>4445</v>
      </c>
      <c r="H524">
        <v>2.4500000000000002</v>
      </c>
      <c r="I524">
        <v>63472</v>
      </c>
      <c r="J524">
        <v>58549</v>
      </c>
      <c r="K524">
        <v>4923</v>
      </c>
      <c r="L524">
        <v>7.76</v>
      </c>
      <c r="M524">
        <v>2.2607448950000002</v>
      </c>
      <c r="N524">
        <f>E524/_xlfn.XLOOKUP(C524,Lookups!$A$2:$A$66,Lookups!$C$2:$C$66)</f>
        <v>44.217784672220077</v>
      </c>
    </row>
    <row r="525" spans="1:27" x14ac:dyDescent="0.2">
      <c r="A525">
        <v>77</v>
      </c>
      <c r="B525">
        <v>11</v>
      </c>
      <c r="C525" t="s">
        <v>183</v>
      </c>
      <c r="D525">
        <v>2013</v>
      </c>
      <c r="E525">
        <v>147926</v>
      </c>
      <c r="F525">
        <v>143247</v>
      </c>
      <c r="G525">
        <v>4679</v>
      </c>
      <c r="H525">
        <v>2.44</v>
      </c>
      <c r="I525">
        <v>63811</v>
      </c>
      <c r="J525">
        <v>58589</v>
      </c>
      <c r="K525">
        <v>5222</v>
      </c>
      <c r="L525">
        <v>8.18</v>
      </c>
      <c r="M525">
        <v>2.2448637379999998</v>
      </c>
      <c r="N525">
        <f>E525/_xlfn.XLOOKUP(C525,Lookups!$A$2:$A$66,Lookups!$C$2:$C$66)</f>
        <v>44.213899076124804</v>
      </c>
    </row>
    <row r="526" spans="1:27" x14ac:dyDescent="0.2">
      <c r="A526">
        <v>77</v>
      </c>
      <c r="B526">
        <v>11</v>
      </c>
      <c r="C526" t="s">
        <v>183</v>
      </c>
      <c r="D526">
        <v>2014</v>
      </c>
      <c r="E526">
        <v>147876</v>
      </c>
      <c r="F526">
        <v>143573</v>
      </c>
      <c r="G526">
        <v>4303</v>
      </c>
      <c r="H526">
        <v>2.44</v>
      </c>
      <c r="I526">
        <v>64108</v>
      </c>
      <c r="J526">
        <v>58864</v>
      </c>
      <c r="K526">
        <v>5244</v>
      </c>
      <c r="L526">
        <v>8.18</v>
      </c>
      <c r="M526">
        <v>2.2395488860000001</v>
      </c>
      <c r="N526">
        <f>E526/_xlfn.XLOOKUP(C526,Lookups!$A$2:$A$66,Lookups!$C$2:$C$66)</f>
        <v>44.198954475758363</v>
      </c>
    </row>
    <row r="527" spans="1:27" x14ac:dyDescent="0.2">
      <c r="A527">
        <v>77</v>
      </c>
      <c r="B527">
        <v>11</v>
      </c>
      <c r="C527" t="s">
        <v>183</v>
      </c>
      <c r="D527">
        <v>2015</v>
      </c>
      <c r="E527">
        <v>148774</v>
      </c>
      <c r="F527">
        <v>144217</v>
      </c>
      <c r="G527">
        <v>4557</v>
      </c>
      <c r="H527">
        <v>2.4300000000000002</v>
      </c>
      <c r="I527">
        <v>64529</v>
      </c>
      <c r="J527">
        <v>59271</v>
      </c>
      <c r="K527">
        <v>5258</v>
      </c>
      <c r="L527">
        <v>8.15</v>
      </c>
      <c r="M527">
        <v>2.2349176339999999</v>
      </c>
      <c r="N527">
        <f>E527/_xlfn.XLOOKUP(C527,Lookups!$A$2:$A$66,Lookups!$C$2:$C$66)</f>
        <v>44.467359498339654</v>
      </c>
    </row>
    <row r="528" spans="1:27" x14ac:dyDescent="0.2">
      <c r="A528">
        <v>77</v>
      </c>
      <c r="B528">
        <v>11</v>
      </c>
      <c r="C528" t="s">
        <v>183</v>
      </c>
      <c r="D528">
        <v>2016</v>
      </c>
      <c r="E528">
        <v>150346</v>
      </c>
      <c r="F528">
        <v>145847</v>
      </c>
      <c r="G528">
        <v>4499</v>
      </c>
      <c r="H528">
        <v>2.4300000000000002</v>
      </c>
      <c r="I528">
        <v>64807</v>
      </c>
      <c r="J528">
        <v>60086</v>
      </c>
      <c r="K528">
        <v>4721</v>
      </c>
      <c r="L528">
        <v>7.28</v>
      </c>
      <c r="M528">
        <v>2.2504822010000001</v>
      </c>
      <c r="N528">
        <f>E528/_xlfn.XLOOKUP(C528,Lookups!$A$2:$A$66,Lookups!$C$2:$C$66)</f>
        <v>44.937217733860578</v>
      </c>
    </row>
    <row r="529" spans="1:27" x14ac:dyDescent="0.2">
      <c r="A529">
        <v>77</v>
      </c>
      <c r="B529">
        <v>11</v>
      </c>
      <c r="C529" t="s">
        <v>183</v>
      </c>
      <c r="D529">
        <v>2017</v>
      </c>
      <c r="E529">
        <v>152148</v>
      </c>
      <c r="F529">
        <v>147646</v>
      </c>
      <c r="G529">
        <v>4502</v>
      </c>
      <c r="H529">
        <v>2.42</v>
      </c>
      <c r="I529">
        <v>65240</v>
      </c>
      <c r="J529">
        <v>60974</v>
      </c>
      <c r="K529">
        <v>4266</v>
      </c>
      <c r="L529">
        <v>6.54</v>
      </c>
      <c r="M529">
        <v>2.2631207849999999</v>
      </c>
      <c r="N529">
        <f>E529/_xlfn.XLOOKUP(C529,Lookups!$A$2:$A$66,Lookups!$C$2:$C$66)</f>
        <v>45.475821131067136</v>
      </c>
    </row>
    <row r="530" spans="1:27" x14ac:dyDescent="0.2">
      <c r="A530">
        <v>77</v>
      </c>
      <c r="B530">
        <v>11</v>
      </c>
      <c r="C530" t="s">
        <v>183</v>
      </c>
      <c r="D530">
        <v>2018</v>
      </c>
      <c r="E530">
        <v>154047</v>
      </c>
      <c r="F530">
        <v>149639</v>
      </c>
      <c r="G530">
        <v>4408</v>
      </c>
      <c r="H530">
        <v>2.42</v>
      </c>
      <c r="I530">
        <v>65823</v>
      </c>
      <c r="J530">
        <v>61948</v>
      </c>
      <c r="K530">
        <v>3875</v>
      </c>
      <c r="L530">
        <v>5.89</v>
      </c>
      <c r="M530">
        <v>2.2733542990000002</v>
      </c>
      <c r="N530">
        <f>E530/_xlfn.XLOOKUP(C530,Lookups!$A$2:$A$66,Lookups!$C$2:$C$66)</f>
        <v>46.043417052984587</v>
      </c>
    </row>
    <row r="531" spans="1:27" x14ac:dyDescent="0.2">
      <c r="A531">
        <v>77</v>
      </c>
      <c r="B531">
        <v>11</v>
      </c>
      <c r="C531" t="s">
        <v>183</v>
      </c>
      <c r="D531">
        <v>2019</v>
      </c>
      <c r="E531">
        <v>155109</v>
      </c>
      <c r="F531">
        <v>150803</v>
      </c>
      <c r="G531">
        <v>4306</v>
      </c>
      <c r="H531">
        <v>2.41</v>
      </c>
      <c r="I531">
        <v>66587</v>
      </c>
      <c r="J531">
        <v>62582</v>
      </c>
      <c r="K531">
        <v>4005</v>
      </c>
      <c r="L531">
        <v>6.01</v>
      </c>
      <c r="M531">
        <v>2.2647513780000001</v>
      </c>
      <c r="N531">
        <f>E531/_xlfn.XLOOKUP(C531,Lookups!$A$2:$A$66,Lookups!$C$2:$C$66)</f>
        <v>46.360840364767803</v>
      </c>
    </row>
    <row r="532" spans="1:27" x14ac:dyDescent="0.2">
      <c r="A532">
        <v>77</v>
      </c>
      <c r="B532">
        <v>11</v>
      </c>
      <c r="C532" t="s">
        <v>183</v>
      </c>
      <c r="D532">
        <v>2020</v>
      </c>
      <c r="E532">
        <v>155993</v>
      </c>
      <c r="F532">
        <v>152045</v>
      </c>
      <c r="G532">
        <v>3948</v>
      </c>
      <c r="I532">
        <v>67680</v>
      </c>
      <c r="M532">
        <v>2.2465277779999999</v>
      </c>
      <c r="N532">
        <f>E532/_xlfn.XLOOKUP(C532,Lookups!$A$2:$A$66,Lookups!$C$2:$C$66)</f>
        <v>46.625060899246492</v>
      </c>
      <c r="O532">
        <v>155993</v>
      </c>
      <c r="P532">
        <v>1568</v>
      </c>
      <c r="Q532">
        <v>-117</v>
      </c>
      <c r="R532">
        <v>1001</v>
      </c>
      <c r="S532">
        <v>1685</v>
      </c>
      <c r="T532">
        <v>67680</v>
      </c>
      <c r="W532">
        <v>152045</v>
      </c>
      <c r="X532">
        <v>1004</v>
      </c>
      <c r="AA532">
        <v>2.2465277779999999</v>
      </c>
    </row>
    <row r="533" spans="1:27" x14ac:dyDescent="0.2">
      <c r="A533">
        <v>77</v>
      </c>
      <c r="B533">
        <v>11</v>
      </c>
      <c r="C533" t="s">
        <v>183</v>
      </c>
      <c r="D533">
        <v>2021</v>
      </c>
      <c r="E533">
        <v>157432</v>
      </c>
      <c r="F533">
        <v>153559</v>
      </c>
      <c r="G533">
        <v>3873</v>
      </c>
      <c r="I533">
        <v>68720</v>
      </c>
      <c r="M533">
        <v>2.234560536</v>
      </c>
      <c r="N533">
        <f>E533/_xlfn.XLOOKUP(C533,Lookups!$A$2:$A$66,Lookups!$C$2:$C$66)</f>
        <v>47.055166497792683</v>
      </c>
      <c r="O533">
        <v>157432</v>
      </c>
      <c r="P533">
        <v>1527</v>
      </c>
      <c r="Q533">
        <v>-373</v>
      </c>
      <c r="R533">
        <v>1812</v>
      </c>
      <c r="S533">
        <v>1900</v>
      </c>
      <c r="T533">
        <v>68720</v>
      </c>
      <c r="W533">
        <v>153559</v>
      </c>
      <c r="X533">
        <v>1231</v>
      </c>
      <c r="AA533">
        <v>2.234560536</v>
      </c>
    </row>
    <row r="534" spans="1:27" x14ac:dyDescent="0.2">
      <c r="A534">
        <v>77</v>
      </c>
      <c r="B534">
        <v>11</v>
      </c>
      <c r="C534" t="s">
        <v>183</v>
      </c>
      <c r="D534">
        <v>2022</v>
      </c>
      <c r="E534">
        <v>158534</v>
      </c>
      <c r="F534">
        <v>154405</v>
      </c>
      <c r="G534">
        <v>4129</v>
      </c>
      <c r="I534">
        <v>70017</v>
      </c>
      <c r="M534">
        <v>2.2052501539999998</v>
      </c>
      <c r="N534">
        <f>E534/_xlfn.XLOOKUP(C534,Lookups!$A$2:$A$66,Lookups!$C$2:$C$66)</f>
        <v>47.384545489869055</v>
      </c>
      <c r="O534">
        <v>158534</v>
      </c>
      <c r="P534">
        <v>1447</v>
      </c>
      <c r="Q534">
        <v>-568</v>
      </c>
      <c r="R534">
        <v>1670</v>
      </c>
      <c r="S534">
        <v>2015</v>
      </c>
      <c r="T534">
        <v>70017</v>
      </c>
      <c r="W534">
        <v>154405</v>
      </c>
      <c r="X534">
        <v>969</v>
      </c>
      <c r="AA534">
        <v>2.2052501539999998</v>
      </c>
    </row>
    <row r="535" spans="1:27" x14ac:dyDescent="0.2">
      <c r="A535">
        <v>79</v>
      </c>
      <c r="B535">
        <v>8</v>
      </c>
      <c r="C535" t="s">
        <v>184</v>
      </c>
      <c r="D535">
        <v>2010</v>
      </c>
      <c r="E535">
        <v>705</v>
      </c>
      <c r="F535">
        <v>705</v>
      </c>
      <c r="G535">
        <v>0</v>
      </c>
      <c r="H535">
        <v>2.2599999999999998</v>
      </c>
      <c r="I535">
        <v>1097</v>
      </c>
      <c r="J535">
        <v>312</v>
      </c>
      <c r="K535">
        <v>785</v>
      </c>
      <c r="L535">
        <v>71.56</v>
      </c>
      <c r="M535">
        <v>0.64266180500000003</v>
      </c>
      <c r="N535">
        <f>E535/_xlfn.XLOOKUP(C535,Lookups!$A$2:$A$66,Lookups!$C$2:$C$66)</f>
        <v>0.80281497676960922</v>
      </c>
    </row>
    <row r="536" spans="1:27" x14ac:dyDescent="0.2">
      <c r="A536">
        <v>79</v>
      </c>
      <c r="B536">
        <v>8</v>
      </c>
      <c r="C536" t="s">
        <v>184</v>
      </c>
      <c r="D536">
        <v>2011</v>
      </c>
      <c r="E536">
        <v>712</v>
      </c>
      <c r="F536">
        <v>712</v>
      </c>
      <c r="G536">
        <v>0</v>
      </c>
      <c r="H536">
        <v>2.0099999999999998</v>
      </c>
      <c r="I536">
        <v>1102</v>
      </c>
      <c r="J536">
        <v>354</v>
      </c>
      <c r="K536">
        <v>748</v>
      </c>
      <c r="L536">
        <v>67.89</v>
      </c>
      <c r="M536">
        <v>0.64609800399999995</v>
      </c>
      <c r="N536">
        <f>E536/_xlfn.XLOOKUP(C536,Lookups!$A$2:$A$66,Lookups!$C$2:$C$66)</f>
        <v>0.81078618930491031</v>
      </c>
    </row>
    <row r="537" spans="1:27" x14ac:dyDescent="0.2">
      <c r="A537">
        <v>79</v>
      </c>
      <c r="B537">
        <v>8</v>
      </c>
      <c r="C537" t="s">
        <v>184</v>
      </c>
      <c r="D537">
        <v>2012</v>
      </c>
      <c r="E537">
        <v>723</v>
      </c>
      <c r="F537">
        <v>723</v>
      </c>
      <c r="G537">
        <v>0</v>
      </c>
      <c r="H537">
        <v>2.0099999999999998</v>
      </c>
      <c r="I537">
        <v>1111</v>
      </c>
      <c r="J537">
        <v>359</v>
      </c>
      <c r="K537">
        <v>752</v>
      </c>
      <c r="L537">
        <v>67.69</v>
      </c>
      <c r="M537">
        <v>0.65076507699999997</v>
      </c>
      <c r="N537">
        <f>E537/_xlfn.XLOOKUP(C537,Lookups!$A$2:$A$66,Lookups!$C$2:$C$66)</f>
        <v>0.82331238043181199</v>
      </c>
    </row>
    <row r="538" spans="1:27" x14ac:dyDescent="0.2">
      <c r="A538">
        <v>79</v>
      </c>
      <c r="B538">
        <v>8</v>
      </c>
      <c r="C538" t="s">
        <v>184</v>
      </c>
      <c r="D538">
        <v>2013</v>
      </c>
      <c r="E538">
        <v>734</v>
      </c>
      <c r="F538">
        <v>734</v>
      </c>
      <c r="G538">
        <v>0</v>
      </c>
      <c r="H538">
        <v>2.02</v>
      </c>
      <c r="I538">
        <v>1119</v>
      </c>
      <c r="J538">
        <v>363</v>
      </c>
      <c r="K538">
        <v>756</v>
      </c>
      <c r="L538">
        <v>67.52</v>
      </c>
      <c r="M538">
        <v>0.65594280599999999</v>
      </c>
      <c r="N538">
        <f>E538/_xlfn.XLOOKUP(C538,Lookups!$A$2:$A$66,Lookups!$C$2:$C$66)</f>
        <v>0.83583857155871366</v>
      </c>
    </row>
    <row r="539" spans="1:27" x14ac:dyDescent="0.2">
      <c r="A539">
        <v>79</v>
      </c>
      <c r="B539">
        <v>8</v>
      </c>
      <c r="C539" t="s">
        <v>184</v>
      </c>
      <c r="D539">
        <v>2014</v>
      </c>
      <c r="E539">
        <v>747</v>
      </c>
      <c r="F539">
        <v>747</v>
      </c>
      <c r="G539">
        <v>0</v>
      </c>
      <c r="H539">
        <v>2.02</v>
      </c>
      <c r="I539">
        <v>1130</v>
      </c>
      <c r="J539">
        <v>370</v>
      </c>
      <c r="K539">
        <v>760</v>
      </c>
      <c r="L539">
        <v>67.28</v>
      </c>
      <c r="M539">
        <v>0.66106194699999998</v>
      </c>
      <c r="N539">
        <f>E539/_xlfn.XLOOKUP(C539,Lookups!$A$2:$A$66,Lookups!$C$2:$C$66)</f>
        <v>0.85064225198141574</v>
      </c>
    </row>
    <row r="540" spans="1:27" x14ac:dyDescent="0.2">
      <c r="A540">
        <v>79</v>
      </c>
      <c r="B540">
        <v>8</v>
      </c>
      <c r="C540" t="s">
        <v>184</v>
      </c>
      <c r="D540">
        <v>2015</v>
      </c>
      <c r="E540">
        <v>755</v>
      </c>
      <c r="F540">
        <v>755</v>
      </c>
      <c r="G540">
        <v>0</v>
      </c>
      <c r="H540">
        <v>2.02</v>
      </c>
      <c r="I540">
        <v>1136</v>
      </c>
      <c r="J540">
        <v>373</v>
      </c>
      <c r="K540">
        <v>763</v>
      </c>
      <c r="L540">
        <v>67.16</v>
      </c>
      <c r="M540">
        <v>0.66461267599999996</v>
      </c>
      <c r="N540">
        <f>E540/_xlfn.XLOOKUP(C540,Lookups!$A$2:$A$66,Lookups!$C$2:$C$66)</f>
        <v>0.85975220916461692</v>
      </c>
    </row>
    <row r="541" spans="1:27" x14ac:dyDescent="0.2">
      <c r="A541">
        <v>79</v>
      </c>
      <c r="B541">
        <v>8</v>
      </c>
      <c r="C541" t="s">
        <v>184</v>
      </c>
      <c r="D541">
        <v>2016</v>
      </c>
      <c r="E541">
        <v>770</v>
      </c>
      <c r="F541">
        <v>770</v>
      </c>
      <c r="G541">
        <v>0</v>
      </c>
      <c r="H541">
        <v>2.0299999999999998</v>
      </c>
      <c r="I541">
        <v>1148</v>
      </c>
      <c r="J541">
        <v>380</v>
      </c>
      <c r="K541">
        <v>768</v>
      </c>
      <c r="L541">
        <v>66.91</v>
      </c>
      <c r="M541">
        <v>0.67073170699999995</v>
      </c>
      <c r="N541">
        <f>E541/_xlfn.XLOOKUP(C541,Lookups!$A$2:$A$66,Lookups!$C$2:$C$66)</f>
        <v>0.8768333788831193</v>
      </c>
    </row>
    <row r="542" spans="1:27" x14ac:dyDescent="0.2">
      <c r="A542">
        <v>79</v>
      </c>
      <c r="B542">
        <v>8</v>
      </c>
      <c r="C542" t="s">
        <v>184</v>
      </c>
      <c r="D542">
        <v>2017</v>
      </c>
      <c r="E542">
        <v>788</v>
      </c>
      <c r="F542">
        <v>788</v>
      </c>
      <c r="G542">
        <v>0</v>
      </c>
      <c r="H542">
        <v>2.0299999999999998</v>
      </c>
      <c r="I542">
        <v>1162</v>
      </c>
      <c r="J542">
        <v>388</v>
      </c>
      <c r="K542">
        <v>774</v>
      </c>
      <c r="L542">
        <v>66.62</v>
      </c>
      <c r="M542">
        <v>0.67814113600000003</v>
      </c>
      <c r="N542">
        <f>E542/_xlfn.XLOOKUP(C542,Lookups!$A$2:$A$66,Lookups!$C$2:$C$66)</f>
        <v>0.89733078254532206</v>
      </c>
    </row>
    <row r="543" spans="1:27" x14ac:dyDescent="0.2">
      <c r="A543">
        <v>79</v>
      </c>
      <c r="B543">
        <v>8</v>
      </c>
      <c r="C543" t="s">
        <v>184</v>
      </c>
      <c r="D543">
        <v>2018</v>
      </c>
      <c r="E543">
        <v>811</v>
      </c>
      <c r="F543">
        <v>811</v>
      </c>
      <c r="G543">
        <v>0</v>
      </c>
      <c r="H543">
        <v>2.0299999999999998</v>
      </c>
      <c r="I543">
        <v>1181</v>
      </c>
      <c r="J543">
        <v>399</v>
      </c>
      <c r="K543">
        <v>782</v>
      </c>
      <c r="L543">
        <v>66.25</v>
      </c>
      <c r="M543">
        <v>0.68670618100000003</v>
      </c>
      <c r="N543">
        <f>E543/_xlfn.XLOOKUP(C543,Lookups!$A$2:$A$66,Lookups!$C$2:$C$66)</f>
        <v>0.92352190944702561</v>
      </c>
    </row>
    <row r="544" spans="1:27" x14ac:dyDescent="0.2">
      <c r="A544">
        <v>79</v>
      </c>
      <c r="B544">
        <v>8</v>
      </c>
      <c r="C544" t="s">
        <v>184</v>
      </c>
      <c r="D544">
        <v>2019</v>
      </c>
      <c r="E544">
        <v>834</v>
      </c>
      <c r="F544">
        <v>834</v>
      </c>
      <c r="G544">
        <v>0</v>
      </c>
      <c r="H544">
        <v>2.04</v>
      </c>
      <c r="I544">
        <v>1200</v>
      </c>
      <c r="J544">
        <v>409</v>
      </c>
      <c r="K544">
        <v>791</v>
      </c>
      <c r="L544">
        <v>65.88</v>
      </c>
      <c r="M544">
        <v>0.69499999999999995</v>
      </c>
      <c r="N544">
        <f>E544/_xlfn.XLOOKUP(C544,Lookups!$A$2:$A$66,Lookups!$C$2:$C$66)</f>
        <v>0.94971303634872917</v>
      </c>
    </row>
    <row r="545" spans="1:27" x14ac:dyDescent="0.2">
      <c r="A545">
        <v>79</v>
      </c>
      <c r="B545">
        <v>8</v>
      </c>
      <c r="C545" t="s">
        <v>184</v>
      </c>
      <c r="D545">
        <v>2020</v>
      </c>
      <c r="E545">
        <v>871</v>
      </c>
      <c r="F545">
        <v>871</v>
      </c>
      <c r="G545">
        <v>0</v>
      </c>
      <c r="I545">
        <v>1221</v>
      </c>
      <c r="M545">
        <v>0.71334971300000005</v>
      </c>
      <c r="N545">
        <f>E545/_xlfn.XLOOKUP(C545,Lookups!$A$2:$A$66,Lookups!$C$2:$C$66)</f>
        <v>0.99184658832103489</v>
      </c>
      <c r="O545">
        <v>871</v>
      </c>
      <c r="P545">
        <v>7</v>
      </c>
      <c r="Q545">
        <v>-4</v>
      </c>
      <c r="R545">
        <v>41</v>
      </c>
      <c r="S545">
        <v>11</v>
      </c>
      <c r="T545">
        <v>1221</v>
      </c>
      <c r="W545">
        <v>871</v>
      </c>
      <c r="X545">
        <v>18</v>
      </c>
      <c r="AA545">
        <v>0.71334971300000005</v>
      </c>
    </row>
    <row r="546" spans="1:27" x14ac:dyDescent="0.2">
      <c r="A546">
        <v>79</v>
      </c>
      <c r="B546">
        <v>8</v>
      </c>
      <c r="C546" t="s">
        <v>184</v>
      </c>
      <c r="D546">
        <v>2021</v>
      </c>
      <c r="E546">
        <v>926</v>
      </c>
      <c r="F546">
        <v>926</v>
      </c>
      <c r="G546">
        <v>0</v>
      </c>
      <c r="I546">
        <v>1290</v>
      </c>
      <c r="M546">
        <v>0.717829457</v>
      </c>
      <c r="N546">
        <f>E546/_xlfn.XLOOKUP(C546,Lookups!$A$2:$A$66,Lookups!$C$2:$C$66)</f>
        <v>1.0544775439555434</v>
      </c>
      <c r="O546">
        <v>926</v>
      </c>
      <c r="P546">
        <v>4</v>
      </c>
      <c r="Q546">
        <v>-2</v>
      </c>
      <c r="R546">
        <v>57</v>
      </c>
      <c r="S546">
        <v>6</v>
      </c>
      <c r="T546">
        <v>1290</v>
      </c>
      <c r="W546">
        <v>926</v>
      </c>
      <c r="X546">
        <v>8</v>
      </c>
      <c r="AA546">
        <v>0.717829457</v>
      </c>
    </row>
    <row r="547" spans="1:27" x14ac:dyDescent="0.2">
      <c r="A547">
        <v>79</v>
      </c>
      <c r="B547">
        <v>8</v>
      </c>
      <c r="C547" t="s">
        <v>184</v>
      </c>
      <c r="D547">
        <v>2022</v>
      </c>
      <c r="E547">
        <v>924</v>
      </c>
      <c r="F547">
        <v>924</v>
      </c>
      <c r="G547">
        <v>0</v>
      </c>
      <c r="I547">
        <v>1298</v>
      </c>
      <c r="M547">
        <v>0.71186440699999998</v>
      </c>
      <c r="N547">
        <f>E547/_xlfn.XLOOKUP(C547,Lookups!$A$2:$A$66,Lookups!$C$2:$C$66)</f>
        <v>1.0522000546597432</v>
      </c>
      <c r="O547">
        <v>924</v>
      </c>
      <c r="P547">
        <v>8</v>
      </c>
      <c r="Q547">
        <v>-5</v>
      </c>
      <c r="R547">
        <v>3</v>
      </c>
      <c r="S547">
        <v>13</v>
      </c>
      <c r="T547">
        <v>1298</v>
      </c>
      <c r="W547">
        <v>924</v>
      </c>
      <c r="X547">
        <v>9</v>
      </c>
      <c r="AA547">
        <v>0.71186440699999998</v>
      </c>
    </row>
    <row r="548" spans="1:27" x14ac:dyDescent="0.2">
      <c r="A548">
        <v>81</v>
      </c>
      <c r="B548">
        <v>11</v>
      </c>
      <c r="C548" t="s">
        <v>185</v>
      </c>
      <c r="D548">
        <v>2010</v>
      </c>
      <c r="E548">
        <v>13806</v>
      </c>
      <c r="F548">
        <v>13704</v>
      </c>
      <c r="G548">
        <v>102</v>
      </c>
      <c r="H548">
        <v>2.6</v>
      </c>
      <c r="I548">
        <v>5962</v>
      </c>
      <c r="J548">
        <v>5269</v>
      </c>
      <c r="K548">
        <v>693</v>
      </c>
      <c r="L548">
        <v>11.62</v>
      </c>
      <c r="M548">
        <v>2.2985575310000002</v>
      </c>
      <c r="N548">
        <f>E548/_xlfn.XLOOKUP(C548,Lookups!$A$2:$A$66,Lookups!$C$2:$C$66)</f>
        <v>2.9029449983809448</v>
      </c>
    </row>
    <row r="549" spans="1:27" x14ac:dyDescent="0.2">
      <c r="A549">
        <v>81</v>
      </c>
      <c r="B549">
        <v>11</v>
      </c>
      <c r="C549" t="s">
        <v>185</v>
      </c>
      <c r="D549">
        <v>2011</v>
      </c>
      <c r="E549">
        <v>13452</v>
      </c>
      <c r="F549">
        <v>13348</v>
      </c>
      <c r="G549">
        <v>104</v>
      </c>
      <c r="H549">
        <v>2.5</v>
      </c>
      <c r="I549">
        <v>5969</v>
      </c>
      <c r="J549">
        <v>5337</v>
      </c>
      <c r="K549">
        <v>632</v>
      </c>
      <c r="L549">
        <v>10.58</v>
      </c>
      <c r="M549">
        <v>2.2362204719999998</v>
      </c>
      <c r="N549">
        <f>E549/_xlfn.XLOOKUP(C549,Lookups!$A$2:$A$66,Lookups!$C$2:$C$66)</f>
        <v>2.828510511242972</v>
      </c>
    </row>
    <row r="550" spans="1:27" x14ac:dyDescent="0.2">
      <c r="A550">
        <v>81</v>
      </c>
      <c r="B550">
        <v>11</v>
      </c>
      <c r="C550" t="s">
        <v>185</v>
      </c>
      <c r="D550">
        <v>2012</v>
      </c>
      <c r="E550">
        <v>13216</v>
      </c>
      <c r="F550">
        <v>13111</v>
      </c>
      <c r="G550">
        <v>105</v>
      </c>
      <c r="H550">
        <v>2.5</v>
      </c>
      <c r="I550">
        <v>5979</v>
      </c>
      <c r="J550">
        <v>5252</v>
      </c>
      <c r="K550">
        <v>727</v>
      </c>
      <c r="L550">
        <v>12.16</v>
      </c>
      <c r="M550">
        <v>2.1928416120000001</v>
      </c>
      <c r="N550">
        <f>E550/_xlfn.XLOOKUP(C550,Lookups!$A$2:$A$66,Lookups!$C$2:$C$66)</f>
        <v>2.7788875198176566</v>
      </c>
    </row>
    <row r="551" spans="1:27" x14ac:dyDescent="0.2">
      <c r="A551">
        <v>81</v>
      </c>
      <c r="B551">
        <v>11</v>
      </c>
      <c r="C551" t="s">
        <v>185</v>
      </c>
      <c r="D551">
        <v>2013</v>
      </c>
      <c r="E551">
        <v>13187</v>
      </c>
      <c r="F551">
        <v>13080</v>
      </c>
      <c r="G551">
        <v>107</v>
      </c>
      <c r="H551">
        <v>2.4900000000000002</v>
      </c>
      <c r="I551">
        <v>5990</v>
      </c>
      <c r="J551">
        <v>5249</v>
      </c>
      <c r="K551">
        <v>741</v>
      </c>
      <c r="L551">
        <v>12.38</v>
      </c>
      <c r="M551">
        <v>2.183639399</v>
      </c>
      <c r="N551">
        <f>E551/_xlfn.XLOOKUP(C551,Lookups!$A$2:$A$66,Lookups!$C$2:$C$66)</f>
        <v>2.772789779345902</v>
      </c>
    </row>
    <row r="552" spans="1:27" x14ac:dyDescent="0.2">
      <c r="A552">
        <v>81</v>
      </c>
      <c r="B552">
        <v>11</v>
      </c>
      <c r="C552" t="s">
        <v>185</v>
      </c>
      <c r="D552">
        <v>2014</v>
      </c>
      <c r="E552">
        <v>13016</v>
      </c>
      <c r="F552">
        <v>12907</v>
      </c>
      <c r="G552">
        <v>109</v>
      </c>
      <c r="H552">
        <v>2.4900000000000002</v>
      </c>
      <c r="I552">
        <v>5999</v>
      </c>
      <c r="J552">
        <v>5189</v>
      </c>
      <c r="K552">
        <v>810</v>
      </c>
      <c r="L552">
        <v>13.51</v>
      </c>
      <c r="M552">
        <v>2.1515252540000001</v>
      </c>
      <c r="N552">
        <f>E552/_xlfn.XLOOKUP(C552,Lookups!$A$2:$A$66,Lookups!$C$2:$C$66)</f>
        <v>2.7368341372538301</v>
      </c>
    </row>
    <row r="553" spans="1:27" x14ac:dyDescent="0.2">
      <c r="A553">
        <v>81</v>
      </c>
      <c r="B553">
        <v>11</v>
      </c>
      <c r="C553" t="s">
        <v>185</v>
      </c>
      <c r="D553">
        <v>2015</v>
      </c>
      <c r="E553">
        <v>13038</v>
      </c>
      <c r="F553">
        <v>12928</v>
      </c>
      <c r="G553">
        <v>110</v>
      </c>
      <c r="H553">
        <v>2.48</v>
      </c>
      <c r="I553">
        <v>6008</v>
      </c>
      <c r="J553">
        <v>5206</v>
      </c>
      <c r="K553">
        <v>802</v>
      </c>
      <c r="L553">
        <v>13.35</v>
      </c>
      <c r="M553">
        <v>2.1517976029999999</v>
      </c>
      <c r="N553">
        <f>E553/_xlfn.XLOOKUP(C553,Lookups!$A$2:$A$66,Lookups!$C$2:$C$66)</f>
        <v>2.7414600093358512</v>
      </c>
    </row>
    <row r="554" spans="1:27" x14ac:dyDescent="0.2">
      <c r="A554">
        <v>81</v>
      </c>
      <c r="B554">
        <v>11</v>
      </c>
      <c r="C554" t="s">
        <v>185</v>
      </c>
      <c r="D554">
        <v>2016</v>
      </c>
      <c r="E554">
        <v>13266</v>
      </c>
      <c r="F554">
        <v>13154</v>
      </c>
      <c r="G554">
        <v>112</v>
      </c>
      <c r="H554">
        <v>2.48</v>
      </c>
      <c r="I554">
        <v>6015</v>
      </c>
      <c r="J554">
        <v>5307</v>
      </c>
      <c r="K554">
        <v>708</v>
      </c>
      <c r="L554">
        <v>11.78</v>
      </c>
      <c r="M554">
        <v>2.1868661679999999</v>
      </c>
      <c r="N554">
        <f>E554/_xlfn.XLOOKUP(C554,Lookups!$A$2:$A$66,Lookups!$C$2:$C$66)</f>
        <v>2.7894008654586133</v>
      </c>
    </row>
    <row r="555" spans="1:27" x14ac:dyDescent="0.2">
      <c r="A555">
        <v>81</v>
      </c>
      <c r="B555">
        <v>11</v>
      </c>
      <c r="C555" t="s">
        <v>185</v>
      </c>
      <c r="D555">
        <v>2017</v>
      </c>
      <c r="E555">
        <v>13223</v>
      </c>
      <c r="F555">
        <v>13109</v>
      </c>
      <c r="G555">
        <v>114</v>
      </c>
      <c r="H555">
        <v>2.4700000000000002</v>
      </c>
      <c r="I555">
        <v>6025</v>
      </c>
      <c r="J555">
        <v>5298</v>
      </c>
      <c r="K555">
        <v>727</v>
      </c>
      <c r="L555">
        <v>12.06</v>
      </c>
      <c r="M555">
        <v>2.1757676350000001</v>
      </c>
      <c r="N555">
        <f>E555/_xlfn.XLOOKUP(C555,Lookups!$A$2:$A$66,Lookups!$C$2:$C$66)</f>
        <v>2.7803593882073905</v>
      </c>
    </row>
    <row r="556" spans="1:27" x14ac:dyDescent="0.2">
      <c r="A556">
        <v>81</v>
      </c>
      <c r="B556">
        <v>11</v>
      </c>
      <c r="C556" t="s">
        <v>185</v>
      </c>
      <c r="D556">
        <v>2018</v>
      </c>
      <c r="E556">
        <v>13291</v>
      </c>
      <c r="F556">
        <v>13175</v>
      </c>
      <c r="G556">
        <v>116</v>
      </c>
      <c r="H556">
        <v>2.4700000000000002</v>
      </c>
      <c r="I556">
        <v>6047</v>
      </c>
      <c r="J556">
        <v>5334</v>
      </c>
      <c r="K556">
        <v>713</v>
      </c>
      <c r="L556">
        <v>11.78</v>
      </c>
      <c r="M556">
        <v>2.1787663300000002</v>
      </c>
      <c r="N556">
        <f>E556/_xlfn.XLOOKUP(C556,Lookups!$A$2:$A$66,Lookups!$C$2:$C$66)</f>
        <v>2.7946575382790915</v>
      </c>
    </row>
    <row r="557" spans="1:27" x14ac:dyDescent="0.2">
      <c r="A557">
        <v>81</v>
      </c>
      <c r="B557">
        <v>11</v>
      </c>
      <c r="C557" t="s">
        <v>185</v>
      </c>
      <c r="D557">
        <v>2019</v>
      </c>
      <c r="E557">
        <v>13364</v>
      </c>
      <c r="F557">
        <v>13247</v>
      </c>
      <c r="G557">
        <v>117</v>
      </c>
      <c r="H557">
        <v>2.4700000000000002</v>
      </c>
      <c r="I557">
        <v>6072</v>
      </c>
      <c r="J557">
        <v>5373</v>
      </c>
      <c r="K557">
        <v>699</v>
      </c>
      <c r="L557">
        <v>11.51</v>
      </c>
      <c r="M557">
        <v>2.1816534910000001</v>
      </c>
      <c r="N557">
        <f>E557/_xlfn.XLOOKUP(C557,Lookups!$A$2:$A$66,Lookups!$C$2:$C$66)</f>
        <v>2.8100070229148884</v>
      </c>
    </row>
    <row r="558" spans="1:27" x14ac:dyDescent="0.2">
      <c r="A558">
        <v>81</v>
      </c>
      <c r="B558">
        <v>11</v>
      </c>
      <c r="C558" t="s">
        <v>185</v>
      </c>
      <c r="D558">
        <v>2020</v>
      </c>
      <c r="E558">
        <v>13265</v>
      </c>
      <c r="F558">
        <v>13145</v>
      </c>
      <c r="G558">
        <v>120</v>
      </c>
      <c r="I558">
        <v>6105</v>
      </c>
      <c r="M558">
        <v>2.1531531529999999</v>
      </c>
      <c r="N558">
        <f>E558/_xlfn.XLOOKUP(C558,Lookups!$A$2:$A$66,Lookups!$C$2:$C$66)</f>
        <v>2.7891905985457943</v>
      </c>
      <c r="O558">
        <v>13265</v>
      </c>
      <c r="P558">
        <v>140</v>
      </c>
      <c r="Q558">
        <v>22</v>
      </c>
      <c r="R558">
        <v>-121</v>
      </c>
      <c r="S558">
        <v>118</v>
      </c>
      <c r="T558">
        <v>6105</v>
      </c>
      <c r="W558">
        <v>13145</v>
      </c>
      <c r="X558">
        <v>17</v>
      </c>
      <c r="AA558">
        <v>2.1531531529999999</v>
      </c>
    </row>
    <row r="559" spans="1:27" x14ac:dyDescent="0.2">
      <c r="A559">
        <v>81</v>
      </c>
      <c r="B559">
        <v>11</v>
      </c>
      <c r="C559" t="s">
        <v>185</v>
      </c>
      <c r="D559">
        <v>2021</v>
      </c>
      <c r="E559">
        <v>13161</v>
      </c>
      <c r="F559">
        <v>13051</v>
      </c>
      <c r="G559">
        <v>110</v>
      </c>
      <c r="I559">
        <v>6119</v>
      </c>
      <c r="M559">
        <v>2.132864847</v>
      </c>
      <c r="N559">
        <f>E559/_xlfn.XLOOKUP(C559,Lookups!$A$2:$A$66,Lookups!$C$2:$C$66)</f>
        <v>2.7673228396126044</v>
      </c>
      <c r="O559">
        <v>13161</v>
      </c>
      <c r="P559">
        <v>147</v>
      </c>
      <c r="Q559">
        <v>-12</v>
      </c>
      <c r="R559">
        <v>-92</v>
      </c>
      <c r="S559">
        <v>159</v>
      </c>
      <c r="T559">
        <v>6119</v>
      </c>
      <c r="W559">
        <v>13051</v>
      </c>
      <c r="X559">
        <v>15</v>
      </c>
      <c r="AA559">
        <v>2.132864847</v>
      </c>
    </row>
    <row r="560" spans="1:27" x14ac:dyDescent="0.2">
      <c r="A560">
        <v>81</v>
      </c>
      <c r="B560">
        <v>11</v>
      </c>
      <c r="C560" t="s">
        <v>185</v>
      </c>
      <c r="D560">
        <v>2022</v>
      </c>
      <c r="E560">
        <v>13166</v>
      </c>
      <c r="F560">
        <v>13056</v>
      </c>
      <c r="G560">
        <v>110</v>
      </c>
      <c r="I560">
        <v>6139</v>
      </c>
      <c r="M560">
        <v>2.126730738</v>
      </c>
      <c r="N560">
        <f>E560/_xlfn.XLOOKUP(C560,Lookups!$A$2:$A$66,Lookups!$C$2:$C$66)</f>
        <v>2.7683741741767003</v>
      </c>
      <c r="O560">
        <v>13166</v>
      </c>
      <c r="P560">
        <v>120</v>
      </c>
      <c r="Q560">
        <v>-41</v>
      </c>
      <c r="R560">
        <v>46</v>
      </c>
      <c r="S560">
        <v>161</v>
      </c>
      <c r="T560">
        <v>6139</v>
      </c>
      <c r="W560">
        <v>13056</v>
      </c>
      <c r="X560">
        <v>20</v>
      </c>
      <c r="AA560">
        <v>2.126730738</v>
      </c>
    </row>
    <row r="561" spans="1:27" x14ac:dyDescent="0.2">
      <c r="A561">
        <v>83</v>
      </c>
      <c r="B561">
        <v>9</v>
      </c>
      <c r="C561" t="s">
        <v>186</v>
      </c>
      <c r="D561">
        <v>2010</v>
      </c>
      <c r="E561">
        <v>25532</v>
      </c>
      <c r="F561">
        <v>25295</v>
      </c>
      <c r="G561">
        <v>237</v>
      </c>
      <c r="H561">
        <v>2.4300000000000002</v>
      </c>
      <c r="I561">
        <v>11932</v>
      </c>
      <c r="J561">
        <v>10397</v>
      </c>
      <c r="K561">
        <v>1535</v>
      </c>
      <c r="L561">
        <v>12.86</v>
      </c>
      <c r="M561">
        <v>2.1199296009999999</v>
      </c>
      <c r="N561">
        <f>E561/_xlfn.XLOOKUP(C561,Lookups!$A$2:$A$66,Lookups!$C$2:$C$66)</f>
        <v>12.541507024265645</v>
      </c>
    </row>
    <row r="562" spans="1:27" x14ac:dyDescent="0.2">
      <c r="A562">
        <v>83</v>
      </c>
      <c r="B562">
        <v>9</v>
      </c>
      <c r="C562" t="s">
        <v>186</v>
      </c>
      <c r="D562">
        <v>2011</v>
      </c>
      <c r="E562">
        <v>25519</v>
      </c>
      <c r="F562">
        <v>25277</v>
      </c>
      <c r="G562">
        <v>242</v>
      </c>
      <c r="H562">
        <v>2.4</v>
      </c>
      <c r="I562">
        <v>11943</v>
      </c>
      <c r="J562">
        <v>10548</v>
      </c>
      <c r="K562">
        <v>1395</v>
      </c>
      <c r="L562">
        <v>11.68</v>
      </c>
      <c r="M562">
        <v>2.1164698990000002</v>
      </c>
      <c r="N562">
        <f>E562/_xlfn.XLOOKUP(C562,Lookups!$A$2:$A$66,Lookups!$C$2:$C$66)</f>
        <v>12.535121328224777</v>
      </c>
    </row>
    <row r="563" spans="1:27" x14ac:dyDescent="0.2">
      <c r="A563">
        <v>83</v>
      </c>
      <c r="B563">
        <v>9</v>
      </c>
      <c r="C563" t="s">
        <v>186</v>
      </c>
      <c r="D563">
        <v>2012</v>
      </c>
      <c r="E563">
        <v>25501</v>
      </c>
      <c r="F563">
        <v>25254</v>
      </c>
      <c r="G563">
        <v>247</v>
      </c>
      <c r="H563">
        <v>2.39</v>
      </c>
      <c r="I563">
        <v>11951</v>
      </c>
      <c r="J563">
        <v>10553</v>
      </c>
      <c r="K563">
        <v>1398</v>
      </c>
      <c r="L563">
        <v>11.7</v>
      </c>
      <c r="M563">
        <v>2.1131286079999998</v>
      </c>
      <c r="N563">
        <f>E563/_xlfn.XLOOKUP(C563,Lookups!$A$2:$A$66,Lookups!$C$2:$C$66)</f>
        <v>12.526279595245112</v>
      </c>
    </row>
    <row r="564" spans="1:27" x14ac:dyDescent="0.2">
      <c r="A564">
        <v>83</v>
      </c>
      <c r="B564">
        <v>9</v>
      </c>
      <c r="C564" t="s">
        <v>186</v>
      </c>
      <c r="D564">
        <v>2013</v>
      </c>
      <c r="E564">
        <v>25485</v>
      </c>
      <c r="F564">
        <v>25233</v>
      </c>
      <c r="G564">
        <v>253</v>
      </c>
      <c r="H564">
        <v>2.39</v>
      </c>
      <c r="I564">
        <v>11960</v>
      </c>
      <c r="J564">
        <v>10559</v>
      </c>
      <c r="K564">
        <v>1401</v>
      </c>
      <c r="L564">
        <v>11.71</v>
      </c>
      <c r="M564">
        <v>2.1097826089999998</v>
      </c>
      <c r="N564">
        <f>E564/_xlfn.XLOOKUP(C564,Lookups!$A$2:$A$66,Lookups!$C$2:$C$66)</f>
        <v>12.518420277040967</v>
      </c>
    </row>
    <row r="565" spans="1:27" x14ac:dyDescent="0.2">
      <c r="A565">
        <v>83</v>
      </c>
      <c r="B565">
        <v>9</v>
      </c>
      <c r="C565" t="s">
        <v>186</v>
      </c>
      <c r="D565">
        <v>2014</v>
      </c>
      <c r="E565">
        <v>25464</v>
      </c>
      <c r="F565">
        <v>25206</v>
      </c>
      <c r="G565">
        <v>258</v>
      </c>
      <c r="H565">
        <v>2.39</v>
      </c>
      <c r="I565">
        <v>11966</v>
      </c>
      <c r="J565">
        <v>10564</v>
      </c>
      <c r="K565">
        <v>1402</v>
      </c>
      <c r="L565">
        <v>11.72</v>
      </c>
      <c r="M565">
        <v>2.106468327</v>
      </c>
      <c r="N565">
        <f>E565/_xlfn.XLOOKUP(C565,Lookups!$A$2:$A$66,Lookups!$C$2:$C$66)</f>
        <v>12.508104921898026</v>
      </c>
    </row>
    <row r="566" spans="1:27" x14ac:dyDescent="0.2">
      <c r="A566">
        <v>83</v>
      </c>
      <c r="B566">
        <v>9</v>
      </c>
      <c r="C566" t="s">
        <v>186</v>
      </c>
      <c r="D566">
        <v>2015</v>
      </c>
      <c r="E566">
        <v>25522</v>
      </c>
      <c r="F566">
        <v>25259</v>
      </c>
      <c r="G566">
        <v>263</v>
      </c>
      <c r="H566">
        <v>2.38</v>
      </c>
      <c r="I566">
        <v>12020</v>
      </c>
      <c r="J566">
        <v>10601</v>
      </c>
      <c r="K566">
        <v>1419</v>
      </c>
      <c r="L566">
        <v>11.81</v>
      </c>
      <c r="M566">
        <v>2.1014143089999999</v>
      </c>
      <c r="N566">
        <f>E566/_xlfn.XLOOKUP(C566,Lookups!$A$2:$A$66,Lookups!$C$2:$C$66)</f>
        <v>12.536594950388054</v>
      </c>
    </row>
    <row r="567" spans="1:27" x14ac:dyDescent="0.2">
      <c r="A567">
        <v>83</v>
      </c>
      <c r="B567">
        <v>9</v>
      </c>
      <c r="C567" t="s">
        <v>186</v>
      </c>
      <c r="D567">
        <v>2016</v>
      </c>
      <c r="E567">
        <v>25543</v>
      </c>
      <c r="F567">
        <v>25275</v>
      </c>
      <c r="G567">
        <v>268</v>
      </c>
      <c r="H567">
        <v>2.38</v>
      </c>
      <c r="I567">
        <v>12052</v>
      </c>
      <c r="J567">
        <v>10623</v>
      </c>
      <c r="K567">
        <v>1429</v>
      </c>
      <c r="L567">
        <v>11.86</v>
      </c>
      <c r="M567">
        <v>2.0971622970000001</v>
      </c>
      <c r="N567">
        <f>E567/_xlfn.XLOOKUP(C567,Lookups!$A$2:$A$66,Lookups!$C$2:$C$66)</f>
        <v>12.546910305530995</v>
      </c>
    </row>
    <row r="568" spans="1:27" x14ac:dyDescent="0.2">
      <c r="A568">
        <v>83</v>
      </c>
      <c r="B568">
        <v>9</v>
      </c>
      <c r="C568" t="s">
        <v>186</v>
      </c>
      <c r="D568">
        <v>2017</v>
      </c>
      <c r="E568">
        <v>25556</v>
      </c>
      <c r="F568">
        <v>25283</v>
      </c>
      <c r="G568">
        <v>273</v>
      </c>
      <c r="H568">
        <v>2.38</v>
      </c>
      <c r="I568">
        <v>12079</v>
      </c>
      <c r="J568">
        <v>10642</v>
      </c>
      <c r="K568">
        <v>1437</v>
      </c>
      <c r="L568">
        <v>11.9</v>
      </c>
      <c r="M568">
        <v>2.093136849</v>
      </c>
      <c r="N568">
        <f>E568/_xlfn.XLOOKUP(C568,Lookups!$A$2:$A$66,Lookups!$C$2:$C$66)</f>
        <v>12.553296001571864</v>
      </c>
    </row>
    <row r="569" spans="1:27" x14ac:dyDescent="0.2">
      <c r="A569">
        <v>83</v>
      </c>
      <c r="B569">
        <v>9</v>
      </c>
      <c r="C569" t="s">
        <v>186</v>
      </c>
      <c r="D569">
        <v>2018</v>
      </c>
      <c r="E569">
        <v>25612</v>
      </c>
      <c r="F569">
        <v>25333</v>
      </c>
      <c r="G569">
        <v>279</v>
      </c>
      <c r="H569">
        <v>2.37</v>
      </c>
      <c r="I569">
        <v>12132</v>
      </c>
      <c r="J569">
        <v>10678</v>
      </c>
      <c r="K569">
        <v>1454</v>
      </c>
      <c r="L569">
        <v>11.98</v>
      </c>
      <c r="M569">
        <v>2.0881140779999998</v>
      </c>
      <c r="N569">
        <f>E569/_xlfn.XLOOKUP(C569,Lookups!$A$2:$A$66,Lookups!$C$2:$C$66)</f>
        <v>12.580803615286374</v>
      </c>
    </row>
    <row r="570" spans="1:27" x14ac:dyDescent="0.2">
      <c r="A570">
        <v>83</v>
      </c>
      <c r="B570">
        <v>9</v>
      </c>
      <c r="C570" t="s">
        <v>186</v>
      </c>
      <c r="D570">
        <v>2019</v>
      </c>
      <c r="E570">
        <v>25731</v>
      </c>
      <c r="F570">
        <v>25447</v>
      </c>
      <c r="G570">
        <v>284</v>
      </c>
      <c r="H570">
        <v>2.37</v>
      </c>
      <c r="I570">
        <v>12224</v>
      </c>
      <c r="J570">
        <v>10742</v>
      </c>
      <c r="K570">
        <v>1482</v>
      </c>
      <c r="L570">
        <v>12.12</v>
      </c>
      <c r="M570">
        <v>2.0817244760000002</v>
      </c>
      <c r="N570">
        <f>E570/_xlfn.XLOOKUP(C570,Lookups!$A$2:$A$66,Lookups!$C$2:$C$66)</f>
        <v>12.639257294429708</v>
      </c>
    </row>
    <row r="571" spans="1:27" x14ac:dyDescent="0.2">
      <c r="A571">
        <v>83</v>
      </c>
      <c r="B571">
        <v>9</v>
      </c>
      <c r="C571" t="s">
        <v>186</v>
      </c>
      <c r="D571">
        <v>2020</v>
      </c>
      <c r="E571">
        <v>25888</v>
      </c>
      <c r="F571">
        <v>25628</v>
      </c>
      <c r="G571">
        <v>260</v>
      </c>
      <c r="I571">
        <v>12302</v>
      </c>
      <c r="M571">
        <v>2.083238498</v>
      </c>
      <c r="N571">
        <f>E571/_xlfn.XLOOKUP(C571,Lookups!$A$2:$A$66,Lookups!$C$2:$C$66)</f>
        <v>12.716376854307889</v>
      </c>
      <c r="O571">
        <v>25888</v>
      </c>
      <c r="P571">
        <v>248</v>
      </c>
      <c r="Q571">
        <v>-45</v>
      </c>
      <c r="R571">
        <v>202</v>
      </c>
      <c r="S571">
        <v>293</v>
      </c>
      <c r="T571">
        <v>12302</v>
      </c>
      <c r="W571">
        <v>25628</v>
      </c>
      <c r="X571">
        <v>27</v>
      </c>
      <c r="AA571">
        <v>2.083238498</v>
      </c>
    </row>
    <row r="572" spans="1:27" x14ac:dyDescent="0.2">
      <c r="A572">
        <v>83</v>
      </c>
      <c r="B572">
        <v>9</v>
      </c>
      <c r="C572" t="s">
        <v>186</v>
      </c>
      <c r="D572">
        <v>2021</v>
      </c>
      <c r="E572">
        <v>26248</v>
      </c>
      <c r="F572">
        <v>25994</v>
      </c>
      <c r="G572">
        <v>254</v>
      </c>
      <c r="I572">
        <v>12328</v>
      </c>
      <c r="M572">
        <v>2.1085334200000001</v>
      </c>
      <c r="N572">
        <f>E572/_xlfn.XLOOKUP(C572,Lookups!$A$2:$A$66,Lookups!$C$2:$C$66)</f>
        <v>12.89321151390117</v>
      </c>
      <c r="O572">
        <v>26248</v>
      </c>
      <c r="P572">
        <v>259</v>
      </c>
      <c r="Q572">
        <v>-77</v>
      </c>
      <c r="R572">
        <v>437</v>
      </c>
      <c r="S572">
        <v>336</v>
      </c>
      <c r="T572">
        <v>12328</v>
      </c>
      <c r="W572">
        <v>25994</v>
      </c>
      <c r="X572">
        <v>22</v>
      </c>
      <c r="AA572">
        <v>2.1085334200000001</v>
      </c>
    </row>
    <row r="573" spans="1:27" x14ac:dyDescent="0.2">
      <c r="A573">
        <v>83</v>
      </c>
      <c r="B573">
        <v>9</v>
      </c>
      <c r="C573" t="s">
        <v>186</v>
      </c>
      <c r="D573">
        <v>2022</v>
      </c>
      <c r="E573">
        <v>26464</v>
      </c>
      <c r="F573">
        <v>26213</v>
      </c>
      <c r="G573">
        <v>251</v>
      </c>
      <c r="I573">
        <v>12348</v>
      </c>
      <c r="M573">
        <v>2.1228539030000002</v>
      </c>
      <c r="N573">
        <f>E573/_xlfn.XLOOKUP(C573,Lookups!$A$2:$A$66,Lookups!$C$2:$C$66)</f>
        <v>12.999312309657137</v>
      </c>
      <c r="O573">
        <v>26464</v>
      </c>
      <c r="P573">
        <v>240</v>
      </c>
      <c r="Q573">
        <v>-147</v>
      </c>
      <c r="R573">
        <v>363</v>
      </c>
      <c r="S573">
        <v>387</v>
      </c>
      <c r="T573">
        <v>12348</v>
      </c>
      <c r="W573">
        <v>26213</v>
      </c>
      <c r="X573">
        <v>24</v>
      </c>
      <c r="AA573">
        <v>2.1228539030000002</v>
      </c>
    </row>
    <row r="574" spans="1:27" x14ac:dyDescent="0.2">
      <c r="A574">
        <v>85</v>
      </c>
      <c r="B574">
        <v>10</v>
      </c>
      <c r="C574" t="s">
        <v>187</v>
      </c>
      <c r="D574">
        <v>2010</v>
      </c>
      <c r="E574">
        <v>41188</v>
      </c>
      <c r="F574">
        <v>40646</v>
      </c>
      <c r="G574">
        <v>542</v>
      </c>
      <c r="H574">
        <v>2.63</v>
      </c>
      <c r="I574">
        <v>17198</v>
      </c>
      <c r="J574">
        <v>15455</v>
      </c>
      <c r="K574">
        <v>1743</v>
      </c>
      <c r="L574">
        <v>10.130000000000001</v>
      </c>
      <c r="M574">
        <v>2.3634143509999999</v>
      </c>
      <c r="N574">
        <f>E574/_xlfn.XLOOKUP(C574,Lookups!$A$2:$A$66,Lookups!$C$2:$C$66)</f>
        <v>18.334869103421877</v>
      </c>
    </row>
    <row r="575" spans="1:27" x14ac:dyDescent="0.2">
      <c r="A575">
        <v>85</v>
      </c>
      <c r="B575">
        <v>10</v>
      </c>
      <c r="C575" t="s">
        <v>187</v>
      </c>
      <c r="D575">
        <v>2011</v>
      </c>
      <c r="E575">
        <v>41260</v>
      </c>
      <c r="F575">
        <v>40707</v>
      </c>
      <c r="G575">
        <v>554</v>
      </c>
      <c r="H575">
        <v>2.46</v>
      </c>
      <c r="I575">
        <v>17315</v>
      </c>
      <c r="J575">
        <v>16521</v>
      </c>
      <c r="K575">
        <v>794</v>
      </c>
      <c r="L575">
        <v>4.59</v>
      </c>
      <c r="M575">
        <v>2.3509673690000001</v>
      </c>
      <c r="N575">
        <f>E575/_xlfn.XLOOKUP(C575,Lookups!$A$2:$A$66,Lookups!$C$2:$C$66)</f>
        <v>18.366919957443589</v>
      </c>
    </row>
    <row r="576" spans="1:27" x14ac:dyDescent="0.2">
      <c r="A576">
        <v>85</v>
      </c>
      <c r="B576">
        <v>10</v>
      </c>
      <c r="C576" t="s">
        <v>187</v>
      </c>
      <c r="D576">
        <v>2012</v>
      </c>
      <c r="E576">
        <v>41303</v>
      </c>
      <c r="F576">
        <v>40737</v>
      </c>
      <c r="G576">
        <v>566</v>
      </c>
      <c r="H576">
        <v>2.46</v>
      </c>
      <c r="I576">
        <v>17412</v>
      </c>
      <c r="J576">
        <v>16578</v>
      </c>
      <c r="K576">
        <v>834</v>
      </c>
      <c r="L576">
        <v>4.79</v>
      </c>
      <c r="M576">
        <v>2.3395933840000001</v>
      </c>
      <c r="N576">
        <f>E576/_xlfn.XLOOKUP(C576,Lookups!$A$2:$A$66,Lookups!$C$2:$C$66)</f>
        <v>18.386061439706559</v>
      </c>
    </row>
    <row r="577" spans="1:27" x14ac:dyDescent="0.2">
      <c r="A577">
        <v>85</v>
      </c>
      <c r="B577">
        <v>10</v>
      </c>
      <c r="C577" t="s">
        <v>187</v>
      </c>
      <c r="D577">
        <v>2013</v>
      </c>
      <c r="E577">
        <v>41331</v>
      </c>
      <c r="F577">
        <v>40754</v>
      </c>
      <c r="G577">
        <v>577</v>
      </c>
      <c r="H577">
        <v>2.4500000000000002</v>
      </c>
      <c r="I577">
        <v>17500</v>
      </c>
      <c r="J577">
        <v>16631</v>
      </c>
      <c r="K577">
        <v>869</v>
      </c>
      <c r="L577">
        <v>4.97</v>
      </c>
      <c r="M577">
        <v>2.3288000000000002</v>
      </c>
      <c r="N577">
        <f>E577/_xlfn.XLOOKUP(C577,Lookups!$A$2:$A$66,Lookups!$C$2:$C$66)</f>
        <v>18.398525660715002</v>
      </c>
    </row>
    <row r="578" spans="1:27" x14ac:dyDescent="0.2">
      <c r="A578">
        <v>85</v>
      </c>
      <c r="B578">
        <v>10</v>
      </c>
      <c r="C578" t="s">
        <v>187</v>
      </c>
      <c r="D578">
        <v>2014</v>
      </c>
      <c r="E578">
        <v>41388</v>
      </c>
      <c r="F578">
        <v>40799</v>
      </c>
      <c r="G578">
        <v>589</v>
      </c>
      <c r="H578">
        <v>2.44</v>
      </c>
      <c r="I578">
        <v>17608</v>
      </c>
      <c r="J578">
        <v>16695</v>
      </c>
      <c r="K578">
        <v>913</v>
      </c>
      <c r="L578">
        <v>5.19</v>
      </c>
      <c r="M578">
        <v>2.3170717860000001</v>
      </c>
      <c r="N578">
        <f>E578/_xlfn.XLOOKUP(C578,Lookups!$A$2:$A$66,Lookups!$C$2:$C$66)</f>
        <v>18.423899253482194</v>
      </c>
    </row>
    <row r="579" spans="1:27" x14ac:dyDescent="0.2">
      <c r="A579">
        <v>85</v>
      </c>
      <c r="B579">
        <v>10</v>
      </c>
      <c r="C579" t="s">
        <v>187</v>
      </c>
      <c r="D579">
        <v>2015</v>
      </c>
      <c r="E579">
        <v>41457</v>
      </c>
      <c r="F579">
        <v>40856</v>
      </c>
      <c r="G579">
        <v>601</v>
      </c>
      <c r="H579">
        <v>2.44</v>
      </c>
      <c r="I579">
        <v>17725</v>
      </c>
      <c r="J579">
        <v>16765</v>
      </c>
      <c r="K579">
        <v>960</v>
      </c>
      <c r="L579">
        <v>5.42</v>
      </c>
      <c r="M579">
        <v>2.3049929480000002</v>
      </c>
      <c r="N579">
        <f>E579/_xlfn.XLOOKUP(C579,Lookups!$A$2:$A$66,Lookups!$C$2:$C$66)</f>
        <v>18.454614655253003</v>
      </c>
    </row>
    <row r="580" spans="1:27" x14ac:dyDescent="0.2">
      <c r="A580">
        <v>85</v>
      </c>
      <c r="B580">
        <v>10</v>
      </c>
      <c r="C580" t="s">
        <v>187</v>
      </c>
      <c r="D580">
        <v>2016</v>
      </c>
      <c r="E580">
        <v>41594</v>
      </c>
      <c r="F580">
        <v>40982</v>
      </c>
      <c r="G580">
        <v>613</v>
      </c>
      <c r="H580">
        <v>2.4300000000000002</v>
      </c>
      <c r="I580">
        <v>17890</v>
      </c>
      <c r="J580">
        <v>16863</v>
      </c>
      <c r="K580">
        <v>1027</v>
      </c>
      <c r="L580">
        <v>5.74</v>
      </c>
      <c r="M580">
        <v>2.29077697</v>
      </c>
      <c r="N580">
        <f>E580/_xlfn.XLOOKUP(C580,Lookups!$A$2:$A$66,Lookups!$C$2:$C$66)</f>
        <v>18.51560030804432</v>
      </c>
    </row>
    <row r="581" spans="1:27" x14ac:dyDescent="0.2">
      <c r="A581">
        <v>85</v>
      </c>
      <c r="B581">
        <v>10</v>
      </c>
      <c r="C581" t="s">
        <v>187</v>
      </c>
      <c r="D581">
        <v>2017</v>
      </c>
      <c r="E581">
        <v>41768</v>
      </c>
      <c r="F581">
        <v>41143</v>
      </c>
      <c r="G581">
        <v>625</v>
      </c>
      <c r="H581">
        <v>2.42</v>
      </c>
      <c r="I581">
        <v>18081</v>
      </c>
      <c r="J581">
        <v>16976</v>
      </c>
      <c r="K581">
        <v>1105</v>
      </c>
      <c r="L581">
        <v>6.11</v>
      </c>
      <c r="M581">
        <v>2.2754825510000001</v>
      </c>
      <c r="N581">
        <f>E581/_xlfn.XLOOKUP(C581,Lookups!$A$2:$A$66,Lookups!$C$2:$C$66)</f>
        <v>18.593056538596798</v>
      </c>
    </row>
    <row r="582" spans="1:27" x14ac:dyDescent="0.2">
      <c r="A582">
        <v>85</v>
      </c>
      <c r="B582">
        <v>10</v>
      </c>
      <c r="C582" t="s">
        <v>187</v>
      </c>
      <c r="D582">
        <v>2018</v>
      </c>
      <c r="E582">
        <v>42084</v>
      </c>
      <c r="F582">
        <v>41447</v>
      </c>
      <c r="G582">
        <v>636</v>
      </c>
      <c r="H582">
        <v>2.42</v>
      </c>
      <c r="I582">
        <v>18372</v>
      </c>
      <c r="J582">
        <v>17149</v>
      </c>
      <c r="K582">
        <v>1223</v>
      </c>
      <c r="L582">
        <v>6.65</v>
      </c>
      <c r="M582">
        <v>2.2559873719999999</v>
      </c>
      <c r="N582">
        <f>E582/_xlfn.XLOOKUP(C582,Lookups!$A$2:$A$66,Lookups!$C$2:$C$66)</f>
        <v>18.7337241756921</v>
      </c>
    </row>
    <row r="583" spans="1:27" x14ac:dyDescent="0.2">
      <c r="A583">
        <v>85</v>
      </c>
      <c r="B583">
        <v>10</v>
      </c>
      <c r="C583" t="s">
        <v>187</v>
      </c>
      <c r="D583">
        <v>2019</v>
      </c>
      <c r="E583">
        <v>42501</v>
      </c>
      <c r="F583">
        <v>41852</v>
      </c>
      <c r="G583">
        <v>648</v>
      </c>
      <c r="H583">
        <v>2.41</v>
      </c>
      <c r="I583">
        <v>18735</v>
      </c>
      <c r="J583">
        <v>17365</v>
      </c>
      <c r="K583">
        <v>1370</v>
      </c>
      <c r="L583">
        <v>7.31</v>
      </c>
      <c r="M583">
        <v>2.233893782</v>
      </c>
      <c r="N583">
        <f>E583/_xlfn.XLOOKUP(C583,Lookups!$A$2:$A$66,Lookups!$C$2:$C$66)</f>
        <v>18.919352038567862</v>
      </c>
    </row>
    <row r="584" spans="1:27" x14ac:dyDescent="0.2">
      <c r="A584">
        <v>85</v>
      </c>
      <c r="B584">
        <v>10</v>
      </c>
      <c r="C584" t="s">
        <v>187</v>
      </c>
      <c r="D584">
        <v>2020</v>
      </c>
      <c r="E584">
        <v>42810</v>
      </c>
      <c r="F584">
        <v>42126</v>
      </c>
      <c r="G584">
        <v>684</v>
      </c>
      <c r="I584">
        <v>19029</v>
      </c>
      <c r="M584">
        <v>2.2137789689999998</v>
      </c>
      <c r="N584">
        <f>E584/_xlfn.XLOOKUP(C584,Lookups!$A$2:$A$66,Lookups!$C$2:$C$66)</f>
        <v>19.056903620411052</v>
      </c>
      <c r="O584">
        <v>42810</v>
      </c>
      <c r="P584">
        <v>406</v>
      </c>
      <c r="Q584">
        <v>-64</v>
      </c>
      <c r="R584">
        <v>373</v>
      </c>
      <c r="S584">
        <v>470</v>
      </c>
      <c r="T584">
        <v>19029</v>
      </c>
      <c r="W584">
        <v>42126</v>
      </c>
      <c r="X584">
        <v>263</v>
      </c>
      <c r="AA584">
        <v>2.2137789689999998</v>
      </c>
    </row>
    <row r="585" spans="1:27" x14ac:dyDescent="0.2">
      <c r="A585">
        <v>85</v>
      </c>
      <c r="B585">
        <v>10</v>
      </c>
      <c r="C585" t="s">
        <v>187</v>
      </c>
      <c r="D585">
        <v>2021</v>
      </c>
      <c r="E585">
        <v>43234</v>
      </c>
      <c r="F585">
        <v>42540</v>
      </c>
      <c r="G585">
        <v>694</v>
      </c>
      <c r="I585">
        <v>19330</v>
      </c>
      <c r="M585">
        <v>2.2007242630000001</v>
      </c>
      <c r="N585">
        <f>E585/_xlfn.XLOOKUP(C585,Lookups!$A$2:$A$66,Lookups!$C$2:$C$66)</f>
        <v>19.245647538538929</v>
      </c>
      <c r="O585">
        <v>43234</v>
      </c>
      <c r="P585">
        <v>381</v>
      </c>
      <c r="Q585">
        <v>-146</v>
      </c>
      <c r="R585">
        <v>570</v>
      </c>
      <c r="S585">
        <v>527</v>
      </c>
      <c r="T585">
        <v>19330</v>
      </c>
      <c r="W585">
        <v>42540</v>
      </c>
      <c r="X585">
        <v>451</v>
      </c>
      <c r="AA585">
        <v>2.2007242630000001</v>
      </c>
    </row>
    <row r="586" spans="1:27" x14ac:dyDescent="0.2">
      <c r="A586">
        <v>85</v>
      </c>
      <c r="B586">
        <v>10</v>
      </c>
      <c r="C586" t="s">
        <v>187</v>
      </c>
      <c r="D586">
        <v>2022</v>
      </c>
      <c r="E586">
        <v>43799</v>
      </c>
      <c r="F586">
        <v>43111</v>
      </c>
      <c r="G586">
        <v>688</v>
      </c>
      <c r="I586">
        <v>19734</v>
      </c>
      <c r="M586">
        <v>2.1846052500000002</v>
      </c>
      <c r="N586">
        <f>E586/_xlfn.XLOOKUP(C586,Lookups!$A$2:$A$66,Lookups!$C$2:$C$66)</f>
        <v>19.497157712459327</v>
      </c>
      <c r="O586">
        <v>43799</v>
      </c>
      <c r="P586">
        <v>402</v>
      </c>
      <c r="Q586">
        <v>-207</v>
      </c>
      <c r="R586">
        <v>772</v>
      </c>
      <c r="S586">
        <v>609</v>
      </c>
      <c r="T586">
        <v>19734</v>
      </c>
      <c r="W586">
        <v>43111</v>
      </c>
      <c r="X586">
        <v>405</v>
      </c>
      <c r="AA586">
        <v>2.1846052500000002</v>
      </c>
    </row>
    <row r="587" spans="1:27" x14ac:dyDescent="0.2">
      <c r="A587">
        <v>87</v>
      </c>
      <c r="B587">
        <v>1</v>
      </c>
      <c r="C587" t="s">
        <v>188</v>
      </c>
      <c r="D587">
        <v>2010</v>
      </c>
      <c r="E587">
        <v>28196</v>
      </c>
      <c r="F587">
        <v>27632</v>
      </c>
      <c r="G587">
        <v>564</v>
      </c>
      <c r="H587">
        <v>2.81</v>
      </c>
      <c r="I587">
        <v>10960</v>
      </c>
      <c r="J587">
        <v>9841</v>
      </c>
      <c r="K587">
        <v>1119</v>
      </c>
      <c r="L587">
        <v>10.210000000000001</v>
      </c>
      <c r="M587">
        <v>2.5211678829999999</v>
      </c>
      <c r="N587">
        <f>E587/_xlfn.XLOOKUP(C587,Lookups!$A$2:$A$66,Lookups!$C$2:$C$66)</f>
        <v>21.792662096256851</v>
      </c>
    </row>
    <row r="588" spans="1:27" x14ac:dyDescent="0.2">
      <c r="A588">
        <v>87</v>
      </c>
      <c r="B588">
        <v>1</v>
      </c>
      <c r="C588" t="s">
        <v>188</v>
      </c>
      <c r="D588">
        <v>2011</v>
      </c>
      <c r="E588">
        <v>28430</v>
      </c>
      <c r="F588">
        <v>27876</v>
      </c>
      <c r="G588">
        <v>554</v>
      </c>
      <c r="H588">
        <v>2.7</v>
      </c>
      <c r="I588">
        <v>10972</v>
      </c>
      <c r="J588">
        <v>10311</v>
      </c>
      <c r="K588">
        <v>661</v>
      </c>
      <c r="L588">
        <v>6.02</v>
      </c>
      <c r="M588">
        <v>2.5406489250000002</v>
      </c>
      <c r="N588">
        <f>E588/_xlfn.XLOOKUP(C588,Lookups!$A$2:$A$66,Lookups!$C$2:$C$66)</f>
        <v>21.973520477960783</v>
      </c>
    </row>
    <row r="589" spans="1:27" x14ac:dyDescent="0.2">
      <c r="A589">
        <v>87</v>
      </c>
      <c r="B589">
        <v>1</v>
      </c>
      <c r="C589" t="s">
        <v>188</v>
      </c>
      <c r="D589">
        <v>2012</v>
      </c>
      <c r="E589">
        <v>28247</v>
      </c>
      <c r="F589">
        <v>27703</v>
      </c>
      <c r="G589">
        <v>544</v>
      </c>
      <c r="H589">
        <v>2.68</v>
      </c>
      <c r="I589">
        <v>10997</v>
      </c>
      <c r="J589">
        <v>10321</v>
      </c>
      <c r="K589">
        <v>676</v>
      </c>
      <c r="L589">
        <v>6.15</v>
      </c>
      <c r="M589">
        <v>2.5191415840000002</v>
      </c>
      <c r="N589">
        <f>E589/_xlfn.XLOOKUP(C589,Lookups!$A$2:$A$66,Lookups!$C$2:$C$66)</f>
        <v>21.832079948679503</v>
      </c>
    </row>
    <row r="590" spans="1:27" x14ac:dyDescent="0.2">
      <c r="A590">
        <v>87</v>
      </c>
      <c r="B590">
        <v>1</v>
      </c>
      <c r="C590" t="s">
        <v>188</v>
      </c>
      <c r="D590">
        <v>2013</v>
      </c>
      <c r="E590">
        <v>28249</v>
      </c>
      <c r="F590">
        <v>27715</v>
      </c>
      <c r="G590">
        <v>534</v>
      </c>
      <c r="H590">
        <v>2.68</v>
      </c>
      <c r="I590">
        <v>11033</v>
      </c>
      <c r="J590">
        <v>10334</v>
      </c>
      <c r="K590">
        <v>699</v>
      </c>
      <c r="L590">
        <v>6.34</v>
      </c>
      <c r="M590">
        <v>2.5120094260000001</v>
      </c>
      <c r="N590">
        <f>E590/_xlfn.XLOOKUP(C590,Lookups!$A$2:$A$66,Lookups!$C$2:$C$66)</f>
        <v>21.833625746813723</v>
      </c>
    </row>
    <row r="591" spans="1:27" x14ac:dyDescent="0.2">
      <c r="A591">
        <v>87</v>
      </c>
      <c r="B591">
        <v>1</v>
      </c>
      <c r="C591" t="s">
        <v>188</v>
      </c>
      <c r="D591">
        <v>2014</v>
      </c>
      <c r="E591">
        <v>28162</v>
      </c>
      <c r="F591">
        <v>27638</v>
      </c>
      <c r="G591">
        <v>524</v>
      </c>
      <c r="H591">
        <v>2.67</v>
      </c>
      <c r="I591">
        <v>11069</v>
      </c>
      <c r="J591">
        <v>10347</v>
      </c>
      <c r="K591">
        <v>722</v>
      </c>
      <c r="L591">
        <v>6.52</v>
      </c>
      <c r="M591">
        <v>2.4968831869999999</v>
      </c>
      <c r="N591">
        <f>E591/_xlfn.XLOOKUP(C591,Lookups!$A$2:$A$66,Lookups!$C$2:$C$66)</f>
        <v>21.766383527975083</v>
      </c>
    </row>
    <row r="592" spans="1:27" x14ac:dyDescent="0.2">
      <c r="A592">
        <v>87</v>
      </c>
      <c r="B592">
        <v>1</v>
      </c>
      <c r="C592" t="s">
        <v>188</v>
      </c>
      <c r="D592">
        <v>2015</v>
      </c>
      <c r="E592">
        <v>28335</v>
      </c>
      <c r="F592">
        <v>27821</v>
      </c>
      <c r="G592">
        <v>514</v>
      </c>
      <c r="H592">
        <v>2.68</v>
      </c>
      <c r="I592">
        <v>11118</v>
      </c>
      <c r="J592">
        <v>10365</v>
      </c>
      <c r="K592">
        <v>753</v>
      </c>
      <c r="L592">
        <v>6.77</v>
      </c>
      <c r="M592">
        <v>2.5023385500000002</v>
      </c>
      <c r="N592">
        <f>E592/_xlfn.XLOOKUP(C592,Lookups!$A$2:$A$66,Lookups!$C$2:$C$66)</f>
        <v>21.900095066585255</v>
      </c>
    </row>
    <row r="593" spans="1:27" x14ac:dyDescent="0.2">
      <c r="A593">
        <v>87</v>
      </c>
      <c r="B593">
        <v>1</v>
      </c>
      <c r="C593" t="s">
        <v>188</v>
      </c>
      <c r="D593">
        <v>2016</v>
      </c>
      <c r="E593">
        <v>28294</v>
      </c>
      <c r="F593">
        <v>27790</v>
      </c>
      <c r="G593">
        <v>504</v>
      </c>
      <c r="H593">
        <v>2.68</v>
      </c>
      <c r="I593">
        <v>11135</v>
      </c>
      <c r="J593">
        <v>10371</v>
      </c>
      <c r="K593">
        <v>764</v>
      </c>
      <c r="L593">
        <v>6.86</v>
      </c>
      <c r="M593">
        <v>2.4957341720000001</v>
      </c>
      <c r="N593">
        <f>E593/_xlfn.XLOOKUP(C593,Lookups!$A$2:$A$66,Lookups!$C$2:$C$66)</f>
        <v>21.868406204833711</v>
      </c>
    </row>
    <row r="594" spans="1:27" x14ac:dyDescent="0.2">
      <c r="A594">
        <v>87</v>
      </c>
      <c r="B594">
        <v>1</v>
      </c>
      <c r="C594" t="s">
        <v>188</v>
      </c>
      <c r="D594">
        <v>2017</v>
      </c>
      <c r="E594">
        <v>28425</v>
      </c>
      <c r="F594">
        <v>27931</v>
      </c>
      <c r="G594">
        <v>494</v>
      </c>
      <c r="H594">
        <v>2.69</v>
      </c>
      <c r="I594">
        <v>11164</v>
      </c>
      <c r="J594">
        <v>10382</v>
      </c>
      <c r="K594">
        <v>782</v>
      </c>
      <c r="L594">
        <v>7.01</v>
      </c>
      <c r="M594">
        <v>2.5018810459999998</v>
      </c>
      <c r="N594">
        <f>E594/_xlfn.XLOOKUP(C594,Lookups!$A$2:$A$66,Lookups!$C$2:$C$66)</f>
        <v>21.96965598262523</v>
      </c>
    </row>
    <row r="595" spans="1:27" x14ac:dyDescent="0.2">
      <c r="A595">
        <v>87</v>
      </c>
      <c r="B595">
        <v>1</v>
      </c>
      <c r="C595" t="s">
        <v>188</v>
      </c>
      <c r="D595">
        <v>2018</v>
      </c>
      <c r="E595">
        <v>28933</v>
      </c>
      <c r="F595">
        <v>28449</v>
      </c>
      <c r="G595">
        <v>484</v>
      </c>
      <c r="H595">
        <v>2.73</v>
      </c>
      <c r="I595">
        <v>11251</v>
      </c>
      <c r="J595">
        <v>10414</v>
      </c>
      <c r="K595">
        <v>837</v>
      </c>
      <c r="L595">
        <v>7.44</v>
      </c>
      <c r="M595">
        <v>2.5285752380000002</v>
      </c>
      <c r="N595">
        <f>E595/_xlfn.XLOOKUP(C595,Lookups!$A$2:$A$66,Lookups!$C$2:$C$66)</f>
        <v>22.362288708717529</v>
      </c>
    </row>
    <row r="596" spans="1:27" x14ac:dyDescent="0.2">
      <c r="A596">
        <v>87</v>
      </c>
      <c r="B596">
        <v>1</v>
      </c>
      <c r="C596" t="s">
        <v>188</v>
      </c>
      <c r="D596">
        <v>2019</v>
      </c>
      <c r="E596">
        <v>29130</v>
      </c>
      <c r="F596">
        <v>28656</v>
      </c>
      <c r="G596">
        <v>474</v>
      </c>
      <c r="H596">
        <v>2.74</v>
      </c>
      <c r="I596">
        <v>11393</v>
      </c>
      <c r="J596">
        <v>10466</v>
      </c>
      <c r="K596">
        <v>927</v>
      </c>
      <c r="L596">
        <v>8.14</v>
      </c>
      <c r="M596">
        <v>2.515228649</v>
      </c>
      <c r="N596">
        <f>E596/_xlfn.XLOOKUP(C596,Lookups!$A$2:$A$66,Lookups!$C$2:$C$66)</f>
        <v>22.514549824938364</v>
      </c>
    </row>
    <row r="597" spans="1:27" x14ac:dyDescent="0.2">
      <c r="A597">
        <v>87</v>
      </c>
      <c r="B597">
        <v>1</v>
      </c>
      <c r="C597" t="s">
        <v>188</v>
      </c>
      <c r="D597">
        <v>2020</v>
      </c>
      <c r="E597">
        <v>29078</v>
      </c>
      <c r="F597">
        <v>28610</v>
      </c>
      <c r="G597">
        <v>468</v>
      </c>
      <c r="I597">
        <v>11514</v>
      </c>
      <c r="M597">
        <v>2.484801112</v>
      </c>
      <c r="N597">
        <f>E597/_xlfn.XLOOKUP(C597,Lookups!$A$2:$A$66,Lookups!$C$2:$C$66)</f>
        <v>22.4743590734486</v>
      </c>
      <c r="O597">
        <v>29078</v>
      </c>
      <c r="P597">
        <v>430</v>
      </c>
      <c r="Q597">
        <v>107</v>
      </c>
      <c r="R597">
        <v>-159</v>
      </c>
      <c r="S597">
        <v>323</v>
      </c>
      <c r="T597">
        <v>11514</v>
      </c>
      <c r="W597">
        <v>28610</v>
      </c>
      <c r="X597">
        <v>147</v>
      </c>
      <c r="AA597">
        <v>2.484801112</v>
      </c>
    </row>
    <row r="598" spans="1:27" x14ac:dyDescent="0.2">
      <c r="A598">
        <v>87</v>
      </c>
      <c r="B598">
        <v>1</v>
      </c>
      <c r="C598" t="s">
        <v>188</v>
      </c>
      <c r="D598">
        <v>2021</v>
      </c>
      <c r="E598">
        <v>29011</v>
      </c>
      <c r="F598">
        <v>28594</v>
      </c>
      <c r="G598">
        <v>417</v>
      </c>
      <c r="I598">
        <v>11639</v>
      </c>
      <c r="M598">
        <v>2.4567402700000001</v>
      </c>
      <c r="N598">
        <f>E598/_xlfn.XLOOKUP(C598,Lookups!$A$2:$A$66,Lookups!$C$2:$C$66)</f>
        <v>22.422574835952176</v>
      </c>
      <c r="O598">
        <v>29011</v>
      </c>
      <c r="P598">
        <v>377</v>
      </c>
      <c r="Q598">
        <v>72</v>
      </c>
      <c r="R598">
        <v>-139</v>
      </c>
      <c r="S598">
        <v>305</v>
      </c>
      <c r="T598">
        <v>11639</v>
      </c>
      <c r="W598">
        <v>28594</v>
      </c>
      <c r="X598">
        <v>195</v>
      </c>
      <c r="AA598">
        <v>2.4567402700000001</v>
      </c>
    </row>
    <row r="599" spans="1:27" x14ac:dyDescent="0.2">
      <c r="A599">
        <v>87</v>
      </c>
      <c r="B599">
        <v>1</v>
      </c>
      <c r="C599" t="s">
        <v>188</v>
      </c>
      <c r="D599">
        <v>2022</v>
      </c>
      <c r="E599">
        <v>29296</v>
      </c>
      <c r="F599">
        <v>28880</v>
      </c>
      <c r="G599">
        <v>416</v>
      </c>
      <c r="I599">
        <v>11857</v>
      </c>
      <c r="M599">
        <v>2.4356919960000001</v>
      </c>
      <c r="N599">
        <f>E599/_xlfn.XLOOKUP(C599,Lookups!$A$2:$A$66,Lookups!$C$2:$C$66)</f>
        <v>22.642851070078759</v>
      </c>
      <c r="O599">
        <v>29296</v>
      </c>
      <c r="P599">
        <v>419</v>
      </c>
      <c r="Q599">
        <v>98</v>
      </c>
      <c r="R599">
        <v>187</v>
      </c>
      <c r="S599">
        <v>321</v>
      </c>
      <c r="T599">
        <v>11857</v>
      </c>
      <c r="W599">
        <v>28880</v>
      </c>
      <c r="X599">
        <v>181</v>
      </c>
      <c r="AA599">
        <v>2.4356919960000001</v>
      </c>
    </row>
    <row r="600" spans="1:27" x14ac:dyDescent="0.2">
      <c r="A600">
        <v>89</v>
      </c>
      <c r="B600">
        <v>6</v>
      </c>
      <c r="C600" t="s">
        <v>189</v>
      </c>
      <c r="D600">
        <v>2010</v>
      </c>
      <c r="E600">
        <v>18838</v>
      </c>
      <c r="F600">
        <v>18405</v>
      </c>
      <c r="G600">
        <v>433</v>
      </c>
      <c r="H600">
        <v>2.46</v>
      </c>
      <c r="I600">
        <v>8689</v>
      </c>
      <c r="J600">
        <v>7490</v>
      </c>
      <c r="K600">
        <v>1199</v>
      </c>
      <c r="L600">
        <v>13.8</v>
      </c>
      <c r="M600">
        <v>2.1181954190000001</v>
      </c>
      <c r="N600">
        <f>E600/_xlfn.XLOOKUP(C600,Lookups!$A$2:$A$66,Lookups!$C$2:$C$66)</f>
        <v>14.860451540633923</v>
      </c>
    </row>
    <row r="601" spans="1:27" x14ac:dyDescent="0.2">
      <c r="A601">
        <v>89</v>
      </c>
      <c r="B601">
        <v>6</v>
      </c>
      <c r="C601" t="s">
        <v>189</v>
      </c>
      <c r="D601">
        <v>2011</v>
      </c>
      <c r="E601">
        <v>18831</v>
      </c>
      <c r="F601">
        <v>18400</v>
      </c>
      <c r="G601">
        <v>432</v>
      </c>
      <c r="H601">
        <v>2.38</v>
      </c>
      <c r="I601">
        <v>8690</v>
      </c>
      <c r="J601">
        <v>7729</v>
      </c>
      <c r="K601">
        <v>961</v>
      </c>
      <c r="L601">
        <v>11.06</v>
      </c>
      <c r="M601">
        <v>2.1173762950000001</v>
      </c>
      <c r="N601">
        <f>E601/_xlfn.XLOOKUP(C601,Lookups!$A$2:$A$66,Lookups!$C$2:$C$66)</f>
        <v>14.854929555243519</v>
      </c>
    </row>
    <row r="602" spans="1:27" x14ac:dyDescent="0.2">
      <c r="A602">
        <v>89</v>
      </c>
      <c r="B602">
        <v>6</v>
      </c>
      <c r="C602" t="s">
        <v>189</v>
      </c>
      <c r="D602">
        <v>2012</v>
      </c>
      <c r="E602">
        <v>18815</v>
      </c>
      <c r="F602">
        <v>18385</v>
      </c>
      <c r="G602">
        <v>430</v>
      </c>
      <c r="H602">
        <v>2.38</v>
      </c>
      <c r="I602">
        <v>8693</v>
      </c>
      <c r="J602">
        <v>7723</v>
      </c>
      <c r="K602">
        <v>970</v>
      </c>
      <c r="L602">
        <v>11.15</v>
      </c>
      <c r="M602">
        <v>2.1149200509999999</v>
      </c>
      <c r="N602">
        <f>E602/_xlfn.XLOOKUP(C602,Lookups!$A$2:$A$66,Lookups!$C$2:$C$66)</f>
        <v>14.842307874351166</v>
      </c>
    </row>
    <row r="603" spans="1:27" x14ac:dyDescent="0.2">
      <c r="A603">
        <v>89</v>
      </c>
      <c r="B603">
        <v>6</v>
      </c>
      <c r="C603" t="s">
        <v>189</v>
      </c>
      <c r="D603">
        <v>2013</v>
      </c>
      <c r="E603">
        <v>18799</v>
      </c>
      <c r="F603">
        <v>18371</v>
      </c>
      <c r="G603">
        <v>428</v>
      </c>
      <c r="H603">
        <v>2.38</v>
      </c>
      <c r="I603">
        <v>8696</v>
      </c>
      <c r="J603">
        <v>7718</v>
      </c>
      <c r="K603">
        <v>978</v>
      </c>
      <c r="L603">
        <v>11.25</v>
      </c>
      <c r="M603">
        <v>2.1125804970000002</v>
      </c>
      <c r="N603">
        <f>E603/_xlfn.XLOOKUP(C603,Lookups!$A$2:$A$66,Lookups!$C$2:$C$66)</f>
        <v>14.829686193458812</v>
      </c>
    </row>
    <row r="604" spans="1:27" x14ac:dyDescent="0.2">
      <c r="A604">
        <v>89</v>
      </c>
      <c r="B604">
        <v>6</v>
      </c>
      <c r="C604" t="s">
        <v>189</v>
      </c>
      <c r="D604">
        <v>2014</v>
      </c>
      <c r="E604">
        <v>18779</v>
      </c>
      <c r="F604">
        <v>18352</v>
      </c>
      <c r="G604">
        <v>427</v>
      </c>
      <c r="H604">
        <v>2.38</v>
      </c>
      <c r="I604">
        <v>8700</v>
      </c>
      <c r="J604">
        <v>7710</v>
      </c>
      <c r="K604">
        <v>990</v>
      </c>
      <c r="L604">
        <v>11.38</v>
      </c>
      <c r="M604">
        <v>2.1094252870000001</v>
      </c>
      <c r="N604">
        <f>E604/_xlfn.XLOOKUP(C604,Lookups!$A$2:$A$66,Lookups!$C$2:$C$66)</f>
        <v>14.813909092343373</v>
      </c>
    </row>
    <row r="605" spans="1:27" x14ac:dyDescent="0.2">
      <c r="A605">
        <v>89</v>
      </c>
      <c r="B605">
        <v>6</v>
      </c>
      <c r="C605" t="s">
        <v>189</v>
      </c>
      <c r="D605">
        <v>2015</v>
      </c>
      <c r="E605">
        <v>18817</v>
      </c>
      <c r="F605">
        <v>18392</v>
      </c>
      <c r="G605">
        <v>426</v>
      </c>
      <c r="H605">
        <v>2.38</v>
      </c>
      <c r="I605">
        <v>8691</v>
      </c>
      <c r="J605">
        <v>7727</v>
      </c>
      <c r="K605">
        <v>964</v>
      </c>
      <c r="L605">
        <v>11.09</v>
      </c>
      <c r="M605">
        <v>2.1162121740000002</v>
      </c>
      <c r="N605">
        <f>E605/_xlfn.XLOOKUP(C605,Lookups!$A$2:$A$66,Lookups!$C$2:$C$66)</f>
        <v>14.84388558446271</v>
      </c>
    </row>
    <row r="606" spans="1:27" x14ac:dyDescent="0.2">
      <c r="A606">
        <v>89</v>
      </c>
      <c r="B606">
        <v>6</v>
      </c>
      <c r="C606" t="s">
        <v>189</v>
      </c>
      <c r="D606">
        <v>2016</v>
      </c>
      <c r="E606">
        <v>18797</v>
      </c>
      <c r="F606">
        <v>18373</v>
      </c>
      <c r="G606">
        <v>424</v>
      </c>
      <c r="H606">
        <v>2.38</v>
      </c>
      <c r="I606">
        <v>8695</v>
      </c>
      <c r="J606">
        <v>7720</v>
      </c>
      <c r="K606">
        <v>975</v>
      </c>
      <c r="L606">
        <v>11.22</v>
      </c>
      <c r="M606">
        <v>2.113053479</v>
      </c>
      <c r="N606">
        <f>E606/_xlfn.XLOOKUP(C606,Lookups!$A$2:$A$66,Lookups!$C$2:$C$66)</f>
        <v>14.828108483347268</v>
      </c>
    </row>
    <row r="607" spans="1:27" x14ac:dyDescent="0.2">
      <c r="A607">
        <v>89</v>
      </c>
      <c r="B607">
        <v>6</v>
      </c>
      <c r="C607" t="s">
        <v>189</v>
      </c>
      <c r="D607">
        <v>2017</v>
      </c>
      <c r="E607">
        <v>18763</v>
      </c>
      <c r="F607">
        <v>18340</v>
      </c>
      <c r="G607">
        <v>422</v>
      </c>
      <c r="H607">
        <v>2.38</v>
      </c>
      <c r="I607">
        <v>8702</v>
      </c>
      <c r="J607">
        <v>7706</v>
      </c>
      <c r="K607">
        <v>996</v>
      </c>
      <c r="L607">
        <v>11.44</v>
      </c>
      <c r="M607">
        <v>2.1075614800000002</v>
      </c>
      <c r="N607">
        <f>E607/_xlfn.XLOOKUP(C607,Lookups!$A$2:$A$66,Lookups!$C$2:$C$66)</f>
        <v>14.801287411451019</v>
      </c>
    </row>
    <row r="608" spans="1:27" x14ac:dyDescent="0.2">
      <c r="A608">
        <v>89</v>
      </c>
      <c r="B608">
        <v>6</v>
      </c>
      <c r="C608" t="s">
        <v>189</v>
      </c>
      <c r="D608">
        <v>2018</v>
      </c>
      <c r="E608">
        <v>18756</v>
      </c>
      <c r="F608">
        <v>18335</v>
      </c>
      <c r="G608">
        <v>421</v>
      </c>
      <c r="H608">
        <v>2.38</v>
      </c>
      <c r="I608">
        <v>8703</v>
      </c>
      <c r="J608">
        <v>7704</v>
      </c>
      <c r="K608">
        <v>999</v>
      </c>
      <c r="L608">
        <v>11.47</v>
      </c>
      <c r="M608">
        <v>2.1067448010000001</v>
      </c>
      <c r="N608">
        <f>E608/_xlfn.XLOOKUP(C608,Lookups!$A$2:$A$66,Lookups!$C$2:$C$66)</f>
        <v>14.795765426060616</v>
      </c>
    </row>
    <row r="609" spans="1:27" x14ac:dyDescent="0.2">
      <c r="A609">
        <v>89</v>
      </c>
      <c r="B609">
        <v>6</v>
      </c>
      <c r="C609" t="s">
        <v>189</v>
      </c>
      <c r="D609">
        <v>2019</v>
      </c>
      <c r="E609">
        <v>18736</v>
      </c>
      <c r="F609">
        <v>18316</v>
      </c>
      <c r="G609">
        <v>420</v>
      </c>
      <c r="H609">
        <v>2.38</v>
      </c>
      <c r="I609">
        <v>8707</v>
      </c>
      <c r="J609">
        <v>7697</v>
      </c>
      <c r="K609">
        <v>1010</v>
      </c>
      <c r="L609">
        <v>11.6</v>
      </c>
      <c r="M609">
        <v>2.1035948090000001</v>
      </c>
      <c r="N609">
        <f>E609/_xlfn.XLOOKUP(C609,Lookups!$A$2:$A$66,Lookups!$C$2:$C$66)</f>
        <v>14.779988324945174</v>
      </c>
    </row>
    <row r="610" spans="1:27" x14ac:dyDescent="0.2">
      <c r="A610">
        <v>89</v>
      </c>
      <c r="B610">
        <v>6</v>
      </c>
      <c r="C610" t="s">
        <v>189</v>
      </c>
      <c r="D610">
        <v>2020</v>
      </c>
      <c r="E610">
        <v>18668</v>
      </c>
      <c r="F610">
        <v>18262</v>
      </c>
      <c r="G610">
        <v>406</v>
      </c>
      <c r="I610">
        <v>8720</v>
      </c>
      <c r="M610">
        <v>2.0942660549999998</v>
      </c>
      <c r="N610">
        <f>E610/_xlfn.XLOOKUP(C610,Lookups!$A$2:$A$66,Lookups!$C$2:$C$66)</f>
        <v>14.726346181152675</v>
      </c>
      <c r="O610">
        <v>18668</v>
      </c>
      <c r="P610">
        <v>208</v>
      </c>
      <c r="Q610">
        <v>-40</v>
      </c>
      <c r="R610">
        <v>-28</v>
      </c>
      <c r="S610">
        <v>248</v>
      </c>
      <c r="T610">
        <v>8720</v>
      </c>
      <c r="W610">
        <v>18262</v>
      </c>
      <c r="X610">
        <v>6</v>
      </c>
      <c r="AA610">
        <v>2.0942660549999998</v>
      </c>
    </row>
    <row r="611" spans="1:27" x14ac:dyDescent="0.2">
      <c r="A611">
        <v>89</v>
      </c>
      <c r="B611">
        <v>6</v>
      </c>
      <c r="C611" t="s">
        <v>189</v>
      </c>
      <c r="D611">
        <v>2021</v>
      </c>
      <c r="E611">
        <v>18523</v>
      </c>
      <c r="F611">
        <v>18180</v>
      </c>
      <c r="G611">
        <v>343</v>
      </c>
      <c r="I611">
        <v>8723</v>
      </c>
      <c r="M611">
        <v>2.0841453630000002</v>
      </c>
      <c r="N611">
        <f>E611/_xlfn.XLOOKUP(C611,Lookups!$A$2:$A$66,Lookups!$C$2:$C$66)</f>
        <v>14.611962198065726</v>
      </c>
      <c r="O611">
        <v>18523</v>
      </c>
      <c r="P611">
        <v>202</v>
      </c>
      <c r="Q611">
        <v>-124</v>
      </c>
      <c r="R611">
        <v>-21</v>
      </c>
      <c r="S611">
        <v>326</v>
      </c>
      <c r="T611">
        <v>8723</v>
      </c>
      <c r="W611">
        <v>18180</v>
      </c>
      <c r="X611">
        <v>16</v>
      </c>
      <c r="AA611">
        <v>2.0841453630000002</v>
      </c>
    </row>
    <row r="612" spans="1:27" x14ac:dyDescent="0.2">
      <c r="A612">
        <v>89</v>
      </c>
      <c r="B612">
        <v>6</v>
      </c>
      <c r="C612" t="s">
        <v>189</v>
      </c>
      <c r="D612">
        <v>2022</v>
      </c>
      <c r="E612">
        <v>18294</v>
      </c>
      <c r="F612">
        <v>17975</v>
      </c>
      <c r="G612">
        <v>319</v>
      </c>
      <c r="I612">
        <v>8738</v>
      </c>
      <c r="M612">
        <v>2.0571068889999999</v>
      </c>
      <c r="N612">
        <f>E612/_xlfn.XLOOKUP(C612,Lookups!$A$2:$A$66,Lookups!$C$2:$C$66)</f>
        <v>14.431314390293926</v>
      </c>
      <c r="O612">
        <v>18294</v>
      </c>
      <c r="P612">
        <v>188</v>
      </c>
      <c r="Q612">
        <v>-119</v>
      </c>
      <c r="R612">
        <v>-110</v>
      </c>
      <c r="S612">
        <v>307</v>
      </c>
      <c r="T612">
        <v>8738</v>
      </c>
      <c r="W612">
        <v>17975</v>
      </c>
      <c r="X612">
        <v>33</v>
      </c>
      <c r="AA612">
        <v>2.0571068889999999</v>
      </c>
    </row>
    <row r="613" spans="1:27" x14ac:dyDescent="0.2">
      <c r="A613">
        <v>91</v>
      </c>
      <c r="B613">
        <v>10</v>
      </c>
      <c r="C613" t="s">
        <v>190</v>
      </c>
      <c r="D613">
        <v>2010</v>
      </c>
      <c r="E613">
        <v>4446</v>
      </c>
      <c r="F613">
        <v>4446</v>
      </c>
      <c r="G613">
        <v>0</v>
      </c>
      <c r="H613">
        <v>2.19</v>
      </c>
      <c r="I613">
        <v>3088</v>
      </c>
      <c r="J613">
        <v>2026</v>
      </c>
      <c r="K613">
        <v>1062</v>
      </c>
      <c r="L613">
        <v>34.39</v>
      </c>
      <c r="M613">
        <v>1.439766839</v>
      </c>
      <c r="N613">
        <f>E613/_xlfn.XLOOKUP(C613,Lookups!$A$2:$A$66,Lookups!$C$2:$C$66)</f>
        <v>8.1984141619030062</v>
      </c>
    </row>
    <row r="614" spans="1:27" x14ac:dyDescent="0.2">
      <c r="A614">
        <v>91</v>
      </c>
      <c r="B614">
        <v>10</v>
      </c>
      <c r="C614" t="s">
        <v>190</v>
      </c>
      <c r="D614">
        <v>2011</v>
      </c>
      <c r="E614">
        <v>4404</v>
      </c>
      <c r="F614">
        <v>4404</v>
      </c>
      <c r="G614">
        <v>0</v>
      </c>
      <c r="H614">
        <v>2.19</v>
      </c>
      <c r="I614">
        <v>3097</v>
      </c>
      <c r="J614">
        <v>2013</v>
      </c>
      <c r="K614">
        <v>1084</v>
      </c>
      <c r="L614">
        <v>35</v>
      </c>
      <c r="M614">
        <v>1.422021311</v>
      </c>
      <c r="N614">
        <f>E614/_xlfn.XLOOKUP(C614,Lookups!$A$2:$A$66,Lookups!$C$2:$C$66)</f>
        <v>8.1209662548404946</v>
      </c>
    </row>
    <row r="615" spans="1:27" x14ac:dyDescent="0.2">
      <c r="A615">
        <v>91</v>
      </c>
      <c r="B615">
        <v>10</v>
      </c>
      <c r="C615" t="s">
        <v>190</v>
      </c>
      <c r="D615">
        <v>2012</v>
      </c>
      <c r="E615">
        <v>4478</v>
      </c>
      <c r="F615">
        <v>4478</v>
      </c>
      <c r="G615">
        <v>0</v>
      </c>
      <c r="H615">
        <v>2.1800000000000002</v>
      </c>
      <c r="I615">
        <v>3104</v>
      </c>
      <c r="J615">
        <v>2054</v>
      </c>
      <c r="K615">
        <v>1050</v>
      </c>
      <c r="L615">
        <v>33.83</v>
      </c>
      <c r="M615">
        <v>1.4426546389999999</v>
      </c>
      <c r="N615">
        <f>E615/_xlfn.XLOOKUP(C615,Lookups!$A$2:$A$66,Lookups!$C$2:$C$66)</f>
        <v>8.2574220910934919</v>
      </c>
    </row>
    <row r="616" spans="1:27" x14ac:dyDescent="0.2">
      <c r="A616">
        <v>91</v>
      </c>
      <c r="B616">
        <v>10</v>
      </c>
      <c r="C616" t="s">
        <v>190</v>
      </c>
      <c r="D616">
        <v>2013</v>
      </c>
      <c r="E616">
        <v>4515</v>
      </c>
      <c r="F616">
        <v>4515</v>
      </c>
      <c r="G616">
        <v>0</v>
      </c>
      <c r="H616">
        <v>2.17</v>
      </c>
      <c r="I616">
        <v>3112</v>
      </c>
      <c r="J616">
        <v>2078</v>
      </c>
      <c r="K616">
        <v>1034</v>
      </c>
      <c r="L616">
        <v>33.229999999999997</v>
      </c>
      <c r="M616">
        <v>1.450835476</v>
      </c>
      <c r="N616">
        <f>E616/_xlfn.XLOOKUP(C616,Lookups!$A$2:$A$66,Lookups!$C$2:$C$66)</f>
        <v>8.3256500092199897</v>
      </c>
    </row>
    <row r="617" spans="1:27" x14ac:dyDescent="0.2">
      <c r="A617">
        <v>91</v>
      </c>
      <c r="B617">
        <v>10</v>
      </c>
      <c r="C617" t="s">
        <v>190</v>
      </c>
      <c r="D617">
        <v>2014</v>
      </c>
      <c r="E617">
        <v>4528</v>
      </c>
      <c r="F617">
        <v>4528</v>
      </c>
      <c r="G617">
        <v>0</v>
      </c>
      <c r="H617">
        <v>2.17</v>
      </c>
      <c r="I617">
        <v>3126</v>
      </c>
      <c r="J617">
        <v>2091</v>
      </c>
      <c r="K617">
        <v>1035</v>
      </c>
      <c r="L617">
        <v>33.11</v>
      </c>
      <c r="M617">
        <v>1.4484964810000001</v>
      </c>
      <c r="N617">
        <f>E617/_xlfn.XLOOKUP(C617,Lookups!$A$2:$A$66,Lookups!$C$2:$C$66)</f>
        <v>8.3496219804536249</v>
      </c>
    </row>
    <row r="618" spans="1:27" x14ac:dyDescent="0.2">
      <c r="A618">
        <v>91</v>
      </c>
      <c r="B618">
        <v>10</v>
      </c>
      <c r="C618" t="s">
        <v>190</v>
      </c>
      <c r="D618">
        <v>2015</v>
      </c>
      <c r="E618">
        <v>4550</v>
      </c>
      <c r="F618">
        <v>4550</v>
      </c>
      <c r="G618">
        <v>0</v>
      </c>
      <c r="H618">
        <v>2.16</v>
      </c>
      <c r="I618">
        <v>3144</v>
      </c>
      <c r="J618">
        <v>2108</v>
      </c>
      <c r="K618">
        <v>1036</v>
      </c>
      <c r="L618">
        <v>32.950000000000003</v>
      </c>
      <c r="M618">
        <v>1.4472010179999999</v>
      </c>
      <c r="N618">
        <f>E618/_xlfn.XLOOKUP(C618,Lookups!$A$2:$A$66,Lookups!$C$2:$C$66)</f>
        <v>8.3901899317720829</v>
      </c>
    </row>
    <row r="619" spans="1:27" x14ac:dyDescent="0.2">
      <c r="A619">
        <v>91</v>
      </c>
      <c r="B619">
        <v>10</v>
      </c>
      <c r="C619" t="s">
        <v>190</v>
      </c>
      <c r="D619">
        <v>2016</v>
      </c>
      <c r="E619">
        <v>4721</v>
      </c>
      <c r="F619">
        <v>4721</v>
      </c>
      <c r="G619">
        <v>0</v>
      </c>
      <c r="H619">
        <v>2.15</v>
      </c>
      <c r="I619">
        <v>3164</v>
      </c>
      <c r="J619">
        <v>2194</v>
      </c>
      <c r="K619">
        <v>970</v>
      </c>
      <c r="L619">
        <v>30.66</v>
      </c>
      <c r="M619">
        <v>1.4920986089999999</v>
      </c>
      <c r="N619">
        <f>E619/_xlfn.XLOOKUP(C619,Lookups!$A$2:$A$66,Lookups!$C$2:$C$66)</f>
        <v>8.7055135533837369</v>
      </c>
    </row>
    <row r="620" spans="1:27" x14ac:dyDescent="0.2">
      <c r="A620">
        <v>91</v>
      </c>
      <c r="B620">
        <v>10</v>
      </c>
      <c r="C620" t="s">
        <v>190</v>
      </c>
      <c r="D620">
        <v>2017</v>
      </c>
      <c r="E620">
        <v>4730</v>
      </c>
      <c r="F620">
        <v>4730</v>
      </c>
      <c r="G620">
        <v>0</v>
      </c>
      <c r="H620">
        <v>2.14</v>
      </c>
      <c r="I620">
        <v>3200</v>
      </c>
      <c r="J620">
        <v>2206</v>
      </c>
      <c r="K620">
        <v>994</v>
      </c>
      <c r="L620">
        <v>31.06</v>
      </c>
      <c r="M620">
        <v>1.4781249999999999</v>
      </c>
      <c r="N620">
        <f>E620/_xlfn.XLOOKUP(C620,Lookups!$A$2:$A$66,Lookups!$C$2:$C$66)</f>
        <v>8.7221095334685614</v>
      </c>
    </row>
    <row r="621" spans="1:27" x14ac:dyDescent="0.2">
      <c r="A621">
        <v>91</v>
      </c>
      <c r="B621">
        <v>10</v>
      </c>
      <c r="C621" t="s">
        <v>190</v>
      </c>
      <c r="D621">
        <v>2018</v>
      </c>
      <c r="E621">
        <v>4736</v>
      </c>
      <c r="F621">
        <v>4736</v>
      </c>
      <c r="G621">
        <v>0</v>
      </c>
      <c r="H621">
        <v>2.14</v>
      </c>
      <c r="I621">
        <v>3242</v>
      </c>
      <c r="J621">
        <v>2216</v>
      </c>
      <c r="K621">
        <v>1026</v>
      </c>
      <c r="L621">
        <v>31.65</v>
      </c>
      <c r="M621">
        <v>1.46082665</v>
      </c>
      <c r="N621">
        <f>E621/_xlfn.XLOOKUP(C621,Lookups!$A$2:$A$66,Lookups!$C$2:$C$66)</f>
        <v>8.7331735201917766</v>
      </c>
    </row>
    <row r="622" spans="1:27" x14ac:dyDescent="0.2">
      <c r="A622">
        <v>91</v>
      </c>
      <c r="B622">
        <v>10</v>
      </c>
      <c r="C622" t="s">
        <v>190</v>
      </c>
      <c r="D622">
        <v>2019</v>
      </c>
      <c r="E622">
        <v>4887</v>
      </c>
      <c r="F622">
        <v>4887</v>
      </c>
      <c r="G622">
        <v>0</v>
      </c>
      <c r="H622">
        <v>2.13</v>
      </c>
      <c r="I622">
        <v>3289</v>
      </c>
      <c r="J622">
        <v>2295</v>
      </c>
      <c r="K622">
        <v>994</v>
      </c>
      <c r="L622">
        <v>30.22</v>
      </c>
      <c r="M622">
        <v>1.4858619639999999</v>
      </c>
      <c r="N622">
        <f>E622/_xlfn.XLOOKUP(C622,Lookups!$A$2:$A$66,Lookups!$C$2:$C$66)</f>
        <v>9.011617186059377</v>
      </c>
    </row>
    <row r="623" spans="1:27" x14ac:dyDescent="0.2">
      <c r="A623">
        <v>91</v>
      </c>
      <c r="B623">
        <v>10</v>
      </c>
      <c r="C623" t="s">
        <v>190</v>
      </c>
      <c r="D623">
        <v>2020</v>
      </c>
      <c r="E623">
        <v>4876</v>
      </c>
      <c r="F623">
        <v>4876</v>
      </c>
      <c r="G623">
        <v>0</v>
      </c>
      <c r="I623">
        <v>3326</v>
      </c>
      <c r="M623">
        <v>1.466025256</v>
      </c>
      <c r="N623">
        <f>E623/_xlfn.XLOOKUP(C623,Lookups!$A$2:$A$66,Lookups!$C$2:$C$66)</f>
        <v>8.991333210400148</v>
      </c>
      <c r="O623">
        <v>4876</v>
      </c>
      <c r="P623">
        <v>25</v>
      </c>
      <c r="Q623">
        <v>6</v>
      </c>
      <c r="R623">
        <v>-17</v>
      </c>
      <c r="S623">
        <v>19</v>
      </c>
      <c r="T623">
        <v>3326</v>
      </c>
      <c r="W623">
        <v>4876</v>
      </c>
      <c r="X623">
        <v>71</v>
      </c>
      <c r="AA623">
        <v>1.466025256</v>
      </c>
    </row>
    <row r="624" spans="1:27" x14ac:dyDescent="0.2">
      <c r="A624">
        <v>91</v>
      </c>
      <c r="B624">
        <v>10</v>
      </c>
      <c r="C624" t="s">
        <v>190</v>
      </c>
      <c r="D624">
        <v>2021</v>
      </c>
      <c r="E624">
        <v>5051</v>
      </c>
      <c r="F624">
        <v>5051</v>
      </c>
      <c r="G624">
        <v>0</v>
      </c>
      <c r="I624">
        <v>3391</v>
      </c>
      <c r="M624">
        <v>1.4895311120000001</v>
      </c>
      <c r="N624">
        <f>E624/_xlfn.XLOOKUP(C624,Lookups!$A$2:$A$66,Lookups!$C$2:$C$66)</f>
        <v>9.3140328231606127</v>
      </c>
      <c r="O624">
        <v>5051</v>
      </c>
      <c r="P624">
        <v>38</v>
      </c>
      <c r="Q624">
        <v>1</v>
      </c>
      <c r="R624">
        <v>174</v>
      </c>
      <c r="S624">
        <v>37</v>
      </c>
      <c r="T624">
        <v>3391</v>
      </c>
      <c r="W624">
        <v>5051</v>
      </c>
      <c r="X624">
        <v>146</v>
      </c>
      <c r="AA624">
        <v>1.4895311120000001</v>
      </c>
    </row>
    <row r="625" spans="1:27" x14ac:dyDescent="0.2">
      <c r="A625">
        <v>91</v>
      </c>
      <c r="B625">
        <v>10</v>
      </c>
      <c r="C625" t="s">
        <v>190</v>
      </c>
      <c r="D625">
        <v>2022</v>
      </c>
      <c r="E625">
        <v>5088</v>
      </c>
      <c r="F625">
        <v>5088</v>
      </c>
      <c r="G625">
        <v>0</v>
      </c>
      <c r="I625">
        <v>3511</v>
      </c>
      <c r="M625">
        <v>1.4491597839999999</v>
      </c>
      <c r="N625">
        <f>E625/_xlfn.XLOOKUP(C625,Lookups!$A$2:$A$66,Lookups!$C$2:$C$66)</f>
        <v>9.3822607412871104</v>
      </c>
      <c r="O625">
        <v>5088</v>
      </c>
      <c r="P625">
        <v>30</v>
      </c>
      <c r="Q625">
        <v>-7</v>
      </c>
      <c r="R625">
        <v>44</v>
      </c>
      <c r="S625">
        <v>37</v>
      </c>
      <c r="T625">
        <v>3511</v>
      </c>
      <c r="W625">
        <v>5088</v>
      </c>
      <c r="X625">
        <v>74</v>
      </c>
      <c r="AA625">
        <v>1.4491597839999999</v>
      </c>
    </row>
    <row r="626" spans="1:27" x14ac:dyDescent="0.2">
      <c r="A626">
        <v>93</v>
      </c>
      <c r="B626">
        <v>4</v>
      </c>
      <c r="C626" t="s">
        <v>191</v>
      </c>
      <c r="D626">
        <v>2010</v>
      </c>
      <c r="E626">
        <v>16262</v>
      </c>
      <c r="F626">
        <v>16170</v>
      </c>
      <c r="G626">
        <v>92</v>
      </c>
      <c r="H626">
        <v>2.27</v>
      </c>
      <c r="I626">
        <v>13798</v>
      </c>
      <c r="J626">
        <v>7120</v>
      </c>
      <c r="K626">
        <v>6678</v>
      </c>
      <c r="L626">
        <v>48.4</v>
      </c>
      <c r="M626">
        <v>1.171908972</v>
      </c>
      <c r="N626">
        <f>E626/_xlfn.XLOOKUP(C626,Lookups!$A$2:$A$66,Lookups!$C$2:$C$66)</f>
        <v>7.3605025889850451</v>
      </c>
    </row>
    <row r="627" spans="1:27" x14ac:dyDescent="0.2">
      <c r="A627">
        <v>93</v>
      </c>
      <c r="B627">
        <v>4</v>
      </c>
      <c r="C627" t="s">
        <v>191</v>
      </c>
      <c r="D627">
        <v>2011</v>
      </c>
      <c r="E627">
        <v>15896</v>
      </c>
      <c r="F627">
        <v>15811</v>
      </c>
      <c r="G627">
        <v>85</v>
      </c>
      <c r="H627">
        <v>2.2400000000000002</v>
      </c>
      <c r="I627">
        <v>13803</v>
      </c>
      <c r="J627">
        <v>7047</v>
      </c>
      <c r="K627">
        <v>6756</v>
      </c>
      <c r="L627">
        <v>48.95</v>
      </c>
      <c r="M627">
        <v>1.1454756210000001</v>
      </c>
      <c r="N627">
        <f>E627/_xlfn.XLOOKUP(C627,Lookups!$A$2:$A$66,Lookups!$C$2:$C$66)</f>
        <v>7.1948437556577467</v>
      </c>
    </row>
    <row r="628" spans="1:27" x14ac:dyDescent="0.2">
      <c r="A628">
        <v>93</v>
      </c>
      <c r="B628">
        <v>4</v>
      </c>
      <c r="C628" t="s">
        <v>191</v>
      </c>
      <c r="D628">
        <v>2012</v>
      </c>
      <c r="E628">
        <v>15739</v>
      </c>
      <c r="F628">
        <v>15660</v>
      </c>
      <c r="G628">
        <v>79</v>
      </c>
      <c r="H628">
        <v>2.2400000000000002</v>
      </c>
      <c r="I628">
        <v>13806</v>
      </c>
      <c r="J628">
        <v>6987</v>
      </c>
      <c r="K628">
        <v>6819</v>
      </c>
      <c r="L628">
        <v>49.39</v>
      </c>
      <c r="M628">
        <v>1.134289439</v>
      </c>
      <c r="N628">
        <f>E628/_xlfn.XLOOKUP(C628,Lookups!$A$2:$A$66,Lookups!$C$2:$C$66)</f>
        <v>7.1237824528370206</v>
      </c>
    </row>
    <row r="629" spans="1:27" x14ac:dyDescent="0.2">
      <c r="A629">
        <v>93</v>
      </c>
      <c r="B629">
        <v>4</v>
      </c>
      <c r="C629" t="s">
        <v>191</v>
      </c>
      <c r="D629">
        <v>2013</v>
      </c>
      <c r="E629">
        <v>15730</v>
      </c>
      <c r="F629">
        <v>15657</v>
      </c>
      <c r="G629">
        <v>73</v>
      </c>
      <c r="H629">
        <v>2.2400000000000002</v>
      </c>
      <c r="I629">
        <v>13809</v>
      </c>
      <c r="J629">
        <v>6993</v>
      </c>
      <c r="K629">
        <v>6816</v>
      </c>
      <c r="L629">
        <v>49.36</v>
      </c>
      <c r="M629">
        <v>1.133825766</v>
      </c>
      <c r="N629">
        <f>E629/_xlfn.XLOOKUP(C629,Lookups!$A$2:$A$66,Lookups!$C$2:$C$66)</f>
        <v>7.1197088749683166</v>
      </c>
    </row>
    <row r="630" spans="1:27" x14ac:dyDescent="0.2">
      <c r="A630">
        <v>93</v>
      </c>
      <c r="B630">
        <v>4</v>
      </c>
      <c r="C630" t="s">
        <v>191</v>
      </c>
      <c r="D630">
        <v>2014</v>
      </c>
      <c r="E630">
        <v>15778</v>
      </c>
      <c r="F630">
        <v>15711</v>
      </c>
      <c r="G630">
        <v>67</v>
      </c>
      <c r="H630">
        <v>2.2400000000000002</v>
      </c>
      <c r="I630">
        <v>13811</v>
      </c>
      <c r="J630">
        <v>7024</v>
      </c>
      <c r="K630">
        <v>6787</v>
      </c>
      <c r="L630">
        <v>49.14</v>
      </c>
      <c r="M630">
        <v>1.137571501</v>
      </c>
      <c r="N630">
        <f>E630/_xlfn.XLOOKUP(C630,Lookups!$A$2:$A$66,Lookups!$C$2:$C$66)</f>
        <v>7.1414346236014046</v>
      </c>
    </row>
    <row r="631" spans="1:27" x14ac:dyDescent="0.2">
      <c r="A631">
        <v>93</v>
      </c>
      <c r="B631">
        <v>4</v>
      </c>
      <c r="C631" t="s">
        <v>191</v>
      </c>
      <c r="D631">
        <v>2015</v>
      </c>
      <c r="E631">
        <v>15975</v>
      </c>
      <c r="F631">
        <v>15915</v>
      </c>
      <c r="G631">
        <v>60</v>
      </c>
      <c r="H631">
        <v>2.23</v>
      </c>
      <c r="I631">
        <v>13812</v>
      </c>
      <c r="J631">
        <v>7123</v>
      </c>
      <c r="K631">
        <v>6689</v>
      </c>
      <c r="L631">
        <v>48.43</v>
      </c>
      <c r="M631">
        <v>1.1522589050000001</v>
      </c>
      <c r="N631">
        <f>E631/_xlfn.XLOOKUP(C631,Lookups!$A$2:$A$66,Lookups!$C$2:$C$66)</f>
        <v>7.2306007169497049</v>
      </c>
    </row>
    <row r="632" spans="1:27" x14ac:dyDescent="0.2">
      <c r="A632">
        <v>93</v>
      </c>
      <c r="B632">
        <v>4</v>
      </c>
      <c r="C632" t="s">
        <v>191</v>
      </c>
      <c r="D632">
        <v>2016</v>
      </c>
      <c r="E632">
        <v>16461</v>
      </c>
      <c r="F632">
        <v>16408</v>
      </c>
      <c r="G632">
        <v>53</v>
      </c>
      <c r="H632">
        <v>2.23</v>
      </c>
      <c r="I632">
        <v>13813</v>
      </c>
      <c r="J632">
        <v>7351</v>
      </c>
      <c r="K632">
        <v>6462</v>
      </c>
      <c r="L632">
        <v>46.78</v>
      </c>
      <c r="M632">
        <v>1.187866503</v>
      </c>
      <c r="N632">
        <f>E632/_xlfn.XLOOKUP(C632,Lookups!$A$2:$A$66,Lookups!$C$2:$C$66)</f>
        <v>7.450573921859724</v>
      </c>
    </row>
    <row r="633" spans="1:27" x14ac:dyDescent="0.2">
      <c r="A633">
        <v>93</v>
      </c>
      <c r="B633">
        <v>4</v>
      </c>
      <c r="C633" t="s">
        <v>191</v>
      </c>
      <c r="D633">
        <v>2017</v>
      </c>
      <c r="E633">
        <v>16866</v>
      </c>
      <c r="F633">
        <v>16819</v>
      </c>
      <c r="G633">
        <v>47</v>
      </c>
      <c r="H633">
        <v>2.23</v>
      </c>
      <c r="I633">
        <v>13814</v>
      </c>
      <c r="J633">
        <v>7543</v>
      </c>
      <c r="K633">
        <v>6271</v>
      </c>
      <c r="L633">
        <v>45.4</v>
      </c>
      <c r="M633">
        <v>1.217532938</v>
      </c>
      <c r="N633">
        <f>E633/_xlfn.XLOOKUP(C633,Lookups!$A$2:$A$66,Lookups!$C$2:$C$66)</f>
        <v>7.6338849259514063</v>
      </c>
    </row>
    <row r="634" spans="1:27" x14ac:dyDescent="0.2">
      <c r="A634">
        <v>93</v>
      </c>
      <c r="B634">
        <v>4</v>
      </c>
      <c r="C634" t="s">
        <v>191</v>
      </c>
      <c r="D634">
        <v>2018</v>
      </c>
      <c r="E634">
        <v>17366</v>
      </c>
      <c r="F634">
        <v>17325</v>
      </c>
      <c r="G634">
        <v>41</v>
      </c>
      <c r="H634">
        <v>2.23</v>
      </c>
      <c r="I634">
        <v>13820</v>
      </c>
      <c r="J634">
        <v>7777</v>
      </c>
      <c r="K634">
        <v>6043</v>
      </c>
      <c r="L634">
        <v>43.73</v>
      </c>
      <c r="M634">
        <v>1.253617945</v>
      </c>
      <c r="N634">
        <f>E634/_xlfn.XLOOKUP(C634,Lookups!$A$2:$A$66,Lookups!$C$2:$C$66)</f>
        <v>7.8601948075460761</v>
      </c>
    </row>
    <row r="635" spans="1:27" x14ac:dyDescent="0.2">
      <c r="A635">
        <v>93</v>
      </c>
      <c r="B635">
        <v>4</v>
      </c>
      <c r="C635" t="s">
        <v>191</v>
      </c>
      <c r="D635">
        <v>2019</v>
      </c>
      <c r="E635">
        <v>17511</v>
      </c>
      <c r="F635">
        <v>17476</v>
      </c>
      <c r="G635">
        <v>35</v>
      </c>
      <c r="H635">
        <v>2.23</v>
      </c>
      <c r="I635">
        <v>13992</v>
      </c>
      <c r="J635">
        <v>7853</v>
      </c>
      <c r="K635">
        <v>6139</v>
      </c>
      <c r="L635">
        <v>43.88</v>
      </c>
      <c r="M635">
        <v>1.2489994280000001</v>
      </c>
      <c r="N635">
        <f>E635/_xlfn.XLOOKUP(C635,Lookups!$A$2:$A$66,Lookups!$C$2:$C$66)</f>
        <v>7.9258246732085302</v>
      </c>
    </row>
    <row r="636" spans="1:27" x14ac:dyDescent="0.2">
      <c r="A636">
        <v>93</v>
      </c>
      <c r="B636">
        <v>4</v>
      </c>
      <c r="C636" t="s">
        <v>191</v>
      </c>
      <c r="D636">
        <v>2020</v>
      </c>
      <c r="E636">
        <v>17416</v>
      </c>
      <c r="F636">
        <v>17390</v>
      </c>
      <c r="G636">
        <v>26</v>
      </c>
      <c r="I636">
        <v>14154</v>
      </c>
      <c r="M636">
        <v>1.2286279499999999</v>
      </c>
      <c r="N636">
        <f>E636/_xlfn.XLOOKUP(C636,Lookups!$A$2:$A$66,Lookups!$C$2:$C$66)</f>
        <v>7.8828257957055436</v>
      </c>
      <c r="O636">
        <v>17416</v>
      </c>
      <c r="P636">
        <v>140</v>
      </c>
      <c r="Q636">
        <v>29</v>
      </c>
      <c r="R636">
        <v>-124</v>
      </c>
      <c r="S636">
        <v>111</v>
      </c>
      <c r="T636">
        <v>14154</v>
      </c>
      <c r="W636">
        <v>17390</v>
      </c>
      <c r="X636">
        <v>162</v>
      </c>
      <c r="AA636">
        <v>1.2286279499999999</v>
      </c>
    </row>
    <row r="637" spans="1:27" x14ac:dyDescent="0.2">
      <c r="A637">
        <v>93</v>
      </c>
      <c r="B637">
        <v>4</v>
      </c>
      <c r="C637" t="s">
        <v>191</v>
      </c>
      <c r="D637">
        <v>2021</v>
      </c>
      <c r="E637">
        <v>17735</v>
      </c>
      <c r="F637">
        <v>17709</v>
      </c>
      <c r="G637">
        <v>26</v>
      </c>
      <c r="I637">
        <v>14327</v>
      </c>
      <c r="M637">
        <v>1.2360577930000001</v>
      </c>
      <c r="N637">
        <f>E637/_xlfn.XLOOKUP(C637,Lookups!$A$2:$A$66,Lookups!$C$2:$C$66)</f>
        <v>8.0272115001629434</v>
      </c>
      <c r="O637">
        <v>17735</v>
      </c>
      <c r="P637">
        <v>125</v>
      </c>
      <c r="Q637">
        <v>-7</v>
      </c>
      <c r="R637">
        <v>326</v>
      </c>
      <c r="S637">
        <v>132</v>
      </c>
      <c r="T637">
        <v>14327</v>
      </c>
      <c r="W637">
        <v>17709</v>
      </c>
      <c r="X637">
        <v>193</v>
      </c>
      <c r="AA637">
        <v>1.2360577930000001</v>
      </c>
    </row>
    <row r="638" spans="1:27" x14ac:dyDescent="0.2">
      <c r="A638">
        <v>93</v>
      </c>
      <c r="B638">
        <v>4</v>
      </c>
      <c r="C638" t="s">
        <v>191</v>
      </c>
      <c r="D638">
        <v>2022</v>
      </c>
      <c r="E638">
        <v>17900</v>
      </c>
      <c r="F638">
        <v>17874</v>
      </c>
      <c r="G638">
        <v>26</v>
      </c>
      <c r="I638">
        <v>14518</v>
      </c>
      <c r="M638">
        <v>1.231161317</v>
      </c>
      <c r="N638">
        <f>E638/_xlfn.XLOOKUP(C638,Lookups!$A$2:$A$66,Lookups!$C$2:$C$66)</f>
        <v>8.1018937610891832</v>
      </c>
      <c r="O638">
        <v>17900</v>
      </c>
      <c r="P638">
        <v>137</v>
      </c>
      <c r="Q638">
        <v>-5</v>
      </c>
      <c r="R638">
        <v>170</v>
      </c>
      <c r="S638">
        <v>142</v>
      </c>
      <c r="T638">
        <v>14518</v>
      </c>
      <c r="W638">
        <v>17874</v>
      </c>
      <c r="X638">
        <v>193</v>
      </c>
      <c r="AA638">
        <v>1.231161317</v>
      </c>
    </row>
    <row r="639" spans="1:27" x14ac:dyDescent="0.2">
      <c r="A639">
        <v>95</v>
      </c>
      <c r="B639">
        <v>1</v>
      </c>
      <c r="C639" t="s">
        <v>192</v>
      </c>
      <c r="D639">
        <v>2010</v>
      </c>
      <c r="E639">
        <v>4465</v>
      </c>
      <c r="F639">
        <v>4405</v>
      </c>
      <c r="G639">
        <v>60</v>
      </c>
      <c r="H639">
        <v>2.59</v>
      </c>
      <c r="I639">
        <v>1945</v>
      </c>
      <c r="J639">
        <v>1704</v>
      </c>
      <c r="K639">
        <v>241</v>
      </c>
      <c r="L639">
        <v>12.39</v>
      </c>
      <c r="M639">
        <v>2.2647814909999999</v>
      </c>
      <c r="N639">
        <f>E639/_xlfn.XLOOKUP(C639,Lookups!$A$2:$A$66,Lookups!$C$2:$C$66)</f>
        <v>6.4869969490047952</v>
      </c>
    </row>
    <row r="640" spans="1:27" x14ac:dyDescent="0.2">
      <c r="A640">
        <v>95</v>
      </c>
      <c r="B640">
        <v>1</v>
      </c>
      <c r="C640" t="s">
        <v>192</v>
      </c>
      <c r="D640">
        <v>2011</v>
      </c>
      <c r="E640">
        <v>4473</v>
      </c>
      <c r="F640">
        <v>4412</v>
      </c>
      <c r="G640">
        <v>61</v>
      </c>
      <c r="H640">
        <v>2.41</v>
      </c>
      <c r="I640">
        <v>1948</v>
      </c>
      <c r="J640">
        <v>1829</v>
      </c>
      <c r="K640">
        <v>119</v>
      </c>
      <c r="L640">
        <v>6.13</v>
      </c>
      <c r="M640">
        <v>2.2648870639999998</v>
      </c>
      <c r="N640">
        <f>E640/_xlfn.XLOOKUP(C640,Lookups!$A$2:$A$66,Lookups!$C$2:$C$66)</f>
        <v>6.4986197878831913</v>
      </c>
    </row>
    <row r="641" spans="1:27" x14ac:dyDescent="0.2">
      <c r="A641">
        <v>95</v>
      </c>
      <c r="B641">
        <v>1</v>
      </c>
      <c r="C641" t="s">
        <v>192</v>
      </c>
      <c r="D641">
        <v>2012</v>
      </c>
      <c r="E641">
        <v>4482</v>
      </c>
      <c r="F641">
        <v>4419</v>
      </c>
      <c r="G641">
        <v>62</v>
      </c>
      <c r="H641">
        <v>2.42</v>
      </c>
      <c r="I641">
        <v>1950</v>
      </c>
      <c r="J641">
        <v>1828</v>
      </c>
      <c r="K641">
        <v>122</v>
      </c>
      <c r="L641">
        <v>6.24</v>
      </c>
      <c r="M641">
        <v>2.2661538459999999</v>
      </c>
      <c r="N641">
        <f>E641/_xlfn.XLOOKUP(C641,Lookups!$A$2:$A$66,Lookups!$C$2:$C$66)</f>
        <v>6.5116954816213868</v>
      </c>
    </row>
    <row r="642" spans="1:27" x14ac:dyDescent="0.2">
      <c r="A642">
        <v>95</v>
      </c>
      <c r="B642">
        <v>1</v>
      </c>
      <c r="C642" t="s">
        <v>192</v>
      </c>
      <c r="D642">
        <v>2013</v>
      </c>
      <c r="E642">
        <v>4486</v>
      </c>
      <c r="F642">
        <v>4423</v>
      </c>
      <c r="G642">
        <v>63</v>
      </c>
      <c r="H642">
        <v>2.42</v>
      </c>
      <c r="I642">
        <v>1964</v>
      </c>
      <c r="J642">
        <v>1826</v>
      </c>
      <c r="K642">
        <v>138</v>
      </c>
      <c r="L642">
        <v>7.02</v>
      </c>
      <c r="M642">
        <v>2.2520366599999999</v>
      </c>
      <c r="N642">
        <f>E642/_xlfn.XLOOKUP(C642,Lookups!$A$2:$A$66,Lookups!$C$2:$C$66)</f>
        <v>6.5175069010605844</v>
      </c>
    </row>
    <row r="643" spans="1:27" x14ac:dyDescent="0.2">
      <c r="A643">
        <v>95</v>
      </c>
      <c r="B643">
        <v>1</v>
      </c>
      <c r="C643" t="s">
        <v>192</v>
      </c>
      <c r="D643">
        <v>2014</v>
      </c>
      <c r="E643">
        <v>4494</v>
      </c>
      <c r="F643">
        <v>4430</v>
      </c>
      <c r="G643">
        <v>64</v>
      </c>
      <c r="H643">
        <v>2.4300000000000002</v>
      </c>
      <c r="I643">
        <v>1967</v>
      </c>
      <c r="J643">
        <v>1826</v>
      </c>
      <c r="K643">
        <v>141</v>
      </c>
      <c r="L643">
        <v>7.18</v>
      </c>
      <c r="M643">
        <v>2.2521606510000001</v>
      </c>
      <c r="N643">
        <f>E643/_xlfn.XLOOKUP(C643,Lookups!$A$2:$A$66,Lookups!$C$2:$C$66)</f>
        <v>6.5291297399389805</v>
      </c>
    </row>
    <row r="644" spans="1:27" x14ac:dyDescent="0.2">
      <c r="A644">
        <v>95</v>
      </c>
      <c r="B644">
        <v>1</v>
      </c>
      <c r="C644" t="s">
        <v>192</v>
      </c>
      <c r="D644">
        <v>2015</v>
      </c>
      <c r="E644">
        <v>4499</v>
      </c>
      <c r="F644">
        <v>4433</v>
      </c>
      <c r="G644">
        <v>66</v>
      </c>
      <c r="H644">
        <v>2.4300000000000002</v>
      </c>
      <c r="I644">
        <v>1979</v>
      </c>
      <c r="J644">
        <v>1824</v>
      </c>
      <c r="K644">
        <v>155</v>
      </c>
      <c r="L644">
        <v>7.83</v>
      </c>
      <c r="M644">
        <v>2.2400202120000001</v>
      </c>
      <c r="N644">
        <f>E644/_xlfn.XLOOKUP(C644,Lookups!$A$2:$A$66,Lookups!$C$2:$C$66)</f>
        <v>6.5363940142379784</v>
      </c>
    </row>
    <row r="645" spans="1:27" x14ac:dyDescent="0.2">
      <c r="A645">
        <v>95</v>
      </c>
      <c r="B645">
        <v>1</v>
      </c>
      <c r="C645" t="s">
        <v>192</v>
      </c>
      <c r="D645">
        <v>2016</v>
      </c>
      <c r="E645">
        <v>4505</v>
      </c>
      <c r="F645">
        <v>4438</v>
      </c>
      <c r="G645">
        <v>67</v>
      </c>
      <c r="H645">
        <v>2.4300000000000002</v>
      </c>
      <c r="I645">
        <v>1988</v>
      </c>
      <c r="J645">
        <v>1823</v>
      </c>
      <c r="K645">
        <v>165</v>
      </c>
      <c r="L645">
        <v>8.32</v>
      </c>
      <c r="M645">
        <v>2.2323943659999999</v>
      </c>
      <c r="N645">
        <f>E645/_xlfn.XLOOKUP(C645,Lookups!$A$2:$A$66,Lookups!$C$2:$C$66)</f>
        <v>6.5451111433967748</v>
      </c>
    </row>
    <row r="646" spans="1:27" x14ac:dyDescent="0.2">
      <c r="A646">
        <v>95</v>
      </c>
      <c r="B646">
        <v>1</v>
      </c>
      <c r="C646" t="s">
        <v>192</v>
      </c>
      <c r="D646">
        <v>2017</v>
      </c>
      <c r="E646">
        <v>4514</v>
      </c>
      <c r="F646">
        <v>4446</v>
      </c>
      <c r="G646">
        <v>68</v>
      </c>
      <c r="H646">
        <v>2.44</v>
      </c>
      <c r="I646">
        <v>1989</v>
      </c>
      <c r="J646">
        <v>1822</v>
      </c>
      <c r="K646">
        <v>167</v>
      </c>
      <c r="L646">
        <v>8.3699999999999992</v>
      </c>
      <c r="M646">
        <v>2.2352941180000001</v>
      </c>
      <c r="N646">
        <f>E646/_xlfn.XLOOKUP(C646,Lookups!$A$2:$A$66,Lookups!$C$2:$C$66)</f>
        <v>6.5581868371349703</v>
      </c>
    </row>
    <row r="647" spans="1:27" x14ac:dyDescent="0.2">
      <c r="A647">
        <v>95</v>
      </c>
      <c r="B647">
        <v>1</v>
      </c>
      <c r="C647" t="s">
        <v>192</v>
      </c>
      <c r="D647">
        <v>2018</v>
      </c>
      <c r="E647">
        <v>4515</v>
      </c>
      <c r="F647">
        <v>4447</v>
      </c>
      <c r="G647">
        <v>69</v>
      </c>
      <c r="H647">
        <v>2.44</v>
      </c>
      <c r="I647">
        <v>2010</v>
      </c>
      <c r="J647">
        <v>1819</v>
      </c>
      <c r="K647">
        <v>191</v>
      </c>
      <c r="L647">
        <v>9.48</v>
      </c>
      <c r="M647">
        <v>2.212437811</v>
      </c>
      <c r="N647">
        <f>E647/_xlfn.XLOOKUP(C647,Lookups!$A$2:$A$66,Lookups!$C$2:$C$66)</f>
        <v>6.5596396919947706</v>
      </c>
    </row>
    <row r="648" spans="1:27" x14ac:dyDescent="0.2">
      <c r="A648">
        <v>95</v>
      </c>
      <c r="B648">
        <v>1</v>
      </c>
      <c r="C648" t="s">
        <v>192</v>
      </c>
      <c r="D648">
        <v>2019</v>
      </c>
      <c r="E648">
        <v>4521</v>
      </c>
      <c r="F648">
        <v>4451</v>
      </c>
      <c r="G648">
        <v>70</v>
      </c>
      <c r="H648">
        <v>2.4500000000000002</v>
      </c>
      <c r="I648">
        <v>2021</v>
      </c>
      <c r="J648">
        <v>1818</v>
      </c>
      <c r="K648">
        <v>203</v>
      </c>
      <c r="L648">
        <v>10.06</v>
      </c>
      <c r="M648">
        <v>2.2023750620000002</v>
      </c>
      <c r="N648">
        <f>E648/_xlfn.XLOOKUP(C648,Lookups!$A$2:$A$66,Lookups!$C$2:$C$66)</f>
        <v>6.568356821153567</v>
      </c>
    </row>
    <row r="649" spans="1:27" x14ac:dyDescent="0.2">
      <c r="A649">
        <v>95</v>
      </c>
      <c r="B649">
        <v>1</v>
      </c>
      <c r="C649" t="s">
        <v>192</v>
      </c>
      <c r="D649">
        <v>2020</v>
      </c>
      <c r="E649">
        <v>4523</v>
      </c>
      <c r="F649">
        <v>4453</v>
      </c>
      <c r="G649">
        <v>70</v>
      </c>
      <c r="I649">
        <v>2026</v>
      </c>
      <c r="M649">
        <v>2.1979269499999998</v>
      </c>
      <c r="N649">
        <f>E649/_xlfn.XLOOKUP(C649,Lookups!$A$2:$A$66,Lookups!$C$2:$C$66)</f>
        <v>6.5712625308731658</v>
      </c>
      <c r="O649">
        <v>4523</v>
      </c>
      <c r="P649">
        <v>48</v>
      </c>
      <c r="Q649">
        <v>-9</v>
      </c>
      <c r="R649">
        <v>11</v>
      </c>
      <c r="S649">
        <v>57</v>
      </c>
      <c r="T649">
        <v>2026</v>
      </c>
      <c r="W649">
        <v>4453</v>
      </c>
      <c r="X649">
        <v>3</v>
      </c>
      <c r="AA649">
        <v>2.1979269499999998</v>
      </c>
    </row>
    <row r="650" spans="1:27" x14ac:dyDescent="0.2">
      <c r="A650">
        <v>95</v>
      </c>
      <c r="B650">
        <v>1</v>
      </c>
      <c r="C650" t="s">
        <v>192</v>
      </c>
      <c r="D650">
        <v>2021</v>
      </c>
      <c r="E650">
        <v>4498</v>
      </c>
      <c r="F650">
        <v>4439</v>
      </c>
      <c r="G650">
        <v>59</v>
      </c>
      <c r="I650">
        <v>2029</v>
      </c>
      <c r="M650">
        <v>2.18777723</v>
      </c>
      <c r="N650">
        <f>E650/_xlfn.XLOOKUP(C650,Lookups!$A$2:$A$66,Lookups!$C$2:$C$66)</f>
        <v>6.534941159378179</v>
      </c>
      <c r="O650">
        <v>4498</v>
      </c>
      <c r="P650">
        <v>57</v>
      </c>
      <c r="Q650">
        <v>-22</v>
      </c>
      <c r="R650">
        <v>-3</v>
      </c>
      <c r="S650">
        <v>79</v>
      </c>
      <c r="T650">
        <v>2029</v>
      </c>
      <c r="W650">
        <v>4439</v>
      </c>
      <c r="X650">
        <v>8</v>
      </c>
      <c r="AA650">
        <v>2.18777723</v>
      </c>
    </row>
    <row r="651" spans="1:27" x14ac:dyDescent="0.2">
      <c r="A651">
        <v>95</v>
      </c>
      <c r="B651">
        <v>1</v>
      </c>
      <c r="C651" t="s">
        <v>192</v>
      </c>
      <c r="D651">
        <v>2022</v>
      </c>
      <c r="E651">
        <v>4435</v>
      </c>
      <c r="F651">
        <v>4377</v>
      </c>
      <c r="G651">
        <v>58</v>
      </c>
      <c r="I651">
        <v>2037</v>
      </c>
      <c r="M651">
        <v>2.1487481590000002</v>
      </c>
      <c r="N651">
        <f>E651/_xlfn.XLOOKUP(C651,Lookups!$A$2:$A$66,Lookups!$C$2:$C$66)</f>
        <v>6.4434113032108096</v>
      </c>
      <c r="O651">
        <v>4435</v>
      </c>
      <c r="P651">
        <v>45</v>
      </c>
      <c r="Q651">
        <v>-32</v>
      </c>
      <c r="R651">
        <v>-31</v>
      </c>
      <c r="S651">
        <v>77</v>
      </c>
      <c r="T651">
        <v>2037</v>
      </c>
      <c r="W651">
        <v>4377</v>
      </c>
      <c r="X651">
        <v>10</v>
      </c>
      <c r="AA651">
        <v>2.1487481590000002</v>
      </c>
    </row>
    <row r="652" spans="1:27" x14ac:dyDescent="0.2">
      <c r="A652">
        <v>97</v>
      </c>
      <c r="B652">
        <v>12</v>
      </c>
      <c r="C652" t="s">
        <v>193</v>
      </c>
      <c r="D652">
        <v>2010</v>
      </c>
      <c r="E652">
        <v>17156</v>
      </c>
      <c r="F652">
        <v>17084</v>
      </c>
      <c r="G652">
        <v>72</v>
      </c>
      <c r="H652">
        <v>2.1800000000000002</v>
      </c>
      <c r="I652">
        <v>12488</v>
      </c>
      <c r="J652">
        <v>7825</v>
      </c>
      <c r="K652">
        <v>4663</v>
      </c>
      <c r="L652">
        <v>37.340000000000003</v>
      </c>
      <c r="M652">
        <v>1.3680333119999999</v>
      </c>
      <c r="N652">
        <f>E652/_xlfn.XLOOKUP(C652,Lookups!$A$2:$A$66,Lookups!$C$2:$C$66)</f>
        <v>17.679854076280183</v>
      </c>
    </row>
    <row r="653" spans="1:27" x14ac:dyDescent="0.2">
      <c r="A653">
        <v>97</v>
      </c>
      <c r="B653">
        <v>12</v>
      </c>
      <c r="C653" t="s">
        <v>193</v>
      </c>
      <c r="D653">
        <v>2011</v>
      </c>
      <c r="E653">
        <v>17128</v>
      </c>
      <c r="F653">
        <v>17056</v>
      </c>
      <c r="G653">
        <v>72</v>
      </c>
      <c r="H653">
        <v>2.1</v>
      </c>
      <c r="I653">
        <v>12567</v>
      </c>
      <c r="J653">
        <v>8120</v>
      </c>
      <c r="K653">
        <v>4447</v>
      </c>
      <c r="L653">
        <v>35.39</v>
      </c>
      <c r="M653">
        <v>1.357205379</v>
      </c>
      <c r="N653">
        <f>E653/_xlfn.XLOOKUP(C653,Lookups!$A$2:$A$66,Lookups!$C$2:$C$66)</f>
        <v>17.650999103434771</v>
      </c>
    </row>
    <row r="654" spans="1:27" x14ac:dyDescent="0.2">
      <c r="A654">
        <v>97</v>
      </c>
      <c r="B654">
        <v>12</v>
      </c>
      <c r="C654" t="s">
        <v>193</v>
      </c>
      <c r="D654">
        <v>2012</v>
      </c>
      <c r="E654">
        <v>17201</v>
      </c>
      <c r="F654">
        <v>17129</v>
      </c>
      <c r="G654">
        <v>72</v>
      </c>
      <c r="H654">
        <v>2.11</v>
      </c>
      <c r="I654">
        <v>12636</v>
      </c>
      <c r="J654">
        <v>8132</v>
      </c>
      <c r="K654">
        <v>4504</v>
      </c>
      <c r="L654">
        <v>35.64</v>
      </c>
      <c r="M654">
        <v>1.355571383</v>
      </c>
      <c r="N654">
        <f>E654/_xlfn.XLOOKUP(C654,Lookups!$A$2:$A$66,Lookups!$C$2:$C$66)</f>
        <v>17.726228139781732</v>
      </c>
    </row>
    <row r="655" spans="1:27" x14ac:dyDescent="0.2">
      <c r="A655">
        <v>97</v>
      </c>
      <c r="B655">
        <v>12</v>
      </c>
      <c r="C655" t="s">
        <v>193</v>
      </c>
      <c r="D655">
        <v>2013</v>
      </c>
      <c r="E655">
        <v>17321</v>
      </c>
      <c r="F655">
        <v>17249</v>
      </c>
      <c r="G655">
        <v>72</v>
      </c>
      <c r="H655">
        <v>2.11</v>
      </c>
      <c r="I655">
        <v>12699</v>
      </c>
      <c r="J655">
        <v>8166</v>
      </c>
      <c r="K655">
        <v>4533</v>
      </c>
      <c r="L655">
        <v>35.700000000000003</v>
      </c>
      <c r="M655">
        <v>1.3582959290000001</v>
      </c>
      <c r="N655">
        <f>E655/_xlfn.XLOOKUP(C655,Lookups!$A$2:$A$66,Lookups!$C$2:$C$66)</f>
        <v>17.849892309119202</v>
      </c>
    </row>
    <row r="656" spans="1:27" x14ac:dyDescent="0.2">
      <c r="A656">
        <v>97</v>
      </c>
      <c r="B656">
        <v>12</v>
      </c>
      <c r="C656" t="s">
        <v>193</v>
      </c>
      <c r="D656">
        <v>2014</v>
      </c>
      <c r="E656">
        <v>17521</v>
      </c>
      <c r="F656">
        <v>17449</v>
      </c>
      <c r="G656">
        <v>72</v>
      </c>
      <c r="H656">
        <v>2.12</v>
      </c>
      <c r="I656">
        <v>12780</v>
      </c>
      <c r="J656">
        <v>8237</v>
      </c>
      <c r="K656">
        <v>4543</v>
      </c>
      <c r="L656">
        <v>35.549999999999997</v>
      </c>
      <c r="M656">
        <v>1.365336463</v>
      </c>
      <c r="N656">
        <f>E656/_xlfn.XLOOKUP(C656,Lookups!$A$2:$A$66,Lookups!$C$2:$C$66)</f>
        <v>18.055999258014985</v>
      </c>
    </row>
    <row r="657" spans="1:27" x14ac:dyDescent="0.2">
      <c r="A657">
        <v>97</v>
      </c>
      <c r="B657">
        <v>12</v>
      </c>
      <c r="C657" t="s">
        <v>193</v>
      </c>
      <c r="D657">
        <v>2015</v>
      </c>
      <c r="E657">
        <v>17701</v>
      </c>
      <c r="F657">
        <v>17629</v>
      </c>
      <c r="G657">
        <v>72</v>
      </c>
      <c r="H657">
        <v>2.12</v>
      </c>
      <c r="I657">
        <v>12853</v>
      </c>
      <c r="J657">
        <v>8299</v>
      </c>
      <c r="K657">
        <v>4554</v>
      </c>
      <c r="L657">
        <v>35.43</v>
      </c>
      <c r="M657">
        <v>1.3715864</v>
      </c>
      <c r="N657">
        <f>E657/_xlfn.XLOOKUP(C657,Lookups!$A$2:$A$66,Lookups!$C$2:$C$66)</f>
        <v>18.241495512021189</v>
      </c>
    </row>
    <row r="658" spans="1:27" x14ac:dyDescent="0.2">
      <c r="A658">
        <v>97</v>
      </c>
      <c r="B658">
        <v>12</v>
      </c>
      <c r="C658" t="s">
        <v>193</v>
      </c>
      <c r="D658">
        <v>2016</v>
      </c>
      <c r="E658">
        <v>17691</v>
      </c>
      <c r="F658">
        <v>17619</v>
      </c>
      <c r="G658">
        <v>72</v>
      </c>
      <c r="H658">
        <v>2.13</v>
      </c>
      <c r="I658">
        <v>12940</v>
      </c>
      <c r="J658">
        <v>8271</v>
      </c>
      <c r="K658">
        <v>4669</v>
      </c>
      <c r="L658">
        <v>36.08</v>
      </c>
      <c r="M658">
        <v>1.361591963</v>
      </c>
      <c r="N658">
        <f>E658/_xlfn.XLOOKUP(C658,Lookups!$A$2:$A$66,Lookups!$C$2:$C$66)</f>
        <v>18.2311901645764</v>
      </c>
    </row>
    <row r="659" spans="1:27" x14ac:dyDescent="0.2">
      <c r="A659">
        <v>97</v>
      </c>
      <c r="B659">
        <v>12</v>
      </c>
      <c r="C659" t="s">
        <v>193</v>
      </c>
      <c r="D659">
        <v>2017</v>
      </c>
      <c r="E659">
        <v>17658</v>
      </c>
      <c r="F659">
        <v>17586</v>
      </c>
      <c r="G659">
        <v>72</v>
      </c>
      <c r="H659">
        <v>2.14</v>
      </c>
      <c r="I659">
        <v>13040</v>
      </c>
      <c r="J659">
        <v>8233</v>
      </c>
      <c r="K659">
        <v>4807</v>
      </c>
      <c r="L659">
        <v>36.86</v>
      </c>
      <c r="M659">
        <v>1.3486196319999999</v>
      </c>
      <c r="N659">
        <f>E659/_xlfn.XLOOKUP(C659,Lookups!$A$2:$A$66,Lookups!$C$2:$C$66)</f>
        <v>18.197182518008596</v>
      </c>
    </row>
    <row r="660" spans="1:27" x14ac:dyDescent="0.2">
      <c r="A660">
        <v>97</v>
      </c>
      <c r="B660">
        <v>12</v>
      </c>
      <c r="C660" t="s">
        <v>193</v>
      </c>
      <c r="D660">
        <v>2018</v>
      </c>
      <c r="E660">
        <v>17643</v>
      </c>
      <c r="F660">
        <v>17571</v>
      </c>
      <c r="G660">
        <v>72</v>
      </c>
      <c r="H660">
        <v>2.14</v>
      </c>
      <c r="I660">
        <v>13107</v>
      </c>
      <c r="J660">
        <v>8203</v>
      </c>
      <c r="K660">
        <v>4904</v>
      </c>
      <c r="L660">
        <v>37.42</v>
      </c>
      <c r="M660">
        <v>1.3405813689999999</v>
      </c>
      <c r="N660">
        <f>E660/_xlfn.XLOOKUP(C660,Lookups!$A$2:$A$66,Lookups!$C$2:$C$66)</f>
        <v>18.181724496841412</v>
      </c>
    </row>
    <row r="661" spans="1:27" x14ac:dyDescent="0.2">
      <c r="A661">
        <v>97</v>
      </c>
      <c r="B661">
        <v>12</v>
      </c>
      <c r="C661" t="s">
        <v>193</v>
      </c>
      <c r="D661">
        <v>2019</v>
      </c>
      <c r="E661">
        <v>17413</v>
      </c>
      <c r="F661">
        <v>17341</v>
      </c>
      <c r="G661">
        <v>72</v>
      </c>
      <c r="H661">
        <v>2.15</v>
      </c>
      <c r="I661">
        <v>13183</v>
      </c>
      <c r="J661">
        <v>8073</v>
      </c>
      <c r="K661">
        <v>5110</v>
      </c>
      <c r="L661">
        <v>38.76</v>
      </c>
      <c r="M661">
        <v>1.3154062049999999</v>
      </c>
      <c r="N661">
        <f>E661/_xlfn.XLOOKUP(C661,Lookups!$A$2:$A$66,Lookups!$C$2:$C$66)</f>
        <v>17.944701505611263</v>
      </c>
    </row>
    <row r="662" spans="1:27" x14ac:dyDescent="0.2">
      <c r="A662">
        <v>97</v>
      </c>
      <c r="B662">
        <v>12</v>
      </c>
      <c r="C662" t="s">
        <v>193</v>
      </c>
      <c r="D662">
        <v>2020</v>
      </c>
      <c r="E662">
        <v>17355</v>
      </c>
      <c r="F662">
        <v>17308</v>
      </c>
      <c r="G662">
        <v>47</v>
      </c>
      <c r="I662">
        <v>13260</v>
      </c>
      <c r="M662">
        <v>1.3052790350000001</v>
      </c>
      <c r="N662">
        <f>E662/_xlfn.XLOOKUP(C662,Lookups!$A$2:$A$66,Lookups!$C$2:$C$66)</f>
        <v>17.884930490431486</v>
      </c>
      <c r="O662">
        <v>17355</v>
      </c>
      <c r="P662">
        <v>146</v>
      </c>
      <c r="Q662">
        <v>87</v>
      </c>
      <c r="R662">
        <v>-145</v>
      </c>
      <c r="S662">
        <v>59</v>
      </c>
      <c r="T662">
        <v>13260</v>
      </c>
      <c r="W662">
        <v>17308</v>
      </c>
      <c r="X662">
        <v>72</v>
      </c>
      <c r="AA662">
        <v>1.3052790350000001</v>
      </c>
    </row>
    <row r="663" spans="1:27" x14ac:dyDescent="0.2">
      <c r="A663">
        <v>97</v>
      </c>
      <c r="B663">
        <v>12</v>
      </c>
      <c r="C663" t="s">
        <v>193</v>
      </c>
      <c r="D663">
        <v>2021</v>
      </c>
      <c r="E663">
        <v>17336</v>
      </c>
      <c r="F663">
        <v>17289</v>
      </c>
      <c r="G663">
        <v>47</v>
      </c>
      <c r="I663">
        <v>13315</v>
      </c>
      <c r="M663">
        <v>1.2984603830000001</v>
      </c>
      <c r="N663">
        <f>E663/_xlfn.XLOOKUP(C663,Lookups!$A$2:$A$66,Lookups!$C$2:$C$66)</f>
        <v>17.865350330286386</v>
      </c>
      <c r="O663">
        <v>17336</v>
      </c>
      <c r="P663">
        <v>128</v>
      </c>
      <c r="Q663">
        <v>45</v>
      </c>
      <c r="R663">
        <v>-64</v>
      </c>
      <c r="S663">
        <v>83</v>
      </c>
      <c r="T663">
        <v>13315</v>
      </c>
      <c r="W663">
        <v>17289</v>
      </c>
      <c r="X663">
        <v>97</v>
      </c>
      <c r="AA663">
        <v>1.2984603830000001</v>
      </c>
    </row>
    <row r="664" spans="1:27" x14ac:dyDescent="0.2">
      <c r="A664">
        <v>97</v>
      </c>
      <c r="B664">
        <v>12</v>
      </c>
      <c r="C664" t="s">
        <v>193</v>
      </c>
      <c r="D664">
        <v>2022</v>
      </c>
      <c r="E664">
        <v>16856</v>
      </c>
      <c r="F664">
        <v>16809</v>
      </c>
      <c r="G664">
        <v>47</v>
      </c>
      <c r="I664">
        <v>13504</v>
      </c>
      <c r="M664">
        <v>1.2447422990000001</v>
      </c>
      <c r="N664">
        <f>E664/_xlfn.XLOOKUP(C664,Lookups!$A$2:$A$66,Lookups!$C$2:$C$66)</f>
        <v>17.370693652936509</v>
      </c>
      <c r="O664">
        <v>16856</v>
      </c>
      <c r="P664">
        <v>119</v>
      </c>
      <c r="Q664">
        <v>52</v>
      </c>
      <c r="R664">
        <v>-532</v>
      </c>
      <c r="S664">
        <v>67</v>
      </c>
      <c r="T664">
        <v>13504</v>
      </c>
      <c r="W664">
        <v>16809</v>
      </c>
      <c r="X664">
        <v>99</v>
      </c>
      <c r="AA664">
        <v>1.2447422990000001</v>
      </c>
    </row>
    <row r="665" spans="1:27" x14ac:dyDescent="0.2">
      <c r="A665">
        <v>99</v>
      </c>
      <c r="B665">
        <v>6</v>
      </c>
      <c r="C665" t="s">
        <v>194</v>
      </c>
      <c r="D665">
        <v>2010</v>
      </c>
      <c r="E665">
        <v>12531</v>
      </c>
      <c r="F665">
        <v>12216</v>
      </c>
      <c r="G665">
        <v>315</v>
      </c>
      <c r="H665">
        <v>2.72</v>
      </c>
      <c r="I665">
        <v>5419</v>
      </c>
      <c r="J665">
        <v>4499</v>
      </c>
      <c r="K665">
        <v>920</v>
      </c>
      <c r="L665">
        <v>16.98</v>
      </c>
      <c r="M665">
        <v>2.2542904589999999</v>
      </c>
      <c r="N665">
        <f>E665/_xlfn.XLOOKUP(C665,Lookups!$A$2:$A$66,Lookups!$C$2:$C$66)</f>
        <v>7.6159161769085379</v>
      </c>
    </row>
    <row r="666" spans="1:27" x14ac:dyDescent="0.2">
      <c r="A666">
        <v>99</v>
      </c>
      <c r="B666">
        <v>6</v>
      </c>
      <c r="C666" t="s">
        <v>194</v>
      </c>
      <c r="D666">
        <v>2011</v>
      </c>
      <c r="E666">
        <v>12478</v>
      </c>
      <c r="F666">
        <v>12158</v>
      </c>
      <c r="G666">
        <v>320</v>
      </c>
      <c r="H666">
        <v>2.48</v>
      </c>
      <c r="I666">
        <v>5422</v>
      </c>
      <c r="J666">
        <v>4899</v>
      </c>
      <c r="K666">
        <v>523</v>
      </c>
      <c r="L666">
        <v>9.64</v>
      </c>
      <c r="M666">
        <v>2.2423459979999998</v>
      </c>
      <c r="N666">
        <f>E666/_xlfn.XLOOKUP(C666,Lookups!$A$2:$A$66,Lookups!$C$2:$C$66)</f>
        <v>7.5837045770860056</v>
      </c>
    </row>
    <row r="667" spans="1:27" x14ac:dyDescent="0.2">
      <c r="A667">
        <v>99</v>
      </c>
      <c r="B667">
        <v>6</v>
      </c>
      <c r="C667" t="s">
        <v>194</v>
      </c>
      <c r="D667">
        <v>2012</v>
      </c>
      <c r="E667">
        <v>12398</v>
      </c>
      <c r="F667">
        <v>12072</v>
      </c>
      <c r="G667">
        <v>326</v>
      </c>
      <c r="H667">
        <v>2.4900000000000002</v>
      </c>
      <c r="I667">
        <v>5428</v>
      </c>
      <c r="J667">
        <v>4842</v>
      </c>
      <c r="K667">
        <v>586</v>
      </c>
      <c r="L667">
        <v>10.79</v>
      </c>
      <c r="M667">
        <v>2.224023581</v>
      </c>
      <c r="N667">
        <f>E667/_xlfn.XLOOKUP(C667,Lookups!$A$2:$A$66,Lookups!$C$2:$C$66)</f>
        <v>7.5350832943350134</v>
      </c>
    </row>
    <row r="668" spans="1:27" x14ac:dyDescent="0.2">
      <c r="A668">
        <v>99</v>
      </c>
      <c r="B668">
        <v>6</v>
      </c>
      <c r="C668" t="s">
        <v>194</v>
      </c>
      <c r="D668">
        <v>2013</v>
      </c>
      <c r="E668">
        <v>12287</v>
      </c>
      <c r="F668">
        <v>11956</v>
      </c>
      <c r="G668">
        <v>331</v>
      </c>
      <c r="H668">
        <v>2.4900000000000002</v>
      </c>
      <c r="I668">
        <v>5432</v>
      </c>
      <c r="J668">
        <v>4804</v>
      </c>
      <c r="K668">
        <v>628</v>
      </c>
      <c r="L668">
        <v>11.56</v>
      </c>
      <c r="M668">
        <v>2.2010309280000002</v>
      </c>
      <c r="N668">
        <f>E668/_xlfn.XLOOKUP(C668,Lookups!$A$2:$A$66,Lookups!$C$2:$C$66)</f>
        <v>7.4676212645180113</v>
      </c>
    </row>
    <row r="669" spans="1:27" x14ac:dyDescent="0.2">
      <c r="A669">
        <v>99</v>
      </c>
      <c r="B669">
        <v>6</v>
      </c>
      <c r="C669" t="s">
        <v>194</v>
      </c>
      <c r="D669">
        <v>2014</v>
      </c>
      <c r="E669">
        <v>12023</v>
      </c>
      <c r="F669">
        <v>11687</v>
      </c>
      <c r="G669">
        <v>336</v>
      </c>
      <c r="H669">
        <v>2.46</v>
      </c>
      <c r="I669">
        <v>5437</v>
      </c>
      <c r="J669">
        <v>4756</v>
      </c>
      <c r="K669">
        <v>681</v>
      </c>
      <c r="L669">
        <v>12.52</v>
      </c>
      <c r="M669">
        <v>2.1495309909999998</v>
      </c>
      <c r="N669">
        <f>E669/_xlfn.XLOOKUP(C669,Lookups!$A$2:$A$66,Lookups!$C$2:$C$66)</f>
        <v>7.3071710314397373</v>
      </c>
    </row>
    <row r="670" spans="1:27" x14ac:dyDescent="0.2">
      <c r="A670">
        <v>99</v>
      </c>
      <c r="B670">
        <v>6</v>
      </c>
      <c r="C670" t="s">
        <v>194</v>
      </c>
      <c r="D670">
        <v>2015</v>
      </c>
      <c r="E670">
        <v>11891</v>
      </c>
      <c r="F670">
        <v>11549</v>
      </c>
      <c r="G670">
        <v>342</v>
      </c>
      <c r="H670">
        <v>2.4500000000000002</v>
      </c>
      <c r="I670">
        <v>5441</v>
      </c>
      <c r="J670">
        <v>4718</v>
      </c>
      <c r="K670">
        <v>723</v>
      </c>
      <c r="L670">
        <v>13.29</v>
      </c>
      <c r="M670">
        <v>2.12258776</v>
      </c>
      <c r="N670">
        <f>E670/_xlfn.XLOOKUP(C670,Lookups!$A$2:$A$66,Lookups!$C$2:$C$66)</f>
        <v>7.2269459149006003</v>
      </c>
    </row>
    <row r="671" spans="1:27" x14ac:dyDescent="0.2">
      <c r="A671">
        <v>99</v>
      </c>
      <c r="B671">
        <v>6</v>
      </c>
      <c r="C671" t="s">
        <v>194</v>
      </c>
      <c r="D671">
        <v>2016</v>
      </c>
      <c r="E671">
        <v>11887</v>
      </c>
      <c r="F671">
        <v>11540</v>
      </c>
      <c r="G671">
        <v>347</v>
      </c>
      <c r="H671">
        <v>2.4700000000000002</v>
      </c>
      <c r="I671">
        <v>5446</v>
      </c>
      <c r="J671">
        <v>4670</v>
      </c>
      <c r="K671">
        <v>776</v>
      </c>
      <c r="L671">
        <v>14.25</v>
      </c>
      <c r="M671">
        <v>2.1189864119999999</v>
      </c>
      <c r="N671">
        <f>E671/_xlfn.XLOOKUP(C671,Lookups!$A$2:$A$66,Lookups!$C$2:$C$66)</f>
        <v>7.2245148507630503</v>
      </c>
    </row>
    <row r="672" spans="1:27" x14ac:dyDescent="0.2">
      <c r="A672">
        <v>99</v>
      </c>
      <c r="B672">
        <v>6</v>
      </c>
      <c r="C672" t="s">
        <v>194</v>
      </c>
      <c r="D672">
        <v>2017</v>
      </c>
      <c r="E672">
        <v>11930</v>
      </c>
      <c r="F672">
        <v>11578</v>
      </c>
      <c r="G672">
        <v>352</v>
      </c>
      <c r="H672">
        <v>2.4700000000000002</v>
      </c>
      <c r="I672">
        <v>5445</v>
      </c>
      <c r="J672">
        <v>4680</v>
      </c>
      <c r="K672">
        <v>765</v>
      </c>
      <c r="L672">
        <v>14.06</v>
      </c>
      <c r="M672">
        <v>2.1263544539999999</v>
      </c>
      <c r="N672">
        <f>E672/_xlfn.XLOOKUP(C672,Lookups!$A$2:$A$66,Lookups!$C$2:$C$66)</f>
        <v>7.2506487902417094</v>
      </c>
    </row>
    <row r="673" spans="1:27" x14ac:dyDescent="0.2">
      <c r="A673">
        <v>99</v>
      </c>
      <c r="B673">
        <v>6</v>
      </c>
      <c r="C673" t="s">
        <v>194</v>
      </c>
      <c r="D673">
        <v>2018</v>
      </c>
      <c r="E673">
        <v>11971</v>
      </c>
      <c r="F673">
        <v>11614</v>
      </c>
      <c r="G673">
        <v>357</v>
      </c>
      <c r="H673">
        <v>2.44</v>
      </c>
      <c r="I673">
        <v>5436</v>
      </c>
      <c r="J673">
        <v>4766</v>
      </c>
      <c r="K673">
        <v>670</v>
      </c>
      <c r="L673">
        <v>12.33</v>
      </c>
      <c r="M673">
        <v>2.136497425</v>
      </c>
      <c r="N673">
        <f>E673/_xlfn.XLOOKUP(C673,Lookups!$A$2:$A$66,Lookups!$C$2:$C$66)</f>
        <v>7.2755671976515925</v>
      </c>
    </row>
    <row r="674" spans="1:27" x14ac:dyDescent="0.2">
      <c r="A674">
        <v>99</v>
      </c>
      <c r="B674">
        <v>6</v>
      </c>
      <c r="C674" t="s">
        <v>194</v>
      </c>
      <c r="D674">
        <v>2019</v>
      </c>
      <c r="E674">
        <v>12011</v>
      </c>
      <c r="F674">
        <v>11648</v>
      </c>
      <c r="G674">
        <v>363</v>
      </c>
      <c r="H674">
        <v>2.4300000000000002</v>
      </c>
      <c r="I674">
        <v>5433</v>
      </c>
      <c r="J674">
        <v>4794</v>
      </c>
      <c r="K674">
        <v>639</v>
      </c>
      <c r="L674">
        <v>11.76</v>
      </c>
      <c r="M674">
        <v>2.1439352110000001</v>
      </c>
      <c r="N674">
        <f>E674/_xlfn.XLOOKUP(C674,Lookups!$A$2:$A$66,Lookups!$C$2:$C$66)</f>
        <v>7.2998778390270882</v>
      </c>
    </row>
    <row r="675" spans="1:27" x14ac:dyDescent="0.2">
      <c r="A675">
        <v>99</v>
      </c>
      <c r="B675">
        <v>6</v>
      </c>
      <c r="C675" t="s">
        <v>194</v>
      </c>
      <c r="D675">
        <v>2020</v>
      </c>
      <c r="E675">
        <v>12012</v>
      </c>
      <c r="F675">
        <v>11651</v>
      </c>
      <c r="G675">
        <v>361</v>
      </c>
      <c r="I675">
        <v>5438</v>
      </c>
      <c r="M675">
        <v>2.1425156310000002</v>
      </c>
      <c r="N675">
        <f>E675/_xlfn.XLOOKUP(C675,Lookups!$A$2:$A$66,Lookups!$C$2:$C$66)</f>
        <v>7.3004856050614757</v>
      </c>
      <c r="O675">
        <v>12012</v>
      </c>
      <c r="P675">
        <v>159</v>
      </c>
      <c r="Q675">
        <v>33</v>
      </c>
      <c r="R675">
        <v>-32</v>
      </c>
      <c r="S675">
        <v>126</v>
      </c>
      <c r="T675">
        <v>5438</v>
      </c>
      <c r="W675">
        <v>11651</v>
      </c>
      <c r="X675">
        <v>15</v>
      </c>
      <c r="AA675">
        <v>2.1425156310000002</v>
      </c>
    </row>
    <row r="676" spans="1:27" x14ac:dyDescent="0.2">
      <c r="A676">
        <v>99</v>
      </c>
      <c r="B676">
        <v>6</v>
      </c>
      <c r="C676" t="s">
        <v>194</v>
      </c>
      <c r="D676">
        <v>2021</v>
      </c>
      <c r="E676">
        <v>11985</v>
      </c>
      <c r="F676">
        <v>11644</v>
      </c>
      <c r="G676">
        <v>341</v>
      </c>
      <c r="I676">
        <v>5466</v>
      </c>
      <c r="M676">
        <v>2.130259788</v>
      </c>
      <c r="N676">
        <f>E676/_xlfn.XLOOKUP(C676,Lookups!$A$2:$A$66,Lookups!$C$2:$C$66)</f>
        <v>7.2840759221330158</v>
      </c>
      <c r="O676">
        <v>11985</v>
      </c>
      <c r="P676">
        <v>144</v>
      </c>
      <c r="Q676">
        <v>-33</v>
      </c>
      <c r="R676">
        <v>6</v>
      </c>
      <c r="S676">
        <v>177</v>
      </c>
      <c r="T676">
        <v>5466</v>
      </c>
      <c r="W676">
        <v>11644</v>
      </c>
      <c r="X676">
        <v>8</v>
      </c>
      <c r="AA676">
        <v>2.130259788</v>
      </c>
    </row>
    <row r="677" spans="1:27" x14ac:dyDescent="0.2">
      <c r="A677">
        <v>99</v>
      </c>
      <c r="B677">
        <v>6</v>
      </c>
      <c r="C677" t="s">
        <v>194</v>
      </c>
      <c r="D677">
        <v>2022</v>
      </c>
      <c r="E677">
        <v>11850</v>
      </c>
      <c r="F677">
        <v>11523</v>
      </c>
      <c r="G677">
        <v>327</v>
      </c>
      <c r="I677">
        <v>5474</v>
      </c>
      <c r="M677">
        <v>2.1050420170000002</v>
      </c>
      <c r="N677">
        <f>E677/_xlfn.XLOOKUP(C677,Lookups!$A$2:$A$66,Lookups!$C$2:$C$66)</f>
        <v>7.2020275074907172</v>
      </c>
      <c r="O677">
        <v>11850</v>
      </c>
      <c r="P677">
        <v>140</v>
      </c>
      <c r="Q677">
        <v>-25</v>
      </c>
      <c r="R677">
        <v>-110</v>
      </c>
      <c r="S677">
        <v>165</v>
      </c>
      <c r="T677">
        <v>5474</v>
      </c>
      <c r="W677">
        <v>11523</v>
      </c>
      <c r="X677">
        <v>15</v>
      </c>
      <c r="AA677">
        <v>2.1050420170000002</v>
      </c>
    </row>
    <row r="678" spans="1:27" x14ac:dyDescent="0.2">
      <c r="A678">
        <v>101</v>
      </c>
      <c r="B678">
        <v>7</v>
      </c>
      <c r="C678" t="s">
        <v>195</v>
      </c>
      <c r="D678">
        <v>2010</v>
      </c>
      <c r="E678">
        <v>159496</v>
      </c>
      <c r="F678">
        <v>155175</v>
      </c>
      <c r="G678">
        <v>4321</v>
      </c>
      <c r="H678">
        <v>2.46</v>
      </c>
      <c r="I678">
        <v>69614</v>
      </c>
      <c r="J678">
        <v>63148</v>
      </c>
      <c r="K678">
        <v>6466</v>
      </c>
      <c r="L678">
        <v>9.2899999999999991</v>
      </c>
      <c r="M678">
        <v>2.2290774839999998</v>
      </c>
      <c r="N678">
        <f>E678/_xlfn.XLOOKUP(C678,Lookups!$A$2:$A$66,Lookups!$C$2:$C$66)</f>
        <v>66.546226796897486</v>
      </c>
    </row>
    <row r="679" spans="1:27" x14ac:dyDescent="0.2">
      <c r="A679">
        <v>101</v>
      </c>
      <c r="B679">
        <v>7</v>
      </c>
      <c r="C679" t="s">
        <v>195</v>
      </c>
      <c r="D679">
        <v>2011</v>
      </c>
      <c r="E679">
        <v>159838</v>
      </c>
      <c r="F679">
        <v>155934</v>
      </c>
      <c r="G679">
        <v>3904</v>
      </c>
      <c r="H679">
        <v>2.46</v>
      </c>
      <c r="I679">
        <v>69825</v>
      </c>
      <c r="J679">
        <v>63467</v>
      </c>
      <c r="K679">
        <v>6358</v>
      </c>
      <c r="L679">
        <v>9.11</v>
      </c>
      <c r="M679">
        <v>2.2332116000000002</v>
      </c>
      <c r="N679">
        <f>E679/_xlfn.XLOOKUP(C679,Lookups!$A$2:$A$66,Lookups!$C$2:$C$66)</f>
        <v>66.688918836600919</v>
      </c>
    </row>
    <row r="680" spans="1:27" x14ac:dyDescent="0.2">
      <c r="A680">
        <v>101</v>
      </c>
      <c r="B680">
        <v>7</v>
      </c>
      <c r="C680" t="s">
        <v>195</v>
      </c>
      <c r="D680">
        <v>2012</v>
      </c>
      <c r="E680">
        <v>160327</v>
      </c>
      <c r="F680">
        <v>156264</v>
      </c>
      <c r="G680">
        <v>4063</v>
      </c>
      <c r="H680">
        <v>2.46</v>
      </c>
      <c r="I680">
        <v>69927</v>
      </c>
      <c r="J680">
        <v>63612</v>
      </c>
      <c r="K680">
        <v>6315</v>
      </c>
      <c r="L680">
        <v>9.0299999999999994</v>
      </c>
      <c r="M680">
        <v>2.234673302</v>
      </c>
      <c r="N680">
        <f>E680/_xlfn.XLOOKUP(C680,Lookups!$A$2:$A$66,Lookups!$C$2:$C$66)</f>
        <v>66.892943419685665</v>
      </c>
    </row>
    <row r="681" spans="1:27" x14ac:dyDescent="0.2">
      <c r="A681">
        <v>101</v>
      </c>
      <c r="B681">
        <v>7</v>
      </c>
      <c r="C681" t="s">
        <v>195</v>
      </c>
      <c r="D681">
        <v>2013</v>
      </c>
      <c r="E681">
        <v>160565</v>
      </c>
      <c r="F681">
        <v>156556</v>
      </c>
      <c r="G681">
        <v>4009</v>
      </c>
      <c r="H681">
        <v>2.46</v>
      </c>
      <c r="I681">
        <v>70176</v>
      </c>
      <c r="J681">
        <v>63742</v>
      </c>
      <c r="K681">
        <v>6434</v>
      </c>
      <c r="L681">
        <v>9.17</v>
      </c>
      <c r="M681">
        <v>2.2309051530000001</v>
      </c>
      <c r="N681">
        <f>E681/_xlfn.XLOOKUP(C681,Lookups!$A$2:$A$66,Lookups!$C$2:$C$66)</f>
        <v>66.992243728017286</v>
      </c>
    </row>
    <row r="682" spans="1:27" x14ac:dyDescent="0.2">
      <c r="A682">
        <v>101</v>
      </c>
      <c r="B682">
        <v>7</v>
      </c>
      <c r="C682" t="s">
        <v>195</v>
      </c>
      <c r="D682">
        <v>2014</v>
      </c>
      <c r="E682">
        <v>160867</v>
      </c>
      <c r="F682">
        <v>156926</v>
      </c>
      <c r="G682">
        <v>3941</v>
      </c>
      <c r="H682">
        <v>2.46</v>
      </c>
      <c r="I682">
        <v>70410</v>
      </c>
      <c r="J682">
        <v>63902</v>
      </c>
      <c r="K682">
        <v>6508</v>
      </c>
      <c r="L682">
        <v>9.24</v>
      </c>
      <c r="M682">
        <v>2.2287459169999999</v>
      </c>
      <c r="N682">
        <f>E682/_xlfn.XLOOKUP(C682,Lookups!$A$2:$A$66,Lookups!$C$2:$C$66)</f>
        <v>67.11824664027003</v>
      </c>
    </row>
    <row r="683" spans="1:27" x14ac:dyDescent="0.2">
      <c r="A683">
        <v>101</v>
      </c>
      <c r="B683">
        <v>7</v>
      </c>
      <c r="C683" t="s">
        <v>195</v>
      </c>
      <c r="D683">
        <v>2015</v>
      </c>
      <c r="E683">
        <v>162449</v>
      </c>
      <c r="F683">
        <v>158542</v>
      </c>
      <c r="G683">
        <v>3907</v>
      </c>
      <c r="H683">
        <v>2.46</v>
      </c>
      <c r="I683">
        <v>70455</v>
      </c>
      <c r="J683">
        <v>64572</v>
      </c>
      <c r="K683">
        <v>5883</v>
      </c>
      <c r="L683">
        <v>8.35</v>
      </c>
      <c r="M683">
        <v>2.2502590310000001</v>
      </c>
      <c r="N683">
        <f>E683/_xlfn.XLOOKUP(C683,Lookups!$A$2:$A$66,Lookups!$C$2:$C$66)</f>
        <v>67.778301630944981</v>
      </c>
    </row>
    <row r="684" spans="1:27" x14ac:dyDescent="0.2">
      <c r="A684">
        <v>101</v>
      </c>
      <c r="B684">
        <v>7</v>
      </c>
      <c r="C684" t="s">
        <v>195</v>
      </c>
      <c r="D684">
        <v>2016</v>
      </c>
      <c r="E684">
        <v>164124</v>
      </c>
      <c r="F684">
        <v>160238</v>
      </c>
      <c r="G684">
        <v>3886</v>
      </c>
      <c r="H684">
        <v>2.4500000000000002</v>
      </c>
      <c r="I684">
        <v>70696</v>
      </c>
      <c r="J684">
        <v>65275</v>
      </c>
      <c r="K684">
        <v>5421</v>
      </c>
      <c r="L684">
        <v>7.67</v>
      </c>
      <c r="M684">
        <v>2.2665780240000002</v>
      </c>
      <c r="N684">
        <f>E684/_xlfn.XLOOKUP(C684,Lookups!$A$2:$A$66,Lookups!$C$2:$C$66)</f>
        <v>68.477158842942799</v>
      </c>
    </row>
    <row r="685" spans="1:27" x14ac:dyDescent="0.2">
      <c r="A685">
        <v>101</v>
      </c>
      <c r="B685">
        <v>7</v>
      </c>
      <c r="C685" t="s">
        <v>195</v>
      </c>
      <c r="D685">
        <v>2017</v>
      </c>
      <c r="E685">
        <v>165549</v>
      </c>
      <c r="F685">
        <v>161565</v>
      </c>
      <c r="G685">
        <v>3984</v>
      </c>
      <c r="H685">
        <v>2.4500000000000002</v>
      </c>
      <c r="I685">
        <v>70831</v>
      </c>
      <c r="J685">
        <v>65825</v>
      </c>
      <c r="K685">
        <v>5006</v>
      </c>
      <c r="L685">
        <v>7.07</v>
      </c>
      <c r="M685">
        <v>2.2809927860000001</v>
      </c>
      <c r="N685">
        <f>E685/_xlfn.XLOOKUP(C685,Lookups!$A$2:$A$66,Lookups!$C$2:$C$66)</f>
        <v>69.071709008373773</v>
      </c>
    </row>
    <row r="686" spans="1:27" x14ac:dyDescent="0.2">
      <c r="A686">
        <v>101</v>
      </c>
      <c r="B686">
        <v>7</v>
      </c>
      <c r="C686" t="s">
        <v>195</v>
      </c>
      <c r="D686">
        <v>2018</v>
      </c>
      <c r="E686">
        <v>166686</v>
      </c>
      <c r="F686">
        <v>162731</v>
      </c>
      <c r="G686">
        <v>3955</v>
      </c>
      <c r="H686">
        <v>2.4500000000000002</v>
      </c>
      <c r="I686">
        <v>71066</v>
      </c>
      <c r="J686">
        <v>66311</v>
      </c>
      <c r="K686">
        <v>4755</v>
      </c>
      <c r="L686">
        <v>6.69</v>
      </c>
      <c r="M686">
        <v>2.289857316</v>
      </c>
      <c r="N686">
        <f>E686/_xlfn.XLOOKUP(C686,Lookups!$A$2:$A$66,Lookups!$C$2:$C$66)</f>
        <v>69.546097456159742</v>
      </c>
    </row>
    <row r="687" spans="1:27" x14ac:dyDescent="0.2">
      <c r="A687">
        <v>101</v>
      </c>
      <c r="B687">
        <v>7</v>
      </c>
      <c r="C687" t="s">
        <v>195</v>
      </c>
      <c r="D687">
        <v>2019</v>
      </c>
      <c r="E687">
        <v>167485</v>
      </c>
      <c r="F687">
        <v>163539</v>
      </c>
      <c r="G687">
        <v>3946</v>
      </c>
      <c r="H687">
        <v>2.4500000000000002</v>
      </c>
      <c r="I687">
        <v>71576</v>
      </c>
      <c r="J687">
        <v>66652</v>
      </c>
      <c r="K687">
        <v>4924</v>
      </c>
      <c r="L687">
        <v>6.88</v>
      </c>
      <c r="M687">
        <v>2.2848301110000002</v>
      </c>
      <c r="N687">
        <f>E687/_xlfn.XLOOKUP(C687,Lookups!$A$2:$A$66,Lookups!$C$2:$C$66)</f>
        <v>69.879462776987367</v>
      </c>
    </row>
    <row r="688" spans="1:27" x14ac:dyDescent="0.2">
      <c r="A688">
        <v>101</v>
      </c>
      <c r="B688">
        <v>7</v>
      </c>
      <c r="C688" t="s">
        <v>195</v>
      </c>
      <c r="D688">
        <v>2020</v>
      </c>
      <c r="E688">
        <v>168311</v>
      </c>
      <c r="F688">
        <v>164967</v>
      </c>
      <c r="G688">
        <v>3344</v>
      </c>
      <c r="I688">
        <v>72144</v>
      </c>
      <c r="M688">
        <v>2.2866350629999999</v>
      </c>
      <c r="N688">
        <f>E688/_xlfn.XLOOKUP(C688,Lookups!$A$2:$A$66,Lookups!$C$2:$C$66)</f>
        <v>70.224093258844192</v>
      </c>
      <c r="O688">
        <v>168311</v>
      </c>
      <c r="P688">
        <v>1729</v>
      </c>
      <c r="Q688">
        <v>-270</v>
      </c>
      <c r="R688">
        <v>1096</v>
      </c>
      <c r="S688">
        <v>1999</v>
      </c>
      <c r="T688">
        <v>72144</v>
      </c>
      <c r="W688">
        <v>164967</v>
      </c>
      <c r="X688">
        <v>579</v>
      </c>
      <c r="AA688">
        <v>2.2866350629999999</v>
      </c>
    </row>
    <row r="689" spans="1:27" x14ac:dyDescent="0.2">
      <c r="A689">
        <v>101</v>
      </c>
      <c r="B689">
        <v>7</v>
      </c>
      <c r="C689" t="s">
        <v>195</v>
      </c>
      <c r="D689">
        <v>2021</v>
      </c>
      <c r="E689">
        <v>169272</v>
      </c>
      <c r="F689">
        <v>166035</v>
      </c>
      <c r="G689">
        <v>3237</v>
      </c>
      <c r="I689">
        <v>73047</v>
      </c>
      <c r="M689">
        <v>2.2729886239999999</v>
      </c>
      <c r="N689">
        <f>E689/_xlfn.XLOOKUP(C689,Lookups!$A$2:$A$66,Lookups!$C$2:$C$66)</f>
        <v>70.625049545847119</v>
      </c>
      <c r="O689">
        <v>169272</v>
      </c>
      <c r="P689">
        <v>1690</v>
      </c>
      <c r="Q689">
        <v>-709</v>
      </c>
      <c r="R689">
        <v>1670</v>
      </c>
      <c r="S689">
        <v>2399</v>
      </c>
      <c r="T689">
        <v>73047</v>
      </c>
      <c r="W689">
        <v>166035</v>
      </c>
      <c r="X689">
        <v>742</v>
      </c>
      <c r="AA689">
        <v>2.2729886239999999</v>
      </c>
    </row>
    <row r="690" spans="1:27" x14ac:dyDescent="0.2">
      <c r="A690">
        <v>101</v>
      </c>
      <c r="B690">
        <v>7</v>
      </c>
      <c r="C690" t="s">
        <v>195</v>
      </c>
      <c r="D690">
        <v>2022</v>
      </c>
      <c r="E690">
        <v>169383</v>
      </c>
      <c r="F690">
        <v>165925</v>
      </c>
      <c r="G690">
        <v>3458</v>
      </c>
      <c r="I690">
        <v>73971</v>
      </c>
      <c r="M690">
        <v>2.2431087860000001</v>
      </c>
      <c r="N690">
        <f>E690/_xlfn.XLOOKUP(C690,Lookups!$A$2:$A$66,Lookups!$C$2:$C$66)</f>
        <v>70.671361874522802</v>
      </c>
      <c r="O690">
        <v>169383</v>
      </c>
      <c r="P690">
        <v>1709</v>
      </c>
      <c r="Q690">
        <v>-896</v>
      </c>
      <c r="R690">
        <v>1007</v>
      </c>
      <c r="S690">
        <v>2605</v>
      </c>
      <c r="T690">
        <v>73971</v>
      </c>
      <c r="W690">
        <v>165925</v>
      </c>
      <c r="X690">
        <v>497</v>
      </c>
      <c r="AA690">
        <v>2.2431087860000001</v>
      </c>
    </row>
    <row r="691" spans="1:27" x14ac:dyDescent="0.2">
      <c r="A691">
        <v>103</v>
      </c>
      <c r="B691">
        <v>11</v>
      </c>
      <c r="C691" t="s">
        <v>196</v>
      </c>
      <c r="D691">
        <v>2010</v>
      </c>
      <c r="E691">
        <v>6617</v>
      </c>
      <c r="F691">
        <v>6382</v>
      </c>
      <c r="G691">
        <v>235</v>
      </c>
      <c r="H691">
        <v>2.52</v>
      </c>
      <c r="I691">
        <v>3172</v>
      </c>
      <c r="J691">
        <v>2531</v>
      </c>
      <c r="K691">
        <v>641</v>
      </c>
      <c r="L691">
        <v>20.21</v>
      </c>
      <c r="M691">
        <v>2.0119798229999999</v>
      </c>
      <c r="N691">
        <f>E691/_xlfn.XLOOKUP(C691,Lookups!$A$2:$A$66,Lookups!$C$2:$C$66)</f>
        <v>2.0509943463598495</v>
      </c>
    </row>
    <row r="692" spans="1:27" x14ac:dyDescent="0.2">
      <c r="A692">
        <v>103</v>
      </c>
      <c r="B692">
        <v>11</v>
      </c>
      <c r="C692" t="s">
        <v>196</v>
      </c>
      <c r="D692">
        <v>2011</v>
      </c>
      <c r="E692">
        <v>6736</v>
      </c>
      <c r="F692">
        <v>6369</v>
      </c>
      <c r="G692">
        <v>367</v>
      </c>
      <c r="H692">
        <v>2.4300000000000002</v>
      </c>
      <c r="I692">
        <v>3195</v>
      </c>
      <c r="J692">
        <v>2620</v>
      </c>
      <c r="K692">
        <v>575</v>
      </c>
      <c r="L692">
        <v>17.98</v>
      </c>
      <c r="M692">
        <v>1.99342723</v>
      </c>
      <c r="N692">
        <f>E692/_xlfn.XLOOKUP(C692,Lookups!$A$2:$A$66,Lookups!$C$2:$C$66)</f>
        <v>2.087879389010117</v>
      </c>
    </row>
    <row r="693" spans="1:27" x14ac:dyDescent="0.2">
      <c r="A693">
        <v>103</v>
      </c>
      <c r="B693">
        <v>11</v>
      </c>
      <c r="C693" t="s">
        <v>196</v>
      </c>
      <c r="D693">
        <v>2012</v>
      </c>
      <c r="E693">
        <v>6793</v>
      </c>
      <c r="F693">
        <v>6359</v>
      </c>
      <c r="G693">
        <v>434</v>
      </c>
      <c r="H693">
        <v>2.4300000000000002</v>
      </c>
      <c r="I693">
        <v>3213</v>
      </c>
      <c r="J693">
        <v>2616</v>
      </c>
      <c r="K693">
        <v>597</v>
      </c>
      <c r="L693">
        <v>18.579999999999998</v>
      </c>
      <c r="M693">
        <v>1.9791472139999999</v>
      </c>
      <c r="N693">
        <f>E693/_xlfn.XLOOKUP(C693,Lookups!$A$2:$A$66,Lookups!$C$2:$C$66)</f>
        <v>2.105547014481254</v>
      </c>
    </row>
    <row r="694" spans="1:27" x14ac:dyDescent="0.2">
      <c r="A694">
        <v>103</v>
      </c>
      <c r="B694">
        <v>11</v>
      </c>
      <c r="C694" t="s">
        <v>196</v>
      </c>
      <c r="D694">
        <v>2013</v>
      </c>
      <c r="E694">
        <v>6764</v>
      </c>
      <c r="F694">
        <v>6358</v>
      </c>
      <c r="G694">
        <v>406</v>
      </c>
      <c r="H694">
        <v>2.4300000000000002</v>
      </c>
      <c r="I694">
        <v>3214</v>
      </c>
      <c r="J694">
        <v>2616</v>
      </c>
      <c r="K694">
        <v>598</v>
      </c>
      <c r="L694">
        <v>18.61</v>
      </c>
      <c r="M694">
        <v>1.978220286</v>
      </c>
      <c r="N694">
        <f>E694/_xlfn.XLOOKUP(C694,Lookups!$A$2:$A$66,Lookups!$C$2:$C$66)</f>
        <v>2.096558222574886</v>
      </c>
    </row>
    <row r="695" spans="1:27" x14ac:dyDescent="0.2">
      <c r="A695">
        <v>103</v>
      </c>
      <c r="B695">
        <v>11</v>
      </c>
      <c r="C695" t="s">
        <v>196</v>
      </c>
      <c r="D695">
        <v>2014</v>
      </c>
      <c r="E695">
        <v>6644</v>
      </c>
      <c r="F695">
        <v>6354</v>
      </c>
      <c r="G695">
        <v>290</v>
      </c>
      <c r="H695">
        <v>2.4300000000000002</v>
      </c>
      <c r="I695">
        <v>3223</v>
      </c>
      <c r="J695">
        <v>2614</v>
      </c>
      <c r="K695">
        <v>609</v>
      </c>
      <c r="L695">
        <v>18.91</v>
      </c>
      <c r="M695">
        <v>1.9714551659999999</v>
      </c>
      <c r="N695">
        <f>E695/_xlfn.XLOOKUP(C695,Lookups!$A$2:$A$66,Lookups!$C$2:$C$66)</f>
        <v>2.0593632215830193</v>
      </c>
    </row>
    <row r="696" spans="1:27" x14ac:dyDescent="0.2">
      <c r="A696">
        <v>103</v>
      </c>
      <c r="B696">
        <v>11</v>
      </c>
      <c r="C696" t="s">
        <v>196</v>
      </c>
      <c r="D696">
        <v>2015</v>
      </c>
      <c r="E696">
        <v>6621</v>
      </c>
      <c r="F696">
        <v>6352</v>
      </c>
      <c r="G696">
        <v>269</v>
      </c>
      <c r="H696">
        <v>2.4300000000000002</v>
      </c>
      <c r="I696">
        <v>3226</v>
      </c>
      <c r="J696">
        <v>2613</v>
      </c>
      <c r="K696">
        <v>613</v>
      </c>
      <c r="L696">
        <v>19.010000000000002</v>
      </c>
      <c r="M696">
        <v>1.9690018600000001</v>
      </c>
      <c r="N696">
        <f>E696/_xlfn.XLOOKUP(C696,Lookups!$A$2:$A$66,Lookups!$C$2:$C$66)</f>
        <v>2.0522341797262449</v>
      </c>
    </row>
    <row r="697" spans="1:27" x14ac:dyDescent="0.2">
      <c r="A697">
        <v>103</v>
      </c>
      <c r="B697">
        <v>11</v>
      </c>
      <c r="C697" t="s">
        <v>196</v>
      </c>
      <c r="D697">
        <v>2016</v>
      </c>
      <c r="E697">
        <v>6616</v>
      </c>
      <c r="F697">
        <v>6349</v>
      </c>
      <c r="G697">
        <v>267</v>
      </c>
      <c r="H697">
        <v>2.4300000000000002</v>
      </c>
      <c r="I697">
        <v>3232</v>
      </c>
      <c r="J697">
        <v>2611</v>
      </c>
      <c r="K697">
        <v>621</v>
      </c>
      <c r="L697">
        <v>19.2</v>
      </c>
      <c r="M697">
        <v>1.964418317</v>
      </c>
      <c r="N697">
        <f>E697/_xlfn.XLOOKUP(C697,Lookups!$A$2:$A$66,Lookups!$C$2:$C$66)</f>
        <v>2.0506843880182504</v>
      </c>
    </row>
    <row r="698" spans="1:27" x14ac:dyDescent="0.2">
      <c r="A698">
        <v>103</v>
      </c>
      <c r="B698">
        <v>11</v>
      </c>
      <c r="C698" t="s">
        <v>196</v>
      </c>
      <c r="D698">
        <v>2017</v>
      </c>
      <c r="E698">
        <v>6568</v>
      </c>
      <c r="F698">
        <v>6344</v>
      </c>
      <c r="G698">
        <v>224</v>
      </c>
      <c r="H698">
        <v>2.4300000000000002</v>
      </c>
      <c r="I698">
        <v>3241</v>
      </c>
      <c r="J698">
        <v>2609</v>
      </c>
      <c r="K698">
        <v>632</v>
      </c>
      <c r="L698">
        <v>19.489999999999998</v>
      </c>
      <c r="M698">
        <v>1.9574205490000001</v>
      </c>
      <c r="N698">
        <f>E698/_xlfn.XLOOKUP(C698,Lookups!$A$2:$A$66,Lookups!$C$2:$C$66)</f>
        <v>2.0358063876215038</v>
      </c>
    </row>
    <row r="699" spans="1:27" x14ac:dyDescent="0.2">
      <c r="A699">
        <v>103</v>
      </c>
      <c r="B699">
        <v>11</v>
      </c>
      <c r="C699" t="s">
        <v>196</v>
      </c>
      <c r="D699">
        <v>2018</v>
      </c>
      <c r="E699">
        <v>6588</v>
      </c>
      <c r="F699">
        <v>6338</v>
      </c>
      <c r="G699">
        <v>250</v>
      </c>
      <c r="H699">
        <v>2.4300000000000002</v>
      </c>
      <c r="I699">
        <v>3252</v>
      </c>
      <c r="J699">
        <v>2607</v>
      </c>
      <c r="K699">
        <v>645</v>
      </c>
      <c r="L699">
        <v>19.850000000000001</v>
      </c>
      <c r="M699">
        <v>1.94895449</v>
      </c>
      <c r="N699">
        <f>E699/_xlfn.XLOOKUP(C699,Lookups!$A$2:$A$66,Lookups!$C$2:$C$66)</f>
        <v>2.0420055544534814</v>
      </c>
    </row>
    <row r="700" spans="1:27" x14ac:dyDescent="0.2">
      <c r="A700">
        <v>103</v>
      </c>
      <c r="B700">
        <v>11</v>
      </c>
      <c r="C700" t="s">
        <v>196</v>
      </c>
      <c r="D700">
        <v>2019</v>
      </c>
      <c r="E700">
        <v>6528</v>
      </c>
      <c r="F700">
        <v>6328</v>
      </c>
      <c r="G700">
        <v>200</v>
      </c>
      <c r="H700">
        <v>2.4300000000000002</v>
      </c>
      <c r="I700">
        <v>3269</v>
      </c>
      <c r="J700">
        <v>2602</v>
      </c>
      <c r="K700">
        <v>667</v>
      </c>
      <c r="L700">
        <v>20.39</v>
      </c>
      <c r="M700">
        <v>1.9357601710000001</v>
      </c>
      <c r="N700">
        <f>E700/_xlfn.XLOOKUP(C700,Lookups!$A$2:$A$66,Lookups!$C$2:$C$66)</f>
        <v>2.0234080539575481</v>
      </c>
    </row>
    <row r="701" spans="1:27" x14ac:dyDescent="0.2">
      <c r="A701">
        <v>103</v>
      </c>
      <c r="B701">
        <v>11</v>
      </c>
      <c r="C701" t="s">
        <v>196</v>
      </c>
      <c r="D701">
        <v>2020</v>
      </c>
      <c r="E701">
        <v>6521</v>
      </c>
      <c r="F701">
        <v>6301</v>
      </c>
      <c r="G701">
        <v>220</v>
      </c>
      <c r="I701">
        <v>3279</v>
      </c>
      <c r="M701">
        <v>1.921622446</v>
      </c>
      <c r="N701">
        <f>E701/_xlfn.XLOOKUP(C701,Lookups!$A$2:$A$66,Lookups!$C$2:$C$66)</f>
        <v>2.0212383455663558</v>
      </c>
      <c r="O701">
        <v>6521</v>
      </c>
      <c r="P701">
        <v>54</v>
      </c>
      <c r="Q701">
        <v>8</v>
      </c>
      <c r="R701">
        <v>-15</v>
      </c>
      <c r="S701">
        <v>46</v>
      </c>
      <c r="T701">
        <v>3279</v>
      </c>
      <c r="W701">
        <v>6301</v>
      </c>
      <c r="X701">
        <v>8</v>
      </c>
      <c r="AA701">
        <v>1.921622446</v>
      </c>
    </row>
    <row r="702" spans="1:27" x14ac:dyDescent="0.2">
      <c r="A702">
        <v>103</v>
      </c>
      <c r="B702">
        <v>11</v>
      </c>
      <c r="C702" t="s">
        <v>196</v>
      </c>
      <c r="D702">
        <v>2021</v>
      </c>
      <c r="E702">
        <v>6443</v>
      </c>
      <c r="F702">
        <v>6258</v>
      </c>
      <c r="G702">
        <v>185</v>
      </c>
      <c r="I702">
        <v>3284</v>
      </c>
      <c r="M702">
        <v>1.905602923</v>
      </c>
      <c r="N702">
        <f>E702/_xlfn.XLOOKUP(C702,Lookups!$A$2:$A$66,Lookups!$C$2:$C$66)</f>
        <v>1.9970615949216426</v>
      </c>
      <c r="O702">
        <v>6443</v>
      </c>
      <c r="P702">
        <v>57</v>
      </c>
      <c r="Q702">
        <v>-11</v>
      </c>
      <c r="R702">
        <v>-67</v>
      </c>
      <c r="S702">
        <v>68</v>
      </c>
      <c r="T702">
        <v>3284</v>
      </c>
      <c r="W702">
        <v>6258</v>
      </c>
      <c r="X702">
        <v>12</v>
      </c>
      <c r="AA702">
        <v>1.905602923</v>
      </c>
    </row>
    <row r="703" spans="1:27" x14ac:dyDescent="0.2">
      <c r="A703">
        <v>103</v>
      </c>
      <c r="B703">
        <v>11</v>
      </c>
      <c r="C703" t="s">
        <v>196</v>
      </c>
      <c r="D703">
        <v>2022</v>
      </c>
      <c r="E703">
        <v>6558</v>
      </c>
      <c r="F703">
        <v>6352</v>
      </c>
      <c r="G703">
        <v>206</v>
      </c>
      <c r="I703">
        <v>3296</v>
      </c>
      <c r="M703">
        <v>1.9271844659999999</v>
      </c>
      <c r="N703">
        <f>E703/_xlfn.XLOOKUP(C703,Lookups!$A$2:$A$66,Lookups!$C$2:$C$66)</f>
        <v>2.0327068042055148</v>
      </c>
      <c r="O703">
        <v>6558</v>
      </c>
      <c r="P703">
        <v>63</v>
      </c>
      <c r="Q703">
        <v>-9</v>
      </c>
      <c r="R703">
        <v>124</v>
      </c>
      <c r="S703">
        <v>72</v>
      </c>
      <c r="T703">
        <v>3296</v>
      </c>
      <c r="W703">
        <v>6352</v>
      </c>
      <c r="X703">
        <v>32</v>
      </c>
      <c r="AA703">
        <v>1.9271844659999999</v>
      </c>
    </row>
    <row r="704" spans="1:27" x14ac:dyDescent="0.2">
      <c r="A704">
        <v>105</v>
      </c>
      <c r="B704">
        <v>8</v>
      </c>
      <c r="C704" t="s">
        <v>197</v>
      </c>
      <c r="D704">
        <v>2010</v>
      </c>
      <c r="E704">
        <v>12001</v>
      </c>
      <c r="F704">
        <v>11803</v>
      </c>
      <c r="G704">
        <v>198</v>
      </c>
      <c r="H704">
        <v>2.6</v>
      </c>
      <c r="I704">
        <v>6266</v>
      </c>
      <c r="J704">
        <v>4534</v>
      </c>
      <c r="K704">
        <v>1732</v>
      </c>
      <c r="L704">
        <v>27.64</v>
      </c>
      <c r="M704">
        <v>1.883657836</v>
      </c>
      <c r="N704">
        <f>E704/_xlfn.XLOOKUP(C704,Lookups!$A$2:$A$66,Lookups!$C$2:$C$66)</f>
        <v>13.14313875807688</v>
      </c>
    </row>
    <row r="705" spans="1:27" x14ac:dyDescent="0.2">
      <c r="A705">
        <v>105</v>
      </c>
      <c r="B705">
        <v>8</v>
      </c>
      <c r="C705" t="s">
        <v>197</v>
      </c>
      <c r="D705">
        <v>2011</v>
      </c>
      <c r="E705">
        <v>11957</v>
      </c>
      <c r="F705">
        <v>11765</v>
      </c>
      <c r="G705">
        <v>192</v>
      </c>
      <c r="H705">
        <v>2.46</v>
      </c>
      <c r="I705">
        <v>6301</v>
      </c>
      <c r="J705">
        <v>4788</v>
      </c>
      <c r="K705">
        <v>1513</v>
      </c>
      <c r="L705">
        <v>24.02</v>
      </c>
      <c r="M705">
        <v>1.8671639419999999</v>
      </c>
      <c r="N705">
        <f>E705/_xlfn.XLOOKUP(C705,Lookups!$A$2:$A$66,Lookups!$C$2:$C$66)</f>
        <v>13.094951264921695</v>
      </c>
    </row>
    <row r="706" spans="1:27" x14ac:dyDescent="0.2">
      <c r="A706">
        <v>105</v>
      </c>
      <c r="B706">
        <v>8</v>
      </c>
      <c r="C706" t="s">
        <v>197</v>
      </c>
      <c r="D706">
        <v>2012</v>
      </c>
      <c r="E706">
        <v>11912</v>
      </c>
      <c r="F706">
        <v>11727</v>
      </c>
      <c r="G706">
        <v>185</v>
      </c>
      <c r="H706">
        <v>2.4500000000000002</v>
      </c>
      <c r="I706">
        <v>6327</v>
      </c>
      <c r="J706">
        <v>4788</v>
      </c>
      <c r="K706">
        <v>1539</v>
      </c>
      <c r="L706">
        <v>24.33</v>
      </c>
      <c r="M706">
        <v>1.853485064</v>
      </c>
      <c r="N706">
        <f>E706/_xlfn.XLOOKUP(C706,Lookups!$A$2:$A$66,Lookups!$C$2:$C$66)</f>
        <v>13.045668601467527</v>
      </c>
    </row>
    <row r="707" spans="1:27" x14ac:dyDescent="0.2">
      <c r="A707">
        <v>105</v>
      </c>
      <c r="B707">
        <v>8</v>
      </c>
      <c r="C707" t="s">
        <v>197</v>
      </c>
      <c r="D707">
        <v>2013</v>
      </c>
      <c r="E707">
        <v>11868</v>
      </c>
      <c r="F707">
        <v>11689</v>
      </c>
      <c r="G707">
        <v>179</v>
      </c>
      <c r="H707">
        <v>2.44</v>
      </c>
      <c r="I707">
        <v>6365</v>
      </c>
      <c r="J707">
        <v>4788</v>
      </c>
      <c r="K707">
        <v>1577</v>
      </c>
      <c r="L707">
        <v>24.77</v>
      </c>
      <c r="M707">
        <v>1.8364493319999999</v>
      </c>
      <c r="N707">
        <f>E707/_xlfn.XLOOKUP(C707,Lookups!$A$2:$A$66,Lookups!$C$2:$C$66)</f>
        <v>12.997481108312343</v>
      </c>
    </row>
    <row r="708" spans="1:27" x14ac:dyDescent="0.2">
      <c r="A708">
        <v>105</v>
      </c>
      <c r="B708">
        <v>8</v>
      </c>
      <c r="C708" t="s">
        <v>197</v>
      </c>
      <c r="D708">
        <v>2014</v>
      </c>
      <c r="E708">
        <v>11823</v>
      </c>
      <c r="F708">
        <v>11651</v>
      </c>
      <c r="G708">
        <v>172</v>
      </c>
      <c r="H708">
        <v>2.4300000000000002</v>
      </c>
      <c r="I708">
        <v>6384</v>
      </c>
      <c r="J708">
        <v>4789</v>
      </c>
      <c r="K708">
        <v>1595</v>
      </c>
      <c r="L708">
        <v>24.99</v>
      </c>
      <c r="M708">
        <v>1.8250313279999999</v>
      </c>
      <c r="N708">
        <f>E708/_xlfn.XLOOKUP(C708,Lookups!$A$2:$A$66,Lookups!$C$2:$C$66)</f>
        <v>12.948198444858175</v>
      </c>
    </row>
    <row r="709" spans="1:27" x14ac:dyDescent="0.2">
      <c r="A709">
        <v>105</v>
      </c>
      <c r="B709">
        <v>8</v>
      </c>
      <c r="C709" t="s">
        <v>197</v>
      </c>
      <c r="D709">
        <v>2015</v>
      </c>
      <c r="E709">
        <v>11778</v>
      </c>
      <c r="F709">
        <v>11612</v>
      </c>
      <c r="G709">
        <v>166</v>
      </c>
      <c r="H709">
        <v>2.42</v>
      </c>
      <c r="I709">
        <v>6407</v>
      </c>
      <c r="J709">
        <v>4789</v>
      </c>
      <c r="K709">
        <v>1618</v>
      </c>
      <c r="L709">
        <v>25.25</v>
      </c>
      <c r="M709">
        <v>1.812392695</v>
      </c>
      <c r="N709">
        <f>E709/_xlfn.XLOOKUP(C709,Lookups!$A$2:$A$66,Lookups!$C$2:$C$66)</f>
        <v>12.898915781404009</v>
      </c>
    </row>
    <row r="710" spans="1:27" x14ac:dyDescent="0.2">
      <c r="A710">
        <v>105</v>
      </c>
      <c r="B710">
        <v>8</v>
      </c>
      <c r="C710" t="s">
        <v>197</v>
      </c>
      <c r="D710">
        <v>2016</v>
      </c>
      <c r="E710">
        <v>11734</v>
      </c>
      <c r="F710">
        <v>11574</v>
      </c>
      <c r="G710">
        <v>160</v>
      </c>
      <c r="H710">
        <v>2.42</v>
      </c>
      <c r="I710">
        <v>6431</v>
      </c>
      <c r="J710">
        <v>4789</v>
      </c>
      <c r="K710">
        <v>1642</v>
      </c>
      <c r="L710">
        <v>25.53</v>
      </c>
      <c r="M710">
        <v>1.7997201060000001</v>
      </c>
      <c r="N710">
        <f>E710/_xlfn.XLOOKUP(C710,Lookups!$A$2:$A$66,Lookups!$C$2:$C$66)</f>
        <v>12.850728288248822</v>
      </c>
    </row>
    <row r="711" spans="1:27" x14ac:dyDescent="0.2">
      <c r="A711">
        <v>105</v>
      </c>
      <c r="B711">
        <v>8</v>
      </c>
      <c r="C711" t="s">
        <v>197</v>
      </c>
      <c r="D711">
        <v>2017</v>
      </c>
      <c r="E711">
        <v>11688</v>
      </c>
      <c r="F711">
        <v>11535</v>
      </c>
      <c r="G711">
        <v>153</v>
      </c>
      <c r="H711">
        <v>2.41</v>
      </c>
      <c r="I711">
        <v>6440</v>
      </c>
      <c r="J711">
        <v>4790</v>
      </c>
      <c r="K711">
        <v>1650</v>
      </c>
      <c r="L711">
        <v>25.63</v>
      </c>
      <c r="M711">
        <v>1.791149068</v>
      </c>
      <c r="N711">
        <f>E711/_xlfn.XLOOKUP(C711,Lookups!$A$2:$A$66,Lookups!$C$2:$C$66)</f>
        <v>12.800350454495673</v>
      </c>
    </row>
    <row r="712" spans="1:27" x14ac:dyDescent="0.2">
      <c r="A712">
        <v>105</v>
      </c>
      <c r="B712">
        <v>8</v>
      </c>
      <c r="C712" t="s">
        <v>197</v>
      </c>
      <c r="D712">
        <v>2018</v>
      </c>
      <c r="E712">
        <v>11644</v>
      </c>
      <c r="F712">
        <v>11498</v>
      </c>
      <c r="G712">
        <v>147</v>
      </c>
      <c r="H712">
        <v>2.4</v>
      </c>
      <c r="I712">
        <v>6483</v>
      </c>
      <c r="J712">
        <v>4790</v>
      </c>
      <c r="K712">
        <v>1693</v>
      </c>
      <c r="L712">
        <v>26.11</v>
      </c>
      <c r="M712">
        <v>1.773561623</v>
      </c>
      <c r="N712">
        <f>E712/_xlfn.XLOOKUP(C712,Lookups!$A$2:$A$66,Lookups!$C$2:$C$66)</f>
        <v>12.752162961340488</v>
      </c>
    </row>
    <row r="713" spans="1:27" x14ac:dyDescent="0.2">
      <c r="A713">
        <v>105</v>
      </c>
      <c r="B713">
        <v>8</v>
      </c>
      <c r="C713" t="s">
        <v>197</v>
      </c>
      <c r="D713">
        <v>2019</v>
      </c>
      <c r="E713">
        <v>11600</v>
      </c>
      <c r="F713">
        <v>11459</v>
      </c>
      <c r="G713">
        <v>140</v>
      </c>
      <c r="H713">
        <v>2.39</v>
      </c>
      <c r="I713">
        <v>6506</v>
      </c>
      <c r="J713">
        <v>4791</v>
      </c>
      <c r="K713">
        <v>1715</v>
      </c>
      <c r="L713">
        <v>26.37</v>
      </c>
      <c r="M713">
        <v>1.761297264</v>
      </c>
      <c r="N713">
        <f>E713/_xlfn.XLOOKUP(C713,Lookups!$A$2:$A$66,Lookups!$C$2:$C$66)</f>
        <v>12.703975468185302</v>
      </c>
    </row>
    <row r="714" spans="1:27" x14ac:dyDescent="0.2">
      <c r="A714">
        <v>105</v>
      </c>
      <c r="B714">
        <v>8</v>
      </c>
      <c r="C714" t="s">
        <v>197</v>
      </c>
      <c r="D714">
        <v>2020</v>
      </c>
      <c r="E714">
        <v>11536</v>
      </c>
      <c r="F714">
        <v>11402</v>
      </c>
      <c r="G714">
        <v>134</v>
      </c>
      <c r="I714">
        <v>6533</v>
      </c>
      <c r="M714">
        <v>1.7452931270000001</v>
      </c>
      <c r="N714">
        <f>E714/_xlfn.XLOOKUP(C714,Lookups!$A$2:$A$66,Lookups!$C$2:$C$66)</f>
        <v>12.633884569050487</v>
      </c>
      <c r="O714">
        <v>11536</v>
      </c>
      <c r="P714">
        <v>111</v>
      </c>
      <c r="Q714">
        <v>-35</v>
      </c>
      <c r="R714">
        <v>-29</v>
      </c>
      <c r="S714">
        <v>146</v>
      </c>
      <c r="T714">
        <v>6533</v>
      </c>
      <c r="W714">
        <v>11402</v>
      </c>
      <c r="X714">
        <v>31</v>
      </c>
      <c r="AA714">
        <v>1.7452931270000001</v>
      </c>
    </row>
    <row r="715" spans="1:27" x14ac:dyDescent="0.2">
      <c r="A715">
        <v>105</v>
      </c>
      <c r="B715">
        <v>8</v>
      </c>
      <c r="C715" t="s">
        <v>197</v>
      </c>
      <c r="D715">
        <v>2021</v>
      </c>
      <c r="E715">
        <v>11404</v>
      </c>
      <c r="F715">
        <v>11280</v>
      </c>
      <c r="G715">
        <v>124</v>
      </c>
      <c r="I715">
        <v>6563</v>
      </c>
      <c r="M715">
        <v>1.7187261920000001</v>
      </c>
      <c r="N715">
        <f>E715/_xlfn.XLOOKUP(C715,Lookups!$A$2:$A$66,Lookups!$C$2:$C$66)</f>
        <v>12.489322089584929</v>
      </c>
      <c r="O715">
        <v>11404</v>
      </c>
      <c r="P715">
        <v>122</v>
      </c>
      <c r="Q715">
        <v>-39</v>
      </c>
      <c r="R715">
        <v>-93</v>
      </c>
      <c r="S715">
        <v>161</v>
      </c>
      <c r="T715">
        <v>6563</v>
      </c>
      <c r="W715">
        <v>11280</v>
      </c>
      <c r="X715">
        <v>35</v>
      </c>
      <c r="AA715">
        <v>1.7187261920000001</v>
      </c>
    </row>
    <row r="716" spans="1:27" x14ac:dyDescent="0.2">
      <c r="A716">
        <v>105</v>
      </c>
      <c r="B716">
        <v>8</v>
      </c>
      <c r="C716" t="s">
        <v>197</v>
      </c>
      <c r="D716">
        <v>2022</v>
      </c>
      <c r="E716">
        <v>11336</v>
      </c>
      <c r="F716">
        <v>11229</v>
      </c>
      <c r="G716">
        <v>107</v>
      </c>
      <c r="I716">
        <v>6606</v>
      </c>
      <c r="M716">
        <v>1.6998183469999999</v>
      </c>
      <c r="N716">
        <f>E716/_xlfn.XLOOKUP(C716,Lookups!$A$2:$A$66,Lookups!$C$2:$C$66)</f>
        <v>12.414850509254189</v>
      </c>
      <c r="O716">
        <v>11336</v>
      </c>
      <c r="P716">
        <v>109</v>
      </c>
      <c r="Q716">
        <v>-62</v>
      </c>
      <c r="R716">
        <v>-6</v>
      </c>
      <c r="S716">
        <v>171</v>
      </c>
      <c r="T716">
        <v>6606</v>
      </c>
      <c r="W716">
        <v>11229</v>
      </c>
      <c r="X716">
        <v>48</v>
      </c>
      <c r="AA716">
        <v>1.6998183469999999</v>
      </c>
    </row>
    <row r="717" spans="1:27" x14ac:dyDescent="0.2">
      <c r="A717">
        <v>107</v>
      </c>
      <c r="B717">
        <v>11</v>
      </c>
      <c r="C717" t="s">
        <v>198</v>
      </c>
      <c r="D717">
        <v>2010</v>
      </c>
      <c r="E717">
        <v>23439</v>
      </c>
      <c r="F717">
        <v>23104</v>
      </c>
      <c r="G717">
        <v>335</v>
      </c>
      <c r="H717">
        <v>2.4500000000000002</v>
      </c>
      <c r="I717">
        <v>15591</v>
      </c>
      <c r="J717">
        <v>9440</v>
      </c>
      <c r="K717">
        <v>6151</v>
      </c>
      <c r="L717">
        <v>39.450000000000003</v>
      </c>
      <c r="M717">
        <v>1.4818805719999999</v>
      </c>
      <c r="N717">
        <f>E717/_xlfn.XLOOKUP(C717,Lookups!$A$2:$A$66,Lookups!$C$2:$C$66)</f>
        <v>9.9229079086071348</v>
      </c>
    </row>
    <row r="718" spans="1:27" x14ac:dyDescent="0.2">
      <c r="A718">
        <v>107</v>
      </c>
      <c r="B718">
        <v>11</v>
      </c>
      <c r="C718" t="s">
        <v>198</v>
      </c>
      <c r="D718">
        <v>2011</v>
      </c>
      <c r="E718">
        <v>23485</v>
      </c>
      <c r="F718">
        <v>23148</v>
      </c>
      <c r="G718">
        <v>337</v>
      </c>
      <c r="H718">
        <v>2.34</v>
      </c>
      <c r="I718">
        <v>15617</v>
      </c>
      <c r="J718">
        <v>9876</v>
      </c>
      <c r="K718">
        <v>5741</v>
      </c>
      <c r="L718">
        <v>36.76</v>
      </c>
      <c r="M718">
        <v>1.482230902</v>
      </c>
      <c r="N718">
        <f>E718/_xlfn.XLOOKUP(C718,Lookups!$A$2:$A$66,Lookups!$C$2:$C$66)</f>
        <v>9.9423820228524491</v>
      </c>
    </row>
    <row r="719" spans="1:27" x14ac:dyDescent="0.2">
      <c r="A719">
        <v>107</v>
      </c>
      <c r="B719">
        <v>11</v>
      </c>
      <c r="C719" t="s">
        <v>198</v>
      </c>
      <c r="D719">
        <v>2012</v>
      </c>
      <c r="E719">
        <v>23525</v>
      </c>
      <c r="F719">
        <v>23186</v>
      </c>
      <c r="G719">
        <v>338</v>
      </c>
      <c r="H719">
        <v>2.35</v>
      </c>
      <c r="I719">
        <v>15638</v>
      </c>
      <c r="J719">
        <v>9887</v>
      </c>
      <c r="K719">
        <v>5751</v>
      </c>
      <c r="L719">
        <v>36.78</v>
      </c>
      <c r="M719">
        <v>1.4826704180000001</v>
      </c>
      <c r="N719">
        <f>E719/_xlfn.XLOOKUP(C719,Lookups!$A$2:$A$66,Lookups!$C$2:$C$66)</f>
        <v>9.959316035239679</v>
      </c>
    </row>
    <row r="720" spans="1:27" x14ac:dyDescent="0.2">
      <c r="A720">
        <v>107</v>
      </c>
      <c r="B720">
        <v>11</v>
      </c>
      <c r="C720" t="s">
        <v>198</v>
      </c>
      <c r="D720">
        <v>2013</v>
      </c>
      <c r="E720">
        <v>23578</v>
      </c>
      <c r="F720">
        <v>23238</v>
      </c>
      <c r="G720">
        <v>340</v>
      </c>
      <c r="H720">
        <v>2.35</v>
      </c>
      <c r="I720">
        <v>15670</v>
      </c>
      <c r="J720">
        <v>9903</v>
      </c>
      <c r="K720">
        <v>5767</v>
      </c>
      <c r="L720">
        <v>36.799999999999997</v>
      </c>
      <c r="M720">
        <v>1.4829610719999999</v>
      </c>
      <c r="N720">
        <f>E720/_xlfn.XLOOKUP(C720,Lookups!$A$2:$A$66,Lookups!$C$2:$C$66)</f>
        <v>9.981753601652759</v>
      </c>
    </row>
    <row r="721" spans="1:27" x14ac:dyDescent="0.2">
      <c r="A721">
        <v>107</v>
      </c>
      <c r="B721">
        <v>11</v>
      </c>
      <c r="C721" t="s">
        <v>198</v>
      </c>
      <c r="D721">
        <v>2014</v>
      </c>
      <c r="E721">
        <v>23659</v>
      </c>
      <c r="F721">
        <v>23318</v>
      </c>
      <c r="G721">
        <v>341</v>
      </c>
      <c r="H721">
        <v>2.35</v>
      </c>
      <c r="I721">
        <v>15725</v>
      </c>
      <c r="J721">
        <v>9932</v>
      </c>
      <c r="K721">
        <v>5793</v>
      </c>
      <c r="L721">
        <v>36.840000000000003</v>
      </c>
      <c r="M721">
        <v>1.482861685</v>
      </c>
      <c r="N721">
        <f>E721/_xlfn.XLOOKUP(C721,Lookups!$A$2:$A$66,Lookups!$C$2:$C$66)</f>
        <v>10.0160449767369</v>
      </c>
    </row>
    <row r="722" spans="1:27" x14ac:dyDescent="0.2">
      <c r="A722">
        <v>107</v>
      </c>
      <c r="B722">
        <v>11</v>
      </c>
      <c r="C722" t="s">
        <v>198</v>
      </c>
      <c r="D722">
        <v>2015</v>
      </c>
      <c r="E722">
        <v>23824</v>
      </c>
      <c r="F722">
        <v>23481</v>
      </c>
      <c r="G722">
        <v>343</v>
      </c>
      <c r="H722">
        <v>2.35</v>
      </c>
      <c r="I722">
        <v>15848</v>
      </c>
      <c r="J722">
        <v>9996</v>
      </c>
      <c r="K722">
        <v>5852</v>
      </c>
      <c r="L722">
        <v>36.93</v>
      </c>
      <c r="M722">
        <v>1.481638062</v>
      </c>
      <c r="N722">
        <f>E722/_xlfn.XLOOKUP(C722,Lookups!$A$2:$A$66,Lookups!$C$2:$C$66)</f>
        <v>10.085897777834225</v>
      </c>
    </row>
    <row r="723" spans="1:27" x14ac:dyDescent="0.2">
      <c r="A723">
        <v>107</v>
      </c>
      <c r="B723">
        <v>11</v>
      </c>
      <c r="C723" t="s">
        <v>198</v>
      </c>
      <c r="D723">
        <v>2016</v>
      </c>
      <c r="E723">
        <v>23952</v>
      </c>
      <c r="F723">
        <v>23608</v>
      </c>
      <c r="G723">
        <v>345</v>
      </c>
      <c r="H723">
        <v>2.35</v>
      </c>
      <c r="I723">
        <v>15941</v>
      </c>
      <c r="J723">
        <v>10045</v>
      </c>
      <c r="K723">
        <v>5896</v>
      </c>
      <c r="L723">
        <v>36.99</v>
      </c>
      <c r="M723">
        <v>1.4809610440000001</v>
      </c>
      <c r="N723">
        <f>E723/_xlfn.XLOOKUP(C723,Lookups!$A$2:$A$66,Lookups!$C$2:$C$66)</f>
        <v>10.14008661747336</v>
      </c>
    </row>
    <row r="724" spans="1:27" x14ac:dyDescent="0.2">
      <c r="A724">
        <v>107</v>
      </c>
      <c r="B724">
        <v>11</v>
      </c>
      <c r="C724" t="s">
        <v>198</v>
      </c>
      <c r="D724">
        <v>2017</v>
      </c>
      <c r="E724">
        <v>24162</v>
      </c>
      <c r="F724">
        <v>23816</v>
      </c>
      <c r="G724">
        <v>346</v>
      </c>
      <c r="H724">
        <v>2.35</v>
      </c>
      <c r="I724">
        <v>16100</v>
      </c>
      <c r="J724">
        <v>10127</v>
      </c>
      <c r="K724">
        <v>5973</v>
      </c>
      <c r="L724">
        <v>37.1</v>
      </c>
      <c r="M724">
        <v>1.4792546579999999</v>
      </c>
      <c r="N724">
        <f>E724/_xlfn.XLOOKUP(C724,Lookups!$A$2:$A$66,Lookups!$C$2:$C$66)</f>
        <v>10.228990182506317</v>
      </c>
    </row>
    <row r="725" spans="1:27" x14ac:dyDescent="0.2">
      <c r="A725">
        <v>107</v>
      </c>
      <c r="B725">
        <v>11</v>
      </c>
      <c r="C725" t="s">
        <v>198</v>
      </c>
      <c r="D725">
        <v>2018</v>
      </c>
      <c r="E725">
        <v>24314</v>
      </c>
      <c r="F725">
        <v>23966</v>
      </c>
      <c r="G725">
        <v>348</v>
      </c>
      <c r="H725">
        <v>2.35</v>
      </c>
      <c r="I725">
        <v>16212</v>
      </c>
      <c r="J725">
        <v>10186</v>
      </c>
      <c r="K725">
        <v>6026</v>
      </c>
      <c r="L725">
        <v>37.17</v>
      </c>
      <c r="M725">
        <v>1.478287688</v>
      </c>
      <c r="N725">
        <f>E725/_xlfn.XLOOKUP(C725,Lookups!$A$2:$A$66,Lookups!$C$2:$C$66)</f>
        <v>10.293339429577792</v>
      </c>
    </row>
    <row r="726" spans="1:27" x14ac:dyDescent="0.2">
      <c r="A726">
        <v>107</v>
      </c>
      <c r="B726">
        <v>11</v>
      </c>
      <c r="C726" t="s">
        <v>198</v>
      </c>
      <c r="D726">
        <v>2019</v>
      </c>
      <c r="E726">
        <v>24521</v>
      </c>
      <c r="F726">
        <v>24171</v>
      </c>
      <c r="G726">
        <v>349</v>
      </c>
      <c r="H726">
        <v>2.35</v>
      </c>
      <c r="I726">
        <v>16369</v>
      </c>
      <c r="J726">
        <v>10268</v>
      </c>
      <c r="K726">
        <v>6101</v>
      </c>
      <c r="L726">
        <v>37.270000000000003</v>
      </c>
      <c r="M726">
        <v>1.4766326590000001</v>
      </c>
      <c r="N726">
        <f>E726/_xlfn.XLOOKUP(C726,Lookups!$A$2:$A$66,Lookups!$C$2:$C$66)</f>
        <v>10.380972943681707</v>
      </c>
    </row>
    <row r="727" spans="1:27" x14ac:dyDescent="0.2">
      <c r="A727">
        <v>107</v>
      </c>
      <c r="B727">
        <v>11</v>
      </c>
      <c r="C727" t="s">
        <v>198</v>
      </c>
      <c r="D727">
        <v>2020</v>
      </c>
      <c r="E727">
        <v>24834</v>
      </c>
      <c r="F727">
        <v>24483</v>
      </c>
      <c r="G727">
        <v>351</v>
      </c>
      <c r="I727">
        <v>16572</v>
      </c>
      <c r="M727">
        <v>1.47737147</v>
      </c>
      <c r="N727">
        <f>E727/_xlfn.XLOOKUP(C727,Lookups!$A$2:$A$66,Lookups!$C$2:$C$66)</f>
        <v>10.513481590611782</v>
      </c>
      <c r="O727">
        <v>24834</v>
      </c>
      <c r="P727">
        <v>194</v>
      </c>
      <c r="Q727">
        <v>64</v>
      </c>
      <c r="R727">
        <v>249</v>
      </c>
      <c r="S727">
        <v>130</v>
      </c>
      <c r="T727">
        <v>16572</v>
      </c>
      <c r="W727">
        <v>24483</v>
      </c>
      <c r="X727">
        <v>285</v>
      </c>
      <c r="AA727">
        <v>1.47737147</v>
      </c>
    </row>
    <row r="728" spans="1:27" x14ac:dyDescent="0.2">
      <c r="A728">
        <v>107</v>
      </c>
      <c r="B728">
        <v>11</v>
      </c>
      <c r="C728" t="s">
        <v>198</v>
      </c>
      <c r="D728">
        <v>2021</v>
      </c>
      <c r="E728">
        <v>25061</v>
      </c>
      <c r="F728">
        <v>24779</v>
      </c>
      <c r="G728">
        <v>282</v>
      </c>
      <c r="I728">
        <v>16824</v>
      </c>
      <c r="M728">
        <v>1.472836424</v>
      </c>
      <c r="N728">
        <f>E728/_xlfn.XLOOKUP(C728,Lookups!$A$2:$A$66,Lookups!$C$2:$C$66)</f>
        <v>10.609582110909313</v>
      </c>
      <c r="O728">
        <v>25061</v>
      </c>
      <c r="P728">
        <v>182</v>
      </c>
      <c r="Q728">
        <v>65</v>
      </c>
      <c r="R728">
        <v>162</v>
      </c>
      <c r="S728">
        <v>117</v>
      </c>
      <c r="T728">
        <v>16824</v>
      </c>
      <c r="W728">
        <v>24779</v>
      </c>
      <c r="X728">
        <v>215</v>
      </c>
      <c r="AA728">
        <v>1.472836424</v>
      </c>
    </row>
    <row r="729" spans="1:27" x14ac:dyDescent="0.2">
      <c r="A729">
        <v>107</v>
      </c>
      <c r="B729">
        <v>11</v>
      </c>
      <c r="C729" t="s">
        <v>198</v>
      </c>
      <c r="D729">
        <v>2022</v>
      </c>
      <c r="E729">
        <v>25027</v>
      </c>
      <c r="F729">
        <v>24687</v>
      </c>
      <c r="G729">
        <v>340</v>
      </c>
      <c r="I729">
        <v>17102</v>
      </c>
      <c r="M729">
        <v>1.4435153780000001</v>
      </c>
      <c r="N729">
        <f>E729/_xlfn.XLOOKUP(C729,Lookups!$A$2:$A$66,Lookups!$C$2:$C$66)</f>
        <v>10.595188200380168</v>
      </c>
      <c r="O729">
        <v>25027</v>
      </c>
      <c r="P729">
        <v>219</v>
      </c>
      <c r="Q729">
        <v>74</v>
      </c>
      <c r="R729">
        <v>-108</v>
      </c>
      <c r="S729">
        <v>145</v>
      </c>
      <c r="T729">
        <v>17102</v>
      </c>
      <c r="W729">
        <v>24687</v>
      </c>
      <c r="X729">
        <v>438</v>
      </c>
      <c r="AA729">
        <v>1.4435153780000001</v>
      </c>
    </row>
    <row r="730" spans="1:27" x14ac:dyDescent="0.2">
      <c r="A730">
        <v>109</v>
      </c>
      <c r="B730">
        <v>8</v>
      </c>
      <c r="C730" t="s">
        <v>199</v>
      </c>
      <c r="D730">
        <v>2010</v>
      </c>
      <c r="E730">
        <v>6144</v>
      </c>
      <c r="F730">
        <v>6126</v>
      </c>
      <c r="G730">
        <v>18</v>
      </c>
      <c r="H730">
        <v>2.72</v>
      </c>
      <c r="I730">
        <v>3231</v>
      </c>
      <c r="J730">
        <v>2249</v>
      </c>
      <c r="K730">
        <v>982</v>
      </c>
      <c r="L730">
        <v>30.39</v>
      </c>
      <c r="M730">
        <v>1.8960074280000001</v>
      </c>
      <c r="N730">
        <f>E730/_xlfn.XLOOKUP(C730,Lookups!$A$2:$A$66,Lookups!$C$2:$C$66)</f>
        <v>1.939198060801939</v>
      </c>
    </row>
    <row r="731" spans="1:27" x14ac:dyDescent="0.2">
      <c r="A731">
        <v>109</v>
      </c>
      <c r="B731">
        <v>8</v>
      </c>
      <c r="C731" t="s">
        <v>199</v>
      </c>
      <c r="D731">
        <v>2011</v>
      </c>
      <c r="E731">
        <v>6156</v>
      </c>
      <c r="F731">
        <v>6136</v>
      </c>
      <c r="G731">
        <v>20</v>
      </c>
      <c r="H731">
        <v>2.2999999999999998</v>
      </c>
      <c r="I731">
        <v>3266</v>
      </c>
      <c r="J731">
        <v>2665</v>
      </c>
      <c r="K731">
        <v>601</v>
      </c>
      <c r="L731">
        <v>18.39</v>
      </c>
      <c r="M731">
        <v>1.8787507649999999</v>
      </c>
      <c r="N731">
        <f>E731/_xlfn.XLOOKUP(C731,Lookups!$A$2:$A$66,Lookups!$C$2:$C$66)</f>
        <v>1.942985557014443</v>
      </c>
    </row>
    <row r="732" spans="1:27" x14ac:dyDescent="0.2">
      <c r="A732">
        <v>109</v>
      </c>
      <c r="B732">
        <v>8</v>
      </c>
      <c r="C732" t="s">
        <v>199</v>
      </c>
      <c r="D732">
        <v>2012</v>
      </c>
      <c r="E732">
        <v>6158</v>
      </c>
      <c r="F732">
        <v>6137</v>
      </c>
      <c r="G732">
        <v>21</v>
      </c>
      <c r="H732">
        <v>2.29</v>
      </c>
      <c r="I732">
        <v>3290</v>
      </c>
      <c r="J732">
        <v>2675</v>
      </c>
      <c r="K732">
        <v>615</v>
      </c>
      <c r="L732">
        <v>18.71</v>
      </c>
      <c r="M732">
        <v>1.8653495440000001</v>
      </c>
      <c r="N732">
        <f>E732/_xlfn.XLOOKUP(C732,Lookups!$A$2:$A$66,Lookups!$C$2:$C$66)</f>
        <v>1.9436168063831936</v>
      </c>
    </row>
    <row r="733" spans="1:27" x14ac:dyDescent="0.2">
      <c r="A733">
        <v>109</v>
      </c>
      <c r="B733">
        <v>8</v>
      </c>
      <c r="C733" t="s">
        <v>199</v>
      </c>
      <c r="D733">
        <v>2013</v>
      </c>
      <c r="E733">
        <v>6166</v>
      </c>
      <c r="F733">
        <v>6144</v>
      </c>
      <c r="G733">
        <v>23</v>
      </c>
      <c r="H733">
        <v>2.29</v>
      </c>
      <c r="I733">
        <v>3321</v>
      </c>
      <c r="J733">
        <v>2686</v>
      </c>
      <c r="K733">
        <v>635</v>
      </c>
      <c r="L733">
        <v>19.11</v>
      </c>
      <c r="M733">
        <v>1.850045167</v>
      </c>
      <c r="N733">
        <f>E733/_xlfn.XLOOKUP(C733,Lookups!$A$2:$A$66,Lookups!$C$2:$C$66)</f>
        <v>1.9461418038581961</v>
      </c>
    </row>
    <row r="734" spans="1:27" x14ac:dyDescent="0.2">
      <c r="A734">
        <v>109</v>
      </c>
      <c r="B734">
        <v>8</v>
      </c>
      <c r="C734" t="s">
        <v>199</v>
      </c>
      <c r="D734">
        <v>2014</v>
      </c>
      <c r="E734">
        <v>6175</v>
      </c>
      <c r="F734">
        <v>6151</v>
      </c>
      <c r="G734">
        <v>24</v>
      </c>
      <c r="H734">
        <v>2.2799999999999998</v>
      </c>
      <c r="I734">
        <v>3353</v>
      </c>
      <c r="J734">
        <v>2699</v>
      </c>
      <c r="K734">
        <v>654</v>
      </c>
      <c r="L734">
        <v>19.510000000000002</v>
      </c>
      <c r="M734">
        <v>1.834476588</v>
      </c>
      <c r="N734">
        <f>E734/_xlfn.XLOOKUP(C734,Lookups!$A$2:$A$66,Lookups!$C$2:$C$66)</f>
        <v>1.9489824260175739</v>
      </c>
    </row>
    <row r="735" spans="1:27" x14ac:dyDescent="0.2">
      <c r="A735">
        <v>109</v>
      </c>
      <c r="B735">
        <v>8</v>
      </c>
      <c r="C735" t="s">
        <v>199</v>
      </c>
      <c r="D735">
        <v>2015</v>
      </c>
      <c r="E735">
        <v>6183</v>
      </c>
      <c r="F735">
        <v>6157</v>
      </c>
      <c r="G735">
        <v>26</v>
      </c>
      <c r="H735">
        <v>2.27</v>
      </c>
      <c r="I735">
        <v>3384</v>
      </c>
      <c r="J735">
        <v>2711</v>
      </c>
      <c r="K735">
        <v>673</v>
      </c>
      <c r="L735">
        <v>19.899999999999999</v>
      </c>
      <c r="M735">
        <v>1.8194444439999999</v>
      </c>
      <c r="N735">
        <f>E735/_xlfn.XLOOKUP(C735,Lookups!$A$2:$A$66,Lookups!$C$2:$C$66)</f>
        <v>1.9515074234925764</v>
      </c>
    </row>
    <row r="736" spans="1:27" x14ac:dyDescent="0.2">
      <c r="A736">
        <v>109</v>
      </c>
      <c r="B736">
        <v>8</v>
      </c>
      <c r="C736" t="s">
        <v>199</v>
      </c>
      <c r="D736">
        <v>2016</v>
      </c>
      <c r="E736">
        <v>6188</v>
      </c>
      <c r="F736">
        <v>6160</v>
      </c>
      <c r="G736">
        <v>28</v>
      </c>
      <c r="H736">
        <v>2.2599999999999998</v>
      </c>
      <c r="I736">
        <v>3412</v>
      </c>
      <c r="J736">
        <v>2721</v>
      </c>
      <c r="K736">
        <v>691</v>
      </c>
      <c r="L736">
        <v>20.239999999999998</v>
      </c>
      <c r="M736">
        <v>1.8053927320000001</v>
      </c>
      <c r="N736">
        <f>E736/_xlfn.XLOOKUP(C736,Lookups!$A$2:$A$66,Lookups!$C$2:$C$66)</f>
        <v>1.953085546914453</v>
      </c>
    </row>
    <row r="737" spans="1:27" x14ac:dyDescent="0.2">
      <c r="A737">
        <v>109</v>
      </c>
      <c r="B737">
        <v>8</v>
      </c>
      <c r="C737" t="s">
        <v>199</v>
      </c>
      <c r="D737">
        <v>2017</v>
      </c>
      <c r="E737">
        <v>6214</v>
      </c>
      <c r="F737">
        <v>6184</v>
      </c>
      <c r="G737">
        <v>29</v>
      </c>
      <c r="H737">
        <v>2.2599999999999998</v>
      </c>
      <c r="I737">
        <v>3464</v>
      </c>
      <c r="J737">
        <v>2741</v>
      </c>
      <c r="K737">
        <v>723</v>
      </c>
      <c r="L737">
        <v>20.86</v>
      </c>
      <c r="M737">
        <v>1.7852193999999999</v>
      </c>
      <c r="N737">
        <f>E737/_xlfn.XLOOKUP(C737,Lookups!$A$2:$A$66,Lookups!$C$2:$C$66)</f>
        <v>1.9612917887082111</v>
      </c>
    </row>
    <row r="738" spans="1:27" x14ac:dyDescent="0.2">
      <c r="A738">
        <v>109</v>
      </c>
      <c r="B738">
        <v>8</v>
      </c>
      <c r="C738" t="s">
        <v>199</v>
      </c>
      <c r="D738">
        <v>2018</v>
      </c>
      <c r="E738">
        <v>6276</v>
      </c>
      <c r="F738">
        <v>6245</v>
      </c>
      <c r="G738">
        <v>31</v>
      </c>
      <c r="H738">
        <v>2.25</v>
      </c>
      <c r="I738">
        <v>3559</v>
      </c>
      <c r="J738">
        <v>2778</v>
      </c>
      <c r="K738">
        <v>781</v>
      </c>
      <c r="L738">
        <v>21.95</v>
      </c>
      <c r="M738">
        <v>1.7547063780000001</v>
      </c>
      <c r="N738">
        <f>E738/_xlfn.XLOOKUP(C738,Lookups!$A$2:$A$66,Lookups!$C$2:$C$66)</f>
        <v>1.9808605191394808</v>
      </c>
    </row>
    <row r="739" spans="1:27" x14ac:dyDescent="0.2">
      <c r="A739">
        <v>109</v>
      </c>
      <c r="B739">
        <v>8</v>
      </c>
      <c r="C739" t="s">
        <v>199</v>
      </c>
      <c r="D739">
        <v>2019</v>
      </c>
      <c r="E739">
        <v>6359</v>
      </c>
      <c r="F739">
        <v>6327</v>
      </c>
      <c r="G739">
        <v>32</v>
      </c>
      <c r="H739">
        <v>2.2400000000000002</v>
      </c>
      <c r="I739">
        <v>3679</v>
      </c>
      <c r="J739">
        <v>2824</v>
      </c>
      <c r="K739">
        <v>855</v>
      </c>
      <c r="L739">
        <v>23.25</v>
      </c>
      <c r="M739">
        <v>1.7197608049999999</v>
      </c>
      <c r="N739">
        <f>E739/_xlfn.XLOOKUP(C739,Lookups!$A$2:$A$66,Lookups!$C$2:$C$66)</f>
        <v>2.007057367942632</v>
      </c>
    </row>
    <row r="740" spans="1:27" x14ac:dyDescent="0.2">
      <c r="A740">
        <v>109</v>
      </c>
      <c r="B740">
        <v>8</v>
      </c>
      <c r="C740" t="s">
        <v>199</v>
      </c>
      <c r="D740">
        <v>2020</v>
      </c>
      <c r="E740">
        <v>6390</v>
      </c>
      <c r="F740">
        <v>6374</v>
      </c>
      <c r="G740">
        <v>16</v>
      </c>
      <c r="I740">
        <v>3760</v>
      </c>
      <c r="M740">
        <v>1.695212766</v>
      </c>
      <c r="N740">
        <f>E740/_xlfn.XLOOKUP(C740,Lookups!$A$2:$A$66,Lookups!$C$2:$C$66)</f>
        <v>2.0168417331582669</v>
      </c>
      <c r="O740">
        <v>6390</v>
      </c>
      <c r="P740">
        <v>41</v>
      </c>
      <c r="Q740">
        <v>-7</v>
      </c>
      <c r="R740">
        <v>38</v>
      </c>
      <c r="S740">
        <v>48</v>
      </c>
      <c r="T740">
        <v>3760</v>
      </c>
      <c r="W740">
        <v>6374</v>
      </c>
      <c r="X740">
        <v>54</v>
      </c>
      <c r="AA740">
        <v>1.695212766</v>
      </c>
    </row>
    <row r="741" spans="1:27" x14ac:dyDescent="0.2">
      <c r="A741">
        <v>109</v>
      </c>
      <c r="B741">
        <v>8</v>
      </c>
      <c r="C741" t="s">
        <v>199</v>
      </c>
      <c r="D741">
        <v>2021</v>
      </c>
      <c r="E741">
        <v>6507</v>
      </c>
      <c r="F741">
        <v>6491</v>
      </c>
      <c r="G741">
        <v>16</v>
      </c>
      <c r="I741">
        <v>3814</v>
      </c>
      <c r="M741">
        <v>1.701887782</v>
      </c>
      <c r="N741">
        <f>E741/_xlfn.XLOOKUP(C741,Lookups!$A$2:$A$66,Lookups!$C$2:$C$66)</f>
        <v>2.0537698212301785</v>
      </c>
      <c r="O741">
        <v>6507</v>
      </c>
      <c r="P741">
        <v>62</v>
      </c>
      <c r="Q741">
        <v>-7</v>
      </c>
      <c r="R741">
        <v>124</v>
      </c>
      <c r="S741">
        <v>69</v>
      </c>
      <c r="T741">
        <v>3814</v>
      </c>
      <c r="W741">
        <v>6491</v>
      </c>
      <c r="X741">
        <v>101</v>
      </c>
      <c r="AA741">
        <v>1.701887782</v>
      </c>
    </row>
    <row r="742" spans="1:27" x14ac:dyDescent="0.2">
      <c r="A742">
        <v>109</v>
      </c>
      <c r="B742">
        <v>8</v>
      </c>
      <c r="C742" t="s">
        <v>199</v>
      </c>
      <c r="D742">
        <v>2022</v>
      </c>
      <c r="E742">
        <v>6616</v>
      </c>
      <c r="F742">
        <v>6600</v>
      </c>
      <c r="G742">
        <v>16</v>
      </c>
      <c r="I742">
        <v>3914</v>
      </c>
      <c r="M742">
        <v>1.686254471</v>
      </c>
      <c r="N742">
        <f>E742/_xlfn.XLOOKUP(C742,Lookups!$A$2:$A$66,Lookups!$C$2:$C$66)</f>
        <v>2.0881729118270882</v>
      </c>
      <c r="O742">
        <v>6616</v>
      </c>
      <c r="P742">
        <v>65</v>
      </c>
      <c r="Q742">
        <v>-21</v>
      </c>
      <c r="R742">
        <v>130</v>
      </c>
      <c r="S742">
        <v>86</v>
      </c>
      <c r="T742">
        <v>3914</v>
      </c>
      <c r="W742">
        <v>6600</v>
      </c>
      <c r="X742">
        <v>84</v>
      </c>
      <c r="AA742">
        <v>1.686254471</v>
      </c>
    </row>
    <row r="743" spans="1:27" x14ac:dyDescent="0.2">
      <c r="A743">
        <v>111</v>
      </c>
      <c r="B743">
        <v>9</v>
      </c>
      <c r="C743" t="s">
        <v>200</v>
      </c>
      <c r="D743">
        <v>2010</v>
      </c>
      <c r="E743">
        <v>709</v>
      </c>
      <c r="F743">
        <v>709</v>
      </c>
      <c r="G743">
        <v>0</v>
      </c>
      <c r="H743">
        <v>2.0499999999999998</v>
      </c>
      <c r="I743">
        <v>739</v>
      </c>
      <c r="J743">
        <v>346</v>
      </c>
      <c r="K743">
        <v>393</v>
      </c>
      <c r="L743">
        <v>53.18</v>
      </c>
      <c r="M743">
        <v>0.95940460100000002</v>
      </c>
      <c r="N743">
        <f>E743/_xlfn.XLOOKUP(C743,Lookups!$A$2:$A$66,Lookups!$C$2:$C$66)</f>
        <v>1.8226689632124218</v>
      </c>
    </row>
    <row r="744" spans="1:27" x14ac:dyDescent="0.2">
      <c r="A744">
        <v>111</v>
      </c>
      <c r="B744">
        <v>9</v>
      </c>
      <c r="C744" t="s">
        <v>200</v>
      </c>
      <c r="D744">
        <v>2011</v>
      </c>
      <c r="E744">
        <v>706</v>
      </c>
      <c r="F744">
        <v>706</v>
      </c>
      <c r="G744">
        <v>0</v>
      </c>
      <c r="H744">
        <v>2.02</v>
      </c>
      <c r="I744">
        <v>740</v>
      </c>
      <c r="J744">
        <v>349</v>
      </c>
      <c r="K744">
        <v>391</v>
      </c>
      <c r="L744">
        <v>52.77</v>
      </c>
      <c r="M744">
        <v>0.95405405399999998</v>
      </c>
      <c r="N744">
        <f>E744/_xlfn.XLOOKUP(C744,Lookups!$A$2:$A$66,Lookups!$C$2:$C$66)</f>
        <v>1.8149566826910717</v>
      </c>
    </row>
    <row r="745" spans="1:27" x14ac:dyDescent="0.2">
      <c r="A745">
        <v>111</v>
      </c>
      <c r="B745">
        <v>9</v>
      </c>
      <c r="C745" t="s">
        <v>200</v>
      </c>
      <c r="D745">
        <v>2012</v>
      </c>
      <c r="E745">
        <v>703</v>
      </c>
      <c r="F745">
        <v>703</v>
      </c>
      <c r="G745">
        <v>0</v>
      </c>
      <c r="H745">
        <v>2.0099999999999998</v>
      </c>
      <c r="I745">
        <v>741</v>
      </c>
      <c r="J745">
        <v>350</v>
      </c>
      <c r="K745">
        <v>391</v>
      </c>
      <c r="L745">
        <v>52.77</v>
      </c>
      <c r="M745">
        <v>0.94871794899999995</v>
      </c>
      <c r="N745">
        <f>E745/_xlfn.XLOOKUP(C745,Lookups!$A$2:$A$66,Lookups!$C$2:$C$66)</f>
        <v>1.8072444021697216</v>
      </c>
    </row>
    <row r="746" spans="1:27" x14ac:dyDescent="0.2">
      <c r="A746">
        <v>111</v>
      </c>
      <c r="B746">
        <v>9</v>
      </c>
      <c r="C746" t="s">
        <v>200</v>
      </c>
      <c r="D746">
        <v>2013</v>
      </c>
      <c r="E746">
        <v>704</v>
      </c>
      <c r="F746">
        <v>704</v>
      </c>
      <c r="G746">
        <v>0</v>
      </c>
      <c r="H746">
        <v>1.99</v>
      </c>
      <c r="I746">
        <v>747</v>
      </c>
      <c r="J746">
        <v>353</v>
      </c>
      <c r="K746">
        <v>394</v>
      </c>
      <c r="L746">
        <v>52.76</v>
      </c>
      <c r="M746">
        <v>0.94243641199999995</v>
      </c>
      <c r="N746">
        <f>E746/_xlfn.XLOOKUP(C746,Lookups!$A$2:$A$66,Lookups!$C$2:$C$66)</f>
        <v>1.809815162343505</v>
      </c>
    </row>
    <row r="747" spans="1:27" x14ac:dyDescent="0.2">
      <c r="A747">
        <v>111</v>
      </c>
      <c r="B747">
        <v>9</v>
      </c>
      <c r="C747" t="s">
        <v>200</v>
      </c>
      <c r="D747">
        <v>2014</v>
      </c>
      <c r="E747">
        <v>700</v>
      </c>
      <c r="F747">
        <v>700</v>
      </c>
      <c r="G747">
        <v>0</v>
      </c>
      <c r="H747">
        <v>1.98</v>
      </c>
      <c r="I747">
        <v>747</v>
      </c>
      <c r="J747">
        <v>353</v>
      </c>
      <c r="K747">
        <v>394</v>
      </c>
      <c r="L747">
        <v>52.76</v>
      </c>
      <c r="M747">
        <v>0.93708166000000004</v>
      </c>
      <c r="N747">
        <f>E747/_xlfn.XLOOKUP(C747,Lookups!$A$2:$A$66,Lookups!$C$2:$C$66)</f>
        <v>1.7995321216483713</v>
      </c>
    </row>
    <row r="748" spans="1:27" x14ac:dyDescent="0.2">
      <c r="A748">
        <v>111</v>
      </c>
      <c r="B748">
        <v>9</v>
      </c>
      <c r="C748" t="s">
        <v>200</v>
      </c>
      <c r="D748">
        <v>2015</v>
      </c>
      <c r="E748">
        <v>696</v>
      </c>
      <c r="F748">
        <v>696</v>
      </c>
      <c r="G748">
        <v>0</v>
      </c>
      <c r="H748">
        <v>1.97</v>
      </c>
      <c r="I748">
        <v>747</v>
      </c>
      <c r="J748">
        <v>353</v>
      </c>
      <c r="K748">
        <v>394</v>
      </c>
      <c r="L748">
        <v>52.76</v>
      </c>
      <c r="M748">
        <v>0.93172690800000002</v>
      </c>
      <c r="N748">
        <f>E748/_xlfn.XLOOKUP(C748,Lookups!$A$2:$A$66,Lookups!$C$2:$C$66)</f>
        <v>1.7892490809532378</v>
      </c>
    </row>
    <row r="749" spans="1:27" x14ac:dyDescent="0.2">
      <c r="A749">
        <v>111</v>
      </c>
      <c r="B749">
        <v>9</v>
      </c>
      <c r="C749" t="s">
        <v>200</v>
      </c>
      <c r="D749">
        <v>2016</v>
      </c>
      <c r="E749">
        <v>697</v>
      </c>
      <c r="F749">
        <v>697</v>
      </c>
      <c r="G749">
        <v>0</v>
      </c>
      <c r="H749">
        <v>1.96</v>
      </c>
      <c r="I749">
        <v>753</v>
      </c>
      <c r="J749">
        <v>356</v>
      </c>
      <c r="K749">
        <v>397</v>
      </c>
      <c r="L749">
        <v>52.74</v>
      </c>
      <c r="M749">
        <v>0.92563081000000003</v>
      </c>
      <c r="N749">
        <f>E749/_xlfn.XLOOKUP(C749,Lookups!$A$2:$A$66,Lookups!$C$2:$C$66)</f>
        <v>1.7918198411270212</v>
      </c>
    </row>
    <row r="750" spans="1:27" x14ac:dyDescent="0.2">
      <c r="A750">
        <v>111</v>
      </c>
      <c r="B750">
        <v>9</v>
      </c>
      <c r="C750" t="s">
        <v>200</v>
      </c>
      <c r="D750">
        <v>2017</v>
      </c>
      <c r="E750">
        <v>700</v>
      </c>
      <c r="F750">
        <v>700</v>
      </c>
      <c r="G750">
        <v>0</v>
      </c>
      <c r="H750">
        <v>1.94</v>
      </c>
      <c r="I750">
        <v>761</v>
      </c>
      <c r="J750">
        <v>360</v>
      </c>
      <c r="K750">
        <v>401</v>
      </c>
      <c r="L750">
        <v>52.73</v>
      </c>
      <c r="M750">
        <v>0.91984231299999997</v>
      </c>
      <c r="N750">
        <f>E750/_xlfn.XLOOKUP(C750,Lookups!$A$2:$A$66,Lookups!$C$2:$C$66)</f>
        <v>1.7995321216483713</v>
      </c>
    </row>
    <row r="751" spans="1:27" x14ac:dyDescent="0.2">
      <c r="A751">
        <v>111</v>
      </c>
      <c r="B751">
        <v>9</v>
      </c>
      <c r="C751" t="s">
        <v>200</v>
      </c>
      <c r="D751">
        <v>2018</v>
      </c>
      <c r="E751">
        <v>703</v>
      </c>
      <c r="F751">
        <v>703</v>
      </c>
      <c r="G751">
        <v>0</v>
      </c>
      <c r="H751">
        <v>1.94</v>
      </c>
      <c r="I751">
        <v>768</v>
      </c>
      <c r="J751">
        <v>363</v>
      </c>
      <c r="K751">
        <v>405</v>
      </c>
      <c r="L751">
        <v>52.71</v>
      </c>
      <c r="M751">
        <v>0.91536458300000001</v>
      </c>
      <c r="N751">
        <f>E751/_xlfn.XLOOKUP(C751,Lookups!$A$2:$A$66,Lookups!$C$2:$C$66)</f>
        <v>1.8072444021697216</v>
      </c>
    </row>
    <row r="752" spans="1:27" x14ac:dyDescent="0.2">
      <c r="A752">
        <v>111</v>
      </c>
      <c r="B752">
        <v>9</v>
      </c>
      <c r="C752" t="s">
        <v>200</v>
      </c>
      <c r="D752">
        <v>2019</v>
      </c>
      <c r="E752">
        <v>705</v>
      </c>
      <c r="F752">
        <v>705</v>
      </c>
      <c r="G752">
        <v>0</v>
      </c>
      <c r="H752">
        <v>1.92</v>
      </c>
      <c r="I752">
        <v>775</v>
      </c>
      <c r="J752">
        <v>367</v>
      </c>
      <c r="K752">
        <v>408</v>
      </c>
      <c r="L752">
        <v>52.7</v>
      </c>
      <c r="M752">
        <v>0.90967741899999999</v>
      </c>
      <c r="N752">
        <f>E752/_xlfn.XLOOKUP(C752,Lookups!$A$2:$A$66,Lookups!$C$2:$C$66)</f>
        <v>1.8123859225172883</v>
      </c>
    </row>
    <row r="753" spans="1:27" x14ac:dyDescent="0.2">
      <c r="A753">
        <v>111</v>
      </c>
      <c r="B753">
        <v>9</v>
      </c>
      <c r="C753" t="s">
        <v>200</v>
      </c>
      <c r="D753">
        <v>2020</v>
      </c>
      <c r="E753">
        <v>711</v>
      </c>
      <c r="F753">
        <v>711</v>
      </c>
      <c r="G753">
        <v>0</v>
      </c>
      <c r="I753">
        <v>781</v>
      </c>
      <c r="M753">
        <v>0.91037131900000001</v>
      </c>
      <c r="N753">
        <f>E753/_xlfn.XLOOKUP(C753,Lookups!$A$2:$A$66,Lookups!$C$2:$C$66)</f>
        <v>1.8278104835599887</v>
      </c>
      <c r="O753">
        <v>711</v>
      </c>
      <c r="P753">
        <v>2</v>
      </c>
      <c r="Q753">
        <v>-4</v>
      </c>
      <c r="R753">
        <v>10</v>
      </c>
      <c r="S753">
        <v>6</v>
      </c>
      <c r="T753">
        <v>781</v>
      </c>
      <c r="W753">
        <v>711</v>
      </c>
      <c r="X753">
        <v>7</v>
      </c>
      <c r="AA753">
        <v>0.91037131900000001</v>
      </c>
    </row>
    <row r="754" spans="1:27" x14ac:dyDescent="0.2">
      <c r="A754">
        <v>111</v>
      </c>
      <c r="B754">
        <v>9</v>
      </c>
      <c r="C754" t="s">
        <v>200</v>
      </c>
      <c r="D754">
        <v>2021</v>
      </c>
      <c r="E754">
        <v>741</v>
      </c>
      <c r="F754">
        <v>741</v>
      </c>
      <c r="G754">
        <v>0</v>
      </c>
      <c r="I754">
        <v>788</v>
      </c>
      <c r="M754">
        <v>0.94035533000000004</v>
      </c>
      <c r="N754">
        <f>E754/_xlfn.XLOOKUP(C754,Lookups!$A$2:$A$66,Lookups!$C$2:$C$66)</f>
        <v>1.9049332887734902</v>
      </c>
      <c r="O754">
        <v>741</v>
      </c>
      <c r="P754">
        <v>5</v>
      </c>
      <c r="Q754">
        <v>-2</v>
      </c>
      <c r="R754">
        <v>32</v>
      </c>
      <c r="S754">
        <v>7</v>
      </c>
      <c r="T754">
        <v>788</v>
      </c>
      <c r="W754">
        <v>741</v>
      </c>
      <c r="X754">
        <v>17</v>
      </c>
      <c r="AA754">
        <v>0.94035533000000004</v>
      </c>
    </row>
    <row r="755" spans="1:27" x14ac:dyDescent="0.2">
      <c r="A755">
        <v>111</v>
      </c>
      <c r="B755">
        <v>9</v>
      </c>
      <c r="C755" t="s">
        <v>200</v>
      </c>
      <c r="D755">
        <v>2022</v>
      </c>
      <c r="E755">
        <v>801</v>
      </c>
      <c r="F755">
        <v>801</v>
      </c>
      <c r="G755">
        <v>0</v>
      </c>
      <c r="I755">
        <v>805</v>
      </c>
      <c r="M755">
        <v>0.99503105599999997</v>
      </c>
      <c r="N755">
        <f>E755/_xlfn.XLOOKUP(C755,Lookups!$A$2:$A$66,Lookups!$C$2:$C$66)</f>
        <v>2.0591788992004934</v>
      </c>
      <c r="O755">
        <v>801</v>
      </c>
      <c r="P755">
        <v>4</v>
      </c>
      <c r="Q755">
        <v>-4</v>
      </c>
      <c r="R755">
        <v>64</v>
      </c>
      <c r="S755">
        <v>8</v>
      </c>
      <c r="T755">
        <v>805</v>
      </c>
      <c r="W755">
        <v>801</v>
      </c>
      <c r="X755">
        <v>5</v>
      </c>
      <c r="AA755">
        <v>0.99503105599999997</v>
      </c>
    </row>
    <row r="756" spans="1:27" x14ac:dyDescent="0.2">
      <c r="A756">
        <v>113</v>
      </c>
      <c r="B756">
        <v>10</v>
      </c>
      <c r="C756" t="s">
        <v>201</v>
      </c>
      <c r="D756">
        <v>2010</v>
      </c>
      <c r="E756">
        <v>7356</v>
      </c>
      <c r="F756">
        <v>7347</v>
      </c>
      <c r="G756">
        <v>9</v>
      </c>
      <c r="H756">
        <v>2.2599999999999998</v>
      </c>
      <c r="I756">
        <v>6165</v>
      </c>
      <c r="J756">
        <v>3253</v>
      </c>
      <c r="K756">
        <v>2912</v>
      </c>
      <c r="L756">
        <v>47.23</v>
      </c>
      <c r="M756">
        <v>1.191727494</v>
      </c>
      <c r="N756">
        <f>E756/_xlfn.XLOOKUP(C756,Lookups!$A$2:$A$66,Lookups!$C$2:$C$66)</f>
        <v>5.6989680498311071</v>
      </c>
    </row>
    <row r="757" spans="1:27" x14ac:dyDescent="0.2">
      <c r="A757">
        <v>113</v>
      </c>
      <c r="B757">
        <v>10</v>
      </c>
      <c r="C757" t="s">
        <v>201</v>
      </c>
      <c r="D757">
        <v>2011</v>
      </c>
      <c r="E757">
        <v>7486</v>
      </c>
      <c r="F757">
        <v>7405</v>
      </c>
      <c r="G757">
        <v>81</v>
      </c>
      <c r="H757">
        <v>2.14</v>
      </c>
      <c r="I757">
        <v>6190</v>
      </c>
      <c r="J757">
        <v>3460</v>
      </c>
      <c r="K757">
        <v>2730</v>
      </c>
      <c r="L757">
        <v>44.1</v>
      </c>
      <c r="M757">
        <v>1.1962843299999999</v>
      </c>
      <c r="N757">
        <f>E757/_xlfn.XLOOKUP(C757,Lookups!$A$2:$A$66,Lookups!$C$2:$C$66)</f>
        <v>5.7996839071554742</v>
      </c>
    </row>
    <row r="758" spans="1:27" x14ac:dyDescent="0.2">
      <c r="A758">
        <v>113</v>
      </c>
      <c r="B758">
        <v>10</v>
      </c>
      <c r="C758" t="s">
        <v>201</v>
      </c>
      <c r="D758">
        <v>2012</v>
      </c>
      <c r="E758">
        <v>7576</v>
      </c>
      <c r="F758">
        <v>7450</v>
      </c>
      <c r="G758">
        <v>126</v>
      </c>
      <c r="H758">
        <v>2.15</v>
      </c>
      <c r="I758">
        <v>6197</v>
      </c>
      <c r="J758">
        <v>3462</v>
      </c>
      <c r="K758">
        <v>2735</v>
      </c>
      <c r="L758">
        <v>44.13</v>
      </c>
      <c r="M758">
        <v>1.2021946100000001</v>
      </c>
      <c r="N758">
        <f>E758/_xlfn.XLOOKUP(C758,Lookups!$A$2:$A$66,Lookups!$C$2:$C$66)</f>
        <v>5.8694102699184976</v>
      </c>
    </row>
    <row r="759" spans="1:27" x14ac:dyDescent="0.2">
      <c r="A759">
        <v>113</v>
      </c>
      <c r="B759">
        <v>10</v>
      </c>
      <c r="C759" t="s">
        <v>201</v>
      </c>
      <c r="D759">
        <v>2013</v>
      </c>
      <c r="E759">
        <v>7615</v>
      </c>
      <c r="F759">
        <v>7499</v>
      </c>
      <c r="G759">
        <v>116</v>
      </c>
      <c r="H759">
        <v>2.16</v>
      </c>
      <c r="I759">
        <v>6209</v>
      </c>
      <c r="J759">
        <v>3467</v>
      </c>
      <c r="K759">
        <v>2742</v>
      </c>
      <c r="L759">
        <v>44.17</v>
      </c>
      <c r="M759">
        <v>1.2077629249999999</v>
      </c>
      <c r="N759">
        <f>E759/_xlfn.XLOOKUP(C759,Lookups!$A$2:$A$66,Lookups!$C$2:$C$66)</f>
        <v>5.8996250271158077</v>
      </c>
    </row>
    <row r="760" spans="1:27" x14ac:dyDescent="0.2">
      <c r="A760">
        <v>113</v>
      </c>
      <c r="B760">
        <v>10</v>
      </c>
      <c r="C760" t="s">
        <v>201</v>
      </c>
      <c r="D760">
        <v>2014</v>
      </c>
      <c r="E760">
        <v>7728</v>
      </c>
      <c r="F760">
        <v>7561</v>
      </c>
      <c r="G760">
        <v>167</v>
      </c>
      <c r="H760">
        <v>2.17</v>
      </c>
      <c r="I760">
        <v>6238</v>
      </c>
      <c r="J760">
        <v>3477</v>
      </c>
      <c r="K760">
        <v>2761</v>
      </c>
      <c r="L760">
        <v>44.26</v>
      </c>
      <c r="M760">
        <v>1.2120872069999999</v>
      </c>
      <c r="N760">
        <f>E760/_xlfn.XLOOKUP(C760,Lookups!$A$2:$A$66,Lookups!$C$2:$C$66)</f>
        <v>5.9871703492516035</v>
      </c>
    </row>
    <row r="761" spans="1:27" x14ac:dyDescent="0.2">
      <c r="A761">
        <v>113</v>
      </c>
      <c r="B761">
        <v>10</v>
      </c>
      <c r="C761" t="s">
        <v>201</v>
      </c>
      <c r="D761">
        <v>2015</v>
      </c>
      <c r="E761">
        <v>7825</v>
      </c>
      <c r="F761">
        <v>7665</v>
      </c>
      <c r="G761">
        <v>160</v>
      </c>
      <c r="H761">
        <v>2.19</v>
      </c>
      <c r="I761">
        <v>6320</v>
      </c>
      <c r="J761">
        <v>3506</v>
      </c>
      <c r="K761">
        <v>2814</v>
      </c>
      <c r="L761">
        <v>44.52</v>
      </c>
      <c r="M761">
        <v>1.2128164560000001</v>
      </c>
      <c r="N761">
        <f>E761/_xlfn.XLOOKUP(C761,Lookups!$A$2:$A$66,Lookups!$C$2:$C$66)</f>
        <v>6.0623198735628625</v>
      </c>
    </row>
    <row r="762" spans="1:27" x14ac:dyDescent="0.2">
      <c r="A762">
        <v>113</v>
      </c>
      <c r="B762">
        <v>10</v>
      </c>
      <c r="C762" t="s">
        <v>201</v>
      </c>
      <c r="D762">
        <v>2016</v>
      </c>
      <c r="E762">
        <v>8001</v>
      </c>
      <c r="F762">
        <v>7732</v>
      </c>
      <c r="G762">
        <v>269</v>
      </c>
      <c r="H762">
        <v>2.2000000000000002</v>
      </c>
      <c r="I762">
        <v>6355</v>
      </c>
      <c r="J762">
        <v>3519</v>
      </c>
      <c r="K762">
        <v>2836</v>
      </c>
      <c r="L762">
        <v>44.63</v>
      </c>
      <c r="M762">
        <v>1.21667978</v>
      </c>
      <c r="N762">
        <f>E762/_xlfn.XLOOKUP(C762,Lookups!$A$2:$A$66,Lookups!$C$2:$C$66)</f>
        <v>6.1986736496327746</v>
      </c>
    </row>
    <row r="763" spans="1:27" x14ac:dyDescent="0.2">
      <c r="A763">
        <v>113</v>
      </c>
      <c r="B763">
        <v>10</v>
      </c>
      <c r="C763" t="s">
        <v>201</v>
      </c>
      <c r="D763">
        <v>2017</v>
      </c>
      <c r="E763">
        <v>8014</v>
      </c>
      <c r="F763">
        <v>7800</v>
      </c>
      <c r="G763">
        <v>214</v>
      </c>
      <c r="H763">
        <v>2.21</v>
      </c>
      <c r="I763">
        <v>6390</v>
      </c>
      <c r="J763">
        <v>3531</v>
      </c>
      <c r="K763">
        <v>2859</v>
      </c>
      <c r="L763">
        <v>44.74</v>
      </c>
      <c r="M763">
        <v>1.2206572769999999</v>
      </c>
      <c r="N763">
        <f>E763/_xlfn.XLOOKUP(C763,Lookups!$A$2:$A$66,Lookups!$C$2:$C$66)</f>
        <v>6.2087452353652113</v>
      </c>
    </row>
    <row r="764" spans="1:27" x14ac:dyDescent="0.2">
      <c r="A764">
        <v>113</v>
      </c>
      <c r="B764">
        <v>10</v>
      </c>
      <c r="C764" t="s">
        <v>201</v>
      </c>
      <c r="D764">
        <v>2018</v>
      </c>
      <c r="E764">
        <v>8154</v>
      </c>
      <c r="F764">
        <v>7901</v>
      </c>
      <c r="G764">
        <v>253</v>
      </c>
      <c r="H764">
        <v>2.2200000000000002</v>
      </c>
      <c r="I764">
        <v>6467</v>
      </c>
      <c r="J764">
        <v>3559</v>
      </c>
      <c r="K764">
        <v>2908</v>
      </c>
      <c r="L764">
        <v>44.97</v>
      </c>
      <c r="M764">
        <v>1.2217411469999999</v>
      </c>
      <c r="N764">
        <f>E764/_xlfn.XLOOKUP(C764,Lookups!$A$2:$A$66,Lookups!$C$2:$C$66)</f>
        <v>6.3172084663299142</v>
      </c>
    </row>
    <row r="765" spans="1:27" x14ac:dyDescent="0.2">
      <c r="A765">
        <v>113</v>
      </c>
      <c r="B765">
        <v>10</v>
      </c>
      <c r="C765" t="s">
        <v>201</v>
      </c>
      <c r="D765">
        <v>2019</v>
      </c>
      <c r="E765">
        <v>8123</v>
      </c>
      <c r="F765">
        <v>7977</v>
      </c>
      <c r="G765">
        <v>146</v>
      </c>
      <c r="H765">
        <v>2.23</v>
      </c>
      <c r="I765">
        <v>6512</v>
      </c>
      <c r="J765">
        <v>3575</v>
      </c>
      <c r="K765">
        <v>2937</v>
      </c>
      <c r="L765">
        <v>45.1</v>
      </c>
      <c r="M765">
        <v>1.224969287</v>
      </c>
      <c r="N765">
        <f>E765/_xlfn.XLOOKUP(C765,Lookups!$A$2:$A$66,Lookups!$C$2:$C$66)</f>
        <v>6.2931916080448724</v>
      </c>
    </row>
    <row r="766" spans="1:27" x14ac:dyDescent="0.2">
      <c r="A766">
        <v>113</v>
      </c>
      <c r="B766">
        <v>10</v>
      </c>
      <c r="C766" t="s">
        <v>201</v>
      </c>
      <c r="D766">
        <v>2020</v>
      </c>
      <c r="E766">
        <v>8055</v>
      </c>
      <c r="F766">
        <v>8050</v>
      </c>
      <c r="G766">
        <v>5</v>
      </c>
      <c r="I766">
        <v>6564</v>
      </c>
      <c r="M766">
        <v>1.2263863500000001</v>
      </c>
      <c r="N766">
        <f>E766/_xlfn.XLOOKUP(C766,Lookups!$A$2:$A$66,Lookups!$C$2:$C$66)</f>
        <v>6.2405094672905888</v>
      </c>
      <c r="O766">
        <v>8055</v>
      </c>
      <c r="P766">
        <v>54</v>
      </c>
      <c r="Q766">
        <v>32</v>
      </c>
      <c r="R766">
        <v>-100</v>
      </c>
      <c r="S766">
        <v>22</v>
      </c>
      <c r="T766">
        <v>6564</v>
      </c>
      <c r="W766">
        <v>8050</v>
      </c>
      <c r="X766">
        <v>34</v>
      </c>
      <c r="AA766">
        <v>1.2263863500000001</v>
      </c>
    </row>
    <row r="767" spans="1:27" x14ac:dyDescent="0.2">
      <c r="A767">
        <v>113</v>
      </c>
      <c r="B767">
        <v>10</v>
      </c>
      <c r="C767" t="s">
        <v>201</v>
      </c>
      <c r="D767">
        <v>2021</v>
      </c>
      <c r="E767">
        <v>8078</v>
      </c>
      <c r="F767">
        <v>8073</v>
      </c>
      <c r="G767">
        <v>5</v>
      </c>
      <c r="I767">
        <v>6595</v>
      </c>
      <c r="M767">
        <v>1.2241091740000001</v>
      </c>
      <c r="N767">
        <f>E767/_xlfn.XLOOKUP(C767,Lookups!$A$2:$A$66,Lookups!$C$2:$C$66)</f>
        <v>6.2583284266633612</v>
      </c>
      <c r="O767">
        <v>8078</v>
      </c>
      <c r="P767">
        <v>53</v>
      </c>
      <c r="Q767">
        <v>26</v>
      </c>
      <c r="R767">
        <v>-3</v>
      </c>
      <c r="S767">
        <v>27</v>
      </c>
      <c r="T767">
        <v>6595</v>
      </c>
      <c r="W767">
        <v>8073</v>
      </c>
      <c r="X767">
        <v>80</v>
      </c>
      <c r="AA767">
        <v>1.2241091740000001</v>
      </c>
    </row>
    <row r="768" spans="1:27" x14ac:dyDescent="0.2">
      <c r="A768">
        <v>113</v>
      </c>
      <c r="B768">
        <v>10</v>
      </c>
      <c r="C768" t="s">
        <v>201</v>
      </c>
      <c r="D768">
        <v>2022</v>
      </c>
      <c r="E768">
        <v>7993</v>
      </c>
      <c r="F768">
        <v>7988</v>
      </c>
      <c r="G768">
        <v>5</v>
      </c>
      <c r="I768">
        <v>6711</v>
      </c>
      <c r="M768">
        <v>1.1902846069999999</v>
      </c>
      <c r="N768">
        <f>E768/_xlfn.XLOOKUP(C768,Lookups!$A$2:$A$66,Lookups!$C$2:$C$66)</f>
        <v>6.1924757507205062</v>
      </c>
      <c r="O768">
        <v>7993</v>
      </c>
      <c r="P768">
        <v>50</v>
      </c>
      <c r="Q768">
        <v>8</v>
      </c>
      <c r="R768">
        <v>-93</v>
      </c>
      <c r="S768">
        <v>42</v>
      </c>
      <c r="T768">
        <v>6711</v>
      </c>
      <c r="W768">
        <v>7988</v>
      </c>
      <c r="X768">
        <v>70</v>
      </c>
      <c r="AA768">
        <v>1.1902846069999999</v>
      </c>
    </row>
    <row r="769" spans="1:27" x14ac:dyDescent="0.2">
      <c r="A769">
        <v>115</v>
      </c>
      <c r="B769">
        <v>1</v>
      </c>
      <c r="C769" t="s">
        <v>202</v>
      </c>
      <c r="D769">
        <v>2010</v>
      </c>
      <c r="E769">
        <v>2367</v>
      </c>
      <c r="F769">
        <v>2332</v>
      </c>
      <c r="G769">
        <v>35</v>
      </c>
      <c r="H769">
        <v>2.2999999999999998</v>
      </c>
      <c r="I769">
        <v>1325</v>
      </c>
      <c r="J769">
        <v>1016</v>
      </c>
      <c r="K769">
        <v>309</v>
      </c>
      <c r="L769">
        <v>23.32</v>
      </c>
      <c r="M769">
        <v>1.76</v>
      </c>
      <c r="N769">
        <f>E769/_xlfn.XLOOKUP(C769,Lookups!$A$2:$A$66,Lookups!$C$2:$C$66)</f>
        <v>4.3128108886176042</v>
      </c>
    </row>
    <row r="770" spans="1:27" x14ac:dyDescent="0.2">
      <c r="A770">
        <v>115</v>
      </c>
      <c r="B770">
        <v>1</v>
      </c>
      <c r="C770" t="s">
        <v>202</v>
      </c>
      <c r="D770">
        <v>2011</v>
      </c>
      <c r="E770">
        <v>2371</v>
      </c>
      <c r="F770">
        <v>2335</v>
      </c>
      <c r="G770">
        <v>36</v>
      </c>
      <c r="H770">
        <v>2.15</v>
      </c>
      <c r="I770">
        <v>1325</v>
      </c>
      <c r="J770">
        <v>1086</v>
      </c>
      <c r="K770">
        <v>239</v>
      </c>
      <c r="L770">
        <v>18.04</v>
      </c>
      <c r="M770">
        <v>1.7622641509999999</v>
      </c>
      <c r="N770">
        <f>E770/_xlfn.XLOOKUP(C770,Lookups!$A$2:$A$66,Lookups!$C$2:$C$66)</f>
        <v>4.3200991199460663</v>
      </c>
    </row>
    <row r="771" spans="1:27" x14ac:dyDescent="0.2">
      <c r="A771">
        <v>115</v>
      </c>
      <c r="B771">
        <v>1</v>
      </c>
      <c r="C771" t="s">
        <v>202</v>
      </c>
      <c r="D771">
        <v>2012</v>
      </c>
      <c r="E771">
        <v>2375</v>
      </c>
      <c r="F771">
        <v>2338</v>
      </c>
      <c r="G771">
        <v>37</v>
      </c>
      <c r="H771">
        <v>2.15</v>
      </c>
      <c r="I771">
        <v>1325</v>
      </c>
      <c r="J771">
        <v>1086</v>
      </c>
      <c r="K771">
        <v>239</v>
      </c>
      <c r="L771">
        <v>18.04</v>
      </c>
      <c r="M771">
        <v>1.764528302</v>
      </c>
      <c r="N771">
        <f>E771/_xlfn.XLOOKUP(C771,Lookups!$A$2:$A$66,Lookups!$C$2:$C$66)</f>
        <v>4.3273873512745293</v>
      </c>
    </row>
    <row r="772" spans="1:27" x14ac:dyDescent="0.2">
      <c r="A772">
        <v>115</v>
      </c>
      <c r="B772">
        <v>1</v>
      </c>
      <c r="C772" t="s">
        <v>202</v>
      </c>
      <c r="D772">
        <v>2013</v>
      </c>
      <c r="E772">
        <v>2379</v>
      </c>
      <c r="F772">
        <v>2342</v>
      </c>
      <c r="G772">
        <v>37</v>
      </c>
      <c r="H772">
        <v>2.16</v>
      </c>
      <c r="I772">
        <v>1327</v>
      </c>
      <c r="J772">
        <v>1086</v>
      </c>
      <c r="K772">
        <v>241</v>
      </c>
      <c r="L772">
        <v>18.149999999999999</v>
      </c>
      <c r="M772">
        <v>1.7648831949999999</v>
      </c>
      <c r="N772">
        <f>E772/_xlfn.XLOOKUP(C772,Lookups!$A$2:$A$66,Lookups!$C$2:$C$66)</f>
        <v>4.3346755826029915</v>
      </c>
    </row>
    <row r="773" spans="1:27" x14ac:dyDescent="0.2">
      <c r="A773">
        <v>115</v>
      </c>
      <c r="B773">
        <v>1</v>
      </c>
      <c r="C773" t="s">
        <v>202</v>
      </c>
      <c r="D773">
        <v>2014</v>
      </c>
      <c r="E773">
        <v>2384</v>
      </c>
      <c r="F773">
        <v>2345</v>
      </c>
      <c r="G773">
        <v>38</v>
      </c>
      <c r="H773">
        <v>2.16</v>
      </c>
      <c r="I773">
        <v>1330</v>
      </c>
      <c r="J773">
        <v>1086</v>
      </c>
      <c r="K773">
        <v>244</v>
      </c>
      <c r="L773">
        <v>18.32</v>
      </c>
      <c r="M773">
        <v>1.763157895</v>
      </c>
      <c r="N773">
        <f>E773/_xlfn.XLOOKUP(C773,Lookups!$A$2:$A$66,Lookups!$C$2:$C$66)</f>
        <v>4.3437858717635693</v>
      </c>
    </row>
    <row r="774" spans="1:27" x14ac:dyDescent="0.2">
      <c r="A774">
        <v>115</v>
      </c>
      <c r="B774">
        <v>1</v>
      </c>
      <c r="C774" t="s">
        <v>202</v>
      </c>
      <c r="D774">
        <v>2015</v>
      </c>
      <c r="E774">
        <v>2388</v>
      </c>
      <c r="F774">
        <v>2349</v>
      </c>
      <c r="G774">
        <v>39</v>
      </c>
      <c r="H774">
        <v>2.16</v>
      </c>
      <c r="I774">
        <v>1331</v>
      </c>
      <c r="J774">
        <v>1086</v>
      </c>
      <c r="K774">
        <v>245</v>
      </c>
      <c r="L774">
        <v>18.38</v>
      </c>
      <c r="M774">
        <v>1.7648384669999999</v>
      </c>
      <c r="N774">
        <f>E774/_xlfn.XLOOKUP(C774,Lookups!$A$2:$A$66,Lookups!$C$2:$C$66)</f>
        <v>4.3510741030920315</v>
      </c>
    </row>
    <row r="775" spans="1:27" x14ac:dyDescent="0.2">
      <c r="A775">
        <v>115</v>
      </c>
      <c r="B775">
        <v>1</v>
      </c>
      <c r="C775" t="s">
        <v>202</v>
      </c>
      <c r="D775">
        <v>2016</v>
      </c>
      <c r="E775">
        <v>2392</v>
      </c>
      <c r="F775">
        <v>2352</v>
      </c>
      <c r="G775">
        <v>40</v>
      </c>
      <c r="H775">
        <v>2.17</v>
      </c>
      <c r="I775">
        <v>1331</v>
      </c>
      <c r="J775">
        <v>1086</v>
      </c>
      <c r="K775">
        <v>245</v>
      </c>
      <c r="L775">
        <v>18.38</v>
      </c>
      <c r="M775">
        <v>1.767092412</v>
      </c>
      <c r="N775">
        <f>E775/_xlfn.XLOOKUP(C775,Lookups!$A$2:$A$66,Lookups!$C$2:$C$66)</f>
        <v>4.3583623344204945</v>
      </c>
    </row>
    <row r="776" spans="1:27" x14ac:dyDescent="0.2">
      <c r="A776">
        <v>115</v>
      </c>
      <c r="B776">
        <v>1</v>
      </c>
      <c r="C776" t="s">
        <v>202</v>
      </c>
      <c r="D776">
        <v>2017</v>
      </c>
      <c r="E776">
        <v>2396</v>
      </c>
      <c r="F776">
        <v>2355</v>
      </c>
      <c r="G776">
        <v>41</v>
      </c>
      <c r="H776">
        <v>2.17</v>
      </c>
      <c r="I776">
        <v>1335</v>
      </c>
      <c r="J776">
        <v>1087</v>
      </c>
      <c r="K776">
        <v>248</v>
      </c>
      <c r="L776">
        <v>18.61</v>
      </c>
      <c r="M776">
        <v>1.7640449439999999</v>
      </c>
      <c r="N776">
        <f>E776/_xlfn.XLOOKUP(C776,Lookups!$A$2:$A$66,Lookups!$C$2:$C$66)</f>
        <v>4.3656505657489566</v>
      </c>
    </row>
    <row r="777" spans="1:27" x14ac:dyDescent="0.2">
      <c r="A777">
        <v>115</v>
      </c>
      <c r="B777">
        <v>1</v>
      </c>
      <c r="C777" t="s">
        <v>202</v>
      </c>
      <c r="D777">
        <v>2018</v>
      </c>
      <c r="E777">
        <v>2401</v>
      </c>
      <c r="F777">
        <v>2359</v>
      </c>
      <c r="G777">
        <v>41</v>
      </c>
      <c r="H777">
        <v>2.17</v>
      </c>
      <c r="I777">
        <v>1339</v>
      </c>
      <c r="J777">
        <v>1087</v>
      </c>
      <c r="K777">
        <v>252</v>
      </c>
      <c r="L777">
        <v>18.84</v>
      </c>
      <c r="M777">
        <v>1.761762509</v>
      </c>
      <c r="N777">
        <f>E777/_xlfn.XLOOKUP(C777,Lookups!$A$2:$A$66,Lookups!$C$2:$C$66)</f>
        <v>4.3747608549095345</v>
      </c>
    </row>
    <row r="778" spans="1:27" x14ac:dyDescent="0.2">
      <c r="A778">
        <v>115</v>
      </c>
      <c r="B778">
        <v>1</v>
      </c>
      <c r="C778" t="s">
        <v>202</v>
      </c>
      <c r="D778">
        <v>2019</v>
      </c>
      <c r="E778">
        <v>2405</v>
      </c>
      <c r="F778">
        <v>2363</v>
      </c>
      <c r="G778">
        <v>42</v>
      </c>
      <c r="H778">
        <v>2.17</v>
      </c>
      <c r="I778">
        <v>1341</v>
      </c>
      <c r="J778">
        <v>1087</v>
      </c>
      <c r="K778">
        <v>254</v>
      </c>
      <c r="L778">
        <v>18.95</v>
      </c>
      <c r="M778">
        <v>1.7621178230000001</v>
      </c>
      <c r="N778">
        <f>E778/_xlfn.XLOOKUP(C778,Lookups!$A$2:$A$66,Lookups!$C$2:$C$66)</f>
        <v>4.3820490862379966</v>
      </c>
    </row>
    <row r="779" spans="1:27" x14ac:dyDescent="0.2">
      <c r="A779">
        <v>115</v>
      </c>
      <c r="B779">
        <v>1</v>
      </c>
      <c r="C779" t="s">
        <v>202</v>
      </c>
      <c r="D779">
        <v>2020</v>
      </c>
      <c r="E779">
        <v>2391</v>
      </c>
      <c r="F779">
        <v>2352</v>
      </c>
      <c r="G779">
        <v>39</v>
      </c>
      <c r="I779">
        <v>1343</v>
      </c>
      <c r="M779">
        <v>1.751303053</v>
      </c>
      <c r="N779">
        <f>E779/_xlfn.XLOOKUP(C779,Lookups!$A$2:$A$66,Lookups!$C$2:$C$66)</f>
        <v>4.3565402765883787</v>
      </c>
      <c r="O779">
        <v>2391</v>
      </c>
      <c r="P779">
        <v>18</v>
      </c>
      <c r="Q779">
        <v>-21</v>
      </c>
      <c r="R779">
        <v>7</v>
      </c>
      <c r="S779">
        <v>39</v>
      </c>
      <c r="T779">
        <v>1343</v>
      </c>
      <c r="W779">
        <v>2352</v>
      </c>
      <c r="X779">
        <v>0</v>
      </c>
      <c r="AA779">
        <v>1.751303053</v>
      </c>
    </row>
    <row r="780" spans="1:27" x14ac:dyDescent="0.2">
      <c r="A780">
        <v>115</v>
      </c>
      <c r="B780">
        <v>1</v>
      </c>
      <c r="C780" t="s">
        <v>202</v>
      </c>
      <c r="D780">
        <v>2021</v>
      </c>
      <c r="E780">
        <v>2330</v>
      </c>
      <c r="F780">
        <v>2293</v>
      </c>
      <c r="G780">
        <v>37</v>
      </c>
      <c r="I780">
        <v>1343</v>
      </c>
      <c r="M780">
        <v>1.707371556</v>
      </c>
      <c r="N780">
        <f>E780/_xlfn.XLOOKUP(C780,Lookups!$A$2:$A$66,Lookups!$C$2:$C$66)</f>
        <v>4.2453947488293275</v>
      </c>
      <c r="O780">
        <v>2330</v>
      </c>
      <c r="P780">
        <v>15</v>
      </c>
      <c r="Q780">
        <v>-29</v>
      </c>
      <c r="R780">
        <v>-32</v>
      </c>
      <c r="S780">
        <v>44</v>
      </c>
      <c r="T780">
        <v>1343</v>
      </c>
      <c r="W780">
        <v>2293</v>
      </c>
      <c r="X780">
        <v>1</v>
      </c>
      <c r="AA780">
        <v>1.707371556</v>
      </c>
    </row>
    <row r="781" spans="1:27" x14ac:dyDescent="0.2">
      <c r="A781">
        <v>115</v>
      </c>
      <c r="B781">
        <v>1</v>
      </c>
      <c r="C781" t="s">
        <v>202</v>
      </c>
      <c r="D781">
        <v>2022</v>
      </c>
      <c r="E781">
        <v>2297</v>
      </c>
      <c r="F781">
        <v>2265</v>
      </c>
      <c r="G781">
        <v>32</v>
      </c>
      <c r="I781">
        <v>1343</v>
      </c>
      <c r="M781">
        <v>1.68652271</v>
      </c>
      <c r="N781">
        <f>E781/_xlfn.XLOOKUP(C781,Lookups!$A$2:$A$66,Lookups!$C$2:$C$66)</f>
        <v>4.185266840369513</v>
      </c>
      <c r="O781">
        <v>2297</v>
      </c>
      <c r="P781">
        <v>12</v>
      </c>
      <c r="Q781">
        <v>-28</v>
      </c>
      <c r="R781">
        <v>-5</v>
      </c>
      <c r="S781">
        <v>40</v>
      </c>
      <c r="T781">
        <v>1343</v>
      </c>
      <c r="W781">
        <v>2265</v>
      </c>
      <c r="X781">
        <v>3</v>
      </c>
      <c r="AA781">
        <v>1.68652271</v>
      </c>
    </row>
    <row r="782" spans="1:27" x14ac:dyDescent="0.2">
      <c r="A782">
        <v>117</v>
      </c>
      <c r="B782">
        <v>12</v>
      </c>
      <c r="C782" t="s">
        <v>203</v>
      </c>
      <c r="D782">
        <v>2010</v>
      </c>
      <c r="E782">
        <v>28073</v>
      </c>
      <c r="F782">
        <v>27800</v>
      </c>
      <c r="G782">
        <v>273</v>
      </c>
      <c r="H782">
        <v>2.36</v>
      </c>
      <c r="I782">
        <v>29861</v>
      </c>
      <c r="J782">
        <v>11787</v>
      </c>
      <c r="K782">
        <v>18074</v>
      </c>
      <c r="L782">
        <v>60.53</v>
      </c>
      <c r="M782">
        <v>0.93098020800000003</v>
      </c>
      <c r="N782">
        <f>E782/_xlfn.XLOOKUP(C782,Lookups!$A$2:$A$66,Lookups!$C$2:$C$66)</f>
        <v>45.358043042719579</v>
      </c>
    </row>
    <row r="783" spans="1:27" x14ac:dyDescent="0.2">
      <c r="A783">
        <v>117</v>
      </c>
      <c r="B783">
        <v>12</v>
      </c>
      <c r="C783" t="s">
        <v>203</v>
      </c>
      <c r="D783">
        <v>2011</v>
      </c>
      <c r="E783">
        <v>28087</v>
      </c>
      <c r="F783">
        <v>27786</v>
      </c>
      <c r="G783">
        <v>301</v>
      </c>
      <c r="H783">
        <v>2.36</v>
      </c>
      <c r="I783">
        <v>29866</v>
      </c>
      <c r="J783">
        <v>11781</v>
      </c>
      <c r="K783">
        <v>18085</v>
      </c>
      <c r="L783">
        <v>60.55</v>
      </c>
      <c r="M783">
        <v>0.93035558799999996</v>
      </c>
      <c r="N783">
        <f>E783/_xlfn.XLOOKUP(C783,Lookups!$A$2:$A$66,Lookups!$C$2:$C$66)</f>
        <v>45.380663090544822</v>
      </c>
    </row>
    <row r="784" spans="1:27" x14ac:dyDescent="0.2">
      <c r="A784">
        <v>117</v>
      </c>
      <c r="B784">
        <v>12</v>
      </c>
      <c r="C784" t="s">
        <v>203</v>
      </c>
      <c r="D784">
        <v>2012</v>
      </c>
      <c r="E784">
        <v>28385</v>
      </c>
      <c r="F784">
        <v>28055</v>
      </c>
      <c r="G784">
        <v>330</v>
      </c>
      <c r="H784">
        <v>2.36</v>
      </c>
      <c r="I784">
        <v>29866</v>
      </c>
      <c r="J784">
        <v>11895</v>
      </c>
      <c r="K784">
        <v>17971</v>
      </c>
      <c r="L784">
        <v>60.17</v>
      </c>
      <c r="M784">
        <v>0.93936248600000005</v>
      </c>
      <c r="N784">
        <f>E784/_xlfn.XLOOKUP(C784,Lookups!$A$2:$A$66,Lookups!$C$2:$C$66)</f>
        <v>45.862146965682157</v>
      </c>
    </row>
    <row r="785" spans="1:27" x14ac:dyDescent="0.2">
      <c r="A785">
        <v>117</v>
      </c>
      <c r="B785">
        <v>12</v>
      </c>
      <c r="C785" t="s">
        <v>203</v>
      </c>
      <c r="D785">
        <v>2013</v>
      </c>
      <c r="E785">
        <v>28860</v>
      </c>
      <c r="F785">
        <v>28502</v>
      </c>
      <c r="G785">
        <v>358</v>
      </c>
      <c r="H785">
        <v>2.36</v>
      </c>
      <c r="I785">
        <v>29882</v>
      </c>
      <c r="J785">
        <v>12085</v>
      </c>
      <c r="K785">
        <v>17797</v>
      </c>
      <c r="L785">
        <v>59.56</v>
      </c>
      <c r="M785">
        <v>0.95381835199999998</v>
      </c>
      <c r="N785">
        <f>E785/_xlfn.XLOOKUP(C785,Lookups!$A$2:$A$66,Lookups!$C$2:$C$66)</f>
        <v>46.629612874038649</v>
      </c>
    </row>
    <row r="786" spans="1:27" x14ac:dyDescent="0.2">
      <c r="A786">
        <v>117</v>
      </c>
      <c r="B786">
        <v>12</v>
      </c>
      <c r="C786" t="s">
        <v>203</v>
      </c>
      <c r="D786">
        <v>2014</v>
      </c>
      <c r="E786">
        <v>29496</v>
      </c>
      <c r="F786">
        <v>29109</v>
      </c>
      <c r="G786">
        <v>387</v>
      </c>
      <c r="H786">
        <v>2.36</v>
      </c>
      <c r="I786">
        <v>30034</v>
      </c>
      <c r="J786">
        <v>12342</v>
      </c>
      <c r="K786">
        <v>17692</v>
      </c>
      <c r="L786">
        <v>58.91</v>
      </c>
      <c r="M786">
        <v>0.96920157200000001</v>
      </c>
      <c r="N786">
        <f>E786/_xlfn.XLOOKUP(C786,Lookups!$A$2:$A$66,Lookups!$C$2:$C$66)</f>
        <v>47.657209332385449</v>
      </c>
    </row>
    <row r="787" spans="1:27" x14ac:dyDescent="0.2">
      <c r="A787">
        <v>117</v>
      </c>
      <c r="B787">
        <v>12</v>
      </c>
      <c r="C787" t="s">
        <v>203</v>
      </c>
      <c r="D787">
        <v>2015</v>
      </c>
      <c r="E787">
        <v>30268</v>
      </c>
      <c r="F787">
        <v>29852</v>
      </c>
      <c r="G787">
        <v>416</v>
      </c>
      <c r="H787">
        <v>2.36</v>
      </c>
      <c r="I787">
        <v>30121</v>
      </c>
      <c r="J787">
        <v>12657</v>
      </c>
      <c r="K787">
        <v>17464</v>
      </c>
      <c r="L787">
        <v>57.98</v>
      </c>
      <c r="M787">
        <v>0.99106935399999996</v>
      </c>
      <c r="N787">
        <f>E787/_xlfn.XLOOKUP(C787,Lookups!$A$2:$A$66,Lookups!$C$2:$C$66)</f>
        <v>48.904543398177474</v>
      </c>
    </row>
    <row r="788" spans="1:27" x14ac:dyDescent="0.2">
      <c r="A788">
        <v>117</v>
      </c>
      <c r="B788">
        <v>12</v>
      </c>
      <c r="C788" t="s">
        <v>203</v>
      </c>
      <c r="D788">
        <v>2016</v>
      </c>
      <c r="E788">
        <v>30817</v>
      </c>
      <c r="F788">
        <v>30372</v>
      </c>
      <c r="G788">
        <v>445</v>
      </c>
      <c r="H788">
        <v>2.36</v>
      </c>
      <c r="I788">
        <v>30141</v>
      </c>
      <c r="J788">
        <v>12878</v>
      </c>
      <c r="K788">
        <v>17263</v>
      </c>
      <c r="L788">
        <v>57.27</v>
      </c>
      <c r="M788">
        <v>1.0076639789999999</v>
      </c>
      <c r="N788">
        <f>E788/_xlfn.XLOOKUP(C788,Lookups!$A$2:$A$66,Lookups!$C$2:$C$66)</f>
        <v>49.791572416467396</v>
      </c>
    </row>
    <row r="789" spans="1:27" x14ac:dyDescent="0.2">
      <c r="A789">
        <v>117</v>
      </c>
      <c r="B789">
        <v>12</v>
      </c>
      <c r="C789" t="s">
        <v>203</v>
      </c>
      <c r="D789">
        <v>2017</v>
      </c>
      <c r="E789">
        <v>31133</v>
      </c>
      <c r="F789">
        <v>30660</v>
      </c>
      <c r="G789">
        <v>473</v>
      </c>
      <c r="H789">
        <v>2.36</v>
      </c>
      <c r="I789">
        <v>30320</v>
      </c>
      <c r="J789">
        <v>13000</v>
      </c>
      <c r="K789">
        <v>17320</v>
      </c>
      <c r="L789">
        <v>57.12</v>
      </c>
      <c r="M789">
        <v>1.01121372</v>
      </c>
      <c r="N789">
        <f>E789/_xlfn.XLOOKUP(C789,Lookups!$A$2:$A$66,Lookups!$C$2:$C$66)</f>
        <v>50.302139210237193</v>
      </c>
    </row>
    <row r="790" spans="1:27" x14ac:dyDescent="0.2">
      <c r="A790">
        <v>117</v>
      </c>
      <c r="B790">
        <v>12</v>
      </c>
      <c r="C790" t="s">
        <v>203</v>
      </c>
      <c r="D790">
        <v>2018</v>
      </c>
      <c r="E790">
        <v>31095</v>
      </c>
      <c r="F790">
        <v>30593</v>
      </c>
      <c r="G790">
        <v>502</v>
      </c>
      <c r="H790">
        <v>2.36</v>
      </c>
      <c r="I790">
        <v>30593</v>
      </c>
      <c r="J790">
        <v>12972</v>
      </c>
      <c r="K790">
        <v>17621</v>
      </c>
      <c r="L790">
        <v>57.6</v>
      </c>
      <c r="M790">
        <v>1</v>
      </c>
      <c r="N790">
        <f>E790/_xlfn.XLOOKUP(C790,Lookups!$A$2:$A$66,Lookups!$C$2:$C$66)</f>
        <v>50.240741937568671</v>
      </c>
    </row>
    <row r="791" spans="1:27" x14ac:dyDescent="0.2">
      <c r="A791">
        <v>117</v>
      </c>
      <c r="B791">
        <v>12</v>
      </c>
      <c r="C791" t="s">
        <v>203</v>
      </c>
      <c r="D791">
        <v>2019</v>
      </c>
      <c r="E791">
        <v>31190</v>
      </c>
      <c r="F791">
        <v>30660</v>
      </c>
      <c r="G791">
        <v>530</v>
      </c>
      <c r="H791">
        <v>2.36</v>
      </c>
      <c r="I791">
        <v>31123</v>
      </c>
      <c r="J791">
        <v>13000</v>
      </c>
      <c r="K791">
        <v>18123</v>
      </c>
      <c r="L791">
        <v>58.23</v>
      </c>
      <c r="M791">
        <v>0.98512354199999996</v>
      </c>
      <c r="N791">
        <f>E791/_xlfn.XLOOKUP(C791,Lookups!$A$2:$A$66,Lookups!$C$2:$C$66)</f>
        <v>50.394235119239973</v>
      </c>
    </row>
    <row r="792" spans="1:27" x14ac:dyDescent="0.2">
      <c r="A792">
        <v>117</v>
      </c>
      <c r="B792">
        <v>12</v>
      </c>
      <c r="C792" t="s">
        <v>203</v>
      </c>
      <c r="D792">
        <v>2020</v>
      </c>
      <c r="E792">
        <v>30996</v>
      </c>
      <c r="F792">
        <v>30417</v>
      </c>
      <c r="G792">
        <v>579</v>
      </c>
      <c r="I792">
        <v>31416</v>
      </c>
      <c r="M792">
        <v>0.96820091699999999</v>
      </c>
      <c r="N792">
        <f>E792/_xlfn.XLOOKUP(C792,Lookups!$A$2:$A$66,Lookups!$C$2:$C$66)</f>
        <v>50.080785885090158</v>
      </c>
      <c r="O792">
        <v>30996</v>
      </c>
      <c r="P792">
        <v>263</v>
      </c>
      <c r="Q792">
        <v>179</v>
      </c>
      <c r="R792">
        <v>-373</v>
      </c>
      <c r="S792">
        <v>84</v>
      </c>
      <c r="T792">
        <v>31416</v>
      </c>
      <c r="W792">
        <v>30417</v>
      </c>
      <c r="X792">
        <v>318</v>
      </c>
      <c r="AA792">
        <v>0.96820091699999999</v>
      </c>
    </row>
    <row r="793" spans="1:27" x14ac:dyDescent="0.2">
      <c r="A793">
        <v>117</v>
      </c>
      <c r="B793">
        <v>12</v>
      </c>
      <c r="C793" t="s">
        <v>203</v>
      </c>
      <c r="D793">
        <v>2021</v>
      </c>
      <c r="E793">
        <v>30994</v>
      </c>
      <c r="F793">
        <v>30415</v>
      </c>
      <c r="G793">
        <v>579</v>
      </c>
      <c r="I793">
        <v>31737</v>
      </c>
      <c r="M793">
        <v>0.95834514900000001</v>
      </c>
      <c r="N793">
        <f>E793/_xlfn.XLOOKUP(C793,Lookups!$A$2:$A$66,Lookups!$C$2:$C$66)</f>
        <v>50.077554449686552</v>
      </c>
      <c r="O793">
        <v>30994</v>
      </c>
      <c r="P793">
        <v>251</v>
      </c>
      <c r="Q793">
        <v>180</v>
      </c>
      <c r="R793">
        <v>-182</v>
      </c>
      <c r="S793">
        <v>71</v>
      </c>
      <c r="T793">
        <v>31737</v>
      </c>
      <c r="W793">
        <v>30415</v>
      </c>
      <c r="X793">
        <v>407</v>
      </c>
      <c r="AA793">
        <v>0.95834514900000001</v>
      </c>
    </row>
    <row r="794" spans="1:27" x14ac:dyDescent="0.2">
      <c r="A794">
        <v>117</v>
      </c>
      <c r="B794">
        <v>12</v>
      </c>
      <c r="C794" t="s">
        <v>203</v>
      </c>
      <c r="D794">
        <v>2022</v>
      </c>
      <c r="E794">
        <v>30583</v>
      </c>
      <c r="F794">
        <v>30004</v>
      </c>
      <c r="G794">
        <v>579</v>
      </c>
      <c r="I794">
        <v>32147</v>
      </c>
      <c r="M794">
        <v>0.93333748100000002</v>
      </c>
      <c r="N794">
        <f>E794/_xlfn.XLOOKUP(C794,Lookups!$A$2:$A$66,Lookups!$C$2:$C$66)</f>
        <v>49.413494474245461</v>
      </c>
      <c r="O794">
        <v>30583</v>
      </c>
      <c r="P794">
        <v>252</v>
      </c>
      <c r="Q794">
        <v>161</v>
      </c>
      <c r="R794">
        <v>-572</v>
      </c>
      <c r="S794">
        <v>91</v>
      </c>
      <c r="T794">
        <v>32147</v>
      </c>
      <c r="W794">
        <v>30004</v>
      </c>
      <c r="X794">
        <v>400</v>
      </c>
      <c r="AA794">
        <v>0.93333748100000002</v>
      </c>
    </row>
    <row r="795" spans="1:27" x14ac:dyDescent="0.2">
      <c r="A795">
        <v>119</v>
      </c>
      <c r="B795">
        <v>4</v>
      </c>
      <c r="C795" t="s">
        <v>204</v>
      </c>
      <c r="D795">
        <v>2010</v>
      </c>
      <c r="E795">
        <v>23441</v>
      </c>
      <c r="F795">
        <v>23309</v>
      </c>
      <c r="G795">
        <v>132</v>
      </c>
      <c r="H795">
        <v>2.37</v>
      </c>
      <c r="I795">
        <v>12651</v>
      </c>
      <c r="J795">
        <v>9844</v>
      </c>
      <c r="K795">
        <v>2807</v>
      </c>
      <c r="L795">
        <v>22.19</v>
      </c>
      <c r="M795">
        <v>1.842463046</v>
      </c>
      <c r="N795">
        <f>E795/_xlfn.XLOOKUP(C795,Lookups!$A$2:$A$66,Lookups!$C$2:$C$66)</f>
        <v>41.965340685309172</v>
      </c>
    </row>
    <row r="796" spans="1:27" x14ac:dyDescent="0.2">
      <c r="A796">
        <v>119</v>
      </c>
      <c r="B796">
        <v>4</v>
      </c>
      <c r="C796" t="s">
        <v>204</v>
      </c>
      <c r="D796">
        <v>2011</v>
      </c>
      <c r="E796">
        <v>23268</v>
      </c>
      <c r="F796">
        <v>23131</v>
      </c>
      <c r="G796">
        <v>137</v>
      </c>
      <c r="H796">
        <v>2.36</v>
      </c>
      <c r="I796">
        <v>12663</v>
      </c>
      <c r="J796">
        <v>9793</v>
      </c>
      <c r="K796">
        <v>2870</v>
      </c>
      <c r="L796">
        <v>22.66</v>
      </c>
      <c r="M796">
        <v>1.826660349</v>
      </c>
      <c r="N796">
        <f>E796/_xlfn.XLOOKUP(C796,Lookups!$A$2:$A$66,Lookups!$C$2:$C$66)</f>
        <v>41.655626767875681</v>
      </c>
    </row>
    <row r="797" spans="1:27" x14ac:dyDescent="0.2">
      <c r="A797">
        <v>119</v>
      </c>
      <c r="B797">
        <v>4</v>
      </c>
      <c r="C797" t="s">
        <v>204</v>
      </c>
      <c r="D797">
        <v>2012</v>
      </c>
      <c r="E797">
        <v>23270</v>
      </c>
      <c r="F797">
        <v>23128</v>
      </c>
      <c r="G797">
        <v>142</v>
      </c>
      <c r="H797">
        <v>2.36</v>
      </c>
      <c r="I797">
        <v>12699</v>
      </c>
      <c r="J797">
        <v>9815</v>
      </c>
      <c r="K797">
        <v>2884</v>
      </c>
      <c r="L797">
        <v>22.71</v>
      </c>
      <c r="M797">
        <v>1.821245767</v>
      </c>
      <c r="N797">
        <f>E797/_xlfn.XLOOKUP(C797,Lookups!$A$2:$A$66,Lookups!$C$2:$C$66)</f>
        <v>41.659207275591676</v>
      </c>
    </row>
    <row r="798" spans="1:27" x14ac:dyDescent="0.2">
      <c r="A798">
        <v>119</v>
      </c>
      <c r="B798">
        <v>4</v>
      </c>
      <c r="C798" t="s">
        <v>204</v>
      </c>
      <c r="D798">
        <v>2013</v>
      </c>
      <c r="E798">
        <v>23110</v>
      </c>
      <c r="F798">
        <v>22963</v>
      </c>
      <c r="G798">
        <v>147</v>
      </c>
      <c r="H798">
        <v>2.35</v>
      </c>
      <c r="I798">
        <v>12744</v>
      </c>
      <c r="J798">
        <v>9769</v>
      </c>
      <c r="K798">
        <v>2975</v>
      </c>
      <c r="L798">
        <v>23.34</v>
      </c>
      <c r="M798">
        <v>1.801867546</v>
      </c>
      <c r="N798">
        <f>E798/_xlfn.XLOOKUP(C798,Lookups!$A$2:$A$66,Lookups!$C$2:$C$66)</f>
        <v>41.372766658312145</v>
      </c>
    </row>
    <row r="799" spans="1:27" x14ac:dyDescent="0.2">
      <c r="A799">
        <v>119</v>
      </c>
      <c r="B799">
        <v>4</v>
      </c>
      <c r="C799" t="s">
        <v>204</v>
      </c>
      <c r="D799">
        <v>2014</v>
      </c>
      <c r="E799">
        <v>23121</v>
      </c>
      <c r="F799">
        <v>22970</v>
      </c>
      <c r="G799">
        <v>151</v>
      </c>
      <c r="H799">
        <v>2.34</v>
      </c>
      <c r="I799">
        <v>12772</v>
      </c>
      <c r="J799">
        <v>9796</v>
      </c>
      <c r="K799">
        <v>2976</v>
      </c>
      <c r="L799">
        <v>23.3</v>
      </c>
      <c r="M799">
        <v>1.7984653930000001</v>
      </c>
      <c r="N799">
        <f>E799/_xlfn.XLOOKUP(C799,Lookups!$A$2:$A$66,Lookups!$C$2:$C$66)</f>
        <v>41.39245945075011</v>
      </c>
    </row>
    <row r="800" spans="1:27" x14ac:dyDescent="0.2">
      <c r="A800">
        <v>119</v>
      </c>
      <c r="B800">
        <v>4</v>
      </c>
      <c r="C800" t="s">
        <v>204</v>
      </c>
      <c r="D800">
        <v>2015</v>
      </c>
      <c r="E800">
        <v>23006</v>
      </c>
      <c r="F800">
        <v>22849</v>
      </c>
      <c r="G800">
        <v>157</v>
      </c>
      <c r="H800">
        <v>2.34</v>
      </c>
      <c r="I800">
        <v>12896</v>
      </c>
      <c r="J800">
        <v>9768</v>
      </c>
      <c r="K800">
        <v>3128</v>
      </c>
      <c r="L800">
        <v>24.26</v>
      </c>
      <c r="M800">
        <v>1.771789702</v>
      </c>
      <c r="N800">
        <f>E800/_xlfn.XLOOKUP(C800,Lookups!$A$2:$A$66,Lookups!$C$2:$C$66)</f>
        <v>41.18658025708045</v>
      </c>
    </row>
    <row r="801" spans="1:27" x14ac:dyDescent="0.2">
      <c r="A801">
        <v>119</v>
      </c>
      <c r="B801">
        <v>4</v>
      </c>
      <c r="C801" t="s">
        <v>204</v>
      </c>
      <c r="D801">
        <v>2016</v>
      </c>
      <c r="E801">
        <v>23607</v>
      </c>
      <c r="F801">
        <v>23445</v>
      </c>
      <c r="G801">
        <v>162</v>
      </c>
      <c r="H801">
        <v>2.33</v>
      </c>
      <c r="I801">
        <v>12956</v>
      </c>
      <c r="J801">
        <v>10047</v>
      </c>
      <c r="K801">
        <v>2909</v>
      </c>
      <c r="L801">
        <v>22.45</v>
      </c>
      <c r="M801">
        <v>1.8095862920000001</v>
      </c>
      <c r="N801">
        <f>E801/_xlfn.XLOOKUP(C801,Lookups!$A$2:$A$66,Lookups!$C$2:$C$66)</f>
        <v>42.262522825736689</v>
      </c>
    </row>
    <row r="802" spans="1:27" x14ac:dyDescent="0.2">
      <c r="A802">
        <v>119</v>
      </c>
      <c r="B802">
        <v>4</v>
      </c>
      <c r="C802" t="s">
        <v>204</v>
      </c>
      <c r="D802">
        <v>2017</v>
      </c>
      <c r="E802">
        <v>24153</v>
      </c>
      <c r="F802">
        <v>23987</v>
      </c>
      <c r="G802">
        <v>166</v>
      </c>
      <c r="H802">
        <v>2.33</v>
      </c>
      <c r="I802">
        <v>13056</v>
      </c>
      <c r="J802">
        <v>10305</v>
      </c>
      <c r="K802">
        <v>2751</v>
      </c>
      <c r="L802">
        <v>21.07</v>
      </c>
      <c r="M802">
        <v>1.8372395829999999</v>
      </c>
      <c r="N802">
        <f>E802/_xlfn.XLOOKUP(C802,Lookups!$A$2:$A$66,Lookups!$C$2:$C$66)</f>
        <v>43.24000143220308</v>
      </c>
    </row>
    <row r="803" spans="1:27" x14ac:dyDescent="0.2">
      <c r="A803">
        <v>119</v>
      </c>
      <c r="B803">
        <v>4</v>
      </c>
      <c r="C803" t="s">
        <v>204</v>
      </c>
      <c r="D803">
        <v>2018</v>
      </c>
      <c r="E803">
        <v>24523</v>
      </c>
      <c r="F803">
        <v>24352</v>
      </c>
      <c r="G803">
        <v>171</v>
      </c>
      <c r="H803">
        <v>2.3199999999999998</v>
      </c>
      <c r="I803">
        <v>13138</v>
      </c>
      <c r="J803">
        <v>10488</v>
      </c>
      <c r="K803">
        <v>2650</v>
      </c>
      <c r="L803">
        <v>20.170000000000002</v>
      </c>
      <c r="M803">
        <v>1.853554575</v>
      </c>
      <c r="N803">
        <f>E803/_xlfn.XLOOKUP(C803,Lookups!$A$2:$A$66,Lookups!$C$2:$C$66)</f>
        <v>43.902395359661995</v>
      </c>
    </row>
    <row r="804" spans="1:27" x14ac:dyDescent="0.2">
      <c r="A804">
        <v>119</v>
      </c>
      <c r="B804">
        <v>4</v>
      </c>
      <c r="C804" t="s">
        <v>204</v>
      </c>
      <c r="D804">
        <v>2019</v>
      </c>
      <c r="E804">
        <v>24679</v>
      </c>
      <c r="F804">
        <v>24503</v>
      </c>
      <c r="G804">
        <v>176</v>
      </c>
      <c r="H804">
        <v>2.3199999999999998</v>
      </c>
      <c r="I804">
        <v>13254</v>
      </c>
      <c r="J804">
        <v>10579</v>
      </c>
      <c r="K804">
        <v>2675</v>
      </c>
      <c r="L804">
        <v>20.18</v>
      </c>
      <c r="M804">
        <v>1.8487249130000001</v>
      </c>
      <c r="N804">
        <f>E804/_xlfn.XLOOKUP(C804,Lookups!$A$2:$A$66,Lookups!$C$2:$C$66)</f>
        <v>44.181674961509536</v>
      </c>
    </row>
    <row r="805" spans="1:27" x14ac:dyDescent="0.2">
      <c r="A805">
        <v>119</v>
      </c>
      <c r="B805">
        <v>4</v>
      </c>
      <c r="C805" t="s">
        <v>204</v>
      </c>
      <c r="D805">
        <v>2020</v>
      </c>
      <c r="E805">
        <v>24745</v>
      </c>
      <c r="F805">
        <v>24581</v>
      </c>
      <c r="G805">
        <v>164</v>
      </c>
      <c r="I805">
        <v>13346</v>
      </c>
      <c r="M805">
        <v>1.8418252660000001</v>
      </c>
      <c r="N805">
        <f>E805/_xlfn.XLOOKUP(C805,Lookups!$A$2:$A$66,Lookups!$C$2:$C$66)</f>
        <v>44.299831716137348</v>
      </c>
      <c r="O805">
        <v>24745</v>
      </c>
      <c r="P805">
        <v>195</v>
      </c>
      <c r="Q805">
        <v>10</v>
      </c>
      <c r="R805">
        <v>56</v>
      </c>
      <c r="S805">
        <v>185</v>
      </c>
      <c r="T805">
        <v>13346</v>
      </c>
      <c r="W805">
        <v>24581</v>
      </c>
      <c r="X805">
        <v>113</v>
      </c>
      <c r="AA805">
        <v>1.8418252660000001</v>
      </c>
    </row>
    <row r="806" spans="1:27" x14ac:dyDescent="0.2">
      <c r="A806">
        <v>119</v>
      </c>
      <c r="B806">
        <v>4</v>
      </c>
      <c r="C806" t="s">
        <v>204</v>
      </c>
      <c r="D806">
        <v>2021</v>
      </c>
      <c r="E806">
        <v>24947</v>
      </c>
      <c r="F806">
        <v>24784</v>
      </c>
      <c r="G806">
        <v>163</v>
      </c>
      <c r="I806">
        <v>13509</v>
      </c>
      <c r="M806">
        <v>1.834628766</v>
      </c>
      <c r="N806">
        <f>E806/_xlfn.XLOOKUP(C806,Lookups!$A$2:$A$66,Lookups!$C$2:$C$66)</f>
        <v>44.661462995452752</v>
      </c>
      <c r="O806">
        <v>24947</v>
      </c>
      <c r="P806">
        <v>167</v>
      </c>
      <c r="Q806">
        <v>-72</v>
      </c>
      <c r="R806">
        <v>274</v>
      </c>
      <c r="S806">
        <v>239</v>
      </c>
      <c r="T806">
        <v>13509</v>
      </c>
      <c r="W806">
        <v>24784</v>
      </c>
      <c r="X806">
        <v>149</v>
      </c>
      <c r="AA806">
        <v>1.834628766</v>
      </c>
    </row>
    <row r="807" spans="1:27" x14ac:dyDescent="0.2">
      <c r="A807">
        <v>119</v>
      </c>
      <c r="B807">
        <v>4</v>
      </c>
      <c r="C807" t="s">
        <v>204</v>
      </c>
      <c r="D807">
        <v>2022</v>
      </c>
      <c r="E807">
        <v>24852</v>
      </c>
      <c r="F807">
        <v>24688</v>
      </c>
      <c r="G807">
        <v>164</v>
      </c>
      <c r="I807">
        <v>13657</v>
      </c>
      <c r="M807">
        <v>1.807717654</v>
      </c>
      <c r="N807">
        <f>E807/_xlfn.XLOOKUP(C807,Lookups!$A$2:$A$66,Lookups!$C$2:$C$66)</f>
        <v>44.491388878943027</v>
      </c>
      <c r="O807">
        <v>24852</v>
      </c>
      <c r="P807">
        <v>178</v>
      </c>
      <c r="Q807">
        <v>-97</v>
      </c>
      <c r="R807">
        <v>2</v>
      </c>
      <c r="S807">
        <v>275</v>
      </c>
      <c r="T807">
        <v>13657</v>
      </c>
      <c r="W807">
        <v>24688</v>
      </c>
      <c r="X807">
        <v>159</v>
      </c>
      <c r="AA807">
        <v>1.807717654</v>
      </c>
    </row>
    <row r="808" spans="1:27" x14ac:dyDescent="0.2">
      <c r="A808">
        <v>121</v>
      </c>
      <c r="B808">
        <v>1</v>
      </c>
      <c r="C808" t="s">
        <v>205</v>
      </c>
      <c r="D808">
        <v>2010</v>
      </c>
      <c r="E808">
        <v>4815</v>
      </c>
      <c r="F808">
        <v>4471</v>
      </c>
      <c r="G808">
        <v>344</v>
      </c>
      <c r="H808">
        <v>2.61</v>
      </c>
      <c r="I808">
        <v>2177</v>
      </c>
      <c r="J808">
        <v>1711</v>
      </c>
      <c r="K808">
        <v>466</v>
      </c>
      <c r="L808">
        <v>21.41</v>
      </c>
      <c r="M808">
        <v>2.0537436840000001</v>
      </c>
      <c r="N808">
        <f>E808/_xlfn.XLOOKUP(C808,Lookups!$A$2:$A$66,Lookups!$C$2:$C$66)</f>
        <v>1.9085179753458321</v>
      </c>
    </row>
    <row r="809" spans="1:27" x14ac:dyDescent="0.2">
      <c r="A809">
        <v>121</v>
      </c>
      <c r="B809">
        <v>1</v>
      </c>
      <c r="C809" t="s">
        <v>205</v>
      </c>
      <c r="D809">
        <v>2011</v>
      </c>
      <c r="E809">
        <v>4608</v>
      </c>
      <c r="F809">
        <v>4489</v>
      </c>
      <c r="G809">
        <v>119</v>
      </c>
      <c r="H809">
        <v>2.35</v>
      </c>
      <c r="I809">
        <v>2187</v>
      </c>
      <c r="J809">
        <v>1914</v>
      </c>
      <c r="K809">
        <v>273</v>
      </c>
      <c r="L809">
        <v>12.47</v>
      </c>
      <c r="M809">
        <v>2.052583448</v>
      </c>
      <c r="N809">
        <f>E809/_xlfn.XLOOKUP(C809,Lookups!$A$2:$A$66,Lookups!$C$2:$C$66)</f>
        <v>1.8264695390225534</v>
      </c>
    </row>
    <row r="810" spans="1:27" x14ac:dyDescent="0.2">
      <c r="A810">
        <v>121</v>
      </c>
      <c r="B810">
        <v>1</v>
      </c>
      <c r="C810" t="s">
        <v>205</v>
      </c>
      <c r="D810">
        <v>2012</v>
      </c>
      <c r="E810">
        <v>4560</v>
      </c>
      <c r="F810">
        <v>4506</v>
      </c>
      <c r="G810">
        <v>54</v>
      </c>
      <c r="H810">
        <v>2.35</v>
      </c>
      <c r="I810">
        <v>2195</v>
      </c>
      <c r="J810">
        <v>1916</v>
      </c>
      <c r="K810">
        <v>279</v>
      </c>
      <c r="L810">
        <v>12.71</v>
      </c>
      <c r="M810">
        <v>2.0528473800000002</v>
      </c>
      <c r="N810">
        <f>E810/_xlfn.XLOOKUP(C810,Lookups!$A$2:$A$66,Lookups!$C$2:$C$66)</f>
        <v>1.8074438146577352</v>
      </c>
    </row>
    <row r="811" spans="1:27" x14ac:dyDescent="0.2">
      <c r="A811">
        <v>121</v>
      </c>
      <c r="B811">
        <v>1</v>
      </c>
      <c r="C811" t="s">
        <v>205</v>
      </c>
      <c r="D811">
        <v>2013</v>
      </c>
      <c r="E811">
        <v>4614</v>
      </c>
      <c r="F811">
        <v>4521</v>
      </c>
      <c r="G811">
        <v>93</v>
      </c>
      <c r="H811">
        <v>2.36</v>
      </c>
      <c r="I811">
        <v>2199</v>
      </c>
      <c r="J811">
        <v>1917</v>
      </c>
      <c r="K811">
        <v>282</v>
      </c>
      <c r="L811">
        <v>12.82</v>
      </c>
      <c r="M811">
        <v>2.0559345160000002</v>
      </c>
      <c r="N811">
        <f>E811/_xlfn.XLOOKUP(C811,Lookups!$A$2:$A$66,Lookups!$C$2:$C$66)</f>
        <v>1.8288477545681556</v>
      </c>
    </row>
    <row r="812" spans="1:27" x14ac:dyDescent="0.2">
      <c r="A812">
        <v>121</v>
      </c>
      <c r="B812">
        <v>1</v>
      </c>
      <c r="C812" t="s">
        <v>205</v>
      </c>
      <c r="D812">
        <v>2014</v>
      </c>
      <c r="E812">
        <v>4617</v>
      </c>
      <c r="F812">
        <v>4537</v>
      </c>
      <c r="G812">
        <v>80</v>
      </c>
      <c r="H812">
        <v>2.37</v>
      </c>
      <c r="I812">
        <v>2205</v>
      </c>
      <c r="J812">
        <v>1918</v>
      </c>
      <c r="K812">
        <v>287</v>
      </c>
      <c r="L812">
        <v>13</v>
      </c>
      <c r="M812">
        <v>2.0575963719999999</v>
      </c>
      <c r="N812">
        <f>E812/_xlfn.XLOOKUP(C812,Lookups!$A$2:$A$66,Lookups!$C$2:$C$66)</f>
        <v>1.8300368623409569</v>
      </c>
    </row>
    <row r="813" spans="1:27" x14ac:dyDescent="0.2">
      <c r="A813">
        <v>121</v>
      </c>
      <c r="B813">
        <v>1</v>
      </c>
      <c r="C813" t="s">
        <v>205</v>
      </c>
      <c r="D813">
        <v>2015</v>
      </c>
      <c r="E813">
        <v>4682</v>
      </c>
      <c r="F813">
        <v>4555</v>
      </c>
      <c r="G813">
        <v>127</v>
      </c>
      <c r="H813">
        <v>2.37</v>
      </c>
      <c r="I813">
        <v>2215</v>
      </c>
      <c r="J813">
        <v>1921</v>
      </c>
      <c r="K813">
        <v>294</v>
      </c>
      <c r="L813">
        <v>13.29</v>
      </c>
      <c r="M813">
        <v>2.0564334089999998</v>
      </c>
      <c r="N813">
        <f>E813/_xlfn.XLOOKUP(C813,Lookups!$A$2:$A$66,Lookups!$C$2:$C$66)</f>
        <v>1.8558008640849815</v>
      </c>
    </row>
    <row r="814" spans="1:27" x14ac:dyDescent="0.2">
      <c r="A814">
        <v>121</v>
      </c>
      <c r="B814">
        <v>1</v>
      </c>
      <c r="C814" t="s">
        <v>205</v>
      </c>
      <c r="D814">
        <v>2016</v>
      </c>
      <c r="E814">
        <v>4745</v>
      </c>
      <c r="F814">
        <v>4574</v>
      </c>
      <c r="G814">
        <v>171</v>
      </c>
      <c r="H814">
        <v>2.38</v>
      </c>
      <c r="I814">
        <v>2227</v>
      </c>
      <c r="J814">
        <v>1923</v>
      </c>
      <c r="K814">
        <v>304</v>
      </c>
      <c r="L814">
        <v>13.63</v>
      </c>
      <c r="M814">
        <v>2.0538841489999999</v>
      </c>
      <c r="N814">
        <f>E814/_xlfn.XLOOKUP(C814,Lookups!$A$2:$A$66,Lookups!$C$2:$C$66)</f>
        <v>1.8807721273138054</v>
      </c>
    </row>
    <row r="815" spans="1:27" x14ac:dyDescent="0.2">
      <c r="A815">
        <v>121</v>
      </c>
      <c r="B815">
        <v>1</v>
      </c>
      <c r="C815" t="s">
        <v>205</v>
      </c>
      <c r="D815">
        <v>2017</v>
      </c>
      <c r="E815">
        <v>4845</v>
      </c>
      <c r="F815">
        <v>4593</v>
      </c>
      <c r="G815">
        <v>252</v>
      </c>
      <c r="H815">
        <v>2.38</v>
      </c>
      <c r="I815">
        <v>2239</v>
      </c>
      <c r="J815">
        <v>1926</v>
      </c>
      <c r="K815">
        <v>313</v>
      </c>
      <c r="L815">
        <v>13.97</v>
      </c>
      <c r="M815">
        <v>2.0513622150000002</v>
      </c>
      <c r="N815">
        <f>E815/_xlfn.XLOOKUP(C815,Lookups!$A$2:$A$66,Lookups!$C$2:$C$66)</f>
        <v>1.9204090530738436</v>
      </c>
    </row>
    <row r="816" spans="1:27" x14ac:dyDescent="0.2">
      <c r="A816">
        <v>121</v>
      </c>
      <c r="B816">
        <v>1</v>
      </c>
      <c r="C816" t="s">
        <v>205</v>
      </c>
      <c r="D816">
        <v>2018</v>
      </c>
      <c r="E816">
        <v>4812</v>
      </c>
      <c r="F816">
        <v>4612</v>
      </c>
      <c r="G816">
        <v>200</v>
      </c>
      <c r="H816">
        <v>2.39</v>
      </c>
      <c r="I816">
        <v>2249</v>
      </c>
      <c r="J816">
        <v>1928</v>
      </c>
      <c r="K816">
        <v>321</v>
      </c>
      <c r="L816">
        <v>14.26</v>
      </c>
      <c r="M816">
        <v>2.0506891949999999</v>
      </c>
      <c r="N816">
        <f>E816/_xlfn.XLOOKUP(C816,Lookups!$A$2:$A$66,Lookups!$C$2:$C$66)</f>
        <v>1.9073288675730309</v>
      </c>
    </row>
    <row r="817" spans="1:27" x14ac:dyDescent="0.2">
      <c r="A817">
        <v>121</v>
      </c>
      <c r="B817">
        <v>1</v>
      </c>
      <c r="C817" t="s">
        <v>205</v>
      </c>
      <c r="D817">
        <v>2019</v>
      </c>
      <c r="E817">
        <v>4826</v>
      </c>
      <c r="F817">
        <v>4635</v>
      </c>
      <c r="G817">
        <v>191</v>
      </c>
      <c r="H817">
        <v>2.4</v>
      </c>
      <c r="I817">
        <v>2268</v>
      </c>
      <c r="J817">
        <v>1933</v>
      </c>
      <c r="K817">
        <v>335</v>
      </c>
      <c r="L817">
        <v>14.78</v>
      </c>
      <c r="M817">
        <v>2.0436507939999999</v>
      </c>
      <c r="N817">
        <f>E817/_xlfn.XLOOKUP(C817,Lookups!$A$2:$A$66,Lookups!$C$2:$C$66)</f>
        <v>1.9128780371794363</v>
      </c>
    </row>
    <row r="818" spans="1:27" x14ac:dyDescent="0.2">
      <c r="A818">
        <v>121</v>
      </c>
      <c r="B818">
        <v>1</v>
      </c>
      <c r="C818" t="s">
        <v>205</v>
      </c>
      <c r="D818">
        <v>2020</v>
      </c>
      <c r="E818">
        <v>4811</v>
      </c>
      <c r="F818">
        <v>4645</v>
      </c>
      <c r="G818">
        <v>166</v>
      </c>
      <c r="I818">
        <v>2278</v>
      </c>
      <c r="M818">
        <v>2.039069359</v>
      </c>
      <c r="N818">
        <f>E818/_xlfn.XLOOKUP(C818,Lookups!$A$2:$A$66,Lookups!$C$2:$C$66)</f>
        <v>1.9069324983154305</v>
      </c>
      <c r="O818">
        <v>4811</v>
      </c>
      <c r="P818">
        <v>43</v>
      </c>
      <c r="Q818">
        <v>-22</v>
      </c>
      <c r="R818">
        <v>7</v>
      </c>
      <c r="S818">
        <v>65</v>
      </c>
      <c r="T818">
        <v>2278</v>
      </c>
      <c r="W818">
        <v>4645</v>
      </c>
      <c r="X818">
        <v>7</v>
      </c>
      <c r="AA818">
        <v>2.039069359</v>
      </c>
    </row>
    <row r="819" spans="1:27" x14ac:dyDescent="0.2">
      <c r="A819">
        <v>121</v>
      </c>
      <c r="B819">
        <v>1</v>
      </c>
      <c r="C819" t="s">
        <v>205</v>
      </c>
      <c r="D819">
        <v>2021</v>
      </c>
      <c r="E819">
        <v>4870</v>
      </c>
      <c r="F819">
        <v>4705</v>
      </c>
      <c r="G819">
        <v>165</v>
      </c>
      <c r="I819">
        <v>2287</v>
      </c>
      <c r="M819">
        <v>2.0572802800000001</v>
      </c>
      <c r="N819">
        <f>E819/_xlfn.XLOOKUP(C819,Lookups!$A$2:$A$66,Lookups!$C$2:$C$66)</f>
        <v>1.9303182845138531</v>
      </c>
      <c r="O819">
        <v>4870</v>
      </c>
      <c r="P819">
        <v>50</v>
      </c>
      <c r="Q819">
        <v>-18</v>
      </c>
      <c r="R819">
        <v>77</v>
      </c>
      <c r="S819">
        <v>68</v>
      </c>
      <c r="T819">
        <v>2287</v>
      </c>
      <c r="W819">
        <v>4705</v>
      </c>
      <c r="X819">
        <v>1</v>
      </c>
      <c r="AA819">
        <v>2.0572802800000001</v>
      </c>
    </row>
    <row r="820" spans="1:27" x14ac:dyDescent="0.2">
      <c r="A820">
        <v>121</v>
      </c>
      <c r="B820">
        <v>1</v>
      </c>
      <c r="C820" t="s">
        <v>205</v>
      </c>
      <c r="D820">
        <v>2022</v>
      </c>
      <c r="E820">
        <v>4835</v>
      </c>
      <c r="F820">
        <v>4671</v>
      </c>
      <c r="G820">
        <v>164</v>
      </c>
      <c r="I820">
        <v>2289</v>
      </c>
      <c r="M820">
        <v>2.040629096</v>
      </c>
      <c r="N820">
        <f>E820/_xlfn.XLOOKUP(C820,Lookups!$A$2:$A$66,Lookups!$C$2:$C$66)</f>
        <v>1.9164453604978398</v>
      </c>
      <c r="O820">
        <v>4835</v>
      </c>
      <c r="P820">
        <v>49</v>
      </c>
      <c r="Q820">
        <v>-28</v>
      </c>
      <c r="R820">
        <v>-7</v>
      </c>
      <c r="S820">
        <v>77</v>
      </c>
      <c r="T820">
        <v>2289</v>
      </c>
      <c r="W820">
        <v>4671</v>
      </c>
      <c r="X820">
        <v>4</v>
      </c>
      <c r="AA820">
        <v>2.040629096</v>
      </c>
    </row>
    <row r="821" spans="1:27" x14ac:dyDescent="0.2">
      <c r="A821">
        <v>123</v>
      </c>
      <c r="B821">
        <v>2</v>
      </c>
      <c r="C821" t="s">
        <v>206</v>
      </c>
      <c r="D821">
        <v>2010</v>
      </c>
      <c r="E821">
        <v>254230</v>
      </c>
      <c r="F821">
        <v>248335</v>
      </c>
      <c r="G821">
        <v>5895</v>
      </c>
      <c r="H821">
        <v>2.76</v>
      </c>
      <c r="I821">
        <v>96540</v>
      </c>
      <c r="J821">
        <v>89831</v>
      </c>
      <c r="K821">
        <v>6709</v>
      </c>
      <c r="L821">
        <v>6.95</v>
      </c>
      <c r="M821">
        <v>2.5723534290000001</v>
      </c>
      <c r="N821">
        <f>E821/_xlfn.XLOOKUP(C821,Lookups!$A$2:$A$66,Lookups!$C$2:$C$66)</f>
        <v>63.338349311382615</v>
      </c>
    </row>
    <row r="822" spans="1:27" x14ac:dyDescent="0.2">
      <c r="A822">
        <v>123</v>
      </c>
      <c r="B822">
        <v>2</v>
      </c>
      <c r="C822" t="s">
        <v>206</v>
      </c>
      <c r="D822">
        <v>2011</v>
      </c>
      <c r="E822">
        <v>258702</v>
      </c>
      <c r="F822">
        <v>252808</v>
      </c>
      <c r="G822">
        <v>5894</v>
      </c>
      <c r="H822">
        <v>2.77</v>
      </c>
      <c r="I822">
        <v>97321</v>
      </c>
      <c r="J822">
        <v>91197</v>
      </c>
      <c r="K822">
        <v>6124</v>
      </c>
      <c r="L822">
        <v>6.29</v>
      </c>
      <c r="M822">
        <v>2.5976716230000001</v>
      </c>
      <c r="N822">
        <f>E822/_xlfn.XLOOKUP(C822,Lookups!$A$2:$A$66,Lookups!$C$2:$C$66)</f>
        <v>64.452494369481585</v>
      </c>
    </row>
    <row r="823" spans="1:27" x14ac:dyDescent="0.2">
      <c r="A823">
        <v>123</v>
      </c>
      <c r="B823">
        <v>2</v>
      </c>
      <c r="C823" t="s">
        <v>206</v>
      </c>
      <c r="D823">
        <v>2012</v>
      </c>
      <c r="E823">
        <v>263850</v>
      </c>
      <c r="F823">
        <v>257957</v>
      </c>
      <c r="G823">
        <v>5893</v>
      </c>
      <c r="H823">
        <v>2.78</v>
      </c>
      <c r="I823">
        <v>98257</v>
      </c>
      <c r="J823">
        <v>92799</v>
      </c>
      <c r="K823">
        <v>5458</v>
      </c>
      <c r="L823">
        <v>5.55</v>
      </c>
      <c r="M823">
        <v>2.6253294930000002</v>
      </c>
      <c r="N823">
        <f>E823/_xlfn.XLOOKUP(C823,Lookups!$A$2:$A$66,Lookups!$C$2:$C$66)</f>
        <v>65.73505670380483</v>
      </c>
    </row>
    <row r="824" spans="1:27" x14ac:dyDescent="0.2">
      <c r="A824">
        <v>123</v>
      </c>
      <c r="B824">
        <v>2</v>
      </c>
      <c r="C824" t="s">
        <v>206</v>
      </c>
      <c r="D824">
        <v>2013</v>
      </c>
      <c r="E824">
        <v>269770</v>
      </c>
      <c r="F824">
        <v>263855</v>
      </c>
      <c r="G824">
        <v>5915</v>
      </c>
      <c r="H824">
        <v>2.79</v>
      </c>
      <c r="I824">
        <v>99547</v>
      </c>
      <c r="J824">
        <v>94661</v>
      </c>
      <c r="K824">
        <v>4886</v>
      </c>
      <c r="L824">
        <v>4.91</v>
      </c>
      <c r="M824">
        <v>2.6505570230000002</v>
      </c>
      <c r="N824">
        <f>E824/_xlfn.XLOOKUP(C824,Lookups!$A$2:$A$66,Lookups!$C$2:$C$66)</f>
        <v>67.209953560680049</v>
      </c>
    </row>
    <row r="825" spans="1:27" x14ac:dyDescent="0.2">
      <c r="A825">
        <v>123</v>
      </c>
      <c r="B825">
        <v>2</v>
      </c>
      <c r="C825" t="s">
        <v>206</v>
      </c>
      <c r="D825">
        <v>2014</v>
      </c>
      <c r="E825">
        <v>275994</v>
      </c>
      <c r="F825">
        <v>270649</v>
      </c>
      <c r="G825">
        <v>5345</v>
      </c>
      <c r="H825">
        <v>2.79</v>
      </c>
      <c r="I825">
        <v>101046</v>
      </c>
      <c r="J825">
        <v>96834</v>
      </c>
      <c r="K825">
        <v>4212</v>
      </c>
      <c r="L825">
        <v>4.17</v>
      </c>
      <c r="M825">
        <v>2.6784731709999998</v>
      </c>
      <c r="N825">
        <f>E825/_xlfn.XLOOKUP(C825,Lookups!$A$2:$A$66,Lookups!$C$2:$C$66)</f>
        <v>68.760588364259661</v>
      </c>
    </row>
    <row r="826" spans="1:27" x14ac:dyDescent="0.2">
      <c r="A826">
        <v>123</v>
      </c>
      <c r="B826">
        <v>2</v>
      </c>
      <c r="C826" t="s">
        <v>206</v>
      </c>
      <c r="D826">
        <v>2015</v>
      </c>
      <c r="E826">
        <v>284855</v>
      </c>
      <c r="F826">
        <v>279217</v>
      </c>
      <c r="G826">
        <v>5638</v>
      </c>
      <c r="H826">
        <v>2.8</v>
      </c>
      <c r="I826">
        <v>103354</v>
      </c>
      <c r="J826">
        <v>99627</v>
      </c>
      <c r="K826">
        <v>3727</v>
      </c>
      <c r="L826">
        <v>3.61</v>
      </c>
      <c r="M826">
        <v>2.7015596880000001</v>
      </c>
      <c r="N826">
        <f>E826/_xlfn.XLOOKUP(C826,Lookups!$A$2:$A$66,Lookups!$C$2:$C$66)</f>
        <v>70.96820002790345</v>
      </c>
    </row>
    <row r="827" spans="1:27" x14ac:dyDescent="0.2">
      <c r="A827">
        <v>123</v>
      </c>
      <c r="B827">
        <v>2</v>
      </c>
      <c r="C827" t="s">
        <v>206</v>
      </c>
      <c r="D827">
        <v>2016</v>
      </c>
      <c r="E827">
        <v>294513</v>
      </c>
      <c r="F827">
        <v>288943</v>
      </c>
      <c r="G827">
        <v>5570</v>
      </c>
      <c r="H827">
        <v>2.81</v>
      </c>
      <c r="I827">
        <v>106316</v>
      </c>
      <c r="J827">
        <v>102818</v>
      </c>
      <c r="K827">
        <v>3498</v>
      </c>
      <c r="L827">
        <v>3.29</v>
      </c>
      <c r="M827">
        <v>2.717775311</v>
      </c>
      <c r="N827">
        <f>E827/_xlfn.XLOOKUP(C827,Lookups!$A$2:$A$66,Lookups!$C$2:$C$66)</f>
        <v>73.374374663663716</v>
      </c>
    </row>
    <row r="828" spans="1:27" x14ac:dyDescent="0.2">
      <c r="A828">
        <v>123</v>
      </c>
      <c r="B828">
        <v>2</v>
      </c>
      <c r="C828" t="s">
        <v>206</v>
      </c>
      <c r="D828">
        <v>2017</v>
      </c>
      <c r="E828">
        <v>304595</v>
      </c>
      <c r="F828">
        <v>299012</v>
      </c>
      <c r="G828">
        <v>5583</v>
      </c>
      <c r="H828">
        <v>2.82</v>
      </c>
      <c r="I828">
        <v>109489</v>
      </c>
      <c r="J828">
        <v>106113</v>
      </c>
      <c r="K828">
        <v>3376</v>
      </c>
      <c r="L828">
        <v>3.08</v>
      </c>
      <c r="M828">
        <v>2.7309775410000001</v>
      </c>
      <c r="N828">
        <f>E828/_xlfn.XLOOKUP(C828,Lookups!$A$2:$A$66,Lookups!$C$2:$C$66)</f>
        <v>75.886183804038026</v>
      </c>
    </row>
    <row r="829" spans="1:27" x14ac:dyDescent="0.2">
      <c r="A829">
        <v>123</v>
      </c>
      <c r="B829">
        <v>2</v>
      </c>
      <c r="C829" t="s">
        <v>206</v>
      </c>
      <c r="D829">
        <v>2018</v>
      </c>
      <c r="E829">
        <v>313219</v>
      </c>
      <c r="F829">
        <v>307854</v>
      </c>
      <c r="G829">
        <v>5365</v>
      </c>
      <c r="H829">
        <v>2.83</v>
      </c>
      <c r="I829">
        <v>113019</v>
      </c>
      <c r="J829">
        <v>108956</v>
      </c>
      <c r="K829">
        <v>4063</v>
      </c>
      <c r="L829">
        <v>3.59</v>
      </c>
      <c r="M829">
        <v>2.7239136780000002</v>
      </c>
      <c r="N829">
        <f>E829/_xlfn.XLOOKUP(C829,Lookups!$A$2:$A$66,Lookups!$C$2:$C$66)</f>
        <v>78.03474976581029</v>
      </c>
    </row>
    <row r="830" spans="1:27" x14ac:dyDescent="0.2">
      <c r="A830">
        <v>123</v>
      </c>
      <c r="B830">
        <v>2</v>
      </c>
      <c r="C830" t="s">
        <v>206</v>
      </c>
      <c r="D830">
        <v>2019</v>
      </c>
      <c r="E830">
        <v>322335</v>
      </c>
      <c r="F830">
        <v>316706</v>
      </c>
      <c r="G830">
        <v>5629</v>
      </c>
      <c r="H830">
        <v>2.83</v>
      </c>
      <c r="I830">
        <v>116937</v>
      </c>
      <c r="J830">
        <v>111787</v>
      </c>
      <c r="K830">
        <v>5150</v>
      </c>
      <c r="L830">
        <v>4.4000000000000004</v>
      </c>
      <c r="M830">
        <v>2.7083472300000002</v>
      </c>
      <c r="N830">
        <f>E830/_xlfn.XLOOKUP(C830,Lookups!$A$2:$A$66,Lookups!$C$2:$C$66)</f>
        <v>80.305891615012058</v>
      </c>
    </row>
    <row r="831" spans="1:27" x14ac:dyDescent="0.2">
      <c r="A831">
        <v>123</v>
      </c>
      <c r="B831">
        <v>2</v>
      </c>
      <c r="C831" t="s">
        <v>206</v>
      </c>
      <c r="D831">
        <v>2020</v>
      </c>
      <c r="E831">
        <v>331423</v>
      </c>
      <c r="F831">
        <v>326233</v>
      </c>
      <c r="G831">
        <v>5190</v>
      </c>
      <c r="I831">
        <v>120949</v>
      </c>
      <c r="M831">
        <v>2.6972773650000001</v>
      </c>
      <c r="N831">
        <f>E831/_xlfn.XLOOKUP(C831,Lookups!$A$2:$A$66,Lookups!$C$2:$C$66)</f>
        <v>82.570057600701574</v>
      </c>
      <c r="O831">
        <v>331423</v>
      </c>
      <c r="P831">
        <v>4431</v>
      </c>
      <c r="Q831">
        <v>2403</v>
      </c>
      <c r="R831">
        <v>6685</v>
      </c>
      <c r="S831">
        <v>2028</v>
      </c>
      <c r="T831">
        <v>120949</v>
      </c>
      <c r="W831">
        <v>326233</v>
      </c>
      <c r="X831">
        <v>4185</v>
      </c>
      <c r="AA831">
        <v>2.6972773650000001</v>
      </c>
    </row>
    <row r="832" spans="1:27" x14ac:dyDescent="0.2">
      <c r="A832">
        <v>123</v>
      </c>
      <c r="B832">
        <v>2</v>
      </c>
      <c r="C832" t="s">
        <v>206</v>
      </c>
      <c r="D832">
        <v>2021</v>
      </c>
      <c r="E832">
        <v>339865</v>
      </c>
      <c r="F832">
        <v>335432</v>
      </c>
      <c r="G832">
        <v>4433</v>
      </c>
      <c r="I832">
        <v>124749</v>
      </c>
      <c r="M832">
        <v>2.6888552209999999</v>
      </c>
      <c r="N832">
        <f>E832/_xlfn.XLOOKUP(C832,Lookups!$A$2:$A$66,Lookups!$C$2:$C$66)</f>
        <v>84.673280449644224</v>
      </c>
      <c r="O832">
        <v>339865</v>
      </c>
      <c r="P832">
        <v>4433</v>
      </c>
      <c r="Q832">
        <v>2163</v>
      </c>
      <c r="R832">
        <v>6279</v>
      </c>
      <c r="S832">
        <v>2270</v>
      </c>
      <c r="T832">
        <v>124749</v>
      </c>
      <c r="W832">
        <v>335432</v>
      </c>
      <c r="X832">
        <v>5268</v>
      </c>
      <c r="AA832">
        <v>2.6888552209999999</v>
      </c>
    </row>
    <row r="833" spans="1:27" x14ac:dyDescent="0.2">
      <c r="A833">
        <v>123</v>
      </c>
      <c r="B833">
        <v>2</v>
      </c>
      <c r="C833" t="s">
        <v>206</v>
      </c>
      <c r="D833">
        <v>2022</v>
      </c>
      <c r="E833">
        <v>350206</v>
      </c>
      <c r="F833">
        <v>345788</v>
      </c>
      <c r="G833">
        <v>4418</v>
      </c>
      <c r="I833">
        <v>129656</v>
      </c>
      <c r="M833">
        <v>2.6669648920000002</v>
      </c>
      <c r="N833">
        <f>E833/_xlfn.XLOOKUP(C833,Lookups!$A$2:$A$66,Lookups!$C$2:$C$66)</f>
        <v>87.249616327506828</v>
      </c>
      <c r="O833">
        <v>350206</v>
      </c>
      <c r="P833">
        <v>4613</v>
      </c>
      <c r="Q833">
        <v>2016</v>
      </c>
      <c r="R833">
        <v>8325</v>
      </c>
      <c r="S833">
        <v>2597</v>
      </c>
      <c r="T833">
        <v>129656</v>
      </c>
      <c r="W833">
        <v>345788</v>
      </c>
      <c r="X833">
        <v>6143</v>
      </c>
      <c r="AA833">
        <v>2.6669648920000002</v>
      </c>
    </row>
    <row r="834" spans="1:27" x14ac:dyDescent="0.2">
      <c r="A834">
        <v>125</v>
      </c>
      <c r="B834">
        <v>1</v>
      </c>
      <c r="C834" t="s">
        <v>207</v>
      </c>
      <c r="D834">
        <v>2010</v>
      </c>
      <c r="E834">
        <v>10032</v>
      </c>
      <c r="F834">
        <v>9836</v>
      </c>
      <c r="G834">
        <v>196</v>
      </c>
      <c r="H834">
        <v>2.63</v>
      </c>
      <c r="I834">
        <v>4227</v>
      </c>
      <c r="J834">
        <v>3740</v>
      </c>
      <c r="K834">
        <v>487</v>
      </c>
      <c r="L834">
        <v>11.52</v>
      </c>
      <c r="M834">
        <v>2.3269458240000001</v>
      </c>
      <c r="N834">
        <f>E834/_xlfn.XLOOKUP(C834,Lookups!$A$2:$A$66,Lookups!$C$2:$C$66)</f>
        <v>4.2336080620861658</v>
      </c>
    </row>
    <row r="835" spans="1:27" x14ac:dyDescent="0.2">
      <c r="A835">
        <v>125</v>
      </c>
      <c r="B835">
        <v>1</v>
      </c>
      <c r="C835" t="s">
        <v>207</v>
      </c>
      <c r="D835">
        <v>2011</v>
      </c>
      <c r="E835">
        <v>10111</v>
      </c>
      <c r="F835">
        <v>9832</v>
      </c>
      <c r="G835">
        <v>279</v>
      </c>
      <c r="H835">
        <v>2.5</v>
      </c>
      <c r="I835">
        <v>4237</v>
      </c>
      <c r="J835">
        <v>3938</v>
      </c>
      <c r="K835">
        <v>299</v>
      </c>
      <c r="L835">
        <v>7.07</v>
      </c>
      <c r="M835">
        <v>2.320509795</v>
      </c>
      <c r="N835">
        <f>E835/_xlfn.XLOOKUP(C835,Lookups!$A$2:$A$66,Lookups!$C$2:$C$66)</f>
        <v>4.2669468815543485</v>
      </c>
    </row>
    <row r="836" spans="1:27" x14ac:dyDescent="0.2">
      <c r="A836">
        <v>125</v>
      </c>
      <c r="B836">
        <v>1</v>
      </c>
      <c r="C836" t="s">
        <v>207</v>
      </c>
      <c r="D836">
        <v>2012</v>
      </c>
      <c r="E836">
        <v>10078</v>
      </c>
      <c r="F836">
        <v>9830</v>
      </c>
      <c r="G836">
        <v>248</v>
      </c>
      <c r="H836">
        <v>2.5</v>
      </c>
      <c r="I836">
        <v>4246</v>
      </c>
      <c r="J836">
        <v>3929</v>
      </c>
      <c r="K836">
        <v>317</v>
      </c>
      <c r="L836">
        <v>7.47</v>
      </c>
      <c r="M836">
        <v>2.3151201129999999</v>
      </c>
      <c r="N836">
        <f>E836/_xlfn.XLOOKUP(C836,Lookups!$A$2:$A$66,Lookups!$C$2:$C$66)</f>
        <v>4.2530205392448543</v>
      </c>
    </row>
    <row r="837" spans="1:27" x14ac:dyDescent="0.2">
      <c r="A837">
        <v>125</v>
      </c>
      <c r="B837">
        <v>1</v>
      </c>
      <c r="C837" t="s">
        <v>207</v>
      </c>
      <c r="D837">
        <v>2013</v>
      </c>
      <c r="E837">
        <v>10143</v>
      </c>
      <c r="F837">
        <v>9830</v>
      </c>
      <c r="G837">
        <v>313</v>
      </c>
      <c r="H837">
        <v>2.5099999999999998</v>
      </c>
      <c r="I837">
        <v>4254</v>
      </c>
      <c r="J837">
        <v>3921</v>
      </c>
      <c r="K837">
        <v>333</v>
      </c>
      <c r="L837">
        <v>7.82</v>
      </c>
      <c r="M837">
        <v>2.3107663380000001</v>
      </c>
      <c r="N837">
        <f>E837/_xlfn.XLOOKUP(C837,Lookups!$A$2:$A$66,Lookups!$C$2:$C$66)</f>
        <v>4.280451213490827</v>
      </c>
    </row>
    <row r="838" spans="1:27" x14ac:dyDescent="0.2">
      <c r="A838">
        <v>125</v>
      </c>
      <c r="B838">
        <v>1</v>
      </c>
      <c r="C838" t="s">
        <v>207</v>
      </c>
      <c r="D838">
        <v>2014</v>
      </c>
      <c r="E838">
        <v>10188</v>
      </c>
      <c r="F838">
        <v>9823</v>
      </c>
      <c r="G838">
        <v>365</v>
      </c>
      <c r="H838">
        <v>2.5099999999999998</v>
      </c>
      <c r="I838">
        <v>4265</v>
      </c>
      <c r="J838">
        <v>3911</v>
      </c>
      <c r="K838">
        <v>354</v>
      </c>
      <c r="L838">
        <v>8.3000000000000007</v>
      </c>
      <c r="M838">
        <v>2.3031652990000002</v>
      </c>
      <c r="N838">
        <f>E838/_xlfn.XLOOKUP(C838,Lookups!$A$2:$A$66,Lookups!$C$2:$C$66)</f>
        <v>4.2994416802765008</v>
      </c>
    </row>
    <row r="839" spans="1:27" x14ac:dyDescent="0.2">
      <c r="A839">
        <v>125</v>
      </c>
      <c r="B839">
        <v>1</v>
      </c>
      <c r="C839" t="s">
        <v>207</v>
      </c>
      <c r="D839">
        <v>2015</v>
      </c>
      <c r="E839">
        <v>10039</v>
      </c>
      <c r="F839">
        <v>9799</v>
      </c>
      <c r="G839">
        <v>240</v>
      </c>
      <c r="H839">
        <v>2.52</v>
      </c>
      <c r="I839">
        <v>4283</v>
      </c>
      <c r="J839">
        <v>3894</v>
      </c>
      <c r="K839">
        <v>389</v>
      </c>
      <c r="L839">
        <v>9.08</v>
      </c>
      <c r="M839">
        <v>2.287882325</v>
      </c>
      <c r="N839">
        <f>E839/_xlfn.XLOOKUP(C839,Lookups!$A$2:$A$66,Lookups!$C$2:$C$66)</f>
        <v>4.2365621346972704</v>
      </c>
    </row>
    <row r="840" spans="1:27" x14ac:dyDescent="0.2">
      <c r="A840">
        <v>125</v>
      </c>
      <c r="B840">
        <v>1</v>
      </c>
      <c r="C840" t="s">
        <v>207</v>
      </c>
      <c r="D840">
        <v>2016</v>
      </c>
      <c r="E840">
        <v>10056</v>
      </c>
      <c r="F840">
        <v>9792</v>
      </c>
      <c r="G840">
        <v>264</v>
      </c>
      <c r="H840">
        <v>2.52</v>
      </c>
      <c r="I840">
        <v>4294</v>
      </c>
      <c r="J840">
        <v>3884</v>
      </c>
      <c r="K840">
        <v>410</v>
      </c>
      <c r="L840">
        <v>9.56</v>
      </c>
      <c r="M840">
        <v>2.280391244</v>
      </c>
      <c r="N840">
        <f>E840/_xlfn.XLOOKUP(C840,Lookups!$A$2:$A$66,Lookups!$C$2:$C$66)</f>
        <v>4.2437363110385249</v>
      </c>
    </row>
    <row r="841" spans="1:27" x14ac:dyDescent="0.2">
      <c r="A841">
        <v>125</v>
      </c>
      <c r="B841">
        <v>1</v>
      </c>
      <c r="C841" t="s">
        <v>207</v>
      </c>
      <c r="D841">
        <v>2017</v>
      </c>
      <c r="E841">
        <v>9973</v>
      </c>
      <c r="F841">
        <v>9787</v>
      </c>
      <c r="G841">
        <v>186</v>
      </c>
      <c r="H841">
        <v>2.5299999999999998</v>
      </c>
      <c r="I841">
        <v>4304</v>
      </c>
      <c r="J841">
        <v>3874</v>
      </c>
      <c r="K841">
        <v>430</v>
      </c>
      <c r="L841">
        <v>9.99</v>
      </c>
      <c r="M841">
        <v>2.2739312269999998</v>
      </c>
      <c r="N841">
        <f>E841/_xlfn.XLOOKUP(C841,Lookups!$A$2:$A$66,Lookups!$C$2:$C$66)</f>
        <v>4.2087094500782829</v>
      </c>
    </row>
    <row r="842" spans="1:27" x14ac:dyDescent="0.2">
      <c r="A842">
        <v>125</v>
      </c>
      <c r="B842">
        <v>1</v>
      </c>
      <c r="C842" t="s">
        <v>207</v>
      </c>
      <c r="D842">
        <v>2018</v>
      </c>
      <c r="E842">
        <v>9955</v>
      </c>
      <c r="F842">
        <v>9789</v>
      </c>
      <c r="G842">
        <v>166</v>
      </c>
      <c r="H842">
        <v>2.5299999999999998</v>
      </c>
      <c r="I842">
        <v>4311</v>
      </c>
      <c r="J842">
        <v>3867</v>
      </c>
      <c r="K842">
        <v>444</v>
      </c>
      <c r="L842">
        <v>10.29</v>
      </c>
      <c r="M842">
        <v>2.270702853</v>
      </c>
      <c r="N842">
        <f>E842/_xlfn.XLOOKUP(C842,Lookups!$A$2:$A$66,Lookups!$C$2:$C$66)</f>
        <v>4.2011132633640136</v>
      </c>
    </row>
    <row r="843" spans="1:27" x14ac:dyDescent="0.2">
      <c r="A843">
        <v>125</v>
      </c>
      <c r="B843">
        <v>1</v>
      </c>
      <c r="C843" t="s">
        <v>207</v>
      </c>
      <c r="D843">
        <v>2019</v>
      </c>
      <c r="E843">
        <v>10010</v>
      </c>
      <c r="F843">
        <v>9793</v>
      </c>
      <c r="G843">
        <v>217</v>
      </c>
      <c r="H843">
        <v>2.54</v>
      </c>
      <c r="I843">
        <v>4317</v>
      </c>
      <c r="J843">
        <v>3862</v>
      </c>
      <c r="K843">
        <v>455</v>
      </c>
      <c r="L843">
        <v>10.55</v>
      </c>
      <c r="M843">
        <v>2.2684734770000001</v>
      </c>
      <c r="N843">
        <f>E843/_xlfn.XLOOKUP(C843,Lookups!$A$2:$A$66,Lookups!$C$2:$C$66)</f>
        <v>4.2243238338798363</v>
      </c>
    </row>
    <row r="844" spans="1:27" x14ac:dyDescent="0.2">
      <c r="A844">
        <v>125</v>
      </c>
      <c r="B844">
        <v>1</v>
      </c>
      <c r="C844" t="s">
        <v>207</v>
      </c>
      <c r="D844">
        <v>2020</v>
      </c>
      <c r="E844">
        <v>9977</v>
      </c>
      <c r="F844">
        <v>9759</v>
      </c>
      <c r="G844">
        <v>218</v>
      </c>
      <c r="I844">
        <v>4315</v>
      </c>
      <c r="M844">
        <v>2.261645423</v>
      </c>
      <c r="N844">
        <f>E844/_xlfn.XLOOKUP(C844,Lookups!$A$2:$A$66,Lookups!$C$2:$C$66)</f>
        <v>4.2103974915703422</v>
      </c>
      <c r="O844">
        <v>9977</v>
      </c>
      <c r="P844">
        <v>116</v>
      </c>
      <c r="Q844">
        <v>19</v>
      </c>
      <c r="R844">
        <v>-52</v>
      </c>
      <c r="S844">
        <v>97</v>
      </c>
      <c r="T844">
        <v>4315</v>
      </c>
      <c r="W844">
        <v>9759</v>
      </c>
      <c r="X844">
        <v>6</v>
      </c>
      <c r="AA844">
        <v>2.261645423</v>
      </c>
    </row>
    <row r="845" spans="1:27" x14ac:dyDescent="0.2">
      <c r="A845">
        <v>125</v>
      </c>
      <c r="B845">
        <v>1</v>
      </c>
      <c r="C845" t="s">
        <v>207</v>
      </c>
      <c r="D845">
        <v>2021</v>
      </c>
      <c r="E845">
        <v>9932</v>
      </c>
      <c r="F845">
        <v>9750</v>
      </c>
      <c r="G845">
        <v>182</v>
      </c>
      <c r="I845">
        <v>4320</v>
      </c>
      <c r="M845">
        <v>2.2569444440000002</v>
      </c>
      <c r="N845">
        <f>E845/_xlfn.XLOOKUP(C845,Lookups!$A$2:$A$66,Lookups!$C$2:$C$66)</f>
        <v>4.1914070247846693</v>
      </c>
      <c r="O845">
        <v>9932</v>
      </c>
      <c r="P845">
        <v>134</v>
      </c>
      <c r="Q845">
        <v>8</v>
      </c>
      <c r="R845">
        <v>-53</v>
      </c>
      <c r="S845">
        <v>126</v>
      </c>
      <c r="T845">
        <v>4320</v>
      </c>
      <c r="W845">
        <v>9750</v>
      </c>
      <c r="X845">
        <v>4</v>
      </c>
      <c r="AA845">
        <v>2.2569444440000002</v>
      </c>
    </row>
    <row r="846" spans="1:27" x14ac:dyDescent="0.2">
      <c r="A846">
        <v>125</v>
      </c>
      <c r="B846">
        <v>1</v>
      </c>
      <c r="C846" t="s">
        <v>207</v>
      </c>
      <c r="D846">
        <v>2022</v>
      </c>
      <c r="E846">
        <v>9920</v>
      </c>
      <c r="F846">
        <v>9757</v>
      </c>
      <c r="G846">
        <v>163</v>
      </c>
      <c r="I846">
        <v>4326</v>
      </c>
      <c r="M846">
        <v>2.25543227</v>
      </c>
      <c r="N846">
        <f>E846/_xlfn.XLOOKUP(C846,Lookups!$A$2:$A$66,Lookups!$C$2:$C$66)</f>
        <v>4.1863429003084898</v>
      </c>
      <c r="O846">
        <v>9920</v>
      </c>
      <c r="P846">
        <v>140</v>
      </c>
      <c r="Q846">
        <v>45</v>
      </c>
      <c r="R846">
        <v>-57</v>
      </c>
      <c r="S846">
        <v>95</v>
      </c>
      <c r="T846">
        <v>4326</v>
      </c>
      <c r="W846">
        <v>9757</v>
      </c>
      <c r="X846">
        <v>20</v>
      </c>
      <c r="AA846">
        <v>2.25543227</v>
      </c>
    </row>
  </sheetData>
  <sortState xmlns:xlrd2="http://schemas.microsoft.com/office/spreadsheetml/2017/richdata2" ref="A2:AA846">
    <sortCondition ref="C2:C84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DC0C-D555-D74D-B5DD-B930641314A4}">
  <dimension ref="A3:BS208"/>
  <sheetViews>
    <sheetView topLeftCell="AV110" zoomScale="84" zoomScaleNormal="75" workbookViewId="0">
      <selection activeCell="BL143" sqref="BL143"/>
    </sheetView>
  </sheetViews>
  <sheetFormatPr baseColWidth="10" defaultRowHeight="16" x14ac:dyDescent="0.2"/>
  <cols>
    <col min="1" max="1" width="16.85546875" bestFit="1" customWidth="1"/>
    <col min="2" max="2" width="16.140625" bestFit="1" customWidth="1"/>
    <col min="3" max="14" width="5.28515625" bestFit="1" customWidth="1"/>
    <col min="15" max="15" width="10.85546875" bestFit="1" customWidth="1"/>
    <col min="16" max="16" width="28" bestFit="1" customWidth="1"/>
    <col min="17" max="17" width="24" bestFit="1" customWidth="1"/>
    <col min="18" max="18" width="28" bestFit="1" customWidth="1"/>
    <col min="19" max="19" width="24" bestFit="1" customWidth="1"/>
    <col min="20" max="20" width="28" bestFit="1" customWidth="1"/>
    <col min="21" max="21" width="24" bestFit="1" customWidth="1"/>
    <col min="22" max="22" width="28" bestFit="1" customWidth="1"/>
    <col min="23" max="23" width="24" bestFit="1" customWidth="1"/>
    <col min="24" max="24" width="28" bestFit="1" customWidth="1"/>
    <col min="25" max="25" width="24" bestFit="1" customWidth="1"/>
    <col min="26" max="26" width="28" bestFit="1" customWidth="1"/>
    <col min="27" max="27" width="24" bestFit="1" customWidth="1"/>
    <col min="28" max="28" width="32.85546875" bestFit="1" customWidth="1"/>
    <col min="29" max="29" width="28.7109375" bestFit="1" customWidth="1"/>
    <col min="30" max="31" width="13.42578125" bestFit="1" customWidth="1"/>
    <col min="33" max="33" width="16.5703125" bestFit="1" customWidth="1"/>
    <col min="47" max="47" width="21.5703125" bestFit="1" customWidth="1"/>
    <col min="49" max="49" width="50.85546875" bestFit="1" customWidth="1"/>
    <col min="61" max="61" width="22.5703125" bestFit="1" customWidth="1"/>
  </cols>
  <sheetData>
    <row r="3" spans="1:63" x14ac:dyDescent="0.2">
      <c r="B3" s="15" t="s">
        <v>226</v>
      </c>
      <c r="AG3" t="s">
        <v>259</v>
      </c>
      <c r="AW3" t="s">
        <v>284</v>
      </c>
    </row>
    <row r="4" spans="1:63" x14ac:dyDescent="0.2">
      <c r="A4" s="15" t="s">
        <v>224</v>
      </c>
      <c r="B4">
        <v>2010</v>
      </c>
      <c r="C4">
        <v>2011</v>
      </c>
      <c r="D4">
        <v>2012</v>
      </c>
      <c r="E4">
        <v>2013</v>
      </c>
      <c r="F4">
        <v>2014</v>
      </c>
      <c r="G4">
        <v>2015</v>
      </c>
      <c r="H4">
        <v>2016</v>
      </c>
      <c r="I4">
        <v>2017</v>
      </c>
      <c r="J4">
        <v>2018</v>
      </c>
      <c r="K4">
        <v>2019</v>
      </c>
      <c r="L4">
        <v>2020</v>
      </c>
      <c r="M4">
        <v>2021</v>
      </c>
      <c r="N4">
        <v>2022</v>
      </c>
      <c r="O4" t="s">
        <v>225</v>
      </c>
      <c r="AD4" s="17">
        <v>2021</v>
      </c>
      <c r="AE4" s="17">
        <v>2022</v>
      </c>
      <c r="AG4" s="17" t="s">
        <v>224</v>
      </c>
      <c r="AH4" s="17">
        <v>2010</v>
      </c>
      <c r="AI4" s="17">
        <v>2011</v>
      </c>
      <c r="AJ4" s="17">
        <v>2012</v>
      </c>
      <c r="AK4" s="17">
        <v>2013</v>
      </c>
      <c r="AL4" s="17">
        <v>2014</v>
      </c>
      <c r="AM4" s="17">
        <v>2015</v>
      </c>
      <c r="AN4" s="17">
        <v>2016</v>
      </c>
      <c r="AO4" s="17">
        <v>2017</v>
      </c>
      <c r="AP4" s="17">
        <v>2018</v>
      </c>
      <c r="AQ4" s="17">
        <v>2019</v>
      </c>
      <c r="AR4" s="17">
        <v>2020</v>
      </c>
      <c r="AS4" s="17">
        <v>2021</v>
      </c>
      <c r="AT4" s="17">
        <v>2022</v>
      </c>
      <c r="AU4" s="33"/>
      <c r="AW4" s="17" t="s">
        <v>224</v>
      </c>
      <c r="AX4" s="17" t="s">
        <v>247</v>
      </c>
      <c r="AY4" s="17" t="s">
        <v>248</v>
      </c>
      <c r="AZ4" s="17" t="s">
        <v>249</v>
      </c>
      <c r="BA4" s="17" t="s">
        <v>250</v>
      </c>
      <c r="BB4" s="17" t="s">
        <v>251</v>
      </c>
      <c r="BC4" s="17" t="s">
        <v>252</v>
      </c>
      <c r="BD4" s="17" t="s">
        <v>253</v>
      </c>
      <c r="BE4" s="17" t="s">
        <v>257</v>
      </c>
      <c r="BF4" s="17" t="s">
        <v>254</v>
      </c>
      <c r="BG4" s="17" t="s">
        <v>255</v>
      </c>
      <c r="BH4" s="17" t="s">
        <v>256</v>
      </c>
      <c r="BI4" s="17"/>
      <c r="BJ4" s="17"/>
      <c r="BK4" s="33"/>
    </row>
    <row r="5" spans="1:63" x14ac:dyDescent="0.2">
      <c r="A5" s="16" t="s">
        <v>144</v>
      </c>
      <c r="AD5" s="23">
        <v>442.71456241700429</v>
      </c>
      <c r="AE5" s="23">
        <v>446.16887565656481</v>
      </c>
      <c r="AG5" s="16" t="s">
        <v>144</v>
      </c>
      <c r="AH5" s="32">
        <f>0</f>
        <v>0</v>
      </c>
      <c r="AI5" s="32" t="e">
        <f>(T5-S5)/T5</f>
        <v>#DIV/0!</v>
      </c>
      <c r="AJ5" s="32" t="e">
        <f t="shared" ref="AJ5:AT20" si="0">(U5-T5)/U5</f>
        <v>#DIV/0!</v>
      </c>
      <c r="AK5" s="32" t="e">
        <f t="shared" si="0"/>
        <v>#DIV/0!</v>
      </c>
      <c r="AL5" s="32" t="e">
        <f t="shared" si="0"/>
        <v>#DIV/0!</v>
      </c>
      <c r="AM5" s="32" t="e">
        <f t="shared" si="0"/>
        <v>#DIV/0!</v>
      </c>
      <c r="AN5" s="32" t="e">
        <f t="shared" si="0"/>
        <v>#DIV/0!</v>
      </c>
      <c r="AO5" s="32" t="e">
        <f t="shared" si="0"/>
        <v>#DIV/0!</v>
      </c>
      <c r="AP5" s="32" t="e">
        <f t="shared" si="0"/>
        <v>#DIV/0!</v>
      </c>
      <c r="AQ5" s="32" t="e">
        <f t="shared" si="0"/>
        <v>#DIV/0!</v>
      </c>
      <c r="AR5" s="32" t="e">
        <f t="shared" si="0"/>
        <v>#DIV/0!</v>
      </c>
      <c r="AS5" s="32">
        <f t="shared" si="0"/>
        <v>1</v>
      </c>
      <c r="AT5" s="32">
        <f t="shared" si="0"/>
        <v>7.7421654176959035E-3</v>
      </c>
      <c r="AU5" s="32"/>
      <c r="AW5" s="16" t="s">
        <v>144</v>
      </c>
      <c r="AX5" s="32" t="e">
        <f>AVERAGE(AH5:AJ5)</f>
        <v>#DIV/0!</v>
      </c>
      <c r="AY5" s="32" t="e">
        <f t="shared" ref="AY5:BH5" si="1">AVERAGE(AI5:AK5)</f>
        <v>#DIV/0!</v>
      </c>
      <c r="AZ5" s="32" t="e">
        <f t="shared" si="1"/>
        <v>#DIV/0!</v>
      </c>
      <c r="BA5" s="32" t="e">
        <f t="shared" si="1"/>
        <v>#DIV/0!</v>
      </c>
      <c r="BB5" s="32" t="e">
        <f t="shared" si="1"/>
        <v>#DIV/0!</v>
      </c>
      <c r="BC5" s="32" t="e">
        <f t="shared" si="1"/>
        <v>#DIV/0!</v>
      </c>
      <c r="BD5" s="32" t="e">
        <f t="shared" si="1"/>
        <v>#DIV/0!</v>
      </c>
      <c r="BE5" s="32" t="e">
        <f t="shared" si="1"/>
        <v>#DIV/0!</v>
      </c>
      <c r="BF5" s="32" t="e">
        <f t="shared" si="1"/>
        <v>#DIV/0!</v>
      </c>
      <c r="BG5" s="32" t="e">
        <f t="shared" si="1"/>
        <v>#DIV/0!</v>
      </c>
      <c r="BH5" s="32" t="e">
        <f t="shared" si="1"/>
        <v>#DIV/0!</v>
      </c>
      <c r="BI5" s="32"/>
      <c r="BJ5" s="32"/>
      <c r="BK5" s="32"/>
    </row>
    <row r="6" spans="1:63" x14ac:dyDescent="0.2">
      <c r="A6" s="16" t="s">
        <v>145</v>
      </c>
      <c r="AD6" s="23">
        <v>22.917271608523112</v>
      </c>
      <c r="AE6" s="23">
        <v>22.918654332766415</v>
      </c>
      <c r="AG6" s="16" t="s">
        <v>145</v>
      </c>
      <c r="AH6" s="32">
        <f>0</f>
        <v>0</v>
      </c>
      <c r="AI6" s="32" t="e">
        <f t="shared" ref="AI6:AI69" si="2">(T6-S6)/T6</f>
        <v>#DIV/0!</v>
      </c>
      <c r="AJ6" s="32" t="e">
        <f t="shared" si="0"/>
        <v>#DIV/0!</v>
      </c>
      <c r="AK6" s="32" t="e">
        <f t="shared" si="0"/>
        <v>#DIV/0!</v>
      </c>
      <c r="AL6" s="32" t="e">
        <f t="shared" si="0"/>
        <v>#DIV/0!</v>
      </c>
      <c r="AM6" s="32" t="e">
        <f t="shared" si="0"/>
        <v>#DIV/0!</v>
      </c>
      <c r="AN6" s="32" t="e">
        <f t="shared" si="0"/>
        <v>#DIV/0!</v>
      </c>
      <c r="AO6" s="32" t="e">
        <f t="shared" si="0"/>
        <v>#DIV/0!</v>
      </c>
      <c r="AP6" s="32" t="e">
        <f t="shared" si="0"/>
        <v>#DIV/0!</v>
      </c>
      <c r="AQ6" s="32" t="e">
        <f t="shared" si="0"/>
        <v>#DIV/0!</v>
      </c>
      <c r="AR6" s="32" t="e">
        <f t="shared" si="0"/>
        <v>#DIV/0!</v>
      </c>
      <c r="AS6" s="32">
        <f t="shared" si="0"/>
        <v>1</v>
      </c>
      <c r="AT6" s="32">
        <f t="shared" si="0"/>
        <v>6.0331825037661313E-5</v>
      </c>
      <c r="AU6" s="32"/>
      <c r="AW6" s="16" t="s">
        <v>145</v>
      </c>
      <c r="AX6" s="32" t="e">
        <f t="shared" ref="AX6:AX16" si="3">AVERAGE(AH6:AJ6)</f>
        <v>#DIV/0!</v>
      </c>
      <c r="AY6" s="32" t="e">
        <f t="shared" ref="AY6:AY16" si="4">AVERAGE(AI6:AK6)</f>
        <v>#DIV/0!</v>
      </c>
      <c r="AZ6" s="32" t="e">
        <f t="shared" ref="AZ6:AZ16" si="5">AVERAGE(AJ6:AL6)</f>
        <v>#DIV/0!</v>
      </c>
      <c r="BA6" s="32" t="e">
        <f t="shared" ref="BA6:BA16" si="6">AVERAGE(AK6:AM6)</f>
        <v>#DIV/0!</v>
      </c>
      <c r="BB6" s="32" t="e">
        <f t="shared" ref="BB6:BB16" si="7">AVERAGE(AL6:AN6)</f>
        <v>#DIV/0!</v>
      </c>
      <c r="BC6" s="32" t="e">
        <f t="shared" ref="BC6:BC16" si="8">AVERAGE(AM6:AO6)</f>
        <v>#DIV/0!</v>
      </c>
      <c r="BD6" s="32" t="e">
        <f t="shared" ref="BD6:BD16" si="9">AVERAGE(AN6:AP6)</f>
        <v>#DIV/0!</v>
      </c>
      <c r="BE6" s="32" t="e">
        <f t="shared" ref="BE6:BE16" si="10">AVERAGE(AO6:AQ6)</f>
        <v>#DIV/0!</v>
      </c>
      <c r="BF6" s="32" t="e">
        <f t="shared" ref="BF6:BF16" si="11">AVERAGE(AP6:AR6)</f>
        <v>#DIV/0!</v>
      </c>
      <c r="BG6" s="32" t="e">
        <f t="shared" ref="BG6:BG16" si="12">AVERAGE(AQ6:AS6)</f>
        <v>#DIV/0!</v>
      </c>
      <c r="BH6" s="32" t="e">
        <f t="shared" ref="BH6:BH16" si="13">AVERAGE(AR6:AT6)</f>
        <v>#DIV/0!</v>
      </c>
      <c r="BI6" s="32"/>
      <c r="BJ6" s="32"/>
      <c r="BK6" s="32"/>
    </row>
    <row r="7" spans="1:63" x14ac:dyDescent="0.2">
      <c r="A7" s="16" t="s">
        <v>146</v>
      </c>
      <c r="AD7" s="23">
        <v>816.4020835146257</v>
      </c>
      <c r="AE7" s="23">
        <v>815.52317847863651</v>
      </c>
      <c r="AG7" s="16" t="s">
        <v>146</v>
      </c>
      <c r="AH7" s="32">
        <f>0</f>
        <v>0</v>
      </c>
      <c r="AI7" s="32" t="e">
        <f t="shared" si="2"/>
        <v>#DIV/0!</v>
      </c>
      <c r="AJ7" s="32" t="e">
        <f t="shared" si="0"/>
        <v>#DIV/0!</v>
      </c>
      <c r="AK7" s="32" t="e">
        <f t="shared" si="0"/>
        <v>#DIV/0!</v>
      </c>
      <c r="AL7" s="32" t="e">
        <f t="shared" si="0"/>
        <v>#DIV/0!</v>
      </c>
      <c r="AM7" s="32" t="e">
        <f t="shared" si="0"/>
        <v>#DIV/0!</v>
      </c>
      <c r="AN7" s="32" t="e">
        <f t="shared" si="0"/>
        <v>#DIV/0!</v>
      </c>
      <c r="AO7" s="32" t="e">
        <f t="shared" si="0"/>
        <v>#DIV/0!</v>
      </c>
      <c r="AP7" s="32" t="e">
        <f t="shared" si="0"/>
        <v>#DIV/0!</v>
      </c>
      <c r="AQ7" s="32" t="e">
        <f t="shared" si="0"/>
        <v>#DIV/0!</v>
      </c>
      <c r="AR7" s="32" t="e">
        <f t="shared" si="0"/>
        <v>#DIV/0!</v>
      </c>
      <c r="AS7" s="32">
        <f t="shared" si="0"/>
        <v>1</v>
      </c>
      <c r="AT7" s="32">
        <f t="shared" si="0"/>
        <v>-1.0777192594682524E-3</v>
      </c>
      <c r="AU7" s="32"/>
      <c r="AW7" s="16" t="s">
        <v>146</v>
      </c>
      <c r="AX7" s="32" t="e">
        <f t="shared" si="3"/>
        <v>#DIV/0!</v>
      </c>
      <c r="AY7" s="32" t="e">
        <f t="shared" si="4"/>
        <v>#DIV/0!</v>
      </c>
      <c r="AZ7" s="32" t="e">
        <f t="shared" si="5"/>
        <v>#DIV/0!</v>
      </c>
      <c r="BA7" s="32" t="e">
        <f t="shared" si="6"/>
        <v>#DIV/0!</v>
      </c>
      <c r="BB7" s="32" t="e">
        <f t="shared" si="7"/>
        <v>#DIV/0!</v>
      </c>
      <c r="BC7" s="32" t="e">
        <f t="shared" si="8"/>
        <v>#DIV/0!</v>
      </c>
      <c r="BD7" s="32" t="e">
        <f t="shared" si="9"/>
        <v>#DIV/0!</v>
      </c>
      <c r="BE7" s="32" t="e">
        <f t="shared" si="10"/>
        <v>#DIV/0!</v>
      </c>
      <c r="BF7" s="32" t="e">
        <f t="shared" si="11"/>
        <v>#DIV/0!</v>
      </c>
      <c r="BG7" s="32" t="e">
        <f t="shared" si="12"/>
        <v>#DIV/0!</v>
      </c>
      <c r="BH7" s="32" t="e">
        <f t="shared" si="13"/>
        <v>#DIV/0!</v>
      </c>
      <c r="BI7" s="32"/>
      <c r="BJ7" s="32"/>
      <c r="BK7" s="32"/>
    </row>
    <row r="8" spans="1:63" x14ac:dyDescent="0.2">
      <c r="A8" s="16" t="s">
        <v>147</v>
      </c>
      <c r="AD8" s="23">
        <v>10.196894863901132</v>
      </c>
      <c r="AE8" s="23">
        <v>10.325352705366438</v>
      </c>
      <c r="AG8" s="16" t="s">
        <v>147</v>
      </c>
      <c r="AH8" s="32">
        <f>0</f>
        <v>0</v>
      </c>
      <c r="AI8" s="32" t="e">
        <f t="shared" si="2"/>
        <v>#DIV/0!</v>
      </c>
      <c r="AJ8" s="32" t="e">
        <f t="shared" si="0"/>
        <v>#DIV/0!</v>
      </c>
      <c r="AK8" s="32" t="e">
        <f t="shared" si="0"/>
        <v>#DIV/0!</v>
      </c>
      <c r="AL8" s="32" t="e">
        <f t="shared" si="0"/>
        <v>#DIV/0!</v>
      </c>
      <c r="AM8" s="32" t="e">
        <f t="shared" si="0"/>
        <v>#DIV/0!</v>
      </c>
      <c r="AN8" s="32" t="e">
        <f t="shared" si="0"/>
        <v>#DIV/0!</v>
      </c>
      <c r="AO8" s="32" t="e">
        <f t="shared" si="0"/>
        <v>#DIV/0!</v>
      </c>
      <c r="AP8" s="32" t="e">
        <f t="shared" si="0"/>
        <v>#DIV/0!</v>
      </c>
      <c r="AQ8" s="32" t="e">
        <f t="shared" si="0"/>
        <v>#DIV/0!</v>
      </c>
      <c r="AR8" s="32" t="e">
        <f t="shared" si="0"/>
        <v>#DIV/0!</v>
      </c>
      <c r="AS8" s="32">
        <f t="shared" si="0"/>
        <v>1</v>
      </c>
      <c r="AT8" s="32">
        <f t="shared" si="0"/>
        <v>1.2441012441012457E-2</v>
      </c>
      <c r="AU8" s="32"/>
      <c r="AW8" s="16" t="s">
        <v>147</v>
      </c>
      <c r="AX8" s="32" t="e">
        <f t="shared" si="3"/>
        <v>#DIV/0!</v>
      </c>
      <c r="AY8" s="32" t="e">
        <f t="shared" si="4"/>
        <v>#DIV/0!</v>
      </c>
      <c r="AZ8" s="32" t="e">
        <f t="shared" si="5"/>
        <v>#DIV/0!</v>
      </c>
      <c r="BA8" s="32" t="e">
        <f t="shared" si="6"/>
        <v>#DIV/0!</v>
      </c>
      <c r="BB8" s="32" t="e">
        <f t="shared" si="7"/>
        <v>#DIV/0!</v>
      </c>
      <c r="BC8" s="32" t="e">
        <f t="shared" si="8"/>
        <v>#DIV/0!</v>
      </c>
      <c r="BD8" s="32" t="e">
        <f t="shared" si="9"/>
        <v>#DIV/0!</v>
      </c>
      <c r="BE8" s="32" t="e">
        <f t="shared" si="10"/>
        <v>#DIV/0!</v>
      </c>
      <c r="BF8" s="32" t="e">
        <f t="shared" si="11"/>
        <v>#DIV/0!</v>
      </c>
      <c r="BG8" s="32" t="e">
        <f t="shared" si="12"/>
        <v>#DIV/0!</v>
      </c>
      <c r="BH8" s="32" t="e">
        <f t="shared" si="13"/>
        <v>#DIV/0!</v>
      </c>
      <c r="BI8" s="32"/>
      <c r="BJ8" s="32"/>
      <c r="BK8" s="32"/>
    </row>
    <row r="9" spans="1:63" x14ac:dyDescent="0.2">
      <c r="A9" s="16" t="s">
        <v>148</v>
      </c>
      <c r="AD9" s="23">
        <v>1.3644820362089991</v>
      </c>
      <c r="AE9" s="23">
        <v>1.3410306119258311</v>
      </c>
      <c r="AG9" s="16" t="s">
        <v>148</v>
      </c>
      <c r="AH9" s="32">
        <f>0</f>
        <v>0</v>
      </c>
      <c r="AI9" s="32" t="e">
        <f t="shared" si="2"/>
        <v>#DIV/0!</v>
      </c>
      <c r="AJ9" s="32" t="e">
        <f t="shared" si="0"/>
        <v>#DIV/0!</v>
      </c>
      <c r="AK9" s="32" t="e">
        <f t="shared" si="0"/>
        <v>#DIV/0!</v>
      </c>
      <c r="AL9" s="32" t="e">
        <f t="shared" si="0"/>
        <v>#DIV/0!</v>
      </c>
      <c r="AM9" s="32" t="e">
        <f t="shared" si="0"/>
        <v>#DIV/0!</v>
      </c>
      <c r="AN9" s="32" t="e">
        <f t="shared" si="0"/>
        <v>#DIV/0!</v>
      </c>
      <c r="AO9" s="32" t="e">
        <f t="shared" si="0"/>
        <v>#DIV/0!</v>
      </c>
      <c r="AP9" s="32" t="e">
        <f t="shared" si="0"/>
        <v>#DIV/0!</v>
      </c>
      <c r="AQ9" s="32" t="e">
        <f t="shared" si="0"/>
        <v>#DIV/0!</v>
      </c>
      <c r="AR9" s="32" t="e">
        <f t="shared" si="0"/>
        <v>#DIV/0!</v>
      </c>
      <c r="AS9" s="32">
        <f t="shared" si="0"/>
        <v>1</v>
      </c>
      <c r="AT9" s="32">
        <f t="shared" si="0"/>
        <v>-1.7487612940833508E-2</v>
      </c>
      <c r="AU9" s="32"/>
      <c r="AW9" s="16" t="s">
        <v>148</v>
      </c>
      <c r="AX9" s="32" t="e">
        <f t="shared" si="3"/>
        <v>#DIV/0!</v>
      </c>
      <c r="AY9" s="32" t="e">
        <f t="shared" si="4"/>
        <v>#DIV/0!</v>
      </c>
      <c r="AZ9" s="32" t="e">
        <f t="shared" si="5"/>
        <v>#DIV/0!</v>
      </c>
      <c r="BA9" s="32" t="e">
        <f t="shared" si="6"/>
        <v>#DIV/0!</v>
      </c>
      <c r="BB9" s="32" t="e">
        <f t="shared" si="7"/>
        <v>#DIV/0!</v>
      </c>
      <c r="BC9" s="32" t="e">
        <f t="shared" si="8"/>
        <v>#DIV/0!</v>
      </c>
      <c r="BD9" s="32" t="e">
        <f t="shared" si="9"/>
        <v>#DIV/0!</v>
      </c>
      <c r="BE9" s="32" t="e">
        <f t="shared" si="10"/>
        <v>#DIV/0!</v>
      </c>
      <c r="BF9" s="32" t="e">
        <f t="shared" si="11"/>
        <v>#DIV/0!</v>
      </c>
      <c r="BG9" s="32" t="e">
        <f t="shared" si="12"/>
        <v>#DIV/0!</v>
      </c>
      <c r="BH9" s="32" t="e">
        <f t="shared" si="13"/>
        <v>#DIV/0!</v>
      </c>
      <c r="BI9" s="32"/>
      <c r="BJ9" s="32"/>
      <c r="BK9" s="32"/>
    </row>
    <row r="10" spans="1:63" x14ac:dyDescent="0.2">
      <c r="A10" s="16" t="s">
        <v>149</v>
      </c>
      <c r="AD10" s="23">
        <v>3.4612314820222316</v>
      </c>
      <c r="AE10" s="23">
        <v>3.5040588681889857</v>
      </c>
      <c r="AG10" s="16" t="s">
        <v>149</v>
      </c>
      <c r="AH10" s="32">
        <f>0</f>
        <v>0</v>
      </c>
      <c r="AI10" s="32" t="e">
        <f t="shared" si="2"/>
        <v>#DIV/0!</v>
      </c>
      <c r="AJ10" s="32" t="e">
        <f t="shared" si="0"/>
        <v>#DIV/0!</v>
      </c>
      <c r="AK10" s="32" t="e">
        <f t="shared" si="0"/>
        <v>#DIV/0!</v>
      </c>
      <c r="AL10" s="32" t="e">
        <f t="shared" si="0"/>
        <v>#DIV/0!</v>
      </c>
      <c r="AM10" s="32" t="e">
        <f t="shared" si="0"/>
        <v>#DIV/0!</v>
      </c>
      <c r="AN10" s="32" t="e">
        <f t="shared" si="0"/>
        <v>#DIV/0!</v>
      </c>
      <c r="AO10" s="32" t="e">
        <f t="shared" si="0"/>
        <v>#DIV/0!</v>
      </c>
      <c r="AP10" s="32" t="e">
        <f t="shared" si="0"/>
        <v>#DIV/0!</v>
      </c>
      <c r="AQ10" s="32" t="e">
        <f t="shared" si="0"/>
        <v>#DIV/0!</v>
      </c>
      <c r="AR10" s="32" t="e">
        <f t="shared" si="0"/>
        <v>#DIV/0!</v>
      </c>
      <c r="AS10" s="32">
        <f t="shared" si="0"/>
        <v>1</v>
      </c>
      <c r="AT10" s="32">
        <f t="shared" si="0"/>
        <v>1.2222222222222167E-2</v>
      </c>
      <c r="AU10" s="32"/>
      <c r="AW10" s="16" t="s">
        <v>149</v>
      </c>
      <c r="AX10" s="32" t="e">
        <f t="shared" si="3"/>
        <v>#DIV/0!</v>
      </c>
      <c r="AY10" s="32" t="e">
        <f t="shared" si="4"/>
        <v>#DIV/0!</v>
      </c>
      <c r="AZ10" s="32" t="e">
        <f t="shared" si="5"/>
        <v>#DIV/0!</v>
      </c>
      <c r="BA10" s="32" t="e">
        <f t="shared" si="6"/>
        <v>#DIV/0!</v>
      </c>
      <c r="BB10" s="32" t="e">
        <f t="shared" si="7"/>
        <v>#DIV/0!</v>
      </c>
      <c r="BC10" s="32" t="e">
        <f t="shared" si="8"/>
        <v>#DIV/0!</v>
      </c>
      <c r="BD10" s="32" t="e">
        <f t="shared" si="9"/>
        <v>#DIV/0!</v>
      </c>
      <c r="BE10" s="32" t="e">
        <f t="shared" si="10"/>
        <v>#DIV/0!</v>
      </c>
      <c r="BF10" s="32" t="e">
        <f t="shared" si="11"/>
        <v>#DIV/0!</v>
      </c>
      <c r="BG10" s="32" t="e">
        <f t="shared" si="12"/>
        <v>#DIV/0!</v>
      </c>
      <c r="BH10" s="32" t="e">
        <f t="shared" si="13"/>
        <v>#DIV/0!</v>
      </c>
      <c r="BI10" s="32"/>
      <c r="BJ10" s="32"/>
      <c r="BK10" s="32"/>
    </row>
    <row r="11" spans="1:63" x14ac:dyDescent="0.2">
      <c r="A11" s="16" t="s">
        <v>150</v>
      </c>
      <c r="AD11" s="23">
        <v>441.7134831460674</v>
      </c>
      <c r="AE11" s="23">
        <v>442.17804667242871</v>
      </c>
      <c r="AG11" s="16" t="s">
        <v>150</v>
      </c>
      <c r="AH11" s="32">
        <f>0</f>
        <v>0</v>
      </c>
      <c r="AI11" s="32" t="e">
        <f t="shared" si="2"/>
        <v>#DIV/0!</v>
      </c>
      <c r="AJ11" s="32" t="e">
        <f t="shared" si="0"/>
        <v>#DIV/0!</v>
      </c>
      <c r="AK11" s="32" t="e">
        <f t="shared" si="0"/>
        <v>#DIV/0!</v>
      </c>
      <c r="AL11" s="32" t="e">
        <f t="shared" si="0"/>
        <v>#DIV/0!</v>
      </c>
      <c r="AM11" s="32" t="e">
        <f t="shared" si="0"/>
        <v>#DIV/0!</v>
      </c>
      <c r="AN11" s="32" t="e">
        <f t="shared" si="0"/>
        <v>#DIV/0!</v>
      </c>
      <c r="AO11" s="32" t="e">
        <f t="shared" si="0"/>
        <v>#DIV/0!</v>
      </c>
      <c r="AP11" s="32" t="e">
        <f t="shared" si="0"/>
        <v>#DIV/0!</v>
      </c>
      <c r="AQ11" s="32" t="e">
        <f t="shared" si="0"/>
        <v>#DIV/0!</v>
      </c>
      <c r="AR11" s="32" t="e">
        <f t="shared" si="0"/>
        <v>#DIV/0!</v>
      </c>
      <c r="AS11" s="32">
        <f t="shared" si="0"/>
        <v>1</v>
      </c>
      <c r="AT11" s="32">
        <f t="shared" si="0"/>
        <v>1.0506254886630719E-3</v>
      </c>
      <c r="AU11" s="32"/>
      <c r="AW11" s="16" t="s">
        <v>150</v>
      </c>
      <c r="AX11" s="32" t="e">
        <f t="shared" si="3"/>
        <v>#DIV/0!</v>
      </c>
      <c r="AY11" s="32" t="e">
        <f t="shared" si="4"/>
        <v>#DIV/0!</v>
      </c>
      <c r="AZ11" s="32" t="e">
        <f t="shared" si="5"/>
        <v>#DIV/0!</v>
      </c>
      <c r="BA11" s="32" t="e">
        <f t="shared" si="6"/>
        <v>#DIV/0!</v>
      </c>
      <c r="BB11" s="32" t="e">
        <f t="shared" si="7"/>
        <v>#DIV/0!</v>
      </c>
      <c r="BC11" s="32" t="e">
        <f t="shared" si="8"/>
        <v>#DIV/0!</v>
      </c>
      <c r="BD11" s="32" t="e">
        <f t="shared" si="9"/>
        <v>#DIV/0!</v>
      </c>
      <c r="BE11" s="32" t="e">
        <f t="shared" si="10"/>
        <v>#DIV/0!</v>
      </c>
      <c r="BF11" s="32" t="e">
        <f t="shared" si="11"/>
        <v>#DIV/0!</v>
      </c>
      <c r="BG11" s="32" t="e">
        <f t="shared" si="12"/>
        <v>#DIV/0!</v>
      </c>
      <c r="BH11" s="32" t="e">
        <f t="shared" si="13"/>
        <v>#DIV/0!</v>
      </c>
      <c r="BI11" s="32"/>
      <c r="BJ11" s="32"/>
      <c r="BK11" s="32"/>
    </row>
    <row r="12" spans="1:63" x14ac:dyDescent="0.2">
      <c r="A12" s="16" t="s">
        <v>151</v>
      </c>
      <c r="AD12" s="23">
        <v>2246.4998510574919</v>
      </c>
      <c r="AE12" s="23">
        <v>2268.5433422698839</v>
      </c>
      <c r="AG12" s="16" t="s">
        <v>151</v>
      </c>
      <c r="AH12" s="32">
        <f>0</f>
        <v>0</v>
      </c>
      <c r="AI12" s="32" t="e">
        <f t="shared" si="2"/>
        <v>#DIV/0!</v>
      </c>
      <c r="AJ12" s="32" t="e">
        <f t="shared" si="0"/>
        <v>#DIV/0!</v>
      </c>
      <c r="AK12" s="32" t="e">
        <f t="shared" si="0"/>
        <v>#DIV/0!</v>
      </c>
      <c r="AL12" s="32" t="e">
        <f t="shared" si="0"/>
        <v>#DIV/0!</v>
      </c>
      <c r="AM12" s="32" t="e">
        <f t="shared" si="0"/>
        <v>#DIV/0!</v>
      </c>
      <c r="AN12" s="32" t="e">
        <f t="shared" si="0"/>
        <v>#DIV/0!</v>
      </c>
      <c r="AO12" s="32" t="e">
        <f t="shared" si="0"/>
        <v>#DIV/0!</v>
      </c>
      <c r="AP12" s="32" t="e">
        <f t="shared" si="0"/>
        <v>#DIV/0!</v>
      </c>
      <c r="AQ12" s="32" t="e">
        <f t="shared" si="0"/>
        <v>#DIV/0!</v>
      </c>
      <c r="AR12" s="32" t="e">
        <f t="shared" si="0"/>
        <v>#DIV/0!</v>
      </c>
      <c r="AS12" s="32">
        <f t="shared" si="0"/>
        <v>1</v>
      </c>
      <c r="AT12" s="32">
        <f t="shared" si="0"/>
        <v>9.7170244895278968E-3</v>
      </c>
      <c r="AU12" s="32"/>
      <c r="AW12" s="16" t="s">
        <v>151</v>
      </c>
      <c r="AX12" s="32" t="e">
        <f t="shared" si="3"/>
        <v>#DIV/0!</v>
      </c>
      <c r="AY12" s="32" t="e">
        <f t="shared" si="4"/>
        <v>#DIV/0!</v>
      </c>
      <c r="AZ12" s="32" t="e">
        <f t="shared" si="5"/>
        <v>#DIV/0!</v>
      </c>
      <c r="BA12" s="32" t="e">
        <f t="shared" si="6"/>
        <v>#DIV/0!</v>
      </c>
      <c r="BB12" s="32" t="e">
        <f t="shared" si="7"/>
        <v>#DIV/0!</v>
      </c>
      <c r="BC12" s="32" t="e">
        <f t="shared" si="8"/>
        <v>#DIV/0!</v>
      </c>
      <c r="BD12" s="32" t="e">
        <f t="shared" si="9"/>
        <v>#DIV/0!</v>
      </c>
      <c r="BE12" s="32" t="e">
        <f t="shared" si="10"/>
        <v>#DIV/0!</v>
      </c>
      <c r="BF12" s="32" t="e">
        <f t="shared" si="11"/>
        <v>#DIV/0!</v>
      </c>
      <c r="BG12" s="32" t="e">
        <f t="shared" si="12"/>
        <v>#DIV/0!</v>
      </c>
      <c r="BH12" s="32" t="e">
        <f t="shared" si="13"/>
        <v>#DIV/0!</v>
      </c>
      <c r="BI12" s="32"/>
      <c r="BJ12" s="32"/>
      <c r="BK12" s="32"/>
    </row>
    <row r="13" spans="1:63" x14ac:dyDescent="0.2">
      <c r="A13" s="16" t="s">
        <v>152</v>
      </c>
      <c r="AD13" s="23">
        <v>19.462193823216186</v>
      </c>
      <c r="AE13" s="23">
        <v>19.978897960793596</v>
      </c>
      <c r="AG13" s="16" t="s">
        <v>152</v>
      </c>
      <c r="AH13" s="32">
        <f>0</f>
        <v>0</v>
      </c>
      <c r="AI13" s="32" t="e">
        <f t="shared" si="2"/>
        <v>#DIV/0!</v>
      </c>
      <c r="AJ13" s="32" t="e">
        <f t="shared" si="0"/>
        <v>#DIV/0!</v>
      </c>
      <c r="AK13" s="32" t="e">
        <f t="shared" si="0"/>
        <v>#DIV/0!</v>
      </c>
      <c r="AL13" s="32" t="e">
        <f t="shared" si="0"/>
        <v>#DIV/0!</v>
      </c>
      <c r="AM13" s="32" t="e">
        <f t="shared" si="0"/>
        <v>#DIV/0!</v>
      </c>
      <c r="AN13" s="32" t="e">
        <f t="shared" si="0"/>
        <v>#DIV/0!</v>
      </c>
      <c r="AO13" s="32" t="e">
        <f t="shared" si="0"/>
        <v>#DIV/0!</v>
      </c>
      <c r="AP13" s="32" t="e">
        <f t="shared" si="0"/>
        <v>#DIV/0!</v>
      </c>
      <c r="AQ13" s="32" t="e">
        <f t="shared" si="0"/>
        <v>#DIV/0!</v>
      </c>
      <c r="AR13" s="32" t="e">
        <f t="shared" si="0"/>
        <v>#DIV/0!</v>
      </c>
      <c r="AS13" s="32">
        <f t="shared" si="0"/>
        <v>1</v>
      </c>
      <c r="AT13" s="32">
        <f t="shared" si="0"/>
        <v>2.5862494447460773E-2</v>
      </c>
      <c r="AU13" s="32"/>
      <c r="AW13" s="16" t="s">
        <v>152</v>
      </c>
      <c r="AX13" s="32" t="e">
        <f t="shared" si="3"/>
        <v>#DIV/0!</v>
      </c>
      <c r="AY13" s="32" t="e">
        <f t="shared" si="4"/>
        <v>#DIV/0!</v>
      </c>
      <c r="AZ13" s="32" t="e">
        <f t="shared" si="5"/>
        <v>#DIV/0!</v>
      </c>
      <c r="BA13" s="32" t="e">
        <f t="shared" si="6"/>
        <v>#DIV/0!</v>
      </c>
      <c r="BB13" s="32" t="e">
        <f t="shared" si="7"/>
        <v>#DIV/0!</v>
      </c>
      <c r="BC13" s="32" t="e">
        <f t="shared" si="8"/>
        <v>#DIV/0!</v>
      </c>
      <c r="BD13" s="32" t="e">
        <f t="shared" si="9"/>
        <v>#DIV/0!</v>
      </c>
      <c r="BE13" s="32" t="e">
        <f t="shared" si="10"/>
        <v>#DIV/0!</v>
      </c>
      <c r="BF13" s="32" t="e">
        <f t="shared" si="11"/>
        <v>#DIV/0!</v>
      </c>
      <c r="BG13" s="32" t="e">
        <f t="shared" si="12"/>
        <v>#DIV/0!</v>
      </c>
      <c r="BH13" s="32" t="e">
        <f t="shared" si="13"/>
        <v>#DIV/0!</v>
      </c>
      <c r="BI13" s="32"/>
      <c r="BJ13" s="32"/>
      <c r="BK13" s="32"/>
    </row>
    <row r="14" spans="1:63" x14ac:dyDescent="0.2">
      <c r="A14" s="16" t="s">
        <v>153</v>
      </c>
      <c r="AD14" s="23">
        <v>0.96301700432123005</v>
      </c>
      <c r="AE14" s="23">
        <v>0.96638419664403163</v>
      </c>
      <c r="AG14" s="16" t="s">
        <v>153</v>
      </c>
      <c r="AH14" s="32">
        <f>0</f>
        <v>0</v>
      </c>
      <c r="AI14" s="32" t="e">
        <f t="shared" si="2"/>
        <v>#DIV/0!</v>
      </c>
      <c r="AJ14" s="32" t="e">
        <f t="shared" si="0"/>
        <v>#DIV/0!</v>
      </c>
      <c r="AK14" s="32" t="e">
        <f t="shared" si="0"/>
        <v>#DIV/0!</v>
      </c>
      <c r="AL14" s="32" t="e">
        <f t="shared" si="0"/>
        <v>#DIV/0!</v>
      </c>
      <c r="AM14" s="32" t="e">
        <f t="shared" si="0"/>
        <v>#DIV/0!</v>
      </c>
      <c r="AN14" s="32" t="e">
        <f t="shared" si="0"/>
        <v>#DIV/0!</v>
      </c>
      <c r="AO14" s="32" t="e">
        <f t="shared" si="0"/>
        <v>#DIV/0!</v>
      </c>
      <c r="AP14" s="32" t="e">
        <f t="shared" si="0"/>
        <v>#DIV/0!</v>
      </c>
      <c r="AQ14" s="32" t="e">
        <f t="shared" si="0"/>
        <v>#DIV/0!</v>
      </c>
      <c r="AR14" s="32" t="e">
        <f t="shared" si="0"/>
        <v>#DIV/0!</v>
      </c>
      <c r="AS14" s="32">
        <f t="shared" si="0"/>
        <v>1</v>
      </c>
      <c r="AT14" s="32">
        <f t="shared" si="0"/>
        <v>3.4843205574913699E-3</v>
      </c>
      <c r="AU14" s="32"/>
      <c r="AW14" s="16" t="s">
        <v>153</v>
      </c>
      <c r="AX14" s="32" t="e">
        <f t="shared" si="3"/>
        <v>#DIV/0!</v>
      </c>
      <c r="AY14" s="32" t="e">
        <f t="shared" si="4"/>
        <v>#DIV/0!</v>
      </c>
      <c r="AZ14" s="32" t="e">
        <f t="shared" si="5"/>
        <v>#DIV/0!</v>
      </c>
      <c r="BA14" s="32" t="e">
        <f t="shared" si="6"/>
        <v>#DIV/0!</v>
      </c>
      <c r="BB14" s="32" t="e">
        <f t="shared" si="7"/>
        <v>#DIV/0!</v>
      </c>
      <c r="BC14" s="32" t="e">
        <f t="shared" si="8"/>
        <v>#DIV/0!</v>
      </c>
      <c r="BD14" s="32" t="e">
        <f t="shared" si="9"/>
        <v>#DIV/0!</v>
      </c>
      <c r="BE14" s="32" t="e">
        <f t="shared" si="10"/>
        <v>#DIV/0!</v>
      </c>
      <c r="BF14" s="32" t="e">
        <f t="shared" si="11"/>
        <v>#DIV/0!</v>
      </c>
      <c r="BG14" s="32" t="e">
        <f t="shared" si="12"/>
        <v>#DIV/0!</v>
      </c>
      <c r="BH14" s="32" t="e">
        <f t="shared" si="13"/>
        <v>#DIV/0!</v>
      </c>
      <c r="BI14" s="32"/>
      <c r="BJ14" s="32"/>
      <c r="BK14" s="32"/>
    </row>
    <row r="15" spans="1:63" x14ac:dyDescent="0.2">
      <c r="A15" s="16" t="s">
        <v>154</v>
      </c>
      <c r="AD15" s="23">
        <v>23.849393488512849</v>
      </c>
      <c r="AE15" s="23">
        <v>23.619902655536784</v>
      </c>
      <c r="AG15" s="16" t="s">
        <v>154</v>
      </c>
      <c r="AH15" s="32">
        <f>0</f>
        <v>0</v>
      </c>
      <c r="AI15" s="32" t="e">
        <f t="shared" si="2"/>
        <v>#DIV/0!</v>
      </c>
      <c r="AJ15" s="32" t="e">
        <f t="shared" si="0"/>
        <v>#DIV/0!</v>
      </c>
      <c r="AK15" s="32" t="e">
        <f t="shared" si="0"/>
        <v>#DIV/0!</v>
      </c>
      <c r="AL15" s="32" t="e">
        <f t="shared" si="0"/>
        <v>#DIV/0!</v>
      </c>
      <c r="AM15" s="32" t="e">
        <f t="shared" si="0"/>
        <v>#DIV/0!</v>
      </c>
      <c r="AN15" s="32" t="e">
        <f t="shared" si="0"/>
        <v>#DIV/0!</v>
      </c>
      <c r="AO15" s="32" t="e">
        <f t="shared" si="0"/>
        <v>#DIV/0!</v>
      </c>
      <c r="AP15" s="32" t="e">
        <f t="shared" si="0"/>
        <v>#DIV/0!</v>
      </c>
      <c r="AQ15" s="32" t="e">
        <f t="shared" si="0"/>
        <v>#DIV/0!</v>
      </c>
      <c r="AR15" s="32" t="e">
        <f t="shared" si="0"/>
        <v>#DIV/0!</v>
      </c>
      <c r="AS15" s="32">
        <f t="shared" si="0"/>
        <v>1</v>
      </c>
      <c r="AT15" s="32">
        <f t="shared" si="0"/>
        <v>-9.7159940209266635E-3</v>
      </c>
      <c r="AU15" s="32"/>
      <c r="AW15" s="16" t="s">
        <v>154</v>
      </c>
      <c r="AX15" s="32" t="e">
        <f t="shared" si="3"/>
        <v>#DIV/0!</v>
      </c>
      <c r="AY15" s="32" t="e">
        <f t="shared" si="4"/>
        <v>#DIV/0!</v>
      </c>
      <c r="AZ15" s="32" t="e">
        <f t="shared" si="5"/>
        <v>#DIV/0!</v>
      </c>
      <c r="BA15" s="32" t="e">
        <f t="shared" si="6"/>
        <v>#DIV/0!</v>
      </c>
      <c r="BB15" s="32" t="e">
        <f t="shared" si="7"/>
        <v>#DIV/0!</v>
      </c>
      <c r="BC15" s="32" t="e">
        <f t="shared" si="8"/>
        <v>#DIV/0!</v>
      </c>
      <c r="BD15" s="32" t="e">
        <f t="shared" si="9"/>
        <v>#DIV/0!</v>
      </c>
      <c r="BE15" s="32" t="e">
        <f t="shared" si="10"/>
        <v>#DIV/0!</v>
      </c>
      <c r="BF15" s="32" t="e">
        <f t="shared" si="11"/>
        <v>#DIV/0!</v>
      </c>
      <c r="BG15" s="32" t="e">
        <f t="shared" si="12"/>
        <v>#DIV/0!</v>
      </c>
      <c r="BH15" s="32" t="e">
        <f t="shared" si="13"/>
        <v>#DIV/0!</v>
      </c>
      <c r="BI15" s="32"/>
      <c r="BJ15" s="32"/>
      <c r="BK15" s="32"/>
    </row>
    <row r="16" spans="1:63" x14ac:dyDescent="0.2">
      <c r="A16" s="16" t="s">
        <v>143</v>
      </c>
      <c r="AD16" s="23">
        <v>55.823736500077757</v>
      </c>
      <c r="AE16" s="23">
        <v>56.089933164559582</v>
      </c>
      <c r="AG16" s="16" t="s">
        <v>143</v>
      </c>
      <c r="AH16" s="32"/>
      <c r="AI16" s="32" t="e">
        <f>(T16-S16)/T16</f>
        <v>#DIV/0!</v>
      </c>
      <c r="AJ16" s="32" t="e">
        <f t="shared" si="0"/>
        <v>#DIV/0!</v>
      </c>
      <c r="AK16" s="32" t="e">
        <f t="shared" si="0"/>
        <v>#DIV/0!</v>
      </c>
      <c r="AL16" s="32" t="e">
        <f t="shared" si="0"/>
        <v>#DIV/0!</v>
      </c>
      <c r="AM16" s="32" t="e">
        <f t="shared" si="0"/>
        <v>#DIV/0!</v>
      </c>
      <c r="AN16" s="32" t="e">
        <f t="shared" si="0"/>
        <v>#DIV/0!</v>
      </c>
      <c r="AO16" s="32" t="e">
        <f t="shared" si="0"/>
        <v>#DIV/0!</v>
      </c>
      <c r="AP16" s="32" t="e">
        <f t="shared" si="0"/>
        <v>#DIV/0!</v>
      </c>
      <c r="AQ16" s="32" t="e">
        <f t="shared" si="0"/>
        <v>#DIV/0!</v>
      </c>
      <c r="AR16" s="32" t="e">
        <f t="shared" si="0"/>
        <v>#DIV/0!</v>
      </c>
      <c r="AS16" s="32">
        <f t="shared" si="0"/>
        <v>1</v>
      </c>
      <c r="AT16" s="32">
        <f t="shared" si="0"/>
        <v>4.7458902063734557E-3</v>
      </c>
      <c r="AU16" s="32"/>
      <c r="AW16" s="16" t="s">
        <v>143</v>
      </c>
      <c r="AX16" s="32" t="e">
        <f t="shared" si="3"/>
        <v>#DIV/0!</v>
      </c>
      <c r="AY16" s="32" t="e">
        <f t="shared" si="4"/>
        <v>#DIV/0!</v>
      </c>
      <c r="AZ16" s="32" t="e">
        <f t="shared" si="5"/>
        <v>#DIV/0!</v>
      </c>
      <c r="BA16" s="32" t="e">
        <f t="shared" si="6"/>
        <v>#DIV/0!</v>
      </c>
      <c r="BB16" s="32" t="e">
        <f t="shared" si="7"/>
        <v>#DIV/0!</v>
      </c>
      <c r="BC16" s="32" t="e">
        <f t="shared" si="8"/>
        <v>#DIV/0!</v>
      </c>
      <c r="BD16" s="32" t="e">
        <f t="shared" si="9"/>
        <v>#DIV/0!</v>
      </c>
      <c r="BE16" s="32" t="e">
        <f t="shared" si="10"/>
        <v>#DIV/0!</v>
      </c>
      <c r="BF16" s="32" t="e">
        <f t="shared" si="11"/>
        <v>#DIV/0!</v>
      </c>
      <c r="BG16" s="32" t="e">
        <f t="shared" si="12"/>
        <v>#DIV/0!</v>
      </c>
      <c r="BH16" s="32" t="e">
        <f t="shared" si="13"/>
        <v>#DIV/0!</v>
      </c>
      <c r="BI16" s="32"/>
      <c r="BJ16" s="32"/>
      <c r="BK16" s="32"/>
    </row>
    <row r="17" spans="1:63" x14ac:dyDescent="0.2">
      <c r="A17" s="16" t="s">
        <v>155</v>
      </c>
      <c r="AD17" s="23">
        <v>5.879617429585652</v>
      </c>
      <c r="AE17" s="23">
        <v>5.8687665669420719</v>
      </c>
      <c r="AG17" s="16" t="s">
        <v>155</v>
      </c>
      <c r="AH17" s="32">
        <f>0</f>
        <v>0</v>
      </c>
      <c r="AI17" s="32" t="e">
        <f t="shared" si="2"/>
        <v>#DIV/0!</v>
      </c>
      <c r="AJ17" s="32" t="e">
        <f t="shared" si="0"/>
        <v>#DIV/0!</v>
      </c>
      <c r="AK17" s="32" t="e">
        <f t="shared" si="0"/>
        <v>#DIV/0!</v>
      </c>
      <c r="AL17" s="32" t="e">
        <f t="shared" si="0"/>
        <v>#DIV/0!</v>
      </c>
      <c r="AM17" s="32" t="e">
        <f t="shared" si="0"/>
        <v>#DIV/0!</v>
      </c>
      <c r="AN17" s="32" t="e">
        <f t="shared" si="0"/>
        <v>#DIV/0!</v>
      </c>
      <c r="AO17" s="32" t="e">
        <f t="shared" si="0"/>
        <v>#DIV/0!</v>
      </c>
      <c r="AP17" s="32" t="e">
        <f t="shared" si="0"/>
        <v>#DIV/0!</v>
      </c>
      <c r="AQ17" s="32" t="e">
        <f t="shared" si="0"/>
        <v>#DIV/0!</v>
      </c>
      <c r="AR17" s="32" t="e">
        <f t="shared" si="0"/>
        <v>#DIV/0!</v>
      </c>
      <c r="AS17" s="32">
        <f t="shared" si="0"/>
        <v>1</v>
      </c>
      <c r="AT17" s="32">
        <f t="shared" si="0"/>
        <v>-1.8489170628631776E-3</v>
      </c>
      <c r="AU17" s="32"/>
      <c r="AW17" s="16" t="s">
        <v>155</v>
      </c>
      <c r="AX17" s="32" t="e">
        <f t="shared" ref="AX17:AX69" si="14">AVERAGE(AH17:AJ17)</f>
        <v>#DIV/0!</v>
      </c>
      <c r="AY17" s="32" t="e">
        <f t="shared" ref="AY17:AY69" si="15">AVERAGE(AI17:AK17)</f>
        <v>#DIV/0!</v>
      </c>
      <c r="AZ17" s="32" t="e">
        <f t="shared" ref="AZ17:AZ69" si="16">AVERAGE(AJ17:AL17)</f>
        <v>#DIV/0!</v>
      </c>
      <c r="BA17" s="32" t="e">
        <f t="shared" ref="BA17:BA69" si="17">AVERAGE(AK17:AM17)</f>
        <v>#DIV/0!</v>
      </c>
      <c r="BB17" s="32" t="e">
        <f t="shared" ref="BB17:BB69" si="18">AVERAGE(AL17:AN17)</f>
        <v>#DIV/0!</v>
      </c>
      <c r="BC17" s="32" t="e">
        <f t="shared" ref="BC17:BC69" si="19">AVERAGE(AM17:AO17)</f>
        <v>#DIV/0!</v>
      </c>
      <c r="BD17" s="32" t="e">
        <f t="shared" ref="BD17:BD69" si="20">AVERAGE(AN17:AP17)</f>
        <v>#DIV/0!</v>
      </c>
      <c r="BE17" s="32" t="e">
        <f t="shared" ref="BE17:BE69" si="21">AVERAGE(AO17:AQ17)</f>
        <v>#DIV/0!</v>
      </c>
      <c r="BF17" s="32" t="e">
        <f t="shared" ref="BF17:BF69" si="22">AVERAGE(AP17:AR17)</f>
        <v>#DIV/0!</v>
      </c>
      <c r="BG17" s="32" t="e">
        <f t="shared" ref="BG17:BG69" si="23">AVERAGE(AQ17:AS17)</f>
        <v>#DIV/0!</v>
      </c>
      <c r="BH17" s="32" t="e">
        <f t="shared" ref="BH17:BH69" si="24">AVERAGE(AR17:AT17)</f>
        <v>#DIV/0!</v>
      </c>
      <c r="BI17" s="32"/>
      <c r="BJ17" s="32"/>
      <c r="BK17" s="32"/>
    </row>
    <row r="18" spans="1:63" x14ac:dyDescent="0.2">
      <c r="A18" s="16" t="s">
        <v>156</v>
      </c>
      <c r="AD18" s="23">
        <v>2.9421334331126254</v>
      </c>
      <c r="AE18" s="23">
        <v>2.9396931786754297</v>
      </c>
      <c r="AG18" s="16" t="s">
        <v>156</v>
      </c>
      <c r="AH18" s="32">
        <f>0</f>
        <v>0</v>
      </c>
      <c r="AI18" s="32" t="e">
        <f t="shared" si="2"/>
        <v>#DIV/0!</v>
      </c>
      <c r="AJ18" s="32" t="e">
        <f t="shared" si="0"/>
        <v>#DIV/0!</v>
      </c>
      <c r="AK18" s="32" t="e">
        <f t="shared" si="0"/>
        <v>#DIV/0!</v>
      </c>
      <c r="AL18" s="32" t="e">
        <f t="shared" si="0"/>
        <v>#DIV/0!</v>
      </c>
      <c r="AM18" s="32" t="e">
        <f t="shared" si="0"/>
        <v>#DIV/0!</v>
      </c>
      <c r="AN18" s="32" t="e">
        <f t="shared" si="0"/>
        <v>#DIV/0!</v>
      </c>
      <c r="AO18" s="32" t="e">
        <f t="shared" si="0"/>
        <v>#DIV/0!</v>
      </c>
      <c r="AP18" s="32" t="e">
        <f t="shared" si="0"/>
        <v>#DIV/0!</v>
      </c>
      <c r="AQ18" s="32" t="e">
        <f t="shared" si="0"/>
        <v>#DIV/0!</v>
      </c>
      <c r="AR18" s="32" t="e">
        <f t="shared" si="0"/>
        <v>#DIV/0!</v>
      </c>
      <c r="AS18" s="32">
        <f t="shared" si="0"/>
        <v>1</v>
      </c>
      <c r="AT18" s="32">
        <f t="shared" si="0"/>
        <v>-8.3010514665183091E-4</v>
      </c>
      <c r="AU18" s="32"/>
      <c r="AW18" s="16" t="s">
        <v>156</v>
      </c>
      <c r="AX18" s="32" t="e">
        <f t="shared" si="14"/>
        <v>#DIV/0!</v>
      </c>
      <c r="AY18" s="32" t="e">
        <f t="shared" si="15"/>
        <v>#DIV/0!</v>
      </c>
      <c r="AZ18" s="32" t="e">
        <f t="shared" si="16"/>
        <v>#DIV/0!</v>
      </c>
      <c r="BA18" s="32" t="e">
        <f t="shared" si="17"/>
        <v>#DIV/0!</v>
      </c>
      <c r="BB18" s="32" t="e">
        <f t="shared" si="18"/>
        <v>#DIV/0!</v>
      </c>
      <c r="BC18" s="32" t="e">
        <f t="shared" si="19"/>
        <v>#DIV/0!</v>
      </c>
      <c r="BD18" s="32" t="e">
        <f t="shared" si="20"/>
        <v>#DIV/0!</v>
      </c>
      <c r="BE18" s="32" t="e">
        <f t="shared" si="21"/>
        <v>#DIV/0!</v>
      </c>
      <c r="BF18" s="32" t="e">
        <f t="shared" si="22"/>
        <v>#DIV/0!</v>
      </c>
      <c r="BG18" s="32" t="e">
        <f t="shared" si="23"/>
        <v>#DIV/0!</v>
      </c>
      <c r="BH18" s="32" t="e">
        <f t="shared" si="24"/>
        <v>#DIV/0!</v>
      </c>
      <c r="BI18" s="32"/>
      <c r="BJ18" s="32"/>
      <c r="BK18" s="32"/>
    </row>
    <row r="19" spans="1:63" x14ac:dyDescent="0.2">
      <c r="A19" s="16" t="s">
        <v>157</v>
      </c>
      <c r="AD19" s="23">
        <v>7.1775775675709452</v>
      </c>
      <c r="AE19" s="23">
        <v>7.0226298624214332</v>
      </c>
      <c r="AG19" s="16" t="s">
        <v>157</v>
      </c>
      <c r="AH19" s="32">
        <f>0</f>
        <v>0</v>
      </c>
      <c r="AI19" s="32" t="e">
        <f t="shared" si="2"/>
        <v>#DIV/0!</v>
      </c>
      <c r="AJ19" s="32" t="e">
        <f t="shared" si="0"/>
        <v>#DIV/0!</v>
      </c>
      <c r="AK19" s="32" t="e">
        <f t="shared" si="0"/>
        <v>#DIV/0!</v>
      </c>
      <c r="AL19" s="32" t="e">
        <f t="shared" si="0"/>
        <v>#DIV/0!</v>
      </c>
      <c r="AM19" s="32" t="e">
        <f t="shared" si="0"/>
        <v>#DIV/0!</v>
      </c>
      <c r="AN19" s="32" t="e">
        <f t="shared" si="0"/>
        <v>#DIV/0!</v>
      </c>
      <c r="AO19" s="32" t="e">
        <f t="shared" si="0"/>
        <v>#DIV/0!</v>
      </c>
      <c r="AP19" s="32" t="e">
        <f t="shared" si="0"/>
        <v>#DIV/0!</v>
      </c>
      <c r="AQ19" s="32" t="e">
        <f t="shared" si="0"/>
        <v>#DIV/0!</v>
      </c>
      <c r="AR19" s="32" t="e">
        <f t="shared" si="0"/>
        <v>#DIV/0!</v>
      </c>
      <c r="AS19" s="32">
        <f t="shared" si="0"/>
        <v>1</v>
      </c>
      <c r="AT19" s="32">
        <f t="shared" si="0"/>
        <v>-2.206405693950178E-2</v>
      </c>
      <c r="AU19" s="32"/>
      <c r="AW19" s="16" t="s">
        <v>157</v>
      </c>
      <c r="AX19" s="32" t="e">
        <f t="shared" si="14"/>
        <v>#DIV/0!</v>
      </c>
      <c r="AY19" s="32" t="e">
        <f t="shared" si="15"/>
        <v>#DIV/0!</v>
      </c>
      <c r="AZ19" s="32" t="e">
        <f t="shared" si="16"/>
        <v>#DIV/0!</v>
      </c>
      <c r="BA19" s="32" t="e">
        <f t="shared" si="17"/>
        <v>#DIV/0!</v>
      </c>
      <c r="BB19" s="32" t="e">
        <f t="shared" si="18"/>
        <v>#DIV/0!</v>
      </c>
      <c r="BC19" s="32" t="e">
        <f t="shared" si="19"/>
        <v>#DIV/0!</v>
      </c>
      <c r="BD19" s="32" t="e">
        <f t="shared" si="20"/>
        <v>#DIV/0!</v>
      </c>
      <c r="BE19" s="32" t="e">
        <f t="shared" si="21"/>
        <v>#DIV/0!</v>
      </c>
      <c r="BF19" s="32" t="e">
        <f t="shared" si="22"/>
        <v>#DIV/0!</v>
      </c>
      <c r="BG19" s="32" t="e">
        <f t="shared" si="23"/>
        <v>#DIV/0!</v>
      </c>
      <c r="BH19" s="32" t="e">
        <f t="shared" si="24"/>
        <v>#DIV/0!</v>
      </c>
      <c r="BI19" s="32"/>
      <c r="BJ19" s="32"/>
      <c r="BK19" s="32"/>
    </row>
    <row r="20" spans="1:63" x14ac:dyDescent="0.2">
      <c r="A20" s="16" t="s">
        <v>158</v>
      </c>
      <c r="AD20" s="23">
        <v>6.8502786645744278</v>
      </c>
      <c r="AE20" s="23">
        <v>7.2209296033764403</v>
      </c>
      <c r="AG20" s="16" t="s">
        <v>158</v>
      </c>
      <c r="AH20" s="32">
        <f>0</f>
        <v>0</v>
      </c>
      <c r="AI20" s="32" t="e">
        <f t="shared" si="2"/>
        <v>#DIV/0!</v>
      </c>
      <c r="AJ20" s="32" t="e">
        <f t="shared" si="0"/>
        <v>#DIV/0!</v>
      </c>
      <c r="AK20" s="32" t="e">
        <f t="shared" si="0"/>
        <v>#DIV/0!</v>
      </c>
      <c r="AL20" s="32" t="e">
        <f t="shared" si="0"/>
        <v>#DIV/0!</v>
      </c>
      <c r="AM20" s="32" t="e">
        <f t="shared" si="0"/>
        <v>#DIV/0!</v>
      </c>
      <c r="AN20" s="32" t="e">
        <f t="shared" si="0"/>
        <v>#DIV/0!</v>
      </c>
      <c r="AO20" s="32" t="e">
        <f t="shared" si="0"/>
        <v>#DIV/0!</v>
      </c>
      <c r="AP20" s="32" t="e">
        <f t="shared" si="0"/>
        <v>#DIV/0!</v>
      </c>
      <c r="AQ20" s="32" t="e">
        <f t="shared" si="0"/>
        <v>#DIV/0!</v>
      </c>
      <c r="AR20" s="32" t="e">
        <f t="shared" si="0"/>
        <v>#DIV/0!</v>
      </c>
      <c r="AS20" s="32">
        <f t="shared" si="0"/>
        <v>1</v>
      </c>
      <c r="AT20" s="32">
        <f t="shared" si="0"/>
        <v>5.1330086174597174E-2</v>
      </c>
      <c r="AU20" s="32"/>
      <c r="AW20" s="16" t="s">
        <v>158</v>
      </c>
      <c r="AX20" s="32" t="e">
        <f t="shared" si="14"/>
        <v>#DIV/0!</v>
      </c>
      <c r="AY20" s="32" t="e">
        <f t="shared" si="15"/>
        <v>#DIV/0!</v>
      </c>
      <c r="AZ20" s="32" t="e">
        <f t="shared" si="16"/>
        <v>#DIV/0!</v>
      </c>
      <c r="BA20" s="32" t="e">
        <f t="shared" si="17"/>
        <v>#DIV/0!</v>
      </c>
      <c r="BB20" s="32" t="e">
        <f t="shared" si="18"/>
        <v>#DIV/0!</v>
      </c>
      <c r="BC20" s="32" t="e">
        <f t="shared" si="19"/>
        <v>#DIV/0!</v>
      </c>
      <c r="BD20" s="32" t="e">
        <f t="shared" si="20"/>
        <v>#DIV/0!</v>
      </c>
      <c r="BE20" s="32" t="e">
        <f t="shared" si="21"/>
        <v>#DIV/0!</v>
      </c>
      <c r="BF20" s="32" t="e">
        <f t="shared" si="22"/>
        <v>#DIV/0!</v>
      </c>
      <c r="BG20" s="32" t="e">
        <f t="shared" si="23"/>
        <v>#DIV/0!</v>
      </c>
      <c r="BH20" s="32" t="e">
        <f t="shared" si="24"/>
        <v>#DIV/0!</v>
      </c>
      <c r="BI20" s="32"/>
      <c r="BJ20" s="32"/>
      <c r="BK20" s="32"/>
    </row>
    <row r="21" spans="1:63" x14ac:dyDescent="0.2">
      <c r="A21" s="16" t="s">
        <v>159</v>
      </c>
      <c r="AD21" s="23">
        <v>27.305470489977726</v>
      </c>
      <c r="AE21" s="23">
        <v>27.475118318485521</v>
      </c>
      <c r="AG21" s="16" t="s">
        <v>159</v>
      </c>
      <c r="AH21" s="32">
        <f>0</f>
        <v>0</v>
      </c>
      <c r="AI21" s="32" t="e">
        <f t="shared" si="2"/>
        <v>#DIV/0!</v>
      </c>
      <c r="AJ21" s="32" t="e">
        <f t="shared" ref="AJ21:AJ69" si="25">(U21-T21)/U21</f>
        <v>#DIV/0!</v>
      </c>
      <c r="AK21" s="32" t="e">
        <f t="shared" ref="AK21:AK69" si="26">(V21-U21)/V21</f>
        <v>#DIV/0!</v>
      </c>
      <c r="AL21" s="32" t="e">
        <f t="shared" ref="AL21:AL69" si="27">(W21-V21)/W21</f>
        <v>#DIV/0!</v>
      </c>
      <c r="AM21" s="32" t="e">
        <f t="shared" ref="AM21:AM69" si="28">(X21-W21)/X21</f>
        <v>#DIV/0!</v>
      </c>
      <c r="AN21" s="32" t="e">
        <f t="shared" ref="AN21:AN69" si="29">(Y21-X21)/Y21</f>
        <v>#DIV/0!</v>
      </c>
      <c r="AO21" s="32" t="e">
        <f t="shared" ref="AO21:AO69" si="30">(Z21-Y21)/Z21</f>
        <v>#DIV/0!</v>
      </c>
      <c r="AP21" s="32" t="e">
        <f t="shared" ref="AP21:AP69" si="31">(AA21-Z21)/AA21</f>
        <v>#DIV/0!</v>
      </c>
      <c r="AQ21" s="32" t="e">
        <f t="shared" ref="AQ21:AQ69" si="32">(AB21-AA21)/AB21</f>
        <v>#DIV/0!</v>
      </c>
      <c r="AR21" s="32" t="e">
        <f t="shared" ref="AR21:AR69" si="33">(AC21-AB21)/AC21</f>
        <v>#DIV/0!</v>
      </c>
      <c r="AS21" s="32">
        <f t="shared" ref="AS21:AS69" si="34">(AD21-AC21)/AD21</f>
        <v>1</v>
      </c>
      <c r="AT21" s="32">
        <f t="shared" ref="AT21:AT69" si="35">(AE21-AD21)/AE21</f>
        <v>6.1745986510876811E-3</v>
      </c>
      <c r="AU21" s="32"/>
      <c r="AW21" s="16" t="s">
        <v>159</v>
      </c>
      <c r="AX21" s="32" t="e">
        <f t="shared" si="14"/>
        <v>#DIV/0!</v>
      </c>
      <c r="AY21" s="32" t="e">
        <f t="shared" si="15"/>
        <v>#DIV/0!</v>
      </c>
      <c r="AZ21" s="32" t="e">
        <f t="shared" si="16"/>
        <v>#DIV/0!</v>
      </c>
      <c r="BA21" s="32" t="e">
        <f t="shared" si="17"/>
        <v>#DIV/0!</v>
      </c>
      <c r="BB21" s="32" t="e">
        <f t="shared" si="18"/>
        <v>#DIV/0!</v>
      </c>
      <c r="BC21" s="32" t="e">
        <f t="shared" si="19"/>
        <v>#DIV/0!</v>
      </c>
      <c r="BD21" s="32" t="e">
        <f t="shared" si="20"/>
        <v>#DIV/0!</v>
      </c>
      <c r="BE21" s="32" t="e">
        <f t="shared" si="21"/>
        <v>#DIV/0!</v>
      </c>
      <c r="BF21" s="32" t="e">
        <f t="shared" si="22"/>
        <v>#DIV/0!</v>
      </c>
      <c r="BG21" s="32" t="e">
        <f t="shared" si="23"/>
        <v>#DIV/0!</v>
      </c>
      <c r="BH21" s="32" t="e">
        <f t="shared" si="24"/>
        <v>#DIV/0!</v>
      </c>
      <c r="BI21" s="32"/>
      <c r="BJ21" s="32"/>
      <c r="BK21" s="32"/>
    </row>
    <row r="22" spans="1:63" x14ac:dyDescent="0.2">
      <c r="A22" s="16" t="s">
        <v>160</v>
      </c>
      <c r="AD22" s="23">
        <v>4570.0565334703842</v>
      </c>
      <c r="AE22" s="23">
        <v>4578.1639470641139</v>
      </c>
      <c r="AG22" s="16" t="s">
        <v>160</v>
      </c>
      <c r="AH22" s="32">
        <f>0</f>
        <v>0</v>
      </c>
      <c r="AI22" s="32" t="e">
        <f t="shared" si="2"/>
        <v>#DIV/0!</v>
      </c>
      <c r="AJ22" s="32" t="e">
        <f t="shared" si="25"/>
        <v>#DIV/0!</v>
      </c>
      <c r="AK22" s="32" t="e">
        <f t="shared" si="26"/>
        <v>#DIV/0!</v>
      </c>
      <c r="AL22" s="32" t="e">
        <f t="shared" si="27"/>
        <v>#DIV/0!</v>
      </c>
      <c r="AM22" s="32" t="e">
        <f t="shared" si="28"/>
        <v>#DIV/0!</v>
      </c>
      <c r="AN22" s="32" t="e">
        <f t="shared" si="29"/>
        <v>#DIV/0!</v>
      </c>
      <c r="AO22" s="32" t="e">
        <f t="shared" si="30"/>
        <v>#DIV/0!</v>
      </c>
      <c r="AP22" s="32" t="e">
        <f t="shared" si="31"/>
        <v>#DIV/0!</v>
      </c>
      <c r="AQ22" s="32" t="e">
        <f t="shared" si="32"/>
        <v>#DIV/0!</v>
      </c>
      <c r="AR22" s="32" t="e">
        <f t="shared" si="33"/>
        <v>#DIV/0!</v>
      </c>
      <c r="AS22" s="32">
        <f t="shared" si="34"/>
        <v>1</v>
      </c>
      <c r="AT22" s="32">
        <f t="shared" si="35"/>
        <v>1.7708875626721084E-3</v>
      </c>
      <c r="AU22" s="32"/>
      <c r="AW22" s="16" t="s">
        <v>160</v>
      </c>
      <c r="AX22" s="32" t="e">
        <f t="shared" si="14"/>
        <v>#DIV/0!</v>
      </c>
      <c r="AY22" s="32" t="e">
        <f t="shared" si="15"/>
        <v>#DIV/0!</v>
      </c>
      <c r="AZ22" s="32" t="e">
        <f t="shared" si="16"/>
        <v>#DIV/0!</v>
      </c>
      <c r="BA22" s="32" t="e">
        <f t="shared" si="17"/>
        <v>#DIV/0!</v>
      </c>
      <c r="BB22" s="32" t="e">
        <f t="shared" si="18"/>
        <v>#DIV/0!</v>
      </c>
      <c r="BC22" s="32" t="e">
        <f t="shared" si="19"/>
        <v>#DIV/0!</v>
      </c>
      <c r="BD22" s="32" t="e">
        <f t="shared" si="20"/>
        <v>#DIV/0!</v>
      </c>
      <c r="BE22" s="32" t="e">
        <f t="shared" si="21"/>
        <v>#DIV/0!</v>
      </c>
      <c r="BF22" s="32" t="e">
        <f t="shared" si="22"/>
        <v>#DIV/0!</v>
      </c>
      <c r="BG22" s="32" t="e">
        <f t="shared" si="23"/>
        <v>#DIV/0!</v>
      </c>
      <c r="BH22" s="32" t="e">
        <f t="shared" si="24"/>
        <v>#DIV/0!</v>
      </c>
      <c r="BI22" s="32"/>
      <c r="BJ22" s="32"/>
      <c r="BK22" s="32"/>
    </row>
    <row r="23" spans="1:63" x14ac:dyDescent="0.2">
      <c r="A23" s="16" t="s">
        <v>161</v>
      </c>
      <c r="AD23" s="23">
        <v>1.9694873390099634</v>
      </c>
      <c r="AE23" s="23">
        <v>2.0456297066661713</v>
      </c>
      <c r="AG23" s="16" t="s">
        <v>161</v>
      </c>
      <c r="AH23" s="32">
        <f>0</f>
        <v>0</v>
      </c>
      <c r="AI23" s="32" t="e">
        <f t="shared" si="2"/>
        <v>#DIV/0!</v>
      </c>
      <c r="AJ23" s="32" t="e">
        <f t="shared" si="25"/>
        <v>#DIV/0!</v>
      </c>
      <c r="AK23" s="32" t="e">
        <f t="shared" si="26"/>
        <v>#DIV/0!</v>
      </c>
      <c r="AL23" s="32" t="e">
        <f t="shared" si="27"/>
        <v>#DIV/0!</v>
      </c>
      <c r="AM23" s="32" t="e">
        <f t="shared" si="28"/>
        <v>#DIV/0!</v>
      </c>
      <c r="AN23" s="32" t="e">
        <f t="shared" si="29"/>
        <v>#DIV/0!</v>
      </c>
      <c r="AO23" s="32" t="e">
        <f t="shared" si="30"/>
        <v>#DIV/0!</v>
      </c>
      <c r="AP23" s="32" t="e">
        <f t="shared" si="31"/>
        <v>#DIV/0!</v>
      </c>
      <c r="AQ23" s="32" t="e">
        <f t="shared" si="32"/>
        <v>#DIV/0!</v>
      </c>
      <c r="AR23" s="32" t="e">
        <f t="shared" si="33"/>
        <v>#DIV/0!</v>
      </c>
      <c r="AS23" s="32">
        <f t="shared" si="34"/>
        <v>1</v>
      </c>
      <c r="AT23" s="32">
        <f t="shared" si="35"/>
        <v>3.7221970040853349E-2</v>
      </c>
      <c r="AU23" s="32"/>
      <c r="AW23" s="16" t="s">
        <v>161</v>
      </c>
      <c r="AX23" s="32" t="e">
        <f t="shared" si="14"/>
        <v>#DIV/0!</v>
      </c>
      <c r="AY23" s="32" t="e">
        <f t="shared" si="15"/>
        <v>#DIV/0!</v>
      </c>
      <c r="AZ23" s="32" t="e">
        <f t="shared" si="16"/>
        <v>#DIV/0!</v>
      </c>
      <c r="BA23" s="32" t="e">
        <f t="shared" si="17"/>
        <v>#DIV/0!</v>
      </c>
      <c r="BB23" s="32" t="e">
        <f t="shared" si="18"/>
        <v>#DIV/0!</v>
      </c>
      <c r="BC23" s="32" t="e">
        <f t="shared" si="19"/>
        <v>#DIV/0!</v>
      </c>
      <c r="BD23" s="32" t="e">
        <f t="shared" si="20"/>
        <v>#DIV/0!</v>
      </c>
      <c r="BE23" s="32" t="e">
        <f t="shared" si="21"/>
        <v>#DIV/0!</v>
      </c>
      <c r="BF23" s="32" t="e">
        <f t="shared" si="22"/>
        <v>#DIV/0!</v>
      </c>
      <c r="BG23" s="32" t="e">
        <f t="shared" si="23"/>
        <v>#DIV/0!</v>
      </c>
      <c r="BH23" s="32" t="e">
        <f t="shared" si="24"/>
        <v>#DIV/0!</v>
      </c>
      <c r="BI23" s="32"/>
      <c r="BJ23" s="32"/>
      <c r="BK23" s="32"/>
    </row>
    <row r="24" spans="1:63" x14ac:dyDescent="0.2">
      <c r="A24" s="16" t="s">
        <v>162</v>
      </c>
      <c r="AD24" s="23">
        <v>438.9861094621869</v>
      </c>
      <c r="AE24" s="23">
        <v>446.42763860857178</v>
      </c>
      <c r="AG24" s="16" t="s">
        <v>162</v>
      </c>
      <c r="AH24" s="32">
        <f>0</f>
        <v>0</v>
      </c>
      <c r="AI24" s="32" t="e">
        <f t="shared" si="2"/>
        <v>#DIV/0!</v>
      </c>
      <c r="AJ24" s="32" t="e">
        <f t="shared" si="25"/>
        <v>#DIV/0!</v>
      </c>
      <c r="AK24" s="32" t="e">
        <f t="shared" si="26"/>
        <v>#DIV/0!</v>
      </c>
      <c r="AL24" s="32" t="e">
        <f t="shared" si="27"/>
        <v>#DIV/0!</v>
      </c>
      <c r="AM24" s="32" t="e">
        <f t="shared" si="28"/>
        <v>#DIV/0!</v>
      </c>
      <c r="AN24" s="32" t="e">
        <f t="shared" si="29"/>
        <v>#DIV/0!</v>
      </c>
      <c r="AO24" s="32" t="e">
        <f t="shared" si="30"/>
        <v>#DIV/0!</v>
      </c>
      <c r="AP24" s="32" t="e">
        <f t="shared" si="31"/>
        <v>#DIV/0!</v>
      </c>
      <c r="AQ24" s="32" t="e">
        <f t="shared" si="32"/>
        <v>#DIV/0!</v>
      </c>
      <c r="AR24" s="32" t="e">
        <f t="shared" si="33"/>
        <v>#DIV/0!</v>
      </c>
      <c r="AS24" s="32">
        <f t="shared" si="34"/>
        <v>1</v>
      </c>
      <c r="AT24" s="32">
        <f t="shared" si="35"/>
        <v>1.6669060118183275E-2</v>
      </c>
      <c r="AU24" s="32"/>
      <c r="AW24" s="16" t="s">
        <v>162</v>
      </c>
      <c r="AX24" s="32" t="e">
        <f t="shared" si="14"/>
        <v>#DIV/0!</v>
      </c>
      <c r="AY24" s="32" t="e">
        <f t="shared" si="15"/>
        <v>#DIV/0!</v>
      </c>
      <c r="AZ24" s="32" t="e">
        <f t="shared" si="16"/>
        <v>#DIV/0!</v>
      </c>
      <c r="BA24" s="32" t="e">
        <f t="shared" si="17"/>
        <v>#DIV/0!</v>
      </c>
      <c r="BB24" s="32" t="e">
        <f t="shared" si="18"/>
        <v>#DIV/0!</v>
      </c>
      <c r="BC24" s="32" t="e">
        <f t="shared" si="19"/>
        <v>#DIV/0!</v>
      </c>
      <c r="BD24" s="32" t="e">
        <f t="shared" si="20"/>
        <v>#DIV/0!</v>
      </c>
      <c r="BE24" s="32" t="e">
        <f t="shared" si="21"/>
        <v>#DIV/0!</v>
      </c>
      <c r="BF24" s="32" t="e">
        <f t="shared" si="22"/>
        <v>#DIV/0!</v>
      </c>
      <c r="BG24" s="32" t="e">
        <f t="shared" si="23"/>
        <v>#DIV/0!</v>
      </c>
      <c r="BH24" s="32" t="e">
        <f t="shared" si="24"/>
        <v>#DIV/0!</v>
      </c>
      <c r="BI24" s="32"/>
      <c r="BJ24" s="32"/>
      <c r="BK24" s="32"/>
    </row>
    <row r="25" spans="1:63" x14ac:dyDescent="0.2">
      <c r="A25" s="16" t="s">
        <v>163</v>
      </c>
      <c r="AD25" s="23">
        <v>32.80004233401538</v>
      </c>
      <c r="AE25" s="23">
        <v>32.509583950704389</v>
      </c>
      <c r="AG25" s="16" t="s">
        <v>163</v>
      </c>
      <c r="AH25" s="32">
        <f>0</f>
        <v>0</v>
      </c>
      <c r="AI25" s="32" t="e">
        <f t="shared" si="2"/>
        <v>#DIV/0!</v>
      </c>
      <c r="AJ25" s="32" t="e">
        <f t="shared" si="25"/>
        <v>#DIV/0!</v>
      </c>
      <c r="AK25" s="32" t="e">
        <f t="shared" si="26"/>
        <v>#DIV/0!</v>
      </c>
      <c r="AL25" s="32" t="e">
        <f t="shared" si="27"/>
        <v>#DIV/0!</v>
      </c>
      <c r="AM25" s="32" t="e">
        <f t="shared" si="28"/>
        <v>#DIV/0!</v>
      </c>
      <c r="AN25" s="32" t="e">
        <f t="shared" si="29"/>
        <v>#DIV/0!</v>
      </c>
      <c r="AO25" s="32" t="e">
        <f t="shared" si="30"/>
        <v>#DIV/0!</v>
      </c>
      <c r="AP25" s="32" t="e">
        <f t="shared" si="31"/>
        <v>#DIV/0!</v>
      </c>
      <c r="AQ25" s="32" t="e">
        <f t="shared" si="32"/>
        <v>#DIV/0!</v>
      </c>
      <c r="AR25" s="32" t="e">
        <f t="shared" si="33"/>
        <v>#DIV/0!</v>
      </c>
      <c r="AS25" s="32">
        <f t="shared" si="34"/>
        <v>1</v>
      </c>
      <c r="AT25" s="32">
        <f t="shared" si="35"/>
        <v>-8.9345463095259845E-3</v>
      </c>
      <c r="AU25" s="32"/>
      <c r="AW25" s="16" t="s">
        <v>163</v>
      </c>
      <c r="AX25" s="32" t="e">
        <f t="shared" si="14"/>
        <v>#DIV/0!</v>
      </c>
      <c r="AY25" s="32" t="e">
        <f t="shared" si="15"/>
        <v>#DIV/0!</v>
      </c>
      <c r="AZ25" s="32" t="e">
        <f t="shared" si="16"/>
        <v>#DIV/0!</v>
      </c>
      <c r="BA25" s="32" t="e">
        <f t="shared" si="17"/>
        <v>#DIV/0!</v>
      </c>
      <c r="BB25" s="32" t="e">
        <f t="shared" si="18"/>
        <v>#DIV/0!</v>
      </c>
      <c r="BC25" s="32" t="e">
        <f t="shared" si="19"/>
        <v>#DIV/0!</v>
      </c>
      <c r="BD25" s="32" t="e">
        <f t="shared" si="20"/>
        <v>#DIV/0!</v>
      </c>
      <c r="BE25" s="32" t="e">
        <f t="shared" si="21"/>
        <v>#DIV/0!</v>
      </c>
      <c r="BF25" s="32" t="e">
        <f t="shared" si="22"/>
        <v>#DIV/0!</v>
      </c>
      <c r="BG25" s="32" t="e">
        <f t="shared" si="23"/>
        <v>#DIV/0!</v>
      </c>
      <c r="BH25" s="32" t="e">
        <f t="shared" si="24"/>
        <v>#DIV/0!</v>
      </c>
      <c r="BI25" s="32"/>
      <c r="BJ25" s="32"/>
      <c r="BK25" s="32"/>
    </row>
    <row r="26" spans="1:63" x14ac:dyDescent="0.2">
      <c r="A26" s="16" t="s">
        <v>165</v>
      </c>
      <c r="AD26" s="23">
        <v>346.33186131729775</v>
      </c>
      <c r="AE26" s="23">
        <v>347.90566569576248</v>
      </c>
      <c r="AG26" s="16" t="s">
        <v>165</v>
      </c>
      <c r="AH26" s="32">
        <f>0</f>
        <v>0</v>
      </c>
      <c r="AI26" s="32" t="e">
        <f t="shared" si="2"/>
        <v>#DIV/0!</v>
      </c>
      <c r="AJ26" s="32" t="e">
        <f t="shared" si="25"/>
        <v>#DIV/0!</v>
      </c>
      <c r="AK26" s="32" t="e">
        <f t="shared" si="26"/>
        <v>#DIV/0!</v>
      </c>
      <c r="AL26" s="32" t="e">
        <f t="shared" si="27"/>
        <v>#DIV/0!</v>
      </c>
      <c r="AM26" s="32" t="e">
        <f t="shared" si="28"/>
        <v>#DIV/0!</v>
      </c>
      <c r="AN26" s="32" t="e">
        <f t="shared" si="29"/>
        <v>#DIV/0!</v>
      </c>
      <c r="AO26" s="32" t="e">
        <f t="shared" si="30"/>
        <v>#DIV/0!</v>
      </c>
      <c r="AP26" s="32" t="e">
        <f t="shared" si="31"/>
        <v>#DIV/0!</v>
      </c>
      <c r="AQ26" s="32" t="e">
        <f t="shared" si="32"/>
        <v>#DIV/0!</v>
      </c>
      <c r="AR26" s="32" t="e">
        <f t="shared" si="33"/>
        <v>#DIV/0!</v>
      </c>
      <c r="AS26" s="32">
        <f t="shared" si="34"/>
        <v>1</v>
      </c>
      <c r="AT26" s="32">
        <f t="shared" si="35"/>
        <v>4.5236526266893102E-3</v>
      </c>
      <c r="AU26" s="32"/>
      <c r="AW26" s="16" t="s">
        <v>165</v>
      </c>
      <c r="AX26" s="32" t="e">
        <f t="shared" si="14"/>
        <v>#DIV/0!</v>
      </c>
      <c r="AY26" s="32" t="e">
        <f t="shared" si="15"/>
        <v>#DIV/0!</v>
      </c>
      <c r="AZ26" s="32" t="e">
        <f t="shared" si="16"/>
        <v>#DIV/0!</v>
      </c>
      <c r="BA26" s="32" t="e">
        <f t="shared" si="17"/>
        <v>#DIV/0!</v>
      </c>
      <c r="BB26" s="32" t="e">
        <f t="shared" si="18"/>
        <v>#DIV/0!</v>
      </c>
      <c r="BC26" s="32" t="e">
        <f t="shared" si="19"/>
        <v>#DIV/0!</v>
      </c>
      <c r="BD26" s="32" t="e">
        <f t="shared" si="20"/>
        <v>#DIV/0!</v>
      </c>
      <c r="BE26" s="32" t="e">
        <f t="shared" si="21"/>
        <v>#DIV/0!</v>
      </c>
      <c r="BF26" s="32" t="e">
        <f t="shared" si="22"/>
        <v>#DIV/0!</v>
      </c>
      <c r="BG26" s="32" t="e">
        <f t="shared" si="23"/>
        <v>#DIV/0!</v>
      </c>
      <c r="BH26" s="32" t="e">
        <f t="shared" si="24"/>
        <v>#DIV/0!</v>
      </c>
      <c r="BI26" s="32"/>
      <c r="BJ26" s="32"/>
      <c r="BK26" s="32"/>
    </row>
    <row r="27" spans="1:63" x14ac:dyDescent="0.2">
      <c r="A27" s="16" t="s">
        <v>164</v>
      </c>
      <c r="AD27" s="23">
        <v>14.679732623791292</v>
      </c>
      <c r="AE27" s="23">
        <v>15.045860644212258</v>
      </c>
      <c r="AG27" s="16" t="s">
        <v>164</v>
      </c>
      <c r="AH27" s="32">
        <f>0</f>
        <v>0</v>
      </c>
      <c r="AI27" s="32" t="e">
        <f t="shared" si="2"/>
        <v>#DIV/0!</v>
      </c>
      <c r="AJ27" s="32" t="e">
        <f t="shared" si="25"/>
        <v>#DIV/0!</v>
      </c>
      <c r="AK27" s="32" t="e">
        <f t="shared" si="26"/>
        <v>#DIV/0!</v>
      </c>
      <c r="AL27" s="32" t="e">
        <f t="shared" si="27"/>
        <v>#DIV/0!</v>
      </c>
      <c r="AM27" s="32" t="e">
        <f t="shared" si="28"/>
        <v>#DIV/0!</v>
      </c>
      <c r="AN27" s="32" t="e">
        <f t="shared" si="29"/>
        <v>#DIV/0!</v>
      </c>
      <c r="AO27" s="32" t="e">
        <f t="shared" si="30"/>
        <v>#DIV/0!</v>
      </c>
      <c r="AP27" s="32" t="e">
        <f t="shared" si="31"/>
        <v>#DIV/0!</v>
      </c>
      <c r="AQ27" s="32" t="e">
        <f t="shared" si="32"/>
        <v>#DIV/0!</v>
      </c>
      <c r="AR27" s="32" t="e">
        <f t="shared" si="33"/>
        <v>#DIV/0!</v>
      </c>
      <c r="AS27" s="32">
        <f t="shared" si="34"/>
        <v>1</v>
      </c>
      <c r="AT27" s="32">
        <f t="shared" si="35"/>
        <v>2.4334136084252896E-2</v>
      </c>
      <c r="AU27" s="32"/>
      <c r="AW27" s="16" t="s">
        <v>164</v>
      </c>
      <c r="AX27" s="32" t="e">
        <f t="shared" si="14"/>
        <v>#DIV/0!</v>
      </c>
      <c r="AY27" s="32" t="e">
        <f t="shared" si="15"/>
        <v>#DIV/0!</v>
      </c>
      <c r="AZ27" s="32" t="e">
        <f t="shared" si="16"/>
        <v>#DIV/0!</v>
      </c>
      <c r="BA27" s="32" t="e">
        <f t="shared" si="17"/>
        <v>#DIV/0!</v>
      </c>
      <c r="BB27" s="32" t="e">
        <f t="shared" si="18"/>
        <v>#DIV/0!</v>
      </c>
      <c r="BC27" s="32" t="e">
        <f t="shared" si="19"/>
        <v>#DIV/0!</v>
      </c>
      <c r="BD27" s="32" t="e">
        <f t="shared" si="20"/>
        <v>#DIV/0!</v>
      </c>
      <c r="BE27" s="32" t="e">
        <f t="shared" si="21"/>
        <v>#DIV/0!</v>
      </c>
      <c r="BF27" s="32" t="e">
        <f t="shared" si="22"/>
        <v>#DIV/0!</v>
      </c>
      <c r="BG27" s="32" t="e">
        <f t="shared" si="23"/>
        <v>#DIV/0!</v>
      </c>
      <c r="BH27" s="32" t="e">
        <f t="shared" si="24"/>
        <v>#DIV/0!</v>
      </c>
      <c r="BI27" s="32"/>
      <c r="BJ27" s="32"/>
      <c r="BK27" s="32"/>
    </row>
    <row r="28" spans="1:63" x14ac:dyDescent="0.2">
      <c r="A28" s="16" t="s">
        <v>166</v>
      </c>
      <c r="AD28" s="23">
        <v>32.12401098435187</v>
      </c>
      <c r="AE28" s="23">
        <v>32.333392038301731</v>
      </c>
      <c r="AG28" s="16" t="s">
        <v>166</v>
      </c>
      <c r="AH28" s="32">
        <f>0</f>
        <v>0</v>
      </c>
      <c r="AI28" s="32" t="e">
        <f t="shared" si="2"/>
        <v>#DIV/0!</v>
      </c>
      <c r="AJ28" s="32" t="e">
        <f t="shared" si="25"/>
        <v>#DIV/0!</v>
      </c>
      <c r="AK28" s="32" t="e">
        <f t="shared" si="26"/>
        <v>#DIV/0!</v>
      </c>
      <c r="AL28" s="32" t="e">
        <f t="shared" si="27"/>
        <v>#DIV/0!</v>
      </c>
      <c r="AM28" s="32" t="e">
        <f t="shared" si="28"/>
        <v>#DIV/0!</v>
      </c>
      <c r="AN28" s="32" t="e">
        <f t="shared" si="29"/>
        <v>#DIV/0!</v>
      </c>
      <c r="AO28" s="32" t="e">
        <f t="shared" si="30"/>
        <v>#DIV/0!</v>
      </c>
      <c r="AP28" s="32" t="e">
        <f t="shared" si="31"/>
        <v>#DIV/0!</v>
      </c>
      <c r="AQ28" s="32" t="e">
        <f t="shared" si="32"/>
        <v>#DIV/0!</v>
      </c>
      <c r="AR28" s="32" t="e">
        <f t="shared" si="33"/>
        <v>#DIV/0!</v>
      </c>
      <c r="AS28" s="32">
        <f t="shared" si="34"/>
        <v>1</v>
      </c>
      <c r="AT28" s="32">
        <f t="shared" si="35"/>
        <v>6.4756909421019538E-3</v>
      </c>
      <c r="AU28" s="32"/>
      <c r="AW28" s="16" t="s">
        <v>166</v>
      </c>
      <c r="AX28" s="32" t="e">
        <f t="shared" si="14"/>
        <v>#DIV/0!</v>
      </c>
      <c r="AY28" s="32" t="e">
        <f t="shared" si="15"/>
        <v>#DIV/0!</v>
      </c>
      <c r="AZ28" s="32" t="e">
        <f t="shared" si="16"/>
        <v>#DIV/0!</v>
      </c>
      <c r="BA28" s="32" t="e">
        <f t="shared" si="17"/>
        <v>#DIV/0!</v>
      </c>
      <c r="BB28" s="32" t="e">
        <f t="shared" si="18"/>
        <v>#DIV/0!</v>
      </c>
      <c r="BC28" s="32" t="e">
        <f t="shared" si="19"/>
        <v>#DIV/0!</v>
      </c>
      <c r="BD28" s="32" t="e">
        <f t="shared" si="20"/>
        <v>#DIV/0!</v>
      </c>
      <c r="BE28" s="32" t="e">
        <f t="shared" si="21"/>
        <v>#DIV/0!</v>
      </c>
      <c r="BF28" s="32" t="e">
        <f t="shared" si="22"/>
        <v>#DIV/0!</v>
      </c>
      <c r="BG28" s="32" t="e">
        <f t="shared" si="23"/>
        <v>#DIV/0!</v>
      </c>
      <c r="BH28" s="32" t="e">
        <f t="shared" si="24"/>
        <v>#DIV/0!</v>
      </c>
      <c r="BI28" s="32"/>
      <c r="BJ28" s="32"/>
      <c r="BK28" s="32"/>
    </row>
    <row r="29" spans="1:63" x14ac:dyDescent="0.2">
      <c r="A29" s="16" t="s">
        <v>167</v>
      </c>
      <c r="AD29" s="23">
        <v>21.013917105836935</v>
      </c>
      <c r="AE29" s="23">
        <v>21.044340703731624</v>
      </c>
      <c r="AG29" s="16" t="s">
        <v>167</v>
      </c>
      <c r="AH29" s="32">
        <f>0</f>
        <v>0</v>
      </c>
      <c r="AI29" s="32" t="e">
        <f t="shared" si="2"/>
        <v>#DIV/0!</v>
      </c>
      <c r="AJ29" s="32" t="e">
        <f t="shared" si="25"/>
        <v>#DIV/0!</v>
      </c>
      <c r="AK29" s="32" t="e">
        <f t="shared" si="26"/>
        <v>#DIV/0!</v>
      </c>
      <c r="AL29" s="32" t="e">
        <f t="shared" si="27"/>
        <v>#DIV/0!</v>
      </c>
      <c r="AM29" s="32" t="e">
        <f t="shared" si="28"/>
        <v>#DIV/0!</v>
      </c>
      <c r="AN29" s="32" t="e">
        <f t="shared" si="29"/>
        <v>#DIV/0!</v>
      </c>
      <c r="AO29" s="32" t="e">
        <f t="shared" si="30"/>
        <v>#DIV/0!</v>
      </c>
      <c r="AP29" s="32" t="e">
        <f t="shared" si="31"/>
        <v>#DIV/0!</v>
      </c>
      <c r="AQ29" s="32" t="e">
        <f t="shared" si="32"/>
        <v>#DIV/0!</v>
      </c>
      <c r="AR29" s="32" t="e">
        <f t="shared" si="33"/>
        <v>#DIV/0!</v>
      </c>
      <c r="AS29" s="32">
        <f t="shared" si="34"/>
        <v>1</v>
      </c>
      <c r="AT29" s="32">
        <f t="shared" si="35"/>
        <v>1.4456902367720366E-3</v>
      </c>
      <c r="AU29" s="32"/>
      <c r="AW29" s="16" t="s">
        <v>167</v>
      </c>
      <c r="AX29" s="32" t="e">
        <f t="shared" si="14"/>
        <v>#DIV/0!</v>
      </c>
      <c r="AY29" s="32" t="e">
        <f t="shared" si="15"/>
        <v>#DIV/0!</v>
      </c>
      <c r="AZ29" s="32" t="e">
        <f t="shared" si="16"/>
        <v>#DIV/0!</v>
      </c>
      <c r="BA29" s="32" t="e">
        <f t="shared" si="17"/>
        <v>#DIV/0!</v>
      </c>
      <c r="BB29" s="32" t="e">
        <f t="shared" si="18"/>
        <v>#DIV/0!</v>
      </c>
      <c r="BC29" s="32" t="e">
        <f t="shared" si="19"/>
        <v>#DIV/0!</v>
      </c>
      <c r="BD29" s="32" t="e">
        <f t="shared" si="20"/>
        <v>#DIV/0!</v>
      </c>
      <c r="BE29" s="32" t="e">
        <f t="shared" si="21"/>
        <v>#DIV/0!</v>
      </c>
      <c r="BF29" s="32" t="e">
        <f t="shared" si="22"/>
        <v>#DIV/0!</v>
      </c>
      <c r="BG29" s="32" t="e">
        <f t="shared" si="23"/>
        <v>#DIV/0!</v>
      </c>
      <c r="BH29" s="32" t="e">
        <f t="shared" si="24"/>
        <v>#DIV/0!</v>
      </c>
      <c r="BI29" s="32"/>
      <c r="BJ29" s="32"/>
      <c r="BK29" s="32"/>
    </row>
    <row r="30" spans="1:63" x14ac:dyDescent="0.2">
      <c r="A30" s="16" t="s">
        <v>168</v>
      </c>
      <c r="AD30" s="23">
        <v>39.254079254079251</v>
      </c>
      <c r="AE30" s="23">
        <v>39.260739260739257</v>
      </c>
      <c r="AG30" s="16" t="s">
        <v>168</v>
      </c>
      <c r="AH30" s="32">
        <f>0</f>
        <v>0</v>
      </c>
      <c r="AI30" s="32" t="e">
        <f t="shared" si="2"/>
        <v>#DIV/0!</v>
      </c>
      <c r="AJ30" s="32" t="e">
        <f t="shared" si="25"/>
        <v>#DIV/0!</v>
      </c>
      <c r="AK30" s="32" t="e">
        <f t="shared" si="26"/>
        <v>#DIV/0!</v>
      </c>
      <c r="AL30" s="32" t="e">
        <f t="shared" si="27"/>
        <v>#DIV/0!</v>
      </c>
      <c r="AM30" s="32" t="e">
        <f t="shared" si="28"/>
        <v>#DIV/0!</v>
      </c>
      <c r="AN30" s="32" t="e">
        <f t="shared" si="29"/>
        <v>#DIV/0!</v>
      </c>
      <c r="AO30" s="32" t="e">
        <f t="shared" si="30"/>
        <v>#DIV/0!</v>
      </c>
      <c r="AP30" s="32" t="e">
        <f t="shared" si="31"/>
        <v>#DIV/0!</v>
      </c>
      <c r="AQ30" s="32" t="e">
        <f t="shared" si="32"/>
        <v>#DIV/0!</v>
      </c>
      <c r="AR30" s="32" t="e">
        <f t="shared" si="33"/>
        <v>#DIV/0!</v>
      </c>
      <c r="AS30" s="32">
        <f t="shared" si="34"/>
        <v>1</v>
      </c>
      <c r="AT30" s="32">
        <f t="shared" si="35"/>
        <v>1.6963528413908388E-4</v>
      </c>
      <c r="AU30" s="32"/>
      <c r="AW30" s="16" t="s">
        <v>168</v>
      </c>
      <c r="AX30" s="32" t="e">
        <f t="shared" si="14"/>
        <v>#DIV/0!</v>
      </c>
      <c r="AY30" s="32" t="e">
        <f t="shared" si="15"/>
        <v>#DIV/0!</v>
      </c>
      <c r="AZ30" s="32" t="e">
        <f t="shared" si="16"/>
        <v>#DIV/0!</v>
      </c>
      <c r="BA30" s="32" t="e">
        <f t="shared" si="17"/>
        <v>#DIV/0!</v>
      </c>
      <c r="BB30" s="32" t="e">
        <f t="shared" si="18"/>
        <v>#DIV/0!</v>
      </c>
      <c r="BC30" s="32" t="e">
        <f t="shared" si="19"/>
        <v>#DIV/0!</v>
      </c>
      <c r="BD30" s="32" t="e">
        <f t="shared" si="20"/>
        <v>#DIV/0!</v>
      </c>
      <c r="BE30" s="32" t="e">
        <f t="shared" si="21"/>
        <v>#DIV/0!</v>
      </c>
      <c r="BF30" s="32" t="e">
        <f t="shared" si="22"/>
        <v>#DIV/0!</v>
      </c>
      <c r="BG30" s="32" t="e">
        <f t="shared" si="23"/>
        <v>#DIV/0!</v>
      </c>
      <c r="BH30" s="32" t="e">
        <f t="shared" si="24"/>
        <v>#DIV/0!</v>
      </c>
      <c r="BI30" s="32"/>
      <c r="BJ30" s="32"/>
      <c r="BK30" s="32"/>
    </row>
    <row r="31" spans="1:63" x14ac:dyDescent="0.2">
      <c r="A31" s="16" t="s">
        <v>169</v>
      </c>
      <c r="AD31" s="23">
        <v>8.4879557727197312</v>
      </c>
      <c r="AE31" s="23">
        <v>8.4280156058505877</v>
      </c>
      <c r="AG31" s="16" t="s">
        <v>169</v>
      </c>
      <c r="AH31" s="32">
        <f>0</f>
        <v>0</v>
      </c>
      <c r="AI31" s="32" t="e">
        <f t="shared" si="2"/>
        <v>#DIV/0!</v>
      </c>
      <c r="AJ31" s="32" t="e">
        <f t="shared" si="25"/>
        <v>#DIV/0!</v>
      </c>
      <c r="AK31" s="32" t="e">
        <f t="shared" si="26"/>
        <v>#DIV/0!</v>
      </c>
      <c r="AL31" s="32" t="e">
        <f t="shared" si="27"/>
        <v>#DIV/0!</v>
      </c>
      <c r="AM31" s="32" t="e">
        <f t="shared" si="28"/>
        <v>#DIV/0!</v>
      </c>
      <c r="AN31" s="32" t="e">
        <f t="shared" si="29"/>
        <v>#DIV/0!</v>
      </c>
      <c r="AO31" s="32" t="e">
        <f t="shared" si="30"/>
        <v>#DIV/0!</v>
      </c>
      <c r="AP31" s="32" t="e">
        <f t="shared" si="31"/>
        <v>#DIV/0!</v>
      </c>
      <c r="AQ31" s="32" t="e">
        <f t="shared" si="32"/>
        <v>#DIV/0!</v>
      </c>
      <c r="AR31" s="32" t="e">
        <f t="shared" si="33"/>
        <v>#DIV/0!</v>
      </c>
      <c r="AS31" s="32">
        <f t="shared" si="34"/>
        <v>1</v>
      </c>
      <c r="AT31" s="32">
        <f t="shared" si="35"/>
        <v>-7.1120142240284926E-3</v>
      </c>
      <c r="AU31" s="32"/>
      <c r="AW31" s="16" t="s">
        <v>169</v>
      </c>
      <c r="AX31" s="32" t="e">
        <f t="shared" si="14"/>
        <v>#DIV/0!</v>
      </c>
      <c r="AY31" s="32" t="e">
        <f t="shared" si="15"/>
        <v>#DIV/0!</v>
      </c>
      <c r="AZ31" s="32" t="e">
        <f t="shared" si="16"/>
        <v>#DIV/0!</v>
      </c>
      <c r="BA31" s="32" t="e">
        <f t="shared" si="17"/>
        <v>#DIV/0!</v>
      </c>
      <c r="BB31" s="32" t="e">
        <f t="shared" si="18"/>
        <v>#DIV/0!</v>
      </c>
      <c r="BC31" s="32" t="e">
        <f t="shared" si="19"/>
        <v>#DIV/0!</v>
      </c>
      <c r="BD31" s="32" t="e">
        <f t="shared" si="20"/>
        <v>#DIV/0!</v>
      </c>
      <c r="BE31" s="32" t="e">
        <f t="shared" si="21"/>
        <v>#DIV/0!</v>
      </c>
      <c r="BF31" s="32" t="e">
        <f t="shared" si="22"/>
        <v>#DIV/0!</v>
      </c>
      <c r="BG31" s="32" t="e">
        <f t="shared" si="23"/>
        <v>#DIV/0!</v>
      </c>
      <c r="BH31" s="32" t="e">
        <f t="shared" si="24"/>
        <v>#DIV/0!</v>
      </c>
      <c r="BI31" s="32"/>
      <c r="BJ31" s="32"/>
      <c r="BK31" s="32"/>
    </row>
    <row r="32" spans="1:63" x14ac:dyDescent="0.2">
      <c r="A32" s="16" t="s">
        <v>170</v>
      </c>
      <c r="AD32" s="23">
        <v>5.3120071673590621</v>
      </c>
      <c r="AE32" s="23">
        <v>5.2985070047434668</v>
      </c>
      <c r="AG32" s="16" t="s">
        <v>170</v>
      </c>
      <c r="AH32" s="32">
        <f>0</f>
        <v>0</v>
      </c>
      <c r="AI32" s="32" t="e">
        <f t="shared" si="2"/>
        <v>#DIV/0!</v>
      </c>
      <c r="AJ32" s="32" t="e">
        <f t="shared" si="25"/>
        <v>#DIV/0!</v>
      </c>
      <c r="AK32" s="32" t="e">
        <f t="shared" si="26"/>
        <v>#DIV/0!</v>
      </c>
      <c r="AL32" s="32" t="e">
        <f t="shared" si="27"/>
        <v>#DIV/0!</v>
      </c>
      <c r="AM32" s="32" t="e">
        <f t="shared" si="28"/>
        <v>#DIV/0!</v>
      </c>
      <c r="AN32" s="32" t="e">
        <f t="shared" si="29"/>
        <v>#DIV/0!</v>
      </c>
      <c r="AO32" s="32" t="e">
        <f t="shared" si="30"/>
        <v>#DIV/0!</v>
      </c>
      <c r="AP32" s="32" t="e">
        <f t="shared" si="31"/>
        <v>#DIV/0!</v>
      </c>
      <c r="AQ32" s="32" t="e">
        <f t="shared" si="32"/>
        <v>#DIV/0!</v>
      </c>
      <c r="AR32" s="32" t="e">
        <f t="shared" si="33"/>
        <v>#DIV/0!</v>
      </c>
      <c r="AS32" s="32">
        <f t="shared" si="34"/>
        <v>1</v>
      </c>
      <c r="AT32" s="32">
        <f t="shared" si="35"/>
        <v>-2.5479182349875755E-3</v>
      </c>
      <c r="AU32" s="32"/>
      <c r="AW32" s="16" t="s">
        <v>170</v>
      </c>
      <c r="AX32" s="32" t="e">
        <f t="shared" si="14"/>
        <v>#DIV/0!</v>
      </c>
      <c r="AY32" s="32" t="e">
        <f t="shared" si="15"/>
        <v>#DIV/0!</v>
      </c>
      <c r="AZ32" s="32" t="e">
        <f t="shared" si="16"/>
        <v>#DIV/0!</v>
      </c>
      <c r="BA32" s="32" t="e">
        <f t="shared" si="17"/>
        <v>#DIV/0!</v>
      </c>
      <c r="BB32" s="32" t="e">
        <f t="shared" si="18"/>
        <v>#DIV/0!</v>
      </c>
      <c r="BC32" s="32" t="e">
        <f t="shared" si="19"/>
        <v>#DIV/0!</v>
      </c>
      <c r="BD32" s="32" t="e">
        <f t="shared" si="20"/>
        <v>#DIV/0!</v>
      </c>
      <c r="BE32" s="32" t="e">
        <f t="shared" si="21"/>
        <v>#DIV/0!</v>
      </c>
      <c r="BF32" s="32" t="e">
        <f t="shared" si="22"/>
        <v>#DIV/0!</v>
      </c>
      <c r="BG32" s="32" t="e">
        <f t="shared" si="23"/>
        <v>#DIV/0!</v>
      </c>
      <c r="BH32" s="32" t="e">
        <f t="shared" si="24"/>
        <v>#DIV/0!</v>
      </c>
      <c r="BI32" s="32"/>
      <c r="BJ32" s="32"/>
      <c r="BK32" s="32"/>
    </row>
    <row r="33" spans="1:63" x14ac:dyDescent="0.2">
      <c r="A33" s="16" t="s">
        <v>171</v>
      </c>
      <c r="AD33" s="23">
        <v>0.69257132683491351</v>
      </c>
      <c r="AE33" s="23">
        <v>0.69346152134241335</v>
      </c>
      <c r="AG33" s="16" t="s">
        <v>171</v>
      </c>
      <c r="AH33" s="32">
        <f>0</f>
        <v>0</v>
      </c>
      <c r="AI33" s="32" t="e">
        <f t="shared" si="2"/>
        <v>#DIV/0!</v>
      </c>
      <c r="AJ33" s="32" t="e">
        <f t="shared" si="25"/>
        <v>#DIV/0!</v>
      </c>
      <c r="AK33" s="32" t="e">
        <f t="shared" si="26"/>
        <v>#DIV/0!</v>
      </c>
      <c r="AL33" s="32" t="e">
        <f t="shared" si="27"/>
        <v>#DIV/0!</v>
      </c>
      <c r="AM33" s="32" t="e">
        <f t="shared" si="28"/>
        <v>#DIV/0!</v>
      </c>
      <c r="AN33" s="32" t="e">
        <f t="shared" si="29"/>
        <v>#DIV/0!</v>
      </c>
      <c r="AO33" s="32" t="e">
        <f t="shared" si="30"/>
        <v>#DIV/0!</v>
      </c>
      <c r="AP33" s="32" t="e">
        <f t="shared" si="31"/>
        <v>#DIV/0!</v>
      </c>
      <c r="AQ33" s="32" t="e">
        <f t="shared" si="32"/>
        <v>#DIV/0!</v>
      </c>
      <c r="AR33" s="32" t="e">
        <f t="shared" si="33"/>
        <v>#DIV/0!</v>
      </c>
      <c r="AS33" s="32">
        <f t="shared" si="34"/>
        <v>1</v>
      </c>
      <c r="AT33" s="32">
        <f t="shared" si="35"/>
        <v>1.2836970474967072E-3</v>
      </c>
      <c r="AU33" s="32"/>
      <c r="AW33" s="16" t="s">
        <v>171</v>
      </c>
      <c r="AX33" s="32" t="e">
        <f t="shared" si="14"/>
        <v>#DIV/0!</v>
      </c>
      <c r="AY33" s="32" t="e">
        <f t="shared" si="15"/>
        <v>#DIV/0!</v>
      </c>
      <c r="AZ33" s="32" t="e">
        <f t="shared" si="16"/>
        <v>#DIV/0!</v>
      </c>
      <c r="BA33" s="32" t="e">
        <f t="shared" si="17"/>
        <v>#DIV/0!</v>
      </c>
      <c r="BB33" s="32" t="e">
        <f t="shared" si="18"/>
        <v>#DIV/0!</v>
      </c>
      <c r="BC33" s="32" t="e">
        <f t="shared" si="19"/>
        <v>#DIV/0!</v>
      </c>
      <c r="BD33" s="32" t="e">
        <f t="shared" si="20"/>
        <v>#DIV/0!</v>
      </c>
      <c r="BE33" s="32" t="e">
        <f t="shared" si="21"/>
        <v>#DIV/0!</v>
      </c>
      <c r="BF33" s="32" t="e">
        <f t="shared" si="22"/>
        <v>#DIV/0!</v>
      </c>
      <c r="BG33" s="32" t="e">
        <f t="shared" si="23"/>
        <v>#DIV/0!</v>
      </c>
      <c r="BH33" s="32" t="e">
        <f t="shared" si="24"/>
        <v>#DIV/0!</v>
      </c>
      <c r="BI33" s="32"/>
      <c r="BJ33" s="32"/>
      <c r="BK33" s="32"/>
    </row>
    <row r="34" spans="1:63" x14ac:dyDescent="0.2">
      <c r="A34" s="16" t="s">
        <v>172</v>
      </c>
      <c r="AD34" s="23">
        <v>4.3633075227491105</v>
      </c>
      <c r="AE34" s="23">
        <v>4.4612747037434772</v>
      </c>
      <c r="AG34" s="16" t="s">
        <v>172</v>
      </c>
      <c r="AH34" s="32">
        <f>0</f>
        <v>0</v>
      </c>
      <c r="AI34" s="32" t="e">
        <f t="shared" si="2"/>
        <v>#DIV/0!</v>
      </c>
      <c r="AJ34" s="32" t="e">
        <f t="shared" si="25"/>
        <v>#DIV/0!</v>
      </c>
      <c r="AK34" s="32" t="e">
        <f t="shared" si="26"/>
        <v>#DIV/0!</v>
      </c>
      <c r="AL34" s="32" t="e">
        <f t="shared" si="27"/>
        <v>#DIV/0!</v>
      </c>
      <c r="AM34" s="32" t="e">
        <f t="shared" si="28"/>
        <v>#DIV/0!</v>
      </c>
      <c r="AN34" s="32" t="e">
        <f t="shared" si="29"/>
        <v>#DIV/0!</v>
      </c>
      <c r="AO34" s="32" t="e">
        <f t="shared" si="30"/>
        <v>#DIV/0!</v>
      </c>
      <c r="AP34" s="32" t="e">
        <f t="shared" si="31"/>
        <v>#DIV/0!</v>
      </c>
      <c r="AQ34" s="32" t="e">
        <f t="shared" si="32"/>
        <v>#DIV/0!</v>
      </c>
      <c r="AR34" s="32" t="e">
        <f t="shared" si="33"/>
        <v>#DIV/0!</v>
      </c>
      <c r="AS34" s="32">
        <f t="shared" si="34"/>
        <v>1</v>
      </c>
      <c r="AT34" s="32">
        <f t="shared" si="35"/>
        <v>2.1959459459459426E-2</v>
      </c>
      <c r="AU34" s="32"/>
      <c r="AW34" s="16" t="s">
        <v>172</v>
      </c>
      <c r="AX34" s="32" t="e">
        <f t="shared" si="14"/>
        <v>#DIV/0!</v>
      </c>
      <c r="AY34" s="32" t="e">
        <f t="shared" si="15"/>
        <v>#DIV/0!</v>
      </c>
      <c r="AZ34" s="32" t="e">
        <f t="shared" si="16"/>
        <v>#DIV/0!</v>
      </c>
      <c r="BA34" s="32" t="e">
        <f t="shared" si="17"/>
        <v>#DIV/0!</v>
      </c>
      <c r="BB34" s="32" t="e">
        <f t="shared" si="18"/>
        <v>#DIV/0!</v>
      </c>
      <c r="BC34" s="32" t="e">
        <f t="shared" si="19"/>
        <v>#DIV/0!</v>
      </c>
      <c r="BD34" s="32" t="e">
        <f t="shared" si="20"/>
        <v>#DIV/0!</v>
      </c>
      <c r="BE34" s="32" t="e">
        <f t="shared" si="21"/>
        <v>#DIV/0!</v>
      </c>
      <c r="BF34" s="32" t="e">
        <f t="shared" si="22"/>
        <v>#DIV/0!</v>
      </c>
      <c r="BG34" s="32" t="e">
        <f t="shared" si="23"/>
        <v>#DIV/0!</v>
      </c>
      <c r="BH34" s="32" t="e">
        <f t="shared" si="24"/>
        <v>#DIV/0!</v>
      </c>
      <c r="BI34" s="32"/>
      <c r="BJ34" s="32"/>
      <c r="BK34" s="32"/>
    </row>
    <row r="35" spans="1:63" x14ac:dyDescent="0.2">
      <c r="A35" s="16" t="s">
        <v>173</v>
      </c>
      <c r="AD35" s="23">
        <v>0.83840098780676031</v>
      </c>
      <c r="AE35" s="23">
        <v>0.81123630189844109</v>
      </c>
      <c r="AG35" s="16" t="s">
        <v>173</v>
      </c>
      <c r="AH35" s="32">
        <f>0</f>
        <v>0</v>
      </c>
      <c r="AI35" s="32" t="e">
        <f t="shared" si="2"/>
        <v>#DIV/0!</v>
      </c>
      <c r="AJ35" s="32" t="e">
        <f t="shared" si="25"/>
        <v>#DIV/0!</v>
      </c>
      <c r="AK35" s="32" t="e">
        <f t="shared" si="26"/>
        <v>#DIV/0!</v>
      </c>
      <c r="AL35" s="32" t="e">
        <f t="shared" si="27"/>
        <v>#DIV/0!</v>
      </c>
      <c r="AM35" s="32" t="e">
        <f t="shared" si="28"/>
        <v>#DIV/0!</v>
      </c>
      <c r="AN35" s="32" t="e">
        <f t="shared" si="29"/>
        <v>#DIV/0!</v>
      </c>
      <c r="AO35" s="32" t="e">
        <f t="shared" si="30"/>
        <v>#DIV/0!</v>
      </c>
      <c r="AP35" s="32" t="e">
        <f t="shared" si="31"/>
        <v>#DIV/0!</v>
      </c>
      <c r="AQ35" s="32" t="e">
        <f t="shared" si="32"/>
        <v>#DIV/0!</v>
      </c>
      <c r="AR35" s="32" t="e">
        <f t="shared" si="33"/>
        <v>#DIV/0!</v>
      </c>
      <c r="AS35" s="32">
        <f t="shared" si="34"/>
        <v>1</v>
      </c>
      <c r="AT35" s="32">
        <f t="shared" si="35"/>
        <v>-3.348554033485545E-2</v>
      </c>
      <c r="AU35" s="32"/>
      <c r="AW35" s="16" t="s">
        <v>173</v>
      </c>
      <c r="AX35" s="32" t="e">
        <f t="shared" si="14"/>
        <v>#DIV/0!</v>
      </c>
      <c r="AY35" s="32" t="e">
        <f t="shared" si="15"/>
        <v>#DIV/0!</v>
      </c>
      <c r="AZ35" s="32" t="e">
        <f t="shared" si="16"/>
        <v>#DIV/0!</v>
      </c>
      <c r="BA35" s="32" t="e">
        <f t="shared" si="17"/>
        <v>#DIV/0!</v>
      </c>
      <c r="BB35" s="32" t="e">
        <f t="shared" si="18"/>
        <v>#DIV/0!</v>
      </c>
      <c r="BC35" s="32" t="e">
        <f t="shared" si="19"/>
        <v>#DIV/0!</v>
      </c>
      <c r="BD35" s="32" t="e">
        <f t="shared" si="20"/>
        <v>#DIV/0!</v>
      </c>
      <c r="BE35" s="32" t="e">
        <f t="shared" si="21"/>
        <v>#DIV/0!</v>
      </c>
      <c r="BF35" s="32" t="e">
        <f t="shared" si="22"/>
        <v>#DIV/0!</v>
      </c>
      <c r="BG35" s="32" t="e">
        <f t="shared" si="23"/>
        <v>#DIV/0!</v>
      </c>
      <c r="BH35" s="32" t="e">
        <f t="shared" si="24"/>
        <v>#DIV/0!</v>
      </c>
      <c r="BI35" s="32"/>
      <c r="BJ35" s="32"/>
      <c r="BK35" s="32"/>
    </row>
    <row r="36" spans="1:63" x14ac:dyDescent="0.2">
      <c r="A36" s="16" t="s">
        <v>174</v>
      </c>
      <c r="AD36" s="23">
        <v>751.40842336805326</v>
      </c>
      <c r="AE36" s="23">
        <v>745.21058420133272</v>
      </c>
      <c r="AG36" s="16" t="s">
        <v>174</v>
      </c>
      <c r="AH36" s="32">
        <f>0</f>
        <v>0</v>
      </c>
      <c r="AI36" s="32" t="e">
        <f t="shared" si="2"/>
        <v>#DIV/0!</v>
      </c>
      <c r="AJ36" s="32" t="e">
        <f t="shared" si="25"/>
        <v>#DIV/0!</v>
      </c>
      <c r="AK36" s="32" t="e">
        <f t="shared" si="26"/>
        <v>#DIV/0!</v>
      </c>
      <c r="AL36" s="32" t="e">
        <f t="shared" si="27"/>
        <v>#DIV/0!</v>
      </c>
      <c r="AM36" s="32" t="e">
        <f t="shared" si="28"/>
        <v>#DIV/0!</v>
      </c>
      <c r="AN36" s="32" t="e">
        <f t="shared" si="29"/>
        <v>#DIV/0!</v>
      </c>
      <c r="AO36" s="32" t="e">
        <f t="shared" si="30"/>
        <v>#DIV/0!</v>
      </c>
      <c r="AP36" s="32" t="e">
        <f t="shared" si="31"/>
        <v>#DIV/0!</v>
      </c>
      <c r="AQ36" s="32" t="e">
        <f t="shared" si="32"/>
        <v>#DIV/0!</v>
      </c>
      <c r="AR36" s="32" t="e">
        <f t="shared" si="33"/>
        <v>#DIV/0!</v>
      </c>
      <c r="AS36" s="32">
        <f t="shared" si="34"/>
        <v>1</v>
      </c>
      <c r="AT36" s="32">
        <f t="shared" si="35"/>
        <v>-8.3168963218134828E-3</v>
      </c>
      <c r="AU36" s="32"/>
      <c r="AW36" s="16" t="s">
        <v>174</v>
      </c>
      <c r="AX36" s="32" t="e">
        <f t="shared" si="14"/>
        <v>#DIV/0!</v>
      </c>
      <c r="AY36" s="32" t="e">
        <f t="shared" si="15"/>
        <v>#DIV/0!</v>
      </c>
      <c r="AZ36" s="32" t="e">
        <f t="shared" si="16"/>
        <v>#DIV/0!</v>
      </c>
      <c r="BA36" s="32" t="e">
        <f t="shared" si="17"/>
        <v>#DIV/0!</v>
      </c>
      <c r="BB36" s="32" t="e">
        <f t="shared" si="18"/>
        <v>#DIV/0!</v>
      </c>
      <c r="BC36" s="32" t="e">
        <f t="shared" si="19"/>
        <v>#DIV/0!</v>
      </c>
      <c r="BD36" s="32" t="e">
        <f t="shared" si="20"/>
        <v>#DIV/0!</v>
      </c>
      <c r="BE36" s="32" t="e">
        <f t="shared" si="21"/>
        <v>#DIV/0!</v>
      </c>
      <c r="BF36" s="32" t="e">
        <f t="shared" si="22"/>
        <v>#DIV/0!</v>
      </c>
      <c r="BG36" s="32" t="e">
        <f t="shared" si="23"/>
        <v>#DIV/0!</v>
      </c>
      <c r="BH36" s="32" t="e">
        <f t="shared" si="24"/>
        <v>#DIV/0!</v>
      </c>
      <c r="BI36" s="32"/>
      <c r="BJ36" s="32"/>
      <c r="BK36" s="32"/>
    </row>
    <row r="37" spans="1:63" x14ac:dyDescent="0.2">
      <c r="A37" s="16" t="s">
        <v>175</v>
      </c>
      <c r="AD37" s="23">
        <v>0.8135953860798476</v>
      </c>
      <c r="AE37" s="23">
        <v>0.79959684192843938</v>
      </c>
      <c r="AG37" s="16" t="s">
        <v>175</v>
      </c>
      <c r="AH37" s="32">
        <f>0</f>
        <v>0</v>
      </c>
      <c r="AI37" s="32" t="e">
        <f t="shared" si="2"/>
        <v>#DIV/0!</v>
      </c>
      <c r="AJ37" s="32" t="e">
        <f t="shared" si="25"/>
        <v>#DIV/0!</v>
      </c>
      <c r="AK37" s="32" t="e">
        <f t="shared" si="26"/>
        <v>#DIV/0!</v>
      </c>
      <c r="AL37" s="32" t="e">
        <f t="shared" si="27"/>
        <v>#DIV/0!</v>
      </c>
      <c r="AM37" s="32" t="e">
        <f t="shared" si="28"/>
        <v>#DIV/0!</v>
      </c>
      <c r="AN37" s="32" t="e">
        <f t="shared" si="29"/>
        <v>#DIV/0!</v>
      </c>
      <c r="AO37" s="32" t="e">
        <f t="shared" si="30"/>
        <v>#DIV/0!</v>
      </c>
      <c r="AP37" s="32" t="e">
        <f t="shared" si="31"/>
        <v>#DIV/0!</v>
      </c>
      <c r="AQ37" s="32" t="e">
        <f t="shared" si="32"/>
        <v>#DIV/0!</v>
      </c>
      <c r="AR37" s="32" t="e">
        <f t="shared" si="33"/>
        <v>#DIV/0!</v>
      </c>
      <c r="AS37" s="32">
        <f t="shared" si="34"/>
        <v>1</v>
      </c>
      <c r="AT37" s="32">
        <f t="shared" si="35"/>
        <v>-1.750700280112041E-2</v>
      </c>
      <c r="AU37" s="32"/>
      <c r="AW37" s="16" t="s">
        <v>175</v>
      </c>
      <c r="AX37" s="32" t="e">
        <f t="shared" si="14"/>
        <v>#DIV/0!</v>
      </c>
      <c r="AY37" s="32" t="e">
        <f t="shared" si="15"/>
        <v>#DIV/0!</v>
      </c>
      <c r="AZ37" s="32" t="e">
        <f t="shared" si="16"/>
        <v>#DIV/0!</v>
      </c>
      <c r="BA37" s="32" t="e">
        <f t="shared" si="17"/>
        <v>#DIV/0!</v>
      </c>
      <c r="BB37" s="32" t="e">
        <f t="shared" si="18"/>
        <v>#DIV/0!</v>
      </c>
      <c r="BC37" s="32" t="e">
        <f t="shared" si="19"/>
        <v>#DIV/0!</v>
      </c>
      <c r="BD37" s="32" t="e">
        <f t="shared" si="20"/>
        <v>#DIV/0!</v>
      </c>
      <c r="BE37" s="32" t="e">
        <f t="shared" si="21"/>
        <v>#DIV/0!</v>
      </c>
      <c r="BF37" s="32" t="e">
        <f t="shared" si="22"/>
        <v>#DIV/0!</v>
      </c>
      <c r="BG37" s="32" t="e">
        <f t="shared" si="23"/>
        <v>#DIV/0!</v>
      </c>
      <c r="BH37" s="32" t="e">
        <f t="shared" si="24"/>
        <v>#DIV/0!</v>
      </c>
      <c r="BI37" s="32"/>
      <c r="BJ37" s="32"/>
      <c r="BK37" s="32"/>
    </row>
    <row r="38" spans="1:63" x14ac:dyDescent="0.2">
      <c r="A38" s="16" t="s">
        <v>176</v>
      </c>
      <c r="AD38" s="23">
        <v>3.2042655716023178</v>
      </c>
      <c r="AE38" s="23">
        <v>3.2250754937732089</v>
      </c>
      <c r="AG38" s="16" t="s">
        <v>176</v>
      </c>
      <c r="AH38" s="32">
        <f>0</f>
        <v>0</v>
      </c>
      <c r="AI38" s="32" t="e">
        <f t="shared" si="2"/>
        <v>#DIV/0!</v>
      </c>
      <c r="AJ38" s="32" t="e">
        <f t="shared" si="25"/>
        <v>#DIV/0!</v>
      </c>
      <c r="AK38" s="32" t="e">
        <f t="shared" si="26"/>
        <v>#DIV/0!</v>
      </c>
      <c r="AL38" s="32" t="e">
        <f t="shared" si="27"/>
        <v>#DIV/0!</v>
      </c>
      <c r="AM38" s="32" t="e">
        <f t="shared" si="28"/>
        <v>#DIV/0!</v>
      </c>
      <c r="AN38" s="32" t="e">
        <f t="shared" si="29"/>
        <v>#DIV/0!</v>
      </c>
      <c r="AO38" s="32" t="e">
        <f t="shared" si="30"/>
        <v>#DIV/0!</v>
      </c>
      <c r="AP38" s="32" t="e">
        <f t="shared" si="31"/>
        <v>#DIV/0!</v>
      </c>
      <c r="AQ38" s="32" t="e">
        <f t="shared" si="32"/>
        <v>#DIV/0!</v>
      </c>
      <c r="AR38" s="32" t="e">
        <f t="shared" si="33"/>
        <v>#DIV/0!</v>
      </c>
      <c r="AS38" s="32">
        <f t="shared" si="34"/>
        <v>1</v>
      </c>
      <c r="AT38" s="32">
        <f t="shared" si="35"/>
        <v>6.4525379982793164E-3</v>
      </c>
      <c r="AU38" s="32"/>
      <c r="AW38" s="16" t="s">
        <v>176</v>
      </c>
      <c r="AX38" s="32" t="e">
        <f t="shared" si="14"/>
        <v>#DIV/0!</v>
      </c>
      <c r="AY38" s="32" t="e">
        <f t="shared" si="15"/>
        <v>#DIV/0!</v>
      </c>
      <c r="AZ38" s="32" t="e">
        <f t="shared" si="16"/>
        <v>#DIV/0!</v>
      </c>
      <c r="BA38" s="32" t="e">
        <f t="shared" si="17"/>
        <v>#DIV/0!</v>
      </c>
      <c r="BB38" s="32" t="e">
        <f t="shared" si="18"/>
        <v>#DIV/0!</v>
      </c>
      <c r="BC38" s="32" t="e">
        <f t="shared" si="19"/>
        <v>#DIV/0!</v>
      </c>
      <c r="BD38" s="32" t="e">
        <f t="shared" si="20"/>
        <v>#DIV/0!</v>
      </c>
      <c r="BE38" s="32" t="e">
        <f t="shared" si="21"/>
        <v>#DIV/0!</v>
      </c>
      <c r="BF38" s="32" t="e">
        <f t="shared" si="22"/>
        <v>#DIV/0!</v>
      </c>
      <c r="BG38" s="32" t="e">
        <f t="shared" si="23"/>
        <v>#DIV/0!</v>
      </c>
      <c r="BH38" s="32" t="e">
        <f t="shared" si="24"/>
        <v>#DIV/0!</v>
      </c>
      <c r="BI38" s="32"/>
      <c r="BJ38" s="32"/>
      <c r="BK38" s="32"/>
    </row>
    <row r="39" spans="1:63" x14ac:dyDescent="0.2">
      <c r="A39" s="16" t="s">
        <v>178</v>
      </c>
      <c r="AD39" s="23">
        <v>33.033214932605681</v>
      </c>
      <c r="AE39" s="23">
        <v>33.260215003175645</v>
      </c>
      <c r="AG39" s="16" t="s">
        <v>178</v>
      </c>
      <c r="AH39" s="32">
        <f>0</f>
        <v>0</v>
      </c>
      <c r="AI39" s="32" t="e">
        <f t="shared" si="2"/>
        <v>#DIV/0!</v>
      </c>
      <c r="AJ39" s="32" t="e">
        <f t="shared" si="25"/>
        <v>#DIV/0!</v>
      </c>
      <c r="AK39" s="32" t="e">
        <f t="shared" si="26"/>
        <v>#DIV/0!</v>
      </c>
      <c r="AL39" s="32" t="e">
        <f t="shared" si="27"/>
        <v>#DIV/0!</v>
      </c>
      <c r="AM39" s="32" t="e">
        <f t="shared" si="28"/>
        <v>#DIV/0!</v>
      </c>
      <c r="AN39" s="32" t="e">
        <f t="shared" si="29"/>
        <v>#DIV/0!</v>
      </c>
      <c r="AO39" s="32" t="e">
        <f t="shared" si="30"/>
        <v>#DIV/0!</v>
      </c>
      <c r="AP39" s="32" t="e">
        <f t="shared" si="31"/>
        <v>#DIV/0!</v>
      </c>
      <c r="AQ39" s="32" t="e">
        <f t="shared" si="32"/>
        <v>#DIV/0!</v>
      </c>
      <c r="AR39" s="32" t="e">
        <f t="shared" si="33"/>
        <v>#DIV/0!</v>
      </c>
      <c r="AS39" s="32">
        <f t="shared" si="34"/>
        <v>1</v>
      </c>
      <c r="AT39" s="32">
        <f t="shared" si="35"/>
        <v>6.8249730360519529E-3</v>
      </c>
      <c r="AU39" s="32"/>
      <c r="AW39" s="16" t="s">
        <v>178</v>
      </c>
      <c r="AX39" s="32" t="e">
        <f t="shared" si="14"/>
        <v>#DIV/0!</v>
      </c>
      <c r="AY39" s="32" t="e">
        <f t="shared" si="15"/>
        <v>#DIV/0!</v>
      </c>
      <c r="AZ39" s="32" t="e">
        <f t="shared" si="16"/>
        <v>#DIV/0!</v>
      </c>
      <c r="BA39" s="32" t="e">
        <f t="shared" si="17"/>
        <v>#DIV/0!</v>
      </c>
      <c r="BB39" s="32" t="e">
        <f t="shared" si="18"/>
        <v>#DIV/0!</v>
      </c>
      <c r="BC39" s="32" t="e">
        <f t="shared" si="19"/>
        <v>#DIV/0!</v>
      </c>
      <c r="BD39" s="32" t="e">
        <f t="shared" si="20"/>
        <v>#DIV/0!</v>
      </c>
      <c r="BE39" s="32" t="e">
        <f t="shared" si="21"/>
        <v>#DIV/0!</v>
      </c>
      <c r="BF39" s="32" t="e">
        <f t="shared" si="22"/>
        <v>#DIV/0!</v>
      </c>
      <c r="BG39" s="32" t="e">
        <f t="shared" si="23"/>
        <v>#DIV/0!</v>
      </c>
      <c r="BH39" s="32" t="e">
        <f t="shared" si="24"/>
        <v>#DIV/0!</v>
      </c>
      <c r="BI39" s="32"/>
      <c r="BJ39" s="32"/>
      <c r="BK39" s="32"/>
    </row>
    <row r="40" spans="1:63" x14ac:dyDescent="0.2">
      <c r="A40" s="16" t="s">
        <v>177</v>
      </c>
      <c r="AD40" s="23">
        <v>19.290835614652586</v>
      </c>
      <c r="AE40" s="23">
        <v>19.142223960370224</v>
      </c>
      <c r="AG40" s="16" t="s">
        <v>177</v>
      </c>
      <c r="AH40" s="32">
        <f>0</f>
        <v>0</v>
      </c>
      <c r="AI40" s="32" t="e">
        <f t="shared" si="2"/>
        <v>#DIV/0!</v>
      </c>
      <c r="AJ40" s="32" t="e">
        <f t="shared" si="25"/>
        <v>#DIV/0!</v>
      </c>
      <c r="AK40" s="32" t="e">
        <f t="shared" si="26"/>
        <v>#DIV/0!</v>
      </c>
      <c r="AL40" s="32" t="e">
        <f t="shared" si="27"/>
        <v>#DIV/0!</v>
      </c>
      <c r="AM40" s="32" t="e">
        <f t="shared" si="28"/>
        <v>#DIV/0!</v>
      </c>
      <c r="AN40" s="32" t="e">
        <f t="shared" si="29"/>
        <v>#DIV/0!</v>
      </c>
      <c r="AO40" s="32" t="e">
        <f t="shared" si="30"/>
        <v>#DIV/0!</v>
      </c>
      <c r="AP40" s="32" t="e">
        <f t="shared" si="31"/>
        <v>#DIV/0!</v>
      </c>
      <c r="AQ40" s="32" t="e">
        <f t="shared" si="32"/>
        <v>#DIV/0!</v>
      </c>
      <c r="AR40" s="32" t="e">
        <f t="shared" si="33"/>
        <v>#DIV/0!</v>
      </c>
      <c r="AS40" s="32">
        <f t="shared" si="34"/>
        <v>1</v>
      </c>
      <c r="AT40" s="32">
        <f t="shared" si="35"/>
        <v>-7.7635521656224567E-3</v>
      </c>
      <c r="AU40" s="32"/>
      <c r="AW40" s="16" t="s">
        <v>177</v>
      </c>
      <c r="AX40" s="32" t="e">
        <f t="shared" si="14"/>
        <v>#DIV/0!</v>
      </c>
      <c r="AY40" s="32" t="e">
        <f t="shared" si="15"/>
        <v>#DIV/0!</v>
      </c>
      <c r="AZ40" s="32" t="e">
        <f t="shared" si="16"/>
        <v>#DIV/0!</v>
      </c>
      <c r="BA40" s="32" t="e">
        <f t="shared" si="17"/>
        <v>#DIV/0!</v>
      </c>
      <c r="BB40" s="32" t="e">
        <f t="shared" si="18"/>
        <v>#DIV/0!</v>
      </c>
      <c r="BC40" s="32" t="e">
        <f t="shared" si="19"/>
        <v>#DIV/0!</v>
      </c>
      <c r="BD40" s="32" t="e">
        <f t="shared" si="20"/>
        <v>#DIV/0!</v>
      </c>
      <c r="BE40" s="32" t="e">
        <f t="shared" si="21"/>
        <v>#DIV/0!</v>
      </c>
      <c r="BF40" s="32" t="e">
        <f t="shared" si="22"/>
        <v>#DIV/0!</v>
      </c>
      <c r="BG40" s="32" t="e">
        <f t="shared" si="23"/>
        <v>#DIV/0!</v>
      </c>
      <c r="BH40" s="32" t="e">
        <f t="shared" si="24"/>
        <v>#DIV/0!</v>
      </c>
      <c r="BI40" s="32"/>
      <c r="BJ40" s="32"/>
      <c r="BK40" s="32"/>
    </row>
    <row r="41" spans="1:63" x14ac:dyDescent="0.2">
      <c r="A41" s="16" t="s">
        <v>179</v>
      </c>
      <c r="AD41" s="23">
        <v>137.8451600645958</v>
      </c>
      <c r="AE41" s="23">
        <v>139.39127956682816</v>
      </c>
      <c r="AG41" s="16" t="s">
        <v>179</v>
      </c>
      <c r="AH41" s="32">
        <f>0</f>
        <v>0</v>
      </c>
      <c r="AI41" s="32" t="e">
        <f t="shared" si="2"/>
        <v>#DIV/0!</v>
      </c>
      <c r="AJ41" s="32" t="e">
        <f t="shared" si="25"/>
        <v>#DIV/0!</v>
      </c>
      <c r="AK41" s="32" t="e">
        <f t="shared" si="26"/>
        <v>#DIV/0!</v>
      </c>
      <c r="AL41" s="32" t="e">
        <f t="shared" si="27"/>
        <v>#DIV/0!</v>
      </c>
      <c r="AM41" s="32" t="e">
        <f t="shared" si="28"/>
        <v>#DIV/0!</v>
      </c>
      <c r="AN41" s="32" t="e">
        <f t="shared" si="29"/>
        <v>#DIV/0!</v>
      </c>
      <c r="AO41" s="32" t="e">
        <f t="shared" si="30"/>
        <v>#DIV/0!</v>
      </c>
      <c r="AP41" s="32" t="e">
        <f t="shared" si="31"/>
        <v>#DIV/0!</v>
      </c>
      <c r="AQ41" s="32" t="e">
        <f t="shared" si="32"/>
        <v>#DIV/0!</v>
      </c>
      <c r="AR41" s="32" t="e">
        <f t="shared" si="33"/>
        <v>#DIV/0!</v>
      </c>
      <c r="AS41" s="32">
        <f t="shared" si="34"/>
        <v>1</v>
      </c>
      <c r="AT41" s="32">
        <f t="shared" si="35"/>
        <v>1.1091938513205944E-2</v>
      </c>
      <c r="AU41" s="32"/>
      <c r="AW41" s="16" t="s">
        <v>179</v>
      </c>
      <c r="AX41" s="32" t="e">
        <f t="shared" si="14"/>
        <v>#DIV/0!</v>
      </c>
      <c r="AY41" s="32" t="e">
        <f t="shared" si="15"/>
        <v>#DIV/0!</v>
      </c>
      <c r="AZ41" s="32" t="e">
        <f t="shared" si="16"/>
        <v>#DIV/0!</v>
      </c>
      <c r="BA41" s="32" t="e">
        <f t="shared" si="17"/>
        <v>#DIV/0!</v>
      </c>
      <c r="BB41" s="32" t="e">
        <f t="shared" si="18"/>
        <v>#DIV/0!</v>
      </c>
      <c r="BC41" s="32" t="e">
        <f t="shared" si="19"/>
        <v>#DIV/0!</v>
      </c>
      <c r="BD41" s="32" t="e">
        <f t="shared" si="20"/>
        <v>#DIV/0!</v>
      </c>
      <c r="BE41" s="32" t="e">
        <f t="shared" si="21"/>
        <v>#DIV/0!</v>
      </c>
      <c r="BF41" s="32" t="e">
        <f t="shared" si="22"/>
        <v>#DIV/0!</v>
      </c>
      <c r="BG41" s="32" t="e">
        <f t="shared" si="23"/>
        <v>#DIV/0!</v>
      </c>
      <c r="BH41" s="32" t="e">
        <f t="shared" si="24"/>
        <v>#DIV/0!</v>
      </c>
      <c r="BI41" s="32"/>
      <c r="BJ41" s="32"/>
      <c r="BK41" s="32"/>
    </row>
    <row r="42" spans="1:63" x14ac:dyDescent="0.2">
      <c r="A42" s="16" t="s">
        <v>180</v>
      </c>
      <c r="AD42" s="23">
        <v>3.0021348048612375</v>
      </c>
      <c r="AE42" s="23">
        <v>2.9952213053106149</v>
      </c>
      <c r="AG42" s="16" t="s">
        <v>180</v>
      </c>
      <c r="AH42" s="32">
        <f>0</f>
        <v>0</v>
      </c>
      <c r="AI42" s="32" t="e">
        <f t="shared" si="2"/>
        <v>#DIV/0!</v>
      </c>
      <c r="AJ42" s="32" t="e">
        <f t="shared" si="25"/>
        <v>#DIV/0!</v>
      </c>
      <c r="AK42" s="32" t="e">
        <f t="shared" si="26"/>
        <v>#DIV/0!</v>
      </c>
      <c r="AL42" s="32" t="e">
        <f t="shared" si="27"/>
        <v>#DIV/0!</v>
      </c>
      <c r="AM42" s="32" t="e">
        <f t="shared" si="28"/>
        <v>#DIV/0!</v>
      </c>
      <c r="AN42" s="32" t="e">
        <f t="shared" si="29"/>
        <v>#DIV/0!</v>
      </c>
      <c r="AO42" s="32" t="e">
        <f t="shared" si="30"/>
        <v>#DIV/0!</v>
      </c>
      <c r="AP42" s="32" t="e">
        <f t="shared" si="31"/>
        <v>#DIV/0!</v>
      </c>
      <c r="AQ42" s="32" t="e">
        <f t="shared" si="32"/>
        <v>#DIV/0!</v>
      </c>
      <c r="AR42" s="32" t="e">
        <f t="shared" si="33"/>
        <v>#DIV/0!</v>
      </c>
      <c r="AS42" s="32">
        <f t="shared" si="34"/>
        <v>1</v>
      </c>
      <c r="AT42" s="32">
        <f t="shared" si="35"/>
        <v>-2.3081765405330002E-3</v>
      </c>
      <c r="AU42" s="32"/>
      <c r="AW42" s="16" t="s">
        <v>180</v>
      </c>
      <c r="AX42" s="32" t="e">
        <f t="shared" si="14"/>
        <v>#DIV/0!</v>
      </c>
      <c r="AY42" s="32" t="e">
        <f t="shared" si="15"/>
        <v>#DIV/0!</v>
      </c>
      <c r="AZ42" s="32" t="e">
        <f t="shared" si="16"/>
        <v>#DIV/0!</v>
      </c>
      <c r="BA42" s="32" t="e">
        <f t="shared" si="17"/>
        <v>#DIV/0!</v>
      </c>
      <c r="BB42" s="32" t="e">
        <f t="shared" si="18"/>
        <v>#DIV/0!</v>
      </c>
      <c r="BC42" s="32" t="e">
        <f t="shared" si="19"/>
        <v>#DIV/0!</v>
      </c>
      <c r="BD42" s="32" t="e">
        <f t="shared" si="20"/>
        <v>#DIV/0!</v>
      </c>
      <c r="BE42" s="32" t="e">
        <f t="shared" si="21"/>
        <v>#DIV/0!</v>
      </c>
      <c r="BF42" s="32" t="e">
        <f t="shared" si="22"/>
        <v>#DIV/0!</v>
      </c>
      <c r="BG42" s="32" t="e">
        <f t="shared" si="23"/>
        <v>#DIV/0!</v>
      </c>
      <c r="BH42" s="32" t="e">
        <f t="shared" si="24"/>
        <v>#DIV/0!</v>
      </c>
      <c r="BI42" s="32"/>
      <c r="BJ42" s="32"/>
      <c r="BK42" s="32"/>
    </row>
    <row r="43" spans="1:63" x14ac:dyDescent="0.2">
      <c r="A43" s="16" t="s">
        <v>181</v>
      </c>
      <c r="AD43" s="23">
        <v>2.1158822687518617</v>
      </c>
      <c r="AE43" s="23">
        <v>2.1325153469157243</v>
      </c>
      <c r="AG43" s="16" t="s">
        <v>181</v>
      </c>
      <c r="AH43" s="32">
        <f>0</f>
        <v>0</v>
      </c>
      <c r="AI43" s="32" t="e">
        <f t="shared" si="2"/>
        <v>#DIV/0!</v>
      </c>
      <c r="AJ43" s="32" t="e">
        <f t="shared" si="25"/>
        <v>#DIV/0!</v>
      </c>
      <c r="AK43" s="32" t="e">
        <f t="shared" si="26"/>
        <v>#DIV/0!</v>
      </c>
      <c r="AL43" s="32" t="e">
        <f t="shared" si="27"/>
        <v>#DIV/0!</v>
      </c>
      <c r="AM43" s="32" t="e">
        <f t="shared" si="28"/>
        <v>#DIV/0!</v>
      </c>
      <c r="AN43" s="32" t="e">
        <f t="shared" si="29"/>
        <v>#DIV/0!</v>
      </c>
      <c r="AO43" s="32" t="e">
        <f t="shared" si="30"/>
        <v>#DIV/0!</v>
      </c>
      <c r="AP43" s="32" t="e">
        <f t="shared" si="31"/>
        <v>#DIV/0!</v>
      </c>
      <c r="AQ43" s="32" t="e">
        <f t="shared" si="32"/>
        <v>#DIV/0!</v>
      </c>
      <c r="AR43" s="32" t="e">
        <f t="shared" si="33"/>
        <v>#DIV/0!</v>
      </c>
      <c r="AS43" s="32">
        <f t="shared" si="34"/>
        <v>1</v>
      </c>
      <c r="AT43" s="32">
        <f t="shared" si="35"/>
        <v>7.7997460547794793E-3</v>
      </c>
      <c r="AU43" s="32"/>
      <c r="AW43" s="16" t="s">
        <v>181</v>
      </c>
      <c r="AX43" s="32" t="e">
        <f t="shared" si="14"/>
        <v>#DIV/0!</v>
      </c>
      <c r="AY43" s="32" t="e">
        <f t="shared" si="15"/>
        <v>#DIV/0!</v>
      </c>
      <c r="AZ43" s="32" t="e">
        <f t="shared" si="16"/>
        <v>#DIV/0!</v>
      </c>
      <c r="BA43" s="32" t="e">
        <f t="shared" si="17"/>
        <v>#DIV/0!</v>
      </c>
      <c r="BB43" s="32" t="e">
        <f t="shared" si="18"/>
        <v>#DIV/0!</v>
      </c>
      <c r="BC43" s="32" t="e">
        <f t="shared" si="19"/>
        <v>#DIV/0!</v>
      </c>
      <c r="BD43" s="32" t="e">
        <f t="shared" si="20"/>
        <v>#DIV/0!</v>
      </c>
      <c r="BE43" s="32" t="e">
        <f t="shared" si="21"/>
        <v>#DIV/0!</v>
      </c>
      <c r="BF43" s="32" t="e">
        <f t="shared" si="22"/>
        <v>#DIV/0!</v>
      </c>
      <c r="BG43" s="32" t="e">
        <f t="shared" si="23"/>
        <v>#DIV/0!</v>
      </c>
      <c r="BH43" s="32" t="e">
        <f t="shared" si="24"/>
        <v>#DIV/0!</v>
      </c>
      <c r="BI43" s="32"/>
      <c r="BJ43" s="32"/>
      <c r="BK43" s="32"/>
    </row>
    <row r="44" spans="1:63" x14ac:dyDescent="0.2">
      <c r="A44" s="16" t="s">
        <v>182</v>
      </c>
      <c r="AD44" s="23">
        <v>11.428432079162851</v>
      </c>
      <c r="AE44" s="23">
        <v>11.276696056489154</v>
      </c>
      <c r="AG44" s="16" t="s">
        <v>182</v>
      </c>
      <c r="AH44" s="32">
        <f>0</f>
        <v>0</v>
      </c>
      <c r="AI44" s="32" t="e">
        <f t="shared" si="2"/>
        <v>#DIV/0!</v>
      </c>
      <c r="AJ44" s="32" t="e">
        <f t="shared" si="25"/>
        <v>#DIV/0!</v>
      </c>
      <c r="AK44" s="32" t="e">
        <f t="shared" si="26"/>
        <v>#DIV/0!</v>
      </c>
      <c r="AL44" s="32" t="e">
        <f t="shared" si="27"/>
        <v>#DIV/0!</v>
      </c>
      <c r="AM44" s="32" t="e">
        <f t="shared" si="28"/>
        <v>#DIV/0!</v>
      </c>
      <c r="AN44" s="32" t="e">
        <f t="shared" si="29"/>
        <v>#DIV/0!</v>
      </c>
      <c r="AO44" s="32" t="e">
        <f t="shared" si="30"/>
        <v>#DIV/0!</v>
      </c>
      <c r="AP44" s="32" t="e">
        <f t="shared" si="31"/>
        <v>#DIV/0!</v>
      </c>
      <c r="AQ44" s="32" t="e">
        <f t="shared" si="32"/>
        <v>#DIV/0!</v>
      </c>
      <c r="AR44" s="32" t="e">
        <f t="shared" si="33"/>
        <v>#DIV/0!</v>
      </c>
      <c r="AS44" s="32">
        <f t="shared" si="34"/>
        <v>1</v>
      </c>
      <c r="AT44" s="32">
        <f t="shared" si="35"/>
        <v>-1.3455716276611093E-2</v>
      </c>
      <c r="AU44" s="32"/>
      <c r="AW44" s="16" t="s">
        <v>182</v>
      </c>
      <c r="AX44" s="32" t="e">
        <f t="shared" si="14"/>
        <v>#DIV/0!</v>
      </c>
      <c r="AY44" s="32" t="e">
        <f t="shared" si="15"/>
        <v>#DIV/0!</v>
      </c>
      <c r="AZ44" s="32" t="e">
        <f t="shared" si="16"/>
        <v>#DIV/0!</v>
      </c>
      <c r="BA44" s="32" t="e">
        <f t="shared" si="17"/>
        <v>#DIV/0!</v>
      </c>
      <c r="BB44" s="32" t="e">
        <f t="shared" si="18"/>
        <v>#DIV/0!</v>
      </c>
      <c r="BC44" s="32" t="e">
        <f t="shared" si="19"/>
        <v>#DIV/0!</v>
      </c>
      <c r="BD44" s="32" t="e">
        <f t="shared" si="20"/>
        <v>#DIV/0!</v>
      </c>
      <c r="BE44" s="32" t="e">
        <f t="shared" si="21"/>
        <v>#DIV/0!</v>
      </c>
      <c r="BF44" s="32" t="e">
        <f t="shared" si="22"/>
        <v>#DIV/0!</v>
      </c>
      <c r="BG44" s="32" t="e">
        <f t="shared" si="23"/>
        <v>#DIV/0!</v>
      </c>
      <c r="BH44" s="32" t="e">
        <f t="shared" si="24"/>
        <v>#DIV/0!</v>
      </c>
      <c r="BI44" s="32"/>
      <c r="BJ44" s="32"/>
      <c r="BK44" s="32"/>
    </row>
    <row r="45" spans="1:63" x14ac:dyDescent="0.2">
      <c r="A45" s="16" t="s">
        <v>183</v>
      </c>
      <c r="AD45" s="23">
        <v>47.055166497792683</v>
      </c>
      <c r="AE45" s="23">
        <v>47.384545489869055</v>
      </c>
      <c r="AG45" s="16" t="s">
        <v>183</v>
      </c>
      <c r="AH45" s="32">
        <f>0</f>
        <v>0</v>
      </c>
      <c r="AI45" s="32" t="e">
        <f t="shared" si="2"/>
        <v>#DIV/0!</v>
      </c>
      <c r="AJ45" s="32" t="e">
        <f t="shared" si="25"/>
        <v>#DIV/0!</v>
      </c>
      <c r="AK45" s="32" t="e">
        <f t="shared" si="26"/>
        <v>#DIV/0!</v>
      </c>
      <c r="AL45" s="32" t="e">
        <f t="shared" si="27"/>
        <v>#DIV/0!</v>
      </c>
      <c r="AM45" s="32" t="e">
        <f t="shared" si="28"/>
        <v>#DIV/0!</v>
      </c>
      <c r="AN45" s="32" t="e">
        <f t="shared" si="29"/>
        <v>#DIV/0!</v>
      </c>
      <c r="AO45" s="32" t="e">
        <f t="shared" si="30"/>
        <v>#DIV/0!</v>
      </c>
      <c r="AP45" s="32" t="e">
        <f t="shared" si="31"/>
        <v>#DIV/0!</v>
      </c>
      <c r="AQ45" s="32" t="e">
        <f t="shared" si="32"/>
        <v>#DIV/0!</v>
      </c>
      <c r="AR45" s="32" t="e">
        <f t="shared" si="33"/>
        <v>#DIV/0!</v>
      </c>
      <c r="AS45" s="32">
        <f t="shared" si="34"/>
        <v>1</v>
      </c>
      <c r="AT45" s="32">
        <f t="shared" si="35"/>
        <v>6.951190280949167E-3</v>
      </c>
      <c r="AU45" s="32"/>
      <c r="AW45" s="16" t="s">
        <v>183</v>
      </c>
      <c r="AX45" s="32" t="e">
        <f t="shared" si="14"/>
        <v>#DIV/0!</v>
      </c>
      <c r="AY45" s="32" t="e">
        <f t="shared" si="15"/>
        <v>#DIV/0!</v>
      </c>
      <c r="AZ45" s="32" t="e">
        <f t="shared" si="16"/>
        <v>#DIV/0!</v>
      </c>
      <c r="BA45" s="32" t="e">
        <f t="shared" si="17"/>
        <v>#DIV/0!</v>
      </c>
      <c r="BB45" s="32" t="e">
        <f t="shared" si="18"/>
        <v>#DIV/0!</v>
      </c>
      <c r="BC45" s="32" t="e">
        <f t="shared" si="19"/>
        <v>#DIV/0!</v>
      </c>
      <c r="BD45" s="32" t="e">
        <f t="shared" si="20"/>
        <v>#DIV/0!</v>
      </c>
      <c r="BE45" s="32" t="e">
        <f t="shared" si="21"/>
        <v>#DIV/0!</v>
      </c>
      <c r="BF45" s="32" t="e">
        <f t="shared" si="22"/>
        <v>#DIV/0!</v>
      </c>
      <c r="BG45" s="32" t="e">
        <f t="shared" si="23"/>
        <v>#DIV/0!</v>
      </c>
      <c r="BH45" s="32" t="e">
        <f t="shared" si="24"/>
        <v>#DIV/0!</v>
      </c>
      <c r="BI45" s="32"/>
      <c r="BJ45" s="32"/>
      <c r="BK45" s="32"/>
    </row>
    <row r="46" spans="1:63" x14ac:dyDescent="0.2">
      <c r="A46" s="16" t="s">
        <v>184</v>
      </c>
      <c r="AD46" s="23">
        <v>1.0544775439555434</v>
      </c>
      <c r="AE46" s="23">
        <v>1.0522000546597432</v>
      </c>
      <c r="AG46" s="16" t="s">
        <v>184</v>
      </c>
      <c r="AH46" s="32">
        <f>0</f>
        <v>0</v>
      </c>
      <c r="AI46" s="32" t="e">
        <f t="shared" si="2"/>
        <v>#DIV/0!</v>
      </c>
      <c r="AJ46" s="32" t="e">
        <f t="shared" si="25"/>
        <v>#DIV/0!</v>
      </c>
      <c r="AK46" s="32" t="e">
        <f t="shared" si="26"/>
        <v>#DIV/0!</v>
      </c>
      <c r="AL46" s="32" t="e">
        <f t="shared" si="27"/>
        <v>#DIV/0!</v>
      </c>
      <c r="AM46" s="32" t="e">
        <f t="shared" si="28"/>
        <v>#DIV/0!</v>
      </c>
      <c r="AN46" s="32" t="e">
        <f t="shared" si="29"/>
        <v>#DIV/0!</v>
      </c>
      <c r="AO46" s="32" t="e">
        <f t="shared" si="30"/>
        <v>#DIV/0!</v>
      </c>
      <c r="AP46" s="32" t="e">
        <f t="shared" si="31"/>
        <v>#DIV/0!</v>
      </c>
      <c r="AQ46" s="32" t="e">
        <f t="shared" si="32"/>
        <v>#DIV/0!</v>
      </c>
      <c r="AR46" s="32" t="e">
        <f t="shared" si="33"/>
        <v>#DIV/0!</v>
      </c>
      <c r="AS46" s="32">
        <f t="shared" si="34"/>
        <v>1</v>
      </c>
      <c r="AT46" s="32">
        <f t="shared" si="35"/>
        <v>-2.1645021645020444E-3</v>
      </c>
      <c r="AU46" s="32"/>
      <c r="AW46" s="16" t="s">
        <v>184</v>
      </c>
      <c r="AX46" s="32" t="e">
        <f t="shared" si="14"/>
        <v>#DIV/0!</v>
      </c>
      <c r="AY46" s="32" t="e">
        <f t="shared" si="15"/>
        <v>#DIV/0!</v>
      </c>
      <c r="AZ46" s="32" t="e">
        <f t="shared" si="16"/>
        <v>#DIV/0!</v>
      </c>
      <c r="BA46" s="32" t="e">
        <f t="shared" si="17"/>
        <v>#DIV/0!</v>
      </c>
      <c r="BB46" s="32" t="e">
        <f t="shared" si="18"/>
        <v>#DIV/0!</v>
      </c>
      <c r="BC46" s="32" t="e">
        <f t="shared" si="19"/>
        <v>#DIV/0!</v>
      </c>
      <c r="BD46" s="32" t="e">
        <f t="shared" si="20"/>
        <v>#DIV/0!</v>
      </c>
      <c r="BE46" s="32" t="e">
        <f t="shared" si="21"/>
        <v>#DIV/0!</v>
      </c>
      <c r="BF46" s="32" t="e">
        <f t="shared" si="22"/>
        <v>#DIV/0!</v>
      </c>
      <c r="BG46" s="32" t="e">
        <f t="shared" si="23"/>
        <v>#DIV/0!</v>
      </c>
      <c r="BH46" s="32" t="e">
        <f t="shared" si="24"/>
        <v>#DIV/0!</v>
      </c>
      <c r="BI46" s="32"/>
      <c r="BJ46" s="32"/>
      <c r="BK46" s="32"/>
    </row>
    <row r="47" spans="1:63" x14ac:dyDescent="0.2">
      <c r="A47" s="16" t="s">
        <v>185</v>
      </c>
      <c r="AD47" s="23">
        <v>2.7673228396126044</v>
      </c>
      <c r="AE47" s="23">
        <v>2.7683741741767003</v>
      </c>
      <c r="AG47" s="16" t="s">
        <v>185</v>
      </c>
      <c r="AH47" s="32">
        <f>0</f>
        <v>0</v>
      </c>
      <c r="AI47" s="32" t="e">
        <f t="shared" si="2"/>
        <v>#DIV/0!</v>
      </c>
      <c r="AJ47" s="32" t="e">
        <f t="shared" si="25"/>
        <v>#DIV/0!</v>
      </c>
      <c r="AK47" s="32" t="e">
        <f t="shared" si="26"/>
        <v>#DIV/0!</v>
      </c>
      <c r="AL47" s="32" t="e">
        <f t="shared" si="27"/>
        <v>#DIV/0!</v>
      </c>
      <c r="AM47" s="32" t="e">
        <f t="shared" si="28"/>
        <v>#DIV/0!</v>
      </c>
      <c r="AN47" s="32" t="e">
        <f t="shared" si="29"/>
        <v>#DIV/0!</v>
      </c>
      <c r="AO47" s="32" t="e">
        <f t="shared" si="30"/>
        <v>#DIV/0!</v>
      </c>
      <c r="AP47" s="32" t="e">
        <f t="shared" si="31"/>
        <v>#DIV/0!</v>
      </c>
      <c r="AQ47" s="32" t="e">
        <f t="shared" si="32"/>
        <v>#DIV/0!</v>
      </c>
      <c r="AR47" s="32" t="e">
        <f t="shared" si="33"/>
        <v>#DIV/0!</v>
      </c>
      <c r="AS47" s="32">
        <f t="shared" si="34"/>
        <v>1</v>
      </c>
      <c r="AT47" s="32">
        <f t="shared" si="35"/>
        <v>3.7976606410459573E-4</v>
      </c>
      <c r="AU47" s="32"/>
      <c r="AW47" s="16" t="s">
        <v>185</v>
      </c>
      <c r="AX47" s="32" t="e">
        <f t="shared" si="14"/>
        <v>#DIV/0!</v>
      </c>
      <c r="AY47" s="32" t="e">
        <f t="shared" si="15"/>
        <v>#DIV/0!</v>
      </c>
      <c r="AZ47" s="32" t="e">
        <f t="shared" si="16"/>
        <v>#DIV/0!</v>
      </c>
      <c r="BA47" s="32" t="e">
        <f t="shared" si="17"/>
        <v>#DIV/0!</v>
      </c>
      <c r="BB47" s="32" t="e">
        <f t="shared" si="18"/>
        <v>#DIV/0!</v>
      </c>
      <c r="BC47" s="32" t="e">
        <f t="shared" si="19"/>
        <v>#DIV/0!</v>
      </c>
      <c r="BD47" s="32" t="e">
        <f t="shared" si="20"/>
        <v>#DIV/0!</v>
      </c>
      <c r="BE47" s="32" t="e">
        <f t="shared" si="21"/>
        <v>#DIV/0!</v>
      </c>
      <c r="BF47" s="32" t="e">
        <f t="shared" si="22"/>
        <v>#DIV/0!</v>
      </c>
      <c r="BG47" s="32" t="e">
        <f t="shared" si="23"/>
        <v>#DIV/0!</v>
      </c>
      <c r="BH47" s="32" t="e">
        <f t="shared" si="24"/>
        <v>#DIV/0!</v>
      </c>
      <c r="BI47" s="32"/>
      <c r="BJ47" s="32"/>
      <c r="BK47" s="32"/>
    </row>
    <row r="48" spans="1:63" x14ac:dyDescent="0.2">
      <c r="A48" s="16" t="s">
        <v>186</v>
      </c>
      <c r="AD48" s="23">
        <v>12.89321151390117</v>
      </c>
      <c r="AE48" s="23">
        <v>12.999312309657137</v>
      </c>
      <c r="AG48" s="16" t="s">
        <v>186</v>
      </c>
      <c r="AH48" s="32">
        <f>0</f>
        <v>0</v>
      </c>
      <c r="AI48" s="32" t="e">
        <f t="shared" si="2"/>
        <v>#DIV/0!</v>
      </c>
      <c r="AJ48" s="32" t="e">
        <f t="shared" si="25"/>
        <v>#DIV/0!</v>
      </c>
      <c r="AK48" s="32" t="e">
        <f t="shared" si="26"/>
        <v>#DIV/0!</v>
      </c>
      <c r="AL48" s="32" t="e">
        <f t="shared" si="27"/>
        <v>#DIV/0!</v>
      </c>
      <c r="AM48" s="32" t="e">
        <f t="shared" si="28"/>
        <v>#DIV/0!</v>
      </c>
      <c r="AN48" s="32" t="e">
        <f t="shared" si="29"/>
        <v>#DIV/0!</v>
      </c>
      <c r="AO48" s="32" t="e">
        <f t="shared" si="30"/>
        <v>#DIV/0!</v>
      </c>
      <c r="AP48" s="32" t="e">
        <f t="shared" si="31"/>
        <v>#DIV/0!</v>
      </c>
      <c r="AQ48" s="32" t="e">
        <f t="shared" si="32"/>
        <v>#DIV/0!</v>
      </c>
      <c r="AR48" s="32" t="e">
        <f t="shared" si="33"/>
        <v>#DIV/0!</v>
      </c>
      <c r="AS48" s="32">
        <f t="shared" si="34"/>
        <v>1</v>
      </c>
      <c r="AT48" s="32">
        <f t="shared" si="35"/>
        <v>8.1620314389358566E-3</v>
      </c>
      <c r="AU48" s="32"/>
      <c r="AW48" s="16" t="s">
        <v>186</v>
      </c>
      <c r="AX48" s="32" t="e">
        <f t="shared" si="14"/>
        <v>#DIV/0!</v>
      </c>
      <c r="AY48" s="32" t="e">
        <f t="shared" si="15"/>
        <v>#DIV/0!</v>
      </c>
      <c r="AZ48" s="32" t="e">
        <f t="shared" si="16"/>
        <v>#DIV/0!</v>
      </c>
      <c r="BA48" s="32" t="e">
        <f t="shared" si="17"/>
        <v>#DIV/0!</v>
      </c>
      <c r="BB48" s="32" t="e">
        <f t="shared" si="18"/>
        <v>#DIV/0!</v>
      </c>
      <c r="BC48" s="32" t="e">
        <f t="shared" si="19"/>
        <v>#DIV/0!</v>
      </c>
      <c r="BD48" s="32" t="e">
        <f t="shared" si="20"/>
        <v>#DIV/0!</v>
      </c>
      <c r="BE48" s="32" t="e">
        <f t="shared" si="21"/>
        <v>#DIV/0!</v>
      </c>
      <c r="BF48" s="32" t="e">
        <f t="shared" si="22"/>
        <v>#DIV/0!</v>
      </c>
      <c r="BG48" s="32" t="e">
        <f t="shared" si="23"/>
        <v>#DIV/0!</v>
      </c>
      <c r="BH48" s="32" t="e">
        <f t="shared" si="24"/>
        <v>#DIV/0!</v>
      </c>
      <c r="BI48" s="32"/>
      <c r="BJ48" s="32"/>
      <c r="BK48" s="32"/>
    </row>
    <row r="49" spans="1:63" x14ac:dyDescent="0.2">
      <c r="A49" s="16" t="s">
        <v>187</v>
      </c>
      <c r="AD49" s="23">
        <v>19.245647538538929</v>
      </c>
      <c r="AE49" s="23">
        <v>19.497157712459327</v>
      </c>
      <c r="AG49" s="16" t="s">
        <v>187</v>
      </c>
      <c r="AH49" s="32">
        <f>0</f>
        <v>0</v>
      </c>
      <c r="AI49" s="32" t="e">
        <f t="shared" si="2"/>
        <v>#DIV/0!</v>
      </c>
      <c r="AJ49" s="32" t="e">
        <f t="shared" si="25"/>
        <v>#DIV/0!</v>
      </c>
      <c r="AK49" s="32" t="e">
        <f t="shared" si="26"/>
        <v>#DIV/0!</v>
      </c>
      <c r="AL49" s="32" t="e">
        <f t="shared" si="27"/>
        <v>#DIV/0!</v>
      </c>
      <c r="AM49" s="32" t="e">
        <f t="shared" si="28"/>
        <v>#DIV/0!</v>
      </c>
      <c r="AN49" s="32" t="e">
        <f t="shared" si="29"/>
        <v>#DIV/0!</v>
      </c>
      <c r="AO49" s="32" t="e">
        <f t="shared" si="30"/>
        <v>#DIV/0!</v>
      </c>
      <c r="AP49" s="32" t="e">
        <f t="shared" si="31"/>
        <v>#DIV/0!</v>
      </c>
      <c r="AQ49" s="32" t="e">
        <f t="shared" si="32"/>
        <v>#DIV/0!</v>
      </c>
      <c r="AR49" s="32" t="e">
        <f t="shared" si="33"/>
        <v>#DIV/0!</v>
      </c>
      <c r="AS49" s="32">
        <f t="shared" si="34"/>
        <v>1</v>
      </c>
      <c r="AT49" s="32">
        <f t="shared" si="35"/>
        <v>1.2899837895842349E-2</v>
      </c>
      <c r="AU49" s="32"/>
      <c r="AW49" s="16" t="s">
        <v>187</v>
      </c>
      <c r="AX49" s="32" t="e">
        <f t="shared" si="14"/>
        <v>#DIV/0!</v>
      </c>
      <c r="AY49" s="32" t="e">
        <f t="shared" si="15"/>
        <v>#DIV/0!</v>
      </c>
      <c r="AZ49" s="32" t="e">
        <f t="shared" si="16"/>
        <v>#DIV/0!</v>
      </c>
      <c r="BA49" s="32" t="e">
        <f t="shared" si="17"/>
        <v>#DIV/0!</v>
      </c>
      <c r="BB49" s="32" t="e">
        <f t="shared" si="18"/>
        <v>#DIV/0!</v>
      </c>
      <c r="BC49" s="32" t="e">
        <f t="shared" si="19"/>
        <v>#DIV/0!</v>
      </c>
      <c r="BD49" s="32" t="e">
        <f t="shared" si="20"/>
        <v>#DIV/0!</v>
      </c>
      <c r="BE49" s="32" t="e">
        <f t="shared" si="21"/>
        <v>#DIV/0!</v>
      </c>
      <c r="BF49" s="32" t="e">
        <f t="shared" si="22"/>
        <v>#DIV/0!</v>
      </c>
      <c r="BG49" s="32" t="e">
        <f t="shared" si="23"/>
        <v>#DIV/0!</v>
      </c>
      <c r="BH49" s="32" t="e">
        <f t="shared" si="24"/>
        <v>#DIV/0!</v>
      </c>
      <c r="BI49" s="32"/>
      <c r="BJ49" s="32"/>
      <c r="BK49" s="32"/>
    </row>
    <row r="50" spans="1:63" x14ac:dyDescent="0.2">
      <c r="A50" s="16" t="s">
        <v>188</v>
      </c>
      <c r="AD50" s="23">
        <v>22.422574835952176</v>
      </c>
      <c r="AE50" s="23">
        <v>22.642851070078759</v>
      </c>
      <c r="AG50" s="16" t="s">
        <v>188</v>
      </c>
      <c r="AH50" s="32">
        <f>0</f>
        <v>0</v>
      </c>
      <c r="AI50" s="32" t="e">
        <f t="shared" si="2"/>
        <v>#DIV/0!</v>
      </c>
      <c r="AJ50" s="32" t="e">
        <f t="shared" si="25"/>
        <v>#DIV/0!</v>
      </c>
      <c r="AK50" s="32" t="e">
        <f t="shared" si="26"/>
        <v>#DIV/0!</v>
      </c>
      <c r="AL50" s="32" t="e">
        <f t="shared" si="27"/>
        <v>#DIV/0!</v>
      </c>
      <c r="AM50" s="32" t="e">
        <f t="shared" si="28"/>
        <v>#DIV/0!</v>
      </c>
      <c r="AN50" s="32" t="e">
        <f t="shared" si="29"/>
        <v>#DIV/0!</v>
      </c>
      <c r="AO50" s="32" t="e">
        <f t="shared" si="30"/>
        <v>#DIV/0!</v>
      </c>
      <c r="AP50" s="32" t="e">
        <f t="shared" si="31"/>
        <v>#DIV/0!</v>
      </c>
      <c r="AQ50" s="32" t="e">
        <f t="shared" si="32"/>
        <v>#DIV/0!</v>
      </c>
      <c r="AR50" s="32" t="e">
        <f t="shared" si="33"/>
        <v>#DIV/0!</v>
      </c>
      <c r="AS50" s="32">
        <f t="shared" si="34"/>
        <v>1</v>
      </c>
      <c r="AT50" s="32">
        <f t="shared" si="35"/>
        <v>9.7282905516110421E-3</v>
      </c>
      <c r="AU50" s="32"/>
      <c r="AW50" s="16" t="s">
        <v>188</v>
      </c>
      <c r="AX50" s="32" t="e">
        <f t="shared" si="14"/>
        <v>#DIV/0!</v>
      </c>
      <c r="AY50" s="32" t="e">
        <f t="shared" si="15"/>
        <v>#DIV/0!</v>
      </c>
      <c r="AZ50" s="32" t="e">
        <f t="shared" si="16"/>
        <v>#DIV/0!</v>
      </c>
      <c r="BA50" s="32" t="e">
        <f t="shared" si="17"/>
        <v>#DIV/0!</v>
      </c>
      <c r="BB50" s="32" t="e">
        <f t="shared" si="18"/>
        <v>#DIV/0!</v>
      </c>
      <c r="BC50" s="32" t="e">
        <f t="shared" si="19"/>
        <v>#DIV/0!</v>
      </c>
      <c r="BD50" s="32" t="e">
        <f t="shared" si="20"/>
        <v>#DIV/0!</v>
      </c>
      <c r="BE50" s="32" t="e">
        <f t="shared" si="21"/>
        <v>#DIV/0!</v>
      </c>
      <c r="BF50" s="32" t="e">
        <f t="shared" si="22"/>
        <v>#DIV/0!</v>
      </c>
      <c r="BG50" s="32" t="e">
        <f t="shared" si="23"/>
        <v>#DIV/0!</v>
      </c>
      <c r="BH50" s="32" t="e">
        <f t="shared" si="24"/>
        <v>#DIV/0!</v>
      </c>
      <c r="BI50" s="32"/>
      <c r="BJ50" s="32"/>
      <c r="BK50" s="32"/>
    </row>
    <row r="51" spans="1:63" x14ac:dyDescent="0.2">
      <c r="A51" s="16" t="s">
        <v>189</v>
      </c>
      <c r="AD51" s="23">
        <v>14.611962198065726</v>
      </c>
      <c r="AE51" s="23">
        <v>14.431314390293926</v>
      </c>
      <c r="AG51" s="16" t="s">
        <v>189</v>
      </c>
      <c r="AH51" s="32">
        <f>0</f>
        <v>0</v>
      </c>
      <c r="AI51" s="32" t="e">
        <f t="shared" si="2"/>
        <v>#DIV/0!</v>
      </c>
      <c r="AJ51" s="32" t="e">
        <f t="shared" si="25"/>
        <v>#DIV/0!</v>
      </c>
      <c r="AK51" s="32" t="e">
        <f t="shared" si="26"/>
        <v>#DIV/0!</v>
      </c>
      <c r="AL51" s="32" t="e">
        <f t="shared" si="27"/>
        <v>#DIV/0!</v>
      </c>
      <c r="AM51" s="32" t="e">
        <f t="shared" si="28"/>
        <v>#DIV/0!</v>
      </c>
      <c r="AN51" s="32" t="e">
        <f t="shared" si="29"/>
        <v>#DIV/0!</v>
      </c>
      <c r="AO51" s="32" t="e">
        <f t="shared" si="30"/>
        <v>#DIV/0!</v>
      </c>
      <c r="AP51" s="32" t="e">
        <f t="shared" si="31"/>
        <v>#DIV/0!</v>
      </c>
      <c r="AQ51" s="32" t="e">
        <f t="shared" si="32"/>
        <v>#DIV/0!</v>
      </c>
      <c r="AR51" s="32" t="e">
        <f t="shared" si="33"/>
        <v>#DIV/0!</v>
      </c>
      <c r="AS51" s="32">
        <f t="shared" si="34"/>
        <v>1</v>
      </c>
      <c r="AT51" s="32">
        <f t="shared" si="35"/>
        <v>-1.2517765387558772E-2</v>
      </c>
      <c r="AU51" s="32"/>
      <c r="AW51" s="16" t="s">
        <v>189</v>
      </c>
      <c r="AX51" s="32" t="e">
        <f t="shared" si="14"/>
        <v>#DIV/0!</v>
      </c>
      <c r="AY51" s="32" t="e">
        <f t="shared" si="15"/>
        <v>#DIV/0!</v>
      </c>
      <c r="AZ51" s="32" t="e">
        <f t="shared" si="16"/>
        <v>#DIV/0!</v>
      </c>
      <c r="BA51" s="32" t="e">
        <f t="shared" si="17"/>
        <v>#DIV/0!</v>
      </c>
      <c r="BB51" s="32" t="e">
        <f t="shared" si="18"/>
        <v>#DIV/0!</v>
      </c>
      <c r="BC51" s="32" t="e">
        <f t="shared" si="19"/>
        <v>#DIV/0!</v>
      </c>
      <c r="BD51" s="32" t="e">
        <f t="shared" si="20"/>
        <v>#DIV/0!</v>
      </c>
      <c r="BE51" s="32" t="e">
        <f t="shared" si="21"/>
        <v>#DIV/0!</v>
      </c>
      <c r="BF51" s="32" t="e">
        <f t="shared" si="22"/>
        <v>#DIV/0!</v>
      </c>
      <c r="BG51" s="32" t="e">
        <f t="shared" si="23"/>
        <v>#DIV/0!</v>
      </c>
      <c r="BH51" s="32" t="e">
        <f t="shared" si="24"/>
        <v>#DIV/0!</v>
      </c>
      <c r="BI51" s="32"/>
      <c r="BJ51" s="32"/>
      <c r="BK51" s="32"/>
    </row>
    <row r="52" spans="1:63" x14ac:dyDescent="0.2">
      <c r="A52" s="16" t="s">
        <v>190</v>
      </c>
      <c r="AD52" s="23">
        <v>9.3140328231606127</v>
      </c>
      <c r="AE52" s="23">
        <v>9.3822607412871104</v>
      </c>
      <c r="AG52" s="16" t="s">
        <v>190</v>
      </c>
      <c r="AH52" s="32">
        <f>0</f>
        <v>0</v>
      </c>
      <c r="AI52" s="32" t="e">
        <f t="shared" si="2"/>
        <v>#DIV/0!</v>
      </c>
      <c r="AJ52" s="32" t="e">
        <f t="shared" si="25"/>
        <v>#DIV/0!</v>
      </c>
      <c r="AK52" s="32" t="e">
        <f t="shared" si="26"/>
        <v>#DIV/0!</v>
      </c>
      <c r="AL52" s="32" t="e">
        <f t="shared" si="27"/>
        <v>#DIV/0!</v>
      </c>
      <c r="AM52" s="32" t="e">
        <f t="shared" si="28"/>
        <v>#DIV/0!</v>
      </c>
      <c r="AN52" s="32" t="e">
        <f t="shared" si="29"/>
        <v>#DIV/0!</v>
      </c>
      <c r="AO52" s="32" t="e">
        <f t="shared" si="30"/>
        <v>#DIV/0!</v>
      </c>
      <c r="AP52" s="32" t="e">
        <f t="shared" si="31"/>
        <v>#DIV/0!</v>
      </c>
      <c r="AQ52" s="32" t="e">
        <f t="shared" si="32"/>
        <v>#DIV/0!</v>
      </c>
      <c r="AR52" s="32" t="e">
        <f t="shared" si="33"/>
        <v>#DIV/0!</v>
      </c>
      <c r="AS52" s="32">
        <f t="shared" si="34"/>
        <v>1</v>
      </c>
      <c r="AT52" s="32">
        <f t="shared" si="35"/>
        <v>7.2720125786162994E-3</v>
      </c>
      <c r="AU52" s="32"/>
      <c r="AW52" s="16" t="s">
        <v>190</v>
      </c>
      <c r="AX52" s="32" t="e">
        <f t="shared" si="14"/>
        <v>#DIV/0!</v>
      </c>
      <c r="AY52" s="32" t="e">
        <f t="shared" si="15"/>
        <v>#DIV/0!</v>
      </c>
      <c r="AZ52" s="32" t="e">
        <f t="shared" si="16"/>
        <v>#DIV/0!</v>
      </c>
      <c r="BA52" s="32" t="e">
        <f t="shared" si="17"/>
        <v>#DIV/0!</v>
      </c>
      <c r="BB52" s="32" t="e">
        <f t="shared" si="18"/>
        <v>#DIV/0!</v>
      </c>
      <c r="BC52" s="32" t="e">
        <f t="shared" si="19"/>
        <v>#DIV/0!</v>
      </c>
      <c r="BD52" s="32" t="e">
        <f t="shared" si="20"/>
        <v>#DIV/0!</v>
      </c>
      <c r="BE52" s="32" t="e">
        <f t="shared" si="21"/>
        <v>#DIV/0!</v>
      </c>
      <c r="BF52" s="32" t="e">
        <f t="shared" si="22"/>
        <v>#DIV/0!</v>
      </c>
      <c r="BG52" s="32" t="e">
        <f t="shared" si="23"/>
        <v>#DIV/0!</v>
      </c>
      <c r="BH52" s="32" t="e">
        <f t="shared" si="24"/>
        <v>#DIV/0!</v>
      </c>
      <c r="BI52" s="32"/>
      <c r="BJ52" s="32"/>
      <c r="BK52" s="32"/>
    </row>
    <row r="53" spans="1:63" x14ac:dyDescent="0.2">
      <c r="A53" s="16" t="s">
        <v>191</v>
      </c>
      <c r="AD53" s="23">
        <v>8.0272115001629434</v>
      </c>
      <c r="AE53" s="23">
        <v>8.1018937610891832</v>
      </c>
      <c r="AG53" s="16" t="s">
        <v>191</v>
      </c>
      <c r="AH53" s="32">
        <f>0</f>
        <v>0</v>
      </c>
      <c r="AI53" s="32" t="e">
        <f t="shared" si="2"/>
        <v>#DIV/0!</v>
      </c>
      <c r="AJ53" s="32" t="e">
        <f t="shared" si="25"/>
        <v>#DIV/0!</v>
      </c>
      <c r="AK53" s="32" t="e">
        <f t="shared" si="26"/>
        <v>#DIV/0!</v>
      </c>
      <c r="AL53" s="32" t="e">
        <f t="shared" si="27"/>
        <v>#DIV/0!</v>
      </c>
      <c r="AM53" s="32" t="e">
        <f t="shared" si="28"/>
        <v>#DIV/0!</v>
      </c>
      <c r="AN53" s="32" t="e">
        <f t="shared" si="29"/>
        <v>#DIV/0!</v>
      </c>
      <c r="AO53" s="32" t="e">
        <f t="shared" si="30"/>
        <v>#DIV/0!</v>
      </c>
      <c r="AP53" s="32" t="e">
        <f t="shared" si="31"/>
        <v>#DIV/0!</v>
      </c>
      <c r="AQ53" s="32" t="e">
        <f t="shared" si="32"/>
        <v>#DIV/0!</v>
      </c>
      <c r="AR53" s="32" t="e">
        <f t="shared" si="33"/>
        <v>#DIV/0!</v>
      </c>
      <c r="AS53" s="32">
        <f t="shared" si="34"/>
        <v>1</v>
      </c>
      <c r="AT53" s="32">
        <f t="shared" si="35"/>
        <v>9.2178770949719168E-3</v>
      </c>
      <c r="AU53" s="32"/>
      <c r="AW53" s="16" t="s">
        <v>191</v>
      </c>
      <c r="AX53" s="32" t="e">
        <f t="shared" si="14"/>
        <v>#DIV/0!</v>
      </c>
      <c r="AY53" s="32" t="e">
        <f t="shared" si="15"/>
        <v>#DIV/0!</v>
      </c>
      <c r="AZ53" s="32" t="e">
        <f t="shared" si="16"/>
        <v>#DIV/0!</v>
      </c>
      <c r="BA53" s="32" t="e">
        <f t="shared" si="17"/>
        <v>#DIV/0!</v>
      </c>
      <c r="BB53" s="32" t="e">
        <f t="shared" si="18"/>
        <v>#DIV/0!</v>
      </c>
      <c r="BC53" s="32" t="e">
        <f t="shared" si="19"/>
        <v>#DIV/0!</v>
      </c>
      <c r="BD53" s="32" t="e">
        <f t="shared" si="20"/>
        <v>#DIV/0!</v>
      </c>
      <c r="BE53" s="32" t="e">
        <f t="shared" si="21"/>
        <v>#DIV/0!</v>
      </c>
      <c r="BF53" s="32" t="e">
        <f t="shared" si="22"/>
        <v>#DIV/0!</v>
      </c>
      <c r="BG53" s="32" t="e">
        <f t="shared" si="23"/>
        <v>#DIV/0!</v>
      </c>
      <c r="BH53" s="32" t="e">
        <f t="shared" si="24"/>
        <v>#DIV/0!</v>
      </c>
      <c r="BI53" s="32"/>
      <c r="BJ53" s="32"/>
      <c r="BK53" s="32"/>
    </row>
    <row r="54" spans="1:63" x14ac:dyDescent="0.2">
      <c r="A54" s="16" t="s">
        <v>192</v>
      </c>
      <c r="AD54" s="23">
        <v>6.534941159378179</v>
      </c>
      <c r="AE54" s="23">
        <v>6.4434113032108096</v>
      </c>
      <c r="AG54" s="16" t="s">
        <v>192</v>
      </c>
      <c r="AH54" s="32">
        <f>0</f>
        <v>0</v>
      </c>
      <c r="AI54" s="32" t="e">
        <f t="shared" si="2"/>
        <v>#DIV/0!</v>
      </c>
      <c r="AJ54" s="32" t="e">
        <f t="shared" si="25"/>
        <v>#DIV/0!</v>
      </c>
      <c r="AK54" s="32" t="e">
        <f t="shared" si="26"/>
        <v>#DIV/0!</v>
      </c>
      <c r="AL54" s="32" t="e">
        <f t="shared" si="27"/>
        <v>#DIV/0!</v>
      </c>
      <c r="AM54" s="32" t="e">
        <f t="shared" si="28"/>
        <v>#DIV/0!</v>
      </c>
      <c r="AN54" s="32" t="e">
        <f t="shared" si="29"/>
        <v>#DIV/0!</v>
      </c>
      <c r="AO54" s="32" t="e">
        <f t="shared" si="30"/>
        <v>#DIV/0!</v>
      </c>
      <c r="AP54" s="32" t="e">
        <f t="shared" si="31"/>
        <v>#DIV/0!</v>
      </c>
      <c r="AQ54" s="32" t="e">
        <f t="shared" si="32"/>
        <v>#DIV/0!</v>
      </c>
      <c r="AR54" s="32" t="e">
        <f t="shared" si="33"/>
        <v>#DIV/0!</v>
      </c>
      <c r="AS54" s="32">
        <f t="shared" si="34"/>
        <v>1</v>
      </c>
      <c r="AT54" s="32">
        <f t="shared" si="35"/>
        <v>-1.4205186020293206E-2</v>
      </c>
      <c r="AU54" s="32"/>
      <c r="AW54" s="16" t="s">
        <v>192</v>
      </c>
      <c r="AX54" s="32" t="e">
        <f t="shared" si="14"/>
        <v>#DIV/0!</v>
      </c>
      <c r="AY54" s="32" t="e">
        <f t="shared" si="15"/>
        <v>#DIV/0!</v>
      </c>
      <c r="AZ54" s="32" t="e">
        <f t="shared" si="16"/>
        <v>#DIV/0!</v>
      </c>
      <c r="BA54" s="32" t="e">
        <f t="shared" si="17"/>
        <v>#DIV/0!</v>
      </c>
      <c r="BB54" s="32" t="e">
        <f t="shared" si="18"/>
        <v>#DIV/0!</v>
      </c>
      <c r="BC54" s="32" t="e">
        <f t="shared" si="19"/>
        <v>#DIV/0!</v>
      </c>
      <c r="BD54" s="32" t="e">
        <f t="shared" si="20"/>
        <v>#DIV/0!</v>
      </c>
      <c r="BE54" s="32" t="e">
        <f t="shared" si="21"/>
        <v>#DIV/0!</v>
      </c>
      <c r="BF54" s="32" t="e">
        <f t="shared" si="22"/>
        <v>#DIV/0!</v>
      </c>
      <c r="BG54" s="32" t="e">
        <f t="shared" si="23"/>
        <v>#DIV/0!</v>
      </c>
      <c r="BH54" s="32" t="e">
        <f t="shared" si="24"/>
        <v>#DIV/0!</v>
      </c>
      <c r="BI54" s="32"/>
      <c r="BJ54" s="32"/>
      <c r="BK54" s="32"/>
    </row>
    <row r="55" spans="1:63" x14ac:dyDescent="0.2">
      <c r="A55" s="16" t="s">
        <v>193</v>
      </c>
      <c r="AD55" s="23">
        <v>17.865350330286386</v>
      </c>
      <c r="AE55" s="23">
        <v>17.370693652936509</v>
      </c>
      <c r="AG55" s="16" t="s">
        <v>193</v>
      </c>
      <c r="AH55" s="32">
        <f>0</f>
        <v>0</v>
      </c>
      <c r="AI55" s="32" t="e">
        <f t="shared" si="2"/>
        <v>#DIV/0!</v>
      </c>
      <c r="AJ55" s="32" t="e">
        <f t="shared" si="25"/>
        <v>#DIV/0!</v>
      </c>
      <c r="AK55" s="32" t="e">
        <f t="shared" si="26"/>
        <v>#DIV/0!</v>
      </c>
      <c r="AL55" s="32" t="e">
        <f t="shared" si="27"/>
        <v>#DIV/0!</v>
      </c>
      <c r="AM55" s="32" t="e">
        <f t="shared" si="28"/>
        <v>#DIV/0!</v>
      </c>
      <c r="AN55" s="32" t="e">
        <f t="shared" si="29"/>
        <v>#DIV/0!</v>
      </c>
      <c r="AO55" s="32" t="e">
        <f t="shared" si="30"/>
        <v>#DIV/0!</v>
      </c>
      <c r="AP55" s="32" t="e">
        <f t="shared" si="31"/>
        <v>#DIV/0!</v>
      </c>
      <c r="AQ55" s="32" t="e">
        <f t="shared" si="32"/>
        <v>#DIV/0!</v>
      </c>
      <c r="AR55" s="32" t="e">
        <f t="shared" si="33"/>
        <v>#DIV/0!</v>
      </c>
      <c r="AS55" s="32">
        <f t="shared" si="34"/>
        <v>1</v>
      </c>
      <c r="AT55" s="32">
        <f t="shared" si="35"/>
        <v>-2.8476506881822482E-2</v>
      </c>
      <c r="AU55" s="32"/>
      <c r="AW55" s="16" t="s">
        <v>193</v>
      </c>
      <c r="AX55" s="32" t="e">
        <f t="shared" si="14"/>
        <v>#DIV/0!</v>
      </c>
      <c r="AY55" s="32" t="e">
        <f t="shared" si="15"/>
        <v>#DIV/0!</v>
      </c>
      <c r="AZ55" s="32" t="e">
        <f t="shared" si="16"/>
        <v>#DIV/0!</v>
      </c>
      <c r="BA55" s="32" t="e">
        <f t="shared" si="17"/>
        <v>#DIV/0!</v>
      </c>
      <c r="BB55" s="32" t="e">
        <f t="shared" si="18"/>
        <v>#DIV/0!</v>
      </c>
      <c r="BC55" s="32" t="e">
        <f t="shared" si="19"/>
        <v>#DIV/0!</v>
      </c>
      <c r="BD55" s="32" t="e">
        <f t="shared" si="20"/>
        <v>#DIV/0!</v>
      </c>
      <c r="BE55" s="32" t="e">
        <f t="shared" si="21"/>
        <v>#DIV/0!</v>
      </c>
      <c r="BF55" s="32" t="e">
        <f t="shared" si="22"/>
        <v>#DIV/0!</v>
      </c>
      <c r="BG55" s="32" t="e">
        <f t="shared" si="23"/>
        <v>#DIV/0!</v>
      </c>
      <c r="BH55" s="32" t="e">
        <f t="shared" si="24"/>
        <v>#DIV/0!</v>
      </c>
      <c r="BI55" s="32"/>
      <c r="BJ55" s="32"/>
      <c r="BK55" s="32"/>
    </row>
    <row r="56" spans="1:63" x14ac:dyDescent="0.2">
      <c r="A56" s="16" t="s">
        <v>194</v>
      </c>
      <c r="AD56" s="23">
        <v>7.2840759221330158</v>
      </c>
      <c r="AE56" s="23">
        <v>7.2020275074907172</v>
      </c>
      <c r="AG56" s="16" t="s">
        <v>194</v>
      </c>
      <c r="AH56" s="32">
        <f>0</f>
        <v>0</v>
      </c>
      <c r="AI56" s="32" t="e">
        <f t="shared" si="2"/>
        <v>#DIV/0!</v>
      </c>
      <c r="AJ56" s="32" t="e">
        <f t="shared" si="25"/>
        <v>#DIV/0!</v>
      </c>
      <c r="AK56" s="32" t="e">
        <f t="shared" si="26"/>
        <v>#DIV/0!</v>
      </c>
      <c r="AL56" s="32" t="e">
        <f t="shared" si="27"/>
        <v>#DIV/0!</v>
      </c>
      <c r="AM56" s="32" t="e">
        <f t="shared" si="28"/>
        <v>#DIV/0!</v>
      </c>
      <c r="AN56" s="32" t="e">
        <f t="shared" si="29"/>
        <v>#DIV/0!</v>
      </c>
      <c r="AO56" s="32" t="e">
        <f t="shared" si="30"/>
        <v>#DIV/0!</v>
      </c>
      <c r="AP56" s="32" t="e">
        <f t="shared" si="31"/>
        <v>#DIV/0!</v>
      </c>
      <c r="AQ56" s="32" t="e">
        <f t="shared" si="32"/>
        <v>#DIV/0!</v>
      </c>
      <c r="AR56" s="32" t="e">
        <f t="shared" si="33"/>
        <v>#DIV/0!</v>
      </c>
      <c r="AS56" s="32">
        <f t="shared" si="34"/>
        <v>1</v>
      </c>
      <c r="AT56" s="32">
        <f t="shared" si="35"/>
        <v>-1.1392405063291044E-2</v>
      </c>
      <c r="AU56" s="32"/>
      <c r="AW56" s="16" t="s">
        <v>194</v>
      </c>
      <c r="AX56" s="32" t="e">
        <f t="shared" si="14"/>
        <v>#DIV/0!</v>
      </c>
      <c r="AY56" s="32" t="e">
        <f t="shared" si="15"/>
        <v>#DIV/0!</v>
      </c>
      <c r="AZ56" s="32" t="e">
        <f t="shared" si="16"/>
        <v>#DIV/0!</v>
      </c>
      <c r="BA56" s="32" t="e">
        <f t="shared" si="17"/>
        <v>#DIV/0!</v>
      </c>
      <c r="BB56" s="32" t="e">
        <f t="shared" si="18"/>
        <v>#DIV/0!</v>
      </c>
      <c r="BC56" s="32" t="e">
        <f t="shared" si="19"/>
        <v>#DIV/0!</v>
      </c>
      <c r="BD56" s="32" t="e">
        <f t="shared" si="20"/>
        <v>#DIV/0!</v>
      </c>
      <c r="BE56" s="32" t="e">
        <f t="shared" si="21"/>
        <v>#DIV/0!</v>
      </c>
      <c r="BF56" s="32" t="e">
        <f t="shared" si="22"/>
        <v>#DIV/0!</v>
      </c>
      <c r="BG56" s="32" t="e">
        <f t="shared" si="23"/>
        <v>#DIV/0!</v>
      </c>
      <c r="BH56" s="32" t="e">
        <f t="shared" si="24"/>
        <v>#DIV/0!</v>
      </c>
      <c r="BI56" s="32"/>
      <c r="BJ56" s="32"/>
      <c r="BK56" s="32"/>
    </row>
    <row r="57" spans="1:63" x14ac:dyDescent="0.2">
      <c r="A57" s="16" t="s">
        <v>195</v>
      </c>
      <c r="AD57" s="23">
        <v>70.625049545847119</v>
      </c>
      <c r="AE57" s="23">
        <v>70.671361874522802</v>
      </c>
      <c r="AG57" s="16" t="s">
        <v>195</v>
      </c>
      <c r="AH57" s="32">
        <f>0</f>
        <v>0</v>
      </c>
      <c r="AI57" s="32" t="e">
        <f t="shared" si="2"/>
        <v>#DIV/0!</v>
      </c>
      <c r="AJ57" s="32" t="e">
        <f t="shared" si="25"/>
        <v>#DIV/0!</v>
      </c>
      <c r="AK57" s="32" t="e">
        <f t="shared" si="26"/>
        <v>#DIV/0!</v>
      </c>
      <c r="AL57" s="32" t="e">
        <f t="shared" si="27"/>
        <v>#DIV/0!</v>
      </c>
      <c r="AM57" s="32" t="e">
        <f t="shared" si="28"/>
        <v>#DIV/0!</v>
      </c>
      <c r="AN57" s="32" t="e">
        <f t="shared" si="29"/>
        <v>#DIV/0!</v>
      </c>
      <c r="AO57" s="32" t="e">
        <f t="shared" si="30"/>
        <v>#DIV/0!</v>
      </c>
      <c r="AP57" s="32" t="e">
        <f t="shared" si="31"/>
        <v>#DIV/0!</v>
      </c>
      <c r="AQ57" s="32" t="e">
        <f t="shared" si="32"/>
        <v>#DIV/0!</v>
      </c>
      <c r="AR57" s="32" t="e">
        <f t="shared" si="33"/>
        <v>#DIV/0!</v>
      </c>
      <c r="AS57" s="32">
        <f t="shared" si="34"/>
        <v>1</v>
      </c>
      <c r="AT57" s="32">
        <f t="shared" si="35"/>
        <v>6.5531960114070321E-4</v>
      </c>
      <c r="AU57" s="32"/>
      <c r="AW57" s="16" t="s">
        <v>195</v>
      </c>
      <c r="AX57" s="32" t="e">
        <f t="shared" si="14"/>
        <v>#DIV/0!</v>
      </c>
      <c r="AY57" s="32" t="e">
        <f t="shared" si="15"/>
        <v>#DIV/0!</v>
      </c>
      <c r="AZ57" s="32" t="e">
        <f t="shared" si="16"/>
        <v>#DIV/0!</v>
      </c>
      <c r="BA57" s="32" t="e">
        <f t="shared" si="17"/>
        <v>#DIV/0!</v>
      </c>
      <c r="BB57" s="32" t="e">
        <f t="shared" si="18"/>
        <v>#DIV/0!</v>
      </c>
      <c r="BC57" s="32" t="e">
        <f t="shared" si="19"/>
        <v>#DIV/0!</v>
      </c>
      <c r="BD57" s="32" t="e">
        <f t="shared" si="20"/>
        <v>#DIV/0!</v>
      </c>
      <c r="BE57" s="32" t="e">
        <f t="shared" si="21"/>
        <v>#DIV/0!</v>
      </c>
      <c r="BF57" s="32" t="e">
        <f t="shared" si="22"/>
        <v>#DIV/0!</v>
      </c>
      <c r="BG57" s="32" t="e">
        <f t="shared" si="23"/>
        <v>#DIV/0!</v>
      </c>
      <c r="BH57" s="32" t="e">
        <f t="shared" si="24"/>
        <v>#DIV/0!</v>
      </c>
      <c r="BI57" s="32"/>
      <c r="BJ57" s="32"/>
      <c r="BK57" s="32"/>
    </row>
    <row r="58" spans="1:63" x14ac:dyDescent="0.2">
      <c r="A58" s="16" t="s">
        <v>196</v>
      </c>
      <c r="AD58" s="23">
        <v>1.9970615949216426</v>
      </c>
      <c r="AE58" s="23">
        <v>2.0327068042055148</v>
      </c>
      <c r="AG58" s="16" t="s">
        <v>196</v>
      </c>
      <c r="AH58" s="32">
        <f>0</f>
        <v>0</v>
      </c>
      <c r="AI58" s="32" t="e">
        <f t="shared" si="2"/>
        <v>#DIV/0!</v>
      </c>
      <c r="AJ58" s="32" t="e">
        <f t="shared" si="25"/>
        <v>#DIV/0!</v>
      </c>
      <c r="AK58" s="32" t="e">
        <f t="shared" si="26"/>
        <v>#DIV/0!</v>
      </c>
      <c r="AL58" s="32" t="e">
        <f t="shared" si="27"/>
        <v>#DIV/0!</v>
      </c>
      <c r="AM58" s="32" t="e">
        <f t="shared" si="28"/>
        <v>#DIV/0!</v>
      </c>
      <c r="AN58" s="32" t="e">
        <f t="shared" si="29"/>
        <v>#DIV/0!</v>
      </c>
      <c r="AO58" s="32" t="e">
        <f t="shared" si="30"/>
        <v>#DIV/0!</v>
      </c>
      <c r="AP58" s="32" t="e">
        <f t="shared" si="31"/>
        <v>#DIV/0!</v>
      </c>
      <c r="AQ58" s="32" t="e">
        <f t="shared" si="32"/>
        <v>#DIV/0!</v>
      </c>
      <c r="AR58" s="32" t="e">
        <f t="shared" si="33"/>
        <v>#DIV/0!</v>
      </c>
      <c r="AS58" s="32">
        <f t="shared" si="34"/>
        <v>1</v>
      </c>
      <c r="AT58" s="32">
        <f t="shared" si="35"/>
        <v>1.7535834095760858E-2</v>
      </c>
      <c r="AU58" s="32"/>
      <c r="AW58" s="16" t="s">
        <v>196</v>
      </c>
      <c r="AX58" s="32" t="e">
        <f t="shared" si="14"/>
        <v>#DIV/0!</v>
      </c>
      <c r="AY58" s="32" t="e">
        <f t="shared" si="15"/>
        <v>#DIV/0!</v>
      </c>
      <c r="AZ58" s="32" t="e">
        <f t="shared" si="16"/>
        <v>#DIV/0!</v>
      </c>
      <c r="BA58" s="32" t="e">
        <f t="shared" si="17"/>
        <v>#DIV/0!</v>
      </c>
      <c r="BB58" s="32" t="e">
        <f t="shared" si="18"/>
        <v>#DIV/0!</v>
      </c>
      <c r="BC58" s="32" t="e">
        <f t="shared" si="19"/>
        <v>#DIV/0!</v>
      </c>
      <c r="BD58" s="32" t="e">
        <f t="shared" si="20"/>
        <v>#DIV/0!</v>
      </c>
      <c r="BE58" s="32" t="e">
        <f t="shared" si="21"/>
        <v>#DIV/0!</v>
      </c>
      <c r="BF58" s="32" t="e">
        <f t="shared" si="22"/>
        <v>#DIV/0!</v>
      </c>
      <c r="BG58" s="32" t="e">
        <f t="shared" si="23"/>
        <v>#DIV/0!</v>
      </c>
      <c r="BH58" s="32" t="e">
        <f t="shared" si="24"/>
        <v>#DIV/0!</v>
      </c>
      <c r="BI58" s="32"/>
      <c r="BJ58" s="32"/>
      <c r="BK58" s="32"/>
    </row>
    <row r="59" spans="1:63" x14ac:dyDescent="0.2">
      <c r="A59" s="16" t="s">
        <v>197</v>
      </c>
      <c r="AD59" s="23">
        <v>12.489322089584929</v>
      </c>
      <c r="AE59" s="23">
        <v>12.414850509254189</v>
      </c>
      <c r="AG59" s="16" t="s">
        <v>197</v>
      </c>
      <c r="AH59" s="32">
        <f>0</f>
        <v>0</v>
      </c>
      <c r="AI59" s="32" t="e">
        <f t="shared" si="2"/>
        <v>#DIV/0!</v>
      </c>
      <c r="AJ59" s="32" t="e">
        <f t="shared" si="25"/>
        <v>#DIV/0!</v>
      </c>
      <c r="AK59" s="32" t="e">
        <f t="shared" si="26"/>
        <v>#DIV/0!</v>
      </c>
      <c r="AL59" s="32" t="e">
        <f t="shared" si="27"/>
        <v>#DIV/0!</v>
      </c>
      <c r="AM59" s="32" t="e">
        <f t="shared" si="28"/>
        <v>#DIV/0!</v>
      </c>
      <c r="AN59" s="32" t="e">
        <f t="shared" si="29"/>
        <v>#DIV/0!</v>
      </c>
      <c r="AO59" s="32" t="e">
        <f t="shared" si="30"/>
        <v>#DIV/0!</v>
      </c>
      <c r="AP59" s="32" t="e">
        <f t="shared" si="31"/>
        <v>#DIV/0!</v>
      </c>
      <c r="AQ59" s="32" t="e">
        <f t="shared" si="32"/>
        <v>#DIV/0!</v>
      </c>
      <c r="AR59" s="32" t="e">
        <f t="shared" si="33"/>
        <v>#DIV/0!</v>
      </c>
      <c r="AS59" s="32">
        <f t="shared" si="34"/>
        <v>1</v>
      </c>
      <c r="AT59" s="32">
        <f t="shared" si="35"/>
        <v>-5.9985885673958525E-3</v>
      </c>
      <c r="AU59" s="32"/>
      <c r="AW59" s="16" t="s">
        <v>197</v>
      </c>
      <c r="AX59" s="32" t="e">
        <f t="shared" si="14"/>
        <v>#DIV/0!</v>
      </c>
      <c r="AY59" s="32" t="e">
        <f t="shared" si="15"/>
        <v>#DIV/0!</v>
      </c>
      <c r="AZ59" s="32" t="e">
        <f t="shared" si="16"/>
        <v>#DIV/0!</v>
      </c>
      <c r="BA59" s="32" t="e">
        <f t="shared" si="17"/>
        <v>#DIV/0!</v>
      </c>
      <c r="BB59" s="32" t="e">
        <f t="shared" si="18"/>
        <v>#DIV/0!</v>
      </c>
      <c r="BC59" s="32" t="e">
        <f t="shared" si="19"/>
        <v>#DIV/0!</v>
      </c>
      <c r="BD59" s="32" t="e">
        <f t="shared" si="20"/>
        <v>#DIV/0!</v>
      </c>
      <c r="BE59" s="32" t="e">
        <f t="shared" si="21"/>
        <v>#DIV/0!</v>
      </c>
      <c r="BF59" s="32" t="e">
        <f t="shared" si="22"/>
        <v>#DIV/0!</v>
      </c>
      <c r="BG59" s="32" t="e">
        <f t="shared" si="23"/>
        <v>#DIV/0!</v>
      </c>
      <c r="BH59" s="32" t="e">
        <f t="shared" si="24"/>
        <v>#DIV/0!</v>
      </c>
      <c r="BI59" s="32"/>
      <c r="BJ59" s="32"/>
      <c r="BK59" s="32"/>
    </row>
    <row r="60" spans="1:63" x14ac:dyDescent="0.2">
      <c r="A60" s="16" t="s">
        <v>198</v>
      </c>
      <c r="AD60" s="23">
        <v>10.609582110909313</v>
      </c>
      <c r="AE60" s="23">
        <v>10.595188200380168</v>
      </c>
      <c r="AG60" s="16" t="s">
        <v>198</v>
      </c>
      <c r="AH60" s="32">
        <f>0</f>
        <v>0</v>
      </c>
      <c r="AI60" s="32" t="e">
        <f t="shared" si="2"/>
        <v>#DIV/0!</v>
      </c>
      <c r="AJ60" s="32" t="e">
        <f t="shared" si="25"/>
        <v>#DIV/0!</v>
      </c>
      <c r="AK60" s="32" t="e">
        <f t="shared" si="26"/>
        <v>#DIV/0!</v>
      </c>
      <c r="AL60" s="32" t="e">
        <f t="shared" si="27"/>
        <v>#DIV/0!</v>
      </c>
      <c r="AM60" s="32" t="e">
        <f t="shared" si="28"/>
        <v>#DIV/0!</v>
      </c>
      <c r="AN60" s="32" t="e">
        <f t="shared" si="29"/>
        <v>#DIV/0!</v>
      </c>
      <c r="AO60" s="32" t="e">
        <f t="shared" si="30"/>
        <v>#DIV/0!</v>
      </c>
      <c r="AP60" s="32" t="e">
        <f t="shared" si="31"/>
        <v>#DIV/0!</v>
      </c>
      <c r="AQ60" s="32" t="e">
        <f t="shared" si="32"/>
        <v>#DIV/0!</v>
      </c>
      <c r="AR60" s="32" t="e">
        <f t="shared" si="33"/>
        <v>#DIV/0!</v>
      </c>
      <c r="AS60" s="32">
        <f t="shared" si="34"/>
        <v>1</v>
      </c>
      <c r="AT60" s="32">
        <f t="shared" si="35"/>
        <v>-1.3585327845926365E-3</v>
      </c>
      <c r="AU60" s="32"/>
      <c r="AW60" s="16" t="s">
        <v>198</v>
      </c>
      <c r="AX60" s="32" t="e">
        <f t="shared" si="14"/>
        <v>#DIV/0!</v>
      </c>
      <c r="AY60" s="32" t="e">
        <f t="shared" si="15"/>
        <v>#DIV/0!</v>
      </c>
      <c r="AZ60" s="32" t="e">
        <f t="shared" si="16"/>
        <v>#DIV/0!</v>
      </c>
      <c r="BA60" s="32" t="e">
        <f t="shared" si="17"/>
        <v>#DIV/0!</v>
      </c>
      <c r="BB60" s="32" t="e">
        <f t="shared" si="18"/>
        <v>#DIV/0!</v>
      </c>
      <c r="BC60" s="32" t="e">
        <f t="shared" si="19"/>
        <v>#DIV/0!</v>
      </c>
      <c r="BD60" s="32" t="e">
        <f t="shared" si="20"/>
        <v>#DIV/0!</v>
      </c>
      <c r="BE60" s="32" t="e">
        <f t="shared" si="21"/>
        <v>#DIV/0!</v>
      </c>
      <c r="BF60" s="32" t="e">
        <f t="shared" si="22"/>
        <v>#DIV/0!</v>
      </c>
      <c r="BG60" s="32" t="e">
        <f t="shared" si="23"/>
        <v>#DIV/0!</v>
      </c>
      <c r="BH60" s="32" t="e">
        <f t="shared" si="24"/>
        <v>#DIV/0!</v>
      </c>
      <c r="BI60" s="32"/>
      <c r="BJ60" s="32"/>
      <c r="BK60" s="32"/>
    </row>
    <row r="61" spans="1:63" x14ac:dyDescent="0.2">
      <c r="A61" s="16" t="s">
        <v>199</v>
      </c>
      <c r="AD61" s="23">
        <v>2.0537698212301785</v>
      </c>
      <c r="AE61" s="23">
        <v>2.0881729118270882</v>
      </c>
      <c r="AG61" s="16" t="s">
        <v>199</v>
      </c>
      <c r="AH61" s="32">
        <f>0</f>
        <v>0</v>
      </c>
      <c r="AI61" s="32" t="e">
        <f t="shared" si="2"/>
        <v>#DIV/0!</v>
      </c>
      <c r="AJ61" s="32" t="e">
        <f t="shared" si="25"/>
        <v>#DIV/0!</v>
      </c>
      <c r="AK61" s="32" t="e">
        <f t="shared" si="26"/>
        <v>#DIV/0!</v>
      </c>
      <c r="AL61" s="32" t="e">
        <f t="shared" si="27"/>
        <v>#DIV/0!</v>
      </c>
      <c r="AM61" s="32" t="e">
        <f t="shared" si="28"/>
        <v>#DIV/0!</v>
      </c>
      <c r="AN61" s="32" t="e">
        <f t="shared" si="29"/>
        <v>#DIV/0!</v>
      </c>
      <c r="AO61" s="32" t="e">
        <f t="shared" si="30"/>
        <v>#DIV/0!</v>
      </c>
      <c r="AP61" s="32" t="e">
        <f t="shared" si="31"/>
        <v>#DIV/0!</v>
      </c>
      <c r="AQ61" s="32" t="e">
        <f t="shared" si="32"/>
        <v>#DIV/0!</v>
      </c>
      <c r="AR61" s="32" t="e">
        <f t="shared" si="33"/>
        <v>#DIV/0!</v>
      </c>
      <c r="AS61" s="32">
        <f t="shared" si="34"/>
        <v>1</v>
      </c>
      <c r="AT61" s="32">
        <f t="shared" si="35"/>
        <v>1.6475211608222639E-2</v>
      </c>
      <c r="AU61" s="32"/>
      <c r="AW61" s="16" t="s">
        <v>199</v>
      </c>
      <c r="AX61" s="32" t="e">
        <f t="shared" si="14"/>
        <v>#DIV/0!</v>
      </c>
      <c r="AY61" s="32" t="e">
        <f t="shared" si="15"/>
        <v>#DIV/0!</v>
      </c>
      <c r="AZ61" s="32" t="e">
        <f t="shared" si="16"/>
        <v>#DIV/0!</v>
      </c>
      <c r="BA61" s="32" t="e">
        <f t="shared" si="17"/>
        <v>#DIV/0!</v>
      </c>
      <c r="BB61" s="32" t="e">
        <f t="shared" si="18"/>
        <v>#DIV/0!</v>
      </c>
      <c r="BC61" s="32" t="e">
        <f t="shared" si="19"/>
        <v>#DIV/0!</v>
      </c>
      <c r="BD61" s="32" t="e">
        <f t="shared" si="20"/>
        <v>#DIV/0!</v>
      </c>
      <c r="BE61" s="32" t="e">
        <f t="shared" si="21"/>
        <v>#DIV/0!</v>
      </c>
      <c r="BF61" s="32" t="e">
        <f t="shared" si="22"/>
        <v>#DIV/0!</v>
      </c>
      <c r="BG61" s="32" t="e">
        <f t="shared" si="23"/>
        <v>#DIV/0!</v>
      </c>
      <c r="BH61" s="32" t="e">
        <f t="shared" si="24"/>
        <v>#DIV/0!</v>
      </c>
      <c r="BI61" s="32"/>
      <c r="BJ61" s="32"/>
      <c r="BK61" s="32"/>
    </row>
    <row r="62" spans="1:63" x14ac:dyDescent="0.2">
      <c r="A62" s="16" t="s">
        <v>200</v>
      </c>
      <c r="AD62" s="23">
        <v>1.9049332887734902</v>
      </c>
      <c r="AE62" s="23">
        <v>2.0591788992004934</v>
      </c>
      <c r="AG62" s="16" t="s">
        <v>200</v>
      </c>
      <c r="AH62" s="32">
        <f>0</f>
        <v>0</v>
      </c>
      <c r="AI62" s="32" t="e">
        <f t="shared" si="2"/>
        <v>#DIV/0!</v>
      </c>
      <c r="AJ62" s="32" t="e">
        <f t="shared" si="25"/>
        <v>#DIV/0!</v>
      </c>
      <c r="AK62" s="32" t="e">
        <f t="shared" si="26"/>
        <v>#DIV/0!</v>
      </c>
      <c r="AL62" s="32" t="e">
        <f t="shared" si="27"/>
        <v>#DIV/0!</v>
      </c>
      <c r="AM62" s="32" t="e">
        <f t="shared" si="28"/>
        <v>#DIV/0!</v>
      </c>
      <c r="AN62" s="32" t="e">
        <f t="shared" si="29"/>
        <v>#DIV/0!</v>
      </c>
      <c r="AO62" s="32" t="e">
        <f t="shared" si="30"/>
        <v>#DIV/0!</v>
      </c>
      <c r="AP62" s="32" t="e">
        <f t="shared" si="31"/>
        <v>#DIV/0!</v>
      </c>
      <c r="AQ62" s="32" t="e">
        <f t="shared" si="32"/>
        <v>#DIV/0!</v>
      </c>
      <c r="AR62" s="32" t="e">
        <f t="shared" si="33"/>
        <v>#DIV/0!</v>
      </c>
      <c r="AS62" s="32">
        <f t="shared" si="34"/>
        <v>1</v>
      </c>
      <c r="AT62" s="32">
        <f t="shared" si="35"/>
        <v>7.4906367041198449E-2</v>
      </c>
      <c r="AU62" s="32"/>
      <c r="AW62" s="16" t="s">
        <v>200</v>
      </c>
      <c r="AX62" s="32" t="e">
        <f t="shared" si="14"/>
        <v>#DIV/0!</v>
      </c>
      <c r="AY62" s="32" t="e">
        <f t="shared" si="15"/>
        <v>#DIV/0!</v>
      </c>
      <c r="AZ62" s="32" t="e">
        <f t="shared" si="16"/>
        <v>#DIV/0!</v>
      </c>
      <c r="BA62" s="32" t="e">
        <f t="shared" si="17"/>
        <v>#DIV/0!</v>
      </c>
      <c r="BB62" s="32" t="e">
        <f t="shared" si="18"/>
        <v>#DIV/0!</v>
      </c>
      <c r="BC62" s="32" t="e">
        <f t="shared" si="19"/>
        <v>#DIV/0!</v>
      </c>
      <c r="BD62" s="32" t="e">
        <f t="shared" si="20"/>
        <v>#DIV/0!</v>
      </c>
      <c r="BE62" s="32" t="e">
        <f t="shared" si="21"/>
        <v>#DIV/0!</v>
      </c>
      <c r="BF62" s="32" t="e">
        <f t="shared" si="22"/>
        <v>#DIV/0!</v>
      </c>
      <c r="BG62" s="32" t="e">
        <f t="shared" si="23"/>
        <v>#DIV/0!</v>
      </c>
      <c r="BH62" s="32" t="e">
        <f t="shared" si="24"/>
        <v>#DIV/0!</v>
      </c>
      <c r="BI62" s="32"/>
      <c r="BJ62" s="32"/>
      <c r="BK62" s="32"/>
    </row>
    <row r="63" spans="1:63" x14ac:dyDescent="0.2">
      <c r="A63" s="16" t="s">
        <v>201</v>
      </c>
      <c r="AD63" s="23">
        <v>6.2583284266633612</v>
      </c>
      <c r="AE63" s="23">
        <v>6.1924757507205062</v>
      </c>
      <c r="AG63" s="16" t="s">
        <v>201</v>
      </c>
      <c r="AH63" s="32">
        <f>0</f>
        <v>0</v>
      </c>
      <c r="AI63" s="32" t="e">
        <f t="shared" si="2"/>
        <v>#DIV/0!</v>
      </c>
      <c r="AJ63" s="32" t="e">
        <f t="shared" si="25"/>
        <v>#DIV/0!</v>
      </c>
      <c r="AK63" s="32" t="e">
        <f t="shared" si="26"/>
        <v>#DIV/0!</v>
      </c>
      <c r="AL63" s="32" t="e">
        <f t="shared" si="27"/>
        <v>#DIV/0!</v>
      </c>
      <c r="AM63" s="32" t="e">
        <f t="shared" si="28"/>
        <v>#DIV/0!</v>
      </c>
      <c r="AN63" s="32" t="e">
        <f t="shared" si="29"/>
        <v>#DIV/0!</v>
      </c>
      <c r="AO63" s="32" t="e">
        <f t="shared" si="30"/>
        <v>#DIV/0!</v>
      </c>
      <c r="AP63" s="32" t="e">
        <f t="shared" si="31"/>
        <v>#DIV/0!</v>
      </c>
      <c r="AQ63" s="32" t="e">
        <f t="shared" si="32"/>
        <v>#DIV/0!</v>
      </c>
      <c r="AR63" s="32" t="e">
        <f t="shared" si="33"/>
        <v>#DIV/0!</v>
      </c>
      <c r="AS63" s="32">
        <f t="shared" si="34"/>
        <v>1</v>
      </c>
      <c r="AT63" s="32">
        <f t="shared" si="35"/>
        <v>-1.0634305016889724E-2</v>
      </c>
      <c r="AU63" s="32"/>
      <c r="AW63" s="16" t="s">
        <v>201</v>
      </c>
      <c r="AX63" s="32" t="e">
        <f t="shared" si="14"/>
        <v>#DIV/0!</v>
      </c>
      <c r="AY63" s="32" t="e">
        <f t="shared" si="15"/>
        <v>#DIV/0!</v>
      </c>
      <c r="AZ63" s="32" t="e">
        <f t="shared" si="16"/>
        <v>#DIV/0!</v>
      </c>
      <c r="BA63" s="32" t="e">
        <f t="shared" si="17"/>
        <v>#DIV/0!</v>
      </c>
      <c r="BB63" s="32" t="e">
        <f t="shared" si="18"/>
        <v>#DIV/0!</v>
      </c>
      <c r="BC63" s="32" t="e">
        <f t="shared" si="19"/>
        <v>#DIV/0!</v>
      </c>
      <c r="BD63" s="32" t="e">
        <f t="shared" si="20"/>
        <v>#DIV/0!</v>
      </c>
      <c r="BE63" s="32" t="e">
        <f t="shared" si="21"/>
        <v>#DIV/0!</v>
      </c>
      <c r="BF63" s="32" t="e">
        <f t="shared" si="22"/>
        <v>#DIV/0!</v>
      </c>
      <c r="BG63" s="32" t="e">
        <f t="shared" si="23"/>
        <v>#DIV/0!</v>
      </c>
      <c r="BH63" s="32" t="e">
        <f t="shared" si="24"/>
        <v>#DIV/0!</v>
      </c>
      <c r="BI63" s="32"/>
      <c r="BJ63" s="32"/>
      <c r="BK63" s="32"/>
    </row>
    <row r="64" spans="1:63" x14ac:dyDescent="0.2">
      <c r="A64" s="16" t="s">
        <v>202</v>
      </c>
      <c r="AD64" s="23">
        <v>4.2453947488293275</v>
      </c>
      <c r="AE64" s="23">
        <v>4.185266840369513</v>
      </c>
      <c r="AG64" s="16" t="s">
        <v>202</v>
      </c>
      <c r="AH64" s="32">
        <f>0</f>
        <v>0</v>
      </c>
      <c r="AI64" s="32" t="e">
        <f t="shared" si="2"/>
        <v>#DIV/0!</v>
      </c>
      <c r="AJ64" s="32" t="e">
        <f t="shared" si="25"/>
        <v>#DIV/0!</v>
      </c>
      <c r="AK64" s="32" t="e">
        <f t="shared" si="26"/>
        <v>#DIV/0!</v>
      </c>
      <c r="AL64" s="32" t="e">
        <f t="shared" si="27"/>
        <v>#DIV/0!</v>
      </c>
      <c r="AM64" s="32" t="e">
        <f t="shared" si="28"/>
        <v>#DIV/0!</v>
      </c>
      <c r="AN64" s="32" t="e">
        <f t="shared" si="29"/>
        <v>#DIV/0!</v>
      </c>
      <c r="AO64" s="32" t="e">
        <f t="shared" si="30"/>
        <v>#DIV/0!</v>
      </c>
      <c r="AP64" s="32" t="e">
        <f t="shared" si="31"/>
        <v>#DIV/0!</v>
      </c>
      <c r="AQ64" s="32" t="e">
        <f t="shared" si="32"/>
        <v>#DIV/0!</v>
      </c>
      <c r="AR64" s="32" t="e">
        <f t="shared" si="33"/>
        <v>#DIV/0!</v>
      </c>
      <c r="AS64" s="32">
        <f t="shared" si="34"/>
        <v>1</v>
      </c>
      <c r="AT64" s="32">
        <f t="shared" si="35"/>
        <v>-1.4366565084893344E-2</v>
      </c>
      <c r="AU64" s="32"/>
      <c r="AW64" s="16" t="s">
        <v>202</v>
      </c>
      <c r="AX64" s="32" t="e">
        <f t="shared" si="14"/>
        <v>#DIV/0!</v>
      </c>
      <c r="AY64" s="32" t="e">
        <f t="shared" si="15"/>
        <v>#DIV/0!</v>
      </c>
      <c r="AZ64" s="32" t="e">
        <f t="shared" si="16"/>
        <v>#DIV/0!</v>
      </c>
      <c r="BA64" s="32" t="e">
        <f t="shared" si="17"/>
        <v>#DIV/0!</v>
      </c>
      <c r="BB64" s="32" t="e">
        <f t="shared" si="18"/>
        <v>#DIV/0!</v>
      </c>
      <c r="BC64" s="32" t="e">
        <f t="shared" si="19"/>
        <v>#DIV/0!</v>
      </c>
      <c r="BD64" s="32" t="e">
        <f t="shared" si="20"/>
        <v>#DIV/0!</v>
      </c>
      <c r="BE64" s="32" t="e">
        <f t="shared" si="21"/>
        <v>#DIV/0!</v>
      </c>
      <c r="BF64" s="32" t="e">
        <f t="shared" si="22"/>
        <v>#DIV/0!</v>
      </c>
      <c r="BG64" s="32" t="e">
        <f t="shared" si="23"/>
        <v>#DIV/0!</v>
      </c>
      <c r="BH64" s="32" t="e">
        <f t="shared" si="24"/>
        <v>#DIV/0!</v>
      </c>
      <c r="BI64" s="32"/>
      <c r="BJ64" s="32"/>
      <c r="BK64" s="32"/>
    </row>
    <row r="65" spans="1:71" x14ac:dyDescent="0.2">
      <c r="A65" s="16" t="s">
        <v>203</v>
      </c>
      <c r="AD65" s="23">
        <v>50.077554449686552</v>
      </c>
      <c r="AE65" s="23">
        <v>49.413494474245461</v>
      </c>
      <c r="AG65" s="16" t="s">
        <v>203</v>
      </c>
      <c r="AH65" s="32">
        <f>0</f>
        <v>0</v>
      </c>
      <c r="AI65" s="32" t="e">
        <f t="shared" si="2"/>
        <v>#DIV/0!</v>
      </c>
      <c r="AJ65" s="32" t="e">
        <f t="shared" si="25"/>
        <v>#DIV/0!</v>
      </c>
      <c r="AK65" s="32" t="e">
        <f t="shared" si="26"/>
        <v>#DIV/0!</v>
      </c>
      <c r="AL65" s="32" t="e">
        <f t="shared" si="27"/>
        <v>#DIV/0!</v>
      </c>
      <c r="AM65" s="32" t="e">
        <f t="shared" si="28"/>
        <v>#DIV/0!</v>
      </c>
      <c r="AN65" s="32" t="e">
        <f t="shared" si="29"/>
        <v>#DIV/0!</v>
      </c>
      <c r="AO65" s="32" t="e">
        <f t="shared" si="30"/>
        <v>#DIV/0!</v>
      </c>
      <c r="AP65" s="32" t="e">
        <f t="shared" si="31"/>
        <v>#DIV/0!</v>
      </c>
      <c r="AQ65" s="32" t="e">
        <f t="shared" si="32"/>
        <v>#DIV/0!</v>
      </c>
      <c r="AR65" s="32" t="e">
        <f t="shared" si="33"/>
        <v>#DIV/0!</v>
      </c>
      <c r="AS65" s="32">
        <f t="shared" si="34"/>
        <v>1</v>
      </c>
      <c r="AT65" s="32">
        <f t="shared" si="35"/>
        <v>-1.3438838570447644E-2</v>
      </c>
      <c r="AU65" s="32"/>
      <c r="AW65" s="16" t="s">
        <v>203</v>
      </c>
      <c r="AX65" s="32" t="e">
        <f t="shared" si="14"/>
        <v>#DIV/0!</v>
      </c>
      <c r="AY65" s="32" t="e">
        <f t="shared" si="15"/>
        <v>#DIV/0!</v>
      </c>
      <c r="AZ65" s="32" t="e">
        <f t="shared" si="16"/>
        <v>#DIV/0!</v>
      </c>
      <c r="BA65" s="32" t="e">
        <f t="shared" si="17"/>
        <v>#DIV/0!</v>
      </c>
      <c r="BB65" s="32" t="e">
        <f t="shared" si="18"/>
        <v>#DIV/0!</v>
      </c>
      <c r="BC65" s="32" t="e">
        <f t="shared" si="19"/>
        <v>#DIV/0!</v>
      </c>
      <c r="BD65" s="32" t="e">
        <f t="shared" si="20"/>
        <v>#DIV/0!</v>
      </c>
      <c r="BE65" s="32" t="e">
        <f t="shared" si="21"/>
        <v>#DIV/0!</v>
      </c>
      <c r="BF65" s="32" t="e">
        <f t="shared" si="22"/>
        <v>#DIV/0!</v>
      </c>
      <c r="BG65" s="32" t="e">
        <f t="shared" si="23"/>
        <v>#DIV/0!</v>
      </c>
      <c r="BH65" s="32" t="e">
        <f t="shared" si="24"/>
        <v>#DIV/0!</v>
      </c>
      <c r="BI65" s="32"/>
      <c r="BJ65" s="32"/>
      <c r="BK65" s="32"/>
    </row>
    <row r="66" spans="1:71" x14ac:dyDescent="0.2">
      <c r="A66" s="16" t="s">
        <v>204</v>
      </c>
      <c r="AD66" s="23">
        <v>44.661462995452752</v>
      </c>
      <c r="AE66" s="23">
        <v>44.491388878943027</v>
      </c>
      <c r="AG66" s="16" t="s">
        <v>204</v>
      </c>
      <c r="AH66" s="32">
        <f>0</f>
        <v>0</v>
      </c>
      <c r="AI66" s="32" t="e">
        <f t="shared" si="2"/>
        <v>#DIV/0!</v>
      </c>
      <c r="AJ66" s="32" t="e">
        <f t="shared" si="25"/>
        <v>#DIV/0!</v>
      </c>
      <c r="AK66" s="32" t="e">
        <f t="shared" si="26"/>
        <v>#DIV/0!</v>
      </c>
      <c r="AL66" s="32" t="e">
        <f t="shared" si="27"/>
        <v>#DIV/0!</v>
      </c>
      <c r="AM66" s="32" t="e">
        <f t="shared" si="28"/>
        <v>#DIV/0!</v>
      </c>
      <c r="AN66" s="32" t="e">
        <f t="shared" si="29"/>
        <v>#DIV/0!</v>
      </c>
      <c r="AO66" s="32" t="e">
        <f t="shared" si="30"/>
        <v>#DIV/0!</v>
      </c>
      <c r="AP66" s="32" t="e">
        <f t="shared" si="31"/>
        <v>#DIV/0!</v>
      </c>
      <c r="AQ66" s="32" t="e">
        <f t="shared" si="32"/>
        <v>#DIV/0!</v>
      </c>
      <c r="AR66" s="32" t="e">
        <f t="shared" si="33"/>
        <v>#DIV/0!</v>
      </c>
      <c r="AS66" s="32">
        <f t="shared" si="34"/>
        <v>1</v>
      </c>
      <c r="AT66" s="32">
        <f t="shared" si="35"/>
        <v>-3.82262996941903E-3</v>
      </c>
      <c r="AU66" s="32"/>
      <c r="AW66" s="16" t="s">
        <v>204</v>
      </c>
      <c r="AX66" s="32" t="e">
        <f t="shared" si="14"/>
        <v>#DIV/0!</v>
      </c>
      <c r="AY66" s="32" t="e">
        <f t="shared" si="15"/>
        <v>#DIV/0!</v>
      </c>
      <c r="AZ66" s="32" t="e">
        <f t="shared" si="16"/>
        <v>#DIV/0!</v>
      </c>
      <c r="BA66" s="32" t="e">
        <f t="shared" si="17"/>
        <v>#DIV/0!</v>
      </c>
      <c r="BB66" s="32" t="e">
        <f t="shared" si="18"/>
        <v>#DIV/0!</v>
      </c>
      <c r="BC66" s="32" t="e">
        <f t="shared" si="19"/>
        <v>#DIV/0!</v>
      </c>
      <c r="BD66" s="32" t="e">
        <f t="shared" si="20"/>
        <v>#DIV/0!</v>
      </c>
      <c r="BE66" s="32" t="e">
        <f t="shared" si="21"/>
        <v>#DIV/0!</v>
      </c>
      <c r="BF66" s="32" t="e">
        <f t="shared" si="22"/>
        <v>#DIV/0!</v>
      </c>
      <c r="BG66" s="32" t="e">
        <f t="shared" si="23"/>
        <v>#DIV/0!</v>
      </c>
      <c r="BH66" s="32" t="e">
        <f t="shared" si="24"/>
        <v>#DIV/0!</v>
      </c>
      <c r="BI66" s="32"/>
      <c r="BJ66" s="32"/>
      <c r="BK66" s="32"/>
    </row>
    <row r="67" spans="1:71" x14ac:dyDescent="0.2">
      <c r="A67" s="16" t="s">
        <v>205</v>
      </c>
      <c r="AD67" s="23">
        <v>1.9303182845138531</v>
      </c>
      <c r="AE67" s="23">
        <v>1.9164453604978398</v>
      </c>
      <c r="AG67" s="16" t="s">
        <v>205</v>
      </c>
      <c r="AH67" s="32">
        <f>0</f>
        <v>0</v>
      </c>
      <c r="AI67" s="32" t="e">
        <f t="shared" si="2"/>
        <v>#DIV/0!</v>
      </c>
      <c r="AJ67" s="32" t="e">
        <f t="shared" si="25"/>
        <v>#DIV/0!</v>
      </c>
      <c r="AK67" s="32" t="e">
        <f t="shared" si="26"/>
        <v>#DIV/0!</v>
      </c>
      <c r="AL67" s="32" t="e">
        <f t="shared" si="27"/>
        <v>#DIV/0!</v>
      </c>
      <c r="AM67" s="32" t="e">
        <f t="shared" si="28"/>
        <v>#DIV/0!</v>
      </c>
      <c r="AN67" s="32" t="e">
        <f t="shared" si="29"/>
        <v>#DIV/0!</v>
      </c>
      <c r="AO67" s="32" t="e">
        <f t="shared" si="30"/>
        <v>#DIV/0!</v>
      </c>
      <c r="AP67" s="32" t="e">
        <f t="shared" si="31"/>
        <v>#DIV/0!</v>
      </c>
      <c r="AQ67" s="32" t="e">
        <f t="shared" si="32"/>
        <v>#DIV/0!</v>
      </c>
      <c r="AR67" s="32" t="e">
        <f t="shared" si="33"/>
        <v>#DIV/0!</v>
      </c>
      <c r="AS67" s="32">
        <f t="shared" si="34"/>
        <v>1</v>
      </c>
      <c r="AT67" s="32">
        <f t="shared" si="35"/>
        <v>-7.238883143743562E-3</v>
      </c>
      <c r="AU67" s="32"/>
      <c r="AW67" s="16" t="s">
        <v>205</v>
      </c>
      <c r="AX67" s="32" t="e">
        <f t="shared" si="14"/>
        <v>#DIV/0!</v>
      </c>
      <c r="AY67" s="32" t="e">
        <f t="shared" si="15"/>
        <v>#DIV/0!</v>
      </c>
      <c r="AZ67" s="32" t="e">
        <f t="shared" si="16"/>
        <v>#DIV/0!</v>
      </c>
      <c r="BA67" s="32" t="e">
        <f t="shared" si="17"/>
        <v>#DIV/0!</v>
      </c>
      <c r="BB67" s="32" t="e">
        <f t="shared" si="18"/>
        <v>#DIV/0!</v>
      </c>
      <c r="BC67" s="32" t="e">
        <f t="shared" si="19"/>
        <v>#DIV/0!</v>
      </c>
      <c r="BD67" s="32" t="e">
        <f t="shared" si="20"/>
        <v>#DIV/0!</v>
      </c>
      <c r="BE67" s="32" t="e">
        <f t="shared" si="21"/>
        <v>#DIV/0!</v>
      </c>
      <c r="BF67" s="32" t="e">
        <f t="shared" si="22"/>
        <v>#DIV/0!</v>
      </c>
      <c r="BG67" s="32" t="e">
        <f t="shared" si="23"/>
        <v>#DIV/0!</v>
      </c>
      <c r="BH67" s="32" t="e">
        <f t="shared" si="24"/>
        <v>#DIV/0!</v>
      </c>
      <c r="BI67" s="32"/>
      <c r="BJ67" s="32"/>
      <c r="BK67" s="32"/>
    </row>
    <row r="68" spans="1:71" x14ac:dyDescent="0.2">
      <c r="A68" s="16" t="s">
        <v>206</v>
      </c>
      <c r="AD68" s="23">
        <v>84.673280449644224</v>
      </c>
      <c r="AE68" s="23">
        <v>87.249616327506828</v>
      </c>
      <c r="AG68" s="16" t="s">
        <v>206</v>
      </c>
      <c r="AH68" s="32">
        <f>0</f>
        <v>0</v>
      </c>
      <c r="AI68" s="32" t="e">
        <f t="shared" si="2"/>
        <v>#DIV/0!</v>
      </c>
      <c r="AJ68" s="32" t="e">
        <f t="shared" si="25"/>
        <v>#DIV/0!</v>
      </c>
      <c r="AK68" s="32" t="e">
        <f t="shared" si="26"/>
        <v>#DIV/0!</v>
      </c>
      <c r="AL68" s="32" t="e">
        <f t="shared" si="27"/>
        <v>#DIV/0!</v>
      </c>
      <c r="AM68" s="32" t="e">
        <f t="shared" si="28"/>
        <v>#DIV/0!</v>
      </c>
      <c r="AN68" s="32" t="e">
        <f t="shared" si="29"/>
        <v>#DIV/0!</v>
      </c>
      <c r="AO68" s="32" t="e">
        <f t="shared" si="30"/>
        <v>#DIV/0!</v>
      </c>
      <c r="AP68" s="32" t="e">
        <f t="shared" si="31"/>
        <v>#DIV/0!</v>
      </c>
      <c r="AQ68" s="32" t="e">
        <f t="shared" si="32"/>
        <v>#DIV/0!</v>
      </c>
      <c r="AR68" s="32" t="e">
        <f t="shared" si="33"/>
        <v>#DIV/0!</v>
      </c>
      <c r="AS68" s="32">
        <f t="shared" si="34"/>
        <v>1</v>
      </c>
      <c r="AT68" s="32">
        <f t="shared" si="35"/>
        <v>2.9528334751546332E-2</v>
      </c>
      <c r="AU68" s="32"/>
      <c r="AW68" s="16" t="s">
        <v>206</v>
      </c>
      <c r="AX68" s="32" t="e">
        <f t="shared" si="14"/>
        <v>#DIV/0!</v>
      </c>
      <c r="AY68" s="32" t="e">
        <f t="shared" si="15"/>
        <v>#DIV/0!</v>
      </c>
      <c r="AZ68" s="32" t="e">
        <f t="shared" si="16"/>
        <v>#DIV/0!</v>
      </c>
      <c r="BA68" s="32" t="e">
        <f t="shared" si="17"/>
        <v>#DIV/0!</v>
      </c>
      <c r="BB68" s="32" t="e">
        <f t="shared" si="18"/>
        <v>#DIV/0!</v>
      </c>
      <c r="BC68" s="32" t="e">
        <f t="shared" si="19"/>
        <v>#DIV/0!</v>
      </c>
      <c r="BD68" s="32" t="e">
        <f t="shared" si="20"/>
        <v>#DIV/0!</v>
      </c>
      <c r="BE68" s="32" t="e">
        <f t="shared" si="21"/>
        <v>#DIV/0!</v>
      </c>
      <c r="BF68" s="32" t="e">
        <f t="shared" si="22"/>
        <v>#DIV/0!</v>
      </c>
      <c r="BG68" s="32" t="e">
        <f t="shared" si="23"/>
        <v>#DIV/0!</v>
      </c>
      <c r="BH68" s="32" t="e">
        <f t="shared" si="24"/>
        <v>#DIV/0!</v>
      </c>
      <c r="BI68" s="32"/>
      <c r="BJ68" s="32"/>
      <c r="BK68" s="32"/>
    </row>
    <row r="69" spans="1:71" x14ac:dyDescent="0.2">
      <c r="A69" s="16" t="s">
        <v>207</v>
      </c>
      <c r="AD69" s="23">
        <v>4.1914070247846693</v>
      </c>
      <c r="AE69" s="23">
        <v>4.1863429003084898</v>
      </c>
      <c r="AG69" s="16" t="s">
        <v>207</v>
      </c>
      <c r="AH69" s="32">
        <f>0</f>
        <v>0</v>
      </c>
      <c r="AI69" s="32" t="e">
        <f t="shared" si="2"/>
        <v>#DIV/0!</v>
      </c>
      <c r="AJ69" s="32" t="e">
        <f t="shared" si="25"/>
        <v>#DIV/0!</v>
      </c>
      <c r="AK69" s="32" t="e">
        <f t="shared" si="26"/>
        <v>#DIV/0!</v>
      </c>
      <c r="AL69" s="32" t="e">
        <f t="shared" si="27"/>
        <v>#DIV/0!</v>
      </c>
      <c r="AM69" s="32" t="e">
        <f t="shared" si="28"/>
        <v>#DIV/0!</v>
      </c>
      <c r="AN69" s="32" t="e">
        <f t="shared" si="29"/>
        <v>#DIV/0!</v>
      </c>
      <c r="AO69" s="32" t="e">
        <f t="shared" si="30"/>
        <v>#DIV/0!</v>
      </c>
      <c r="AP69" s="32" t="e">
        <f t="shared" si="31"/>
        <v>#DIV/0!</v>
      </c>
      <c r="AQ69" s="32" t="e">
        <f t="shared" si="32"/>
        <v>#DIV/0!</v>
      </c>
      <c r="AR69" s="32" t="e">
        <f t="shared" si="33"/>
        <v>#DIV/0!</v>
      </c>
      <c r="AS69" s="32">
        <f t="shared" si="34"/>
        <v>1</v>
      </c>
      <c r="AT69" s="32">
        <f t="shared" si="35"/>
        <v>-1.2096774193548192E-3</v>
      </c>
      <c r="AU69" s="32"/>
      <c r="AW69" s="16" t="s">
        <v>207</v>
      </c>
      <c r="AX69" s="32" t="e">
        <f t="shared" si="14"/>
        <v>#DIV/0!</v>
      </c>
      <c r="AY69" s="32" t="e">
        <f t="shared" si="15"/>
        <v>#DIV/0!</v>
      </c>
      <c r="AZ69" s="32" t="e">
        <f t="shared" si="16"/>
        <v>#DIV/0!</v>
      </c>
      <c r="BA69" s="32" t="e">
        <f t="shared" si="17"/>
        <v>#DIV/0!</v>
      </c>
      <c r="BB69" s="32" t="e">
        <f t="shared" si="18"/>
        <v>#DIV/0!</v>
      </c>
      <c r="BC69" s="32" t="e">
        <f t="shared" si="19"/>
        <v>#DIV/0!</v>
      </c>
      <c r="BD69" s="32" t="e">
        <f t="shared" si="20"/>
        <v>#DIV/0!</v>
      </c>
      <c r="BE69" s="32" t="e">
        <f t="shared" si="21"/>
        <v>#DIV/0!</v>
      </c>
      <c r="BF69" s="32" t="e">
        <f t="shared" si="22"/>
        <v>#DIV/0!</v>
      </c>
      <c r="BG69" s="32" t="e">
        <f t="shared" si="23"/>
        <v>#DIV/0!</v>
      </c>
      <c r="BH69" s="32" t="e">
        <f t="shared" si="24"/>
        <v>#DIV/0!</v>
      </c>
      <c r="BI69" s="32"/>
      <c r="BJ69" s="32"/>
      <c r="BK69" s="32"/>
    </row>
    <row r="70" spans="1:71" x14ac:dyDescent="0.2">
      <c r="A70" s="16" t="s">
        <v>225</v>
      </c>
      <c r="AD70" s="20"/>
      <c r="AE70" s="20"/>
      <c r="AG70" s="19" t="s">
        <v>225</v>
      </c>
      <c r="AH70" s="31">
        <f>SUM(AH5:AH69)</f>
        <v>0</v>
      </c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4"/>
      <c r="AW70" s="19" t="s">
        <v>225</v>
      </c>
      <c r="AX70" s="31" t="e">
        <f>SUM(AX5:AX69)</f>
        <v>#DIV/0!</v>
      </c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4"/>
    </row>
    <row r="72" spans="1:71" x14ac:dyDescent="0.2">
      <c r="R72" s="16" t="s">
        <v>241</v>
      </c>
      <c r="AG72" t="s">
        <v>260</v>
      </c>
      <c r="AW72" t="s">
        <v>246</v>
      </c>
    </row>
    <row r="73" spans="1:71" x14ac:dyDescent="0.2">
      <c r="R73" s="17" t="s">
        <v>224</v>
      </c>
      <c r="S73" s="17">
        <v>2010</v>
      </c>
      <c r="T73" s="17">
        <v>2011</v>
      </c>
      <c r="U73" s="17">
        <v>2012</v>
      </c>
      <c r="V73" s="17">
        <v>2013</v>
      </c>
      <c r="W73" s="17">
        <v>2014</v>
      </c>
      <c r="X73" s="17">
        <v>2015</v>
      </c>
      <c r="Y73" s="17">
        <v>2016</v>
      </c>
      <c r="Z73" s="17">
        <v>2017</v>
      </c>
      <c r="AA73" s="17">
        <v>2018</v>
      </c>
      <c r="AB73" s="17">
        <v>2019</v>
      </c>
      <c r="AC73" s="17">
        <v>2020</v>
      </c>
      <c r="AD73" s="17">
        <v>2021</v>
      </c>
      <c r="AE73" s="17">
        <v>2022</v>
      </c>
      <c r="AG73" s="17" t="s">
        <v>224</v>
      </c>
      <c r="AH73" s="17">
        <v>2010</v>
      </c>
      <c r="AI73" s="17">
        <v>2011</v>
      </c>
      <c r="AJ73" s="17">
        <v>2012</v>
      </c>
      <c r="AK73" s="17">
        <v>2013</v>
      </c>
      <c r="AL73" s="17">
        <v>2014</v>
      </c>
      <c r="AM73" s="17">
        <v>2015</v>
      </c>
      <c r="AN73" s="17">
        <v>2016</v>
      </c>
      <c r="AO73" s="17">
        <v>2017</v>
      </c>
      <c r="AP73" s="17">
        <v>2018</v>
      </c>
      <c r="AQ73" s="17">
        <v>2019</v>
      </c>
      <c r="AR73" s="17">
        <v>2020</v>
      </c>
      <c r="AS73" s="17">
        <v>2021</v>
      </c>
      <c r="AT73" s="17">
        <v>2022</v>
      </c>
      <c r="AU73" s="33"/>
      <c r="AW73" s="17" t="s">
        <v>224</v>
      </c>
      <c r="AX73" s="17" t="s">
        <v>247</v>
      </c>
      <c r="AY73" s="17" t="s">
        <v>248</v>
      </c>
      <c r="AZ73" s="17" t="s">
        <v>249</v>
      </c>
      <c r="BA73" s="17" t="s">
        <v>250</v>
      </c>
      <c r="BB73" s="17" t="s">
        <v>251</v>
      </c>
      <c r="BC73" s="17" t="s">
        <v>252</v>
      </c>
      <c r="BD73" s="17" t="s">
        <v>253</v>
      </c>
      <c r="BE73" s="17" t="s">
        <v>257</v>
      </c>
      <c r="BF73" s="17" t="s">
        <v>254</v>
      </c>
      <c r="BG73" s="17" t="s">
        <v>255</v>
      </c>
      <c r="BH73" s="17" t="s">
        <v>256</v>
      </c>
      <c r="BI73" s="33" t="s">
        <v>276</v>
      </c>
      <c r="BJ73" s="38" t="s">
        <v>278</v>
      </c>
      <c r="BK73" s="38" t="s">
        <v>279</v>
      </c>
      <c r="BL73" s="33" t="s">
        <v>267</v>
      </c>
      <c r="BQ73" t="s">
        <v>302</v>
      </c>
      <c r="BR73" t="s">
        <v>303</v>
      </c>
      <c r="BS73" t="s">
        <v>275</v>
      </c>
    </row>
    <row r="74" spans="1:71" x14ac:dyDescent="0.2">
      <c r="R74" s="16" t="s">
        <v>144</v>
      </c>
      <c r="S74" s="26">
        <v>443711</v>
      </c>
      <c r="T74" s="26">
        <v>452181</v>
      </c>
      <c r="U74" s="26">
        <v>460468</v>
      </c>
      <c r="V74" s="26">
        <v>469878</v>
      </c>
      <c r="W74" s="26">
        <v>479901</v>
      </c>
      <c r="X74" s="26">
        <v>490351</v>
      </c>
      <c r="Y74" s="26">
        <v>497822</v>
      </c>
      <c r="Z74" s="26">
        <v>503706</v>
      </c>
      <c r="AA74" s="26">
        <v>511422</v>
      </c>
      <c r="AB74" s="26">
        <v>516482</v>
      </c>
      <c r="AC74" s="26">
        <v>520433</v>
      </c>
      <c r="AD74" s="26">
        <v>523417</v>
      </c>
      <c r="AE74" s="26">
        <v>527501</v>
      </c>
      <c r="AG74" s="16" t="s">
        <v>144</v>
      </c>
      <c r="AH74" s="29">
        <v>0</v>
      </c>
      <c r="AI74" s="29">
        <f>(T74-S74)/S74</f>
        <v>1.9089001624931542E-2</v>
      </c>
      <c r="AJ74" s="29">
        <f t="shared" ref="AJ74:AJ105" si="36">(U74-T74)/T74</f>
        <v>1.8326731994488931E-2</v>
      </c>
      <c r="AK74" s="29">
        <f t="shared" ref="AK74:AK105" si="37">(V74-U74)/U74</f>
        <v>2.0435730604515406E-2</v>
      </c>
      <c r="AL74" s="29">
        <f t="shared" ref="AL74:AL105" si="38">(W74-V74)/V74</f>
        <v>2.1331068915761111E-2</v>
      </c>
      <c r="AM74" s="29">
        <f t="shared" ref="AM74:AM105" si="39">(X74-W74)/W74</f>
        <v>2.1775324494010224E-2</v>
      </c>
      <c r="AN74" s="29">
        <f t="shared" ref="AN74:AN105" si="40">(Y74-X74)/X74</f>
        <v>1.5236024806720084E-2</v>
      </c>
      <c r="AO74" s="29">
        <f t="shared" ref="AO74:AO105" si="41">(Z74-Y74)/Y74</f>
        <v>1.1819485679620427E-2</v>
      </c>
      <c r="AP74" s="29">
        <f t="shared" ref="AP74:AP105" si="42">(AA74-Z74)/Z74</f>
        <v>1.5318459577610749E-2</v>
      </c>
      <c r="AQ74" s="29">
        <f t="shared" ref="AQ74:AQ105" si="43">(AB74-AA74)/AA74</f>
        <v>9.893981877979437E-3</v>
      </c>
      <c r="AR74" s="29">
        <f t="shared" ref="AR74:AR105" si="44">(AC74-AB74)/AB74</f>
        <v>7.6498309718441302E-3</v>
      </c>
      <c r="AS74" s="29">
        <f t="shared" ref="AS74:AS105" si="45">(AD74-AC74)/AC74</f>
        <v>5.7336871412842771E-3</v>
      </c>
      <c r="AT74" s="29">
        <f t="shared" ref="AT74:AT105" si="46">(AE74-AD74)/AD74</f>
        <v>7.8025742381313563E-3</v>
      </c>
      <c r="AU74" s="29"/>
      <c r="AW74" s="16" t="s">
        <v>144</v>
      </c>
      <c r="AX74" s="32">
        <f t="shared" ref="AX74:AX84" si="47">AVERAGE(AH74:AJ74)</f>
        <v>1.2471911206473492E-2</v>
      </c>
      <c r="AY74" s="32">
        <f t="shared" ref="AY74:AY84" si="48">AVERAGE(AI74:AK74)</f>
        <v>1.9283821407978626E-2</v>
      </c>
      <c r="AZ74" s="32">
        <f t="shared" ref="AZ74:AZ84" si="49">AVERAGE(AJ74:AL74)</f>
        <v>2.003117717158848E-2</v>
      </c>
      <c r="BA74" s="32">
        <f t="shared" ref="BA74:BA84" si="50">AVERAGE(AK74:AM74)</f>
        <v>2.1180708004762249E-2</v>
      </c>
      <c r="BB74" s="32">
        <f t="shared" ref="BB74:BB84" si="51">AVERAGE(AL74:AN74)</f>
        <v>1.9447472738830473E-2</v>
      </c>
      <c r="BC74" s="32">
        <f t="shared" ref="BC74:BC84" si="52">AVERAGE(AM74:AO74)</f>
        <v>1.6276944993450244E-2</v>
      </c>
      <c r="BD74" s="32">
        <f t="shared" ref="BD74:BD84" si="53">AVERAGE(AN74:AP74)</f>
        <v>1.4124656687983753E-2</v>
      </c>
      <c r="BE74" s="32">
        <f t="shared" ref="BE74:BE84" si="54">AVERAGE(AO74:AQ74)</f>
        <v>1.2343975711736871E-2</v>
      </c>
      <c r="BF74" s="32">
        <f t="shared" ref="BF74:BF84" si="55">AVERAGE(AP74:AR74)</f>
        <v>1.0954090809144772E-2</v>
      </c>
      <c r="BG74" s="32">
        <f t="shared" ref="BG74:BG84" si="56">AVERAGE(AQ74:AS74)</f>
        <v>7.7591666637026151E-3</v>
      </c>
      <c r="BH74" s="39">
        <f t="shared" ref="BH74:BH84" si="57">AVERAGE(AR74:AT74)</f>
        <v>7.0620307837532537E-3</v>
      </c>
      <c r="BI74" s="45">
        <f t="shared" ref="BI74:BI105" si="58">(BH74-$BO$78)/$BO$79</f>
        <v>0.2342507626087364</v>
      </c>
      <c r="BJ74" s="39" t="b">
        <f>IF(BI74&gt;1,TRUE,FALSE)</f>
        <v>0</v>
      </c>
      <c r="BK74" s="39" t="b">
        <f>IF(BI74&lt;-1,TRUE,FALSE)</f>
        <v>0</v>
      </c>
      <c r="BL74" s="40" t="str">
        <f>_xlfn.XLOOKUP(AW74,'County Population Strata'!$A$3:$A$66,'County Population Strata'!$P$3:$P$66)</f>
        <v>Medium</v>
      </c>
      <c r="BQ74" s="21">
        <f>POWER(BH74-$BO$78,2)</f>
        <v>1.0802725364653632E-5</v>
      </c>
      <c r="BR74" s="21">
        <f>SUM(BQ74:BQ138)/COUNTA(BH74:BH138)</f>
        <v>1.9401293169982504E-4</v>
      </c>
      <c r="BS74">
        <f>SQRT(BR74)</f>
        <v>1.3928852490418047E-2</v>
      </c>
    </row>
    <row r="75" spans="1:71" x14ac:dyDescent="0.2">
      <c r="R75" s="16" t="s">
        <v>145</v>
      </c>
      <c r="S75" s="26">
        <v>15474</v>
      </c>
      <c r="T75" s="26">
        <v>15528</v>
      </c>
      <c r="U75" s="26">
        <v>15604</v>
      </c>
      <c r="V75" s="26">
        <v>15709</v>
      </c>
      <c r="W75" s="26">
        <v>15788</v>
      </c>
      <c r="X75" s="26">
        <v>15885</v>
      </c>
      <c r="Y75" s="26">
        <v>15936</v>
      </c>
      <c r="Z75" s="26">
        <v>16053</v>
      </c>
      <c r="AA75" s="26">
        <v>16184</v>
      </c>
      <c r="AB75" s="26">
        <v>16247</v>
      </c>
      <c r="AC75" s="26">
        <v>16371</v>
      </c>
      <c r="AD75" s="26">
        <v>16574</v>
      </c>
      <c r="AE75" s="26">
        <v>16575</v>
      </c>
      <c r="AG75" s="16" t="s">
        <v>145</v>
      </c>
      <c r="AH75" s="29">
        <v>0</v>
      </c>
      <c r="AI75" s="29">
        <f t="shared" ref="AI75:AI105" si="59">(T75-S75)/S75</f>
        <v>3.4897246994959287E-3</v>
      </c>
      <c r="AJ75" s="29">
        <f t="shared" si="36"/>
        <v>4.8943843379701188E-3</v>
      </c>
      <c r="AK75" s="29">
        <f t="shared" si="37"/>
        <v>6.7290438349141245E-3</v>
      </c>
      <c r="AL75" s="29">
        <f t="shared" si="38"/>
        <v>5.0289642879877781E-3</v>
      </c>
      <c r="AM75" s="29">
        <f t="shared" si="39"/>
        <v>6.1439067646313654E-3</v>
      </c>
      <c r="AN75" s="29">
        <f t="shared" si="40"/>
        <v>3.2105760151085929E-3</v>
      </c>
      <c r="AO75" s="29">
        <f t="shared" si="41"/>
        <v>7.3418674698795183E-3</v>
      </c>
      <c r="AP75" s="29">
        <f t="shared" si="42"/>
        <v>8.1604684482651218E-3</v>
      </c>
      <c r="AQ75" s="29">
        <f t="shared" si="43"/>
        <v>3.8927335640138406E-3</v>
      </c>
      <c r="AR75" s="29">
        <f t="shared" si="44"/>
        <v>7.6321782482919927E-3</v>
      </c>
      <c r="AS75" s="29">
        <f t="shared" si="45"/>
        <v>1.2399975566550607E-2</v>
      </c>
      <c r="AT75" s="29">
        <f t="shared" si="46"/>
        <v>6.033546518643659E-5</v>
      </c>
      <c r="AU75" s="29"/>
      <c r="AW75" s="16" t="s">
        <v>145</v>
      </c>
      <c r="AX75" s="32">
        <f t="shared" si="47"/>
        <v>2.7947030124886828E-3</v>
      </c>
      <c r="AY75" s="32">
        <f t="shared" si="48"/>
        <v>5.037717624126724E-3</v>
      </c>
      <c r="AZ75" s="32">
        <f t="shared" si="49"/>
        <v>5.5507974869573413E-3</v>
      </c>
      <c r="BA75" s="32">
        <f t="shared" si="50"/>
        <v>5.9673049625110887E-3</v>
      </c>
      <c r="BB75" s="32">
        <f t="shared" si="51"/>
        <v>4.7944823559092449E-3</v>
      </c>
      <c r="BC75" s="32">
        <f t="shared" si="52"/>
        <v>5.5654500832064925E-3</v>
      </c>
      <c r="BD75" s="32">
        <f t="shared" si="53"/>
        <v>6.2376373110844098E-3</v>
      </c>
      <c r="BE75" s="32">
        <f t="shared" si="54"/>
        <v>6.4650231607194936E-3</v>
      </c>
      <c r="BF75" s="32">
        <f t="shared" si="55"/>
        <v>6.561793420190319E-3</v>
      </c>
      <c r="BG75" s="32">
        <f t="shared" si="56"/>
        <v>7.9749624596188121E-3</v>
      </c>
      <c r="BH75" s="41">
        <f t="shared" si="57"/>
        <v>6.6974964266763451E-3</v>
      </c>
      <c r="BI75" s="46">
        <f t="shared" si="58"/>
        <v>0.2082699451068544</v>
      </c>
      <c r="BJ75" s="41" t="b">
        <f>IF(BI75&gt;1,TRUE,FALSE)</f>
        <v>0</v>
      </c>
      <c r="BK75" s="41" t="b">
        <f>IF(BI75&lt;-1,TRUE,FALSE)</f>
        <v>0</v>
      </c>
      <c r="BL75" s="42" t="str">
        <f>_xlfn.XLOOKUP(AW75,'County Population Strata'!$A$3:$A$66,'County Population Strata'!$P$3:$P$66)</f>
        <v>Tiny</v>
      </c>
      <c r="BN75" t="s">
        <v>277</v>
      </c>
      <c r="BO75">
        <f>COUNTA(BH74:BH138)</f>
        <v>64</v>
      </c>
      <c r="BQ75" s="21">
        <f t="shared" ref="BQ75:BQ138" si="60">POWER(BH75-$BO$78,2)</f>
        <v>8.5393440878412452E-6</v>
      </c>
    </row>
    <row r="76" spans="1:71" x14ac:dyDescent="0.2">
      <c r="R76" s="16" t="s">
        <v>146</v>
      </c>
      <c r="S76" s="26">
        <v>574819</v>
      </c>
      <c r="T76" s="26">
        <v>585817</v>
      </c>
      <c r="U76" s="26">
        <v>596228</v>
      </c>
      <c r="V76" s="26">
        <v>607861</v>
      </c>
      <c r="W76" s="26">
        <v>618310</v>
      </c>
      <c r="X76" s="26">
        <v>629965</v>
      </c>
      <c r="Y76" s="26">
        <v>637656</v>
      </c>
      <c r="Z76" s="26">
        <v>642976</v>
      </c>
      <c r="AA76" s="26">
        <v>650167</v>
      </c>
      <c r="AB76" s="26">
        <v>653804</v>
      </c>
      <c r="AC76" s="26">
        <v>655212</v>
      </c>
      <c r="AD76" s="26">
        <v>656722</v>
      </c>
      <c r="AE76" s="26">
        <v>656015</v>
      </c>
      <c r="AG76" s="16" t="s">
        <v>146</v>
      </c>
      <c r="AH76" s="29">
        <v>0</v>
      </c>
      <c r="AI76" s="29">
        <f t="shared" si="59"/>
        <v>1.9132979250859834E-2</v>
      </c>
      <c r="AJ76" s="29">
        <f t="shared" si="36"/>
        <v>1.7771761488656015E-2</v>
      </c>
      <c r="AK76" s="29">
        <f t="shared" si="37"/>
        <v>1.9510992439134022E-2</v>
      </c>
      <c r="AL76" s="29">
        <f t="shared" si="38"/>
        <v>1.7189785164700482E-2</v>
      </c>
      <c r="AM76" s="29">
        <f t="shared" si="39"/>
        <v>1.8849767915770407E-2</v>
      </c>
      <c r="AN76" s="29">
        <f t="shared" si="40"/>
        <v>1.2208614764312302E-2</v>
      </c>
      <c r="AO76" s="29">
        <f t="shared" si="41"/>
        <v>8.3430564442269813E-3</v>
      </c>
      <c r="AP76" s="29">
        <f t="shared" si="42"/>
        <v>1.1183932215199322E-2</v>
      </c>
      <c r="AQ76" s="29">
        <f t="shared" si="43"/>
        <v>5.5939474012061518E-3</v>
      </c>
      <c r="AR76" s="29">
        <f t="shared" si="44"/>
        <v>2.1535506053802058E-3</v>
      </c>
      <c r="AS76" s="29">
        <f t="shared" si="45"/>
        <v>2.3045975958926272E-3</v>
      </c>
      <c r="AT76" s="29">
        <f t="shared" si="46"/>
        <v>-1.0765590310664178E-3</v>
      </c>
      <c r="AU76" s="29"/>
      <c r="AW76" s="16" t="s">
        <v>146</v>
      </c>
      <c r="AX76" s="32">
        <f t="shared" si="47"/>
        <v>1.2301580246505283E-2</v>
      </c>
      <c r="AY76" s="32">
        <f t="shared" si="48"/>
        <v>1.8805244392883291E-2</v>
      </c>
      <c r="AZ76" s="32">
        <f t="shared" si="49"/>
        <v>1.8157513030830175E-2</v>
      </c>
      <c r="BA76" s="32">
        <f t="shared" si="50"/>
        <v>1.8516848506534969E-2</v>
      </c>
      <c r="BB76" s="32">
        <f t="shared" si="51"/>
        <v>1.6082722614927731E-2</v>
      </c>
      <c r="BC76" s="32">
        <f t="shared" si="52"/>
        <v>1.3133813041436564E-2</v>
      </c>
      <c r="BD76" s="32">
        <f t="shared" si="53"/>
        <v>1.0578534474579536E-2</v>
      </c>
      <c r="BE76" s="32">
        <f t="shared" si="54"/>
        <v>8.3736453535441513E-3</v>
      </c>
      <c r="BF76" s="32">
        <f t="shared" si="55"/>
        <v>6.3104767405952264E-3</v>
      </c>
      <c r="BG76" s="32">
        <f t="shared" si="56"/>
        <v>3.3506985341596614E-3</v>
      </c>
      <c r="BH76" s="41">
        <f t="shared" si="57"/>
        <v>1.127196390068805E-3</v>
      </c>
      <c r="BI76" s="46">
        <f t="shared" si="58"/>
        <v>-0.18873227394953571</v>
      </c>
      <c r="BJ76" s="41" t="b">
        <f t="shared" ref="BJ76:BJ137" si="61">IF(BI76&gt;1,TRUE,FALSE)</f>
        <v>0</v>
      </c>
      <c r="BK76" s="41" t="b">
        <f t="shared" ref="BK76:BK137" si="62">IF(BI76&lt;-1,TRUE,FALSE)</f>
        <v>0</v>
      </c>
      <c r="BL76" s="42" t="str">
        <f>_xlfn.XLOOKUP(AW76,'County Population Strata'!$A$3:$A$66,'County Population Strata'!$P$3:$P$66)</f>
        <v>Large</v>
      </c>
      <c r="BN76" t="s">
        <v>304</v>
      </c>
      <c r="BO76" s="21">
        <f>BR74</f>
        <v>1.9401293169982504E-4</v>
      </c>
      <c r="BQ76" s="21">
        <f t="shared" si="60"/>
        <v>7.0123511154769395E-6</v>
      </c>
    </row>
    <row r="77" spans="1:71" x14ac:dyDescent="0.2">
      <c r="R77" s="16" t="s">
        <v>147</v>
      </c>
      <c r="S77" s="26">
        <v>12060</v>
      </c>
      <c r="T77" s="26">
        <v>11955</v>
      </c>
      <c r="U77" s="26">
        <v>11990</v>
      </c>
      <c r="V77" s="26">
        <v>11995</v>
      </c>
      <c r="W77" s="26">
        <v>11931</v>
      </c>
      <c r="X77" s="26">
        <v>12009</v>
      </c>
      <c r="Y77" s="26">
        <v>12362</v>
      </c>
      <c r="Z77" s="26">
        <v>12758</v>
      </c>
      <c r="AA77" s="26">
        <v>13034</v>
      </c>
      <c r="AB77" s="26">
        <v>13194</v>
      </c>
      <c r="AC77" s="26">
        <v>13428</v>
      </c>
      <c r="AD77" s="26">
        <v>13812</v>
      </c>
      <c r="AE77" s="26">
        <v>13986</v>
      </c>
      <c r="AG77" s="16" t="s">
        <v>147</v>
      </c>
      <c r="AH77" s="29">
        <v>0</v>
      </c>
      <c r="AI77" s="29">
        <f t="shared" si="59"/>
        <v>-8.7064676616915426E-3</v>
      </c>
      <c r="AJ77" s="29">
        <f t="shared" si="36"/>
        <v>2.9276453366792136E-3</v>
      </c>
      <c r="AK77" s="29">
        <f t="shared" si="37"/>
        <v>4.1701417848206837E-4</v>
      </c>
      <c r="AL77" s="29">
        <f t="shared" si="38"/>
        <v>-5.3355564818674444E-3</v>
      </c>
      <c r="AM77" s="29">
        <f t="shared" si="39"/>
        <v>6.5375911491073677E-3</v>
      </c>
      <c r="AN77" s="29">
        <f t="shared" si="40"/>
        <v>2.9394620701140812E-2</v>
      </c>
      <c r="AO77" s="29">
        <f t="shared" si="41"/>
        <v>3.2033651512700212E-2</v>
      </c>
      <c r="AP77" s="29">
        <f t="shared" si="42"/>
        <v>2.1633484872237027E-2</v>
      </c>
      <c r="AQ77" s="29">
        <f t="shared" si="43"/>
        <v>1.2275586926499923E-2</v>
      </c>
      <c r="AR77" s="29">
        <f t="shared" si="44"/>
        <v>1.7735334242837655E-2</v>
      </c>
      <c r="AS77" s="29">
        <f t="shared" si="45"/>
        <v>2.8596961572832886E-2</v>
      </c>
      <c r="AT77" s="29">
        <f t="shared" si="46"/>
        <v>1.2597741094700261E-2</v>
      </c>
      <c r="AU77" s="29"/>
      <c r="AW77" s="16" t="s">
        <v>147</v>
      </c>
      <c r="AX77" s="32">
        <f t="shared" si="47"/>
        <v>-1.9262741083374429E-3</v>
      </c>
      <c r="AY77" s="32">
        <f t="shared" si="48"/>
        <v>-1.7872693821767538E-3</v>
      </c>
      <c r="AZ77" s="32">
        <f t="shared" si="49"/>
        <v>-6.6363232223538751E-4</v>
      </c>
      <c r="BA77" s="32">
        <f t="shared" si="50"/>
        <v>5.3968294857399733E-4</v>
      </c>
      <c r="BB77" s="32">
        <f t="shared" si="51"/>
        <v>1.0198885122793579E-2</v>
      </c>
      <c r="BC77" s="32">
        <f t="shared" si="52"/>
        <v>2.2655287787649466E-2</v>
      </c>
      <c r="BD77" s="32">
        <f t="shared" si="53"/>
        <v>2.7687252362026016E-2</v>
      </c>
      <c r="BE77" s="32">
        <f t="shared" si="54"/>
        <v>2.1980907770479053E-2</v>
      </c>
      <c r="BF77" s="32">
        <f t="shared" si="55"/>
        <v>1.7214802013858204E-2</v>
      </c>
      <c r="BG77" s="32">
        <f t="shared" si="56"/>
        <v>1.9535960914056821E-2</v>
      </c>
      <c r="BH77" s="41">
        <f t="shared" si="57"/>
        <v>1.9643345636790266E-2</v>
      </c>
      <c r="BI77" s="46">
        <f t="shared" si="58"/>
        <v>1.1309367368789456</v>
      </c>
      <c r="BJ77" s="41" t="b">
        <f t="shared" si="61"/>
        <v>1</v>
      </c>
      <c r="BK77" s="41" t="b">
        <f>IF(BI77&lt;-1,TRUE,FALSE)</f>
        <v>0</v>
      </c>
      <c r="BL77" s="42" t="str">
        <f>_xlfn.XLOOKUP(AW77,'County Population Strata'!$A$3:$A$66,'County Population Strata'!$P$3:$P$66)</f>
        <v>Tiny</v>
      </c>
      <c r="BN77" t="s">
        <v>305</v>
      </c>
      <c r="BO77">
        <f>BS74</f>
        <v>1.3928852490418047E-2</v>
      </c>
      <c r="BQ77" s="21">
        <f t="shared" si="60"/>
        <v>2.5179548122500822E-4</v>
      </c>
    </row>
    <row r="78" spans="1:71" x14ac:dyDescent="0.2">
      <c r="R78" s="16" t="s">
        <v>148</v>
      </c>
      <c r="S78" s="26">
        <v>3795</v>
      </c>
      <c r="T78" s="26">
        <v>3767</v>
      </c>
      <c r="U78" s="26">
        <v>3704</v>
      </c>
      <c r="V78" s="26">
        <v>3637</v>
      </c>
      <c r="W78" s="26">
        <v>3564</v>
      </c>
      <c r="X78" s="26">
        <v>3530</v>
      </c>
      <c r="Y78" s="26">
        <v>3505</v>
      </c>
      <c r="Z78" s="26">
        <v>3523</v>
      </c>
      <c r="AA78" s="26">
        <v>3550</v>
      </c>
      <c r="AB78" s="26">
        <v>3565</v>
      </c>
      <c r="AC78" s="26">
        <v>3478</v>
      </c>
      <c r="AD78" s="26">
        <v>3491</v>
      </c>
      <c r="AE78" s="26">
        <v>3431</v>
      </c>
      <c r="AG78" s="16" t="s">
        <v>148</v>
      </c>
      <c r="AH78" s="29">
        <v>0</v>
      </c>
      <c r="AI78" s="29">
        <f t="shared" si="59"/>
        <v>-7.3781291172595517E-3</v>
      </c>
      <c r="AJ78" s="29">
        <f t="shared" si="36"/>
        <v>-1.6724183700557473E-2</v>
      </c>
      <c r="AK78" s="29">
        <f t="shared" si="37"/>
        <v>-1.8088552915766738E-2</v>
      </c>
      <c r="AL78" s="29">
        <f t="shared" si="38"/>
        <v>-2.0071487489689305E-2</v>
      </c>
      <c r="AM78" s="29">
        <f t="shared" si="39"/>
        <v>-9.5398428731762065E-3</v>
      </c>
      <c r="AN78" s="29">
        <f t="shared" si="40"/>
        <v>-7.0821529745042494E-3</v>
      </c>
      <c r="AO78" s="29">
        <f t="shared" si="41"/>
        <v>5.1355206847360909E-3</v>
      </c>
      <c r="AP78" s="29">
        <f t="shared" si="42"/>
        <v>7.6639227930740848E-3</v>
      </c>
      <c r="AQ78" s="29">
        <f t="shared" si="43"/>
        <v>4.2253521126760559E-3</v>
      </c>
      <c r="AR78" s="29">
        <f t="shared" si="44"/>
        <v>-2.4403927068723703E-2</v>
      </c>
      <c r="AS78" s="29">
        <f t="shared" si="45"/>
        <v>3.7377803335250145E-3</v>
      </c>
      <c r="AT78" s="29">
        <f t="shared" si="46"/>
        <v>-1.7187052420509882E-2</v>
      </c>
      <c r="AU78" s="29"/>
      <c r="AW78" s="16" t="s">
        <v>148</v>
      </c>
      <c r="AX78" s="32">
        <f t="shared" si="47"/>
        <v>-8.0341042726056744E-3</v>
      </c>
      <c r="AY78" s="32">
        <f t="shared" si="48"/>
        <v>-1.4063621911194585E-2</v>
      </c>
      <c r="AZ78" s="32">
        <f t="shared" si="49"/>
        <v>-1.829474136867117E-2</v>
      </c>
      <c r="BA78" s="32">
        <f t="shared" si="50"/>
        <v>-1.5899961092877415E-2</v>
      </c>
      <c r="BB78" s="32">
        <f t="shared" si="51"/>
        <v>-1.2231161112456588E-2</v>
      </c>
      <c r="BC78" s="32">
        <f t="shared" si="52"/>
        <v>-3.8288250543147876E-3</v>
      </c>
      <c r="BD78" s="32">
        <f t="shared" si="53"/>
        <v>1.9057635011019754E-3</v>
      </c>
      <c r="BE78" s="32">
        <f t="shared" si="54"/>
        <v>5.6749318634954108E-3</v>
      </c>
      <c r="BF78" s="32">
        <f t="shared" si="55"/>
        <v>-4.1715507209911873E-3</v>
      </c>
      <c r="BG78" s="32">
        <f t="shared" si="56"/>
        <v>-5.4802648741742108E-3</v>
      </c>
      <c r="BH78" s="41">
        <f t="shared" si="57"/>
        <v>-1.2617733051902858E-2</v>
      </c>
      <c r="BI78" s="46">
        <f t="shared" si="58"/>
        <v>-1.1683505087618162</v>
      </c>
      <c r="BJ78" s="41" t="b">
        <f t="shared" si="61"/>
        <v>0</v>
      </c>
      <c r="BK78" s="41" t="b">
        <f t="shared" si="62"/>
        <v>1</v>
      </c>
      <c r="BL78" s="42" t="str">
        <f>_xlfn.XLOOKUP(AW78,'County Population Strata'!$A$3:$A$66,'County Population Strata'!$P$3:$P$66)</f>
        <v>Tiny</v>
      </c>
      <c r="BN78" t="s">
        <v>274</v>
      </c>
      <c r="BO78" s="37">
        <f>AVERAGE(BH74:BH138)</f>
        <v>3.7752808138508225E-3</v>
      </c>
      <c r="BQ78" s="21">
        <f t="shared" si="60"/>
        <v>2.6873090360279248E-4</v>
      </c>
    </row>
    <row r="79" spans="1:71" x14ac:dyDescent="0.2">
      <c r="R79" s="16" t="s">
        <v>149</v>
      </c>
      <c r="S79" s="26">
        <v>6506</v>
      </c>
      <c r="T79" s="26">
        <v>6355</v>
      </c>
      <c r="U79" s="26">
        <v>5864</v>
      </c>
      <c r="V79" s="26">
        <v>5800</v>
      </c>
      <c r="W79" s="26">
        <v>5851</v>
      </c>
      <c r="X79" s="26">
        <v>5966</v>
      </c>
      <c r="Y79" s="26">
        <v>5753</v>
      </c>
      <c r="Z79" s="26">
        <v>5968</v>
      </c>
      <c r="AA79" s="26">
        <v>5984</v>
      </c>
      <c r="AB79" s="26">
        <v>5980</v>
      </c>
      <c r="AC79" s="26">
        <v>5477</v>
      </c>
      <c r="AD79" s="26">
        <v>5334</v>
      </c>
      <c r="AE79" s="26">
        <v>5400</v>
      </c>
      <c r="AG79" s="16" t="s">
        <v>149</v>
      </c>
      <c r="AH79" s="29">
        <v>0</v>
      </c>
      <c r="AI79" s="29">
        <f t="shared" si="59"/>
        <v>-2.320934521979711E-2</v>
      </c>
      <c r="AJ79" s="29">
        <f t="shared" si="36"/>
        <v>-7.7261998426435871E-2</v>
      </c>
      <c r="AK79" s="29">
        <f t="shared" si="37"/>
        <v>-1.0914051841746248E-2</v>
      </c>
      <c r="AL79" s="29">
        <f t="shared" si="38"/>
        <v>8.7931034482758626E-3</v>
      </c>
      <c r="AM79" s="29">
        <f t="shared" si="39"/>
        <v>1.9654759870107674E-2</v>
      </c>
      <c r="AN79" s="29">
        <f t="shared" si="40"/>
        <v>-3.5702313107609789E-2</v>
      </c>
      <c r="AO79" s="29">
        <f t="shared" si="41"/>
        <v>3.7371806014253432E-2</v>
      </c>
      <c r="AP79" s="29">
        <f t="shared" si="42"/>
        <v>2.6809651474530832E-3</v>
      </c>
      <c r="AQ79" s="29">
        <f t="shared" si="43"/>
        <v>-6.6844919786096253E-4</v>
      </c>
      <c r="AR79" s="29">
        <f t="shared" si="44"/>
        <v>-8.4113712374581942E-2</v>
      </c>
      <c r="AS79" s="29">
        <f t="shared" si="45"/>
        <v>-2.610918385977725E-2</v>
      </c>
      <c r="AT79" s="29">
        <f t="shared" si="46"/>
        <v>1.2373453318335208E-2</v>
      </c>
      <c r="AU79" s="29"/>
      <c r="AW79" s="16" t="s">
        <v>149</v>
      </c>
      <c r="AX79" s="32">
        <f t="shared" si="47"/>
        <v>-3.349044788207766E-2</v>
      </c>
      <c r="AY79" s="32">
        <f t="shared" si="48"/>
        <v>-3.7128465162659739E-2</v>
      </c>
      <c r="AZ79" s="32">
        <f t="shared" si="49"/>
        <v>-2.6460982273302087E-2</v>
      </c>
      <c r="BA79" s="32">
        <f t="shared" si="50"/>
        <v>5.8446038255457631E-3</v>
      </c>
      <c r="BB79" s="32">
        <f t="shared" si="51"/>
        <v>-2.4181499297420833E-3</v>
      </c>
      <c r="BC79" s="32">
        <f t="shared" si="52"/>
        <v>7.1080842589171063E-3</v>
      </c>
      <c r="BD79" s="32">
        <f t="shared" si="53"/>
        <v>1.450152684698909E-3</v>
      </c>
      <c r="BE79" s="32">
        <f t="shared" si="54"/>
        <v>1.312810732128185E-2</v>
      </c>
      <c r="BF79" s="32">
        <f t="shared" si="55"/>
        <v>-2.7367065474996607E-2</v>
      </c>
      <c r="BG79" s="32">
        <f t="shared" si="56"/>
        <v>-3.6963781810740053E-2</v>
      </c>
      <c r="BH79" s="41">
        <f t="shared" si="57"/>
        <v>-3.2616480972007991E-2</v>
      </c>
      <c r="BI79" s="46">
        <f t="shared" si="58"/>
        <v>-2.5936861729905063</v>
      </c>
      <c r="BJ79" s="41" t="b">
        <f t="shared" si="61"/>
        <v>0</v>
      </c>
      <c r="BK79" s="41" t="b">
        <f t="shared" si="62"/>
        <v>1</v>
      </c>
      <c r="BL79" s="42" t="str">
        <f>_xlfn.XLOOKUP(AW79,'County Population Strata'!$A$3:$A$66,'County Population Strata'!$P$3:$P$66)</f>
        <v>Tiny</v>
      </c>
      <c r="BN79" t="s">
        <v>301</v>
      </c>
      <c r="BO79">
        <f>STDEV(BH74:BH138)</f>
        <v>1.4030904033350847E-2</v>
      </c>
      <c r="BQ79" s="21">
        <f t="shared" si="60"/>
        <v>1.3243603258786942E-3</v>
      </c>
    </row>
    <row r="80" spans="1:71" x14ac:dyDescent="0.2">
      <c r="R80" s="16" t="s">
        <v>150</v>
      </c>
      <c r="S80" s="26">
        <v>295605</v>
      </c>
      <c r="T80" s="26">
        <v>300526</v>
      </c>
      <c r="U80" s="26">
        <v>305881</v>
      </c>
      <c r="V80" s="26">
        <v>310896</v>
      </c>
      <c r="W80" s="26">
        <v>314213</v>
      </c>
      <c r="X80" s="26">
        <v>320352</v>
      </c>
      <c r="Y80" s="26">
        <v>323957</v>
      </c>
      <c r="Z80" s="26">
        <v>325414</v>
      </c>
      <c r="AA80" s="26">
        <v>328055</v>
      </c>
      <c r="AB80" s="26">
        <v>328827</v>
      </c>
      <c r="AC80" s="26">
        <v>330923</v>
      </c>
      <c r="AD80" s="26">
        <v>327080</v>
      </c>
      <c r="AE80" s="26">
        <v>327424</v>
      </c>
      <c r="AG80" s="16" t="s">
        <v>150</v>
      </c>
      <c r="AH80" s="29">
        <v>0</v>
      </c>
      <c r="AI80" s="29">
        <f t="shared" si="59"/>
        <v>1.6647215033575209E-2</v>
      </c>
      <c r="AJ80" s="29">
        <f t="shared" si="36"/>
        <v>1.7818757778029187E-2</v>
      </c>
      <c r="AK80" s="29">
        <f t="shared" si="37"/>
        <v>1.6395264825209803E-2</v>
      </c>
      <c r="AL80" s="29">
        <f t="shared" si="38"/>
        <v>1.0669162678194637E-2</v>
      </c>
      <c r="AM80" s="29">
        <f t="shared" si="39"/>
        <v>1.9537702131993264E-2</v>
      </c>
      <c r="AN80" s="29">
        <f t="shared" si="40"/>
        <v>1.1253246428928179E-2</v>
      </c>
      <c r="AO80" s="29">
        <f t="shared" si="41"/>
        <v>4.4975104720688238E-3</v>
      </c>
      <c r="AP80" s="29">
        <f t="shared" si="42"/>
        <v>8.1158155457355854E-3</v>
      </c>
      <c r="AQ80" s="29">
        <f t="shared" si="43"/>
        <v>2.3532639344012438E-3</v>
      </c>
      <c r="AR80" s="29">
        <f t="shared" si="44"/>
        <v>6.374172437178212E-3</v>
      </c>
      <c r="AS80" s="29">
        <f t="shared" si="45"/>
        <v>-1.161297341073301E-2</v>
      </c>
      <c r="AT80" s="29">
        <f t="shared" si="46"/>
        <v>1.0517304634951694E-3</v>
      </c>
      <c r="AU80" s="29"/>
      <c r="AW80" s="16" t="s">
        <v>150</v>
      </c>
      <c r="AX80" s="32">
        <f t="shared" si="47"/>
        <v>1.148865760386813E-2</v>
      </c>
      <c r="AY80" s="32">
        <f t="shared" si="48"/>
        <v>1.6953745878938064E-2</v>
      </c>
      <c r="AZ80" s="32">
        <f t="shared" si="49"/>
        <v>1.4961061760477875E-2</v>
      </c>
      <c r="BA80" s="32">
        <f t="shared" si="50"/>
        <v>1.5534043211799234E-2</v>
      </c>
      <c r="BB80" s="32">
        <f t="shared" si="51"/>
        <v>1.3820037079705361E-2</v>
      </c>
      <c r="BC80" s="32">
        <f t="shared" si="52"/>
        <v>1.1762819677663421E-2</v>
      </c>
      <c r="BD80" s="32">
        <f t="shared" si="53"/>
        <v>7.9555241489108631E-3</v>
      </c>
      <c r="BE80" s="32">
        <f t="shared" si="54"/>
        <v>4.9888633174018839E-3</v>
      </c>
      <c r="BF80" s="32">
        <f t="shared" si="55"/>
        <v>5.6144173057716797E-3</v>
      </c>
      <c r="BG80" s="32">
        <f t="shared" si="56"/>
        <v>-9.6184567971785136E-4</v>
      </c>
      <c r="BH80" s="41">
        <f t="shared" si="57"/>
        <v>-1.3956901700198764E-3</v>
      </c>
      <c r="BI80" s="46">
        <f t="shared" si="58"/>
        <v>-0.36854154027278119</v>
      </c>
      <c r="BJ80" s="41" t="b">
        <f t="shared" si="61"/>
        <v>0</v>
      </c>
      <c r="BK80" s="41" t="b">
        <f t="shared" si="62"/>
        <v>0</v>
      </c>
      <c r="BL80" s="42" t="str">
        <f>_xlfn.XLOOKUP(AW80,'County Population Strata'!$A$3:$A$66,'County Population Strata'!$P$3:$P$66)</f>
        <v>Small</v>
      </c>
      <c r="BN80" t="s">
        <v>310</v>
      </c>
      <c r="BO80">
        <f>BO79/BO83</f>
        <v>3.6923431666712756</v>
      </c>
      <c r="BQ80" s="21">
        <f t="shared" si="60"/>
        <v>2.6738940916032704E-5</v>
      </c>
    </row>
    <row r="81" spans="18:69" x14ac:dyDescent="0.2">
      <c r="R81" s="16" t="s">
        <v>151</v>
      </c>
      <c r="S81" s="26">
        <v>56107</v>
      </c>
      <c r="T81" s="26">
        <v>57584</v>
      </c>
      <c r="U81" s="26">
        <v>59271</v>
      </c>
      <c r="V81" s="26">
        <v>60669</v>
      </c>
      <c r="W81" s="26">
        <v>62504</v>
      </c>
      <c r="X81" s="26">
        <v>65831</v>
      </c>
      <c r="Y81" s="26">
        <v>67707</v>
      </c>
      <c r="Z81" s="26">
        <v>69655</v>
      </c>
      <c r="AA81" s="26">
        <v>71322</v>
      </c>
      <c r="AB81" s="26">
        <v>72669</v>
      </c>
      <c r="AC81" s="26">
        <v>74494</v>
      </c>
      <c r="AD81" s="26">
        <v>75415</v>
      </c>
      <c r="AE81" s="26">
        <v>76155</v>
      </c>
      <c r="AG81" s="16" t="s">
        <v>151</v>
      </c>
      <c r="AH81" s="29">
        <v>0</v>
      </c>
      <c r="AI81" s="29">
        <f t="shared" si="59"/>
        <v>2.6324701017698328E-2</v>
      </c>
      <c r="AJ81" s="29">
        <f t="shared" si="36"/>
        <v>2.9296332314531815E-2</v>
      </c>
      <c r="AK81" s="29">
        <f t="shared" si="37"/>
        <v>2.3586576909449816E-2</v>
      </c>
      <c r="AL81" s="29">
        <f t="shared" si="38"/>
        <v>3.0246089436120588E-2</v>
      </c>
      <c r="AM81" s="29">
        <f t="shared" si="39"/>
        <v>5.3228593370024321E-2</v>
      </c>
      <c r="AN81" s="29">
        <f t="shared" si="40"/>
        <v>2.8497212559432487E-2</v>
      </c>
      <c r="AO81" s="29">
        <f t="shared" si="41"/>
        <v>2.8771028106399633E-2</v>
      </c>
      <c r="AP81" s="29">
        <f t="shared" si="42"/>
        <v>2.3932237456033307E-2</v>
      </c>
      <c r="AQ81" s="29">
        <f t="shared" si="43"/>
        <v>1.8886178177841339E-2</v>
      </c>
      <c r="AR81" s="29">
        <f t="shared" si="44"/>
        <v>2.5113872490332881E-2</v>
      </c>
      <c r="AS81" s="29">
        <f t="shared" si="45"/>
        <v>1.2363411818401481E-2</v>
      </c>
      <c r="AT81" s="29">
        <f t="shared" si="46"/>
        <v>9.8123715441225216E-3</v>
      </c>
      <c r="AU81" s="29"/>
      <c r="AW81" s="16" t="s">
        <v>151</v>
      </c>
      <c r="AX81" s="32">
        <f t="shared" si="47"/>
        <v>1.8540344444076717E-2</v>
      </c>
      <c r="AY81" s="32">
        <f t="shared" si="48"/>
        <v>2.6402536747226656E-2</v>
      </c>
      <c r="AZ81" s="32">
        <f t="shared" si="49"/>
        <v>2.7709666220034072E-2</v>
      </c>
      <c r="BA81" s="32">
        <f t="shared" si="50"/>
        <v>3.5687086571864909E-2</v>
      </c>
      <c r="BB81" s="32">
        <f t="shared" si="51"/>
        <v>3.7323965121859128E-2</v>
      </c>
      <c r="BC81" s="32">
        <f t="shared" si="52"/>
        <v>3.6832278011952144E-2</v>
      </c>
      <c r="BD81" s="32">
        <f t="shared" si="53"/>
        <v>2.706682604062181E-2</v>
      </c>
      <c r="BE81" s="32">
        <f t="shared" si="54"/>
        <v>2.3863147913424757E-2</v>
      </c>
      <c r="BF81" s="32">
        <f t="shared" si="55"/>
        <v>2.2644096041402509E-2</v>
      </c>
      <c r="BG81" s="32">
        <f t="shared" si="56"/>
        <v>1.8787820828858569E-2</v>
      </c>
      <c r="BH81" s="41">
        <f t="shared" si="57"/>
        <v>1.5763218617618962E-2</v>
      </c>
      <c r="BI81" s="46">
        <f t="shared" si="58"/>
        <v>0.85439525316924225</v>
      </c>
      <c r="BJ81" s="41" t="b">
        <f t="shared" si="61"/>
        <v>0</v>
      </c>
      <c r="BK81" s="41" t="b">
        <f t="shared" si="62"/>
        <v>0</v>
      </c>
      <c r="BL81" s="42" t="str">
        <f>_xlfn.XLOOKUP(AW81,'County Population Strata'!$A$3:$A$66,'County Population Strata'!$P$3:$P$66)</f>
        <v>Small</v>
      </c>
      <c r="BQ81" s="21">
        <f t="shared" si="60"/>
        <v>1.4371065278701329E-4</v>
      </c>
    </row>
    <row r="82" spans="18:69" x14ac:dyDescent="0.2">
      <c r="R82" s="16" t="s">
        <v>152</v>
      </c>
      <c r="S82" s="26">
        <v>17797</v>
      </c>
      <c r="T82" s="26">
        <v>17932</v>
      </c>
      <c r="U82" s="26">
        <v>17967</v>
      </c>
      <c r="V82" s="26">
        <v>18036</v>
      </c>
      <c r="W82" s="26">
        <v>18066</v>
      </c>
      <c r="X82" s="26">
        <v>18108</v>
      </c>
      <c r="Y82" s="26">
        <v>18519</v>
      </c>
      <c r="Z82" s="26">
        <v>18967</v>
      </c>
      <c r="AA82" s="26">
        <v>19250</v>
      </c>
      <c r="AB82" s="26">
        <v>19391</v>
      </c>
      <c r="AC82" s="26">
        <v>19478</v>
      </c>
      <c r="AD82" s="26">
        <v>19737</v>
      </c>
      <c r="AE82" s="26">
        <v>20261</v>
      </c>
      <c r="AG82" s="16" t="s">
        <v>152</v>
      </c>
      <c r="AH82" s="29">
        <v>0</v>
      </c>
      <c r="AI82" s="29">
        <f t="shared" si="59"/>
        <v>7.5855481260886665E-3</v>
      </c>
      <c r="AJ82" s="29">
        <f t="shared" si="36"/>
        <v>1.9518179790318983E-3</v>
      </c>
      <c r="AK82" s="29">
        <f t="shared" si="37"/>
        <v>3.8403740190348975E-3</v>
      </c>
      <c r="AL82" s="29">
        <f t="shared" si="38"/>
        <v>1.66333998669328E-3</v>
      </c>
      <c r="AM82" s="29">
        <f t="shared" si="39"/>
        <v>2.3248090335436732E-3</v>
      </c>
      <c r="AN82" s="29">
        <f t="shared" si="40"/>
        <v>2.2697150430748839E-2</v>
      </c>
      <c r="AO82" s="29">
        <f t="shared" si="41"/>
        <v>2.4191371024353366E-2</v>
      </c>
      <c r="AP82" s="29">
        <f t="shared" si="42"/>
        <v>1.492065165814309E-2</v>
      </c>
      <c r="AQ82" s="29">
        <f t="shared" si="43"/>
        <v>7.3246753246753249E-3</v>
      </c>
      <c r="AR82" s="29">
        <f t="shared" si="44"/>
        <v>4.4866175029652936E-3</v>
      </c>
      <c r="AS82" s="29">
        <f t="shared" si="45"/>
        <v>1.3297053085532395E-2</v>
      </c>
      <c r="AT82" s="29">
        <f t="shared" si="46"/>
        <v>2.6549120940365812E-2</v>
      </c>
      <c r="AU82" s="29"/>
      <c r="AW82" s="16" t="s">
        <v>152</v>
      </c>
      <c r="AX82" s="32">
        <f t="shared" si="47"/>
        <v>3.1791220350401886E-3</v>
      </c>
      <c r="AY82" s="32">
        <f t="shared" si="48"/>
        <v>4.4592467080518212E-3</v>
      </c>
      <c r="AZ82" s="32">
        <f t="shared" si="49"/>
        <v>2.4851773282533588E-3</v>
      </c>
      <c r="BA82" s="32">
        <f t="shared" si="50"/>
        <v>2.6095076797572835E-3</v>
      </c>
      <c r="BB82" s="32">
        <f t="shared" si="51"/>
        <v>8.8950998169952649E-3</v>
      </c>
      <c r="BC82" s="32">
        <f t="shared" si="52"/>
        <v>1.6404443496215292E-2</v>
      </c>
      <c r="BD82" s="32">
        <f t="shared" si="53"/>
        <v>2.06030577044151E-2</v>
      </c>
      <c r="BE82" s="32">
        <f t="shared" si="54"/>
        <v>1.5478899335723927E-2</v>
      </c>
      <c r="BF82" s="32">
        <f t="shared" si="55"/>
        <v>8.9106481619279036E-3</v>
      </c>
      <c r="BG82" s="32">
        <f t="shared" si="56"/>
        <v>8.3694486377243384E-3</v>
      </c>
      <c r="BH82" s="41">
        <f t="shared" si="57"/>
        <v>1.4777597176287835E-2</v>
      </c>
      <c r="BI82" s="46">
        <f t="shared" si="58"/>
        <v>0.78414878587188586</v>
      </c>
      <c r="BJ82" s="41" t="b">
        <f t="shared" si="61"/>
        <v>0</v>
      </c>
      <c r="BK82" s="41" t="b">
        <f t="shared" si="62"/>
        <v>0</v>
      </c>
      <c r="BL82" s="42" t="str">
        <f>_xlfn.XLOOKUP(AW82,'County Population Strata'!$A$3:$A$66,'County Population Strata'!$P$3:$P$66)</f>
        <v>Small</v>
      </c>
      <c r="BQ82" s="21">
        <f t="shared" si="60"/>
        <v>1.2105096533914922E-4</v>
      </c>
    </row>
    <row r="83" spans="18:69" x14ac:dyDescent="0.2">
      <c r="R83" s="16" t="s">
        <v>153</v>
      </c>
      <c r="S83" s="26">
        <v>1834</v>
      </c>
      <c r="T83" s="26">
        <v>1832</v>
      </c>
      <c r="U83" s="26">
        <v>1832</v>
      </c>
      <c r="V83" s="26">
        <v>1818</v>
      </c>
      <c r="W83" s="26">
        <v>1817</v>
      </c>
      <c r="X83" s="26">
        <v>1806</v>
      </c>
      <c r="Y83" s="26">
        <v>1794</v>
      </c>
      <c r="Z83" s="26">
        <v>1788</v>
      </c>
      <c r="AA83" s="26">
        <v>1783</v>
      </c>
      <c r="AB83" s="26">
        <v>1777</v>
      </c>
      <c r="AC83" s="26">
        <v>1744</v>
      </c>
      <c r="AD83" s="26">
        <v>1716</v>
      </c>
      <c r="AE83" s="26">
        <v>1722</v>
      </c>
      <c r="AG83" s="16" t="s">
        <v>153</v>
      </c>
      <c r="AH83" s="29">
        <v>0</v>
      </c>
      <c r="AI83" s="29">
        <f t="shared" si="59"/>
        <v>-1.0905125408942203E-3</v>
      </c>
      <c r="AJ83" s="29">
        <f t="shared" si="36"/>
        <v>0</v>
      </c>
      <c r="AK83" s="29">
        <f t="shared" si="37"/>
        <v>-7.6419213973799123E-3</v>
      </c>
      <c r="AL83" s="29">
        <f t="shared" si="38"/>
        <v>-5.5005500550055003E-4</v>
      </c>
      <c r="AM83" s="29">
        <f t="shared" si="39"/>
        <v>-6.0539350577875619E-3</v>
      </c>
      <c r="AN83" s="29">
        <f t="shared" si="40"/>
        <v>-6.6445182724252493E-3</v>
      </c>
      <c r="AO83" s="29">
        <f t="shared" si="41"/>
        <v>-3.3444816053511705E-3</v>
      </c>
      <c r="AP83" s="29">
        <f t="shared" si="42"/>
        <v>-2.7964205816554811E-3</v>
      </c>
      <c r="AQ83" s="29">
        <f t="shared" si="43"/>
        <v>-3.3651149747616375E-3</v>
      </c>
      <c r="AR83" s="29">
        <f t="shared" si="44"/>
        <v>-1.8570624648283626E-2</v>
      </c>
      <c r="AS83" s="29">
        <f t="shared" si="45"/>
        <v>-1.6055045871559634E-2</v>
      </c>
      <c r="AT83" s="29">
        <f t="shared" si="46"/>
        <v>3.4965034965034965E-3</v>
      </c>
      <c r="AU83" s="29"/>
      <c r="AW83" s="16" t="s">
        <v>153</v>
      </c>
      <c r="AX83" s="32">
        <f t="shared" si="47"/>
        <v>-3.6350418029807346E-4</v>
      </c>
      <c r="AY83" s="32">
        <f t="shared" si="48"/>
        <v>-2.9108113127580444E-3</v>
      </c>
      <c r="AZ83" s="32">
        <f t="shared" si="49"/>
        <v>-2.7306588009601541E-3</v>
      </c>
      <c r="BA83" s="32">
        <f t="shared" si="50"/>
        <v>-4.7486371535560082E-3</v>
      </c>
      <c r="BB83" s="32">
        <f t="shared" si="51"/>
        <v>-4.4161694452377878E-3</v>
      </c>
      <c r="BC83" s="32">
        <f t="shared" si="52"/>
        <v>-5.3476449785213277E-3</v>
      </c>
      <c r="BD83" s="32">
        <f t="shared" si="53"/>
        <v>-4.2618068198106334E-3</v>
      </c>
      <c r="BE83" s="32">
        <f t="shared" si="54"/>
        <v>-3.1686723872560961E-3</v>
      </c>
      <c r="BF83" s="32">
        <f t="shared" si="55"/>
        <v>-8.2440534015669146E-3</v>
      </c>
      <c r="BG83" s="32">
        <f t="shared" si="56"/>
        <v>-1.2663595164868299E-2</v>
      </c>
      <c r="BH83" s="41">
        <f t="shared" si="57"/>
        <v>-1.0376389007779922E-2</v>
      </c>
      <c r="BI83" s="46">
        <f t="shared" si="58"/>
        <v>-1.0086071280933033</v>
      </c>
      <c r="BJ83" s="41" t="b">
        <f t="shared" si="61"/>
        <v>0</v>
      </c>
      <c r="BK83" s="41" t="b">
        <f t="shared" si="62"/>
        <v>1</v>
      </c>
      <c r="BL83" s="42" t="str">
        <f>_xlfn.XLOOKUP(AW83,'County Population Strata'!$A$3:$A$66,'County Population Strata'!$P$3:$P$66)</f>
        <v>Tiny</v>
      </c>
      <c r="BO83" s="59">
        <v>3.8E-3</v>
      </c>
      <c r="BQ83" s="21">
        <f t="shared" si="60"/>
        <v>2.0026975874045435E-4</v>
      </c>
    </row>
    <row r="84" spans="18:69" x14ac:dyDescent="0.2">
      <c r="R84" s="16" t="s">
        <v>154</v>
      </c>
      <c r="S84" s="26">
        <v>9155</v>
      </c>
      <c r="T84" s="26">
        <v>9027</v>
      </c>
      <c r="U84" s="26">
        <v>9016</v>
      </c>
      <c r="V84" s="26">
        <v>8966</v>
      </c>
      <c r="W84" s="26">
        <v>9034</v>
      </c>
      <c r="X84" s="26">
        <v>9158</v>
      </c>
      <c r="Y84" s="26">
        <v>9237</v>
      </c>
      <c r="Z84" s="26">
        <v>9427</v>
      </c>
      <c r="AA84" s="26">
        <v>9385</v>
      </c>
      <c r="AB84" s="26">
        <v>9414</v>
      </c>
      <c r="AC84" s="26">
        <v>9397</v>
      </c>
      <c r="AD84" s="26">
        <v>9457</v>
      </c>
      <c r="AE84" s="26">
        <v>9366</v>
      </c>
      <c r="AG84" s="16" t="s">
        <v>154</v>
      </c>
      <c r="AH84" s="29">
        <v>0</v>
      </c>
      <c r="AI84" s="29">
        <f t="shared" si="59"/>
        <v>-1.3981430912069907E-2</v>
      </c>
      <c r="AJ84" s="29">
        <f t="shared" si="36"/>
        <v>-1.2185665226542594E-3</v>
      </c>
      <c r="AK84" s="29">
        <f t="shared" si="37"/>
        <v>-5.5456965394853593E-3</v>
      </c>
      <c r="AL84" s="29">
        <f t="shared" si="38"/>
        <v>7.584207004238233E-3</v>
      </c>
      <c r="AM84" s="29">
        <f t="shared" si="39"/>
        <v>1.372592428603055E-2</v>
      </c>
      <c r="AN84" s="29">
        <f t="shared" si="40"/>
        <v>8.6263376283031226E-3</v>
      </c>
      <c r="AO84" s="29">
        <f t="shared" si="41"/>
        <v>2.0569448955288512E-2</v>
      </c>
      <c r="AP84" s="29">
        <f t="shared" si="42"/>
        <v>-4.4552880025458793E-3</v>
      </c>
      <c r="AQ84" s="29">
        <f t="shared" si="43"/>
        <v>3.0900372935535429E-3</v>
      </c>
      <c r="AR84" s="29">
        <f t="shared" si="44"/>
        <v>-1.8058211174845973E-3</v>
      </c>
      <c r="AS84" s="29">
        <f t="shared" si="45"/>
        <v>6.3850164946259447E-3</v>
      </c>
      <c r="AT84" s="29">
        <f t="shared" si="46"/>
        <v>-9.6225018504811251E-3</v>
      </c>
      <c r="AU84" s="29"/>
      <c r="AW84" s="16" t="s">
        <v>154</v>
      </c>
      <c r="AX84" s="32">
        <f t="shared" si="47"/>
        <v>-5.0666658115747221E-3</v>
      </c>
      <c r="AY84" s="32">
        <f t="shared" si="48"/>
        <v>-6.9152313247365085E-3</v>
      </c>
      <c r="AZ84" s="32">
        <f t="shared" si="49"/>
        <v>2.7331464736620484E-4</v>
      </c>
      <c r="BA84" s="32">
        <f t="shared" si="50"/>
        <v>5.2548115835944738E-3</v>
      </c>
      <c r="BB84" s="32">
        <f t="shared" si="51"/>
        <v>9.9788229728573017E-3</v>
      </c>
      <c r="BC84" s="32">
        <f t="shared" si="52"/>
        <v>1.4307236956540728E-2</v>
      </c>
      <c r="BD84" s="32">
        <f t="shared" si="53"/>
        <v>8.2468328603485849E-3</v>
      </c>
      <c r="BE84" s="32">
        <f t="shared" si="54"/>
        <v>6.4013994154320589E-3</v>
      </c>
      <c r="BF84" s="32">
        <f t="shared" si="55"/>
        <v>-1.057023942158978E-3</v>
      </c>
      <c r="BG84" s="32">
        <f t="shared" si="56"/>
        <v>2.55641089023163E-3</v>
      </c>
      <c r="BH84" s="41">
        <f t="shared" si="57"/>
        <v>-1.6811021577799259E-3</v>
      </c>
      <c r="BI84" s="46">
        <f t="shared" si="58"/>
        <v>-0.38888320800008069</v>
      </c>
      <c r="BJ84" s="41" t="b">
        <f t="shared" si="61"/>
        <v>0</v>
      </c>
      <c r="BK84" s="41" t="b">
        <f t="shared" si="62"/>
        <v>0</v>
      </c>
      <c r="BL84" s="42" t="str">
        <f>_xlfn.XLOOKUP(AW84,'County Population Strata'!$A$3:$A$66,'County Population Strata'!$P$3:$P$66)</f>
        <v>Tiny</v>
      </c>
      <c r="BQ84" s="21">
        <f t="shared" si="60"/>
        <v>2.9772115133101995E-5</v>
      </c>
    </row>
    <row r="85" spans="18:69" x14ac:dyDescent="0.2">
      <c r="R85" s="16" t="s">
        <v>143</v>
      </c>
      <c r="S85" s="26">
        <v>5050332</v>
      </c>
      <c r="T85" s="26">
        <v>5123553</v>
      </c>
      <c r="U85" s="26">
        <v>5194662</v>
      </c>
      <c r="V85" s="26">
        <v>5270883</v>
      </c>
      <c r="W85" s="26">
        <v>5347655</v>
      </c>
      <c r="X85" s="26">
        <v>5446594</v>
      </c>
      <c r="Y85" s="26">
        <v>5529631</v>
      </c>
      <c r="Z85" s="26">
        <v>5599588</v>
      </c>
      <c r="AA85" s="26">
        <v>5676912</v>
      </c>
      <c r="AB85" s="26">
        <v>5734909</v>
      </c>
      <c r="AC85" s="26">
        <v>5784584</v>
      </c>
      <c r="AD85" s="26">
        <v>5811026</v>
      </c>
      <c r="AE85" s="26">
        <v>5838736</v>
      </c>
      <c r="AG85" s="16" t="s">
        <v>143</v>
      </c>
      <c r="AH85" s="29">
        <v>0</v>
      </c>
      <c r="AI85" s="29">
        <f t="shared" si="59"/>
        <v>1.4498254768201378E-2</v>
      </c>
      <c r="AJ85" s="29">
        <f t="shared" si="36"/>
        <v>1.3878845402789821E-2</v>
      </c>
      <c r="AK85" s="29">
        <f t="shared" si="37"/>
        <v>1.4672946959782947E-2</v>
      </c>
      <c r="AL85" s="29">
        <f t="shared" si="38"/>
        <v>1.4565301487435787E-2</v>
      </c>
      <c r="AM85" s="29">
        <f t="shared" si="39"/>
        <v>1.8501380511644825E-2</v>
      </c>
      <c r="AN85" s="29">
        <f t="shared" si="40"/>
        <v>1.5245674636295637E-2</v>
      </c>
      <c r="AO85" s="29">
        <f t="shared" si="41"/>
        <v>1.2651296261902466E-2</v>
      </c>
      <c r="AP85" s="29">
        <f t="shared" si="42"/>
        <v>1.3808873081376702E-2</v>
      </c>
      <c r="AQ85" s="29">
        <f t="shared" si="43"/>
        <v>1.0216293646968634E-2</v>
      </c>
      <c r="AR85" s="29">
        <f t="shared" si="44"/>
        <v>8.6618636843234995E-3</v>
      </c>
      <c r="AS85" s="29">
        <f t="shared" si="45"/>
        <v>4.5711152262634617E-3</v>
      </c>
      <c r="AT85" s="29">
        <f t="shared" si="46"/>
        <v>4.7685210838843261E-3</v>
      </c>
      <c r="AU85" s="29"/>
      <c r="AW85" s="16" t="s">
        <v>143</v>
      </c>
      <c r="AX85" s="32">
        <f t="shared" ref="AX85:AX116" si="63">AVERAGE(AH85:AJ85)</f>
        <v>9.4590333903304003E-3</v>
      </c>
      <c r="AY85" s="32">
        <f t="shared" ref="AY85:AY116" si="64">AVERAGE(AI85:AK85)</f>
        <v>1.4350015710258049E-2</v>
      </c>
      <c r="AZ85" s="32">
        <f t="shared" ref="AZ85:AZ116" si="65">AVERAGE(AJ85:AL85)</f>
        <v>1.437236461666952E-2</v>
      </c>
      <c r="BA85" s="32">
        <f t="shared" ref="BA85:BA116" si="66">AVERAGE(AK85:AM85)</f>
        <v>1.5913209652954521E-2</v>
      </c>
      <c r="BB85" s="32">
        <f t="shared" ref="BB85:BB116" si="67">AVERAGE(AL85:AN85)</f>
        <v>1.6104118878458747E-2</v>
      </c>
      <c r="BC85" s="32">
        <f t="shared" ref="BC85:BC116" si="68">AVERAGE(AM85:AO85)</f>
        <v>1.546611713661431E-2</v>
      </c>
      <c r="BD85" s="32">
        <f t="shared" ref="BD85:BD116" si="69">AVERAGE(AN85:AP85)</f>
        <v>1.3901947993191601E-2</v>
      </c>
      <c r="BE85" s="32">
        <f t="shared" ref="BE85:BE116" si="70">AVERAGE(AO85:AQ85)</f>
        <v>1.2225487663415933E-2</v>
      </c>
      <c r="BF85" s="32">
        <f t="shared" ref="BF85:BF116" si="71">AVERAGE(AP85:AR85)</f>
        <v>1.0895676804222945E-2</v>
      </c>
      <c r="BG85" s="32">
        <f t="shared" ref="BG85:BG116" si="72">AVERAGE(AQ85:AS85)</f>
        <v>7.816424185851864E-3</v>
      </c>
      <c r="BH85" s="41"/>
      <c r="BI85" s="46">
        <f t="shared" si="58"/>
        <v>-0.26906896411500958</v>
      </c>
      <c r="BJ85" s="41" t="b">
        <f t="shared" si="61"/>
        <v>0</v>
      </c>
      <c r="BK85" s="41" t="b">
        <f t="shared" si="62"/>
        <v>0</v>
      </c>
      <c r="BL85" s="42"/>
      <c r="BQ85" s="21">
        <f t="shared" si="60"/>
        <v>1.4252745223430129E-5</v>
      </c>
    </row>
    <row r="86" spans="18:69" x14ac:dyDescent="0.2">
      <c r="R86" s="16" t="s">
        <v>155</v>
      </c>
      <c r="S86" s="26">
        <v>8282</v>
      </c>
      <c r="T86" s="26">
        <v>8201</v>
      </c>
      <c r="U86" s="26">
        <v>8134</v>
      </c>
      <c r="V86" s="26">
        <v>8067</v>
      </c>
      <c r="W86" s="26">
        <v>7997</v>
      </c>
      <c r="X86" s="26">
        <v>7930</v>
      </c>
      <c r="Y86" s="26">
        <v>7842</v>
      </c>
      <c r="Z86" s="26">
        <v>7757</v>
      </c>
      <c r="AA86" s="26">
        <v>7660</v>
      </c>
      <c r="AB86" s="26">
        <v>7551</v>
      </c>
      <c r="AC86" s="26">
        <v>7454</v>
      </c>
      <c r="AD86" s="26">
        <v>7586</v>
      </c>
      <c r="AE86" s="26">
        <v>7572</v>
      </c>
      <c r="AG86" s="16" t="s">
        <v>155</v>
      </c>
      <c r="AH86" s="29">
        <v>0</v>
      </c>
      <c r="AI86" s="29">
        <f t="shared" si="59"/>
        <v>-9.7802463173146583E-3</v>
      </c>
      <c r="AJ86" s="29">
        <f t="shared" si="36"/>
        <v>-8.1697353981221802E-3</v>
      </c>
      <c r="AK86" s="29">
        <f t="shared" si="37"/>
        <v>-8.2370297516596996E-3</v>
      </c>
      <c r="AL86" s="29">
        <f t="shared" si="38"/>
        <v>-8.6773273831659854E-3</v>
      </c>
      <c r="AM86" s="29">
        <f t="shared" si="39"/>
        <v>-8.3781418031761909E-3</v>
      </c>
      <c r="AN86" s="29">
        <f t="shared" si="40"/>
        <v>-1.1097099621689786E-2</v>
      </c>
      <c r="AO86" s="29">
        <f t="shared" si="41"/>
        <v>-1.0839071665391482E-2</v>
      </c>
      <c r="AP86" s="29">
        <f t="shared" si="42"/>
        <v>-1.2504834343173907E-2</v>
      </c>
      <c r="AQ86" s="29">
        <f t="shared" si="43"/>
        <v>-1.422976501305483E-2</v>
      </c>
      <c r="AR86" s="29">
        <f t="shared" si="44"/>
        <v>-1.2845980664812608E-2</v>
      </c>
      <c r="AS86" s="29">
        <f t="shared" si="45"/>
        <v>1.7708612825328682E-2</v>
      </c>
      <c r="AT86" s="29">
        <f t="shared" si="46"/>
        <v>-1.8455048774057474E-3</v>
      </c>
      <c r="AU86" s="29"/>
      <c r="AW86" s="16" t="s">
        <v>155</v>
      </c>
      <c r="AX86" s="32">
        <f t="shared" si="63"/>
        <v>-5.9833272384789459E-3</v>
      </c>
      <c r="AY86" s="32">
        <f t="shared" si="64"/>
        <v>-8.7290038223655133E-3</v>
      </c>
      <c r="AZ86" s="32">
        <f t="shared" si="65"/>
        <v>-8.3613641776492872E-3</v>
      </c>
      <c r="BA86" s="32">
        <f t="shared" si="66"/>
        <v>-8.4308329793339586E-3</v>
      </c>
      <c r="BB86" s="32">
        <f t="shared" si="67"/>
        <v>-9.3841896026773206E-3</v>
      </c>
      <c r="BC86" s="32">
        <f t="shared" si="68"/>
        <v>-1.0104771030085819E-2</v>
      </c>
      <c r="BD86" s="32">
        <f t="shared" si="69"/>
        <v>-1.1480335210085056E-2</v>
      </c>
      <c r="BE86" s="32">
        <f t="shared" si="70"/>
        <v>-1.2524557007206741E-2</v>
      </c>
      <c r="BF86" s="32">
        <f t="shared" si="71"/>
        <v>-1.3193526673680449E-2</v>
      </c>
      <c r="BG86" s="32">
        <f t="shared" si="72"/>
        <v>-3.1223776175129184E-3</v>
      </c>
      <c r="BH86" s="41">
        <f t="shared" ref="BH86:BH117" si="73">AVERAGE(AR86:AT86)</f>
        <v>1.0057090943701092E-3</v>
      </c>
      <c r="BI86" s="46">
        <f t="shared" si="58"/>
        <v>-0.19739082477490844</v>
      </c>
      <c r="BJ86" s="41" t="b">
        <f t="shared" si="61"/>
        <v>0</v>
      </c>
      <c r="BK86" s="41" t="b">
        <f t="shared" si="62"/>
        <v>0</v>
      </c>
      <c r="BL86" s="42" t="str">
        <f>_xlfn.XLOOKUP(AW86,'County Population Strata'!$A$3:$A$66,'County Population Strata'!$P$3:$P$66)</f>
        <v>Tiny</v>
      </c>
      <c r="BQ86" s="21">
        <f t="shared" si="60"/>
        <v>7.6705275093473532E-6</v>
      </c>
    </row>
    <row r="87" spans="18:69" x14ac:dyDescent="0.2">
      <c r="R87" s="16" t="s">
        <v>156</v>
      </c>
      <c r="S87" s="26">
        <v>3532</v>
      </c>
      <c r="T87" s="26">
        <v>3518</v>
      </c>
      <c r="U87" s="26">
        <v>3517</v>
      </c>
      <c r="V87" s="26">
        <v>3516</v>
      </c>
      <c r="W87" s="26">
        <v>3516</v>
      </c>
      <c r="X87" s="26">
        <v>3516</v>
      </c>
      <c r="Y87" s="26">
        <v>3516</v>
      </c>
      <c r="Z87" s="26">
        <v>3516</v>
      </c>
      <c r="AA87" s="26">
        <v>3515</v>
      </c>
      <c r="AB87" s="26">
        <v>3501</v>
      </c>
      <c r="AC87" s="26">
        <v>3503</v>
      </c>
      <c r="AD87" s="26">
        <v>3617</v>
      </c>
      <c r="AE87" s="26">
        <v>3614</v>
      </c>
      <c r="AG87" s="16" t="s">
        <v>156</v>
      </c>
      <c r="AH87" s="29">
        <v>0</v>
      </c>
      <c r="AI87" s="29">
        <f t="shared" si="59"/>
        <v>-3.9637599093997732E-3</v>
      </c>
      <c r="AJ87" s="29">
        <f t="shared" si="36"/>
        <v>-2.8425241614553722E-4</v>
      </c>
      <c r="AK87" s="29">
        <f t="shared" si="37"/>
        <v>-2.8433323855558713E-4</v>
      </c>
      <c r="AL87" s="29">
        <f t="shared" si="38"/>
        <v>0</v>
      </c>
      <c r="AM87" s="29">
        <f t="shared" si="39"/>
        <v>0</v>
      </c>
      <c r="AN87" s="29">
        <f t="shared" si="40"/>
        <v>0</v>
      </c>
      <c r="AO87" s="29">
        <f t="shared" si="41"/>
        <v>0</v>
      </c>
      <c r="AP87" s="29">
        <f t="shared" si="42"/>
        <v>-2.8441410693970419E-4</v>
      </c>
      <c r="AQ87" s="29">
        <f t="shared" si="43"/>
        <v>-3.982930298719772E-3</v>
      </c>
      <c r="AR87" s="29">
        <f t="shared" si="44"/>
        <v>5.7126535275635532E-4</v>
      </c>
      <c r="AS87" s="29">
        <f t="shared" si="45"/>
        <v>3.25435341136169E-2</v>
      </c>
      <c r="AT87" s="29">
        <f t="shared" si="46"/>
        <v>-8.2941664362731543E-4</v>
      </c>
      <c r="AU87" s="29"/>
      <c r="AW87" s="16" t="s">
        <v>156</v>
      </c>
      <c r="AX87" s="32">
        <f t="shared" si="63"/>
        <v>-1.4160041085151034E-3</v>
      </c>
      <c r="AY87" s="32">
        <f t="shared" si="64"/>
        <v>-1.5107818547002991E-3</v>
      </c>
      <c r="AZ87" s="32">
        <f t="shared" si="65"/>
        <v>-1.8952855156704148E-4</v>
      </c>
      <c r="BA87" s="32">
        <f t="shared" si="66"/>
        <v>-9.4777746185195709E-5</v>
      </c>
      <c r="BB87" s="32">
        <f t="shared" si="67"/>
        <v>0</v>
      </c>
      <c r="BC87" s="32">
        <f t="shared" si="68"/>
        <v>0</v>
      </c>
      <c r="BD87" s="32">
        <f t="shared" si="69"/>
        <v>-9.4804702313234731E-5</v>
      </c>
      <c r="BE87" s="32">
        <f t="shared" si="70"/>
        <v>-1.4224481352198253E-3</v>
      </c>
      <c r="BF87" s="32">
        <f t="shared" si="71"/>
        <v>-1.2320263509677067E-3</v>
      </c>
      <c r="BG87" s="32">
        <f t="shared" si="72"/>
        <v>9.7106230558844948E-3</v>
      </c>
      <c r="BH87" s="41">
        <f t="shared" si="73"/>
        <v>1.0761794274248645E-2</v>
      </c>
      <c r="BI87" s="46">
        <f t="shared" si="58"/>
        <v>0.49793751306339096</v>
      </c>
      <c r="BJ87" s="41" t="b">
        <f t="shared" si="61"/>
        <v>0</v>
      </c>
      <c r="BK87" s="41" t="b">
        <f t="shared" si="62"/>
        <v>0</v>
      </c>
      <c r="BL87" s="42" t="str">
        <f>_xlfn.XLOOKUP(AW87,'County Population Strata'!$A$3:$A$66,'County Population Strata'!$P$3:$P$66)</f>
        <v>Tiny</v>
      </c>
      <c r="BQ87" s="21">
        <f t="shared" si="60"/>
        <v>4.8811370332319949E-5</v>
      </c>
    </row>
    <row r="88" spans="18:69" x14ac:dyDescent="0.2">
      <c r="R88" s="16" t="s">
        <v>157</v>
      </c>
      <c r="S88" s="26">
        <v>5838</v>
      </c>
      <c r="T88" s="26">
        <v>5837</v>
      </c>
      <c r="U88" s="26">
        <v>5839</v>
      </c>
      <c r="V88" s="26">
        <v>5843</v>
      </c>
      <c r="W88" s="26">
        <v>5843</v>
      </c>
      <c r="X88" s="26">
        <v>5839</v>
      </c>
      <c r="Y88" s="26">
        <v>5837</v>
      </c>
      <c r="Z88" s="26">
        <v>5837</v>
      </c>
      <c r="AA88" s="26">
        <v>5837</v>
      </c>
      <c r="AB88" s="26">
        <v>5840</v>
      </c>
      <c r="AC88" s="26">
        <v>5696</v>
      </c>
      <c r="AD88" s="26">
        <v>5744</v>
      </c>
      <c r="AE88" s="26">
        <v>5620</v>
      </c>
      <c r="AG88" s="16" t="s">
        <v>157</v>
      </c>
      <c r="AH88" s="29">
        <v>0</v>
      </c>
      <c r="AI88" s="29">
        <f t="shared" si="59"/>
        <v>-1.7129153819801302E-4</v>
      </c>
      <c r="AJ88" s="29">
        <f t="shared" si="36"/>
        <v>3.4264176803152307E-4</v>
      </c>
      <c r="AK88" s="29">
        <f t="shared" si="37"/>
        <v>6.8504880972769305E-4</v>
      </c>
      <c r="AL88" s="29">
        <f t="shared" si="38"/>
        <v>0</v>
      </c>
      <c r="AM88" s="29">
        <f t="shared" si="39"/>
        <v>-6.8457983912373777E-4</v>
      </c>
      <c r="AN88" s="29">
        <f t="shared" si="40"/>
        <v>-3.4252440486384652E-4</v>
      </c>
      <c r="AO88" s="29">
        <f t="shared" si="41"/>
        <v>0</v>
      </c>
      <c r="AP88" s="29">
        <f t="shared" si="42"/>
        <v>0</v>
      </c>
      <c r="AQ88" s="29">
        <f t="shared" si="43"/>
        <v>5.1396265204728452E-4</v>
      </c>
      <c r="AR88" s="29">
        <f t="shared" si="44"/>
        <v>-2.4657534246575342E-2</v>
      </c>
      <c r="AS88" s="29">
        <f t="shared" si="45"/>
        <v>8.4269662921348312E-3</v>
      </c>
      <c r="AT88" s="29">
        <f t="shared" si="46"/>
        <v>-2.1587743732590529E-2</v>
      </c>
      <c r="AU88" s="29"/>
      <c r="AW88" s="16" t="s">
        <v>157</v>
      </c>
      <c r="AX88" s="32">
        <f t="shared" si="63"/>
        <v>5.7116743277836679E-5</v>
      </c>
      <c r="AY88" s="32">
        <f t="shared" si="64"/>
        <v>2.8546634652040103E-4</v>
      </c>
      <c r="AZ88" s="32">
        <f t="shared" si="65"/>
        <v>3.4256352591973869E-4</v>
      </c>
      <c r="BA88" s="32">
        <f t="shared" si="66"/>
        <v>1.5632353465175908E-7</v>
      </c>
      <c r="BB88" s="32">
        <f t="shared" si="67"/>
        <v>-3.4236808132919475E-4</v>
      </c>
      <c r="BC88" s="32">
        <f t="shared" si="68"/>
        <v>-3.4236808132919475E-4</v>
      </c>
      <c r="BD88" s="32">
        <f t="shared" si="69"/>
        <v>-1.1417480162128218E-4</v>
      </c>
      <c r="BE88" s="32">
        <f t="shared" si="70"/>
        <v>1.7132088401576151E-4</v>
      </c>
      <c r="BF88" s="32">
        <f t="shared" si="71"/>
        <v>-8.0478571981760193E-3</v>
      </c>
      <c r="BG88" s="32">
        <f t="shared" si="72"/>
        <v>-5.2388684341310755E-3</v>
      </c>
      <c r="BH88" s="41">
        <f t="shared" si="73"/>
        <v>-1.2606103895677012E-2</v>
      </c>
      <c r="BI88" s="46">
        <f t="shared" si="58"/>
        <v>-1.1675216843184157</v>
      </c>
      <c r="BJ88" s="41" t="b">
        <f t="shared" si="61"/>
        <v>0</v>
      </c>
      <c r="BK88" s="41" t="b">
        <f t="shared" si="62"/>
        <v>1</v>
      </c>
      <c r="BL88" s="42" t="str">
        <f>_xlfn.XLOOKUP(AW88,'County Population Strata'!$A$3:$A$66,'County Population Strata'!$P$3:$P$66)</f>
        <v>Tiny</v>
      </c>
      <c r="BQ88" s="21">
        <f t="shared" si="60"/>
        <v>2.6834976500155231E-4</v>
      </c>
    </row>
    <row r="89" spans="18:69" x14ac:dyDescent="0.2">
      <c r="R89" s="16" t="s">
        <v>158</v>
      </c>
      <c r="S89" s="26">
        <v>4272</v>
      </c>
      <c r="T89" s="26">
        <v>4318</v>
      </c>
      <c r="U89" s="26">
        <v>4367</v>
      </c>
      <c r="V89" s="26">
        <v>4405</v>
      </c>
      <c r="W89" s="26">
        <v>4437</v>
      </c>
      <c r="X89" s="26">
        <v>4467</v>
      </c>
      <c r="Y89" s="26">
        <v>4496</v>
      </c>
      <c r="Z89" s="26">
        <v>4539</v>
      </c>
      <c r="AA89" s="26">
        <v>4591</v>
      </c>
      <c r="AB89" s="26">
        <v>4646</v>
      </c>
      <c r="AC89" s="26">
        <v>4720</v>
      </c>
      <c r="AD89" s="26">
        <v>5064</v>
      </c>
      <c r="AE89" s="26">
        <v>5338</v>
      </c>
      <c r="AG89" s="16" t="s">
        <v>158</v>
      </c>
      <c r="AH89" s="29">
        <v>0</v>
      </c>
      <c r="AI89" s="29">
        <f t="shared" si="59"/>
        <v>1.0767790262172285E-2</v>
      </c>
      <c r="AJ89" s="29">
        <f t="shared" si="36"/>
        <v>1.1347846225104215E-2</v>
      </c>
      <c r="AK89" s="29">
        <f t="shared" si="37"/>
        <v>8.7016258300893056E-3</v>
      </c>
      <c r="AL89" s="29">
        <f t="shared" si="38"/>
        <v>7.2644721906923952E-3</v>
      </c>
      <c r="AM89" s="29">
        <f t="shared" si="39"/>
        <v>6.7613252197430695E-3</v>
      </c>
      <c r="AN89" s="29">
        <f t="shared" si="40"/>
        <v>6.4920528318782181E-3</v>
      </c>
      <c r="AO89" s="29">
        <f t="shared" si="41"/>
        <v>9.5640569395017798E-3</v>
      </c>
      <c r="AP89" s="29">
        <f t="shared" si="42"/>
        <v>1.1456267900418595E-2</v>
      </c>
      <c r="AQ89" s="29">
        <f t="shared" si="43"/>
        <v>1.1979960792855586E-2</v>
      </c>
      <c r="AR89" s="29">
        <f t="shared" si="44"/>
        <v>1.5927679724494187E-2</v>
      </c>
      <c r="AS89" s="29">
        <f t="shared" si="45"/>
        <v>7.2881355932203393E-2</v>
      </c>
      <c r="AT89" s="29">
        <f t="shared" si="46"/>
        <v>5.410742496050553E-2</v>
      </c>
      <c r="AU89" s="29"/>
      <c r="AW89" s="16" t="s">
        <v>158</v>
      </c>
      <c r="AX89" s="32">
        <f t="shared" si="63"/>
        <v>7.3718788290921657E-3</v>
      </c>
      <c r="AY89" s="32">
        <f t="shared" si="64"/>
        <v>1.0272420772455269E-2</v>
      </c>
      <c r="AZ89" s="32">
        <f t="shared" si="65"/>
        <v>9.1046480819619718E-3</v>
      </c>
      <c r="BA89" s="32">
        <f t="shared" si="66"/>
        <v>7.5758077468415898E-3</v>
      </c>
      <c r="BB89" s="32">
        <f t="shared" si="67"/>
        <v>6.8392834141045612E-3</v>
      </c>
      <c r="BC89" s="32">
        <f t="shared" si="68"/>
        <v>7.6058116637076892E-3</v>
      </c>
      <c r="BD89" s="32">
        <f t="shared" si="69"/>
        <v>9.1707925572661973E-3</v>
      </c>
      <c r="BE89" s="32">
        <f t="shared" si="70"/>
        <v>1.100009521092532E-2</v>
      </c>
      <c r="BF89" s="32">
        <f t="shared" si="71"/>
        <v>1.3121302805922788E-2</v>
      </c>
      <c r="BG89" s="32">
        <f t="shared" si="72"/>
        <v>3.3596332149851055E-2</v>
      </c>
      <c r="BH89" s="41">
        <f t="shared" si="73"/>
        <v>4.7638820205734372E-2</v>
      </c>
      <c r="BI89" s="46">
        <f t="shared" si="58"/>
        <v>3.1262090659035104</v>
      </c>
      <c r="BJ89" s="41" t="b">
        <f t="shared" si="61"/>
        <v>1</v>
      </c>
      <c r="BK89" s="41" t="b">
        <f t="shared" si="62"/>
        <v>0</v>
      </c>
      <c r="BL89" s="42" t="str">
        <f>_xlfn.XLOOKUP(AW89,'County Population Strata'!$A$3:$A$66,'County Population Strata'!$P$3:$P$66)</f>
        <v>Tiny</v>
      </c>
      <c r="BQ89" s="21">
        <f t="shared" si="60"/>
        <v>1.9240100879833195E-3</v>
      </c>
    </row>
    <row r="90" spans="18:69" x14ac:dyDescent="0.2">
      <c r="R90" s="16" t="s">
        <v>159</v>
      </c>
      <c r="S90" s="26">
        <v>30889</v>
      </c>
      <c r="T90" s="26">
        <v>30433</v>
      </c>
      <c r="U90" s="26">
        <v>30554</v>
      </c>
      <c r="V90" s="26">
        <v>30428</v>
      </c>
      <c r="W90" s="26">
        <v>30066</v>
      </c>
      <c r="X90" s="26">
        <v>30039</v>
      </c>
      <c r="Y90" s="26">
        <v>30489</v>
      </c>
      <c r="Z90" s="26">
        <v>30703</v>
      </c>
      <c r="AA90" s="26">
        <v>31033</v>
      </c>
      <c r="AB90" s="26">
        <v>31237</v>
      </c>
      <c r="AC90" s="26">
        <v>31052</v>
      </c>
      <c r="AD90" s="26">
        <v>31386</v>
      </c>
      <c r="AE90" s="26">
        <v>31581</v>
      </c>
      <c r="AG90" s="16" t="s">
        <v>159</v>
      </c>
      <c r="AH90" s="29">
        <v>0</v>
      </c>
      <c r="AI90" s="29">
        <f t="shared" si="59"/>
        <v>-1.4762536825407103E-2</v>
      </c>
      <c r="AJ90" s="29">
        <f t="shared" si="36"/>
        <v>3.9759471626195251E-3</v>
      </c>
      <c r="AK90" s="29">
        <f t="shared" si="37"/>
        <v>-4.1238463049027953E-3</v>
      </c>
      <c r="AL90" s="29">
        <f t="shared" si="38"/>
        <v>-1.1896937031681347E-2</v>
      </c>
      <c r="AM90" s="29">
        <f t="shared" si="39"/>
        <v>-8.9802434643783673E-4</v>
      </c>
      <c r="AN90" s="29">
        <f t="shared" si="40"/>
        <v>1.4980525317087786E-2</v>
      </c>
      <c r="AO90" s="29">
        <f t="shared" si="41"/>
        <v>7.0189248581455609E-3</v>
      </c>
      <c r="AP90" s="29">
        <f t="shared" si="42"/>
        <v>1.0748135361365339E-2</v>
      </c>
      <c r="AQ90" s="29">
        <f t="shared" si="43"/>
        <v>6.5736474075983632E-3</v>
      </c>
      <c r="AR90" s="29">
        <f t="shared" si="44"/>
        <v>-5.9224637449178863E-3</v>
      </c>
      <c r="AS90" s="29">
        <f t="shared" si="45"/>
        <v>1.0756150972562153E-2</v>
      </c>
      <c r="AT90" s="29">
        <f t="shared" si="46"/>
        <v>6.2129611928885492E-3</v>
      </c>
      <c r="AU90" s="29"/>
      <c r="AW90" s="16" t="s">
        <v>159</v>
      </c>
      <c r="AX90" s="32">
        <f t="shared" si="63"/>
        <v>-3.5955298875958593E-3</v>
      </c>
      <c r="AY90" s="32">
        <f t="shared" si="64"/>
        <v>-4.9701453225634573E-3</v>
      </c>
      <c r="AZ90" s="32">
        <f t="shared" si="65"/>
        <v>-4.0149453913215392E-3</v>
      </c>
      <c r="BA90" s="32">
        <f t="shared" si="66"/>
        <v>-5.639602561007327E-3</v>
      </c>
      <c r="BB90" s="32">
        <f t="shared" si="67"/>
        <v>7.2852131298953412E-4</v>
      </c>
      <c r="BC90" s="32">
        <f t="shared" si="68"/>
        <v>7.0338086095985035E-3</v>
      </c>
      <c r="BD90" s="32">
        <f t="shared" si="69"/>
        <v>1.0915861845532894E-2</v>
      </c>
      <c r="BE90" s="32">
        <f t="shared" si="70"/>
        <v>8.1135692090364211E-3</v>
      </c>
      <c r="BF90" s="32">
        <f t="shared" si="71"/>
        <v>3.7997730080152718E-3</v>
      </c>
      <c r="BG90" s="32">
        <f t="shared" si="72"/>
        <v>3.8024448784142102E-3</v>
      </c>
      <c r="BH90" s="41">
        <f t="shared" si="73"/>
        <v>3.6822161401776055E-3</v>
      </c>
      <c r="BI90" s="46">
        <f t="shared" si="58"/>
        <v>-6.6328351652898687E-3</v>
      </c>
      <c r="BJ90" s="41" t="b">
        <f t="shared" si="61"/>
        <v>0</v>
      </c>
      <c r="BK90" s="41" t="b">
        <f t="shared" si="62"/>
        <v>0</v>
      </c>
      <c r="BL90" s="42" t="str">
        <f>_xlfn.XLOOKUP(AW90,'County Population Strata'!$A$3:$A$66,'County Population Strata'!$P$3:$P$66)</f>
        <v>Small</v>
      </c>
      <c r="BQ90" s="21">
        <f t="shared" si="60"/>
        <v>8.6610334859023589E-9</v>
      </c>
    </row>
    <row r="91" spans="18:69" x14ac:dyDescent="0.2">
      <c r="R91" s="16" t="s">
        <v>160</v>
      </c>
      <c r="S91" s="26">
        <v>604879</v>
      </c>
      <c r="T91" s="26">
        <v>620229</v>
      </c>
      <c r="U91" s="26">
        <v>632924</v>
      </c>
      <c r="V91" s="26">
        <v>645302</v>
      </c>
      <c r="W91" s="26">
        <v>658632</v>
      </c>
      <c r="X91" s="26">
        <v>675534</v>
      </c>
      <c r="Y91" s="26">
        <v>686468</v>
      </c>
      <c r="Z91" s="26">
        <v>693134</v>
      </c>
      <c r="AA91" s="26">
        <v>702679</v>
      </c>
      <c r="AB91" s="26">
        <v>710143</v>
      </c>
      <c r="AC91" s="26">
        <v>717545</v>
      </c>
      <c r="AD91" s="26">
        <v>711375</v>
      </c>
      <c r="AE91" s="26">
        <v>712637</v>
      </c>
      <c r="AG91" s="16" t="s">
        <v>160</v>
      </c>
      <c r="AH91" s="29">
        <v>0</v>
      </c>
      <c r="AI91" s="29">
        <f t="shared" si="59"/>
        <v>2.537697622169062E-2</v>
      </c>
      <c r="AJ91" s="29">
        <f t="shared" si="36"/>
        <v>2.0468246405763033E-2</v>
      </c>
      <c r="AK91" s="29">
        <f t="shared" si="37"/>
        <v>1.9556850427539484E-2</v>
      </c>
      <c r="AL91" s="29">
        <f t="shared" si="38"/>
        <v>2.0656994709453869E-2</v>
      </c>
      <c r="AM91" s="29">
        <f t="shared" si="39"/>
        <v>2.5662281820500673E-2</v>
      </c>
      <c r="AN91" s="29">
        <f t="shared" si="40"/>
        <v>1.6185713820473877E-2</v>
      </c>
      <c r="AO91" s="29">
        <f t="shared" si="41"/>
        <v>9.7105764580432009E-3</v>
      </c>
      <c r="AP91" s="29">
        <f t="shared" si="42"/>
        <v>1.377078602405884E-2</v>
      </c>
      <c r="AQ91" s="29">
        <f t="shared" si="43"/>
        <v>1.0622204448973145E-2</v>
      </c>
      <c r="AR91" s="29">
        <f t="shared" si="44"/>
        <v>1.042325278148204E-2</v>
      </c>
      <c r="AS91" s="29">
        <f t="shared" si="45"/>
        <v>-8.598763840595363E-3</v>
      </c>
      <c r="AT91" s="29">
        <f t="shared" si="46"/>
        <v>1.7740291688631172E-3</v>
      </c>
      <c r="AU91" s="29"/>
      <c r="AW91" s="16" t="s">
        <v>160</v>
      </c>
      <c r="AX91" s="32">
        <f t="shared" si="63"/>
        <v>1.5281740875817884E-2</v>
      </c>
      <c r="AY91" s="32">
        <f t="shared" si="64"/>
        <v>2.1800691018331042E-2</v>
      </c>
      <c r="AZ91" s="32">
        <f t="shared" si="65"/>
        <v>2.0227363847585462E-2</v>
      </c>
      <c r="BA91" s="32">
        <f t="shared" si="66"/>
        <v>2.1958708985831341E-2</v>
      </c>
      <c r="BB91" s="32">
        <f t="shared" si="67"/>
        <v>2.083499678347614E-2</v>
      </c>
      <c r="BC91" s="32">
        <f t="shared" si="68"/>
        <v>1.7186190699672584E-2</v>
      </c>
      <c r="BD91" s="32">
        <f t="shared" si="69"/>
        <v>1.3222358767525305E-2</v>
      </c>
      <c r="BE91" s="32">
        <f t="shared" si="70"/>
        <v>1.1367855643691728E-2</v>
      </c>
      <c r="BF91" s="32">
        <f t="shared" si="71"/>
        <v>1.1605414418171341E-2</v>
      </c>
      <c r="BG91" s="32">
        <f t="shared" si="72"/>
        <v>4.1488977966199414E-3</v>
      </c>
      <c r="BH91" s="41">
        <f t="shared" si="73"/>
        <v>1.1995060365832646E-3</v>
      </c>
      <c r="BI91" s="46">
        <f t="shared" si="58"/>
        <v>-0.18357867541143846</v>
      </c>
      <c r="BJ91" s="41" t="b">
        <f t="shared" si="61"/>
        <v>0</v>
      </c>
      <c r="BK91" s="41" t="b">
        <f t="shared" si="62"/>
        <v>0</v>
      </c>
      <c r="BL91" s="42" t="str">
        <f>_xlfn.XLOOKUP(AW91,'County Population Strata'!$A$3:$A$66,'County Population Strata'!$P$3:$P$66)</f>
        <v>Large</v>
      </c>
      <c r="BQ91" s="21">
        <f t="shared" si="60"/>
        <v>6.6346157032077372E-6</v>
      </c>
    </row>
    <row r="92" spans="18:69" x14ac:dyDescent="0.2">
      <c r="R92" s="16" t="s">
        <v>161</v>
      </c>
      <c r="S92" s="26">
        <v>2060</v>
      </c>
      <c r="T92" s="26">
        <v>2065</v>
      </c>
      <c r="U92" s="26">
        <v>2078</v>
      </c>
      <c r="V92" s="26">
        <v>2082</v>
      </c>
      <c r="W92" s="26">
        <v>2084</v>
      </c>
      <c r="X92" s="26">
        <v>2087</v>
      </c>
      <c r="Y92" s="26">
        <v>2088</v>
      </c>
      <c r="Z92" s="26">
        <v>2088</v>
      </c>
      <c r="AA92" s="26">
        <v>2091</v>
      </c>
      <c r="AB92" s="26">
        <v>2085</v>
      </c>
      <c r="AC92" s="26">
        <v>2078</v>
      </c>
      <c r="AD92" s="26">
        <v>2121</v>
      </c>
      <c r="AE92" s="26">
        <v>2203</v>
      </c>
      <c r="AG92" s="16" t="s">
        <v>161</v>
      </c>
      <c r="AH92" s="29">
        <v>0</v>
      </c>
      <c r="AI92" s="29">
        <f t="shared" si="59"/>
        <v>2.4271844660194173E-3</v>
      </c>
      <c r="AJ92" s="29">
        <f t="shared" si="36"/>
        <v>6.2953995157384989E-3</v>
      </c>
      <c r="AK92" s="29">
        <f t="shared" si="37"/>
        <v>1.9249278152069298E-3</v>
      </c>
      <c r="AL92" s="29">
        <f t="shared" si="38"/>
        <v>9.6061479346781938E-4</v>
      </c>
      <c r="AM92" s="29">
        <f t="shared" si="39"/>
        <v>1.4395393474088292E-3</v>
      </c>
      <c r="AN92" s="29">
        <f t="shared" si="40"/>
        <v>4.7915668423574511E-4</v>
      </c>
      <c r="AO92" s="29">
        <f t="shared" si="41"/>
        <v>0</v>
      </c>
      <c r="AP92" s="29">
        <f t="shared" si="42"/>
        <v>1.4367816091954023E-3</v>
      </c>
      <c r="AQ92" s="29">
        <f t="shared" si="43"/>
        <v>-2.8694404591104736E-3</v>
      </c>
      <c r="AR92" s="29">
        <f t="shared" si="44"/>
        <v>-3.357314148681055E-3</v>
      </c>
      <c r="AS92" s="29">
        <f t="shared" si="45"/>
        <v>2.0692974013474495E-2</v>
      </c>
      <c r="AT92" s="29">
        <f t="shared" si="46"/>
        <v>3.8661008958038659E-2</v>
      </c>
      <c r="AU92" s="29"/>
      <c r="AW92" s="16" t="s">
        <v>161</v>
      </c>
      <c r="AX92" s="32">
        <f t="shared" si="63"/>
        <v>2.9075279939193058E-3</v>
      </c>
      <c r="AY92" s="32">
        <f t="shared" si="64"/>
        <v>3.5491705989882821E-3</v>
      </c>
      <c r="AZ92" s="32">
        <f t="shared" si="65"/>
        <v>3.0603140414710828E-3</v>
      </c>
      <c r="BA92" s="32">
        <f t="shared" si="66"/>
        <v>1.4416939853611928E-3</v>
      </c>
      <c r="BB92" s="32">
        <f t="shared" si="67"/>
        <v>9.5977027503746457E-4</v>
      </c>
      <c r="BC92" s="32">
        <f t="shared" si="68"/>
        <v>6.3956534388152474E-4</v>
      </c>
      <c r="BD92" s="32">
        <f t="shared" si="69"/>
        <v>6.3864609781038239E-4</v>
      </c>
      <c r="BE92" s="32">
        <f t="shared" si="70"/>
        <v>-4.7755294997169046E-4</v>
      </c>
      <c r="BF92" s="32">
        <f t="shared" si="71"/>
        <v>-1.5966576661987086E-3</v>
      </c>
      <c r="BG92" s="32">
        <f t="shared" si="72"/>
        <v>4.822073135227656E-3</v>
      </c>
      <c r="BH92" s="41">
        <f t="shared" si="73"/>
        <v>1.8665556274277368E-2</v>
      </c>
      <c r="BI92" s="46">
        <f t="shared" si="58"/>
        <v>1.0612484715904984</v>
      </c>
      <c r="BJ92" s="41" t="b">
        <f t="shared" si="61"/>
        <v>1</v>
      </c>
      <c r="BK92" s="41" t="b">
        <f t="shared" si="62"/>
        <v>0</v>
      </c>
      <c r="BL92" s="42" t="str">
        <f>_xlfn.XLOOKUP(AW92,'County Population Strata'!$A$3:$A$66,'County Population Strata'!$P$3:$P$66)</f>
        <v>Tiny</v>
      </c>
      <c r="BQ92" s="21">
        <f t="shared" si="60"/>
        <v>2.2172030328738098E-4</v>
      </c>
    </row>
    <row r="93" spans="18:69" x14ac:dyDescent="0.2">
      <c r="R93" s="16" t="s">
        <v>162</v>
      </c>
      <c r="S93" s="26">
        <v>287124</v>
      </c>
      <c r="T93" s="26">
        <v>292623</v>
      </c>
      <c r="U93" s="26">
        <v>298733</v>
      </c>
      <c r="V93" s="26">
        <v>306327</v>
      </c>
      <c r="W93" s="26">
        <v>314609</v>
      </c>
      <c r="X93" s="26">
        <v>322079</v>
      </c>
      <c r="Y93" s="26">
        <v>328333</v>
      </c>
      <c r="Z93" s="26">
        <v>335933</v>
      </c>
      <c r="AA93" s="26">
        <v>343267</v>
      </c>
      <c r="AB93" s="26">
        <v>351212</v>
      </c>
      <c r="AC93" s="26">
        <v>360272</v>
      </c>
      <c r="AD93" s="26">
        <v>369758</v>
      </c>
      <c r="AE93" s="26">
        <v>376026</v>
      </c>
      <c r="AG93" s="16" t="s">
        <v>162</v>
      </c>
      <c r="AH93" s="29">
        <v>0</v>
      </c>
      <c r="AI93" s="29">
        <f t="shared" si="59"/>
        <v>1.9152004012203787E-2</v>
      </c>
      <c r="AJ93" s="29">
        <f t="shared" si="36"/>
        <v>2.088010853555599E-2</v>
      </c>
      <c r="AK93" s="29">
        <f t="shared" si="37"/>
        <v>2.5420693395105328E-2</v>
      </c>
      <c r="AL93" s="29">
        <f t="shared" si="38"/>
        <v>2.7036467565705928E-2</v>
      </c>
      <c r="AM93" s="29">
        <f t="shared" si="39"/>
        <v>2.3743758125164886E-2</v>
      </c>
      <c r="AN93" s="29">
        <f t="shared" si="40"/>
        <v>1.941759630401237E-2</v>
      </c>
      <c r="AO93" s="29">
        <f t="shared" si="41"/>
        <v>2.3147231621554947E-2</v>
      </c>
      <c r="AP93" s="29">
        <f t="shared" si="42"/>
        <v>2.1831734304161843E-2</v>
      </c>
      <c r="AQ93" s="29">
        <f t="shared" si="43"/>
        <v>2.3145248450914303E-2</v>
      </c>
      <c r="AR93" s="29">
        <f t="shared" si="44"/>
        <v>2.5796385089347746E-2</v>
      </c>
      <c r="AS93" s="29">
        <f t="shared" si="45"/>
        <v>2.6330106142026025E-2</v>
      </c>
      <c r="AT93" s="29">
        <f t="shared" si="46"/>
        <v>1.6951627821439968E-2</v>
      </c>
      <c r="AU93" s="29"/>
      <c r="AW93" s="16" t="s">
        <v>162</v>
      </c>
      <c r="AX93" s="32">
        <f t="shared" si="63"/>
        <v>1.3344037515919926E-2</v>
      </c>
      <c r="AY93" s="32">
        <f t="shared" si="64"/>
        <v>2.1817601980955035E-2</v>
      </c>
      <c r="AZ93" s="32">
        <f t="shared" si="65"/>
        <v>2.4445756498789079E-2</v>
      </c>
      <c r="BA93" s="32">
        <f t="shared" si="66"/>
        <v>2.5400306361992045E-2</v>
      </c>
      <c r="BB93" s="32">
        <f t="shared" si="67"/>
        <v>2.3399273998294393E-2</v>
      </c>
      <c r="BC93" s="32">
        <f t="shared" si="68"/>
        <v>2.2102862016910734E-2</v>
      </c>
      <c r="BD93" s="32">
        <f t="shared" si="69"/>
        <v>2.1465520743243052E-2</v>
      </c>
      <c r="BE93" s="32">
        <f t="shared" si="70"/>
        <v>2.270807145887703E-2</v>
      </c>
      <c r="BF93" s="32">
        <f t="shared" si="71"/>
        <v>2.3591122614807964E-2</v>
      </c>
      <c r="BG93" s="32">
        <f t="shared" si="72"/>
        <v>2.5090579894096025E-2</v>
      </c>
      <c r="BH93" s="41">
        <f t="shared" si="73"/>
        <v>2.3026039684271249E-2</v>
      </c>
      <c r="BI93" s="46">
        <f t="shared" si="58"/>
        <v>1.3720255533543821</v>
      </c>
      <c r="BJ93" s="41" t="b">
        <f t="shared" si="61"/>
        <v>1</v>
      </c>
      <c r="BK93" s="41" t="b">
        <f t="shared" si="62"/>
        <v>0</v>
      </c>
      <c r="BL93" s="42" t="str">
        <f>_xlfn.XLOOKUP(AW93,'County Population Strata'!$A$3:$A$66,'County Population Strata'!$P$3:$P$66)</f>
        <v>Medium</v>
      </c>
      <c r="BQ93" s="21">
        <f t="shared" si="60"/>
        <v>3.7059171708707074E-4</v>
      </c>
    </row>
    <row r="94" spans="18:69" x14ac:dyDescent="0.2">
      <c r="R94" s="16" t="s">
        <v>163</v>
      </c>
      <c r="S94" s="26">
        <v>52057</v>
      </c>
      <c r="T94" s="26">
        <v>52120</v>
      </c>
      <c r="U94" s="26">
        <v>52160</v>
      </c>
      <c r="V94" s="26">
        <v>52262</v>
      </c>
      <c r="W94" s="26">
        <v>52398</v>
      </c>
      <c r="X94" s="26">
        <v>52780</v>
      </c>
      <c r="Y94" s="26">
        <v>53041</v>
      </c>
      <c r="Z94" s="26">
        <v>53724</v>
      </c>
      <c r="AA94" s="26">
        <v>54205</v>
      </c>
      <c r="AB94" s="26">
        <v>54819</v>
      </c>
      <c r="AC94" s="26">
        <v>55667</v>
      </c>
      <c r="AD94" s="26">
        <v>55785</v>
      </c>
      <c r="AE94" s="26">
        <v>55291</v>
      </c>
      <c r="AG94" s="16" t="s">
        <v>163</v>
      </c>
      <c r="AH94" s="29">
        <v>0</v>
      </c>
      <c r="AI94" s="29">
        <f t="shared" si="59"/>
        <v>1.2102118831281096E-3</v>
      </c>
      <c r="AJ94" s="29">
        <f t="shared" si="36"/>
        <v>7.6745970836531081E-4</v>
      </c>
      <c r="AK94" s="29">
        <f t="shared" si="37"/>
        <v>1.955521472392638E-3</v>
      </c>
      <c r="AL94" s="29">
        <f t="shared" si="38"/>
        <v>2.6022731621445794E-3</v>
      </c>
      <c r="AM94" s="29">
        <f t="shared" si="39"/>
        <v>7.2903545936867818E-3</v>
      </c>
      <c r="AN94" s="29">
        <f t="shared" si="40"/>
        <v>4.9450549450549448E-3</v>
      </c>
      <c r="AO94" s="29">
        <f t="shared" si="41"/>
        <v>1.2876831130634791E-2</v>
      </c>
      <c r="AP94" s="29">
        <f t="shared" si="42"/>
        <v>8.9531680440771352E-3</v>
      </c>
      <c r="AQ94" s="29">
        <f t="shared" si="43"/>
        <v>1.1327368323955355E-2</v>
      </c>
      <c r="AR94" s="29">
        <f t="shared" si="44"/>
        <v>1.5469089184406867E-2</v>
      </c>
      <c r="AS94" s="29">
        <f t="shared" si="45"/>
        <v>2.1197477859414018E-3</v>
      </c>
      <c r="AT94" s="29">
        <f t="shared" si="46"/>
        <v>-8.8554270861342654E-3</v>
      </c>
      <c r="AU94" s="29"/>
      <c r="AW94" s="16" t="s">
        <v>163</v>
      </c>
      <c r="AX94" s="32">
        <f t="shared" si="63"/>
        <v>6.592238638311402E-4</v>
      </c>
      <c r="AY94" s="32">
        <f t="shared" si="64"/>
        <v>1.3110643546286862E-3</v>
      </c>
      <c r="AZ94" s="32">
        <f t="shared" si="65"/>
        <v>1.7750847809675093E-3</v>
      </c>
      <c r="BA94" s="32">
        <f t="shared" si="66"/>
        <v>3.9493830760746664E-3</v>
      </c>
      <c r="BB94" s="32">
        <f t="shared" si="67"/>
        <v>4.9458942336287684E-3</v>
      </c>
      <c r="BC94" s="32">
        <f t="shared" si="68"/>
        <v>8.3707468897921741E-3</v>
      </c>
      <c r="BD94" s="32">
        <f t="shared" si="69"/>
        <v>8.9250180399222893E-3</v>
      </c>
      <c r="BE94" s="32">
        <f t="shared" si="70"/>
        <v>1.1052455832889094E-2</v>
      </c>
      <c r="BF94" s="32">
        <f t="shared" si="71"/>
        <v>1.1916541850813117E-2</v>
      </c>
      <c r="BG94" s="32">
        <f t="shared" si="72"/>
        <v>9.6387350981012084E-3</v>
      </c>
      <c r="BH94" s="41">
        <f t="shared" si="73"/>
        <v>2.911136628071334E-3</v>
      </c>
      <c r="BI94" s="46">
        <f t="shared" si="58"/>
        <v>-6.1588632045765222E-2</v>
      </c>
      <c r="BJ94" s="41" t="b">
        <f t="shared" si="61"/>
        <v>0</v>
      </c>
      <c r="BK94" s="41" t="b">
        <f t="shared" si="62"/>
        <v>0</v>
      </c>
      <c r="BL94" s="42" t="str">
        <f>_xlfn.XLOOKUP(AW94,'County Population Strata'!$A$3:$A$66,'County Population Strata'!$P$3:$P$66)</f>
        <v>Small</v>
      </c>
      <c r="BQ94" s="21">
        <f t="shared" si="60"/>
        <v>7.4674517381649503E-7</v>
      </c>
    </row>
    <row r="95" spans="18:69" x14ac:dyDescent="0.2">
      <c r="R95" s="16" t="s">
        <v>165</v>
      </c>
      <c r="S95" s="26">
        <v>627232</v>
      </c>
      <c r="T95" s="26">
        <v>639139</v>
      </c>
      <c r="U95" s="26">
        <v>648445</v>
      </c>
      <c r="V95" s="26">
        <v>658303</v>
      </c>
      <c r="W95" s="26">
        <v>665754</v>
      </c>
      <c r="X95" s="26">
        <v>677969</v>
      </c>
      <c r="Y95" s="26">
        <v>692295</v>
      </c>
      <c r="Z95" s="26">
        <v>704797</v>
      </c>
      <c r="AA95" s="26">
        <v>717812</v>
      </c>
      <c r="AB95" s="26">
        <v>725497</v>
      </c>
      <c r="AC95" s="26">
        <v>732366</v>
      </c>
      <c r="AD95" s="26">
        <v>737202</v>
      </c>
      <c r="AE95" s="26">
        <v>740552</v>
      </c>
      <c r="AG95" s="16" t="s">
        <v>165</v>
      </c>
      <c r="AH95" s="29">
        <v>0</v>
      </c>
      <c r="AI95" s="29">
        <f t="shared" si="59"/>
        <v>1.898340645885414E-2</v>
      </c>
      <c r="AJ95" s="29">
        <f t="shared" si="36"/>
        <v>1.4560213036600801E-2</v>
      </c>
      <c r="AK95" s="29">
        <f t="shared" si="37"/>
        <v>1.5202522958770597E-2</v>
      </c>
      <c r="AL95" s="29">
        <f t="shared" si="38"/>
        <v>1.131849619400185E-2</v>
      </c>
      <c r="AM95" s="29">
        <f t="shared" si="39"/>
        <v>1.8347617888889889E-2</v>
      </c>
      <c r="AN95" s="29">
        <f t="shared" si="40"/>
        <v>2.1130759666002429E-2</v>
      </c>
      <c r="AO95" s="29">
        <f t="shared" si="41"/>
        <v>1.8058775521995682E-2</v>
      </c>
      <c r="AP95" s="29">
        <f t="shared" si="42"/>
        <v>1.8466310157392838E-2</v>
      </c>
      <c r="AQ95" s="29">
        <f t="shared" si="43"/>
        <v>1.0706145898926182E-2</v>
      </c>
      <c r="AR95" s="29">
        <f t="shared" si="44"/>
        <v>9.467992286666933E-3</v>
      </c>
      <c r="AS95" s="29">
        <f t="shared" si="45"/>
        <v>6.6032557491745927E-3</v>
      </c>
      <c r="AT95" s="29">
        <f t="shared" si="46"/>
        <v>4.5442090498940589E-3</v>
      </c>
      <c r="AU95" s="29"/>
      <c r="AW95" s="16" t="s">
        <v>165</v>
      </c>
      <c r="AX95" s="32">
        <f t="shared" si="63"/>
        <v>1.118120649848498E-2</v>
      </c>
      <c r="AY95" s="32">
        <f t="shared" si="64"/>
        <v>1.6248714151408512E-2</v>
      </c>
      <c r="AZ95" s="32">
        <f t="shared" si="65"/>
        <v>1.3693744063124416E-2</v>
      </c>
      <c r="BA95" s="32">
        <f t="shared" si="66"/>
        <v>1.4956212347220778E-2</v>
      </c>
      <c r="BB95" s="32">
        <f t="shared" si="67"/>
        <v>1.6932291249631391E-2</v>
      </c>
      <c r="BC95" s="32">
        <f t="shared" si="68"/>
        <v>1.9179051025629335E-2</v>
      </c>
      <c r="BD95" s="32">
        <f t="shared" si="69"/>
        <v>1.9218615115130316E-2</v>
      </c>
      <c r="BE95" s="32">
        <f t="shared" si="70"/>
        <v>1.5743743859438233E-2</v>
      </c>
      <c r="BF95" s="32">
        <f t="shared" si="71"/>
        <v>1.2880149447661984E-2</v>
      </c>
      <c r="BG95" s="32">
        <f t="shared" si="72"/>
        <v>8.9257979782559026E-3</v>
      </c>
      <c r="BH95" s="41">
        <f t="shared" si="73"/>
        <v>6.8718190285785288E-3</v>
      </c>
      <c r="BI95" s="46">
        <f t="shared" si="58"/>
        <v>0.220694133989326</v>
      </c>
      <c r="BJ95" s="41" t="b">
        <f t="shared" si="61"/>
        <v>0</v>
      </c>
      <c r="BK95" s="41" t="b">
        <f t="shared" si="62"/>
        <v>0</v>
      </c>
      <c r="BL95" s="42" t="str">
        <f>_xlfn.XLOOKUP(AW95,'County Population Strata'!$A$3:$A$66,'County Population Strata'!$P$3:$P$66)</f>
        <v>Large</v>
      </c>
      <c r="BQ95" s="21">
        <f t="shared" si="60"/>
        <v>9.5885489152690501E-6</v>
      </c>
    </row>
    <row r="96" spans="18:69" x14ac:dyDescent="0.2">
      <c r="R96" s="16" t="s">
        <v>164</v>
      </c>
      <c r="S96" s="26">
        <v>23107</v>
      </c>
      <c r="T96" s="26">
        <v>23032</v>
      </c>
      <c r="U96" s="26">
        <v>23034</v>
      </c>
      <c r="V96" s="26">
        <v>23183</v>
      </c>
      <c r="W96" s="26">
        <v>23569</v>
      </c>
      <c r="X96" s="26">
        <v>24061</v>
      </c>
      <c r="Y96" s="26">
        <v>24450</v>
      </c>
      <c r="Z96" s="26">
        <v>24942</v>
      </c>
      <c r="AA96" s="26">
        <v>25366</v>
      </c>
      <c r="AB96" s="26">
        <v>25667</v>
      </c>
      <c r="AC96" s="26">
        <v>26220</v>
      </c>
      <c r="AD96" s="26">
        <v>27144</v>
      </c>
      <c r="AE96" s="26">
        <v>27821</v>
      </c>
      <c r="AG96" s="16" t="s">
        <v>164</v>
      </c>
      <c r="AH96" s="29">
        <v>0</v>
      </c>
      <c r="AI96" s="29">
        <f t="shared" si="59"/>
        <v>-3.2457696801834941E-3</v>
      </c>
      <c r="AJ96" s="29">
        <f t="shared" si="36"/>
        <v>8.6835706842653695E-5</v>
      </c>
      <c r="AK96" s="29">
        <f t="shared" si="37"/>
        <v>6.4686984457758097E-3</v>
      </c>
      <c r="AL96" s="29">
        <f t="shared" si="38"/>
        <v>1.6650131561920373E-2</v>
      </c>
      <c r="AM96" s="29">
        <f t="shared" si="39"/>
        <v>2.087487801773516E-2</v>
      </c>
      <c r="AN96" s="29">
        <f t="shared" si="40"/>
        <v>1.6167241594281203E-2</v>
      </c>
      <c r="AO96" s="29">
        <f t="shared" si="41"/>
        <v>2.0122699386503066E-2</v>
      </c>
      <c r="AP96" s="29">
        <f t="shared" si="42"/>
        <v>1.6999438697778847E-2</v>
      </c>
      <c r="AQ96" s="29">
        <f t="shared" si="43"/>
        <v>1.1866277694551763E-2</v>
      </c>
      <c r="AR96" s="29">
        <f t="shared" si="44"/>
        <v>2.1545174737990416E-2</v>
      </c>
      <c r="AS96" s="29">
        <f t="shared" si="45"/>
        <v>3.5240274599542334E-2</v>
      </c>
      <c r="AT96" s="29">
        <f t="shared" si="46"/>
        <v>2.4941055113468908E-2</v>
      </c>
      <c r="AU96" s="29"/>
      <c r="AW96" s="16" t="s">
        <v>164</v>
      </c>
      <c r="AX96" s="32">
        <f t="shared" si="63"/>
        <v>-1.0529779911136134E-3</v>
      </c>
      <c r="AY96" s="32">
        <f t="shared" si="64"/>
        <v>1.1032548241449898E-3</v>
      </c>
      <c r="AZ96" s="32">
        <f t="shared" si="65"/>
        <v>7.7352219048462791E-3</v>
      </c>
      <c r="BA96" s="32">
        <f t="shared" si="66"/>
        <v>1.4664569341810449E-2</v>
      </c>
      <c r="BB96" s="32">
        <f t="shared" si="67"/>
        <v>1.7897417057978912E-2</v>
      </c>
      <c r="BC96" s="32">
        <f t="shared" si="68"/>
        <v>1.9054939666173144E-2</v>
      </c>
      <c r="BD96" s="32">
        <f t="shared" si="69"/>
        <v>1.7763126559521038E-2</v>
      </c>
      <c r="BE96" s="32">
        <f t="shared" si="70"/>
        <v>1.6329471926277893E-2</v>
      </c>
      <c r="BF96" s="32">
        <f t="shared" si="71"/>
        <v>1.6803630376773678E-2</v>
      </c>
      <c r="BG96" s="32">
        <f t="shared" si="72"/>
        <v>2.2883909010694838E-2</v>
      </c>
      <c r="BH96" s="41">
        <f t="shared" si="73"/>
        <v>2.7242168150333885E-2</v>
      </c>
      <c r="BI96" s="46">
        <f t="shared" si="58"/>
        <v>1.6725142785313971</v>
      </c>
      <c r="BJ96" s="41" t="b">
        <f t="shared" si="61"/>
        <v>1</v>
      </c>
      <c r="BK96" s="41" t="b">
        <f t="shared" si="62"/>
        <v>0</v>
      </c>
      <c r="BL96" s="42" t="str">
        <f>_xlfn.XLOOKUP(AW96,'County Population Strata'!$A$3:$A$66,'County Population Strata'!$P$3:$P$66)</f>
        <v>Small</v>
      </c>
      <c r="BQ96" s="21">
        <f t="shared" si="60"/>
        <v>5.5069480126318916E-4</v>
      </c>
    </row>
    <row r="97" spans="18:69" x14ac:dyDescent="0.2">
      <c r="R97" s="16" t="s">
        <v>166</v>
      </c>
      <c r="S97" s="26">
        <v>46854</v>
      </c>
      <c r="T97" s="26">
        <v>47076</v>
      </c>
      <c r="U97" s="26">
        <v>47130</v>
      </c>
      <c r="V97" s="26">
        <v>47183</v>
      </c>
      <c r="W97" s="26">
        <v>47119</v>
      </c>
      <c r="X97" s="26">
        <v>47213</v>
      </c>
      <c r="Y97" s="26">
        <v>47284</v>
      </c>
      <c r="Z97" s="26">
        <v>47564</v>
      </c>
      <c r="AA97" s="26">
        <v>47990</v>
      </c>
      <c r="AB97" s="26">
        <v>48379</v>
      </c>
      <c r="AC97" s="26">
        <v>48881</v>
      </c>
      <c r="AD97" s="26">
        <v>49249</v>
      </c>
      <c r="AE97" s="26">
        <v>49570</v>
      </c>
      <c r="AG97" s="16" t="s">
        <v>166</v>
      </c>
      <c r="AH97" s="29">
        <v>0</v>
      </c>
      <c r="AI97" s="29">
        <f t="shared" si="59"/>
        <v>4.7381226789601745E-3</v>
      </c>
      <c r="AJ97" s="29">
        <f t="shared" si="36"/>
        <v>1.1470813153199083E-3</v>
      </c>
      <c r="AK97" s="29">
        <f t="shared" si="37"/>
        <v>1.1245491194568215E-3</v>
      </c>
      <c r="AL97" s="29">
        <f t="shared" si="38"/>
        <v>-1.3564207447597653E-3</v>
      </c>
      <c r="AM97" s="29">
        <f t="shared" si="39"/>
        <v>1.9949489590186547E-3</v>
      </c>
      <c r="AN97" s="29">
        <f t="shared" si="40"/>
        <v>1.5038230995700337E-3</v>
      </c>
      <c r="AO97" s="29">
        <f t="shared" si="41"/>
        <v>5.9216648337704087E-3</v>
      </c>
      <c r="AP97" s="29">
        <f t="shared" si="42"/>
        <v>8.9563535446976709E-3</v>
      </c>
      <c r="AQ97" s="29">
        <f t="shared" si="43"/>
        <v>8.105855386538862E-3</v>
      </c>
      <c r="AR97" s="29">
        <f t="shared" si="44"/>
        <v>1.0376402984766117E-2</v>
      </c>
      <c r="AS97" s="29">
        <f t="shared" si="45"/>
        <v>7.5284875514003398E-3</v>
      </c>
      <c r="AT97" s="29">
        <f t="shared" si="46"/>
        <v>6.5178988405855953E-3</v>
      </c>
      <c r="AU97" s="29"/>
      <c r="AW97" s="16" t="s">
        <v>166</v>
      </c>
      <c r="AX97" s="32">
        <f t="shared" si="63"/>
        <v>1.9617346647600275E-3</v>
      </c>
      <c r="AY97" s="32">
        <f t="shared" si="64"/>
        <v>2.3365843712456346E-3</v>
      </c>
      <c r="AZ97" s="32">
        <f t="shared" si="65"/>
        <v>3.0506989667232145E-4</v>
      </c>
      <c r="BA97" s="32">
        <f t="shared" si="66"/>
        <v>5.8769244457190361E-4</v>
      </c>
      <c r="BB97" s="32">
        <f t="shared" si="67"/>
        <v>7.1411710460964105E-4</v>
      </c>
      <c r="BC97" s="32">
        <f t="shared" si="68"/>
        <v>3.1401456307863659E-3</v>
      </c>
      <c r="BD97" s="32">
        <f t="shared" si="69"/>
        <v>5.4606138260127049E-3</v>
      </c>
      <c r="BE97" s="32">
        <f t="shared" si="70"/>
        <v>7.6612912550023142E-3</v>
      </c>
      <c r="BF97" s="32">
        <f t="shared" si="71"/>
        <v>9.1462039720008829E-3</v>
      </c>
      <c r="BG97" s="32">
        <f t="shared" si="72"/>
        <v>8.6702486409017728E-3</v>
      </c>
      <c r="BH97" s="41">
        <f t="shared" si="73"/>
        <v>8.1409297922506851E-3</v>
      </c>
      <c r="BI97" s="46">
        <f t="shared" si="58"/>
        <v>0.31114523825570367</v>
      </c>
      <c r="BJ97" s="41" t="b">
        <f t="shared" si="61"/>
        <v>0</v>
      </c>
      <c r="BK97" s="41" t="b">
        <f t="shared" si="62"/>
        <v>0</v>
      </c>
      <c r="BL97" s="42" t="str">
        <f>_xlfn.XLOOKUP(AW97,'County Population Strata'!$A$3:$A$66,'County Population Strata'!$P$3:$P$66)</f>
        <v>Small</v>
      </c>
      <c r="BQ97" s="21">
        <f t="shared" si="60"/>
        <v>1.9058891002603762E-5</v>
      </c>
    </row>
    <row r="98" spans="18:69" x14ac:dyDescent="0.2">
      <c r="R98" s="16" t="s">
        <v>167</v>
      </c>
      <c r="S98" s="26">
        <v>56150</v>
      </c>
      <c r="T98" s="26">
        <v>56267</v>
      </c>
      <c r="U98" s="26">
        <v>56415</v>
      </c>
      <c r="V98" s="26">
        <v>56798</v>
      </c>
      <c r="W98" s="26">
        <v>57131</v>
      </c>
      <c r="X98" s="26">
        <v>57495</v>
      </c>
      <c r="Y98" s="26">
        <v>58161</v>
      </c>
      <c r="Z98" s="26">
        <v>58871</v>
      </c>
      <c r="AA98" s="26">
        <v>59769</v>
      </c>
      <c r="AB98" s="26">
        <v>60558</v>
      </c>
      <c r="AC98" s="26">
        <v>61791</v>
      </c>
      <c r="AD98" s="26">
        <v>62164</v>
      </c>
      <c r="AE98" s="26">
        <v>62254</v>
      </c>
      <c r="AG98" s="16" t="s">
        <v>167</v>
      </c>
      <c r="AH98" s="29">
        <v>0</v>
      </c>
      <c r="AI98" s="29">
        <f t="shared" si="59"/>
        <v>2.0837043633125558E-3</v>
      </c>
      <c r="AJ98" s="29">
        <f t="shared" si="36"/>
        <v>2.6303161711127305E-3</v>
      </c>
      <c r="AK98" s="29">
        <f t="shared" si="37"/>
        <v>6.7889745635026149E-3</v>
      </c>
      <c r="AL98" s="29">
        <f t="shared" si="38"/>
        <v>5.8628824958625305E-3</v>
      </c>
      <c r="AM98" s="29">
        <f t="shared" si="39"/>
        <v>6.3713220493252353E-3</v>
      </c>
      <c r="AN98" s="29">
        <f t="shared" si="40"/>
        <v>1.1583615966605792E-2</v>
      </c>
      <c r="AO98" s="29">
        <f t="shared" si="41"/>
        <v>1.2207492993586767E-2</v>
      </c>
      <c r="AP98" s="29">
        <f t="shared" si="42"/>
        <v>1.5253690271950535E-2</v>
      </c>
      <c r="AQ98" s="29">
        <f t="shared" si="43"/>
        <v>1.3200823169201426E-2</v>
      </c>
      <c r="AR98" s="29">
        <f t="shared" si="44"/>
        <v>2.0360645992271872E-2</v>
      </c>
      <c r="AS98" s="29">
        <f t="shared" si="45"/>
        <v>6.0364778042109688E-3</v>
      </c>
      <c r="AT98" s="29">
        <f t="shared" si="46"/>
        <v>1.4477832829290264E-3</v>
      </c>
      <c r="AU98" s="29"/>
      <c r="AW98" s="16" t="s">
        <v>167</v>
      </c>
      <c r="AX98" s="32">
        <f t="shared" si="63"/>
        <v>1.571340178141762E-3</v>
      </c>
      <c r="AY98" s="32">
        <f t="shared" si="64"/>
        <v>3.8343316993093E-3</v>
      </c>
      <c r="AZ98" s="32">
        <f t="shared" si="65"/>
        <v>5.094057743492625E-3</v>
      </c>
      <c r="BA98" s="32">
        <f t="shared" si="66"/>
        <v>6.3410597028967933E-3</v>
      </c>
      <c r="BB98" s="32">
        <f t="shared" si="67"/>
        <v>7.9392735039311851E-3</v>
      </c>
      <c r="BC98" s="32">
        <f t="shared" si="68"/>
        <v>1.0054143669839264E-2</v>
      </c>
      <c r="BD98" s="32">
        <f t="shared" si="69"/>
        <v>1.3014933077381032E-2</v>
      </c>
      <c r="BE98" s="32">
        <f t="shared" si="70"/>
        <v>1.3554002144912909E-2</v>
      </c>
      <c r="BF98" s="32">
        <f t="shared" si="71"/>
        <v>1.627171981114128E-2</v>
      </c>
      <c r="BG98" s="32">
        <f t="shared" si="72"/>
        <v>1.3199315655228088E-2</v>
      </c>
      <c r="BH98" s="41">
        <f t="shared" si="73"/>
        <v>9.2816356931372888E-3</v>
      </c>
      <c r="BI98" s="46">
        <f t="shared" si="58"/>
        <v>0.39244476807753093</v>
      </c>
      <c r="BJ98" s="41" t="b">
        <f t="shared" si="61"/>
        <v>0</v>
      </c>
      <c r="BK98" s="41" t="b">
        <f t="shared" si="62"/>
        <v>0</v>
      </c>
      <c r="BL98" s="42" t="str">
        <f>_xlfn.XLOOKUP(AW98,'County Population Strata'!$A$3:$A$66,'County Population Strata'!$P$3:$P$66)</f>
        <v>Small</v>
      </c>
      <c r="BQ98" s="21">
        <f t="shared" si="60"/>
        <v>3.0319944056641874E-5</v>
      </c>
    </row>
    <row r="99" spans="18:69" x14ac:dyDescent="0.2">
      <c r="R99" s="16" t="s">
        <v>168</v>
      </c>
      <c r="S99" s="26">
        <v>5463</v>
      </c>
      <c r="T99" s="26">
        <v>5477</v>
      </c>
      <c r="U99" s="26">
        <v>5500</v>
      </c>
      <c r="V99" s="26">
        <v>5512</v>
      </c>
      <c r="W99" s="26">
        <v>5536</v>
      </c>
      <c r="X99" s="26">
        <v>5553</v>
      </c>
      <c r="Y99" s="26">
        <v>5578</v>
      </c>
      <c r="Z99" s="26">
        <v>5635</v>
      </c>
      <c r="AA99" s="26">
        <v>5707</v>
      </c>
      <c r="AB99" s="26">
        <v>5751</v>
      </c>
      <c r="AC99" s="26">
        <v>5823</v>
      </c>
      <c r="AD99" s="26">
        <v>5894</v>
      </c>
      <c r="AE99" s="26">
        <v>5895</v>
      </c>
      <c r="AG99" s="16" t="s">
        <v>168</v>
      </c>
      <c r="AH99" s="29">
        <v>0</v>
      </c>
      <c r="AI99" s="29">
        <f t="shared" si="59"/>
        <v>2.5626944902068459E-3</v>
      </c>
      <c r="AJ99" s="29">
        <f t="shared" si="36"/>
        <v>4.1993792222019353E-3</v>
      </c>
      <c r="AK99" s="29">
        <f t="shared" si="37"/>
        <v>2.1818181818181819E-3</v>
      </c>
      <c r="AL99" s="29">
        <f t="shared" si="38"/>
        <v>4.3541364296081275E-3</v>
      </c>
      <c r="AM99" s="29">
        <f t="shared" si="39"/>
        <v>3.0708092485549135E-3</v>
      </c>
      <c r="AN99" s="29">
        <f t="shared" si="40"/>
        <v>4.5020709526382135E-3</v>
      </c>
      <c r="AO99" s="29">
        <f t="shared" si="41"/>
        <v>1.0218716385801362E-2</v>
      </c>
      <c r="AP99" s="29">
        <f t="shared" si="42"/>
        <v>1.2777284826974268E-2</v>
      </c>
      <c r="AQ99" s="29">
        <f t="shared" si="43"/>
        <v>7.7098300332924478E-3</v>
      </c>
      <c r="AR99" s="29">
        <f t="shared" si="44"/>
        <v>1.2519561815336464E-2</v>
      </c>
      <c r="AS99" s="29">
        <f t="shared" si="45"/>
        <v>1.2193027648978189E-2</v>
      </c>
      <c r="AT99" s="29">
        <f t="shared" si="46"/>
        <v>1.6966406515100103E-4</v>
      </c>
      <c r="AU99" s="29"/>
      <c r="AW99" s="16" t="s">
        <v>168</v>
      </c>
      <c r="AX99" s="32">
        <f t="shared" si="63"/>
        <v>2.2540245708029274E-3</v>
      </c>
      <c r="AY99" s="32">
        <f t="shared" si="64"/>
        <v>2.9812972980756548E-3</v>
      </c>
      <c r="AZ99" s="32">
        <f t="shared" si="65"/>
        <v>3.5784446112094152E-3</v>
      </c>
      <c r="BA99" s="32">
        <f t="shared" si="66"/>
        <v>3.2022546199937407E-3</v>
      </c>
      <c r="BB99" s="32">
        <f t="shared" si="67"/>
        <v>3.9756722102670845E-3</v>
      </c>
      <c r="BC99" s="32">
        <f t="shared" si="68"/>
        <v>5.9305321956648295E-3</v>
      </c>
      <c r="BD99" s="32">
        <f t="shared" si="69"/>
        <v>9.1660240551379481E-3</v>
      </c>
      <c r="BE99" s="32">
        <f t="shared" si="70"/>
        <v>1.0235277082022693E-2</v>
      </c>
      <c r="BF99" s="32">
        <f t="shared" si="71"/>
        <v>1.1002225558534395E-2</v>
      </c>
      <c r="BG99" s="32">
        <f t="shared" si="72"/>
        <v>1.0807473165869034E-2</v>
      </c>
      <c r="BH99" s="41">
        <f t="shared" si="73"/>
        <v>8.2940845098218845E-3</v>
      </c>
      <c r="BI99" s="46">
        <f t="shared" si="58"/>
        <v>0.32206076566627945</v>
      </c>
      <c r="BJ99" s="41" t="b">
        <f t="shared" si="61"/>
        <v>0</v>
      </c>
      <c r="BK99" s="41" t="b">
        <f t="shared" si="62"/>
        <v>0</v>
      </c>
      <c r="BL99" s="42" t="str">
        <f>_xlfn.XLOOKUP(AW99,'County Population Strata'!$A$3:$A$66,'County Population Strata'!$P$3:$P$66)</f>
        <v>Tiny</v>
      </c>
      <c r="BQ99" s="21">
        <f t="shared" si="60"/>
        <v>2.0419586842721731E-5</v>
      </c>
    </row>
    <row r="100" spans="18:69" x14ac:dyDescent="0.2">
      <c r="R100" s="16" t="s">
        <v>169</v>
      </c>
      <c r="S100" s="26">
        <v>14790</v>
      </c>
      <c r="T100" s="26">
        <v>14836</v>
      </c>
      <c r="U100" s="26">
        <v>14925</v>
      </c>
      <c r="V100" s="26">
        <v>14948</v>
      </c>
      <c r="W100" s="26">
        <v>14934</v>
      </c>
      <c r="X100" s="26">
        <v>14961</v>
      </c>
      <c r="Y100" s="26">
        <v>15042</v>
      </c>
      <c r="Z100" s="26">
        <v>15147</v>
      </c>
      <c r="AA100" s="26">
        <v>15268</v>
      </c>
      <c r="AB100" s="26">
        <v>15408</v>
      </c>
      <c r="AC100" s="26">
        <v>15748</v>
      </c>
      <c r="AD100" s="26">
        <v>15860</v>
      </c>
      <c r="AE100" s="26">
        <v>15748</v>
      </c>
      <c r="AG100" s="16" t="s">
        <v>169</v>
      </c>
      <c r="AH100" s="29">
        <v>0</v>
      </c>
      <c r="AI100" s="29">
        <f t="shared" si="59"/>
        <v>3.110209601081812E-3</v>
      </c>
      <c r="AJ100" s="29">
        <f t="shared" si="36"/>
        <v>5.9989215421946615E-3</v>
      </c>
      <c r="AK100" s="29">
        <f t="shared" si="37"/>
        <v>1.5410385259631491E-3</v>
      </c>
      <c r="AL100" s="29">
        <f t="shared" si="38"/>
        <v>-9.3658014450093661E-4</v>
      </c>
      <c r="AM100" s="29">
        <f t="shared" si="39"/>
        <v>1.8079550020088388E-3</v>
      </c>
      <c r="AN100" s="29">
        <f t="shared" si="40"/>
        <v>5.4140765991578105E-3</v>
      </c>
      <c r="AO100" s="29">
        <f t="shared" si="41"/>
        <v>6.9804547267650575E-3</v>
      </c>
      <c r="AP100" s="29">
        <f t="shared" si="42"/>
        <v>7.988380537400145E-3</v>
      </c>
      <c r="AQ100" s="29">
        <f t="shared" si="43"/>
        <v>9.1695048467382769E-3</v>
      </c>
      <c r="AR100" s="29">
        <f t="shared" si="44"/>
        <v>2.2066458982346833E-2</v>
      </c>
      <c r="AS100" s="29">
        <f t="shared" si="45"/>
        <v>7.1120142240284484E-3</v>
      </c>
      <c r="AT100" s="29">
        <f t="shared" si="46"/>
        <v>-7.0617906683480454E-3</v>
      </c>
      <c r="AU100" s="29"/>
      <c r="AW100" s="16" t="s">
        <v>169</v>
      </c>
      <c r="AX100" s="32">
        <f t="shared" si="63"/>
        <v>3.0363770477588245E-3</v>
      </c>
      <c r="AY100" s="32">
        <f t="shared" si="64"/>
        <v>3.5500565564132078E-3</v>
      </c>
      <c r="AZ100" s="32">
        <f t="shared" si="65"/>
        <v>2.201126641218958E-3</v>
      </c>
      <c r="BA100" s="32">
        <f t="shared" si="66"/>
        <v>8.0413779449035048E-4</v>
      </c>
      <c r="BB100" s="32">
        <f t="shared" si="67"/>
        <v>2.0951504855552376E-3</v>
      </c>
      <c r="BC100" s="32">
        <f t="shared" si="68"/>
        <v>4.7341621093105685E-3</v>
      </c>
      <c r="BD100" s="32">
        <f t="shared" si="69"/>
        <v>6.7943039544410043E-3</v>
      </c>
      <c r="BE100" s="32">
        <f t="shared" si="70"/>
        <v>8.0461133703011601E-3</v>
      </c>
      <c r="BF100" s="32">
        <f t="shared" si="71"/>
        <v>1.3074781455495085E-2</v>
      </c>
      <c r="BG100" s="32">
        <f t="shared" si="72"/>
        <v>1.2782659351037853E-2</v>
      </c>
      <c r="BH100" s="41">
        <f t="shared" si="73"/>
        <v>7.372227512675745E-3</v>
      </c>
      <c r="BI100" s="46">
        <f t="shared" si="58"/>
        <v>0.25635886969757166</v>
      </c>
      <c r="BJ100" s="41" t="b">
        <f t="shared" si="61"/>
        <v>0</v>
      </c>
      <c r="BK100" s="41" t="b">
        <f t="shared" si="62"/>
        <v>0</v>
      </c>
      <c r="BL100" s="42" t="str">
        <f>_xlfn.XLOOKUP(AW100,'County Population Strata'!$A$3:$A$66,'County Population Strata'!$P$3:$P$66)</f>
        <v>Tiny</v>
      </c>
      <c r="BQ100" s="21">
        <f t="shared" si="60"/>
        <v>1.2938025554187508E-5</v>
      </c>
    </row>
    <row r="101" spans="18:69" x14ac:dyDescent="0.2">
      <c r="R101" s="16" t="s">
        <v>170</v>
      </c>
      <c r="S101" s="26">
        <v>15309</v>
      </c>
      <c r="T101" s="26">
        <v>15348</v>
      </c>
      <c r="U101" s="26">
        <v>15270</v>
      </c>
      <c r="V101" s="26">
        <v>15425</v>
      </c>
      <c r="W101" s="26">
        <v>15552</v>
      </c>
      <c r="X101" s="26">
        <v>15826</v>
      </c>
      <c r="Y101" s="26">
        <v>16082</v>
      </c>
      <c r="Z101" s="26">
        <v>16464</v>
      </c>
      <c r="AA101" s="26">
        <v>16681</v>
      </c>
      <c r="AB101" s="26">
        <v>16941</v>
      </c>
      <c r="AC101" s="26">
        <v>16946</v>
      </c>
      <c r="AD101" s="26">
        <v>17313</v>
      </c>
      <c r="AE101" s="26">
        <v>17269</v>
      </c>
      <c r="AG101" s="16" t="s">
        <v>170</v>
      </c>
      <c r="AH101" s="29">
        <v>0</v>
      </c>
      <c r="AI101" s="29">
        <f t="shared" si="59"/>
        <v>2.5475210660395845E-3</v>
      </c>
      <c r="AJ101" s="29">
        <f t="shared" si="36"/>
        <v>-5.0820953870211105E-3</v>
      </c>
      <c r="AK101" s="29">
        <f t="shared" si="37"/>
        <v>1.0150622134905042E-2</v>
      </c>
      <c r="AL101" s="29">
        <f t="shared" si="38"/>
        <v>8.2333873581847648E-3</v>
      </c>
      <c r="AM101" s="29">
        <f t="shared" si="39"/>
        <v>1.7618312757201646E-2</v>
      </c>
      <c r="AN101" s="29">
        <f t="shared" si="40"/>
        <v>1.6175913054467334E-2</v>
      </c>
      <c r="AO101" s="29">
        <f t="shared" si="41"/>
        <v>2.3753264519338391E-2</v>
      </c>
      <c r="AP101" s="29">
        <f t="shared" si="42"/>
        <v>1.3180272108843538E-2</v>
      </c>
      <c r="AQ101" s="29">
        <f t="shared" si="43"/>
        <v>1.5586595527846052E-2</v>
      </c>
      <c r="AR101" s="29">
        <f t="shared" si="44"/>
        <v>2.9514196328433979E-4</v>
      </c>
      <c r="AS101" s="29">
        <f t="shared" si="45"/>
        <v>2.1657028207246548E-2</v>
      </c>
      <c r="AT101" s="29">
        <f t="shared" si="46"/>
        <v>-2.5414428464159882E-3</v>
      </c>
      <c r="AU101" s="29"/>
      <c r="AW101" s="16" t="s">
        <v>170</v>
      </c>
      <c r="AX101" s="32">
        <f t="shared" si="63"/>
        <v>-8.4485810699384204E-4</v>
      </c>
      <c r="AY101" s="32">
        <f t="shared" si="64"/>
        <v>2.5386826046411722E-3</v>
      </c>
      <c r="AZ101" s="32">
        <f t="shared" si="65"/>
        <v>4.4339713686895659E-3</v>
      </c>
      <c r="BA101" s="32">
        <f t="shared" si="66"/>
        <v>1.2000774083430484E-2</v>
      </c>
      <c r="BB101" s="32">
        <f t="shared" si="67"/>
        <v>1.4009204389951249E-2</v>
      </c>
      <c r="BC101" s="32">
        <f t="shared" si="68"/>
        <v>1.9182496777002456E-2</v>
      </c>
      <c r="BD101" s="32">
        <f t="shared" si="69"/>
        <v>1.7703149894216421E-2</v>
      </c>
      <c r="BE101" s="32">
        <f t="shared" si="70"/>
        <v>1.7506710718675992E-2</v>
      </c>
      <c r="BF101" s="32">
        <f t="shared" si="71"/>
        <v>9.6873365333246444E-3</v>
      </c>
      <c r="BG101" s="32">
        <f t="shared" si="72"/>
        <v>1.2512921899458981E-2</v>
      </c>
      <c r="BH101" s="41">
        <f t="shared" si="73"/>
        <v>6.4702424413716339E-3</v>
      </c>
      <c r="BI101" s="46">
        <f t="shared" si="58"/>
        <v>0.19207327062568494</v>
      </c>
      <c r="BJ101" s="41" t="b">
        <f t="shared" si="61"/>
        <v>0</v>
      </c>
      <c r="BK101" s="41" t="b">
        <f t="shared" si="62"/>
        <v>0</v>
      </c>
      <c r="BL101" s="42" t="str">
        <f>_xlfn.XLOOKUP(AW101,'County Population Strata'!$A$3:$A$66,'County Population Strata'!$P$3:$P$66)</f>
        <v>Tiny</v>
      </c>
      <c r="BQ101" s="21">
        <f t="shared" si="60"/>
        <v>7.2628181738096203E-6</v>
      </c>
    </row>
    <row r="102" spans="18:69" x14ac:dyDescent="0.2">
      <c r="R102" s="16" t="s">
        <v>171</v>
      </c>
      <c r="S102" s="26">
        <v>843</v>
      </c>
      <c r="T102" s="26">
        <v>835</v>
      </c>
      <c r="U102" s="26">
        <v>831</v>
      </c>
      <c r="V102" s="26">
        <v>825</v>
      </c>
      <c r="W102" s="26">
        <v>819</v>
      </c>
      <c r="X102" s="26">
        <v>813</v>
      </c>
      <c r="Y102" s="26">
        <v>809</v>
      </c>
      <c r="Z102" s="26">
        <v>805</v>
      </c>
      <c r="AA102" s="26">
        <v>801</v>
      </c>
      <c r="AB102" s="26">
        <v>798</v>
      </c>
      <c r="AC102" s="26">
        <v>792</v>
      </c>
      <c r="AD102" s="26">
        <v>778</v>
      </c>
      <c r="AE102" s="26">
        <v>779</v>
      </c>
      <c r="AG102" s="16" t="s">
        <v>171</v>
      </c>
      <c r="AH102" s="29">
        <v>0</v>
      </c>
      <c r="AI102" s="29">
        <f t="shared" si="59"/>
        <v>-9.4899169632265724E-3</v>
      </c>
      <c r="AJ102" s="29">
        <f t="shared" si="36"/>
        <v>-4.7904191616766467E-3</v>
      </c>
      <c r="AK102" s="29">
        <f t="shared" si="37"/>
        <v>-7.2202166064981952E-3</v>
      </c>
      <c r="AL102" s="29">
        <f t="shared" si="38"/>
        <v>-7.2727272727272727E-3</v>
      </c>
      <c r="AM102" s="29">
        <f t="shared" si="39"/>
        <v>-7.326007326007326E-3</v>
      </c>
      <c r="AN102" s="29">
        <f t="shared" si="40"/>
        <v>-4.9200492004920051E-3</v>
      </c>
      <c r="AO102" s="29">
        <f t="shared" si="41"/>
        <v>-4.944375772558714E-3</v>
      </c>
      <c r="AP102" s="29">
        <f t="shared" si="42"/>
        <v>-4.9689440993788822E-3</v>
      </c>
      <c r="AQ102" s="29">
        <f t="shared" si="43"/>
        <v>-3.7453183520599251E-3</v>
      </c>
      <c r="AR102" s="29">
        <f t="shared" si="44"/>
        <v>-7.5187969924812026E-3</v>
      </c>
      <c r="AS102" s="29">
        <f t="shared" si="45"/>
        <v>-1.7676767676767676E-2</v>
      </c>
      <c r="AT102" s="29">
        <f t="shared" si="46"/>
        <v>1.2853470437017994E-3</v>
      </c>
      <c r="AU102" s="29"/>
      <c r="AW102" s="16" t="s">
        <v>171</v>
      </c>
      <c r="AX102" s="32">
        <f t="shared" si="63"/>
        <v>-4.7601120416344064E-3</v>
      </c>
      <c r="AY102" s="32">
        <f t="shared" si="64"/>
        <v>-7.1668509104671381E-3</v>
      </c>
      <c r="AZ102" s="32">
        <f t="shared" si="65"/>
        <v>-6.4277876803007046E-3</v>
      </c>
      <c r="BA102" s="32">
        <f t="shared" si="66"/>
        <v>-7.2729837350775971E-3</v>
      </c>
      <c r="BB102" s="32">
        <f t="shared" si="67"/>
        <v>-6.5062612664088674E-3</v>
      </c>
      <c r="BC102" s="32">
        <f t="shared" si="68"/>
        <v>-5.7301440996860159E-3</v>
      </c>
      <c r="BD102" s="32">
        <f t="shared" si="69"/>
        <v>-4.9444563574765343E-3</v>
      </c>
      <c r="BE102" s="32">
        <f t="shared" si="70"/>
        <v>-4.5528794079991736E-3</v>
      </c>
      <c r="BF102" s="32">
        <f t="shared" si="71"/>
        <v>-5.4110198146400034E-3</v>
      </c>
      <c r="BG102" s="32">
        <f t="shared" si="72"/>
        <v>-9.6469610071029336E-3</v>
      </c>
      <c r="BH102" s="41">
        <f t="shared" si="73"/>
        <v>-7.9700725418490274E-3</v>
      </c>
      <c r="BI102" s="46">
        <f t="shared" si="58"/>
        <v>-0.83710595751932004</v>
      </c>
      <c r="BJ102" s="41" t="b">
        <f t="shared" si="61"/>
        <v>0</v>
      </c>
      <c r="BK102" s="41" t="b">
        <f t="shared" si="62"/>
        <v>0</v>
      </c>
      <c r="BL102" s="42" t="str">
        <f>_xlfn.XLOOKUP(AW102,'County Population Strata'!$A$3:$A$66,'County Population Strata'!$P$3:$P$66)</f>
        <v>Tiny</v>
      </c>
      <c r="BQ102" s="21">
        <f t="shared" si="60"/>
        <v>1.3795332545024972E-4</v>
      </c>
    </row>
    <row r="103" spans="18:69" x14ac:dyDescent="0.2">
      <c r="R103" s="16" t="s">
        <v>172</v>
      </c>
      <c r="S103" s="26">
        <v>6655</v>
      </c>
      <c r="T103" s="26">
        <v>6671</v>
      </c>
      <c r="U103" s="26">
        <v>6686</v>
      </c>
      <c r="V103" s="26">
        <v>6697</v>
      </c>
      <c r="W103" s="26">
        <v>6700</v>
      </c>
      <c r="X103" s="26">
        <v>6706</v>
      </c>
      <c r="Y103" s="26">
        <v>6721</v>
      </c>
      <c r="Z103" s="26">
        <v>6737</v>
      </c>
      <c r="AA103" s="26">
        <v>6758</v>
      </c>
      <c r="AB103" s="26">
        <v>6778</v>
      </c>
      <c r="AC103" s="26">
        <v>6833</v>
      </c>
      <c r="AD103" s="26">
        <v>6948</v>
      </c>
      <c r="AE103" s="26">
        <v>7104</v>
      </c>
      <c r="AG103" s="16" t="s">
        <v>172</v>
      </c>
      <c r="AH103" s="29">
        <v>0</v>
      </c>
      <c r="AI103" s="29">
        <f t="shared" si="59"/>
        <v>2.4042073628850491E-3</v>
      </c>
      <c r="AJ103" s="29">
        <f t="shared" si="36"/>
        <v>2.2485384500074953E-3</v>
      </c>
      <c r="AK103" s="29">
        <f t="shared" si="37"/>
        <v>1.645228836374514E-3</v>
      </c>
      <c r="AL103" s="29">
        <f t="shared" si="38"/>
        <v>4.4796177392862478E-4</v>
      </c>
      <c r="AM103" s="29">
        <f t="shared" si="39"/>
        <v>8.955223880597015E-4</v>
      </c>
      <c r="AN103" s="29">
        <f t="shared" si="40"/>
        <v>2.2368028631076647E-3</v>
      </c>
      <c r="AO103" s="29">
        <f t="shared" si="41"/>
        <v>2.3805981252789763E-3</v>
      </c>
      <c r="AP103" s="29">
        <f t="shared" si="42"/>
        <v>3.1171144426302509E-3</v>
      </c>
      <c r="AQ103" s="29">
        <f t="shared" si="43"/>
        <v>2.9594554601953238E-3</v>
      </c>
      <c r="AR103" s="29">
        <f t="shared" si="44"/>
        <v>8.1144880495721446E-3</v>
      </c>
      <c r="AS103" s="29">
        <f t="shared" si="45"/>
        <v>1.6830089272647446E-2</v>
      </c>
      <c r="AT103" s="29">
        <f t="shared" si="46"/>
        <v>2.2452504317789293E-2</v>
      </c>
      <c r="AU103" s="29"/>
      <c r="AW103" s="16" t="s">
        <v>172</v>
      </c>
      <c r="AX103" s="32">
        <f t="shared" si="63"/>
        <v>1.5509152709641816E-3</v>
      </c>
      <c r="AY103" s="32">
        <f t="shared" si="64"/>
        <v>2.0993248830890195E-3</v>
      </c>
      <c r="AZ103" s="32">
        <f t="shared" si="65"/>
        <v>1.4472430201035447E-3</v>
      </c>
      <c r="BA103" s="32">
        <f t="shared" si="66"/>
        <v>9.9623766612094689E-4</v>
      </c>
      <c r="BB103" s="32">
        <f t="shared" si="67"/>
        <v>1.1934290083653303E-3</v>
      </c>
      <c r="BC103" s="32">
        <f t="shared" si="68"/>
        <v>1.8376411254821142E-3</v>
      </c>
      <c r="BD103" s="32">
        <f t="shared" si="69"/>
        <v>2.5781718103389637E-3</v>
      </c>
      <c r="BE103" s="32">
        <f t="shared" si="70"/>
        <v>2.8190560093681837E-3</v>
      </c>
      <c r="BF103" s="32">
        <f t="shared" si="71"/>
        <v>4.7303526507992402E-3</v>
      </c>
      <c r="BG103" s="32">
        <f t="shared" si="72"/>
        <v>9.301344260804971E-3</v>
      </c>
      <c r="BH103" s="41">
        <f t="shared" si="73"/>
        <v>1.5799027213336297E-2</v>
      </c>
      <c r="BI103" s="46">
        <f t="shared" si="58"/>
        <v>0.85694737637044294</v>
      </c>
      <c r="BJ103" s="41" t="b">
        <f t="shared" si="61"/>
        <v>0</v>
      </c>
      <c r="BK103" s="41" t="b">
        <f t="shared" si="62"/>
        <v>0</v>
      </c>
      <c r="BL103" s="42" t="str">
        <f>_xlfn.XLOOKUP(AW103,'County Population Strata'!$A$3:$A$66,'County Population Strata'!$P$3:$P$66)</f>
        <v>Tiny</v>
      </c>
      <c r="BQ103" s="21">
        <f t="shared" si="60"/>
        <v>1.4457047747913992E-4</v>
      </c>
    </row>
    <row r="104" spans="18:69" x14ac:dyDescent="0.2">
      <c r="R104" s="16" t="s">
        <v>173</v>
      </c>
      <c r="S104" s="26">
        <v>1387</v>
      </c>
      <c r="T104" s="26">
        <v>1387</v>
      </c>
      <c r="U104" s="26">
        <v>1385</v>
      </c>
      <c r="V104" s="26">
        <v>1383</v>
      </c>
      <c r="W104" s="26">
        <v>1381</v>
      </c>
      <c r="X104" s="26">
        <v>1381</v>
      </c>
      <c r="Y104" s="26">
        <v>1379</v>
      </c>
      <c r="Z104" s="26">
        <v>1379</v>
      </c>
      <c r="AA104" s="26">
        <v>1379</v>
      </c>
      <c r="AB104" s="26">
        <v>1379</v>
      </c>
      <c r="AC104" s="26">
        <v>1378</v>
      </c>
      <c r="AD104" s="26">
        <v>1358</v>
      </c>
      <c r="AE104" s="26">
        <v>1314</v>
      </c>
      <c r="AG104" s="16" t="s">
        <v>173</v>
      </c>
      <c r="AH104" s="29">
        <v>0</v>
      </c>
      <c r="AI104" s="29">
        <f t="shared" si="59"/>
        <v>0</v>
      </c>
      <c r="AJ104" s="29">
        <f t="shared" si="36"/>
        <v>-1.4419610670511895E-3</v>
      </c>
      <c r="AK104" s="29">
        <f t="shared" si="37"/>
        <v>-1.4440433212996389E-3</v>
      </c>
      <c r="AL104" s="29">
        <f t="shared" si="38"/>
        <v>-1.4461315979754157E-3</v>
      </c>
      <c r="AM104" s="29">
        <f t="shared" si="39"/>
        <v>0</v>
      </c>
      <c r="AN104" s="29">
        <f t="shared" si="40"/>
        <v>-1.448225923244026E-3</v>
      </c>
      <c r="AO104" s="29">
        <f t="shared" si="41"/>
        <v>0</v>
      </c>
      <c r="AP104" s="29">
        <f t="shared" si="42"/>
        <v>0</v>
      </c>
      <c r="AQ104" s="29">
        <f t="shared" si="43"/>
        <v>0</v>
      </c>
      <c r="AR104" s="29">
        <f t="shared" si="44"/>
        <v>-7.2516316171138508E-4</v>
      </c>
      <c r="AS104" s="29">
        <f t="shared" si="45"/>
        <v>-1.4513788098693759E-2</v>
      </c>
      <c r="AT104" s="29">
        <f t="shared" si="46"/>
        <v>-3.2400589101620032E-2</v>
      </c>
      <c r="AU104" s="29"/>
      <c r="AW104" s="16" t="s">
        <v>173</v>
      </c>
      <c r="AX104" s="32">
        <f t="shared" si="63"/>
        <v>-4.8065368901706318E-4</v>
      </c>
      <c r="AY104" s="32">
        <f t="shared" si="64"/>
        <v>-9.6200146278360937E-4</v>
      </c>
      <c r="AZ104" s="32">
        <f t="shared" si="65"/>
        <v>-1.4440453287754146E-3</v>
      </c>
      <c r="BA104" s="32">
        <f t="shared" si="66"/>
        <v>-9.6339163975835151E-4</v>
      </c>
      <c r="BB104" s="32">
        <f t="shared" si="67"/>
        <v>-9.6478584040648064E-4</v>
      </c>
      <c r="BC104" s="32">
        <f t="shared" si="68"/>
        <v>-4.8274197441467532E-4</v>
      </c>
      <c r="BD104" s="32">
        <f t="shared" si="69"/>
        <v>-4.8274197441467532E-4</v>
      </c>
      <c r="BE104" s="32">
        <f t="shared" si="70"/>
        <v>0</v>
      </c>
      <c r="BF104" s="32">
        <f t="shared" si="71"/>
        <v>-2.4172105390379503E-4</v>
      </c>
      <c r="BG104" s="32">
        <f t="shared" si="72"/>
        <v>-5.0796504201350481E-3</v>
      </c>
      <c r="BH104" s="41">
        <f t="shared" si="73"/>
        <v>-1.5879846787341726E-2</v>
      </c>
      <c r="BI104" s="46">
        <f t="shared" si="58"/>
        <v>-1.400845416266348</v>
      </c>
      <c r="BJ104" s="41" t="b">
        <f t="shared" si="61"/>
        <v>0</v>
      </c>
      <c r="BK104" s="41" t="b">
        <f t="shared" si="62"/>
        <v>1</v>
      </c>
      <c r="BL104" s="42" t="str">
        <f>_xlfn.XLOOKUP(AW104,'County Population Strata'!$A$3:$A$66,'County Population Strata'!$P$3:$P$66)</f>
        <v>Tiny</v>
      </c>
      <c r="BQ104" s="21">
        <f t="shared" si="60"/>
        <v>3.8632404101916117E-4</v>
      </c>
    </row>
    <row r="105" spans="18:69" x14ac:dyDescent="0.2">
      <c r="R105" s="16" t="s">
        <v>174</v>
      </c>
      <c r="S105" s="26">
        <v>535651</v>
      </c>
      <c r="T105" s="26">
        <v>540625</v>
      </c>
      <c r="U105" s="26">
        <v>546631</v>
      </c>
      <c r="V105" s="26">
        <v>552236</v>
      </c>
      <c r="W105" s="26">
        <v>559016</v>
      </c>
      <c r="X105" s="26">
        <v>565161</v>
      </c>
      <c r="Y105" s="26">
        <v>571744</v>
      </c>
      <c r="Z105" s="26">
        <v>575923</v>
      </c>
      <c r="AA105" s="26">
        <v>579821</v>
      </c>
      <c r="AB105" s="26">
        <v>582568</v>
      </c>
      <c r="AC105" s="26">
        <v>583063</v>
      </c>
      <c r="AD105" s="26">
        <v>580726</v>
      </c>
      <c r="AE105" s="26">
        <v>575936</v>
      </c>
      <c r="AG105" s="16" t="s">
        <v>174</v>
      </c>
      <c r="AH105" s="29">
        <v>0</v>
      </c>
      <c r="AI105" s="29">
        <f t="shared" si="59"/>
        <v>9.2858969739625236E-3</v>
      </c>
      <c r="AJ105" s="29">
        <f t="shared" si="36"/>
        <v>1.1109364161849711E-2</v>
      </c>
      <c r="AK105" s="29">
        <f t="shared" si="37"/>
        <v>1.0253717773049826E-2</v>
      </c>
      <c r="AL105" s="29">
        <f t="shared" si="38"/>
        <v>1.227735967955729E-2</v>
      </c>
      <c r="AM105" s="29">
        <f t="shared" si="39"/>
        <v>1.0992529730812713E-2</v>
      </c>
      <c r="AN105" s="29">
        <f t="shared" si="40"/>
        <v>1.1648008266670912E-2</v>
      </c>
      <c r="AO105" s="29">
        <f t="shared" si="41"/>
        <v>7.3092153131471427E-3</v>
      </c>
      <c r="AP105" s="29">
        <f t="shared" si="42"/>
        <v>6.7682658966563237E-3</v>
      </c>
      <c r="AQ105" s="29">
        <f t="shared" si="43"/>
        <v>4.7376690392379713E-3</v>
      </c>
      <c r="AR105" s="29">
        <f t="shared" si="44"/>
        <v>8.4968621688798565E-4</v>
      </c>
      <c r="AS105" s="29">
        <f t="shared" si="45"/>
        <v>-4.0081432023640669E-3</v>
      </c>
      <c r="AT105" s="29">
        <f t="shared" si="46"/>
        <v>-8.2482960983320877E-3</v>
      </c>
      <c r="AU105" s="29"/>
      <c r="AW105" s="16" t="s">
        <v>174</v>
      </c>
      <c r="AX105" s="32">
        <f t="shared" si="63"/>
        <v>6.7984203786040781E-3</v>
      </c>
      <c r="AY105" s="32">
        <f t="shared" si="64"/>
        <v>1.0216326302954021E-2</v>
      </c>
      <c r="AZ105" s="32">
        <f t="shared" si="65"/>
        <v>1.1213480538152276E-2</v>
      </c>
      <c r="BA105" s="32">
        <f t="shared" si="66"/>
        <v>1.1174535727806611E-2</v>
      </c>
      <c r="BB105" s="32">
        <f t="shared" si="67"/>
        <v>1.1639299225680305E-2</v>
      </c>
      <c r="BC105" s="32">
        <f t="shared" si="68"/>
        <v>9.9832511035435889E-3</v>
      </c>
      <c r="BD105" s="32">
        <f t="shared" si="69"/>
        <v>8.5751631588247938E-3</v>
      </c>
      <c r="BE105" s="32">
        <f t="shared" si="70"/>
        <v>6.2717167496804784E-3</v>
      </c>
      <c r="BF105" s="32">
        <f t="shared" si="71"/>
        <v>4.1185403842607599E-3</v>
      </c>
      <c r="BG105" s="32">
        <f t="shared" si="72"/>
        <v>5.2640401792063E-4</v>
      </c>
      <c r="BH105" s="41">
        <f t="shared" si="73"/>
        <v>-3.8022510279360562E-3</v>
      </c>
      <c r="BI105" s="46">
        <f t="shared" si="58"/>
        <v>-0.54006012896784239</v>
      </c>
      <c r="BJ105" s="41" t="b">
        <f t="shared" si="61"/>
        <v>0</v>
      </c>
      <c r="BK105" s="41" t="b">
        <f t="shared" si="62"/>
        <v>0</v>
      </c>
      <c r="BL105" s="42" t="str">
        <f>_xlfn.XLOOKUP(AW105,'County Population Strata'!$A$3:$A$66,'County Population Strata'!$P$3:$P$66)</f>
        <v>Medium</v>
      </c>
      <c r="BQ105" s="21">
        <f t="shared" si="60"/>
        <v>5.741898881329404E-5</v>
      </c>
    </row>
    <row r="106" spans="18:69" x14ac:dyDescent="0.2">
      <c r="R106" s="16" t="s">
        <v>175</v>
      </c>
      <c r="S106" s="26">
        <v>1399</v>
      </c>
      <c r="T106" s="26">
        <v>1383</v>
      </c>
      <c r="U106" s="26">
        <v>1392</v>
      </c>
      <c r="V106" s="26">
        <v>1397</v>
      </c>
      <c r="W106" s="26">
        <v>1393</v>
      </c>
      <c r="X106" s="26">
        <v>1406</v>
      </c>
      <c r="Y106" s="26">
        <v>1420</v>
      </c>
      <c r="Z106" s="26">
        <v>1428</v>
      </c>
      <c r="AA106" s="26">
        <v>1442</v>
      </c>
      <c r="AB106" s="26">
        <v>1455</v>
      </c>
      <c r="AC106" s="26">
        <v>1454</v>
      </c>
      <c r="AD106" s="26">
        <v>1453</v>
      </c>
      <c r="AE106" s="26">
        <v>1428</v>
      </c>
      <c r="AG106" s="16" t="s">
        <v>175</v>
      </c>
      <c r="AH106" s="29">
        <v>0</v>
      </c>
      <c r="AI106" s="29">
        <f t="shared" ref="AI106:AI138" si="74">(T106-S106)/S106</f>
        <v>-1.143674052894925E-2</v>
      </c>
      <c r="AJ106" s="29">
        <f t="shared" ref="AJ106:AJ138" si="75">(U106-T106)/T106</f>
        <v>6.5075921908893707E-3</v>
      </c>
      <c r="AK106" s="29">
        <f t="shared" ref="AK106:AK138" si="76">(V106-U106)/U106</f>
        <v>3.5919540229885057E-3</v>
      </c>
      <c r="AL106" s="29">
        <f t="shared" ref="AL106:AL138" si="77">(W106-V106)/V106</f>
        <v>-2.8632784538296348E-3</v>
      </c>
      <c r="AM106" s="29">
        <f t="shared" ref="AM106:AM138" si="78">(X106-W106)/W106</f>
        <v>9.3323761665470208E-3</v>
      </c>
      <c r="AN106" s="29">
        <f t="shared" ref="AN106:AN138" si="79">(Y106-X106)/X106</f>
        <v>9.9573257467994308E-3</v>
      </c>
      <c r="AO106" s="29">
        <f t="shared" ref="AO106:AO138" si="80">(Z106-Y106)/Y106</f>
        <v>5.6338028169014088E-3</v>
      </c>
      <c r="AP106" s="29">
        <f t="shared" ref="AP106:AP138" si="81">(AA106-Z106)/Z106</f>
        <v>9.8039215686274508E-3</v>
      </c>
      <c r="AQ106" s="29">
        <f t="shared" ref="AQ106:AQ138" si="82">(AB106-AA106)/AA106</f>
        <v>9.0152565880721215E-3</v>
      </c>
      <c r="AR106" s="29">
        <f t="shared" ref="AR106:AR138" si="83">(AC106-AB106)/AB106</f>
        <v>-6.8728522336769765E-4</v>
      </c>
      <c r="AS106" s="29">
        <f t="shared" ref="AS106:AS138" si="84">(AD106-AC106)/AC106</f>
        <v>-6.8775790921595599E-4</v>
      </c>
      <c r="AT106" s="29">
        <f t="shared" ref="AT106:AT138" si="85">(AE106-AD106)/AD106</f>
        <v>-1.7205781142463867E-2</v>
      </c>
      <c r="AU106" s="29"/>
      <c r="AW106" s="16" t="s">
        <v>175</v>
      </c>
      <c r="AX106" s="32">
        <f t="shared" si="63"/>
        <v>-1.6430494460199596E-3</v>
      </c>
      <c r="AY106" s="32">
        <f t="shared" si="64"/>
        <v>-4.4573143835712446E-4</v>
      </c>
      <c r="AZ106" s="32">
        <f t="shared" si="65"/>
        <v>2.412089253349414E-3</v>
      </c>
      <c r="BA106" s="32">
        <f t="shared" si="66"/>
        <v>3.3536839119019638E-3</v>
      </c>
      <c r="BB106" s="32">
        <f t="shared" si="67"/>
        <v>5.475474486505605E-3</v>
      </c>
      <c r="BC106" s="32">
        <f t="shared" si="68"/>
        <v>8.3078349100826204E-3</v>
      </c>
      <c r="BD106" s="32">
        <f t="shared" si="69"/>
        <v>8.4650167107760965E-3</v>
      </c>
      <c r="BE106" s="32">
        <f t="shared" si="70"/>
        <v>8.150993657866994E-3</v>
      </c>
      <c r="BF106" s="32">
        <f t="shared" si="71"/>
        <v>6.0439643111106249E-3</v>
      </c>
      <c r="BG106" s="32">
        <f t="shared" si="72"/>
        <v>2.5467378184961561E-3</v>
      </c>
      <c r="BH106" s="41">
        <f t="shared" si="73"/>
        <v>-6.1936080916825077E-3</v>
      </c>
      <c r="BI106" s="46">
        <f t="shared" ref="BI106:BI137" si="86">(BH106-$BO$78)/$BO$79</f>
        <v>-0.71049512432254669</v>
      </c>
      <c r="BJ106" s="41" t="b">
        <f t="shared" si="61"/>
        <v>0</v>
      </c>
      <c r="BK106" s="41" t="b">
        <f>IF(BI106&lt;-1,TRUE,FALSE)</f>
        <v>0</v>
      </c>
      <c r="BL106" s="42" t="str">
        <f>_xlfn.XLOOKUP(AW106,'County Population Strata'!$A$3:$A$66,'County Population Strata'!$P$3:$P$66)</f>
        <v>Tiny</v>
      </c>
      <c r="BQ106" s="21">
        <f t="shared" si="60"/>
        <v>9.9378746010865532E-5</v>
      </c>
    </row>
    <row r="107" spans="18:69" x14ac:dyDescent="0.2">
      <c r="R107" s="16" t="s">
        <v>176</v>
      </c>
      <c r="S107" s="26">
        <v>8267</v>
      </c>
      <c r="T107" s="26">
        <v>8165</v>
      </c>
      <c r="U107" s="26">
        <v>8085</v>
      </c>
      <c r="V107" s="26">
        <v>8006</v>
      </c>
      <c r="W107" s="26">
        <v>7664</v>
      </c>
      <c r="X107" s="26">
        <v>7561</v>
      </c>
      <c r="Y107" s="26">
        <v>7480</v>
      </c>
      <c r="Z107" s="26">
        <v>7400</v>
      </c>
      <c r="AA107" s="26">
        <v>7285</v>
      </c>
      <c r="AB107" s="26">
        <v>7182</v>
      </c>
      <c r="AC107" s="26">
        <v>7067</v>
      </c>
      <c r="AD107" s="26">
        <v>6929</v>
      </c>
      <c r="AE107" s="26">
        <v>6974</v>
      </c>
      <c r="AG107" s="16" t="s">
        <v>176</v>
      </c>
      <c r="AH107" s="29">
        <v>0</v>
      </c>
      <c r="AI107" s="29">
        <f t="shared" si="74"/>
        <v>-1.2338212168864158E-2</v>
      </c>
      <c r="AJ107" s="29">
        <f t="shared" si="75"/>
        <v>-9.7979179424372322E-3</v>
      </c>
      <c r="AK107" s="29">
        <f t="shared" si="76"/>
        <v>-9.7711811997526279E-3</v>
      </c>
      <c r="AL107" s="29">
        <f t="shared" si="77"/>
        <v>-4.2717961528853363E-2</v>
      </c>
      <c r="AM107" s="29">
        <f t="shared" si="78"/>
        <v>-1.3439457202505219E-2</v>
      </c>
      <c r="AN107" s="29">
        <f t="shared" si="79"/>
        <v>-1.0712868668165586E-2</v>
      </c>
      <c r="AO107" s="29">
        <f t="shared" si="80"/>
        <v>-1.06951871657754E-2</v>
      </c>
      <c r="AP107" s="29">
        <f t="shared" si="81"/>
        <v>-1.5540540540540541E-2</v>
      </c>
      <c r="AQ107" s="29">
        <f t="shared" si="82"/>
        <v>-1.4138641043239534E-2</v>
      </c>
      <c r="AR107" s="29">
        <f t="shared" si="83"/>
        <v>-1.6012252854358117E-2</v>
      </c>
      <c r="AS107" s="29">
        <f t="shared" si="84"/>
        <v>-1.9527380783925286E-2</v>
      </c>
      <c r="AT107" s="29">
        <f t="shared" si="85"/>
        <v>6.4944436426612783E-3</v>
      </c>
      <c r="AU107" s="29"/>
      <c r="AW107" s="16" t="s">
        <v>176</v>
      </c>
      <c r="AX107" s="32">
        <f t="shared" si="63"/>
        <v>-7.3787100371004626E-3</v>
      </c>
      <c r="AY107" s="32">
        <f t="shared" si="64"/>
        <v>-1.0635770437018006E-2</v>
      </c>
      <c r="AZ107" s="32">
        <f t="shared" si="65"/>
        <v>-2.0762353557014408E-2</v>
      </c>
      <c r="BA107" s="32">
        <f t="shared" si="66"/>
        <v>-2.1976199977037068E-2</v>
      </c>
      <c r="BB107" s="32">
        <f t="shared" si="67"/>
        <v>-2.2290095799841387E-2</v>
      </c>
      <c r="BC107" s="32">
        <f t="shared" si="68"/>
        <v>-1.1615837678815402E-2</v>
      </c>
      <c r="BD107" s="32">
        <f t="shared" si="69"/>
        <v>-1.2316198791493843E-2</v>
      </c>
      <c r="BE107" s="32">
        <f t="shared" si="70"/>
        <v>-1.3458122916518494E-2</v>
      </c>
      <c r="BF107" s="32">
        <f t="shared" si="71"/>
        <v>-1.5230478146046065E-2</v>
      </c>
      <c r="BG107" s="32">
        <f t="shared" si="72"/>
        <v>-1.655942489384098E-2</v>
      </c>
      <c r="BH107" s="41">
        <f t="shared" si="73"/>
        <v>-9.6817299985407067E-3</v>
      </c>
      <c r="BI107" s="46">
        <f t="shared" si="86"/>
        <v>-0.95909791560150381</v>
      </c>
      <c r="BJ107" s="41" t="b">
        <f t="shared" si="61"/>
        <v>0</v>
      </c>
      <c r="BK107" s="41" t="b">
        <f t="shared" si="62"/>
        <v>0</v>
      </c>
      <c r="BL107" s="42" t="str">
        <f>_xlfn.XLOOKUP(AW107,'County Population Strata'!$A$3:$A$66,'County Population Strata'!$P$3:$P$66)</f>
        <v>Tiny</v>
      </c>
      <c r="BQ107" s="21">
        <f t="shared" si="60"/>
        <v>1.8109114000482252E-4</v>
      </c>
    </row>
    <row r="108" spans="18:69" x14ac:dyDescent="0.2">
      <c r="R108" s="16" t="s">
        <v>178</v>
      </c>
      <c r="S108" s="26">
        <v>51441</v>
      </c>
      <c r="T108" s="26">
        <v>51803</v>
      </c>
      <c r="U108" s="26">
        <v>52314</v>
      </c>
      <c r="V108" s="26">
        <v>53146</v>
      </c>
      <c r="W108" s="26">
        <v>53557</v>
      </c>
      <c r="X108" s="26">
        <v>54300</v>
      </c>
      <c r="Y108" s="26">
        <v>54884</v>
      </c>
      <c r="Z108" s="26">
        <v>55034</v>
      </c>
      <c r="AA108" s="26">
        <v>55731</v>
      </c>
      <c r="AB108" s="26">
        <v>55509</v>
      </c>
      <c r="AC108" s="26">
        <v>55668</v>
      </c>
      <c r="AD108" s="26">
        <v>56171</v>
      </c>
      <c r="AE108" s="26">
        <v>56557</v>
      </c>
      <c r="AG108" s="16" t="s">
        <v>178</v>
      </c>
      <c r="AH108" s="29">
        <v>0</v>
      </c>
      <c r="AI108" s="29">
        <f t="shared" si="74"/>
        <v>7.0371882350654148E-3</v>
      </c>
      <c r="AJ108" s="29">
        <f t="shared" si="75"/>
        <v>9.8642935737312514E-3</v>
      </c>
      <c r="AK108" s="29">
        <f t="shared" si="76"/>
        <v>1.5903964521925298E-2</v>
      </c>
      <c r="AL108" s="29">
        <f t="shared" si="77"/>
        <v>7.7334136153238246E-3</v>
      </c>
      <c r="AM108" s="29">
        <f t="shared" si="78"/>
        <v>1.387306981346976E-2</v>
      </c>
      <c r="AN108" s="29">
        <f t="shared" si="79"/>
        <v>1.0755064456721915E-2</v>
      </c>
      <c r="AO108" s="29">
        <f t="shared" si="80"/>
        <v>2.7330369506595731E-3</v>
      </c>
      <c r="AP108" s="29">
        <f t="shared" si="81"/>
        <v>1.266489806301559E-2</v>
      </c>
      <c r="AQ108" s="29">
        <f t="shared" si="82"/>
        <v>-3.9834203585078325E-3</v>
      </c>
      <c r="AR108" s="29">
        <f t="shared" si="83"/>
        <v>2.8644003675079716E-3</v>
      </c>
      <c r="AS108" s="29">
        <f t="shared" si="84"/>
        <v>9.0357117194797727E-3</v>
      </c>
      <c r="AT108" s="29">
        <f t="shared" si="85"/>
        <v>6.8718733866229903E-3</v>
      </c>
      <c r="AU108" s="29"/>
      <c r="AW108" s="16" t="s">
        <v>178</v>
      </c>
      <c r="AX108" s="32">
        <f t="shared" si="63"/>
        <v>5.6338272695988885E-3</v>
      </c>
      <c r="AY108" s="32">
        <f t="shared" si="64"/>
        <v>1.0935148776907322E-2</v>
      </c>
      <c r="AZ108" s="32">
        <f t="shared" si="65"/>
        <v>1.1167223903660123E-2</v>
      </c>
      <c r="BA108" s="32">
        <f t="shared" si="66"/>
        <v>1.2503482650239628E-2</v>
      </c>
      <c r="BB108" s="32">
        <f t="shared" si="67"/>
        <v>1.0787182628505166E-2</v>
      </c>
      <c r="BC108" s="32">
        <f t="shared" si="68"/>
        <v>9.1203904069504169E-3</v>
      </c>
      <c r="BD108" s="32">
        <f t="shared" si="69"/>
        <v>8.717666490132359E-3</v>
      </c>
      <c r="BE108" s="32">
        <f t="shared" si="70"/>
        <v>3.8048382183891102E-3</v>
      </c>
      <c r="BF108" s="32">
        <f t="shared" si="71"/>
        <v>3.8486260240052431E-3</v>
      </c>
      <c r="BG108" s="32">
        <f t="shared" si="72"/>
        <v>2.6388972428266371E-3</v>
      </c>
      <c r="BH108" s="41">
        <f t="shared" si="73"/>
        <v>6.2573284912035782E-3</v>
      </c>
      <c r="BI108" s="46">
        <f t="shared" si="86"/>
        <v>0.17689862830313974</v>
      </c>
      <c r="BJ108" s="41" t="b">
        <f t="shared" si="61"/>
        <v>0</v>
      </c>
      <c r="BK108" s="41" t="b">
        <f t="shared" si="62"/>
        <v>0</v>
      </c>
      <c r="BL108" s="42" t="str">
        <f>_xlfn.XLOOKUP(AW108,'County Population Strata'!$A$3:$A$66,'County Population Strata'!$P$3:$P$66)</f>
        <v>Small</v>
      </c>
      <c r="BQ108" s="21">
        <f t="shared" si="60"/>
        <v>6.160560672652209E-6</v>
      </c>
    </row>
    <row r="109" spans="18:69" x14ac:dyDescent="0.2">
      <c r="R109" s="16" t="s">
        <v>177</v>
      </c>
      <c r="S109" s="26">
        <v>7282</v>
      </c>
      <c r="T109" s="26">
        <v>7242</v>
      </c>
      <c r="U109" s="26">
        <v>7103</v>
      </c>
      <c r="V109" s="26">
        <v>7071</v>
      </c>
      <c r="W109" s="26">
        <v>7085</v>
      </c>
      <c r="X109" s="26">
        <v>7159</v>
      </c>
      <c r="Y109" s="26">
        <v>7246</v>
      </c>
      <c r="Z109" s="26">
        <v>7352</v>
      </c>
      <c r="AA109" s="26">
        <v>7332</v>
      </c>
      <c r="AB109" s="26">
        <v>7555</v>
      </c>
      <c r="AC109" s="26">
        <v>7412</v>
      </c>
      <c r="AD109" s="26">
        <v>7399</v>
      </c>
      <c r="AE109" s="26">
        <v>7342</v>
      </c>
      <c r="AG109" s="16" t="s">
        <v>177</v>
      </c>
      <c r="AH109" s="29">
        <v>0</v>
      </c>
      <c r="AI109" s="29">
        <f t="shared" si="74"/>
        <v>-5.4929964295523208E-3</v>
      </c>
      <c r="AJ109" s="29">
        <f t="shared" si="75"/>
        <v>-1.9193592930129798E-2</v>
      </c>
      <c r="AK109" s="29">
        <f t="shared" si="76"/>
        <v>-4.505138673799803E-3</v>
      </c>
      <c r="AL109" s="29">
        <f t="shared" si="77"/>
        <v>1.9799179748267574E-3</v>
      </c>
      <c r="AM109" s="29">
        <f t="shared" si="78"/>
        <v>1.0444601270289344E-2</v>
      </c>
      <c r="AN109" s="29">
        <f t="shared" si="79"/>
        <v>1.2152535270289146E-2</v>
      </c>
      <c r="AO109" s="29">
        <f t="shared" si="80"/>
        <v>1.4628760695556169E-2</v>
      </c>
      <c r="AP109" s="29">
        <f t="shared" si="81"/>
        <v>-2.720348204570185E-3</v>
      </c>
      <c r="AQ109" s="29">
        <f t="shared" si="82"/>
        <v>3.0414620840152756E-2</v>
      </c>
      <c r="AR109" s="29">
        <f t="shared" si="83"/>
        <v>-1.8927862342819325E-2</v>
      </c>
      <c r="AS109" s="29">
        <f t="shared" si="84"/>
        <v>-1.7539125742039934E-3</v>
      </c>
      <c r="AT109" s="29">
        <f t="shared" si="85"/>
        <v>-7.7037437491552915E-3</v>
      </c>
      <c r="AU109" s="29"/>
      <c r="AW109" s="16" t="s">
        <v>177</v>
      </c>
      <c r="AX109" s="32">
        <f t="shared" si="63"/>
        <v>-8.2288631198940403E-3</v>
      </c>
      <c r="AY109" s="32">
        <f t="shared" si="64"/>
        <v>-9.7305760111606413E-3</v>
      </c>
      <c r="AZ109" s="32">
        <f t="shared" si="65"/>
        <v>-7.2396045430342809E-3</v>
      </c>
      <c r="BA109" s="32">
        <f t="shared" si="66"/>
        <v>2.6397935237720996E-3</v>
      </c>
      <c r="BB109" s="32">
        <f t="shared" si="67"/>
        <v>8.1923515051350818E-3</v>
      </c>
      <c r="BC109" s="32">
        <f t="shared" si="68"/>
        <v>1.2408632412044887E-2</v>
      </c>
      <c r="BD109" s="32">
        <f t="shared" si="69"/>
        <v>8.0203159204250436E-3</v>
      </c>
      <c r="BE109" s="32">
        <f t="shared" si="70"/>
        <v>1.4107677777046246E-2</v>
      </c>
      <c r="BF109" s="32">
        <f t="shared" si="71"/>
        <v>2.9221367642544155E-3</v>
      </c>
      <c r="BG109" s="32">
        <f t="shared" si="72"/>
        <v>3.2442819743764791E-3</v>
      </c>
      <c r="BH109" s="41">
        <f t="shared" si="73"/>
        <v>-9.4618395553928702E-3</v>
      </c>
      <c r="BI109" s="46">
        <f t="shared" si="86"/>
        <v>-0.94342604993802504</v>
      </c>
      <c r="BJ109" s="41" t="b">
        <f t="shared" si="61"/>
        <v>0</v>
      </c>
      <c r="BK109" s="41" t="b">
        <f t="shared" si="62"/>
        <v>0</v>
      </c>
      <c r="BL109" s="42" t="str">
        <f>_xlfn.XLOOKUP(AW109,'County Population Strata'!$A$3:$A$66,'County Population Strata'!$P$3:$P$66)</f>
        <v>Tiny</v>
      </c>
      <c r="BQ109" s="21">
        <f t="shared" si="60"/>
        <v>1.7522135566984629E-4</v>
      </c>
    </row>
    <row r="110" spans="18:69" x14ac:dyDescent="0.2">
      <c r="R110" s="16" t="s">
        <v>179</v>
      </c>
      <c r="S110" s="26">
        <v>300532</v>
      </c>
      <c r="T110" s="26">
        <v>305342</v>
      </c>
      <c r="U110" s="26">
        <v>310952</v>
      </c>
      <c r="V110" s="26">
        <v>316337</v>
      </c>
      <c r="W110" s="26">
        <v>324123</v>
      </c>
      <c r="X110" s="26">
        <v>333445</v>
      </c>
      <c r="Y110" s="26">
        <v>339128</v>
      </c>
      <c r="Z110" s="26">
        <v>344187</v>
      </c>
      <c r="AA110" s="26">
        <v>350661</v>
      </c>
      <c r="AB110" s="26">
        <v>356800</v>
      </c>
      <c r="AC110" s="26">
        <v>359920</v>
      </c>
      <c r="AD110" s="26">
        <v>362774</v>
      </c>
      <c r="AE110" s="26">
        <v>366843</v>
      </c>
      <c r="AG110" s="16" t="s">
        <v>179</v>
      </c>
      <c r="AH110" s="29">
        <v>0</v>
      </c>
      <c r="AI110" s="29">
        <f t="shared" si="74"/>
        <v>1.6004951219836822E-2</v>
      </c>
      <c r="AJ110" s="29">
        <f t="shared" si="75"/>
        <v>1.8372840945562682E-2</v>
      </c>
      <c r="AK110" s="29">
        <f t="shared" si="76"/>
        <v>1.7317785381666624E-2</v>
      </c>
      <c r="AL110" s="29">
        <f t="shared" si="77"/>
        <v>2.4612991840979714E-2</v>
      </c>
      <c r="AM110" s="29">
        <f t="shared" si="78"/>
        <v>2.8760686529496517E-2</v>
      </c>
      <c r="AN110" s="29">
        <f t="shared" si="79"/>
        <v>1.7043290497683276E-2</v>
      </c>
      <c r="AO110" s="29">
        <f t="shared" si="80"/>
        <v>1.4917671203793259E-2</v>
      </c>
      <c r="AP110" s="29">
        <f t="shared" si="81"/>
        <v>1.8809542487078244E-2</v>
      </c>
      <c r="AQ110" s="29">
        <f t="shared" si="82"/>
        <v>1.7506936899170423E-2</v>
      </c>
      <c r="AR110" s="29">
        <f t="shared" si="83"/>
        <v>8.7443946188340803E-3</v>
      </c>
      <c r="AS110" s="29">
        <f t="shared" si="84"/>
        <v>7.9295398977550571E-3</v>
      </c>
      <c r="AT110" s="29">
        <f t="shared" si="85"/>
        <v>1.1216349573012398E-2</v>
      </c>
      <c r="AU110" s="29"/>
      <c r="AW110" s="16" t="s">
        <v>179</v>
      </c>
      <c r="AX110" s="32">
        <f t="shared" si="63"/>
        <v>1.1459264055133167E-2</v>
      </c>
      <c r="AY110" s="32">
        <f t="shared" si="64"/>
        <v>1.7231859182355376E-2</v>
      </c>
      <c r="AZ110" s="32">
        <f t="shared" si="65"/>
        <v>2.0101206056069673E-2</v>
      </c>
      <c r="BA110" s="32">
        <f t="shared" si="66"/>
        <v>2.3563821250714285E-2</v>
      </c>
      <c r="BB110" s="32">
        <f t="shared" si="67"/>
        <v>2.3472322956053168E-2</v>
      </c>
      <c r="BC110" s="32">
        <f t="shared" si="68"/>
        <v>2.0240549410324351E-2</v>
      </c>
      <c r="BD110" s="32">
        <f t="shared" si="69"/>
        <v>1.6923501396184926E-2</v>
      </c>
      <c r="BE110" s="32">
        <f t="shared" si="70"/>
        <v>1.7078050196680641E-2</v>
      </c>
      <c r="BF110" s="32">
        <f t="shared" si="71"/>
        <v>1.5020291335027585E-2</v>
      </c>
      <c r="BG110" s="32">
        <f t="shared" si="72"/>
        <v>1.1393623805253187E-2</v>
      </c>
      <c r="BH110" s="41">
        <f t="shared" si="73"/>
        <v>9.2967613632005119E-3</v>
      </c>
      <c r="BI110" s="46">
        <f t="shared" si="86"/>
        <v>0.39352279341554691</v>
      </c>
      <c r="BJ110" s="41" t="b">
        <f t="shared" si="61"/>
        <v>0</v>
      </c>
      <c r="BK110" s="41" t="b">
        <f t="shared" si="62"/>
        <v>0</v>
      </c>
      <c r="BL110" s="42" t="str">
        <f>_xlfn.XLOOKUP(AW110,'County Population Strata'!$A$3:$A$66,'County Population Strata'!$P$3:$P$66)</f>
        <v>Medium</v>
      </c>
      <c r="BQ110" s="21">
        <f t="shared" si="60"/>
        <v>3.0486747456846948E-5</v>
      </c>
    </row>
    <row r="111" spans="18:69" x14ac:dyDescent="0.2">
      <c r="R111" s="16" t="s">
        <v>180</v>
      </c>
      <c r="S111" s="26">
        <v>15407</v>
      </c>
      <c r="T111" s="26">
        <v>15325</v>
      </c>
      <c r="U111" s="26">
        <v>15245</v>
      </c>
      <c r="V111" s="26">
        <v>15172</v>
      </c>
      <c r="W111" s="26">
        <v>15086</v>
      </c>
      <c r="X111" s="26">
        <v>14997</v>
      </c>
      <c r="Y111" s="26">
        <v>14906</v>
      </c>
      <c r="Z111" s="26">
        <v>14817</v>
      </c>
      <c r="AA111" s="26">
        <v>14729</v>
      </c>
      <c r="AB111" s="26">
        <v>14643</v>
      </c>
      <c r="AC111" s="26">
        <v>14479</v>
      </c>
      <c r="AD111" s="26">
        <v>14330</v>
      </c>
      <c r="AE111" s="26">
        <v>14297</v>
      </c>
      <c r="AG111" s="16" t="s">
        <v>180</v>
      </c>
      <c r="AH111" s="29">
        <v>0</v>
      </c>
      <c r="AI111" s="29">
        <f t="shared" si="74"/>
        <v>-5.3222561173492571E-3</v>
      </c>
      <c r="AJ111" s="29">
        <f t="shared" si="75"/>
        <v>-5.2202283849918435E-3</v>
      </c>
      <c r="AK111" s="29">
        <f t="shared" si="76"/>
        <v>-4.7884552312233517E-3</v>
      </c>
      <c r="AL111" s="29">
        <f t="shared" si="77"/>
        <v>-5.668336409174796E-3</v>
      </c>
      <c r="AM111" s="29">
        <f t="shared" si="78"/>
        <v>-5.8995094789871406E-3</v>
      </c>
      <c r="AN111" s="29">
        <f t="shared" si="79"/>
        <v>-6.0678802427152094E-3</v>
      </c>
      <c r="AO111" s="29">
        <f t="shared" si="80"/>
        <v>-5.9707500335435398E-3</v>
      </c>
      <c r="AP111" s="29">
        <f t="shared" si="81"/>
        <v>-5.9391239792130658E-3</v>
      </c>
      <c r="AQ111" s="29">
        <f t="shared" si="82"/>
        <v>-5.8388213728019552E-3</v>
      </c>
      <c r="AR111" s="29">
        <f t="shared" si="83"/>
        <v>-1.1199890732773339E-2</v>
      </c>
      <c r="AS111" s="29">
        <f t="shared" si="84"/>
        <v>-1.0290765936874094E-2</v>
      </c>
      <c r="AT111" s="29">
        <f t="shared" si="85"/>
        <v>-2.3028611304954641E-3</v>
      </c>
      <c r="AU111" s="29"/>
      <c r="AW111" s="16" t="s">
        <v>180</v>
      </c>
      <c r="AX111" s="32">
        <f t="shared" si="63"/>
        <v>-3.5141615007803668E-3</v>
      </c>
      <c r="AY111" s="32">
        <f t="shared" si="64"/>
        <v>-5.1103132445214838E-3</v>
      </c>
      <c r="AZ111" s="32">
        <f t="shared" si="65"/>
        <v>-5.2256733417966631E-3</v>
      </c>
      <c r="BA111" s="32">
        <f t="shared" si="66"/>
        <v>-5.4521003731284297E-3</v>
      </c>
      <c r="BB111" s="32">
        <f t="shared" si="67"/>
        <v>-5.8785753769590486E-3</v>
      </c>
      <c r="BC111" s="32">
        <f t="shared" si="68"/>
        <v>-5.979379918415296E-3</v>
      </c>
      <c r="BD111" s="32">
        <f t="shared" si="69"/>
        <v>-5.9925847518239386E-3</v>
      </c>
      <c r="BE111" s="32">
        <f t="shared" si="70"/>
        <v>-5.9162317951861861E-3</v>
      </c>
      <c r="BF111" s="32">
        <f t="shared" si="71"/>
        <v>-7.6592786949294528E-3</v>
      </c>
      <c r="BG111" s="32">
        <f t="shared" si="72"/>
        <v>-9.1098260141497956E-3</v>
      </c>
      <c r="BH111" s="41">
        <f t="shared" si="73"/>
        <v>-7.9311726000476316E-3</v>
      </c>
      <c r="BI111" s="46">
        <f t="shared" si="86"/>
        <v>-0.83433351023374724</v>
      </c>
      <c r="BJ111" s="41" t="b">
        <f t="shared" si="61"/>
        <v>0</v>
      </c>
      <c r="BK111" s="41" t="b">
        <f t="shared" si="62"/>
        <v>0</v>
      </c>
      <c r="BL111" s="42" t="str">
        <f>_xlfn.XLOOKUP(AW111,'County Population Strata'!$A$3:$A$66,'County Population Strata'!$P$3:$P$66)</f>
        <v>Tiny</v>
      </c>
      <c r="BQ111" s="21">
        <f t="shared" si="60"/>
        <v>1.3704105153177477E-4</v>
      </c>
    </row>
    <row r="112" spans="18:69" x14ac:dyDescent="0.2">
      <c r="R112" s="16" t="s">
        <v>181</v>
      </c>
      <c r="S112" s="26">
        <v>5474</v>
      </c>
      <c r="T112" s="26">
        <v>5488</v>
      </c>
      <c r="U112" s="26">
        <v>5503</v>
      </c>
      <c r="V112" s="26">
        <v>5522</v>
      </c>
      <c r="W112" s="26">
        <v>5538</v>
      </c>
      <c r="X112" s="26">
        <v>5553</v>
      </c>
      <c r="Y112" s="26">
        <v>5573</v>
      </c>
      <c r="Z112" s="26">
        <v>5591</v>
      </c>
      <c r="AA112" s="26">
        <v>5621</v>
      </c>
      <c r="AB112" s="26">
        <v>5642</v>
      </c>
      <c r="AC112" s="26">
        <v>5662</v>
      </c>
      <c r="AD112" s="26">
        <v>5470</v>
      </c>
      <c r="AE112" s="26">
        <v>5513</v>
      </c>
      <c r="AG112" s="16" t="s">
        <v>181</v>
      </c>
      <c r="AH112" s="29">
        <v>0</v>
      </c>
      <c r="AI112" s="29">
        <f t="shared" si="74"/>
        <v>2.5575447570332483E-3</v>
      </c>
      <c r="AJ112" s="29">
        <f t="shared" si="75"/>
        <v>2.7332361516034984E-3</v>
      </c>
      <c r="AK112" s="29">
        <f t="shared" si="76"/>
        <v>3.4526621842631291E-3</v>
      </c>
      <c r="AL112" s="29">
        <f t="shared" si="77"/>
        <v>2.897500905469033E-3</v>
      </c>
      <c r="AM112" s="29">
        <f t="shared" si="78"/>
        <v>2.7085590465872156E-3</v>
      </c>
      <c r="AN112" s="29">
        <f t="shared" si="79"/>
        <v>3.6016567621105708E-3</v>
      </c>
      <c r="AO112" s="29">
        <f t="shared" si="80"/>
        <v>3.2298582451103534E-3</v>
      </c>
      <c r="AP112" s="29">
        <f t="shared" si="81"/>
        <v>5.3657664103022714E-3</v>
      </c>
      <c r="AQ112" s="29">
        <f t="shared" si="82"/>
        <v>3.7359900373599006E-3</v>
      </c>
      <c r="AR112" s="29">
        <f t="shared" si="83"/>
        <v>3.5448422545196739E-3</v>
      </c>
      <c r="AS112" s="29">
        <f t="shared" si="84"/>
        <v>-3.3910279053338044E-2</v>
      </c>
      <c r="AT112" s="29">
        <f t="shared" si="85"/>
        <v>7.8610603290676425E-3</v>
      </c>
      <c r="AU112" s="29"/>
      <c r="AW112" s="16" t="s">
        <v>181</v>
      </c>
      <c r="AX112" s="32">
        <f t="shared" si="63"/>
        <v>1.7635936362122488E-3</v>
      </c>
      <c r="AY112" s="32">
        <f t="shared" si="64"/>
        <v>2.9144810309666251E-3</v>
      </c>
      <c r="AZ112" s="32">
        <f t="shared" si="65"/>
        <v>3.027799747111887E-3</v>
      </c>
      <c r="BA112" s="32">
        <f t="shared" si="66"/>
        <v>3.0195740454397927E-3</v>
      </c>
      <c r="BB112" s="32">
        <f t="shared" si="67"/>
        <v>3.069238904722273E-3</v>
      </c>
      <c r="BC112" s="32">
        <f t="shared" si="68"/>
        <v>3.1800246846027135E-3</v>
      </c>
      <c r="BD112" s="32">
        <f t="shared" si="69"/>
        <v>4.0657604725077316E-3</v>
      </c>
      <c r="BE112" s="32">
        <f t="shared" si="70"/>
        <v>4.1105382309241751E-3</v>
      </c>
      <c r="BF112" s="32">
        <f t="shared" si="71"/>
        <v>4.215532900727282E-3</v>
      </c>
      <c r="BG112" s="32">
        <f t="shared" si="72"/>
        <v>-8.8764822538194895E-3</v>
      </c>
      <c r="BH112" s="41">
        <f t="shared" si="73"/>
        <v>-7.5014588232502413E-3</v>
      </c>
      <c r="BI112" s="46">
        <f t="shared" si="86"/>
        <v>-0.80370727433504963</v>
      </c>
      <c r="BJ112" s="41" t="b">
        <f t="shared" si="61"/>
        <v>0</v>
      </c>
      <c r="BK112" s="41" t="b">
        <f t="shared" si="62"/>
        <v>0</v>
      </c>
      <c r="BL112" s="42" t="str">
        <f>_xlfn.XLOOKUP(AW112,'County Population Strata'!$A$3:$A$66,'County Population Strata'!$P$3:$P$66)</f>
        <v>Tiny</v>
      </c>
      <c r="BQ112" s="21">
        <f t="shared" si="60"/>
        <v>1.2716485684296624E-4</v>
      </c>
    </row>
    <row r="113" spans="18:69" x14ac:dyDescent="0.2">
      <c r="R113" s="16" t="s">
        <v>182</v>
      </c>
      <c r="S113" s="26">
        <v>22293</v>
      </c>
      <c r="T113" s="26">
        <v>22210</v>
      </c>
      <c r="U113" s="26">
        <v>22131</v>
      </c>
      <c r="V113" s="26">
        <v>22056</v>
      </c>
      <c r="W113" s="26">
        <v>21964</v>
      </c>
      <c r="X113" s="26">
        <v>21873</v>
      </c>
      <c r="Y113" s="26">
        <v>21772</v>
      </c>
      <c r="Z113" s="26">
        <v>21691</v>
      </c>
      <c r="AA113" s="26">
        <v>21611</v>
      </c>
      <c r="AB113" s="26">
        <v>21505</v>
      </c>
      <c r="AC113" s="26">
        <v>21203</v>
      </c>
      <c r="AD113" s="26">
        <v>21089</v>
      </c>
      <c r="AE113" s="26">
        <v>20809</v>
      </c>
      <c r="AG113" s="16" t="s">
        <v>182</v>
      </c>
      <c r="AH113" s="29">
        <v>0</v>
      </c>
      <c r="AI113" s="29">
        <f t="shared" si="74"/>
        <v>-3.7231417933880589E-3</v>
      </c>
      <c r="AJ113" s="29">
        <f t="shared" si="75"/>
        <v>-3.5569563259792887E-3</v>
      </c>
      <c r="AK113" s="29">
        <f t="shared" si="76"/>
        <v>-3.3889114816320997E-3</v>
      </c>
      <c r="AL113" s="29">
        <f t="shared" si="77"/>
        <v>-4.1712005803409506E-3</v>
      </c>
      <c r="AM113" s="29">
        <f t="shared" si="78"/>
        <v>-4.1431433254416321E-3</v>
      </c>
      <c r="AN113" s="29">
        <f t="shared" si="79"/>
        <v>-4.6175650345174415E-3</v>
      </c>
      <c r="AO113" s="29">
        <f t="shared" si="80"/>
        <v>-3.7203747933125114E-3</v>
      </c>
      <c r="AP113" s="29">
        <f t="shared" si="81"/>
        <v>-3.6881655986353789E-3</v>
      </c>
      <c r="AQ113" s="29">
        <f t="shared" si="82"/>
        <v>-4.9049095368099583E-3</v>
      </c>
      <c r="AR113" s="29">
        <f t="shared" si="83"/>
        <v>-1.4043245756800745E-2</v>
      </c>
      <c r="AS113" s="29">
        <f t="shared" si="84"/>
        <v>-5.3765976512757628E-3</v>
      </c>
      <c r="AT113" s="29">
        <f t="shared" si="85"/>
        <v>-1.3277063872160842E-2</v>
      </c>
      <c r="AU113" s="29"/>
      <c r="AW113" s="16" t="s">
        <v>182</v>
      </c>
      <c r="AX113" s="32">
        <f t="shared" si="63"/>
        <v>-2.4266993731224492E-3</v>
      </c>
      <c r="AY113" s="32">
        <f t="shared" si="64"/>
        <v>-3.5563365336664828E-3</v>
      </c>
      <c r="AZ113" s="32">
        <f t="shared" si="65"/>
        <v>-3.70568946265078E-3</v>
      </c>
      <c r="BA113" s="32">
        <f t="shared" si="66"/>
        <v>-3.9010851291382278E-3</v>
      </c>
      <c r="BB113" s="32">
        <f t="shared" si="67"/>
        <v>-4.3106363134333414E-3</v>
      </c>
      <c r="BC113" s="32">
        <f t="shared" si="68"/>
        <v>-4.1603610510905281E-3</v>
      </c>
      <c r="BD113" s="32">
        <f t="shared" si="69"/>
        <v>-4.0087018088217777E-3</v>
      </c>
      <c r="BE113" s="32">
        <f t="shared" si="70"/>
        <v>-4.1044833095859497E-3</v>
      </c>
      <c r="BF113" s="32">
        <f t="shared" si="71"/>
        <v>-7.545440297415361E-3</v>
      </c>
      <c r="BG113" s="32">
        <f t="shared" si="72"/>
        <v>-8.1082509816288225E-3</v>
      </c>
      <c r="BH113" s="41">
        <f t="shared" si="73"/>
        <v>-1.0898969093412451E-2</v>
      </c>
      <c r="BI113" s="46">
        <f t="shared" si="86"/>
        <v>-1.0458520614483018</v>
      </c>
      <c r="BJ113" s="41" t="b">
        <f t="shared" si="61"/>
        <v>0</v>
      </c>
      <c r="BK113" s="41" t="b">
        <f>IF(BI113&lt;-1,TRUE,FALSE)</f>
        <v>1</v>
      </c>
      <c r="BL113" s="42" t="str">
        <f>_xlfn.XLOOKUP(AW113,'County Population Strata'!$A$3:$A$66,'County Population Strata'!$P$3:$P$66)</f>
        <v>Small</v>
      </c>
      <c r="BQ113" s="21">
        <f t="shared" si="60"/>
        <v>2.153336103408162E-4</v>
      </c>
    </row>
    <row r="114" spans="18:69" x14ac:dyDescent="0.2">
      <c r="R114" s="16" t="s">
        <v>183</v>
      </c>
      <c r="S114" s="26">
        <v>147155</v>
      </c>
      <c r="T114" s="26">
        <v>147957</v>
      </c>
      <c r="U114" s="26">
        <v>147939</v>
      </c>
      <c r="V114" s="26">
        <v>147926</v>
      </c>
      <c r="W114" s="26">
        <v>147876</v>
      </c>
      <c r="X114" s="26">
        <v>148774</v>
      </c>
      <c r="Y114" s="26">
        <v>150346</v>
      </c>
      <c r="Z114" s="26">
        <v>152148</v>
      </c>
      <c r="AA114" s="26">
        <v>154047</v>
      </c>
      <c r="AB114" s="26">
        <v>155109</v>
      </c>
      <c r="AC114" s="26">
        <v>155993</v>
      </c>
      <c r="AD114" s="26">
        <v>157432</v>
      </c>
      <c r="AE114" s="26">
        <v>158534</v>
      </c>
      <c r="AG114" s="16" t="s">
        <v>183</v>
      </c>
      <c r="AH114" s="29">
        <v>0</v>
      </c>
      <c r="AI114" s="29">
        <f t="shared" si="74"/>
        <v>5.4500356766674597E-3</v>
      </c>
      <c r="AJ114" s="29">
        <f t="shared" si="75"/>
        <v>-1.2165696790283663E-4</v>
      </c>
      <c r="AK114" s="29">
        <f t="shared" si="76"/>
        <v>-8.7874056198838707E-5</v>
      </c>
      <c r="AL114" s="29">
        <f t="shared" si="77"/>
        <v>-3.3800684125846709E-4</v>
      </c>
      <c r="AM114" s="29">
        <f t="shared" si="78"/>
        <v>6.0726554680948907E-3</v>
      </c>
      <c r="AN114" s="29">
        <f t="shared" si="79"/>
        <v>1.0566362402032613E-2</v>
      </c>
      <c r="AO114" s="29">
        <f t="shared" si="80"/>
        <v>1.1985686350152316E-2</v>
      </c>
      <c r="AP114" s="29">
        <f t="shared" si="81"/>
        <v>1.2481268238820096E-2</v>
      </c>
      <c r="AQ114" s="29">
        <f t="shared" si="82"/>
        <v>6.8939998831525446E-3</v>
      </c>
      <c r="AR114" s="29">
        <f t="shared" si="83"/>
        <v>5.6992179692990095E-3</v>
      </c>
      <c r="AS114" s="29">
        <f t="shared" si="84"/>
        <v>9.2247729064765735E-3</v>
      </c>
      <c r="AT114" s="29">
        <f t="shared" si="85"/>
        <v>6.9998475532293304E-3</v>
      </c>
      <c r="AU114" s="29"/>
      <c r="AW114" s="16" t="s">
        <v>183</v>
      </c>
      <c r="AX114" s="32">
        <f t="shared" si="63"/>
        <v>1.7761262362548744E-3</v>
      </c>
      <c r="AY114" s="32">
        <f t="shared" si="64"/>
        <v>1.7468348841885948E-3</v>
      </c>
      <c r="AZ114" s="32">
        <f t="shared" si="65"/>
        <v>-1.8251262178671415E-4</v>
      </c>
      <c r="BA114" s="32">
        <f t="shared" si="66"/>
        <v>1.8822581902125284E-3</v>
      </c>
      <c r="BB114" s="32">
        <f t="shared" si="67"/>
        <v>5.4336703429563454E-3</v>
      </c>
      <c r="BC114" s="32">
        <f t="shared" si="68"/>
        <v>9.5415680734266071E-3</v>
      </c>
      <c r="BD114" s="32">
        <f t="shared" si="69"/>
        <v>1.1677772330335007E-2</v>
      </c>
      <c r="BE114" s="32">
        <f t="shared" si="70"/>
        <v>1.0453651490708317E-2</v>
      </c>
      <c r="BF114" s="32">
        <f t="shared" si="71"/>
        <v>8.3581620304238827E-3</v>
      </c>
      <c r="BG114" s="32">
        <f t="shared" si="72"/>
        <v>7.2726635863093756E-3</v>
      </c>
      <c r="BH114" s="41">
        <f t="shared" si="73"/>
        <v>7.3079461430016375E-3</v>
      </c>
      <c r="BI114" s="46">
        <f t="shared" si="86"/>
        <v>0.25177745644570182</v>
      </c>
      <c r="BJ114" s="41" t="b">
        <f t="shared" si="61"/>
        <v>0</v>
      </c>
      <c r="BK114" s="41" t="b">
        <f t="shared" si="62"/>
        <v>0</v>
      </c>
      <c r="BL114" s="42" t="str">
        <f>_xlfn.XLOOKUP(AW114,'County Population Strata'!$A$3:$A$66,'County Population Strata'!$P$3:$P$66)</f>
        <v>Small</v>
      </c>
      <c r="BQ114" s="21">
        <f t="shared" si="60"/>
        <v>1.2479724327784236E-5</v>
      </c>
    </row>
    <row r="115" spans="18:69" x14ac:dyDescent="0.2">
      <c r="R115" s="16" t="s">
        <v>184</v>
      </c>
      <c r="S115" s="26">
        <v>705</v>
      </c>
      <c r="T115" s="26">
        <v>712</v>
      </c>
      <c r="U115" s="26">
        <v>723</v>
      </c>
      <c r="V115" s="26">
        <v>734</v>
      </c>
      <c r="W115" s="26">
        <v>747</v>
      </c>
      <c r="X115" s="26">
        <v>755</v>
      </c>
      <c r="Y115" s="26">
        <v>770</v>
      </c>
      <c r="Z115" s="26">
        <v>788</v>
      </c>
      <c r="AA115" s="26">
        <v>811</v>
      </c>
      <c r="AB115" s="26">
        <v>834</v>
      </c>
      <c r="AC115" s="26">
        <v>871</v>
      </c>
      <c r="AD115" s="26">
        <v>926</v>
      </c>
      <c r="AE115" s="26">
        <v>924</v>
      </c>
      <c r="AG115" s="16" t="s">
        <v>184</v>
      </c>
      <c r="AH115" s="29">
        <v>0</v>
      </c>
      <c r="AI115" s="29">
        <f t="shared" si="74"/>
        <v>9.9290780141843976E-3</v>
      </c>
      <c r="AJ115" s="29">
        <f t="shared" si="75"/>
        <v>1.5449438202247191E-2</v>
      </c>
      <c r="AK115" s="29">
        <f t="shared" si="76"/>
        <v>1.5214384508990318E-2</v>
      </c>
      <c r="AL115" s="29">
        <f t="shared" si="77"/>
        <v>1.7711171662125342E-2</v>
      </c>
      <c r="AM115" s="29">
        <f t="shared" si="78"/>
        <v>1.0709504685408299E-2</v>
      </c>
      <c r="AN115" s="29">
        <f t="shared" si="79"/>
        <v>1.9867549668874173E-2</v>
      </c>
      <c r="AO115" s="29">
        <f t="shared" si="80"/>
        <v>2.3376623376623377E-2</v>
      </c>
      <c r="AP115" s="29">
        <f t="shared" si="81"/>
        <v>2.9187817258883249E-2</v>
      </c>
      <c r="AQ115" s="29">
        <f t="shared" si="82"/>
        <v>2.8360049321824909E-2</v>
      </c>
      <c r="AR115" s="29">
        <f t="shared" si="83"/>
        <v>4.4364508393285373E-2</v>
      </c>
      <c r="AS115" s="29">
        <f t="shared" si="84"/>
        <v>6.3145809414466125E-2</v>
      </c>
      <c r="AT115" s="29">
        <f t="shared" si="85"/>
        <v>-2.1598272138228943E-3</v>
      </c>
      <c r="AU115" s="29"/>
      <c r="AW115" s="16" t="s">
        <v>184</v>
      </c>
      <c r="AX115" s="32">
        <f t="shared" si="63"/>
        <v>8.4595054054771961E-3</v>
      </c>
      <c r="AY115" s="32">
        <f t="shared" si="64"/>
        <v>1.3530966908473968E-2</v>
      </c>
      <c r="AZ115" s="32">
        <f t="shared" si="65"/>
        <v>1.6124998124454282E-2</v>
      </c>
      <c r="BA115" s="32">
        <f t="shared" si="66"/>
        <v>1.4545020285507986E-2</v>
      </c>
      <c r="BB115" s="32">
        <f t="shared" si="67"/>
        <v>1.6096075338802602E-2</v>
      </c>
      <c r="BC115" s="32">
        <f t="shared" si="68"/>
        <v>1.7984559243635283E-2</v>
      </c>
      <c r="BD115" s="32">
        <f t="shared" si="69"/>
        <v>2.4143996768126934E-2</v>
      </c>
      <c r="BE115" s="32">
        <f t="shared" si="70"/>
        <v>2.6974829985777177E-2</v>
      </c>
      <c r="BF115" s="32">
        <f t="shared" si="71"/>
        <v>3.3970791657997844E-2</v>
      </c>
      <c r="BG115" s="32">
        <f t="shared" si="72"/>
        <v>4.5290122376525466E-2</v>
      </c>
      <c r="BH115" s="41">
        <f t="shared" si="73"/>
        <v>3.51168301979762E-2</v>
      </c>
      <c r="BI115" s="46">
        <f t="shared" si="86"/>
        <v>2.2337512472202707</v>
      </c>
      <c r="BJ115" s="41" t="b">
        <f t="shared" si="61"/>
        <v>1</v>
      </c>
      <c r="BK115" s="41" t="b">
        <f t="shared" si="62"/>
        <v>0</v>
      </c>
      <c r="BL115" s="42" t="str">
        <f>_xlfn.XLOOKUP(AW115,'County Population Strata'!$A$3:$A$66,'County Population Strata'!$P$3:$P$66)</f>
        <v>Tiny</v>
      </c>
      <c r="BQ115" s="21">
        <f t="shared" si="60"/>
        <v>9.8229271779756992E-4</v>
      </c>
    </row>
    <row r="116" spans="18:69" x14ac:dyDescent="0.2">
      <c r="R116" s="16" t="s">
        <v>185</v>
      </c>
      <c r="S116" s="26">
        <v>13806</v>
      </c>
      <c r="T116" s="26">
        <v>13452</v>
      </c>
      <c r="U116" s="26">
        <v>13216</v>
      </c>
      <c r="V116" s="26">
        <v>13187</v>
      </c>
      <c r="W116" s="26">
        <v>13016</v>
      </c>
      <c r="X116" s="26">
        <v>13038</v>
      </c>
      <c r="Y116" s="26">
        <v>13266</v>
      </c>
      <c r="Z116" s="26">
        <v>13223</v>
      </c>
      <c r="AA116" s="26">
        <v>13291</v>
      </c>
      <c r="AB116" s="26">
        <v>13364</v>
      </c>
      <c r="AC116" s="26">
        <v>13265</v>
      </c>
      <c r="AD116" s="26">
        <v>13161</v>
      </c>
      <c r="AE116" s="26">
        <v>13166</v>
      </c>
      <c r="AG116" s="16" t="s">
        <v>185</v>
      </c>
      <c r="AH116" s="29">
        <v>0</v>
      </c>
      <c r="AI116" s="29">
        <f t="shared" si="74"/>
        <v>-2.564102564102564E-2</v>
      </c>
      <c r="AJ116" s="29">
        <f t="shared" si="75"/>
        <v>-1.7543859649122806E-2</v>
      </c>
      <c r="AK116" s="29">
        <f t="shared" si="76"/>
        <v>-2.1943099273607747E-3</v>
      </c>
      <c r="AL116" s="29">
        <f t="shared" si="77"/>
        <v>-1.2967316296352468E-2</v>
      </c>
      <c r="AM116" s="29">
        <f t="shared" si="78"/>
        <v>1.6902274124154886E-3</v>
      </c>
      <c r="AN116" s="29">
        <f t="shared" si="79"/>
        <v>1.7487344684767602E-2</v>
      </c>
      <c r="AO116" s="29">
        <f t="shared" si="80"/>
        <v>-3.241368913010704E-3</v>
      </c>
      <c r="AP116" s="29">
        <f t="shared" si="81"/>
        <v>5.1425546396430466E-3</v>
      </c>
      <c r="AQ116" s="29">
        <f t="shared" si="82"/>
        <v>5.4924384922127754E-3</v>
      </c>
      <c r="AR116" s="29">
        <f t="shared" si="83"/>
        <v>-7.4079616881173298E-3</v>
      </c>
      <c r="AS116" s="29">
        <f t="shared" si="84"/>
        <v>-7.8401809272521678E-3</v>
      </c>
      <c r="AT116" s="29">
        <f t="shared" si="85"/>
        <v>3.7991034115948636E-4</v>
      </c>
      <c r="AU116" s="29"/>
      <c r="AW116" s="16" t="s">
        <v>185</v>
      </c>
      <c r="AX116" s="32">
        <f t="shared" si="63"/>
        <v>-1.4394961763382815E-2</v>
      </c>
      <c r="AY116" s="32">
        <f t="shared" si="64"/>
        <v>-1.5126398405836407E-2</v>
      </c>
      <c r="AZ116" s="32">
        <f t="shared" si="65"/>
        <v>-1.0901828624278681E-2</v>
      </c>
      <c r="BA116" s="32">
        <f t="shared" si="66"/>
        <v>-4.4904662704325854E-3</v>
      </c>
      <c r="BB116" s="32">
        <f t="shared" si="67"/>
        <v>2.0700852669435408E-3</v>
      </c>
      <c r="BC116" s="32">
        <f t="shared" si="68"/>
        <v>5.3120677280574626E-3</v>
      </c>
      <c r="BD116" s="32">
        <f t="shared" si="69"/>
        <v>6.4628434704666485E-3</v>
      </c>
      <c r="BE116" s="32">
        <f t="shared" si="70"/>
        <v>2.464541406281706E-3</v>
      </c>
      <c r="BF116" s="32">
        <f t="shared" si="71"/>
        <v>1.0756771479128308E-3</v>
      </c>
      <c r="BG116" s="32">
        <f t="shared" si="72"/>
        <v>-3.2519013743855739E-3</v>
      </c>
      <c r="BH116" s="41">
        <f t="shared" si="73"/>
        <v>-4.95607742473667E-3</v>
      </c>
      <c r="BI116" s="46">
        <f t="shared" si="86"/>
        <v>-0.62229477286947688</v>
      </c>
      <c r="BJ116" s="41" t="b">
        <f t="shared" si="61"/>
        <v>0</v>
      </c>
      <c r="BK116" s="41" t="b">
        <f t="shared" si="62"/>
        <v>0</v>
      </c>
      <c r="BL116" s="42" t="str">
        <f>_xlfn.XLOOKUP(AW116,'County Population Strata'!$A$3:$A$66,'County Population Strata'!$P$3:$P$66)</f>
        <v>Tiny</v>
      </c>
      <c r="BQ116" s="21">
        <f t="shared" si="60"/>
        <v>7.6236616690549666E-5</v>
      </c>
    </row>
    <row r="117" spans="18:69" x14ac:dyDescent="0.2">
      <c r="R117" s="16" t="s">
        <v>186</v>
      </c>
      <c r="S117" s="26">
        <v>25532</v>
      </c>
      <c r="T117" s="26">
        <v>25519</v>
      </c>
      <c r="U117" s="26">
        <v>25501</v>
      </c>
      <c r="V117" s="26">
        <v>25485</v>
      </c>
      <c r="W117" s="26">
        <v>25464</v>
      </c>
      <c r="X117" s="26">
        <v>25522</v>
      </c>
      <c r="Y117" s="26">
        <v>25543</v>
      </c>
      <c r="Z117" s="26">
        <v>25556</v>
      </c>
      <c r="AA117" s="26">
        <v>25612</v>
      </c>
      <c r="AB117" s="26">
        <v>25731</v>
      </c>
      <c r="AC117" s="26">
        <v>25888</v>
      </c>
      <c r="AD117" s="26">
        <v>26248</v>
      </c>
      <c r="AE117" s="26">
        <v>26464</v>
      </c>
      <c r="AG117" s="16" t="s">
        <v>186</v>
      </c>
      <c r="AH117" s="29">
        <v>0</v>
      </c>
      <c r="AI117" s="29">
        <f t="shared" si="74"/>
        <v>-5.0916496945010179E-4</v>
      </c>
      <c r="AJ117" s="29">
        <f t="shared" si="75"/>
        <v>-7.0535679297778129E-4</v>
      </c>
      <c r="AK117" s="29">
        <f t="shared" si="76"/>
        <v>-6.2742637543625743E-4</v>
      </c>
      <c r="AL117" s="29">
        <f t="shared" si="77"/>
        <v>-8.2401412595644501E-4</v>
      </c>
      <c r="AM117" s="29">
        <f t="shared" si="78"/>
        <v>2.2777254162739554E-3</v>
      </c>
      <c r="AN117" s="29">
        <f t="shared" si="79"/>
        <v>8.2281952825013713E-4</v>
      </c>
      <c r="AO117" s="29">
        <f t="shared" si="80"/>
        <v>5.0894569940883999E-4</v>
      </c>
      <c r="AP117" s="29">
        <f t="shared" si="81"/>
        <v>2.1912662388480202E-3</v>
      </c>
      <c r="AQ117" s="29">
        <f t="shared" si="82"/>
        <v>4.6462595658285175E-3</v>
      </c>
      <c r="AR117" s="29">
        <f t="shared" si="83"/>
        <v>6.1015895223660178E-3</v>
      </c>
      <c r="AS117" s="29">
        <f t="shared" si="84"/>
        <v>1.3906056860321385E-2</v>
      </c>
      <c r="AT117" s="29">
        <f t="shared" si="85"/>
        <v>8.2291984151173416E-3</v>
      </c>
      <c r="AU117" s="29"/>
      <c r="AW117" s="16" t="s">
        <v>186</v>
      </c>
      <c r="AX117" s="32">
        <f t="shared" ref="AX117:AX138" si="87">AVERAGE(AH117:AJ117)</f>
        <v>-4.0484058747596101E-4</v>
      </c>
      <c r="AY117" s="32">
        <f t="shared" ref="AY117:AY138" si="88">AVERAGE(AI117:AK117)</f>
        <v>-6.139827126213802E-4</v>
      </c>
      <c r="AZ117" s="32">
        <f t="shared" ref="AZ117:AZ138" si="89">AVERAGE(AJ117:AL117)</f>
        <v>-7.1893243145682798E-4</v>
      </c>
      <c r="BA117" s="32">
        <f t="shared" ref="BA117:BA138" si="90">AVERAGE(AK117:AM117)</f>
        <v>2.7542830496041763E-4</v>
      </c>
      <c r="BB117" s="32">
        <f t="shared" ref="BB117:BB138" si="91">AVERAGE(AL117:AN117)</f>
        <v>7.5884360618921583E-4</v>
      </c>
      <c r="BC117" s="32">
        <f t="shared" ref="BC117:BC138" si="92">AVERAGE(AM117:AO117)</f>
        <v>1.2031635479776441E-3</v>
      </c>
      <c r="BD117" s="32">
        <f t="shared" ref="BD117:BD138" si="93">AVERAGE(AN117:AP117)</f>
        <v>1.1743438221689991E-3</v>
      </c>
      <c r="BE117" s="32">
        <f t="shared" ref="BE117:BE138" si="94">AVERAGE(AO117:AQ117)</f>
        <v>2.4488238346951261E-3</v>
      </c>
      <c r="BF117" s="32">
        <f t="shared" ref="BF117:BF138" si="95">AVERAGE(AP117:AR117)</f>
        <v>4.3130384423475188E-3</v>
      </c>
      <c r="BG117" s="32">
        <f t="shared" ref="BG117:BG138" si="96">AVERAGE(AQ117:AS117)</f>
        <v>8.217968649505308E-3</v>
      </c>
      <c r="BH117" s="41">
        <f t="shared" si="73"/>
        <v>9.4122815992682476E-3</v>
      </c>
      <c r="BI117" s="46">
        <f t="shared" si="86"/>
        <v>0.40175606447157791</v>
      </c>
      <c r="BJ117" s="41" t="b">
        <f t="shared" si="61"/>
        <v>0</v>
      </c>
      <c r="BK117" s="41" t="b">
        <f t="shared" si="62"/>
        <v>0</v>
      </c>
      <c r="BL117" s="42" t="str">
        <f>_xlfn.XLOOKUP(AW117,'County Population Strata'!$A$3:$A$66,'County Population Strata'!$P$3:$P$66)</f>
        <v>Small</v>
      </c>
      <c r="BQ117" s="21">
        <f t="shared" si="60"/>
        <v>3.1775777854796667E-5</v>
      </c>
    </row>
    <row r="118" spans="18:69" x14ac:dyDescent="0.2">
      <c r="R118" s="16" t="s">
        <v>187</v>
      </c>
      <c r="S118" s="26">
        <v>41188</v>
      </c>
      <c r="T118" s="26">
        <v>41260</v>
      </c>
      <c r="U118" s="26">
        <v>41303</v>
      </c>
      <c r="V118" s="26">
        <v>41331</v>
      </c>
      <c r="W118" s="26">
        <v>41388</v>
      </c>
      <c r="X118" s="26">
        <v>41457</v>
      </c>
      <c r="Y118" s="26">
        <v>41594</v>
      </c>
      <c r="Z118" s="26">
        <v>41768</v>
      </c>
      <c r="AA118" s="26">
        <v>42084</v>
      </c>
      <c r="AB118" s="26">
        <v>42501</v>
      </c>
      <c r="AC118" s="26">
        <v>42810</v>
      </c>
      <c r="AD118" s="26">
        <v>43234</v>
      </c>
      <c r="AE118" s="26">
        <v>43799</v>
      </c>
      <c r="AG118" s="16" t="s">
        <v>187</v>
      </c>
      <c r="AH118" s="29">
        <v>0</v>
      </c>
      <c r="AI118" s="29">
        <f t="shared" si="74"/>
        <v>1.7480819656210548E-3</v>
      </c>
      <c r="AJ118" s="29">
        <f t="shared" si="75"/>
        <v>1.0421715947649055E-3</v>
      </c>
      <c r="AK118" s="29">
        <f t="shared" si="76"/>
        <v>6.7791685833958797E-4</v>
      </c>
      <c r="AL118" s="29">
        <f t="shared" si="77"/>
        <v>1.3791101110546564E-3</v>
      </c>
      <c r="AM118" s="29">
        <f t="shared" si="78"/>
        <v>1.6671498985213105E-3</v>
      </c>
      <c r="AN118" s="29">
        <f t="shared" si="79"/>
        <v>3.3046288925875004E-3</v>
      </c>
      <c r="AO118" s="29">
        <f t="shared" si="80"/>
        <v>4.1832956676443721E-3</v>
      </c>
      <c r="AP118" s="29">
        <f t="shared" si="81"/>
        <v>7.5656004596820533E-3</v>
      </c>
      <c r="AQ118" s="29">
        <f t="shared" si="82"/>
        <v>9.908753920729969E-3</v>
      </c>
      <c r="AR118" s="29">
        <f t="shared" si="83"/>
        <v>7.2704171666549021E-3</v>
      </c>
      <c r="AS118" s="29">
        <f t="shared" si="84"/>
        <v>9.9042279841158615E-3</v>
      </c>
      <c r="AT118" s="29">
        <f t="shared" si="85"/>
        <v>1.3068418374427534E-2</v>
      </c>
      <c r="AU118" s="29"/>
      <c r="AW118" s="16" t="s">
        <v>187</v>
      </c>
      <c r="AX118" s="32">
        <f t="shared" si="87"/>
        <v>9.3008452012865344E-4</v>
      </c>
      <c r="AY118" s="32">
        <f t="shared" si="88"/>
        <v>1.1560568062418495E-3</v>
      </c>
      <c r="AZ118" s="32">
        <f t="shared" si="89"/>
        <v>1.0330661880530499E-3</v>
      </c>
      <c r="BA118" s="32">
        <f t="shared" si="90"/>
        <v>1.2413922893051851E-3</v>
      </c>
      <c r="BB118" s="32">
        <f t="shared" si="91"/>
        <v>2.1169629673878226E-3</v>
      </c>
      <c r="BC118" s="32">
        <f t="shared" si="92"/>
        <v>3.0516914862510612E-3</v>
      </c>
      <c r="BD118" s="32">
        <f t="shared" si="93"/>
        <v>5.0178416733046424E-3</v>
      </c>
      <c r="BE118" s="32">
        <f t="shared" si="94"/>
        <v>7.2192166826854642E-3</v>
      </c>
      <c r="BF118" s="32">
        <f t="shared" si="95"/>
        <v>8.2482571823556412E-3</v>
      </c>
      <c r="BG118" s="32">
        <f t="shared" si="96"/>
        <v>9.0277996905002433E-3</v>
      </c>
      <c r="BH118" s="41">
        <f t="shared" ref="BH118:BH138" si="97">AVERAGE(AR118:AT118)</f>
        <v>1.0081021175066098E-2</v>
      </c>
      <c r="BI118" s="46">
        <f t="shared" si="86"/>
        <v>0.44941796667034467</v>
      </c>
      <c r="BJ118" s="41" t="b">
        <f t="shared" si="61"/>
        <v>0</v>
      </c>
      <c r="BK118" s="41" t="b">
        <f t="shared" si="62"/>
        <v>0</v>
      </c>
      <c r="BL118" s="42" t="str">
        <f>_xlfn.XLOOKUP(AW118,'County Population Strata'!$A$3:$A$66,'County Population Strata'!$P$3:$P$66)</f>
        <v>Small</v>
      </c>
      <c r="BQ118" s="21">
        <f t="shared" si="60"/>
        <v>3.976236150305935E-5</v>
      </c>
    </row>
    <row r="119" spans="18:69" x14ac:dyDescent="0.2">
      <c r="R119" s="16" t="s">
        <v>188</v>
      </c>
      <c r="S119" s="26">
        <v>28196</v>
      </c>
      <c r="T119" s="26">
        <v>28430</v>
      </c>
      <c r="U119" s="26">
        <v>28247</v>
      </c>
      <c r="V119" s="26">
        <v>28249</v>
      </c>
      <c r="W119" s="26">
        <v>28162</v>
      </c>
      <c r="X119" s="26">
        <v>28335</v>
      </c>
      <c r="Y119" s="26">
        <v>28294</v>
      </c>
      <c r="Z119" s="26">
        <v>28425</v>
      </c>
      <c r="AA119" s="26">
        <v>28933</v>
      </c>
      <c r="AB119" s="26">
        <v>29130</v>
      </c>
      <c r="AC119" s="26">
        <v>29078</v>
      </c>
      <c r="AD119" s="26">
        <v>29011</v>
      </c>
      <c r="AE119" s="26">
        <v>29296</v>
      </c>
      <c r="AG119" s="16" t="s">
        <v>188</v>
      </c>
      <c r="AH119" s="29">
        <v>0</v>
      </c>
      <c r="AI119" s="29">
        <f t="shared" si="74"/>
        <v>8.2990495105688747E-3</v>
      </c>
      <c r="AJ119" s="29">
        <f t="shared" si="75"/>
        <v>-6.4368624692226518E-3</v>
      </c>
      <c r="AK119" s="29">
        <f t="shared" si="76"/>
        <v>7.0803979183630113E-5</v>
      </c>
      <c r="AL119" s="29">
        <f t="shared" si="77"/>
        <v>-3.0797550355764806E-3</v>
      </c>
      <c r="AM119" s="29">
        <f t="shared" si="78"/>
        <v>6.1430296143739791E-3</v>
      </c>
      <c r="AN119" s="29">
        <f t="shared" si="79"/>
        <v>-1.4469737074289748E-3</v>
      </c>
      <c r="AO119" s="29">
        <f t="shared" si="80"/>
        <v>4.6299568813175937E-3</v>
      </c>
      <c r="AP119" s="29">
        <f t="shared" si="81"/>
        <v>1.7871591908531222E-2</v>
      </c>
      <c r="AQ119" s="29">
        <f t="shared" si="82"/>
        <v>6.8088342031590223E-3</v>
      </c>
      <c r="AR119" s="29">
        <f t="shared" si="83"/>
        <v>-1.7851012701682115E-3</v>
      </c>
      <c r="AS119" s="29">
        <f t="shared" si="84"/>
        <v>-2.304147465437788E-3</v>
      </c>
      <c r="AT119" s="29">
        <f t="shared" si="85"/>
        <v>9.8238599152045778E-3</v>
      </c>
      <c r="AU119" s="29"/>
      <c r="AW119" s="16" t="s">
        <v>188</v>
      </c>
      <c r="AX119" s="32">
        <f t="shared" si="87"/>
        <v>6.2072901378207432E-4</v>
      </c>
      <c r="AY119" s="32">
        <f t="shared" si="88"/>
        <v>6.443303401766177E-4</v>
      </c>
      <c r="AZ119" s="32">
        <f t="shared" si="89"/>
        <v>-3.1486045085385005E-3</v>
      </c>
      <c r="BA119" s="32">
        <f t="shared" si="90"/>
        <v>1.0446928526603762E-3</v>
      </c>
      <c r="BB119" s="32">
        <f t="shared" si="91"/>
        <v>5.3876695712284125E-4</v>
      </c>
      <c r="BC119" s="32">
        <f t="shared" si="92"/>
        <v>3.1086709294208662E-3</v>
      </c>
      <c r="BD119" s="32">
        <f t="shared" si="93"/>
        <v>7.0181916941399469E-3</v>
      </c>
      <c r="BE119" s="32">
        <f t="shared" si="94"/>
        <v>9.7701276643359456E-3</v>
      </c>
      <c r="BF119" s="32">
        <f t="shared" si="95"/>
        <v>7.6317749471740111E-3</v>
      </c>
      <c r="BG119" s="32">
        <f t="shared" si="96"/>
        <v>9.0652848918434091E-4</v>
      </c>
      <c r="BH119" s="41">
        <f t="shared" si="97"/>
        <v>1.9115370598661926E-3</v>
      </c>
      <c r="BI119" s="46">
        <f t="shared" si="86"/>
        <v>-0.13283133784926418</v>
      </c>
      <c r="BJ119" s="41" t="b">
        <f t="shared" si="61"/>
        <v>0</v>
      </c>
      <c r="BK119" s="41" t="b">
        <f t="shared" si="62"/>
        <v>0</v>
      </c>
      <c r="BL119" s="42" t="str">
        <f>_xlfn.XLOOKUP(AW119,'County Population Strata'!$A$3:$A$66,'County Population Strata'!$P$3:$P$66)</f>
        <v>Small</v>
      </c>
      <c r="BQ119" s="21">
        <f t="shared" si="60"/>
        <v>3.4735407805167206E-6</v>
      </c>
    </row>
    <row r="120" spans="18:69" x14ac:dyDescent="0.2">
      <c r="R120" s="16" t="s">
        <v>189</v>
      </c>
      <c r="S120" s="26">
        <v>18838</v>
      </c>
      <c r="T120" s="26">
        <v>18831</v>
      </c>
      <c r="U120" s="26">
        <v>18815</v>
      </c>
      <c r="V120" s="26">
        <v>18799</v>
      </c>
      <c r="W120" s="26">
        <v>18779</v>
      </c>
      <c r="X120" s="26">
        <v>18817</v>
      </c>
      <c r="Y120" s="26">
        <v>18797</v>
      </c>
      <c r="Z120" s="26">
        <v>18763</v>
      </c>
      <c r="AA120" s="26">
        <v>18756</v>
      </c>
      <c r="AB120" s="26">
        <v>18736</v>
      </c>
      <c r="AC120" s="26">
        <v>18668</v>
      </c>
      <c r="AD120" s="26">
        <v>18523</v>
      </c>
      <c r="AE120" s="26">
        <v>18294</v>
      </c>
      <c r="AG120" s="16" t="s">
        <v>189</v>
      </c>
      <c r="AH120" s="29">
        <v>0</v>
      </c>
      <c r="AI120" s="29">
        <f t="shared" si="74"/>
        <v>-3.7158934069434125E-4</v>
      </c>
      <c r="AJ120" s="29">
        <f t="shared" si="75"/>
        <v>-8.4966279008018687E-4</v>
      </c>
      <c r="AK120" s="29">
        <f t="shared" si="76"/>
        <v>-8.5038533085304282E-4</v>
      </c>
      <c r="AL120" s="29">
        <f t="shared" si="77"/>
        <v>-1.0638863769349433E-3</v>
      </c>
      <c r="AM120" s="29">
        <f t="shared" si="78"/>
        <v>2.0235369295489641E-3</v>
      </c>
      <c r="AN120" s="29">
        <f t="shared" si="79"/>
        <v>-1.062868682574268E-3</v>
      </c>
      <c r="AO120" s="29">
        <f t="shared" si="80"/>
        <v>-1.8087992764802894E-3</v>
      </c>
      <c r="AP120" s="29">
        <f t="shared" si="81"/>
        <v>-3.7307466823002718E-4</v>
      </c>
      <c r="AQ120" s="29">
        <f t="shared" si="82"/>
        <v>-1.0663254425250586E-3</v>
      </c>
      <c r="AR120" s="29">
        <f t="shared" si="83"/>
        <v>-3.6293766011955592E-3</v>
      </c>
      <c r="AS120" s="29">
        <f t="shared" si="84"/>
        <v>-7.7673023355474607E-3</v>
      </c>
      <c r="AT120" s="29">
        <f t="shared" si="85"/>
        <v>-1.236300815202721E-2</v>
      </c>
      <c r="AU120" s="29"/>
      <c r="AW120" s="16" t="s">
        <v>189</v>
      </c>
      <c r="AX120" s="32">
        <f t="shared" si="87"/>
        <v>-4.0708404359150936E-4</v>
      </c>
      <c r="AY120" s="32">
        <f t="shared" si="88"/>
        <v>-6.9054582054252356E-4</v>
      </c>
      <c r="AZ120" s="32">
        <f t="shared" si="89"/>
        <v>-9.2131149928939093E-4</v>
      </c>
      <c r="BA120" s="32">
        <f t="shared" si="90"/>
        <v>3.6421740586992653E-5</v>
      </c>
      <c r="BB120" s="32">
        <f t="shared" si="91"/>
        <v>-3.4406043320082394E-5</v>
      </c>
      <c r="BC120" s="32">
        <f t="shared" si="92"/>
        <v>-2.8271034316853112E-4</v>
      </c>
      <c r="BD120" s="32">
        <f t="shared" si="93"/>
        <v>-1.0815808757615281E-3</v>
      </c>
      <c r="BE120" s="32">
        <f t="shared" si="94"/>
        <v>-1.0827331290784584E-3</v>
      </c>
      <c r="BF120" s="32">
        <f t="shared" si="95"/>
        <v>-1.6895922373168816E-3</v>
      </c>
      <c r="BG120" s="32">
        <f t="shared" si="96"/>
        <v>-4.1543347930893598E-3</v>
      </c>
      <c r="BH120" s="41">
        <f t="shared" si="97"/>
        <v>-7.9198956962567429E-3</v>
      </c>
      <c r="BI120" s="46">
        <f t="shared" si="86"/>
        <v>-0.8335297912599674</v>
      </c>
      <c r="BJ120" s="41" t="b">
        <f t="shared" si="61"/>
        <v>0</v>
      </c>
      <c r="BK120" s="41" t="b">
        <f t="shared" si="62"/>
        <v>0</v>
      </c>
      <c r="BL120" s="42" t="str">
        <f>_xlfn.XLOOKUP(AW120,'County Population Strata'!$A$3:$A$66,'County Population Strata'!$P$3:$P$66)</f>
        <v>Tiny</v>
      </c>
      <c r="BQ120" s="21">
        <f t="shared" si="60"/>
        <v>1.3677715360257178E-4</v>
      </c>
    </row>
    <row r="121" spans="18:69" x14ac:dyDescent="0.2">
      <c r="R121" s="16" t="s">
        <v>190</v>
      </c>
      <c r="S121" s="26">
        <v>4446</v>
      </c>
      <c r="T121" s="26">
        <v>4404</v>
      </c>
      <c r="U121" s="26">
        <v>4478</v>
      </c>
      <c r="V121" s="26">
        <v>4515</v>
      </c>
      <c r="W121" s="26">
        <v>4528</v>
      </c>
      <c r="X121" s="26">
        <v>4550</v>
      </c>
      <c r="Y121" s="26">
        <v>4721</v>
      </c>
      <c r="Z121" s="26">
        <v>4730</v>
      </c>
      <c r="AA121" s="26">
        <v>4736</v>
      </c>
      <c r="AB121" s="26">
        <v>4887</v>
      </c>
      <c r="AC121" s="26">
        <v>4876</v>
      </c>
      <c r="AD121" s="26">
        <v>5051</v>
      </c>
      <c r="AE121" s="26">
        <v>5088</v>
      </c>
      <c r="AG121" s="16" t="s">
        <v>190</v>
      </c>
      <c r="AH121" s="29">
        <v>0</v>
      </c>
      <c r="AI121" s="29">
        <f t="shared" si="74"/>
        <v>-9.4466936572199737E-3</v>
      </c>
      <c r="AJ121" s="29">
        <f t="shared" si="75"/>
        <v>1.6802906448683014E-2</v>
      </c>
      <c r="AK121" s="29">
        <f t="shared" si="76"/>
        <v>8.2626172398392143E-3</v>
      </c>
      <c r="AL121" s="29">
        <f t="shared" si="77"/>
        <v>2.8792912513842745E-3</v>
      </c>
      <c r="AM121" s="29">
        <f t="shared" si="78"/>
        <v>4.8586572438162542E-3</v>
      </c>
      <c r="AN121" s="29">
        <f t="shared" si="79"/>
        <v>3.7582417582417579E-2</v>
      </c>
      <c r="AO121" s="29">
        <f t="shared" si="80"/>
        <v>1.9063757678457953E-3</v>
      </c>
      <c r="AP121" s="29">
        <f t="shared" si="81"/>
        <v>1.2684989429175475E-3</v>
      </c>
      <c r="AQ121" s="29">
        <f t="shared" si="82"/>
        <v>3.1883445945945943E-2</v>
      </c>
      <c r="AR121" s="29">
        <f t="shared" si="83"/>
        <v>-2.2508696541845715E-3</v>
      </c>
      <c r="AS121" s="29">
        <f t="shared" si="84"/>
        <v>3.5890073831009027E-2</v>
      </c>
      <c r="AT121" s="29">
        <f t="shared" si="85"/>
        <v>7.3252821223520094E-3</v>
      </c>
      <c r="AU121" s="29"/>
      <c r="AW121" s="16" t="s">
        <v>190</v>
      </c>
      <c r="AX121" s="32">
        <f t="shared" si="87"/>
        <v>2.4520709304876802E-3</v>
      </c>
      <c r="AY121" s="32">
        <f t="shared" si="88"/>
        <v>5.2062766771007515E-3</v>
      </c>
      <c r="AZ121" s="32">
        <f t="shared" si="89"/>
        <v>9.3149383133021672E-3</v>
      </c>
      <c r="BA121" s="32">
        <f t="shared" si="90"/>
        <v>5.3335219116799138E-3</v>
      </c>
      <c r="BB121" s="32">
        <f t="shared" si="91"/>
        <v>1.5106788692539369E-2</v>
      </c>
      <c r="BC121" s="32">
        <f t="shared" si="92"/>
        <v>1.4782483531359877E-2</v>
      </c>
      <c r="BD121" s="32">
        <f t="shared" si="93"/>
        <v>1.3585764097726974E-2</v>
      </c>
      <c r="BE121" s="32">
        <f t="shared" si="94"/>
        <v>1.1686106885569763E-2</v>
      </c>
      <c r="BF121" s="32">
        <f t="shared" si="95"/>
        <v>1.0300358411559641E-2</v>
      </c>
      <c r="BG121" s="32">
        <f t="shared" si="96"/>
        <v>2.1840883374256798E-2</v>
      </c>
      <c r="BH121" s="41">
        <f t="shared" si="97"/>
        <v>1.3654828766392157E-2</v>
      </c>
      <c r="BI121" s="46">
        <f t="shared" si="86"/>
        <v>0.70412768336652298</v>
      </c>
      <c r="BJ121" s="41" t="b">
        <f t="shared" si="61"/>
        <v>0</v>
      </c>
      <c r="BK121" s="41" t="b">
        <f t="shared" si="62"/>
        <v>0</v>
      </c>
      <c r="BL121" s="42" t="str">
        <f>_xlfn.XLOOKUP(AW121,'County Population Strata'!$A$3:$A$66,'County Population Strata'!$P$3:$P$66)</f>
        <v>Tiny</v>
      </c>
      <c r="BQ121" s="21">
        <f t="shared" si="60"/>
        <v>9.7605467746563675E-5</v>
      </c>
    </row>
    <row r="122" spans="18:69" x14ac:dyDescent="0.2">
      <c r="R122" s="16" t="s">
        <v>191</v>
      </c>
      <c r="S122" s="26">
        <v>16262</v>
      </c>
      <c r="T122" s="26">
        <v>15896</v>
      </c>
      <c r="U122" s="26">
        <v>15739</v>
      </c>
      <c r="V122" s="26">
        <v>15730</v>
      </c>
      <c r="W122" s="26">
        <v>15778</v>
      </c>
      <c r="X122" s="26">
        <v>15975</v>
      </c>
      <c r="Y122" s="26">
        <v>16461</v>
      </c>
      <c r="Z122" s="26">
        <v>16866</v>
      </c>
      <c r="AA122" s="26">
        <v>17366</v>
      </c>
      <c r="AB122" s="26">
        <v>17511</v>
      </c>
      <c r="AC122" s="26">
        <v>17416</v>
      </c>
      <c r="AD122" s="26">
        <v>17735</v>
      </c>
      <c r="AE122" s="26">
        <v>17900</v>
      </c>
      <c r="AG122" s="16" t="s">
        <v>191</v>
      </c>
      <c r="AH122" s="29">
        <v>0</v>
      </c>
      <c r="AI122" s="29">
        <f t="shared" si="74"/>
        <v>-2.2506456770384948E-2</v>
      </c>
      <c r="AJ122" s="29">
        <f t="shared" si="75"/>
        <v>-9.8766985405133369E-3</v>
      </c>
      <c r="AK122" s="29">
        <f t="shared" si="76"/>
        <v>-5.7182794332549716E-4</v>
      </c>
      <c r="AL122" s="29">
        <f t="shared" si="77"/>
        <v>3.0514939605848696E-3</v>
      </c>
      <c r="AM122" s="29">
        <f t="shared" si="78"/>
        <v>1.2485739637469895E-2</v>
      </c>
      <c r="AN122" s="29">
        <f t="shared" si="79"/>
        <v>3.0422535211267605E-2</v>
      </c>
      <c r="AO122" s="29">
        <f t="shared" si="80"/>
        <v>2.4603608529250958E-2</v>
      </c>
      <c r="AP122" s="29">
        <f t="shared" si="81"/>
        <v>2.9645440531246296E-2</v>
      </c>
      <c r="AQ122" s="29">
        <f t="shared" si="82"/>
        <v>8.3496487389151212E-3</v>
      </c>
      <c r="AR122" s="29">
        <f t="shared" si="83"/>
        <v>-5.4251613271657818E-3</v>
      </c>
      <c r="AS122" s="29">
        <f t="shared" si="84"/>
        <v>1.8316490583371613E-2</v>
      </c>
      <c r="AT122" s="29">
        <f t="shared" si="85"/>
        <v>9.303636876233437E-3</v>
      </c>
      <c r="AU122" s="29"/>
      <c r="AW122" s="16" t="s">
        <v>191</v>
      </c>
      <c r="AX122" s="32">
        <f t="shared" si="87"/>
        <v>-1.079438510363276E-2</v>
      </c>
      <c r="AY122" s="32">
        <f t="shared" si="88"/>
        <v>-1.0984994418074594E-2</v>
      </c>
      <c r="AZ122" s="32">
        <f t="shared" si="89"/>
        <v>-2.4656775077513213E-3</v>
      </c>
      <c r="BA122" s="32">
        <f t="shared" si="90"/>
        <v>4.9884685515764228E-3</v>
      </c>
      <c r="BB122" s="32">
        <f t="shared" si="91"/>
        <v>1.5319922936440791E-2</v>
      </c>
      <c r="BC122" s="32">
        <f t="shared" si="92"/>
        <v>2.250396112599615E-2</v>
      </c>
      <c r="BD122" s="32">
        <f t="shared" si="93"/>
        <v>2.8223861423921619E-2</v>
      </c>
      <c r="BE122" s="32">
        <f t="shared" si="94"/>
        <v>2.0866232599804125E-2</v>
      </c>
      <c r="BF122" s="32">
        <f t="shared" si="95"/>
        <v>1.0856642647665213E-2</v>
      </c>
      <c r="BG122" s="32">
        <f t="shared" si="96"/>
        <v>7.0803259983736504E-3</v>
      </c>
      <c r="BH122" s="41">
        <f t="shared" si="97"/>
        <v>7.3983220441464223E-3</v>
      </c>
      <c r="BI122" s="46">
        <f t="shared" si="86"/>
        <v>0.25821865944516398</v>
      </c>
      <c r="BJ122" s="41" t="b">
        <f t="shared" si="61"/>
        <v>0</v>
      </c>
      <c r="BK122" s="41" t="b">
        <f t="shared" si="62"/>
        <v>0</v>
      </c>
      <c r="BL122" s="42" t="str">
        <f>_xlfn.XLOOKUP(AW122,'County Population Strata'!$A$3:$A$66,'County Population Strata'!$P$3:$P$66)</f>
        <v>Tiny</v>
      </c>
      <c r="BQ122" s="21">
        <f t="shared" si="60"/>
        <v>1.3126427756421854E-5</v>
      </c>
    </row>
    <row r="123" spans="18:69" x14ac:dyDescent="0.2">
      <c r="R123" s="16" t="s">
        <v>192</v>
      </c>
      <c r="S123" s="26">
        <v>4465</v>
      </c>
      <c r="T123" s="26">
        <v>4473</v>
      </c>
      <c r="U123" s="26">
        <v>4482</v>
      </c>
      <c r="V123" s="26">
        <v>4486</v>
      </c>
      <c r="W123" s="26">
        <v>4494</v>
      </c>
      <c r="X123" s="26">
        <v>4499</v>
      </c>
      <c r="Y123" s="26">
        <v>4505</v>
      </c>
      <c r="Z123" s="26">
        <v>4514</v>
      </c>
      <c r="AA123" s="26">
        <v>4515</v>
      </c>
      <c r="AB123" s="26">
        <v>4521</v>
      </c>
      <c r="AC123" s="26">
        <v>4523</v>
      </c>
      <c r="AD123" s="26">
        <v>4498</v>
      </c>
      <c r="AE123" s="26">
        <v>4435</v>
      </c>
      <c r="AG123" s="16" t="s">
        <v>192</v>
      </c>
      <c r="AH123" s="29">
        <v>0</v>
      </c>
      <c r="AI123" s="29">
        <f t="shared" si="74"/>
        <v>1.7917133258678612E-3</v>
      </c>
      <c r="AJ123" s="29">
        <f t="shared" si="75"/>
        <v>2.012072434607646E-3</v>
      </c>
      <c r="AK123" s="29">
        <f t="shared" si="76"/>
        <v>8.9245872378402495E-4</v>
      </c>
      <c r="AL123" s="29">
        <f t="shared" si="77"/>
        <v>1.7833259028087382E-3</v>
      </c>
      <c r="AM123" s="29">
        <f t="shared" si="78"/>
        <v>1.1125945705384957E-3</v>
      </c>
      <c r="AN123" s="29">
        <f t="shared" si="79"/>
        <v>1.3336296954878863E-3</v>
      </c>
      <c r="AO123" s="29">
        <f t="shared" si="80"/>
        <v>1.9977802441731411E-3</v>
      </c>
      <c r="AP123" s="29">
        <f t="shared" si="81"/>
        <v>2.2153300841825432E-4</v>
      </c>
      <c r="AQ123" s="29">
        <f t="shared" si="82"/>
        <v>1.3289036544850499E-3</v>
      </c>
      <c r="AR123" s="29">
        <f t="shared" si="83"/>
        <v>4.4238000442380006E-4</v>
      </c>
      <c r="AS123" s="29">
        <f t="shared" si="84"/>
        <v>-5.5273048861375195E-3</v>
      </c>
      <c r="AT123" s="29">
        <f t="shared" si="85"/>
        <v>-1.4006224988883948E-2</v>
      </c>
      <c r="AU123" s="29"/>
      <c r="AW123" s="16" t="s">
        <v>192</v>
      </c>
      <c r="AX123" s="32">
        <f t="shared" si="87"/>
        <v>1.2679285868251692E-3</v>
      </c>
      <c r="AY123" s="32">
        <f t="shared" si="88"/>
        <v>1.5654148280865108E-3</v>
      </c>
      <c r="AZ123" s="32">
        <f t="shared" si="89"/>
        <v>1.5626190204001366E-3</v>
      </c>
      <c r="BA123" s="32">
        <f t="shared" si="90"/>
        <v>1.2627930657104196E-3</v>
      </c>
      <c r="BB123" s="32">
        <f t="shared" si="91"/>
        <v>1.4098500562783733E-3</v>
      </c>
      <c r="BC123" s="32">
        <f t="shared" si="92"/>
        <v>1.4813348367331742E-3</v>
      </c>
      <c r="BD123" s="32">
        <f t="shared" si="93"/>
        <v>1.1843143160264271E-3</v>
      </c>
      <c r="BE123" s="32">
        <f t="shared" si="94"/>
        <v>1.1827389690254816E-3</v>
      </c>
      <c r="BF123" s="32">
        <f t="shared" si="95"/>
        <v>6.6427222244236806E-4</v>
      </c>
      <c r="BG123" s="32">
        <f t="shared" si="96"/>
        <v>-1.2520070757428899E-3</v>
      </c>
      <c r="BH123" s="41">
        <f t="shared" si="97"/>
        <v>-6.3637166235325565E-3</v>
      </c>
      <c r="BI123" s="46">
        <f t="shared" si="86"/>
        <v>-0.72261897118556473</v>
      </c>
      <c r="BJ123" s="41" t="b">
        <f t="shared" si="61"/>
        <v>0</v>
      </c>
      <c r="BK123" s="41" t="b">
        <f t="shared" si="62"/>
        <v>0</v>
      </c>
      <c r="BL123" s="42" t="str">
        <f>_xlfn.XLOOKUP(AW123,'County Population Strata'!$A$3:$A$66,'County Population Strata'!$P$3:$P$66)</f>
        <v>Tiny</v>
      </c>
      <c r="BQ123" s="21">
        <f t="shared" si="60"/>
        <v>1.0279926903526674E-4</v>
      </c>
    </row>
    <row r="124" spans="18:69" x14ac:dyDescent="0.2">
      <c r="R124" s="16" t="s">
        <v>193</v>
      </c>
      <c r="S124" s="26">
        <v>17156</v>
      </c>
      <c r="T124" s="26">
        <v>17128</v>
      </c>
      <c r="U124" s="26">
        <v>17201</v>
      </c>
      <c r="V124" s="26">
        <v>17321</v>
      </c>
      <c r="W124" s="26">
        <v>17521</v>
      </c>
      <c r="X124" s="26">
        <v>17701</v>
      </c>
      <c r="Y124" s="26">
        <v>17691</v>
      </c>
      <c r="Z124" s="26">
        <v>17658</v>
      </c>
      <c r="AA124" s="26">
        <v>17643</v>
      </c>
      <c r="AB124" s="26">
        <v>17413</v>
      </c>
      <c r="AC124" s="26">
        <v>17355</v>
      </c>
      <c r="AD124" s="26">
        <v>17336</v>
      </c>
      <c r="AE124" s="26">
        <v>16856</v>
      </c>
      <c r="AG124" s="16" t="s">
        <v>193</v>
      </c>
      <c r="AH124" s="29">
        <v>0</v>
      </c>
      <c r="AI124" s="29">
        <f t="shared" si="74"/>
        <v>-1.6320820704126837E-3</v>
      </c>
      <c r="AJ124" s="29">
        <f t="shared" si="75"/>
        <v>4.2620270901447925E-3</v>
      </c>
      <c r="AK124" s="29">
        <f t="shared" si="76"/>
        <v>6.97633858496599E-3</v>
      </c>
      <c r="AL124" s="29">
        <f t="shared" si="77"/>
        <v>1.1546677443565615E-2</v>
      </c>
      <c r="AM124" s="29">
        <f t="shared" si="78"/>
        <v>1.0273386222247589E-2</v>
      </c>
      <c r="AN124" s="29">
        <f t="shared" si="79"/>
        <v>-5.6493983390768887E-4</v>
      </c>
      <c r="AO124" s="29">
        <f t="shared" si="80"/>
        <v>-1.8653552653891809E-3</v>
      </c>
      <c r="AP124" s="29">
        <f t="shared" si="81"/>
        <v>-8.4947332653754668E-4</v>
      </c>
      <c r="AQ124" s="29">
        <f t="shared" si="82"/>
        <v>-1.3036331689621946E-2</v>
      </c>
      <c r="AR124" s="29">
        <f t="shared" si="83"/>
        <v>-3.330844771147993E-3</v>
      </c>
      <c r="AS124" s="29">
        <f t="shared" si="84"/>
        <v>-1.0947853644482858E-3</v>
      </c>
      <c r="AT124" s="29">
        <f t="shared" si="85"/>
        <v>-2.7688047992616521E-2</v>
      </c>
      <c r="AU124" s="29"/>
      <c r="AW124" s="16" t="s">
        <v>193</v>
      </c>
      <c r="AX124" s="32">
        <f t="shared" si="87"/>
        <v>8.7664833991070305E-4</v>
      </c>
      <c r="AY124" s="32">
        <f t="shared" si="88"/>
        <v>3.2020945348993665E-3</v>
      </c>
      <c r="AZ124" s="32">
        <f t="shared" si="89"/>
        <v>7.5950143728921336E-3</v>
      </c>
      <c r="BA124" s="32">
        <f t="shared" si="90"/>
        <v>9.5988007502597322E-3</v>
      </c>
      <c r="BB124" s="32">
        <f t="shared" si="91"/>
        <v>7.085041277301838E-3</v>
      </c>
      <c r="BC124" s="32">
        <f t="shared" si="92"/>
        <v>2.6143637076502402E-3</v>
      </c>
      <c r="BD124" s="32">
        <f t="shared" si="93"/>
        <v>-1.0932561419448054E-3</v>
      </c>
      <c r="BE124" s="32">
        <f t="shared" si="94"/>
        <v>-5.2503867605162248E-3</v>
      </c>
      <c r="BF124" s="32">
        <f t="shared" si="95"/>
        <v>-5.7388832624358293E-3</v>
      </c>
      <c r="BG124" s="32">
        <f t="shared" si="96"/>
        <v>-5.8206539417394081E-3</v>
      </c>
      <c r="BH124" s="41">
        <f t="shared" si="97"/>
        <v>-1.0704559376070934E-2</v>
      </c>
      <c r="BI124" s="46">
        <f t="shared" si="86"/>
        <v>-1.0319962388384816</v>
      </c>
      <c r="BJ124" s="41" t="b">
        <f t="shared" si="61"/>
        <v>0</v>
      </c>
      <c r="BK124" s="41" t="b">
        <f t="shared" si="62"/>
        <v>1</v>
      </c>
      <c r="BL124" s="42" t="str">
        <f>_xlfn.XLOOKUP(AW124,'County Population Strata'!$A$3:$A$66,'County Population Strata'!$P$3:$P$66)</f>
        <v>Tiny</v>
      </c>
      <c r="BQ124" s="21">
        <f t="shared" si="60"/>
        <v>2.0966577192567333E-4</v>
      </c>
    </row>
    <row r="125" spans="18:69" x14ac:dyDescent="0.2">
      <c r="R125" s="16" t="s">
        <v>194</v>
      </c>
      <c r="S125" s="26">
        <v>12531</v>
      </c>
      <c r="T125" s="26">
        <v>12478</v>
      </c>
      <c r="U125" s="26">
        <v>12398</v>
      </c>
      <c r="V125" s="26">
        <v>12287</v>
      </c>
      <c r="W125" s="26">
        <v>12023</v>
      </c>
      <c r="X125" s="26">
        <v>11891</v>
      </c>
      <c r="Y125" s="26">
        <v>11887</v>
      </c>
      <c r="Z125" s="26">
        <v>11930</v>
      </c>
      <c r="AA125" s="26">
        <v>11971</v>
      </c>
      <c r="AB125" s="26">
        <v>12011</v>
      </c>
      <c r="AC125" s="26">
        <v>12012</v>
      </c>
      <c r="AD125" s="26">
        <v>11985</v>
      </c>
      <c r="AE125" s="26">
        <v>11850</v>
      </c>
      <c r="AG125" s="16" t="s">
        <v>194</v>
      </c>
      <c r="AH125" s="29">
        <v>0</v>
      </c>
      <c r="AI125" s="29">
        <f t="shared" si="74"/>
        <v>-4.2295108131833051E-3</v>
      </c>
      <c r="AJ125" s="29">
        <f t="shared" si="75"/>
        <v>-6.4112838595928832E-3</v>
      </c>
      <c r="AK125" s="29">
        <f t="shared" si="76"/>
        <v>-8.9530569446684954E-3</v>
      </c>
      <c r="AL125" s="29">
        <f t="shared" si="77"/>
        <v>-2.1486123545210387E-2</v>
      </c>
      <c r="AM125" s="29">
        <f t="shared" si="78"/>
        <v>-1.0978956999085087E-2</v>
      </c>
      <c r="AN125" s="29">
        <f t="shared" si="79"/>
        <v>-3.3638886552855103E-4</v>
      </c>
      <c r="AO125" s="29">
        <f t="shared" si="80"/>
        <v>3.6173971565575838E-3</v>
      </c>
      <c r="AP125" s="29">
        <f t="shared" si="81"/>
        <v>3.4367141659681476E-3</v>
      </c>
      <c r="AQ125" s="29">
        <f t="shared" si="82"/>
        <v>3.341408403642135E-3</v>
      </c>
      <c r="AR125" s="29">
        <f t="shared" si="83"/>
        <v>8.3257014403463495E-5</v>
      </c>
      <c r="AS125" s="29">
        <f t="shared" si="84"/>
        <v>-2.247752247752248E-3</v>
      </c>
      <c r="AT125" s="29">
        <f t="shared" si="85"/>
        <v>-1.1264080100125156E-2</v>
      </c>
      <c r="AU125" s="29"/>
      <c r="AW125" s="16" t="s">
        <v>194</v>
      </c>
      <c r="AX125" s="32">
        <f t="shared" si="87"/>
        <v>-3.5469315575920625E-3</v>
      </c>
      <c r="AY125" s="32">
        <f t="shared" si="88"/>
        <v>-6.5312838724815607E-3</v>
      </c>
      <c r="AZ125" s="32">
        <f t="shared" si="89"/>
        <v>-1.2283488116490588E-2</v>
      </c>
      <c r="BA125" s="32">
        <f t="shared" si="90"/>
        <v>-1.3806045829654659E-2</v>
      </c>
      <c r="BB125" s="32">
        <f t="shared" si="91"/>
        <v>-1.093382313660801E-2</v>
      </c>
      <c r="BC125" s="32">
        <f t="shared" si="92"/>
        <v>-2.5659829026853515E-3</v>
      </c>
      <c r="BD125" s="32">
        <f t="shared" si="93"/>
        <v>2.23924081899906E-3</v>
      </c>
      <c r="BE125" s="32">
        <f t="shared" si="94"/>
        <v>3.4651732420559558E-3</v>
      </c>
      <c r="BF125" s="32">
        <f t="shared" si="95"/>
        <v>2.2871265280045819E-3</v>
      </c>
      <c r="BG125" s="32">
        <f t="shared" si="96"/>
        <v>3.9230439009778351E-4</v>
      </c>
      <c r="BH125" s="41">
        <f t="shared" si="97"/>
        <v>-4.4761917778246467E-3</v>
      </c>
      <c r="BI125" s="46">
        <f t="shared" si="86"/>
        <v>-0.58809272531991363</v>
      </c>
      <c r="BJ125" s="41" t="b">
        <f t="shared" si="61"/>
        <v>0</v>
      </c>
      <c r="BK125" s="41" t="b">
        <f t="shared" si="62"/>
        <v>0</v>
      </c>
      <c r="BL125" s="42" t="str">
        <f>_xlfn.XLOOKUP(AW125,'County Population Strata'!$A$3:$A$66,'County Population Strata'!$P$3:$P$66)</f>
        <v>Tiny</v>
      </c>
      <c r="BQ125" s="21">
        <f t="shared" si="60"/>
        <v>6.8086799931171472E-5</v>
      </c>
    </row>
    <row r="126" spans="18:69" x14ac:dyDescent="0.2">
      <c r="R126" s="16" t="s">
        <v>195</v>
      </c>
      <c r="S126" s="26">
        <v>159496</v>
      </c>
      <c r="T126" s="26">
        <v>159838</v>
      </c>
      <c r="U126" s="26">
        <v>160327</v>
      </c>
      <c r="V126" s="26">
        <v>160565</v>
      </c>
      <c r="W126" s="26">
        <v>160867</v>
      </c>
      <c r="X126" s="26">
        <v>162449</v>
      </c>
      <c r="Y126" s="26">
        <v>164124</v>
      </c>
      <c r="Z126" s="26">
        <v>165549</v>
      </c>
      <c r="AA126" s="26">
        <v>166686</v>
      </c>
      <c r="AB126" s="26">
        <v>167485</v>
      </c>
      <c r="AC126" s="26">
        <v>168311</v>
      </c>
      <c r="AD126" s="26">
        <v>169272</v>
      </c>
      <c r="AE126" s="26">
        <v>169383</v>
      </c>
      <c r="AG126" s="16" t="s">
        <v>195</v>
      </c>
      <c r="AH126" s="29">
        <v>0</v>
      </c>
      <c r="AI126" s="29">
        <f t="shared" si="74"/>
        <v>2.1442544013642977E-3</v>
      </c>
      <c r="AJ126" s="29">
        <f t="shared" si="75"/>
        <v>3.0593475894343022E-3</v>
      </c>
      <c r="AK126" s="29">
        <f t="shared" si="76"/>
        <v>1.4844661223624219E-3</v>
      </c>
      <c r="AL126" s="29">
        <f t="shared" si="77"/>
        <v>1.880858219412699E-3</v>
      </c>
      <c r="AM126" s="29">
        <f t="shared" si="78"/>
        <v>9.8342108698490065E-3</v>
      </c>
      <c r="AN126" s="29">
        <f t="shared" si="79"/>
        <v>1.0310928352898449E-2</v>
      </c>
      <c r="AO126" s="29">
        <f t="shared" si="80"/>
        <v>8.6824596037142644E-3</v>
      </c>
      <c r="AP126" s="29">
        <f t="shared" si="81"/>
        <v>6.8680571915263758E-3</v>
      </c>
      <c r="AQ126" s="29">
        <f t="shared" si="82"/>
        <v>4.7934439605005815E-3</v>
      </c>
      <c r="AR126" s="29">
        <f t="shared" si="83"/>
        <v>4.9317849359644143E-3</v>
      </c>
      <c r="AS126" s="29">
        <f t="shared" si="84"/>
        <v>5.7096684114526083E-3</v>
      </c>
      <c r="AT126" s="29">
        <f t="shared" si="85"/>
        <v>6.5574932652771867E-4</v>
      </c>
      <c r="AU126" s="29"/>
      <c r="AW126" s="16" t="s">
        <v>195</v>
      </c>
      <c r="AX126" s="32">
        <f t="shared" si="87"/>
        <v>1.7345339969328667E-3</v>
      </c>
      <c r="AY126" s="32">
        <f t="shared" si="88"/>
        <v>2.2293560377203404E-3</v>
      </c>
      <c r="AZ126" s="32">
        <f t="shared" si="89"/>
        <v>2.1415573104031408E-3</v>
      </c>
      <c r="BA126" s="32">
        <f t="shared" si="90"/>
        <v>4.3998450705413751E-3</v>
      </c>
      <c r="BB126" s="32">
        <f t="shared" si="91"/>
        <v>7.3419991473867184E-3</v>
      </c>
      <c r="BC126" s="32">
        <f t="shared" si="92"/>
        <v>9.6091996088205744E-3</v>
      </c>
      <c r="BD126" s="32">
        <f t="shared" si="93"/>
        <v>8.6204817160463621E-3</v>
      </c>
      <c r="BE126" s="32">
        <f t="shared" si="94"/>
        <v>6.7813202519137403E-3</v>
      </c>
      <c r="BF126" s="32">
        <f t="shared" si="95"/>
        <v>5.5310953626637911E-3</v>
      </c>
      <c r="BG126" s="32">
        <f t="shared" si="96"/>
        <v>5.1449657693058677E-3</v>
      </c>
      <c r="BH126" s="41">
        <f t="shared" si="97"/>
        <v>3.7657342246482472E-3</v>
      </c>
      <c r="BI126" s="46">
        <f t="shared" si="86"/>
        <v>-6.8039729869746044E-4</v>
      </c>
      <c r="BJ126" s="41" t="b">
        <f t="shared" si="61"/>
        <v>0</v>
      </c>
      <c r="BK126" s="41" t="b">
        <f t="shared" si="62"/>
        <v>0</v>
      </c>
      <c r="BL126" s="42" t="str">
        <f>_xlfn.XLOOKUP(AW126,'County Population Strata'!$A$3:$A$66,'County Population Strata'!$P$3:$P$66)</f>
        <v>Small</v>
      </c>
      <c r="BQ126" s="21">
        <f t="shared" si="60"/>
        <v>9.1137365402725734E-11</v>
      </c>
    </row>
    <row r="127" spans="18:69" x14ac:dyDescent="0.2">
      <c r="R127" s="16" t="s">
        <v>196</v>
      </c>
      <c r="S127" s="26">
        <v>6617</v>
      </c>
      <c r="T127" s="26">
        <v>6736</v>
      </c>
      <c r="U127" s="26">
        <v>6793</v>
      </c>
      <c r="V127" s="26">
        <v>6764</v>
      </c>
      <c r="W127" s="26">
        <v>6644</v>
      </c>
      <c r="X127" s="26">
        <v>6621</v>
      </c>
      <c r="Y127" s="26">
        <v>6616</v>
      </c>
      <c r="Z127" s="26">
        <v>6568</v>
      </c>
      <c r="AA127" s="26">
        <v>6588</v>
      </c>
      <c r="AB127" s="26">
        <v>6528</v>
      </c>
      <c r="AC127" s="26">
        <v>6521</v>
      </c>
      <c r="AD127" s="26">
        <v>6443</v>
      </c>
      <c r="AE127" s="26">
        <v>6558</v>
      </c>
      <c r="AG127" s="16" t="s">
        <v>196</v>
      </c>
      <c r="AH127" s="29">
        <v>0</v>
      </c>
      <c r="AI127" s="29">
        <f t="shared" si="74"/>
        <v>1.7983980655886352E-2</v>
      </c>
      <c r="AJ127" s="29">
        <f t="shared" si="75"/>
        <v>8.4619952494061762E-3</v>
      </c>
      <c r="AK127" s="29">
        <f t="shared" si="76"/>
        <v>-4.2691005446783455E-3</v>
      </c>
      <c r="AL127" s="29">
        <f t="shared" si="77"/>
        <v>-1.7740981667652277E-2</v>
      </c>
      <c r="AM127" s="29">
        <f t="shared" si="78"/>
        <v>-3.461770018061409E-3</v>
      </c>
      <c r="AN127" s="29">
        <f t="shared" si="79"/>
        <v>-7.5517293460202384E-4</v>
      </c>
      <c r="AO127" s="29">
        <f t="shared" si="80"/>
        <v>-7.2551390568319227E-3</v>
      </c>
      <c r="AP127" s="29">
        <f t="shared" si="81"/>
        <v>3.0450669914738123E-3</v>
      </c>
      <c r="AQ127" s="29">
        <f t="shared" si="82"/>
        <v>-9.1074681238615673E-3</v>
      </c>
      <c r="AR127" s="29">
        <f t="shared" si="83"/>
        <v>-1.0723039215686275E-3</v>
      </c>
      <c r="AS127" s="29">
        <f t="shared" si="84"/>
        <v>-1.1961355620303635E-2</v>
      </c>
      <c r="AT127" s="29">
        <f t="shared" si="85"/>
        <v>1.7848828185627812E-2</v>
      </c>
      <c r="AU127" s="29"/>
      <c r="AW127" s="16" t="s">
        <v>196</v>
      </c>
      <c r="AX127" s="32">
        <f t="shared" si="87"/>
        <v>8.8153253017641767E-3</v>
      </c>
      <c r="AY127" s="32">
        <f t="shared" si="88"/>
        <v>7.3922917868713941E-3</v>
      </c>
      <c r="AZ127" s="32">
        <f t="shared" si="89"/>
        <v>-4.5160289876414817E-3</v>
      </c>
      <c r="BA127" s="32">
        <f t="shared" si="90"/>
        <v>-8.4906174101306766E-3</v>
      </c>
      <c r="BB127" s="32">
        <f t="shared" si="91"/>
        <v>-7.3193082067719026E-3</v>
      </c>
      <c r="BC127" s="32">
        <f t="shared" si="92"/>
        <v>-3.8240273364984517E-3</v>
      </c>
      <c r="BD127" s="32">
        <f t="shared" si="93"/>
        <v>-1.6550816666533782E-3</v>
      </c>
      <c r="BE127" s="32">
        <f t="shared" si="94"/>
        <v>-4.4391800630732255E-3</v>
      </c>
      <c r="BF127" s="32">
        <f t="shared" si="95"/>
        <v>-2.378235017985461E-3</v>
      </c>
      <c r="BG127" s="32">
        <f t="shared" si="96"/>
        <v>-7.3803758885779428E-3</v>
      </c>
      <c r="BH127" s="41">
        <f t="shared" si="97"/>
        <v>1.6050562145851835E-3</v>
      </c>
      <c r="BI127" s="46">
        <f t="shared" si="86"/>
        <v>-0.15467460928441315</v>
      </c>
      <c r="BJ127" s="41" t="b">
        <f t="shared" si="61"/>
        <v>0</v>
      </c>
      <c r="BK127" s="41" t="b">
        <f t="shared" si="62"/>
        <v>0</v>
      </c>
      <c r="BL127" s="42" t="str">
        <f>_xlfn.XLOOKUP(AW127,'County Population Strata'!$A$3:$A$66,'County Population Strata'!$P$3:$P$66)</f>
        <v>Tiny</v>
      </c>
      <c r="BQ127" s="21">
        <f t="shared" si="60"/>
        <v>4.7098748112577028E-6</v>
      </c>
    </row>
    <row r="128" spans="18:69" x14ac:dyDescent="0.2">
      <c r="R128" s="16" t="s">
        <v>197</v>
      </c>
      <c r="S128" s="26">
        <v>12001</v>
      </c>
      <c r="T128" s="26">
        <v>11957</v>
      </c>
      <c r="U128" s="26">
        <v>11912</v>
      </c>
      <c r="V128" s="26">
        <v>11868</v>
      </c>
      <c r="W128" s="26">
        <v>11823</v>
      </c>
      <c r="X128" s="26">
        <v>11778</v>
      </c>
      <c r="Y128" s="26">
        <v>11734</v>
      </c>
      <c r="Z128" s="26">
        <v>11688</v>
      </c>
      <c r="AA128" s="26">
        <v>11644</v>
      </c>
      <c r="AB128" s="26">
        <v>11600</v>
      </c>
      <c r="AC128" s="26">
        <v>11536</v>
      </c>
      <c r="AD128" s="26">
        <v>11404</v>
      </c>
      <c r="AE128" s="26">
        <v>11336</v>
      </c>
      <c r="AG128" s="16" t="s">
        <v>197</v>
      </c>
      <c r="AH128" s="29">
        <v>0</v>
      </c>
      <c r="AI128" s="29">
        <f t="shared" si="74"/>
        <v>-3.6663611365719525E-3</v>
      </c>
      <c r="AJ128" s="29">
        <f t="shared" si="75"/>
        <v>-3.7634858242033956E-3</v>
      </c>
      <c r="AK128" s="29">
        <f t="shared" si="76"/>
        <v>-3.6937541974479517E-3</v>
      </c>
      <c r="AL128" s="29">
        <f t="shared" si="77"/>
        <v>-3.7917087967644083E-3</v>
      </c>
      <c r="AM128" s="29">
        <f t="shared" si="78"/>
        <v>-3.8061405734585133E-3</v>
      </c>
      <c r="AN128" s="29">
        <f t="shared" si="79"/>
        <v>-3.7357785702156563E-3</v>
      </c>
      <c r="AO128" s="29">
        <f t="shared" si="80"/>
        <v>-3.9202318050110792E-3</v>
      </c>
      <c r="AP128" s="29">
        <f t="shared" si="81"/>
        <v>-3.7645448323066393E-3</v>
      </c>
      <c r="AQ128" s="29">
        <f t="shared" si="82"/>
        <v>-3.7787701820680177E-3</v>
      </c>
      <c r="AR128" s="29">
        <f t="shared" si="83"/>
        <v>-5.5172413793103444E-3</v>
      </c>
      <c r="AS128" s="29">
        <f t="shared" si="84"/>
        <v>-1.144244105409154E-2</v>
      </c>
      <c r="AT128" s="29">
        <f t="shared" si="85"/>
        <v>-5.962820063135742E-3</v>
      </c>
      <c r="AU128" s="29"/>
      <c r="AW128" s="16" t="s">
        <v>197</v>
      </c>
      <c r="AX128" s="32">
        <f t="shared" si="87"/>
        <v>-2.4766156535917828E-3</v>
      </c>
      <c r="AY128" s="32">
        <f t="shared" si="88"/>
        <v>-3.7078670527410998E-3</v>
      </c>
      <c r="AZ128" s="32">
        <f t="shared" si="89"/>
        <v>-3.7496496061385858E-3</v>
      </c>
      <c r="BA128" s="32">
        <f t="shared" si="90"/>
        <v>-3.7638678558902911E-3</v>
      </c>
      <c r="BB128" s="32">
        <f t="shared" si="91"/>
        <v>-3.7778759801461929E-3</v>
      </c>
      <c r="BC128" s="32">
        <f t="shared" si="92"/>
        <v>-3.8207169828950831E-3</v>
      </c>
      <c r="BD128" s="32">
        <f t="shared" si="93"/>
        <v>-3.8068517358444583E-3</v>
      </c>
      <c r="BE128" s="32">
        <f t="shared" si="94"/>
        <v>-3.8211822731285786E-3</v>
      </c>
      <c r="BF128" s="32">
        <f t="shared" si="95"/>
        <v>-4.3535187978950007E-3</v>
      </c>
      <c r="BG128" s="32">
        <f t="shared" si="96"/>
        <v>-6.9128175384899669E-3</v>
      </c>
      <c r="BH128" s="41">
        <f t="shared" si="97"/>
        <v>-7.6408341655125429E-3</v>
      </c>
      <c r="BI128" s="46">
        <f t="shared" si="86"/>
        <v>-0.81364072851098967</v>
      </c>
      <c r="BJ128" s="41" t="b">
        <f t="shared" si="61"/>
        <v>0</v>
      </c>
      <c r="BK128" s="41" t="b">
        <f t="shared" si="62"/>
        <v>0</v>
      </c>
      <c r="BL128" s="42" t="str">
        <f>_xlfn.XLOOKUP(AW128,'County Population Strata'!$A$3:$A$66,'County Population Strata'!$P$3:$P$66)</f>
        <v>Tiny</v>
      </c>
      <c r="BQ128" s="21">
        <f t="shared" si="60"/>
        <v>1.3032768122204464E-4</v>
      </c>
    </row>
    <row r="129" spans="18:69" x14ac:dyDescent="0.2">
      <c r="R129" s="16" t="s">
        <v>198</v>
      </c>
      <c r="S129" s="26">
        <v>23439</v>
      </c>
      <c r="T129" s="26">
        <v>23485</v>
      </c>
      <c r="U129" s="26">
        <v>23525</v>
      </c>
      <c r="V129" s="26">
        <v>23578</v>
      </c>
      <c r="W129" s="26">
        <v>23659</v>
      </c>
      <c r="X129" s="26">
        <v>23824</v>
      </c>
      <c r="Y129" s="26">
        <v>23952</v>
      </c>
      <c r="Z129" s="26">
        <v>24162</v>
      </c>
      <c r="AA129" s="26">
        <v>24314</v>
      </c>
      <c r="AB129" s="26">
        <v>24521</v>
      </c>
      <c r="AC129" s="26">
        <v>24834</v>
      </c>
      <c r="AD129" s="26">
        <v>25061</v>
      </c>
      <c r="AE129" s="26">
        <v>25027</v>
      </c>
      <c r="AG129" s="16" t="s">
        <v>198</v>
      </c>
      <c r="AH129" s="29">
        <v>0</v>
      </c>
      <c r="AI129" s="29">
        <f t="shared" si="74"/>
        <v>1.9625410640385682E-3</v>
      </c>
      <c r="AJ129" s="29">
        <f t="shared" si="75"/>
        <v>1.7032148179689163E-3</v>
      </c>
      <c r="AK129" s="29">
        <f t="shared" si="76"/>
        <v>2.252922422954304E-3</v>
      </c>
      <c r="AL129" s="29">
        <f t="shared" si="77"/>
        <v>3.4354058868436678E-3</v>
      </c>
      <c r="AM129" s="29">
        <f t="shared" si="78"/>
        <v>6.9740901982332307E-3</v>
      </c>
      <c r="AN129" s="29">
        <f t="shared" si="79"/>
        <v>5.3727333781061117E-3</v>
      </c>
      <c r="AO129" s="29">
        <f t="shared" si="80"/>
        <v>8.7675350701402806E-3</v>
      </c>
      <c r="AP129" s="29">
        <f t="shared" si="81"/>
        <v>6.2908699610959356E-3</v>
      </c>
      <c r="AQ129" s="29">
        <f t="shared" si="82"/>
        <v>8.5136135559759803E-3</v>
      </c>
      <c r="AR129" s="29">
        <f t="shared" si="83"/>
        <v>1.2764569144814648E-2</v>
      </c>
      <c r="AS129" s="29">
        <f t="shared" si="84"/>
        <v>9.1406942095514209E-3</v>
      </c>
      <c r="AT129" s="29">
        <f t="shared" si="85"/>
        <v>-1.3566896771876622E-3</v>
      </c>
      <c r="AU129" s="29"/>
      <c r="AW129" s="16" t="s">
        <v>198</v>
      </c>
      <c r="AX129" s="32">
        <f t="shared" si="87"/>
        <v>1.2219186273358283E-3</v>
      </c>
      <c r="AY129" s="32">
        <f t="shared" si="88"/>
        <v>1.9728927683205963E-3</v>
      </c>
      <c r="AZ129" s="32">
        <f t="shared" si="89"/>
        <v>2.4638477092556294E-3</v>
      </c>
      <c r="BA129" s="32">
        <f t="shared" si="90"/>
        <v>4.220806169343734E-3</v>
      </c>
      <c r="BB129" s="32">
        <f t="shared" si="91"/>
        <v>5.2607431543943359E-3</v>
      </c>
      <c r="BC129" s="32">
        <f t="shared" si="92"/>
        <v>7.0381195488265413E-3</v>
      </c>
      <c r="BD129" s="32">
        <f t="shared" si="93"/>
        <v>6.810379469780776E-3</v>
      </c>
      <c r="BE129" s="32">
        <f t="shared" si="94"/>
        <v>7.8573395290707313E-3</v>
      </c>
      <c r="BF129" s="32">
        <f t="shared" si="95"/>
        <v>9.1896842206288538E-3</v>
      </c>
      <c r="BG129" s="32">
        <f t="shared" si="96"/>
        <v>1.0139625636780683E-2</v>
      </c>
      <c r="BH129" s="41">
        <f t="shared" si="97"/>
        <v>6.8495245590594689E-3</v>
      </c>
      <c r="BI129" s="46">
        <f t="shared" si="86"/>
        <v>0.21910517938839175</v>
      </c>
      <c r="BJ129" s="41" t="b">
        <f t="shared" si="61"/>
        <v>0</v>
      </c>
      <c r="BK129" s="41" t="b">
        <f t="shared" si="62"/>
        <v>0</v>
      </c>
      <c r="BL129" s="42" t="str">
        <f>_xlfn.XLOOKUP(AW129,'County Population Strata'!$A$3:$A$66,'County Population Strata'!$P$3:$P$66)</f>
        <v>Small</v>
      </c>
      <c r="BQ129" s="21">
        <f t="shared" si="60"/>
        <v>9.4509746049544854E-6</v>
      </c>
    </row>
    <row r="130" spans="18:69" x14ac:dyDescent="0.2">
      <c r="R130" s="16" t="s">
        <v>199</v>
      </c>
      <c r="S130" s="26">
        <v>6144</v>
      </c>
      <c r="T130" s="26">
        <v>6156</v>
      </c>
      <c r="U130" s="26">
        <v>6158</v>
      </c>
      <c r="V130" s="26">
        <v>6166</v>
      </c>
      <c r="W130" s="26">
        <v>6175</v>
      </c>
      <c r="X130" s="26">
        <v>6183</v>
      </c>
      <c r="Y130" s="26">
        <v>6188</v>
      </c>
      <c r="Z130" s="26">
        <v>6214</v>
      </c>
      <c r="AA130" s="26">
        <v>6276</v>
      </c>
      <c r="AB130" s="26">
        <v>6359</v>
      </c>
      <c r="AC130" s="26">
        <v>6390</v>
      </c>
      <c r="AD130" s="26">
        <v>6507</v>
      </c>
      <c r="AE130" s="26">
        <v>6616</v>
      </c>
      <c r="AG130" s="16" t="s">
        <v>199</v>
      </c>
      <c r="AH130" s="29">
        <v>0</v>
      </c>
      <c r="AI130" s="29">
        <f t="shared" si="74"/>
        <v>1.953125E-3</v>
      </c>
      <c r="AJ130" s="29">
        <f t="shared" si="75"/>
        <v>3.2488628979857048E-4</v>
      </c>
      <c r="AK130" s="29">
        <f t="shared" si="76"/>
        <v>1.2991230919129587E-3</v>
      </c>
      <c r="AL130" s="29">
        <f t="shared" si="77"/>
        <v>1.4596172559195588E-3</v>
      </c>
      <c r="AM130" s="29">
        <f t="shared" si="78"/>
        <v>1.2955465587044534E-3</v>
      </c>
      <c r="AN130" s="29">
        <f t="shared" si="79"/>
        <v>8.0866893093967335E-4</v>
      </c>
      <c r="AO130" s="29">
        <f t="shared" si="80"/>
        <v>4.2016806722689074E-3</v>
      </c>
      <c r="AP130" s="29">
        <f t="shared" si="81"/>
        <v>9.9774702285162532E-3</v>
      </c>
      <c r="AQ130" s="29">
        <f t="shared" si="82"/>
        <v>1.3224984066284258E-2</v>
      </c>
      <c r="AR130" s="29">
        <f t="shared" si="83"/>
        <v>4.8749803428211986E-3</v>
      </c>
      <c r="AS130" s="29">
        <f t="shared" si="84"/>
        <v>1.8309859154929577E-2</v>
      </c>
      <c r="AT130" s="29">
        <f t="shared" si="85"/>
        <v>1.6751191025049947E-2</v>
      </c>
      <c r="AU130" s="29"/>
      <c r="AW130" s="16" t="s">
        <v>199</v>
      </c>
      <c r="AX130" s="32">
        <f t="shared" si="87"/>
        <v>7.5933709659952353E-4</v>
      </c>
      <c r="AY130" s="32">
        <f t="shared" si="88"/>
        <v>1.1923781272371763E-3</v>
      </c>
      <c r="AZ130" s="32">
        <f t="shared" si="89"/>
        <v>1.0278755458770293E-3</v>
      </c>
      <c r="BA130" s="32">
        <f t="shared" si="90"/>
        <v>1.3514289688456571E-3</v>
      </c>
      <c r="BB130" s="32">
        <f t="shared" si="91"/>
        <v>1.1879442485212284E-3</v>
      </c>
      <c r="BC130" s="32">
        <f t="shared" si="92"/>
        <v>2.1019653873043448E-3</v>
      </c>
      <c r="BD130" s="32">
        <f t="shared" si="93"/>
        <v>4.9959399439082784E-3</v>
      </c>
      <c r="BE130" s="32">
        <f t="shared" si="94"/>
        <v>9.1347116556898065E-3</v>
      </c>
      <c r="BF130" s="32">
        <f t="shared" si="95"/>
        <v>9.3591448792072363E-3</v>
      </c>
      <c r="BG130" s="32">
        <f t="shared" si="96"/>
        <v>1.2136607854678344E-2</v>
      </c>
      <c r="BH130" s="41">
        <f t="shared" si="97"/>
        <v>1.3312010174266907E-2</v>
      </c>
      <c r="BI130" s="46">
        <f t="shared" si="86"/>
        <v>0.67969457547052525</v>
      </c>
      <c r="BJ130" s="41" t="b">
        <f t="shared" si="61"/>
        <v>0</v>
      </c>
      <c r="BK130" s="41" t="b">
        <f t="shared" si="62"/>
        <v>0</v>
      </c>
      <c r="BL130" s="42" t="str">
        <f>_xlfn.XLOOKUP(AW130,'County Population Strata'!$A$3:$A$66,'County Population Strata'!$P$3:$P$66)</f>
        <v>Tiny</v>
      </c>
      <c r="BQ130" s="21">
        <f t="shared" si="60"/>
        <v>9.0949206893822183E-5</v>
      </c>
    </row>
    <row r="131" spans="18:69" x14ac:dyDescent="0.2">
      <c r="R131" s="16" t="s">
        <v>200</v>
      </c>
      <c r="S131" s="26">
        <v>709</v>
      </c>
      <c r="T131" s="26">
        <v>706</v>
      </c>
      <c r="U131" s="26">
        <v>703</v>
      </c>
      <c r="V131" s="26">
        <v>704</v>
      </c>
      <c r="W131" s="26">
        <v>700</v>
      </c>
      <c r="X131" s="26">
        <v>696</v>
      </c>
      <c r="Y131" s="26">
        <v>697</v>
      </c>
      <c r="Z131" s="26">
        <v>700</v>
      </c>
      <c r="AA131" s="26">
        <v>703</v>
      </c>
      <c r="AB131" s="26">
        <v>705</v>
      </c>
      <c r="AC131" s="26">
        <v>711</v>
      </c>
      <c r="AD131" s="26">
        <v>741</v>
      </c>
      <c r="AE131" s="26">
        <v>801</v>
      </c>
      <c r="AG131" s="16" t="s">
        <v>200</v>
      </c>
      <c r="AH131" s="29">
        <v>0</v>
      </c>
      <c r="AI131" s="29">
        <f t="shared" si="74"/>
        <v>-4.2313117066290554E-3</v>
      </c>
      <c r="AJ131" s="29">
        <f t="shared" si="75"/>
        <v>-4.24929178470255E-3</v>
      </c>
      <c r="AK131" s="29">
        <f t="shared" si="76"/>
        <v>1.4224751066856331E-3</v>
      </c>
      <c r="AL131" s="29">
        <f t="shared" si="77"/>
        <v>-5.681818181818182E-3</v>
      </c>
      <c r="AM131" s="29">
        <f t="shared" si="78"/>
        <v>-5.7142857142857143E-3</v>
      </c>
      <c r="AN131" s="29">
        <f t="shared" si="79"/>
        <v>1.4367816091954023E-3</v>
      </c>
      <c r="AO131" s="29">
        <f t="shared" si="80"/>
        <v>4.30416068866571E-3</v>
      </c>
      <c r="AP131" s="29">
        <f t="shared" si="81"/>
        <v>4.2857142857142859E-3</v>
      </c>
      <c r="AQ131" s="29">
        <f t="shared" si="82"/>
        <v>2.8449502133712661E-3</v>
      </c>
      <c r="AR131" s="29">
        <f t="shared" si="83"/>
        <v>8.5106382978723406E-3</v>
      </c>
      <c r="AS131" s="29">
        <f t="shared" si="84"/>
        <v>4.2194092827004218E-2</v>
      </c>
      <c r="AT131" s="29">
        <f t="shared" si="85"/>
        <v>8.0971659919028341E-2</v>
      </c>
      <c r="AU131" s="29"/>
      <c r="AW131" s="16" t="s">
        <v>200</v>
      </c>
      <c r="AX131" s="32">
        <f t="shared" si="87"/>
        <v>-2.8268678304438685E-3</v>
      </c>
      <c r="AY131" s="32">
        <f t="shared" si="88"/>
        <v>-2.3527094615486575E-3</v>
      </c>
      <c r="AZ131" s="32">
        <f t="shared" si="89"/>
        <v>-2.8362116199450332E-3</v>
      </c>
      <c r="BA131" s="32">
        <f t="shared" si="90"/>
        <v>-3.3245429298060878E-3</v>
      </c>
      <c r="BB131" s="32">
        <f t="shared" si="91"/>
        <v>-3.3197740956361649E-3</v>
      </c>
      <c r="BC131" s="32">
        <f t="shared" si="92"/>
        <v>8.8855278584659917E-6</v>
      </c>
      <c r="BD131" s="32">
        <f t="shared" si="93"/>
        <v>3.3422188611917994E-3</v>
      </c>
      <c r="BE131" s="32">
        <f t="shared" si="94"/>
        <v>3.8116083959170871E-3</v>
      </c>
      <c r="BF131" s="32">
        <f t="shared" si="95"/>
        <v>5.2137675989859635E-3</v>
      </c>
      <c r="BG131" s="32">
        <f t="shared" si="96"/>
        <v>1.784989377941594E-2</v>
      </c>
      <c r="BH131" s="41">
        <f t="shared" si="97"/>
        <v>4.3892130347968294E-2</v>
      </c>
      <c r="BI131" s="46">
        <f t="shared" si="86"/>
        <v>2.8591778148265763</v>
      </c>
      <c r="BJ131" s="41" t="b">
        <f t="shared" si="61"/>
        <v>1</v>
      </c>
      <c r="BK131" s="41" t="b">
        <f t="shared" si="62"/>
        <v>0</v>
      </c>
      <c r="BL131" s="42" t="str">
        <f>_xlfn.XLOOKUP(AW131,'County Population Strata'!$A$3:$A$66,'County Population Strata'!$P$3:$P$66)</f>
        <v>Tiny</v>
      </c>
      <c r="BQ131" s="21">
        <f t="shared" si="60"/>
        <v>1.609361616543021E-3</v>
      </c>
    </row>
    <row r="132" spans="18:69" x14ac:dyDescent="0.2">
      <c r="R132" s="16" t="s">
        <v>201</v>
      </c>
      <c r="S132" s="26">
        <v>7356</v>
      </c>
      <c r="T132" s="26">
        <v>7486</v>
      </c>
      <c r="U132" s="26">
        <v>7576</v>
      </c>
      <c r="V132" s="26">
        <v>7615</v>
      </c>
      <c r="W132" s="26">
        <v>7728</v>
      </c>
      <c r="X132" s="26">
        <v>7825</v>
      </c>
      <c r="Y132" s="26">
        <v>8001</v>
      </c>
      <c r="Z132" s="26">
        <v>8014</v>
      </c>
      <c r="AA132" s="26">
        <v>8154</v>
      </c>
      <c r="AB132" s="26">
        <v>8123</v>
      </c>
      <c r="AC132" s="26">
        <v>8055</v>
      </c>
      <c r="AD132" s="26">
        <v>8078</v>
      </c>
      <c r="AE132" s="26">
        <v>7993</v>
      </c>
      <c r="AG132" s="16" t="s">
        <v>201</v>
      </c>
      <c r="AH132" s="29">
        <v>0</v>
      </c>
      <c r="AI132" s="29">
        <f t="shared" si="74"/>
        <v>1.7672648178357803E-2</v>
      </c>
      <c r="AJ132" s="29">
        <f t="shared" si="75"/>
        <v>1.2022441891530858E-2</v>
      </c>
      <c r="AK132" s="29">
        <f t="shared" si="76"/>
        <v>5.1478352692713837E-3</v>
      </c>
      <c r="AL132" s="29">
        <f t="shared" si="77"/>
        <v>1.4839133289560078E-2</v>
      </c>
      <c r="AM132" s="29">
        <f t="shared" si="78"/>
        <v>1.255175983436853E-2</v>
      </c>
      <c r="AN132" s="29">
        <f t="shared" si="79"/>
        <v>2.2492012779552716E-2</v>
      </c>
      <c r="AO132" s="29">
        <f t="shared" si="80"/>
        <v>1.6247969003874516E-3</v>
      </c>
      <c r="AP132" s="29">
        <f t="shared" si="81"/>
        <v>1.7469428500124781E-2</v>
      </c>
      <c r="AQ132" s="29">
        <f t="shared" si="82"/>
        <v>-3.8018150600932056E-3</v>
      </c>
      <c r="AR132" s="29">
        <f t="shared" si="83"/>
        <v>-8.3712913948048757E-3</v>
      </c>
      <c r="AS132" s="29">
        <f t="shared" si="84"/>
        <v>2.8553693358162632E-3</v>
      </c>
      <c r="AT132" s="29">
        <f t="shared" si="85"/>
        <v>-1.0522406536271353E-2</v>
      </c>
      <c r="AU132" s="29"/>
      <c r="AW132" s="16" t="s">
        <v>201</v>
      </c>
      <c r="AX132" s="32">
        <f t="shared" si="87"/>
        <v>9.8983633566295543E-3</v>
      </c>
      <c r="AY132" s="32">
        <f t="shared" si="88"/>
        <v>1.1614308446386681E-2</v>
      </c>
      <c r="AZ132" s="32">
        <f t="shared" si="89"/>
        <v>1.0669803483454107E-2</v>
      </c>
      <c r="BA132" s="32">
        <f t="shared" si="90"/>
        <v>1.084624279773333E-2</v>
      </c>
      <c r="BB132" s="32">
        <f t="shared" si="91"/>
        <v>1.6627635301160442E-2</v>
      </c>
      <c r="BC132" s="32">
        <f t="shared" si="92"/>
        <v>1.2222856504769565E-2</v>
      </c>
      <c r="BD132" s="32">
        <f t="shared" si="93"/>
        <v>1.3862079393354982E-2</v>
      </c>
      <c r="BE132" s="32">
        <f t="shared" si="94"/>
        <v>5.0974701134730094E-3</v>
      </c>
      <c r="BF132" s="32">
        <f t="shared" si="95"/>
        <v>1.7654406817422333E-3</v>
      </c>
      <c r="BG132" s="32">
        <f t="shared" si="96"/>
        <v>-3.1059123730272724E-3</v>
      </c>
      <c r="BH132" s="41">
        <f t="shared" si="97"/>
        <v>-5.346109531753321E-3</v>
      </c>
      <c r="BI132" s="46">
        <f t="shared" si="86"/>
        <v>-0.65009284675620305</v>
      </c>
      <c r="BJ132" s="41" t="b">
        <f t="shared" si="61"/>
        <v>0</v>
      </c>
      <c r="BK132" s="41" t="b">
        <f t="shared" si="62"/>
        <v>0</v>
      </c>
      <c r="BL132" s="42" t="str">
        <f>_xlfn.XLOOKUP(AW132,'County Population Strata'!$A$3:$A$66,'County Population Strata'!$P$3:$P$66)</f>
        <v>Tiny</v>
      </c>
      <c r="BQ132" s="21">
        <f t="shared" si="60"/>
        <v>8.319976183688046E-5</v>
      </c>
    </row>
    <row r="133" spans="18:69" x14ac:dyDescent="0.2">
      <c r="R133" s="16" t="s">
        <v>202</v>
      </c>
      <c r="S133" s="26">
        <v>2367</v>
      </c>
      <c r="T133" s="26">
        <v>2371</v>
      </c>
      <c r="U133" s="26">
        <v>2375</v>
      </c>
      <c r="V133" s="26">
        <v>2379</v>
      </c>
      <c r="W133" s="26">
        <v>2384</v>
      </c>
      <c r="X133" s="26">
        <v>2388</v>
      </c>
      <c r="Y133" s="26">
        <v>2392</v>
      </c>
      <c r="Z133" s="26">
        <v>2396</v>
      </c>
      <c r="AA133" s="26">
        <v>2401</v>
      </c>
      <c r="AB133" s="26">
        <v>2405</v>
      </c>
      <c r="AC133" s="26">
        <v>2391</v>
      </c>
      <c r="AD133" s="26">
        <v>2330</v>
      </c>
      <c r="AE133" s="26">
        <v>2297</v>
      </c>
      <c r="AG133" s="16" t="s">
        <v>202</v>
      </c>
      <c r="AH133" s="29">
        <v>0</v>
      </c>
      <c r="AI133" s="29">
        <f t="shared" si="74"/>
        <v>1.6899028305872412E-3</v>
      </c>
      <c r="AJ133" s="29">
        <f t="shared" si="75"/>
        <v>1.6870518768452129E-3</v>
      </c>
      <c r="AK133" s="29">
        <f t="shared" si="76"/>
        <v>1.6842105263157896E-3</v>
      </c>
      <c r="AL133" s="29">
        <f t="shared" si="77"/>
        <v>2.101723413198823E-3</v>
      </c>
      <c r="AM133" s="29">
        <f t="shared" si="78"/>
        <v>1.6778523489932886E-3</v>
      </c>
      <c r="AN133" s="29">
        <f t="shared" si="79"/>
        <v>1.6750418760469012E-3</v>
      </c>
      <c r="AO133" s="29">
        <f t="shared" si="80"/>
        <v>1.6722408026755853E-3</v>
      </c>
      <c r="AP133" s="29">
        <f t="shared" si="81"/>
        <v>2.0868113522537562E-3</v>
      </c>
      <c r="AQ133" s="29">
        <f t="shared" si="82"/>
        <v>1.6659725114535611E-3</v>
      </c>
      <c r="AR133" s="29">
        <f t="shared" si="83"/>
        <v>-5.8212058212058215E-3</v>
      </c>
      <c r="AS133" s="29">
        <f t="shared" si="84"/>
        <v>-2.5512337933918862E-2</v>
      </c>
      <c r="AT133" s="29">
        <f t="shared" si="85"/>
        <v>-1.4163090128755365E-2</v>
      </c>
      <c r="AU133" s="29"/>
      <c r="AW133" s="16" t="s">
        <v>202</v>
      </c>
      <c r="AX133" s="32">
        <f t="shared" si="87"/>
        <v>1.1256515691441514E-3</v>
      </c>
      <c r="AY133" s="32">
        <f t="shared" si="88"/>
        <v>1.6870550779160814E-3</v>
      </c>
      <c r="AZ133" s="32">
        <f t="shared" si="89"/>
        <v>1.8243286054532752E-3</v>
      </c>
      <c r="BA133" s="32">
        <f t="shared" si="90"/>
        <v>1.8212620961693005E-3</v>
      </c>
      <c r="BB133" s="32">
        <f t="shared" si="91"/>
        <v>1.8182058794130043E-3</v>
      </c>
      <c r="BC133" s="32">
        <f t="shared" si="92"/>
        <v>1.6750450092385917E-3</v>
      </c>
      <c r="BD133" s="32">
        <f t="shared" si="93"/>
        <v>1.8113646769920809E-3</v>
      </c>
      <c r="BE133" s="32">
        <f t="shared" si="94"/>
        <v>1.8083415554609676E-3</v>
      </c>
      <c r="BF133" s="32">
        <f t="shared" si="95"/>
        <v>-6.8947398583283465E-4</v>
      </c>
      <c r="BG133" s="32">
        <f t="shared" si="96"/>
        <v>-9.8891904145570406E-3</v>
      </c>
      <c r="BH133" s="41">
        <f t="shared" si="97"/>
        <v>-1.5165544627960015E-2</v>
      </c>
      <c r="BI133" s="46">
        <f t="shared" si="86"/>
        <v>-1.3499362120066765</v>
      </c>
      <c r="BJ133" s="41" t="b">
        <f t="shared" si="61"/>
        <v>0</v>
      </c>
      <c r="BK133" s="41" t="b">
        <f t="shared" si="62"/>
        <v>1</v>
      </c>
      <c r="BL133" s="42" t="str">
        <f>_xlfn.XLOOKUP(AW133,'County Population Strata'!$A$3:$A$66,'County Population Strata'!$P$3:$P$66)</f>
        <v>Tiny</v>
      </c>
      <c r="BQ133" s="21">
        <f t="shared" si="60"/>
        <v>3.5875486841714877E-4</v>
      </c>
    </row>
    <row r="134" spans="18:69" x14ac:dyDescent="0.2">
      <c r="R134" s="16" t="s">
        <v>203</v>
      </c>
      <c r="S134" s="26">
        <v>28073</v>
      </c>
      <c r="T134" s="26">
        <v>28087</v>
      </c>
      <c r="U134" s="26">
        <v>28385</v>
      </c>
      <c r="V134" s="26">
        <v>28860</v>
      </c>
      <c r="W134" s="26">
        <v>29496</v>
      </c>
      <c r="X134" s="26">
        <v>30268</v>
      </c>
      <c r="Y134" s="26">
        <v>30817</v>
      </c>
      <c r="Z134" s="26">
        <v>31133</v>
      </c>
      <c r="AA134" s="26">
        <v>31095</v>
      </c>
      <c r="AB134" s="26">
        <v>31190</v>
      </c>
      <c r="AC134" s="26">
        <v>30996</v>
      </c>
      <c r="AD134" s="26">
        <v>30994</v>
      </c>
      <c r="AE134" s="26">
        <v>30583</v>
      </c>
      <c r="AG134" s="16" t="s">
        <v>203</v>
      </c>
      <c r="AH134" s="29">
        <v>0</v>
      </c>
      <c r="AI134" s="29">
        <f t="shared" si="74"/>
        <v>4.9869981833078043E-4</v>
      </c>
      <c r="AJ134" s="29">
        <f t="shared" si="75"/>
        <v>1.0609890696763628E-2</v>
      </c>
      <c r="AK134" s="29">
        <f t="shared" si="76"/>
        <v>1.6734190593623393E-2</v>
      </c>
      <c r="AL134" s="29">
        <f t="shared" si="77"/>
        <v>2.2037422037422039E-2</v>
      </c>
      <c r="AM134" s="29">
        <f t="shared" si="78"/>
        <v>2.6173040412259291E-2</v>
      </c>
      <c r="AN134" s="29">
        <f t="shared" si="79"/>
        <v>1.8137967490418926E-2</v>
      </c>
      <c r="AO134" s="29">
        <f t="shared" si="80"/>
        <v>1.025408053996171E-2</v>
      </c>
      <c r="AP134" s="29">
        <f t="shared" si="81"/>
        <v>-1.2205698133812995E-3</v>
      </c>
      <c r="AQ134" s="29">
        <f t="shared" si="82"/>
        <v>3.0551535616658628E-3</v>
      </c>
      <c r="AR134" s="29">
        <f t="shared" si="83"/>
        <v>-6.2199422891952546E-3</v>
      </c>
      <c r="AS134" s="29">
        <f t="shared" si="84"/>
        <v>-6.4524454768357203E-5</v>
      </c>
      <c r="AT134" s="29">
        <f t="shared" si="85"/>
        <v>-1.3260631089888366E-2</v>
      </c>
      <c r="AU134" s="29"/>
      <c r="AW134" s="16" t="s">
        <v>203</v>
      </c>
      <c r="AX134" s="32">
        <f t="shared" si="87"/>
        <v>3.7028635050314691E-3</v>
      </c>
      <c r="AY134" s="32">
        <f t="shared" si="88"/>
        <v>9.2809270362392681E-3</v>
      </c>
      <c r="AZ134" s="32">
        <f t="shared" si="89"/>
        <v>1.6460501109269686E-2</v>
      </c>
      <c r="BA134" s="32">
        <f t="shared" si="90"/>
        <v>2.1648217681101575E-2</v>
      </c>
      <c r="BB134" s="32">
        <f t="shared" si="91"/>
        <v>2.2116143313366754E-2</v>
      </c>
      <c r="BC134" s="32">
        <f t="shared" si="92"/>
        <v>1.8188362814213307E-2</v>
      </c>
      <c r="BD134" s="32">
        <f t="shared" si="93"/>
        <v>9.0571594056664453E-3</v>
      </c>
      <c r="BE134" s="32">
        <f t="shared" si="94"/>
        <v>4.0295547627487577E-3</v>
      </c>
      <c r="BF134" s="32">
        <f t="shared" si="95"/>
        <v>-1.4617861803035636E-3</v>
      </c>
      <c r="BG134" s="32">
        <f t="shared" si="96"/>
        <v>-1.0764377274325831E-3</v>
      </c>
      <c r="BH134" s="41">
        <f t="shared" si="97"/>
        <v>-6.5150326112839926E-3</v>
      </c>
      <c r="BI134" s="46">
        <f t="shared" si="86"/>
        <v>-0.73340345003252738</v>
      </c>
      <c r="BJ134" s="41" t="b">
        <f t="shared" si="61"/>
        <v>0</v>
      </c>
      <c r="BK134" s="41" t="b">
        <f t="shared" si="62"/>
        <v>0</v>
      </c>
      <c r="BL134" s="42" t="str">
        <f>_xlfn.XLOOKUP(AW134,'County Population Strata'!$A$3:$A$66,'County Population Strata'!$P$3:$P$66)</f>
        <v>Small</v>
      </c>
      <c r="BQ134" s="21">
        <f t="shared" si="60"/>
        <v>1.0589055038750981E-4</v>
      </c>
    </row>
    <row r="135" spans="18:69" x14ac:dyDescent="0.2">
      <c r="R135" s="16" t="s">
        <v>204</v>
      </c>
      <c r="S135" s="26">
        <v>23441</v>
      </c>
      <c r="T135" s="26">
        <v>23268</v>
      </c>
      <c r="U135" s="26">
        <v>23270</v>
      </c>
      <c r="V135" s="26">
        <v>23110</v>
      </c>
      <c r="W135" s="26">
        <v>23121</v>
      </c>
      <c r="X135" s="26">
        <v>23006</v>
      </c>
      <c r="Y135" s="26">
        <v>23607</v>
      </c>
      <c r="Z135" s="26">
        <v>24153</v>
      </c>
      <c r="AA135" s="26">
        <v>24523</v>
      </c>
      <c r="AB135" s="26">
        <v>24679</v>
      </c>
      <c r="AC135" s="26">
        <v>24745</v>
      </c>
      <c r="AD135" s="26">
        <v>24947</v>
      </c>
      <c r="AE135" s="26">
        <v>24852</v>
      </c>
      <c r="AG135" s="16" t="s">
        <v>204</v>
      </c>
      <c r="AH135" s="29">
        <v>0</v>
      </c>
      <c r="AI135" s="29">
        <f t="shared" si="74"/>
        <v>-7.3802312188046585E-3</v>
      </c>
      <c r="AJ135" s="29">
        <f t="shared" si="75"/>
        <v>8.5954959601168991E-5</v>
      </c>
      <c r="AK135" s="29">
        <f t="shared" si="76"/>
        <v>-6.8758057584873229E-3</v>
      </c>
      <c r="AL135" s="29">
        <f t="shared" si="77"/>
        <v>4.7598442232799656E-4</v>
      </c>
      <c r="AM135" s="29">
        <f t="shared" si="78"/>
        <v>-4.9738333117079715E-3</v>
      </c>
      <c r="AN135" s="29">
        <f t="shared" si="79"/>
        <v>2.6123619925236895E-2</v>
      </c>
      <c r="AO135" s="29">
        <f t="shared" si="80"/>
        <v>2.3128733002922862E-2</v>
      </c>
      <c r="AP135" s="29">
        <f t="shared" si="81"/>
        <v>1.531900799072579E-2</v>
      </c>
      <c r="AQ135" s="29">
        <f t="shared" si="82"/>
        <v>6.3613750356807898E-3</v>
      </c>
      <c r="AR135" s="29">
        <f t="shared" si="83"/>
        <v>2.6743385064224644E-3</v>
      </c>
      <c r="AS135" s="29">
        <f t="shared" si="84"/>
        <v>8.1632653061224497E-3</v>
      </c>
      <c r="AT135" s="29">
        <f t="shared" si="85"/>
        <v>-3.8080731150038081E-3</v>
      </c>
      <c r="AU135" s="29"/>
      <c r="AW135" s="16" t="s">
        <v>204</v>
      </c>
      <c r="AX135" s="32">
        <f t="shared" si="87"/>
        <v>-2.4314254197344964E-3</v>
      </c>
      <c r="AY135" s="32">
        <f t="shared" si="88"/>
        <v>-4.723360672563604E-3</v>
      </c>
      <c r="AZ135" s="32">
        <f t="shared" si="89"/>
        <v>-2.1046221255193857E-3</v>
      </c>
      <c r="BA135" s="32">
        <f t="shared" si="90"/>
        <v>-3.7912182159557661E-3</v>
      </c>
      <c r="BB135" s="32">
        <f t="shared" si="91"/>
        <v>7.2085903452856403E-3</v>
      </c>
      <c r="BC135" s="32">
        <f t="shared" si="92"/>
        <v>1.475950653881726E-2</v>
      </c>
      <c r="BD135" s="32">
        <f t="shared" si="93"/>
        <v>2.152378697296185E-2</v>
      </c>
      <c r="BE135" s="32">
        <f t="shared" si="94"/>
        <v>1.493637200977648E-2</v>
      </c>
      <c r="BF135" s="32">
        <f t="shared" si="95"/>
        <v>8.1182405109430141E-3</v>
      </c>
      <c r="BG135" s="32">
        <f t="shared" si="96"/>
        <v>5.7329929494085675E-3</v>
      </c>
      <c r="BH135" s="41">
        <f t="shared" si="97"/>
        <v>2.3431768991803688E-3</v>
      </c>
      <c r="BI135" s="46">
        <f t="shared" si="86"/>
        <v>-0.1020678290769009</v>
      </c>
      <c r="BJ135" s="41" t="b">
        <f t="shared" si="61"/>
        <v>0</v>
      </c>
      <c r="BK135" s="41" t="b">
        <f t="shared" si="62"/>
        <v>0</v>
      </c>
      <c r="BL135" s="42" t="str">
        <f>_xlfn.XLOOKUP(AW135,'County Population Strata'!$A$3:$A$66,'County Population Strata'!$P$3:$P$66)</f>
        <v>Small</v>
      </c>
      <c r="BQ135" s="21">
        <f t="shared" si="60"/>
        <v>2.050921622414438E-6</v>
      </c>
    </row>
    <row r="136" spans="18:69" x14ac:dyDescent="0.2">
      <c r="R136" s="16" t="s">
        <v>205</v>
      </c>
      <c r="S136" s="26">
        <v>4815</v>
      </c>
      <c r="T136" s="26">
        <v>4608</v>
      </c>
      <c r="U136" s="26">
        <v>4560</v>
      </c>
      <c r="V136" s="26">
        <v>4614</v>
      </c>
      <c r="W136" s="26">
        <v>4617</v>
      </c>
      <c r="X136" s="26">
        <v>4682</v>
      </c>
      <c r="Y136" s="26">
        <v>4745</v>
      </c>
      <c r="Z136" s="26">
        <v>4845</v>
      </c>
      <c r="AA136" s="26">
        <v>4812</v>
      </c>
      <c r="AB136" s="26">
        <v>4826</v>
      </c>
      <c r="AC136" s="26">
        <v>4811</v>
      </c>
      <c r="AD136" s="26">
        <v>4870</v>
      </c>
      <c r="AE136" s="26">
        <v>4835</v>
      </c>
      <c r="AG136" s="16" t="s">
        <v>205</v>
      </c>
      <c r="AH136" s="29">
        <v>0</v>
      </c>
      <c r="AI136" s="29">
        <f t="shared" si="74"/>
        <v>-4.2990654205607479E-2</v>
      </c>
      <c r="AJ136" s="29">
        <f t="shared" si="75"/>
        <v>-1.0416666666666666E-2</v>
      </c>
      <c r="AK136" s="29">
        <f t="shared" si="76"/>
        <v>1.1842105263157895E-2</v>
      </c>
      <c r="AL136" s="29">
        <f t="shared" si="77"/>
        <v>6.5019505851755528E-4</v>
      </c>
      <c r="AM136" s="29">
        <f t="shared" si="78"/>
        <v>1.4078405891271389E-2</v>
      </c>
      <c r="AN136" s="29">
        <f t="shared" si="79"/>
        <v>1.3455788124733021E-2</v>
      </c>
      <c r="AO136" s="29">
        <f t="shared" si="80"/>
        <v>2.107481559536354E-2</v>
      </c>
      <c r="AP136" s="29">
        <f t="shared" si="81"/>
        <v>-6.8111455108359137E-3</v>
      </c>
      <c r="AQ136" s="29">
        <f t="shared" si="82"/>
        <v>2.9093931837073984E-3</v>
      </c>
      <c r="AR136" s="29">
        <f t="shared" si="83"/>
        <v>-3.1081641110650643E-3</v>
      </c>
      <c r="AS136" s="29">
        <f t="shared" si="84"/>
        <v>1.2263562668883808E-2</v>
      </c>
      <c r="AT136" s="29">
        <f t="shared" si="85"/>
        <v>-7.1868583162217657E-3</v>
      </c>
      <c r="AU136" s="29"/>
      <c r="AW136" s="16" t="s">
        <v>205</v>
      </c>
      <c r="AX136" s="32">
        <f t="shared" si="87"/>
        <v>-1.7802440290758049E-2</v>
      </c>
      <c r="AY136" s="32">
        <f t="shared" si="88"/>
        <v>-1.3855071869705415E-2</v>
      </c>
      <c r="AZ136" s="32">
        <f t="shared" si="89"/>
        <v>6.9187788500292818E-4</v>
      </c>
      <c r="BA136" s="32">
        <f t="shared" si="90"/>
        <v>8.8569020709822806E-3</v>
      </c>
      <c r="BB136" s="32">
        <f t="shared" si="91"/>
        <v>9.3947963581739874E-3</v>
      </c>
      <c r="BC136" s="32">
        <f t="shared" si="92"/>
        <v>1.6203003203789316E-2</v>
      </c>
      <c r="BD136" s="32">
        <f t="shared" si="93"/>
        <v>9.2398194030868814E-3</v>
      </c>
      <c r="BE136" s="32">
        <f t="shared" si="94"/>
        <v>5.7243544227450092E-3</v>
      </c>
      <c r="BF136" s="32">
        <f t="shared" si="95"/>
        <v>-2.3366388127311934E-3</v>
      </c>
      <c r="BG136" s="32">
        <f t="shared" si="96"/>
        <v>4.0215972471753809E-3</v>
      </c>
      <c r="BH136" s="41">
        <f t="shared" si="97"/>
        <v>6.5618008053232627E-4</v>
      </c>
      <c r="BI136" s="46">
        <f t="shared" si="86"/>
        <v>-0.22230219278134394</v>
      </c>
      <c r="BJ136" s="41" t="b">
        <f t="shared" si="61"/>
        <v>0</v>
      </c>
      <c r="BK136" s="41" t="b">
        <f t="shared" si="62"/>
        <v>0</v>
      </c>
      <c r="BL136" s="42" t="str">
        <f>_xlfn.XLOOKUP(AW136,'County Population Strata'!$A$3:$A$66,'County Population Strata'!$P$3:$P$66)</f>
        <v>Tiny</v>
      </c>
      <c r="BQ136" s="21">
        <f t="shared" si="60"/>
        <v>9.7287893845879819E-6</v>
      </c>
    </row>
    <row r="137" spans="18:69" x14ac:dyDescent="0.2">
      <c r="R137" s="16" t="s">
        <v>206</v>
      </c>
      <c r="S137" s="26">
        <v>254230</v>
      </c>
      <c r="T137" s="26">
        <v>258702</v>
      </c>
      <c r="U137" s="26">
        <v>263850</v>
      </c>
      <c r="V137" s="26">
        <v>269770</v>
      </c>
      <c r="W137" s="26">
        <v>275994</v>
      </c>
      <c r="X137" s="26">
        <v>284855</v>
      </c>
      <c r="Y137" s="26">
        <v>294513</v>
      </c>
      <c r="Z137" s="26">
        <v>304595</v>
      </c>
      <c r="AA137" s="26">
        <v>313219</v>
      </c>
      <c r="AB137" s="26">
        <v>322335</v>
      </c>
      <c r="AC137" s="26">
        <v>331423</v>
      </c>
      <c r="AD137" s="26">
        <v>339865</v>
      </c>
      <c r="AE137" s="26">
        <v>350206</v>
      </c>
      <c r="AG137" s="16" t="s">
        <v>206</v>
      </c>
      <c r="AH137" s="29">
        <v>0</v>
      </c>
      <c r="AI137" s="29">
        <f t="shared" si="74"/>
        <v>1.7590370923966488E-2</v>
      </c>
      <c r="AJ137" s="29">
        <f t="shared" si="75"/>
        <v>1.9899343646357585E-2</v>
      </c>
      <c r="AK137" s="29">
        <f t="shared" si="76"/>
        <v>2.2436990714421071E-2</v>
      </c>
      <c r="AL137" s="29">
        <f t="shared" si="77"/>
        <v>2.3071505356414723E-2</v>
      </c>
      <c r="AM137" s="29">
        <f t="shared" si="78"/>
        <v>3.2105770415298884E-2</v>
      </c>
      <c r="AN137" s="29">
        <f t="shared" si="79"/>
        <v>3.3904969194853522E-2</v>
      </c>
      <c r="AO137" s="29">
        <f t="shared" si="80"/>
        <v>3.423278429135556E-2</v>
      </c>
      <c r="AP137" s="29">
        <f t="shared" si="81"/>
        <v>2.8313005794579689E-2</v>
      </c>
      <c r="AQ137" s="29">
        <f t="shared" si="82"/>
        <v>2.9104236971575798E-2</v>
      </c>
      <c r="AR137" s="29">
        <f t="shared" si="83"/>
        <v>2.8194269936556687E-2</v>
      </c>
      <c r="AS137" s="29">
        <f t="shared" si="84"/>
        <v>2.5471979916903774E-2</v>
      </c>
      <c r="AT137" s="29">
        <f t="shared" si="85"/>
        <v>3.0426787106645287E-2</v>
      </c>
      <c r="AU137" s="29"/>
      <c r="AW137" s="16" t="s">
        <v>206</v>
      </c>
      <c r="AX137" s="32">
        <f t="shared" si="87"/>
        <v>1.2496571523441358E-2</v>
      </c>
      <c r="AY137" s="32">
        <f t="shared" si="88"/>
        <v>1.997556842824838E-2</v>
      </c>
      <c r="AZ137" s="32">
        <f t="shared" si="89"/>
        <v>2.1802613239064461E-2</v>
      </c>
      <c r="BA137" s="32">
        <f t="shared" si="90"/>
        <v>2.5871422162044893E-2</v>
      </c>
      <c r="BB137" s="32">
        <f t="shared" si="91"/>
        <v>2.969408165552238E-2</v>
      </c>
      <c r="BC137" s="32">
        <f t="shared" si="92"/>
        <v>3.3414507967169327E-2</v>
      </c>
      <c r="BD137" s="32">
        <f t="shared" si="93"/>
        <v>3.2150253093596259E-2</v>
      </c>
      <c r="BE137" s="32">
        <f t="shared" si="94"/>
        <v>3.0550009019170349E-2</v>
      </c>
      <c r="BF137" s="32">
        <f t="shared" si="95"/>
        <v>2.8537170900904057E-2</v>
      </c>
      <c r="BG137" s="32">
        <f t="shared" si="96"/>
        <v>2.7590162275012087E-2</v>
      </c>
      <c r="BH137" s="41">
        <f t="shared" si="97"/>
        <v>2.8031012320035253E-2</v>
      </c>
      <c r="BI137" s="46">
        <f t="shared" si="86"/>
        <v>1.7287361846770255</v>
      </c>
      <c r="BJ137" s="41" t="b">
        <f t="shared" si="61"/>
        <v>1</v>
      </c>
      <c r="BK137" s="41" t="b">
        <f t="shared" si="62"/>
        <v>0</v>
      </c>
      <c r="BL137" s="42" t="str">
        <f>_xlfn.XLOOKUP(AW137,'County Population Strata'!$A$3:$A$66,'County Population Strata'!$P$3:$P$66)</f>
        <v>Medium</v>
      </c>
      <c r="BQ137" s="21">
        <f t="shared" si="60"/>
        <v>5.8834051090010805E-4</v>
      </c>
    </row>
    <row r="138" spans="18:69" x14ac:dyDescent="0.2">
      <c r="R138" s="16" t="s">
        <v>207</v>
      </c>
      <c r="S138" s="26">
        <v>10032</v>
      </c>
      <c r="T138" s="26">
        <v>10111</v>
      </c>
      <c r="U138" s="26">
        <v>10078</v>
      </c>
      <c r="V138" s="26">
        <v>10143</v>
      </c>
      <c r="W138" s="26">
        <v>10188</v>
      </c>
      <c r="X138" s="26">
        <v>10039</v>
      </c>
      <c r="Y138" s="26">
        <v>10056</v>
      </c>
      <c r="Z138" s="26">
        <v>9973</v>
      </c>
      <c r="AA138" s="26">
        <v>9955</v>
      </c>
      <c r="AB138" s="26">
        <v>10010</v>
      </c>
      <c r="AC138" s="26">
        <v>9977</v>
      </c>
      <c r="AD138" s="26">
        <v>9932</v>
      </c>
      <c r="AE138" s="26">
        <v>9920</v>
      </c>
      <c r="AG138" s="16" t="s">
        <v>207</v>
      </c>
      <c r="AH138" s="29">
        <v>0</v>
      </c>
      <c r="AI138" s="29">
        <f t="shared" si="74"/>
        <v>7.8748006379585327E-3</v>
      </c>
      <c r="AJ138" s="29">
        <f t="shared" si="75"/>
        <v>-3.2637721293640588E-3</v>
      </c>
      <c r="AK138" s="29">
        <f t="shared" si="76"/>
        <v>6.4496923992855724E-3</v>
      </c>
      <c r="AL138" s="29">
        <f t="shared" si="77"/>
        <v>4.4365572315882874E-3</v>
      </c>
      <c r="AM138" s="29">
        <f t="shared" si="78"/>
        <v>-1.4625049077345896E-2</v>
      </c>
      <c r="AN138" s="29">
        <f t="shared" si="79"/>
        <v>1.6933957565494571E-3</v>
      </c>
      <c r="AO138" s="29">
        <f t="shared" si="80"/>
        <v>-8.2537788385043751E-3</v>
      </c>
      <c r="AP138" s="29">
        <f t="shared" si="81"/>
        <v>-1.8048731575253183E-3</v>
      </c>
      <c r="AQ138" s="29">
        <f t="shared" si="82"/>
        <v>5.5248618784530384E-3</v>
      </c>
      <c r="AR138" s="29">
        <f t="shared" si="83"/>
        <v>-3.2967032967032967E-3</v>
      </c>
      <c r="AS138" s="29">
        <f t="shared" si="84"/>
        <v>-4.5103738598777183E-3</v>
      </c>
      <c r="AT138" s="29">
        <f t="shared" si="85"/>
        <v>-1.2082158679017317E-3</v>
      </c>
      <c r="AU138" s="29"/>
      <c r="AW138" s="16" t="s">
        <v>207</v>
      </c>
      <c r="AX138" s="32">
        <f t="shared" si="87"/>
        <v>1.5370095028648244E-3</v>
      </c>
      <c r="AY138" s="32">
        <f t="shared" si="88"/>
        <v>3.6869069692933485E-3</v>
      </c>
      <c r="AZ138" s="32">
        <f t="shared" si="89"/>
        <v>2.5408258338366005E-3</v>
      </c>
      <c r="BA138" s="32">
        <f t="shared" si="90"/>
        <v>-1.2462664821573453E-3</v>
      </c>
      <c r="BB138" s="32">
        <f t="shared" si="91"/>
        <v>-2.8316986964027173E-3</v>
      </c>
      <c r="BC138" s="32">
        <f t="shared" si="92"/>
        <v>-7.0618107197669379E-3</v>
      </c>
      <c r="BD138" s="32">
        <f t="shared" si="93"/>
        <v>-2.7884187464934118E-3</v>
      </c>
      <c r="BE138" s="32">
        <f t="shared" si="94"/>
        <v>-1.5112633725255515E-3</v>
      </c>
      <c r="BF138" s="32">
        <f t="shared" si="95"/>
        <v>1.4109514140814107E-4</v>
      </c>
      <c r="BG138" s="32">
        <f t="shared" si="96"/>
        <v>-7.607384260426589E-4</v>
      </c>
      <c r="BH138" s="43">
        <f t="shared" si="97"/>
        <v>-3.0050976748275822E-3</v>
      </c>
      <c r="BI138" s="47">
        <f t="shared" ref="BI138" si="98">(BH138-$BO$78)/$BO$79</f>
        <v>-0.48324601697522424</v>
      </c>
      <c r="BJ138" s="43" t="b">
        <f>IF(BI138&gt;1,TRUE,FALSE)</f>
        <v>0</v>
      </c>
      <c r="BK138" s="43" t="b">
        <f>IF(BI138&gt;1,TRUE,FALSE)</f>
        <v>0</v>
      </c>
      <c r="BL138" s="44" t="str">
        <f>_xlfn.XLOOKUP(AW138,'County Population Strata'!$A$3:$A$66,'County Population Strata'!$P$3:$P$66)</f>
        <v>Tiny</v>
      </c>
      <c r="BQ138" s="21">
        <f t="shared" si="60"/>
        <v>4.5973532449732852E-5</v>
      </c>
    </row>
    <row r="139" spans="18:69" x14ac:dyDescent="0.2">
      <c r="R139" s="19" t="s">
        <v>225</v>
      </c>
      <c r="S139" s="27">
        <v>10100664</v>
      </c>
      <c r="T139" s="27">
        <v>10247103</v>
      </c>
      <c r="U139" s="27">
        <v>10389324</v>
      </c>
      <c r="V139" s="27">
        <v>10541766</v>
      </c>
      <c r="W139" s="27">
        <v>10695309</v>
      </c>
      <c r="X139" s="27">
        <v>10893187</v>
      </c>
      <c r="Y139" s="27">
        <v>11059260</v>
      </c>
      <c r="Z139" s="27">
        <v>11199177</v>
      </c>
      <c r="AA139" s="27">
        <v>11353825</v>
      </c>
      <c r="AB139" s="27">
        <v>11469822</v>
      </c>
      <c r="AC139" s="27">
        <v>11569168</v>
      </c>
      <c r="AD139" s="27">
        <v>11622052</v>
      </c>
      <c r="AE139" s="27">
        <v>11677472</v>
      </c>
      <c r="AG139" s="19" t="s">
        <v>225</v>
      </c>
      <c r="AH139" s="31">
        <f>AH85</f>
        <v>0</v>
      </c>
      <c r="AI139" s="31">
        <f t="shared" ref="AI139:AT139" si="99">AI85</f>
        <v>1.4498254768201378E-2</v>
      </c>
      <c r="AJ139" s="31">
        <f t="shared" si="99"/>
        <v>1.3878845402789821E-2</v>
      </c>
      <c r="AK139" s="31">
        <f t="shared" si="99"/>
        <v>1.4672946959782947E-2</v>
      </c>
      <c r="AL139" s="31">
        <f t="shared" si="99"/>
        <v>1.4565301487435787E-2</v>
      </c>
      <c r="AM139" s="31">
        <f t="shared" si="99"/>
        <v>1.8501380511644825E-2</v>
      </c>
      <c r="AN139" s="31">
        <f t="shared" si="99"/>
        <v>1.5245674636295637E-2</v>
      </c>
      <c r="AO139" s="31">
        <f t="shared" si="99"/>
        <v>1.2651296261902466E-2</v>
      </c>
      <c r="AP139" s="31">
        <f t="shared" si="99"/>
        <v>1.3808873081376702E-2</v>
      </c>
      <c r="AQ139" s="31">
        <f t="shared" si="99"/>
        <v>1.0216293646968634E-2</v>
      </c>
      <c r="AR139" s="31">
        <f t="shared" si="99"/>
        <v>8.6618636843234995E-3</v>
      </c>
      <c r="AS139" s="31">
        <f t="shared" si="99"/>
        <v>4.5711152262634617E-3</v>
      </c>
      <c r="AT139" s="31">
        <f t="shared" si="99"/>
        <v>4.7685210838843261E-3</v>
      </c>
      <c r="AW139" s="19" t="s">
        <v>225</v>
      </c>
      <c r="AX139" s="31">
        <f>AX85</f>
        <v>9.4590333903304003E-3</v>
      </c>
      <c r="AY139" s="31">
        <f t="shared" ref="AY139:BH139" si="100">AY85</f>
        <v>1.4350015710258049E-2</v>
      </c>
      <c r="AZ139" s="31">
        <f t="shared" si="100"/>
        <v>1.437236461666952E-2</v>
      </c>
      <c r="BA139" s="31">
        <f t="shared" si="100"/>
        <v>1.5913209652954521E-2</v>
      </c>
      <c r="BB139" s="31">
        <f t="shared" si="100"/>
        <v>1.6104118878458747E-2</v>
      </c>
      <c r="BC139" s="31">
        <f t="shared" si="100"/>
        <v>1.546611713661431E-2</v>
      </c>
      <c r="BD139" s="31">
        <f t="shared" si="100"/>
        <v>1.3901947993191601E-2</v>
      </c>
      <c r="BE139" s="31">
        <f t="shared" si="100"/>
        <v>1.2225487663415933E-2</v>
      </c>
      <c r="BF139" s="31">
        <f t="shared" si="100"/>
        <v>1.0895676804222945E-2</v>
      </c>
      <c r="BG139" s="31">
        <f t="shared" si="100"/>
        <v>7.816424185851864E-3</v>
      </c>
      <c r="BH139" s="31">
        <f t="shared" si="100"/>
        <v>0</v>
      </c>
    </row>
    <row r="141" spans="18:69" x14ac:dyDescent="0.2">
      <c r="R141" s="16" t="s">
        <v>138</v>
      </c>
      <c r="AG141" t="s">
        <v>272</v>
      </c>
      <c r="AW141" t="s">
        <v>273</v>
      </c>
    </row>
    <row r="142" spans="18:69" x14ac:dyDescent="0.2">
      <c r="R142" s="17" t="s">
        <v>224</v>
      </c>
      <c r="S142" s="17">
        <v>2010</v>
      </c>
      <c r="T142" s="17">
        <v>2011</v>
      </c>
      <c r="U142" s="17">
        <v>2012</v>
      </c>
      <c r="V142" s="17">
        <v>2013</v>
      </c>
      <c r="W142" s="17">
        <v>2014</v>
      </c>
      <c r="X142" s="17">
        <v>2015</v>
      </c>
      <c r="Y142" s="17">
        <v>2016</v>
      </c>
      <c r="Z142" s="17">
        <v>2017</v>
      </c>
      <c r="AA142" s="17">
        <v>2018</v>
      </c>
      <c r="AB142" s="17">
        <v>2019</v>
      </c>
      <c r="AC142" s="17">
        <v>2020</v>
      </c>
      <c r="AD142" s="17">
        <v>2021</v>
      </c>
      <c r="AE142" s="17">
        <v>2022</v>
      </c>
      <c r="AG142" s="17" t="s">
        <v>224</v>
      </c>
      <c r="AH142" s="17">
        <v>2010</v>
      </c>
      <c r="AI142" s="17">
        <v>2011</v>
      </c>
      <c r="AJ142" s="17">
        <v>2012</v>
      </c>
      <c r="AK142" s="17">
        <v>2013</v>
      </c>
      <c r="AL142" s="17">
        <v>2014</v>
      </c>
      <c r="AM142" s="17">
        <v>2015</v>
      </c>
      <c r="AN142" s="17">
        <v>2016</v>
      </c>
      <c r="AO142" s="17">
        <v>2017</v>
      </c>
      <c r="AP142" s="17">
        <v>2018</v>
      </c>
      <c r="AQ142" s="17">
        <v>2019</v>
      </c>
      <c r="AR142" s="17">
        <v>2020</v>
      </c>
      <c r="AS142" s="17">
        <v>2021</v>
      </c>
      <c r="AT142" s="17">
        <v>2022</v>
      </c>
      <c r="AW142" s="17" t="s">
        <v>224</v>
      </c>
      <c r="AX142" s="17" t="s">
        <v>247</v>
      </c>
      <c r="AY142" s="17" t="s">
        <v>248</v>
      </c>
      <c r="AZ142" s="17" t="s">
        <v>249</v>
      </c>
      <c r="BA142" s="17" t="s">
        <v>250</v>
      </c>
      <c r="BB142" s="17" t="s">
        <v>251</v>
      </c>
      <c r="BC142" s="17" t="s">
        <v>252</v>
      </c>
      <c r="BD142" s="17" t="s">
        <v>253</v>
      </c>
      <c r="BE142" s="17" t="s">
        <v>257</v>
      </c>
      <c r="BF142" s="17" t="s">
        <v>254</v>
      </c>
      <c r="BG142" s="17" t="s">
        <v>255</v>
      </c>
      <c r="BH142" s="33" t="s">
        <v>256</v>
      </c>
      <c r="BI142" s="33" t="s">
        <v>276</v>
      </c>
      <c r="BJ142" s="38" t="s">
        <v>278</v>
      </c>
      <c r="BK142" s="38" t="s">
        <v>279</v>
      </c>
      <c r="BL142" s="33" t="s">
        <v>267</v>
      </c>
    </row>
    <row r="143" spans="18:69" x14ac:dyDescent="0.2">
      <c r="R143" s="16" t="s">
        <v>144</v>
      </c>
      <c r="S143" s="26">
        <v>163435</v>
      </c>
      <c r="T143" s="26">
        <v>164593</v>
      </c>
      <c r="U143" s="26">
        <v>165858</v>
      </c>
      <c r="V143" s="26">
        <v>167459</v>
      </c>
      <c r="W143" s="26">
        <v>169377</v>
      </c>
      <c r="X143" s="26">
        <v>171361</v>
      </c>
      <c r="Y143" s="26">
        <v>173204</v>
      </c>
      <c r="Z143" s="26">
        <v>176439</v>
      </c>
      <c r="AA143" s="26">
        <v>180056</v>
      </c>
      <c r="AB143" s="26">
        <v>183751</v>
      </c>
      <c r="AC143" s="26">
        <v>187288</v>
      </c>
      <c r="AD143" s="26">
        <v>191198</v>
      </c>
      <c r="AE143" s="26">
        <v>196741</v>
      </c>
      <c r="AG143" s="16" t="s">
        <v>144</v>
      </c>
      <c r="AH143" s="29">
        <v>0</v>
      </c>
      <c r="AI143" s="29">
        <f>(T143-S143)/S143</f>
        <v>7.0853856273136112E-3</v>
      </c>
      <c r="AJ143" s="29">
        <f t="shared" ref="AJ143:AJ174" si="101">(U143-T143)/T143</f>
        <v>7.6856245405333154E-3</v>
      </c>
      <c r="AK143" s="29">
        <f t="shared" ref="AK143:AK174" si="102">(V143-U143)/U143</f>
        <v>9.6528355581280371E-3</v>
      </c>
      <c r="AL143" s="29">
        <f t="shared" ref="AL143:AL174" si="103">(W143-V143)/V143</f>
        <v>1.1453549824136057E-2</v>
      </c>
      <c r="AM143" s="29">
        <f t="shared" ref="AM143:AM174" si="104">(X143-W143)/W143</f>
        <v>1.1713514821965202E-2</v>
      </c>
      <c r="AN143" s="29">
        <f t="shared" ref="AN143:AN174" si="105">(Y143-X143)/X143</f>
        <v>1.0755072624459475E-2</v>
      </c>
      <c r="AO143" s="29">
        <f t="shared" ref="AO143:AO174" si="106">(Z143-Y143)/Y143</f>
        <v>1.8677397750629314E-2</v>
      </c>
      <c r="AP143" s="29">
        <f t="shared" ref="AP143:AP174" si="107">(AA143-Z143)/Z143</f>
        <v>2.050000283384059E-2</v>
      </c>
      <c r="AQ143" s="29">
        <f t="shared" ref="AQ143:AQ174" si="108">(AB143-AA143)/AA143</f>
        <v>2.0521393344292888E-2</v>
      </c>
      <c r="AR143" s="29">
        <f t="shared" ref="AR143:AR174" si="109">(AC143-AB143)/AB143</f>
        <v>1.9248874836055314E-2</v>
      </c>
      <c r="AS143" s="29">
        <f t="shared" ref="AS143:AS174" si="110">(AD143-AC143)/AC143</f>
        <v>2.0876938191448466E-2</v>
      </c>
      <c r="AT143" s="29">
        <f t="shared" ref="AT143:AT174" si="111">(AE143-AD143)/AD143</f>
        <v>2.8990889026035836E-2</v>
      </c>
      <c r="AW143" s="16" t="s">
        <v>144</v>
      </c>
      <c r="AX143" s="32">
        <f>AVERAGE(AH143:AJ143)</f>
        <v>4.9236700559489753E-3</v>
      </c>
      <c r="AY143" s="32">
        <f t="shared" ref="AY143:AY153" si="112">AVERAGE(AI143:AK143)</f>
        <v>8.1412819086583207E-3</v>
      </c>
      <c r="AZ143" s="32">
        <f t="shared" ref="AZ143:AZ153" si="113">AVERAGE(AJ143:AL143)</f>
        <v>9.59733664093247E-3</v>
      </c>
      <c r="BA143" s="32">
        <f t="shared" ref="BA143:BA153" si="114">AVERAGE(AK143:AM143)</f>
        <v>1.09399667347431E-2</v>
      </c>
      <c r="BB143" s="32">
        <f t="shared" ref="BB143:BB153" si="115">AVERAGE(AL143:AN143)</f>
        <v>1.1307379090186911E-2</v>
      </c>
      <c r="BC143" s="32">
        <f t="shared" ref="BC143:BC153" si="116">AVERAGE(AM143:AO143)</f>
        <v>1.3715328399017998E-2</v>
      </c>
      <c r="BD143" s="32">
        <f t="shared" ref="BD143:BD153" si="117">AVERAGE(AN143:AP143)</f>
        <v>1.6644157736309794E-2</v>
      </c>
      <c r="BE143" s="32">
        <f t="shared" ref="BE143:BE153" si="118">AVERAGE(AO143:AQ143)</f>
        <v>1.9899597976254263E-2</v>
      </c>
      <c r="BF143" s="32">
        <f t="shared" ref="BF143:BF153" si="119">AVERAGE(AP143:AR143)</f>
        <v>2.0090090338062933E-2</v>
      </c>
      <c r="BG143" s="32">
        <f t="shared" ref="BG143:BG153" si="120">AVERAGE(AQ143:AS143)</f>
        <v>2.0215735457265557E-2</v>
      </c>
      <c r="BH143" s="39">
        <f t="shared" ref="BH143:BH153" si="121">AVERAGE(AR143:AT143)</f>
        <v>2.3038900684513208E-2</v>
      </c>
      <c r="BI143" s="45">
        <f>(BH143-BO147)/$BO$148</f>
        <v>1.2116055992001791</v>
      </c>
      <c r="BJ143" s="39" t="b">
        <f>IF(BI143&gt;1,TRUE,FALSE)</f>
        <v>1</v>
      </c>
      <c r="BK143" s="39" t="b">
        <f>IF(BI143&lt;-1,TRUE,FALSE)</f>
        <v>0</v>
      </c>
      <c r="BL143" s="40" t="str">
        <f>_xlfn.XLOOKUP(AW143,'County Population Strata'!$A$3:$A$66,'County Population Strata'!$P$3:$P$66)</f>
        <v>Medium</v>
      </c>
    </row>
    <row r="144" spans="18:69" x14ac:dyDescent="0.2">
      <c r="R144" s="16" t="s">
        <v>145</v>
      </c>
      <c r="S144" s="26">
        <v>6561</v>
      </c>
      <c r="T144" s="26">
        <v>6591</v>
      </c>
      <c r="U144" s="26">
        <v>6636</v>
      </c>
      <c r="V144" s="26">
        <v>6700</v>
      </c>
      <c r="W144" s="26">
        <v>6747</v>
      </c>
      <c r="X144" s="26">
        <v>6807</v>
      </c>
      <c r="Y144" s="26">
        <v>6835</v>
      </c>
      <c r="Z144" s="26">
        <v>6908</v>
      </c>
      <c r="AA144" s="26">
        <v>6990</v>
      </c>
      <c r="AB144" s="26">
        <v>7026</v>
      </c>
      <c r="AC144" s="26">
        <v>7072</v>
      </c>
      <c r="AD144" s="26">
        <v>7137</v>
      </c>
      <c r="AE144" s="26">
        <v>7250</v>
      </c>
      <c r="AG144" s="16" t="s">
        <v>145</v>
      </c>
      <c r="AH144" s="29">
        <v>0</v>
      </c>
      <c r="AI144" s="29">
        <f t="shared" ref="AI144:AI174" si="122">(T144-S144)/S144</f>
        <v>4.5724737082761778E-3</v>
      </c>
      <c r="AJ144" s="29">
        <f t="shared" si="101"/>
        <v>6.8274920345926266E-3</v>
      </c>
      <c r="AK144" s="29">
        <f t="shared" si="102"/>
        <v>9.6443640747438213E-3</v>
      </c>
      <c r="AL144" s="29">
        <f t="shared" si="103"/>
        <v>7.0149253731343281E-3</v>
      </c>
      <c r="AM144" s="29">
        <f t="shared" si="104"/>
        <v>8.8928412627834585E-3</v>
      </c>
      <c r="AN144" s="29">
        <f t="shared" si="105"/>
        <v>4.1134126634346999E-3</v>
      </c>
      <c r="AO144" s="29">
        <f t="shared" si="106"/>
        <v>1.0680321872713972E-2</v>
      </c>
      <c r="AP144" s="29">
        <f t="shared" si="107"/>
        <v>1.1870295309785756E-2</v>
      </c>
      <c r="AQ144" s="29">
        <f t="shared" si="108"/>
        <v>5.1502145922746783E-3</v>
      </c>
      <c r="AR144" s="29">
        <f t="shared" si="109"/>
        <v>6.5471107315684604E-3</v>
      </c>
      <c r="AS144" s="29">
        <f t="shared" si="110"/>
        <v>9.1911764705882356E-3</v>
      </c>
      <c r="AT144" s="29">
        <f t="shared" si="111"/>
        <v>1.5832983046097801E-2</v>
      </c>
      <c r="AW144" s="16" t="s">
        <v>145</v>
      </c>
      <c r="AX144" s="32">
        <f t="shared" ref="AX144:AX153" si="123">AVERAGE(AH144:AJ144)</f>
        <v>3.7999885809562681E-3</v>
      </c>
      <c r="AY144" s="32">
        <f t="shared" si="112"/>
        <v>7.0147766058708746E-3</v>
      </c>
      <c r="AZ144" s="32">
        <f t="shared" si="113"/>
        <v>7.8289271608235917E-3</v>
      </c>
      <c r="BA144" s="32">
        <f t="shared" si="114"/>
        <v>8.517376903553869E-3</v>
      </c>
      <c r="BB144" s="32">
        <f t="shared" si="115"/>
        <v>6.6737264331174955E-3</v>
      </c>
      <c r="BC144" s="32">
        <f t="shared" si="116"/>
        <v>7.8955252663107101E-3</v>
      </c>
      <c r="BD144" s="32">
        <f t="shared" si="117"/>
        <v>8.8880099486448091E-3</v>
      </c>
      <c r="BE144" s="32">
        <f t="shared" si="118"/>
        <v>9.2336105915914683E-3</v>
      </c>
      <c r="BF144" s="32">
        <f t="shared" si="119"/>
        <v>7.8558735445429639E-3</v>
      </c>
      <c r="BG144" s="32">
        <f t="shared" si="120"/>
        <v>6.9628339314771236E-3</v>
      </c>
      <c r="BH144" s="41">
        <f t="shared" si="121"/>
        <v>1.0523756749418167E-2</v>
      </c>
      <c r="BI144" s="46">
        <f t="shared" ref="BI144:BI153" si="124">(BH144-$BO$147)/$BO$148</f>
        <v>-0.21165816751011737</v>
      </c>
      <c r="BJ144" s="41" t="b">
        <f>IF(BI144&gt;1,TRUE,FALSE)</f>
        <v>0</v>
      </c>
      <c r="BK144" s="41" t="b">
        <f>IF(BI144&lt;-1,TRUE,FALSE)</f>
        <v>0</v>
      </c>
      <c r="BL144" s="42" t="str">
        <f>_xlfn.XLOOKUP(AW144,'County Population Strata'!$A$3:$A$66,'County Population Strata'!$P$3:$P$66)</f>
        <v>Tiny</v>
      </c>
    </row>
    <row r="145" spans="18:67" x14ac:dyDescent="0.2">
      <c r="R145" s="16" t="s">
        <v>146</v>
      </c>
      <c r="S145" s="26">
        <v>239171</v>
      </c>
      <c r="T145" s="26">
        <v>240616</v>
      </c>
      <c r="U145" s="26">
        <v>241137</v>
      </c>
      <c r="V145" s="26">
        <v>242604</v>
      </c>
      <c r="W145" s="26">
        <v>245659</v>
      </c>
      <c r="X145" s="26">
        <v>247801</v>
      </c>
      <c r="Y145" s="26">
        <v>249881</v>
      </c>
      <c r="Z145" s="26">
        <v>254352</v>
      </c>
      <c r="AA145" s="26">
        <v>257003</v>
      </c>
      <c r="AB145" s="26">
        <v>259939</v>
      </c>
      <c r="AC145" s="26">
        <v>263241</v>
      </c>
      <c r="AD145" s="26">
        <v>266515</v>
      </c>
      <c r="AE145" s="26">
        <v>270939</v>
      </c>
      <c r="AG145" s="16" t="s">
        <v>146</v>
      </c>
      <c r="AH145" s="29">
        <v>0</v>
      </c>
      <c r="AI145" s="29">
        <f t="shared" si="122"/>
        <v>6.041702380305305E-3</v>
      </c>
      <c r="AJ145" s="29">
        <f t="shared" si="101"/>
        <v>2.1652757921335241E-3</v>
      </c>
      <c r="AK145" s="29">
        <f t="shared" si="102"/>
        <v>6.0836785727615425E-3</v>
      </c>
      <c r="AL145" s="29">
        <f t="shared" si="103"/>
        <v>1.2592537633344874E-2</v>
      </c>
      <c r="AM145" s="29">
        <f t="shared" si="104"/>
        <v>8.7194037263035352E-3</v>
      </c>
      <c r="AN145" s="29">
        <f t="shared" si="105"/>
        <v>8.393832147570026E-3</v>
      </c>
      <c r="AO145" s="29">
        <f t="shared" si="106"/>
        <v>1.7892516838014894E-2</v>
      </c>
      <c r="AP145" s="29">
        <f t="shared" si="107"/>
        <v>1.0422564005787255E-2</v>
      </c>
      <c r="AQ145" s="29">
        <f t="shared" si="108"/>
        <v>1.1423991159636269E-2</v>
      </c>
      <c r="AR145" s="29">
        <f t="shared" si="109"/>
        <v>1.2702980314612275E-2</v>
      </c>
      <c r="AS145" s="29">
        <f t="shared" si="110"/>
        <v>1.243727230940469E-2</v>
      </c>
      <c r="AT145" s="29">
        <f t="shared" si="111"/>
        <v>1.6599440932030092E-2</v>
      </c>
      <c r="AW145" s="16" t="s">
        <v>146</v>
      </c>
      <c r="AX145" s="32">
        <f t="shared" si="123"/>
        <v>2.7356593908129429E-3</v>
      </c>
      <c r="AY145" s="32">
        <f t="shared" si="112"/>
        <v>4.7635522484001241E-3</v>
      </c>
      <c r="AZ145" s="32">
        <f t="shared" si="113"/>
        <v>6.9471639994133126E-3</v>
      </c>
      <c r="BA145" s="32">
        <f t="shared" si="114"/>
        <v>9.1318733108033175E-3</v>
      </c>
      <c r="BB145" s="32">
        <f t="shared" si="115"/>
        <v>9.9019245024061456E-3</v>
      </c>
      <c r="BC145" s="32">
        <f t="shared" si="116"/>
        <v>1.1668584237296151E-2</v>
      </c>
      <c r="BD145" s="32">
        <f t="shared" si="117"/>
        <v>1.2236304330457392E-2</v>
      </c>
      <c r="BE145" s="32">
        <f t="shared" si="118"/>
        <v>1.3246357334479472E-2</v>
      </c>
      <c r="BF145" s="32">
        <f t="shared" si="119"/>
        <v>1.1516511826678601E-2</v>
      </c>
      <c r="BG145" s="32">
        <f t="shared" si="120"/>
        <v>1.2188081261217745E-2</v>
      </c>
      <c r="BH145" s="41">
        <f t="shared" si="121"/>
        <v>1.3913231185349019E-2</v>
      </c>
      <c r="BI145" s="46">
        <f t="shared" si="124"/>
        <v>0.17380413143503393</v>
      </c>
      <c r="BJ145" s="41" t="b">
        <f t="shared" ref="BJ145:BJ206" si="125">IF(BI145&gt;1,TRUE,FALSE)</f>
        <v>0</v>
      </c>
      <c r="BK145" s="41" t="b">
        <f t="shared" ref="BK145:BK206" si="126">IF(BI145&lt;-1,TRUE,FALSE)</f>
        <v>0</v>
      </c>
      <c r="BL145" s="42" t="str">
        <f>_xlfn.XLOOKUP(AW145,'County Population Strata'!$A$3:$A$66,'County Population Strata'!$P$3:$P$66)</f>
        <v>Large</v>
      </c>
    </row>
    <row r="146" spans="18:67" x14ac:dyDescent="0.2">
      <c r="R146" s="16" t="s">
        <v>147</v>
      </c>
      <c r="S146" s="26">
        <v>8762</v>
      </c>
      <c r="T146" s="26">
        <v>8781</v>
      </c>
      <c r="U146" s="26">
        <v>8807</v>
      </c>
      <c r="V146" s="26">
        <v>8840</v>
      </c>
      <c r="W146" s="26">
        <v>8899</v>
      </c>
      <c r="X146" s="26">
        <v>8952</v>
      </c>
      <c r="Y146" s="26">
        <v>9033</v>
      </c>
      <c r="Z146" s="26">
        <v>9137</v>
      </c>
      <c r="AA146" s="26">
        <v>9277</v>
      </c>
      <c r="AB146" s="26">
        <v>9411</v>
      </c>
      <c r="AC146" s="26">
        <v>9537</v>
      </c>
      <c r="AD146" s="26">
        <v>9687</v>
      </c>
      <c r="AE146" s="26">
        <v>9879</v>
      </c>
      <c r="AG146" s="16" t="s">
        <v>147</v>
      </c>
      <c r="AH146" s="29">
        <v>0</v>
      </c>
      <c r="AI146" s="29">
        <f t="shared" si="122"/>
        <v>2.1684546907098836E-3</v>
      </c>
      <c r="AJ146" s="29">
        <f t="shared" si="101"/>
        <v>2.9609383897050449E-3</v>
      </c>
      <c r="AK146" s="29">
        <f t="shared" si="102"/>
        <v>3.7470194163733393E-3</v>
      </c>
      <c r="AL146" s="29">
        <f t="shared" si="103"/>
        <v>6.6742081447963798E-3</v>
      </c>
      <c r="AM146" s="29">
        <f t="shared" si="104"/>
        <v>5.9557253624002698E-3</v>
      </c>
      <c r="AN146" s="29">
        <f t="shared" si="105"/>
        <v>9.0482573726541563E-3</v>
      </c>
      <c r="AO146" s="29">
        <f t="shared" si="106"/>
        <v>1.1513339975644857E-2</v>
      </c>
      <c r="AP146" s="29">
        <f t="shared" si="107"/>
        <v>1.5322315858596914E-2</v>
      </c>
      <c r="AQ146" s="29">
        <f t="shared" si="108"/>
        <v>1.4444324673924759E-2</v>
      </c>
      <c r="AR146" s="29">
        <f t="shared" si="109"/>
        <v>1.33885878227606E-2</v>
      </c>
      <c r="AS146" s="29">
        <f t="shared" si="110"/>
        <v>1.5728216420257943E-2</v>
      </c>
      <c r="AT146" s="29">
        <f t="shared" si="111"/>
        <v>1.9820377825952307E-2</v>
      </c>
      <c r="AW146" s="16" t="s">
        <v>147</v>
      </c>
      <c r="AX146" s="32">
        <f t="shared" si="123"/>
        <v>1.7097976934716428E-3</v>
      </c>
      <c r="AY146" s="32">
        <f t="shared" si="112"/>
        <v>2.9588041655960891E-3</v>
      </c>
      <c r="AZ146" s="32">
        <f t="shared" si="113"/>
        <v>4.4607219836249211E-3</v>
      </c>
      <c r="BA146" s="32">
        <f t="shared" si="114"/>
        <v>5.4589843078566638E-3</v>
      </c>
      <c r="BB146" s="32">
        <f t="shared" si="115"/>
        <v>7.2260636266169341E-3</v>
      </c>
      <c r="BC146" s="32">
        <f t="shared" si="116"/>
        <v>8.8391075702330939E-3</v>
      </c>
      <c r="BD146" s="32">
        <f t="shared" si="117"/>
        <v>1.1961304402298643E-2</v>
      </c>
      <c r="BE146" s="32">
        <f t="shared" si="118"/>
        <v>1.3759993502722176E-2</v>
      </c>
      <c r="BF146" s="32">
        <f t="shared" si="119"/>
        <v>1.4385076118427424E-2</v>
      </c>
      <c r="BG146" s="32">
        <f t="shared" si="120"/>
        <v>1.4520376305647767E-2</v>
      </c>
      <c r="BH146" s="41">
        <f t="shared" si="121"/>
        <v>1.6312394022990284E-2</v>
      </c>
      <c r="BI146" s="46">
        <f t="shared" si="124"/>
        <v>0.44664490377943439</v>
      </c>
      <c r="BJ146" s="41" t="b">
        <f t="shared" si="125"/>
        <v>0</v>
      </c>
      <c r="BK146" s="41" t="b">
        <f t="shared" si="126"/>
        <v>0</v>
      </c>
      <c r="BL146" s="42" t="str">
        <f>_xlfn.XLOOKUP(AW146,'County Population Strata'!$A$3:$A$66,'County Population Strata'!$P$3:$P$66)</f>
        <v>Tiny</v>
      </c>
    </row>
    <row r="147" spans="18:67" x14ac:dyDescent="0.2">
      <c r="R147" s="16" t="s">
        <v>148</v>
      </c>
      <c r="S147" s="26">
        <v>1964</v>
      </c>
      <c r="T147" s="26">
        <v>1966</v>
      </c>
      <c r="U147" s="26">
        <v>1968</v>
      </c>
      <c r="V147" s="26">
        <v>1968</v>
      </c>
      <c r="W147" s="26">
        <v>1968</v>
      </c>
      <c r="X147" s="26">
        <v>1968</v>
      </c>
      <c r="Y147" s="26">
        <v>1968</v>
      </c>
      <c r="Z147" s="26">
        <v>1969</v>
      </c>
      <c r="AA147" s="26">
        <v>1969</v>
      </c>
      <c r="AB147" s="26">
        <v>1969</v>
      </c>
      <c r="AC147" s="26">
        <v>1972</v>
      </c>
      <c r="AD147" s="26">
        <v>1977</v>
      </c>
      <c r="AE147" s="26">
        <v>1981</v>
      </c>
      <c r="AG147" s="16" t="s">
        <v>148</v>
      </c>
      <c r="AH147" s="29">
        <v>0</v>
      </c>
      <c r="AI147" s="29">
        <f t="shared" si="122"/>
        <v>1.0183299389002036E-3</v>
      </c>
      <c r="AJ147" s="29">
        <f t="shared" si="101"/>
        <v>1.017293997965412E-3</v>
      </c>
      <c r="AK147" s="29">
        <f t="shared" si="102"/>
        <v>0</v>
      </c>
      <c r="AL147" s="29">
        <f t="shared" si="103"/>
        <v>0</v>
      </c>
      <c r="AM147" s="29">
        <f t="shared" si="104"/>
        <v>0</v>
      </c>
      <c r="AN147" s="29">
        <f t="shared" si="105"/>
        <v>0</v>
      </c>
      <c r="AO147" s="29">
        <f t="shared" si="106"/>
        <v>5.0813008130081306E-4</v>
      </c>
      <c r="AP147" s="29">
        <f t="shared" si="107"/>
        <v>0</v>
      </c>
      <c r="AQ147" s="29">
        <f t="shared" si="108"/>
        <v>0</v>
      </c>
      <c r="AR147" s="29">
        <f t="shared" si="109"/>
        <v>1.5236160487557136E-3</v>
      </c>
      <c r="AS147" s="29">
        <f t="shared" si="110"/>
        <v>2.5354969574036511E-3</v>
      </c>
      <c r="AT147" s="29">
        <f t="shared" si="111"/>
        <v>2.0232675771370764E-3</v>
      </c>
      <c r="AW147" s="16" t="s">
        <v>148</v>
      </c>
      <c r="AX147" s="32">
        <f t="shared" si="123"/>
        <v>6.7854131228853862E-4</v>
      </c>
      <c r="AY147" s="32">
        <f t="shared" si="112"/>
        <v>6.7854131228853862E-4</v>
      </c>
      <c r="AZ147" s="32">
        <f t="shared" si="113"/>
        <v>3.3909799932180397E-4</v>
      </c>
      <c r="BA147" s="32">
        <f t="shared" si="114"/>
        <v>0</v>
      </c>
      <c r="BB147" s="32">
        <f t="shared" si="115"/>
        <v>0</v>
      </c>
      <c r="BC147" s="32">
        <f t="shared" si="116"/>
        <v>1.693766937669377E-4</v>
      </c>
      <c r="BD147" s="32">
        <f t="shared" si="117"/>
        <v>1.693766937669377E-4</v>
      </c>
      <c r="BE147" s="32">
        <f t="shared" si="118"/>
        <v>1.693766937669377E-4</v>
      </c>
      <c r="BF147" s="32">
        <f t="shared" si="119"/>
        <v>5.0787201625190459E-4</v>
      </c>
      <c r="BG147" s="32">
        <f t="shared" si="120"/>
        <v>1.3530376687197882E-3</v>
      </c>
      <c r="BH147" s="41">
        <f t="shared" si="121"/>
        <v>2.0274601944321471E-3</v>
      </c>
      <c r="BI147" s="46">
        <f t="shared" si="124"/>
        <v>-1.1778852521245691</v>
      </c>
      <c r="BJ147" s="41" t="b">
        <f t="shared" si="125"/>
        <v>0</v>
      </c>
      <c r="BK147" s="41" t="b">
        <f t="shared" si="126"/>
        <v>1</v>
      </c>
      <c r="BL147" s="42" t="str">
        <f>_xlfn.XLOOKUP(AW147,'County Population Strata'!$A$3:$A$66,'County Population Strata'!$P$3:$P$66)</f>
        <v>Tiny</v>
      </c>
      <c r="BN147" t="s">
        <v>274</v>
      </c>
      <c r="BO147" s="37">
        <f>AVERAGE(BH143:BH207)</f>
        <v>1.2384924365277781E-2</v>
      </c>
    </row>
    <row r="148" spans="18:67" x14ac:dyDescent="0.2">
      <c r="R148" s="16" t="s">
        <v>149</v>
      </c>
      <c r="S148" s="26">
        <v>2111</v>
      </c>
      <c r="T148" s="26">
        <v>2116</v>
      </c>
      <c r="U148" s="26">
        <v>2118</v>
      </c>
      <c r="V148" s="26">
        <v>2122</v>
      </c>
      <c r="W148" s="26">
        <v>2124</v>
      </c>
      <c r="X148" s="26">
        <v>2124</v>
      </c>
      <c r="Y148" s="26">
        <v>2128</v>
      </c>
      <c r="Z148" s="26">
        <v>2130</v>
      </c>
      <c r="AA148" s="26">
        <v>2133</v>
      </c>
      <c r="AB148" s="26">
        <v>2135</v>
      </c>
      <c r="AC148" s="26">
        <v>2136</v>
      </c>
      <c r="AD148" s="26">
        <v>2143</v>
      </c>
      <c r="AE148" s="26">
        <v>2171</v>
      </c>
      <c r="AG148" s="16" t="s">
        <v>149</v>
      </c>
      <c r="AH148" s="29">
        <v>0</v>
      </c>
      <c r="AI148" s="29">
        <f t="shared" si="122"/>
        <v>2.3685457129322598E-3</v>
      </c>
      <c r="AJ148" s="29">
        <f t="shared" si="101"/>
        <v>9.4517958412098301E-4</v>
      </c>
      <c r="AK148" s="29">
        <f t="shared" si="102"/>
        <v>1.8885741265344666E-3</v>
      </c>
      <c r="AL148" s="29">
        <f t="shared" si="103"/>
        <v>9.42507068803016E-4</v>
      </c>
      <c r="AM148" s="29">
        <f t="shared" si="104"/>
        <v>0</v>
      </c>
      <c r="AN148" s="29">
        <f t="shared" si="105"/>
        <v>1.8832391713747645E-3</v>
      </c>
      <c r="AO148" s="29">
        <f t="shared" si="106"/>
        <v>9.3984962406015032E-4</v>
      </c>
      <c r="AP148" s="29">
        <f t="shared" si="107"/>
        <v>1.4084507042253522E-3</v>
      </c>
      <c r="AQ148" s="29">
        <f t="shared" si="108"/>
        <v>9.3764650726676048E-4</v>
      </c>
      <c r="AR148" s="29">
        <f t="shared" si="109"/>
        <v>4.6838407494145199E-4</v>
      </c>
      <c r="AS148" s="29">
        <f t="shared" si="110"/>
        <v>3.2771535580524347E-3</v>
      </c>
      <c r="AT148" s="29">
        <f t="shared" si="111"/>
        <v>1.3065795613625758E-2</v>
      </c>
      <c r="AW148" s="16" t="s">
        <v>149</v>
      </c>
      <c r="AX148" s="32">
        <f t="shared" si="123"/>
        <v>1.1045750990177476E-3</v>
      </c>
      <c r="AY148" s="32">
        <f t="shared" si="112"/>
        <v>1.7340998078625696E-3</v>
      </c>
      <c r="AZ148" s="32">
        <f t="shared" si="113"/>
        <v>1.2587535931528218E-3</v>
      </c>
      <c r="BA148" s="32">
        <f t="shared" si="114"/>
        <v>9.4369373177916082E-4</v>
      </c>
      <c r="BB148" s="32">
        <f t="shared" si="115"/>
        <v>9.4191541339259347E-4</v>
      </c>
      <c r="BC148" s="32">
        <f t="shared" si="116"/>
        <v>9.4102959847830491E-4</v>
      </c>
      <c r="BD148" s="32">
        <f t="shared" si="117"/>
        <v>1.4105131665534223E-3</v>
      </c>
      <c r="BE148" s="32">
        <f t="shared" si="118"/>
        <v>1.0953156118507542E-3</v>
      </c>
      <c r="BF148" s="32">
        <f t="shared" si="119"/>
        <v>9.3816042881118822E-4</v>
      </c>
      <c r="BG148" s="32">
        <f t="shared" si="120"/>
        <v>1.5610613800868822E-3</v>
      </c>
      <c r="BH148" s="41">
        <f t="shared" si="121"/>
        <v>5.6037777488732151E-3</v>
      </c>
      <c r="BI148" s="46">
        <f t="shared" si="124"/>
        <v>-0.77117453270468117</v>
      </c>
      <c r="BJ148" s="41" t="b">
        <f t="shared" si="125"/>
        <v>0</v>
      </c>
      <c r="BK148" s="41" t="b">
        <f t="shared" si="126"/>
        <v>0</v>
      </c>
      <c r="BL148" s="42" t="str">
        <f>_xlfn.XLOOKUP(AW148,'County Population Strata'!$A$3:$A$66,'County Population Strata'!$P$3:$P$66)</f>
        <v>Tiny</v>
      </c>
      <c r="BN148" t="s">
        <v>275</v>
      </c>
      <c r="BO148">
        <f>STDEV(BH143:BH207)</f>
        <v>8.7932709507685253E-3</v>
      </c>
    </row>
    <row r="149" spans="18:67" x14ac:dyDescent="0.2">
      <c r="R149" s="16" t="s">
        <v>150</v>
      </c>
      <c r="S149" s="26">
        <v>127213</v>
      </c>
      <c r="T149" s="26">
        <v>127865</v>
      </c>
      <c r="U149" s="26">
        <v>128405</v>
      </c>
      <c r="V149" s="26">
        <v>129616</v>
      </c>
      <c r="W149" s="26">
        <v>131002</v>
      </c>
      <c r="X149" s="26">
        <v>132127</v>
      </c>
      <c r="Y149" s="26">
        <v>133334</v>
      </c>
      <c r="Z149" s="26">
        <v>135024</v>
      </c>
      <c r="AA149" s="26">
        <v>136410</v>
      </c>
      <c r="AB149" s="26">
        <v>139591</v>
      </c>
      <c r="AC149" s="26">
        <v>141291</v>
      </c>
      <c r="AD149" s="26">
        <v>143362</v>
      </c>
      <c r="AE149" s="26">
        <v>144094</v>
      </c>
      <c r="AG149" s="16" t="s">
        <v>150</v>
      </c>
      <c r="AH149" s="29">
        <v>0</v>
      </c>
      <c r="AI149" s="29">
        <f t="shared" si="122"/>
        <v>5.1252623552624343E-3</v>
      </c>
      <c r="AJ149" s="29">
        <f t="shared" si="101"/>
        <v>4.2232041606381733E-3</v>
      </c>
      <c r="AK149" s="29">
        <f t="shared" si="102"/>
        <v>9.4310969199018733E-3</v>
      </c>
      <c r="AL149" s="29">
        <f t="shared" si="103"/>
        <v>1.069312430564128E-2</v>
      </c>
      <c r="AM149" s="29">
        <f t="shared" si="104"/>
        <v>8.5876551503030491E-3</v>
      </c>
      <c r="AN149" s="29">
        <f t="shared" si="105"/>
        <v>9.1351502720867037E-3</v>
      </c>
      <c r="AO149" s="29">
        <f t="shared" si="106"/>
        <v>1.2674936625316874E-2</v>
      </c>
      <c r="AP149" s="29">
        <f t="shared" si="107"/>
        <v>1.0264841805901172E-2</v>
      </c>
      <c r="AQ149" s="29">
        <f t="shared" si="108"/>
        <v>2.3319404735723189E-2</v>
      </c>
      <c r="AR149" s="29">
        <f t="shared" si="109"/>
        <v>1.2178435572493929E-2</v>
      </c>
      <c r="AS149" s="29">
        <f t="shared" si="110"/>
        <v>1.4657692280470801E-2</v>
      </c>
      <c r="AT149" s="29">
        <f t="shared" si="111"/>
        <v>5.1059555530754315E-3</v>
      </c>
      <c r="AW149" s="16" t="s">
        <v>150</v>
      </c>
      <c r="AX149" s="32">
        <f t="shared" si="123"/>
        <v>3.1161555053002021E-3</v>
      </c>
      <c r="AY149" s="32">
        <f t="shared" si="112"/>
        <v>6.259854478600827E-3</v>
      </c>
      <c r="AZ149" s="32">
        <f t="shared" si="113"/>
        <v>8.1158084620604424E-3</v>
      </c>
      <c r="BA149" s="32">
        <f t="shared" si="114"/>
        <v>9.5706254586154001E-3</v>
      </c>
      <c r="BB149" s="32">
        <f t="shared" si="115"/>
        <v>9.4719765760103436E-3</v>
      </c>
      <c r="BC149" s="32">
        <f t="shared" si="116"/>
        <v>1.0132580682568877E-2</v>
      </c>
      <c r="BD149" s="32">
        <f t="shared" si="117"/>
        <v>1.0691642901101583E-2</v>
      </c>
      <c r="BE149" s="32">
        <f t="shared" si="118"/>
        <v>1.5419727722313745E-2</v>
      </c>
      <c r="BF149" s="32">
        <f t="shared" si="119"/>
        <v>1.5254227371372763E-2</v>
      </c>
      <c r="BG149" s="32">
        <f t="shared" si="120"/>
        <v>1.6718510862895972E-2</v>
      </c>
      <c r="BH149" s="41">
        <f t="shared" si="121"/>
        <v>1.0647361135346719E-2</v>
      </c>
      <c r="BI149" s="46">
        <f t="shared" si="124"/>
        <v>-0.19760146590037689</v>
      </c>
      <c r="BJ149" s="41" t="b">
        <f t="shared" si="125"/>
        <v>0</v>
      </c>
      <c r="BK149" s="41" t="b">
        <f t="shared" si="126"/>
        <v>0</v>
      </c>
      <c r="BL149" s="42" t="str">
        <f>_xlfn.XLOOKUP(AW149,'County Population Strata'!$A$3:$A$66,'County Population Strata'!$P$3:$P$66)</f>
        <v>Small</v>
      </c>
    </row>
    <row r="150" spans="18:67" x14ac:dyDescent="0.2">
      <c r="R150" s="16" t="s">
        <v>151</v>
      </c>
      <c r="S150" s="26">
        <v>22685</v>
      </c>
      <c r="T150" s="26">
        <v>23056</v>
      </c>
      <c r="U150" s="26">
        <v>23426</v>
      </c>
      <c r="V150" s="26">
        <v>25541</v>
      </c>
      <c r="W150" s="26">
        <v>26564</v>
      </c>
      <c r="X150" s="26">
        <v>27750</v>
      </c>
      <c r="Y150" s="26">
        <v>28585</v>
      </c>
      <c r="Z150" s="26">
        <v>29498</v>
      </c>
      <c r="AA150" s="26">
        <v>30060</v>
      </c>
      <c r="AB150" s="26">
        <v>30982</v>
      </c>
      <c r="AC150" s="26">
        <v>31463</v>
      </c>
      <c r="AD150" s="26">
        <v>32231</v>
      </c>
      <c r="AE150" s="26">
        <v>33645</v>
      </c>
      <c r="AG150" s="16" t="s">
        <v>151</v>
      </c>
      <c r="AH150" s="29">
        <v>0</v>
      </c>
      <c r="AI150" s="29">
        <f t="shared" si="122"/>
        <v>1.6354419219748732E-2</v>
      </c>
      <c r="AJ150" s="29">
        <f t="shared" si="101"/>
        <v>1.6047883414295628E-2</v>
      </c>
      <c r="AK150" s="29">
        <f t="shared" si="102"/>
        <v>9.0284299496286177E-2</v>
      </c>
      <c r="AL150" s="29">
        <f t="shared" si="103"/>
        <v>4.0053247719353195E-2</v>
      </c>
      <c r="AM150" s="29">
        <f t="shared" si="104"/>
        <v>4.4646890528534856E-2</v>
      </c>
      <c r="AN150" s="29">
        <f t="shared" si="105"/>
        <v>3.0090090090090092E-2</v>
      </c>
      <c r="AO150" s="29">
        <f t="shared" si="106"/>
        <v>3.1939828581423822E-2</v>
      </c>
      <c r="AP150" s="29">
        <f t="shared" si="107"/>
        <v>1.9052139128076479E-2</v>
      </c>
      <c r="AQ150" s="29">
        <f t="shared" si="108"/>
        <v>3.0671989354624084E-2</v>
      </c>
      <c r="AR150" s="29">
        <f t="shared" si="109"/>
        <v>1.5525143631786198E-2</v>
      </c>
      <c r="AS150" s="29">
        <f t="shared" si="110"/>
        <v>2.4409624002796938E-2</v>
      </c>
      <c r="AT150" s="29">
        <f t="shared" si="111"/>
        <v>4.387080760758276E-2</v>
      </c>
      <c r="AW150" s="16" t="s">
        <v>151</v>
      </c>
      <c r="AX150" s="32">
        <f t="shared" si="123"/>
        <v>1.0800767544681454E-2</v>
      </c>
      <c r="AY150" s="32">
        <f t="shared" si="112"/>
        <v>4.089553404344351E-2</v>
      </c>
      <c r="AZ150" s="32">
        <f t="shared" si="113"/>
        <v>4.8795143543311666E-2</v>
      </c>
      <c r="BA150" s="32">
        <f t="shared" si="114"/>
        <v>5.8328145914724738E-2</v>
      </c>
      <c r="BB150" s="32">
        <f t="shared" si="115"/>
        <v>3.8263409445992713E-2</v>
      </c>
      <c r="BC150" s="32">
        <f t="shared" si="116"/>
        <v>3.5558936400016256E-2</v>
      </c>
      <c r="BD150" s="32">
        <f t="shared" si="117"/>
        <v>2.7027352599863465E-2</v>
      </c>
      <c r="BE150" s="32">
        <f t="shared" si="118"/>
        <v>2.7221319021374795E-2</v>
      </c>
      <c r="BF150" s="32">
        <f t="shared" si="119"/>
        <v>2.1749757371495589E-2</v>
      </c>
      <c r="BG150" s="32">
        <f t="shared" si="120"/>
        <v>2.3535585663069073E-2</v>
      </c>
      <c r="BH150" s="41">
        <f t="shared" si="121"/>
        <v>2.7935191747388632E-2</v>
      </c>
      <c r="BI150" s="46">
        <f t="shared" si="124"/>
        <v>1.7684280933879071</v>
      </c>
      <c r="BJ150" s="41" t="b">
        <f t="shared" si="125"/>
        <v>1</v>
      </c>
      <c r="BK150" s="41" t="b">
        <f t="shared" si="126"/>
        <v>0</v>
      </c>
      <c r="BL150" s="42" t="str">
        <f>_xlfn.XLOOKUP(AW150,'County Population Strata'!$A$3:$A$66,'County Population Strata'!$P$3:$P$66)</f>
        <v>Small</v>
      </c>
    </row>
    <row r="151" spans="18:67" x14ac:dyDescent="0.2">
      <c r="R151" s="16" t="s">
        <v>152</v>
      </c>
      <c r="S151" s="26">
        <v>10030</v>
      </c>
      <c r="T151" s="26">
        <v>10058</v>
      </c>
      <c r="U151" s="26">
        <v>10056</v>
      </c>
      <c r="V151" s="26">
        <v>10085</v>
      </c>
      <c r="W151" s="26">
        <v>10114</v>
      </c>
      <c r="X151" s="26">
        <v>10183</v>
      </c>
      <c r="Y151" s="26">
        <v>10286</v>
      </c>
      <c r="Z151" s="26">
        <v>10484</v>
      </c>
      <c r="AA151" s="26">
        <v>10673</v>
      </c>
      <c r="AB151" s="26">
        <v>10806</v>
      </c>
      <c r="AC151" s="26">
        <v>10993</v>
      </c>
      <c r="AD151" s="26">
        <v>11322</v>
      </c>
      <c r="AE151" s="26">
        <v>11903</v>
      </c>
      <c r="AG151" s="16" t="s">
        <v>152</v>
      </c>
      <c r="AH151" s="29">
        <v>0</v>
      </c>
      <c r="AI151" s="29">
        <f t="shared" si="122"/>
        <v>2.7916251246261218E-3</v>
      </c>
      <c r="AJ151" s="29">
        <f t="shared" si="101"/>
        <v>-1.9884668920262477E-4</v>
      </c>
      <c r="AK151" s="29">
        <f t="shared" si="102"/>
        <v>2.8838504375497216E-3</v>
      </c>
      <c r="AL151" s="29">
        <f t="shared" si="103"/>
        <v>2.8755577590480912E-3</v>
      </c>
      <c r="AM151" s="29">
        <f t="shared" si="104"/>
        <v>6.82222661657109E-3</v>
      </c>
      <c r="AN151" s="29">
        <f t="shared" si="105"/>
        <v>1.0114897377982913E-2</v>
      </c>
      <c r="AO151" s="29">
        <f t="shared" si="106"/>
        <v>1.924946529263076E-2</v>
      </c>
      <c r="AP151" s="29">
        <f t="shared" si="107"/>
        <v>1.8027470431133154E-2</v>
      </c>
      <c r="AQ151" s="29">
        <f t="shared" si="108"/>
        <v>1.2461351072800525E-2</v>
      </c>
      <c r="AR151" s="29">
        <f t="shared" si="109"/>
        <v>1.730520081436239E-2</v>
      </c>
      <c r="AS151" s="29">
        <f t="shared" si="110"/>
        <v>2.9928136086600565E-2</v>
      </c>
      <c r="AT151" s="29">
        <f t="shared" si="111"/>
        <v>5.13160219042572E-2</v>
      </c>
      <c r="AW151" s="16" t="s">
        <v>152</v>
      </c>
      <c r="AX151" s="32">
        <f t="shared" si="123"/>
        <v>8.642594784744991E-4</v>
      </c>
      <c r="AY151" s="32">
        <f t="shared" si="112"/>
        <v>1.8255429576577397E-3</v>
      </c>
      <c r="AZ151" s="32">
        <f t="shared" si="113"/>
        <v>1.8535205024650628E-3</v>
      </c>
      <c r="BA151" s="32">
        <f t="shared" si="114"/>
        <v>4.1938782710563014E-3</v>
      </c>
      <c r="BB151" s="32">
        <f t="shared" si="115"/>
        <v>6.604227251200699E-3</v>
      </c>
      <c r="BC151" s="32">
        <f t="shared" si="116"/>
        <v>1.2062196429061589E-2</v>
      </c>
      <c r="BD151" s="32">
        <f t="shared" si="117"/>
        <v>1.5797277700582275E-2</v>
      </c>
      <c r="BE151" s="32">
        <f t="shared" si="118"/>
        <v>1.6579428932188146E-2</v>
      </c>
      <c r="BF151" s="32">
        <f t="shared" si="119"/>
        <v>1.5931340772765357E-2</v>
      </c>
      <c r="BG151" s="32">
        <f t="shared" si="120"/>
        <v>1.9898229324587829E-2</v>
      </c>
      <c r="BH151" s="41">
        <f t="shared" si="121"/>
        <v>3.2849786268406719E-2</v>
      </c>
      <c r="BI151" s="46">
        <f t="shared" si="124"/>
        <v>2.3273321176734951</v>
      </c>
      <c r="BJ151" s="41" t="b">
        <f t="shared" si="125"/>
        <v>1</v>
      </c>
      <c r="BK151" s="41" t="b">
        <f t="shared" si="126"/>
        <v>0</v>
      </c>
      <c r="BL151" s="42" t="str">
        <f>_xlfn.XLOOKUP(AW151,'County Population Strata'!$A$3:$A$66,'County Population Strata'!$P$3:$P$66)</f>
        <v>Small</v>
      </c>
    </row>
    <row r="152" spans="18:67" x14ac:dyDescent="0.2">
      <c r="R152" s="16" t="s">
        <v>153</v>
      </c>
      <c r="S152" s="26">
        <v>868</v>
      </c>
      <c r="T152" s="26">
        <v>869</v>
      </c>
      <c r="U152" s="26">
        <v>869</v>
      </c>
      <c r="V152" s="26">
        <v>878</v>
      </c>
      <c r="W152" s="26">
        <v>879</v>
      </c>
      <c r="X152" s="26">
        <v>886</v>
      </c>
      <c r="Y152" s="26">
        <v>894</v>
      </c>
      <c r="Z152" s="26">
        <v>898</v>
      </c>
      <c r="AA152" s="26">
        <v>901</v>
      </c>
      <c r="AB152" s="26">
        <v>905</v>
      </c>
      <c r="AC152" s="26">
        <v>929</v>
      </c>
      <c r="AD152" s="26">
        <v>933</v>
      </c>
      <c r="AE152" s="26">
        <v>945</v>
      </c>
      <c r="AG152" s="16" t="s">
        <v>153</v>
      </c>
      <c r="AH152" s="29">
        <v>0</v>
      </c>
      <c r="AI152" s="29">
        <f t="shared" si="122"/>
        <v>1.152073732718894E-3</v>
      </c>
      <c r="AJ152" s="29">
        <f t="shared" si="101"/>
        <v>0</v>
      </c>
      <c r="AK152" s="29">
        <f t="shared" si="102"/>
        <v>1.0356731875719217E-2</v>
      </c>
      <c r="AL152" s="29">
        <f t="shared" si="103"/>
        <v>1.1389521640091116E-3</v>
      </c>
      <c r="AM152" s="29">
        <f t="shared" si="104"/>
        <v>7.9635949943117172E-3</v>
      </c>
      <c r="AN152" s="29">
        <f t="shared" si="105"/>
        <v>9.0293453724604959E-3</v>
      </c>
      <c r="AO152" s="29">
        <f t="shared" si="106"/>
        <v>4.4742729306487695E-3</v>
      </c>
      <c r="AP152" s="29">
        <f t="shared" si="107"/>
        <v>3.3407572383073497E-3</v>
      </c>
      <c r="AQ152" s="29">
        <f t="shared" si="108"/>
        <v>4.4395116537180911E-3</v>
      </c>
      <c r="AR152" s="29">
        <f t="shared" si="109"/>
        <v>2.6519337016574586E-2</v>
      </c>
      <c r="AS152" s="29">
        <f t="shared" si="110"/>
        <v>4.3057050592034442E-3</v>
      </c>
      <c r="AT152" s="29">
        <f t="shared" si="111"/>
        <v>1.2861736334405145E-2</v>
      </c>
      <c r="AW152" s="16" t="s">
        <v>153</v>
      </c>
      <c r="AX152" s="32">
        <f t="shared" si="123"/>
        <v>3.8402457757296467E-4</v>
      </c>
      <c r="AY152" s="32">
        <f t="shared" si="112"/>
        <v>3.8362685361460372E-3</v>
      </c>
      <c r="AZ152" s="32">
        <f t="shared" si="113"/>
        <v>3.8318946799094432E-3</v>
      </c>
      <c r="BA152" s="32">
        <f t="shared" si="114"/>
        <v>6.4864263446800146E-3</v>
      </c>
      <c r="BB152" s="32">
        <f t="shared" si="115"/>
        <v>6.0439641769271081E-3</v>
      </c>
      <c r="BC152" s="32">
        <f t="shared" si="116"/>
        <v>7.1557377658069939E-3</v>
      </c>
      <c r="BD152" s="32">
        <f t="shared" si="117"/>
        <v>5.6147918471388713E-3</v>
      </c>
      <c r="BE152" s="32">
        <f t="shared" si="118"/>
        <v>4.0848472742247366E-3</v>
      </c>
      <c r="BF152" s="32">
        <f t="shared" si="119"/>
        <v>1.1433201969533341E-2</v>
      </c>
      <c r="BG152" s="32">
        <f t="shared" si="120"/>
        <v>1.1754851243165373E-2</v>
      </c>
      <c r="BH152" s="41">
        <f t="shared" si="121"/>
        <v>1.4562259470061059E-2</v>
      </c>
      <c r="BI152" s="46">
        <f t="shared" si="124"/>
        <v>0.24761378524256447</v>
      </c>
      <c r="BJ152" s="41" t="b">
        <f t="shared" si="125"/>
        <v>0</v>
      </c>
      <c r="BK152" s="41" t="b">
        <f t="shared" si="126"/>
        <v>0</v>
      </c>
      <c r="BL152" s="42" t="str">
        <f>_xlfn.XLOOKUP(AW152,'County Population Strata'!$A$3:$A$66,'County Population Strata'!$P$3:$P$66)</f>
        <v>Tiny</v>
      </c>
    </row>
    <row r="153" spans="18:67" x14ac:dyDescent="0.2">
      <c r="R153" s="16" t="s">
        <v>154</v>
      </c>
      <c r="S153" s="26">
        <v>5472</v>
      </c>
      <c r="T153" s="26">
        <v>5485</v>
      </c>
      <c r="U153" s="26">
        <v>5501</v>
      </c>
      <c r="V153" s="26">
        <v>5496</v>
      </c>
      <c r="W153" s="26">
        <v>5535</v>
      </c>
      <c r="X153" s="26">
        <v>5544</v>
      </c>
      <c r="Y153" s="26">
        <v>5560</v>
      </c>
      <c r="Z153" s="26">
        <v>5572</v>
      </c>
      <c r="AA153" s="26">
        <v>5602</v>
      </c>
      <c r="AB153" s="26">
        <v>5634</v>
      </c>
      <c r="AC153" s="26">
        <v>5688</v>
      </c>
      <c r="AD153" s="26">
        <v>5771</v>
      </c>
      <c r="AE153" s="26">
        <v>5868</v>
      </c>
      <c r="AG153" s="16" t="s">
        <v>154</v>
      </c>
      <c r="AH153" s="29">
        <v>0</v>
      </c>
      <c r="AI153" s="29">
        <f t="shared" si="122"/>
        <v>2.3757309941520467E-3</v>
      </c>
      <c r="AJ153" s="29">
        <f t="shared" si="101"/>
        <v>2.9170464904284413E-3</v>
      </c>
      <c r="AK153" s="29">
        <f t="shared" si="102"/>
        <v>-9.0892564988183963E-4</v>
      </c>
      <c r="AL153" s="29">
        <f t="shared" si="103"/>
        <v>7.0960698689956333E-3</v>
      </c>
      <c r="AM153" s="29">
        <f t="shared" si="104"/>
        <v>1.6260162601626016E-3</v>
      </c>
      <c r="AN153" s="29">
        <f t="shared" si="105"/>
        <v>2.886002886002886E-3</v>
      </c>
      <c r="AO153" s="29">
        <f t="shared" si="106"/>
        <v>2.158273381294964E-3</v>
      </c>
      <c r="AP153" s="29">
        <f t="shared" si="107"/>
        <v>5.3840631730078968E-3</v>
      </c>
      <c r="AQ153" s="29">
        <f t="shared" si="108"/>
        <v>5.7122456265619424E-3</v>
      </c>
      <c r="AR153" s="29">
        <f t="shared" si="109"/>
        <v>9.5846645367412137E-3</v>
      </c>
      <c r="AS153" s="29">
        <f t="shared" si="110"/>
        <v>1.4592123769338959E-2</v>
      </c>
      <c r="AT153" s="29">
        <f t="shared" si="111"/>
        <v>1.6808178825160284E-2</v>
      </c>
      <c r="AW153" s="16" t="s">
        <v>154</v>
      </c>
      <c r="AX153" s="32">
        <f t="shared" si="123"/>
        <v>1.7642591615268292E-3</v>
      </c>
      <c r="AY153" s="32">
        <f t="shared" si="112"/>
        <v>1.4612839448995493E-3</v>
      </c>
      <c r="AZ153" s="32">
        <f t="shared" si="113"/>
        <v>3.0347302365140785E-3</v>
      </c>
      <c r="BA153" s="32">
        <f t="shared" si="114"/>
        <v>2.6043868264254652E-3</v>
      </c>
      <c r="BB153" s="32">
        <f t="shared" si="115"/>
        <v>3.8693630050537068E-3</v>
      </c>
      <c r="BC153" s="32">
        <f t="shared" si="116"/>
        <v>2.2234308424868171E-3</v>
      </c>
      <c r="BD153" s="32">
        <f t="shared" si="117"/>
        <v>3.4761131467685824E-3</v>
      </c>
      <c r="BE153" s="32">
        <f t="shared" si="118"/>
        <v>4.4181940602882677E-3</v>
      </c>
      <c r="BF153" s="32">
        <f t="shared" si="119"/>
        <v>6.8936577787703512E-3</v>
      </c>
      <c r="BG153" s="32">
        <f t="shared" si="120"/>
        <v>9.9630113108807056E-3</v>
      </c>
      <c r="BH153" s="41">
        <f t="shared" si="121"/>
        <v>1.3661655710413487E-2</v>
      </c>
      <c r="BI153" s="46">
        <f t="shared" si="124"/>
        <v>0.14519413222722549</v>
      </c>
      <c r="BJ153" s="41" t="b">
        <f t="shared" si="125"/>
        <v>0</v>
      </c>
      <c r="BK153" s="41" t="b">
        <f t="shared" si="126"/>
        <v>0</v>
      </c>
      <c r="BL153" s="42" t="str">
        <f>_xlfn.XLOOKUP(AW153,'County Population Strata'!$A$3:$A$66,'County Population Strata'!$P$3:$P$66)</f>
        <v>Tiny</v>
      </c>
    </row>
    <row r="154" spans="18:67" x14ac:dyDescent="0.2">
      <c r="R154" s="16" t="s">
        <v>143</v>
      </c>
      <c r="S154" s="26">
        <v>2205618</v>
      </c>
      <c r="T154" s="26">
        <v>2217639</v>
      </c>
      <c r="U154" s="26">
        <v>2230882</v>
      </c>
      <c r="V154" s="26">
        <v>2254094</v>
      </c>
      <c r="W154" s="26">
        <v>2281231</v>
      </c>
      <c r="X154" s="26">
        <v>2310630</v>
      </c>
      <c r="Y154" s="26">
        <v>2339866</v>
      </c>
      <c r="Z154" s="26">
        <v>2377152</v>
      </c>
      <c r="AA154" s="26">
        <v>2418599</v>
      </c>
      <c r="AB154" s="26">
        <v>2460839</v>
      </c>
      <c r="AC154" s="26">
        <v>2501178</v>
      </c>
      <c r="AD154" s="26">
        <v>2542505</v>
      </c>
      <c r="AE154" s="26">
        <v>2598686</v>
      </c>
      <c r="AG154" s="16" t="s">
        <v>143</v>
      </c>
      <c r="AH154" s="29">
        <v>0</v>
      </c>
      <c r="AI154" s="29">
        <f t="shared" si="122"/>
        <v>5.4501731487501459E-3</v>
      </c>
      <c r="AJ154" s="29">
        <f t="shared" si="101"/>
        <v>5.9716662630842979E-3</v>
      </c>
      <c r="AK154" s="29">
        <f t="shared" si="102"/>
        <v>1.0404853327069741E-2</v>
      </c>
      <c r="AL154" s="29">
        <f t="shared" si="103"/>
        <v>1.2038983289960401E-2</v>
      </c>
      <c r="AM154" s="29">
        <f t="shared" si="104"/>
        <v>1.2887340212367796E-2</v>
      </c>
      <c r="AN154" s="29">
        <f t="shared" si="105"/>
        <v>1.2652826285471928E-2</v>
      </c>
      <c r="AO154" s="29">
        <f t="shared" si="106"/>
        <v>1.5935100557040446E-2</v>
      </c>
      <c r="AP154" s="29">
        <f t="shared" si="107"/>
        <v>1.7435569959346309E-2</v>
      </c>
      <c r="AQ154" s="29">
        <f t="shared" si="108"/>
        <v>1.7464656191456294E-2</v>
      </c>
      <c r="AR154" s="29">
        <f t="shared" si="109"/>
        <v>1.6392376746304817E-2</v>
      </c>
      <c r="AS154" s="29">
        <f t="shared" si="110"/>
        <v>1.6523014355635624E-2</v>
      </c>
      <c r="AT154" s="29">
        <f t="shared" si="111"/>
        <v>2.2096711707548265E-2</v>
      </c>
      <c r="AW154" s="16" t="s">
        <v>143</v>
      </c>
      <c r="AX154" s="32">
        <f t="shared" ref="AX154:AX185" si="127">AVERAGE(AH154:AJ154)</f>
        <v>3.807279803944815E-3</v>
      </c>
      <c r="AY154" s="32">
        <f t="shared" ref="AY154:AY185" si="128">AVERAGE(AI154:AK154)</f>
        <v>7.2755642463013951E-3</v>
      </c>
      <c r="AZ154" s="32">
        <f t="shared" ref="AZ154:AZ185" si="129">AVERAGE(AJ154:AL154)</f>
        <v>9.47183429337148E-3</v>
      </c>
      <c r="BA154" s="32">
        <f t="shared" ref="BA154:BA185" si="130">AVERAGE(AK154:AM154)</f>
        <v>1.1777058943132647E-2</v>
      </c>
      <c r="BB154" s="32">
        <f t="shared" ref="BB154:BB185" si="131">AVERAGE(AL154:AN154)</f>
        <v>1.2526383262600041E-2</v>
      </c>
      <c r="BC154" s="32">
        <f t="shared" ref="BC154:BC185" si="132">AVERAGE(AM154:AO154)</f>
        <v>1.3825089018293388E-2</v>
      </c>
      <c r="BD154" s="32">
        <f t="shared" ref="BD154:BD185" si="133">AVERAGE(AN154:AP154)</f>
        <v>1.534116560061956E-2</v>
      </c>
      <c r="BE154" s="32">
        <f t="shared" ref="BE154:BE185" si="134">AVERAGE(AO154:AQ154)</f>
        <v>1.6945108902614348E-2</v>
      </c>
      <c r="BF154" s="32">
        <f t="shared" ref="BF154:BF185" si="135">AVERAGE(AP154:AR154)</f>
        <v>1.7097534299035804E-2</v>
      </c>
      <c r="BG154" s="32">
        <f t="shared" ref="BG154:BG185" si="136">AVERAGE(AQ154:AS154)</f>
        <v>1.679334909779891E-2</v>
      </c>
      <c r="BH154" s="41"/>
      <c r="BI154" s="46"/>
      <c r="BJ154" s="41" t="b">
        <f t="shared" si="125"/>
        <v>0</v>
      </c>
      <c r="BK154" s="41" t="b">
        <f t="shared" si="126"/>
        <v>0</v>
      </c>
      <c r="BL154" s="42"/>
    </row>
    <row r="155" spans="18:67" x14ac:dyDescent="0.2">
      <c r="R155" s="16" t="s">
        <v>155</v>
      </c>
      <c r="S155" s="26">
        <v>3810</v>
      </c>
      <c r="T155" s="26">
        <v>3828</v>
      </c>
      <c r="U155" s="26">
        <v>3842</v>
      </c>
      <c r="V155" s="26">
        <v>3856</v>
      </c>
      <c r="W155" s="26">
        <v>3871</v>
      </c>
      <c r="X155" s="26">
        <v>3885</v>
      </c>
      <c r="Y155" s="26">
        <v>3906</v>
      </c>
      <c r="Z155" s="26">
        <v>3926</v>
      </c>
      <c r="AA155" s="26">
        <v>3950</v>
      </c>
      <c r="AB155" s="26">
        <v>3978</v>
      </c>
      <c r="AC155" s="26">
        <v>4009</v>
      </c>
      <c r="AD155" s="26">
        <v>4062</v>
      </c>
      <c r="AE155" s="26">
        <v>4119</v>
      </c>
      <c r="AG155" s="16" t="s">
        <v>155</v>
      </c>
      <c r="AH155" s="29">
        <v>0</v>
      </c>
      <c r="AI155" s="29">
        <f t="shared" si="122"/>
        <v>4.7244094488188976E-3</v>
      </c>
      <c r="AJ155" s="29">
        <f t="shared" si="101"/>
        <v>3.6572622779519333E-3</v>
      </c>
      <c r="AK155" s="29">
        <f t="shared" si="102"/>
        <v>3.6439354502863092E-3</v>
      </c>
      <c r="AL155" s="29">
        <f t="shared" si="103"/>
        <v>3.8900414937759337E-3</v>
      </c>
      <c r="AM155" s="29">
        <f t="shared" si="104"/>
        <v>3.616636528028933E-3</v>
      </c>
      <c r="AN155" s="29">
        <f t="shared" si="105"/>
        <v>5.4054054054054057E-3</v>
      </c>
      <c r="AO155" s="29">
        <f t="shared" si="106"/>
        <v>5.1203277009728623E-3</v>
      </c>
      <c r="AP155" s="29">
        <f t="shared" si="107"/>
        <v>6.1130922058074376E-3</v>
      </c>
      <c r="AQ155" s="29">
        <f t="shared" si="108"/>
        <v>7.0886075949367086E-3</v>
      </c>
      <c r="AR155" s="29">
        <f t="shared" si="109"/>
        <v>7.7928607340372047E-3</v>
      </c>
      <c r="AS155" s="29">
        <f t="shared" si="110"/>
        <v>1.3220254427538039E-2</v>
      </c>
      <c r="AT155" s="29">
        <f t="shared" si="111"/>
        <v>1.4032496307237814E-2</v>
      </c>
      <c r="AW155" s="16" t="s">
        <v>155</v>
      </c>
      <c r="AX155" s="32">
        <f t="shared" si="127"/>
        <v>2.7938905755902771E-3</v>
      </c>
      <c r="AY155" s="32">
        <f t="shared" si="128"/>
        <v>4.0085357256857135E-3</v>
      </c>
      <c r="AZ155" s="32">
        <f t="shared" si="129"/>
        <v>3.7304130740047257E-3</v>
      </c>
      <c r="BA155" s="32">
        <f t="shared" si="130"/>
        <v>3.716871157363725E-3</v>
      </c>
      <c r="BB155" s="32">
        <f t="shared" si="131"/>
        <v>4.3040278090700906E-3</v>
      </c>
      <c r="BC155" s="32">
        <f t="shared" si="132"/>
        <v>4.7141232114690668E-3</v>
      </c>
      <c r="BD155" s="32">
        <f t="shared" si="133"/>
        <v>5.5462751040619013E-3</v>
      </c>
      <c r="BE155" s="32">
        <f t="shared" si="134"/>
        <v>6.1073425005723362E-3</v>
      </c>
      <c r="BF155" s="32">
        <f t="shared" si="135"/>
        <v>6.998186844927117E-3</v>
      </c>
      <c r="BG155" s="32">
        <f t="shared" si="136"/>
        <v>9.3672409188373176E-3</v>
      </c>
      <c r="BH155" s="41">
        <f t="shared" ref="BH155:BH186" si="137">AVERAGE(AR155:AT155)</f>
        <v>1.1681870489604354E-2</v>
      </c>
      <c r="BI155" s="46">
        <f t="shared" ref="BI155:BI186" si="138">(BH155-$BO$147)/$BO$148</f>
        <v>-7.9953623584404637E-2</v>
      </c>
      <c r="BJ155" s="41" t="b">
        <f t="shared" si="125"/>
        <v>0</v>
      </c>
      <c r="BK155" s="41" t="b">
        <f t="shared" si="126"/>
        <v>0</v>
      </c>
      <c r="BL155" s="42" t="str">
        <f>_xlfn.XLOOKUP(AW155,'County Population Strata'!$A$3:$A$66,'County Population Strata'!$P$3:$P$66)</f>
        <v>Tiny</v>
      </c>
    </row>
    <row r="156" spans="18:67" x14ac:dyDescent="0.2">
      <c r="R156" s="16" t="s">
        <v>156</v>
      </c>
      <c r="S156" s="26">
        <v>2241</v>
      </c>
      <c r="T156" s="26">
        <v>2301</v>
      </c>
      <c r="U156" s="26">
        <v>2305</v>
      </c>
      <c r="V156" s="26">
        <v>2310</v>
      </c>
      <c r="W156" s="26">
        <v>2310</v>
      </c>
      <c r="X156" s="26">
        <v>2310</v>
      </c>
      <c r="Y156" s="26">
        <v>2310</v>
      </c>
      <c r="Z156" s="26">
        <v>2311</v>
      </c>
      <c r="AA156" s="26">
        <v>2313</v>
      </c>
      <c r="AB156" s="26">
        <v>2374</v>
      </c>
      <c r="AC156" s="26">
        <v>2424</v>
      </c>
      <c r="AD156" s="26">
        <v>2424</v>
      </c>
      <c r="AE156" s="26">
        <v>2424</v>
      </c>
      <c r="AG156" s="16" t="s">
        <v>156</v>
      </c>
      <c r="AH156" s="29">
        <v>0</v>
      </c>
      <c r="AI156" s="29">
        <f t="shared" si="122"/>
        <v>2.677376171352075E-2</v>
      </c>
      <c r="AJ156" s="29">
        <f t="shared" si="101"/>
        <v>1.738374619730552E-3</v>
      </c>
      <c r="AK156" s="29">
        <f t="shared" si="102"/>
        <v>2.1691973969631237E-3</v>
      </c>
      <c r="AL156" s="29">
        <f t="shared" si="103"/>
        <v>0</v>
      </c>
      <c r="AM156" s="29">
        <f t="shared" si="104"/>
        <v>0</v>
      </c>
      <c r="AN156" s="29">
        <f t="shared" si="105"/>
        <v>0</v>
      </c>
      <c r="AO156" s="29">
        <f t="shared" si="106"/>
        <v>4.329004329004329E-4</v>
      </c>
      <c r="AP156" s="29">
        <f t="shared" si="107"/>
        <v>8.6542622241453913E-4</v>
      </c>
      <c r="AQ156" s="29">
        <f t="shared" si="108"/>
        <v>2.6372676178123649E-2</v>
      </c>
      <c r="AR156" s="29">
        <f t="shared" si="109"/>
        <v>2.1061499578770009E-2</v>
      </c>
      <c r="AS156" s="29">
        <f t="shared" si="110"/>
        <v>0</v>
      </c>
      <c r="AT156" s="29">
        <f t="shared" si="111"/>
        <v>0</v>
      </c>
      <c r="AW156" s="16" t="s">
        <v>156</v>
      </c>
      <c r="AX156" s="32">
        <f t="shared" si="127"/>
        <v>9.5040454444171012E-3</v>
      </c>
      <c r="AY156" s="32">
        <f t="shared" si="128"/>
        <v>1.0227111243404809E-2</v>
      </c>
      <c r="AZ156" s="32">
        <f t="shared" si="129"/>
        <v>1.3025240055645586E-3</v>
      </c>
      <c r="BA156" s="32">
        <f t="shared" si="130"/>
        <v>7.2306579898770787E-4</v>
      </c>
      <c r="BB156" s="32">
        <f t="shared" si="131"/>
        <v>0</v>
      </c>
      <c r="BC156" s="32">
        <f t="shared" si="132"/>
        <v>1.443001443001443E-4</v>
      </c>
      <c r="BD156" s="32">
        <f t="shared" si="133"/>
        <v>4.3277555177165732E-4</v>
      </c>
      <c r="BE156" s="32">
        <f t="shared" si="134"/>
        <v>9.2236676111462062E-3</v>
      </c>
      <c r="BF156" s="32">
        <f t="shared" si="135"/>
        <v>1.6099867326436066E-2</v>
      </c>
      <c r="BG156" s="32">
        <f t="shared" si="136"/>
        <v>1.5811391918964551E-2</v>
      </c>
      <c r="BH156" s="41">
        <f t="shared" si="137"/>
        <v>7.0204998595900028E-3</v>
      </c>
      <c r="BI156" s="46">
        <f t="shared" si="138"/>
        <v>-0.61006018530782691</v>
      </c>
      <c r="BJ156" s="41" t="b">
        <f t="shared" si="125"/>
        <v>0</v>
      </c>
      <c r="BK156" s="41" t="b">
        <f t="shared" si="126"/>
        <v>0</v>
      </c>
      <c r="BL156" s="42" t="str">
        <f>_xlfn.XLOOKUP(AW156,'County Population Strata'!$A$3:$A$66,'County Population Strata'!$P$3:$P$66)</f>
        <v>Tiny</v>
      </c>
    </row>
    <row r="157" spans="18:67" x14ac:dyDescent="0.2">
      <c r="R157" s="16" t="s">
        <v>157</v>
      </c>
      <c r="S157" s="26">
        <v>1479</v>
      </c>
      <c r="T157" s="26">
        <v>1483</v>
      </c>
      <c r="U157" s="26">
        <v>1485</v>
      </c>
      <c r="V157" s="26">
        <v>1485</v>
      </c>
      <c r="W157" s="26">
        <v>1488</v>
      </c>
      <c r="X157" s="26">
        <v>1495</v>
      </c>
      <c r="Y157" s="26">
        <v>1500</v>
      </c>
      <c r="Z157" s="26">
        <v>1504</v>
      </c>
      <c r="AA157" s="26">
        <v>1507</v>
      </c>
      <c r="AB157" s="26">
        <v>1508</v>
      </c>
      <c r="AC157" s="26">
        <v>1509</v>
      </c>
      <c r="AD157" s="26">
        <v>1521</v>
      </c>
      <c r="AE157" s="26">
        <v>1535</v>
      </c>
      <c r="AG157" s="16" t="s">
        <v>157</v>
      </c>
      <c r="AH157" s="29">
        <v>0</v>
      </c>
      <c r="AI157" s="29">
        <f t="shared" si="122"/>
        <v>2.7045300878972278E-3</v>
      </c>
      <c r="AJ157" s="29">
        <f t="shared" si="101"/>
        <v>1.3486176668914363E-3</v>
      </c>
      <c r="AK157" s="29">
        <f t="shared" si="102"/>
        <v>0</v>
      </c>
      <c r="AL157" s="29">
        <f t="shared" si="103"/>
        <v>2.0202020202020202E-3</v>
      </c>
      <c r="AM157" s="29">
        <f t="shared" si="104"/>
        <v>4.7043010752688174E-3</v>
      </c>
      <c r="AN157" s="29">
        <f t="shared" si="105"/>
        <v>3.3444816053511705E-3</v>
      </c>
      <c r="AO157" s="29">
        <f t="shared" si="106"/>
        <v>2.6666666666666666E-3</v>
      </c>
      <c r="AP157" s="29">
        <f t="shared" si="107"/>
        <v>1.9946808510638296E-3</v>
      </c>
      <c r="AQ157" s="29">
        <f t="shared" si="108"/>
        <v>6.6357000663570006E-4</v>
      </c>
      <c r="AR157" s="29">
        <f t="shared" si="109"/>
        <v>6.6312997347480103E-4</v>
      </c>
      <c r="AS157" s="29">
        <f t="shared" si="110"/>
        <v>7.9522862823061622E-3</v>
      </c>
      <c r="AT157" s="29">
        <f t="shared" si="111"/>
        <v>9.204470742932281E-3</v>
      </c>
      <c r="AW157" s="16" t="s">
        <v>157</v>
      </c>
      <c r="AX157" s="32">
        <f t="shared" si="127"/>
        <v>1.3510492515962213E-3</v>
      </c>
      <c r="AY157" s="32">
        <f t="shared" si="128"/>
        <v>1.3510492515962213E-3</v>
      </c>
      <c r="AZ157" s="32">
        <f t="shared" si="129"/>
        <v>1.1229398956978187E-3</v>
      </c>
      <c r="BA157" s="32">
        <f t="shared" si="130"/>
        <v>2.2415010318236127E-3</v>
      </c>
      <c r="BB157" s="32">
        <f t="shared" si="131"/>
        <v>3.3563282336073357E-3</v>
      </c>
      <c r="BC157" s="32">
        <f t="shared" si="132"/>
        <v>3.5718164490955513E-3</v>
      </c>
      <c r="BD157" s="32">
        <f t="shared" si="133"/>
        <v>2.6686097076938889E-3</v>
      </c>
      <c r="BE157" s="32">
        <f t="shared" si="134"/>
        <v>1.7749725081220656E-3</v>
      </c>
      <c r="BF157" s="32">
        <f t="shared" si="135"/>
        <v>1.1071269437247769E-3</v>
      </c>
      <c r="BG157" s="32">
        <f t="shared" si="136"/>
        <v>3.0929954208055548E-3</v>
      </c>
      <c r="BH157" s="41">
        <f t="shared" si="137"/>
        <v>5.939962332904415E-3</v>
      </c>
      <c r="BI157" s="46">
        <f t="shared" si="138"/>
        <v>-0.73294250438286346</v>
      </c>
      <c r="BJ157" s="41" t="b">
        <f t="shared" si="125"/>
        <v>0</v>
      </c>
      <c r="BK157" s="41" t="b">
        <f t="shared" si="126"/>
        <v>0</v>
      </c>
      <c r="BL157" s="42" t="str">
        <f>_xlfn.XLOOKUP(AW157,'County Population Strata'!$A$3:$A$66,'County Population Strata'!$P$3:$P$66)</f>
        <v>Tiny</v>
      </c>
    </row>
    <row r="158" spans="18:67" x14ac:dyDescent="0.2">
      <c r="R158" s="16" t="s">
        <v>158</v>
      </c>
      <c r="S158" s="26">
        <v>3593</v>
      </c>
      <c r="T158" s="26">
        <v>3656</v>
      </c>
      <c r="U158" s="26">
        <v>3722</v>
      </c>
      <c r="V158" s="26">
        <v>3775</v>
      </c>
      <c r="W158" s="26">
        <v>3821</v>
      </c>
      <c r="X158" s="26">
        <v>3863</v>
      </c>
      <c r="Y158" s="26">
        <v>3905</v>
      </c>
      <c r="Z158" s="26">
        <v>3964</v>
      </c>
      <c r="AA158" s="26">
        <v>4036</v>
      </c>
      <c r="AB158" s="26">
        <v>4110</v>
      </c>
      <c r="AC158" s="26">
        <v>4198</v>
      </c>
      <c r="AD158" s="26">
        <v>4326</v>
      </c>
      <c r="AE158" s="26">
        <v>4470</v>
      </c>
      <c r="AG158" s="16" t="s">
        <v>158</v>
      </c>
      <c r="AH158" s="29">
        <v>0</v>
      </c>
      <c r="AI158" s="29">
        <f t="shared" si="122"/>
        <v>1.753409407180629E-2</v>
      </c>
      <c r="AJ158" s="29">
        <f t="shared" si="101"/>
        <v>1.8052516411378557E-2</v>
      </c>
      <c r="AK158" s="29">
        <f t="shared" si="102"/>
        <v>1.4239656098871574E-2</v>
      </c>
      <c r="AL158" s="29">
        <f t="shared" si="103"/>
        <v>1.2185430463576159E-2</v>
      </c>
      <c r="AM158" s="29">
        <f t="shared" si="104"/>
        <v>1.0991886940591469E-2</v>
      </c>
      <c r="AN158" s="29">
        <f t="shared" si="105"/>
        <v>1.0872378980067305E-2</v>
      </c>
      <c r="AO158" s="29">
        <f t="shared" si="106"/>
        <v>1.5108834827144686E-2</v>
      </c>
      <c r="AP158" s="29">
        <f t="shared" si="107"/>
        <v>1.8163471241170535E-2</v>
      </c>
      <c r="AQ158" s="29">
        <f t="shared" si="108"/>
        <v>1.8334985133795837E-2</v>
      </c>
      <c r="AR158" s="29">
        <f t="shared" si="109"/>
        <v>2.1411192214111922E-2</v>
      </c>
      <c r="AS158" s="29">
        <f t="shared" si="110"/>
        <v>3.049070986183897E-2</v>
      </c>
      <c r="AT158" s="29">
        <f t="shared" si="111"/>
        <v>3.3287101248266296E-2</v>
      </c>
      <c r="AW158" s="16" t="s">
        <v>158</v>
      </c>
      <c r="AX158" s="32">
        <f t="shared" si="127"/>
        <v>1.1862203494394949E-2</v>
      </c>
      <c r="AY158" s="32">
        <f t="shared" si="128"/>
        <v>1.660875552735214E-2</v>
      </c>
      <c r="AZ158" s="32">
        <f t="shared" si="129"/>
        <v>1.4825867657942096E-2</v>
      </c>
      <c r="BA158" s="32">
        <f t="shared" si="130"/>
        <v>1.2472324501013066E-2</v>
      </c>
      <c r="BB158" s="32">
        <f t="shared" si="131"/>
        <v>1.1349898794744977E-2</v>
      </c>
      <c r="BC158" s="32">
        <f t="shared" si="132"/>
        <v>1.2324366915934486E-2</v>
      </c>
      <c r="BD158" s="32">
        <f t="shared" si="133"/>
        <v>1.4714895016127508E-2</v>
      </c>
      <c r="BE158" s="32">
        <f t="shared" si="134"/>
        <v>1.7202430400703687E-2</v>
      </c>
      <c r="BF158" s="32">
        <f t="shared" si="135"/>
        <v>1.930321619635943E-2</v>
      </c>
      <c r="BG158" s="32">
        <f t="shared" si="136"/>
        <v>2.3412295736582243E-2</v>
      </c>
      <c r="BH158" s="41">
        <f t="shared" si="137"/>
        <v>2.839633444140573E-2</v>
      </c>
      <c r="BI158" s="46">
        <f t="shared" si="138"/>
        <v>1.8208707733188367</v>
      </c>
      <c r="BJ158" s="41" t="b">
        <f t="shared" si="125"/>
        <v>1</v>
      </c>
      <c r="BK158" s="41" t="b">
        <f t="shared" si="126"/>
        <v>0</v>
      </c>
      <c r="BL158" s="42" t="str">
        <f>_xlfn.XLOOKUP(AW158,'County Population Strata'!$A$3:$A$66,'County Population Strata'!$P$3:$P$66)</f>
        <v>Tiny</v>
      </c>
    </row>
    <row r="159" spans="18:67" x14ac:dyDescent="0.2">
      <c r="R159" s="16" t="s">
        <v>159</v>
      </c>
      <c r="S159" s="26">
        <v>14575</v>
      </c>
      <c r="T159" s="26">
        <v>14577</v>
      </c>
      <c r="U159" s="26">
        <v>14616</v>
      </c>
      <c r="V159" s="26">
        <v>14616</v>
      </c>
      <c r="W159" s="26">
        <v>14623</v>
      </c>
      <c r="X159" s="26">
        <v>14673</v>
      </c>
      <c r="Y159" s="26">
        <v>14658</v>
      </c>
      <c r="Z159" s="26">
        <v>14660</v>
      </c>
      <c r="AA159" s="26">
        <v>14694</v>
      </c>
      <c r="AB159" s="26">
        <v>14728</v>
      </c>
      <c r="AC159" s="26">
        <v>14794</v>
      </c>
      <c r="AD159" s="26">
        <v>14860</v>
      </c>
      <c r="AE159" s="26">
        <v>15081</v>
      </c>
      <c r="AG159" s="16" t="s">
        <v>159</v>
      </c>
      <c r="AH159" s="29">
        <v>0</v>
      </c>
      <c r="AI159" s="29">
        <f t="shared" si="122"/>
        <v>1.37221269296741E-4</v>
      </c>
      <c r="AJ159" s="29">
        <f t="shared" si="101"/>
        <v>2.6754476229676888E-3</v>
      </c>
      <c r="AK159" s="29">
        <f t="shared" si="102"/>
        <v>0</v>
      </c>
      <c r="AL159" s="29">
        <f t="shared" si="103"/>
        <v>4.7892720306513407E-4</v>
      </c>
      <c r="AM159" s="29">
        <f t="shared" si="104"/>
        <v>3.4192710114203653E-3</v>
      </c>
      <c r="AN159" s="29">
        <f t="shared" si="105"/>
        <v>-1.0222858311183807E-3</v>
      </c>
      <c r="AO159" s="29">
        <f t="shared" si="106"/>
        <v>1.3644426251876109E-4</v>
      </c>
      <c r="AP159" s="29">
        <f t="shared" si="107"/>
        <v>2.3192360163710778E-3</v>
      </c>
      <c r="AQ159" s="29">
        <f t="shared" si="108"/>
        <v>2.3138696066421667E-3</v>
      </c>
      <c r="AR159" s="29">
        <f t="shared" si="109"/>
        <v>4.4812601846822382E-3</v>
      </c>
      <c r="AS159" s="29">
        <f t="shared" si="110"/>
        <v>4.4612680816547247E-3</v>
      </c>
      <c r="AT159" s="29">
        <f t="shared" si="111"/>
        <v>1.4872139973082099E-2</v>
      </c>
      <c r="AW159" s="16" t="s">
        <v>159</v>
      </c>
      <c r="AX159" s="32">
        <f t="shared" si="127"/>
        <v>9.3755629742147664E-4</v>
      </c>
      <c r="AY159" s="32">
        <f t="shared" si="128"/>
        <v>9.3755629742147664E-4</v>
      </c>
      <c r="AZ159" s="32">
        <f t="shared" si="129"/>
        <v>1.0514582753442744E-3</v>
      </c>
      <c r="BA159" s="32">
        <f t="shared" si="130"/>
        <v>1.2993994048284998E-3</v>
      </c>
      <c r="BB159" s="32">
        <f t="shared" si="131"/>
        <v>9.5863746112237296E-4</v>
      </c>
      <c r="BC159" s="32">
        <f t="shared" si="132"/>
        <v>8.4447648094024849E-4</v>
      </c>
      <c r="BD159" s="32">
        <f t="shared" si="133"/>
        <v>4.7779814925715268E-4</v>
      </c>
      <c r="BE159" s="32">
        <f t="shared" si="134"/>
        <v>1.5898499618440017E-3</v>
      </c>
      <c r="BF159" s="32">
        <f t="shared" si="135"/>
        <v>3.0381219358984941E-3</v>
      </c>
      <c r="BG159" s="32">
        <f t="shared" si="136"/>
        <v>3.7521326243263767E-3</v>
      </c>
      <c r="BH159" s="41">
        <f t="shared" si="137"/>
        <v>7.9382227464730205E-3</v>
      </c>
      <c r="BI159" s="46">
        <f t="shared" si="138"/>
        <v>-0.50569368824193017</v>
      </c>
      <c r="BJ159" s="41" t="b">
        <f t="shared" si="125"/>
        <v>0</v>
      </c>
      <c r="BK159" s="41" t="b">
        <f t="shared" si="126"/>
        <v>0</v>
      </c>
      <c r="BL159" s="42" t="str">
        <f>_xlfn.XLOOKUP(AW159,'County Population Strata'!$A$3:$A$66,'County Population Strata'!$P$3:$P$66)</f>
        <v>Small</v>
      </c>
    </row>
    <row r="160" spans="18:67" x14ac:dyDescent="0.2">
      <c r="R160" s="16" t="s">
        <v>160</v>
      </c>
      <c r="S160" s="26">
        <v>287392</v>
      </c>
      <c r="T160" s="26">
        <v>288388</v>
      </c>
      <c r="U160" s="26">
        <v>290342</v>
      </c>
      <c r="V160" s="26">
        <v>295120</v>
      </c>
      <c r="W160" s="26">
        <v>300889</v>
      </c>
      <c r="X160" s="26">
        <v>306476</v>
      </c>
      <c r="Y160" s="26">
        <v>314369</v>
      </c>
      <c r="Z160" s="26">
        <v>321058</v>
      </c>
      <c r="AA160" s="26">
        <v>331306</v>
      </c>
      <c r="AB160" s="26">
        <v>338605</v>
      </c>
      <c r="AC160" s="26">
        <v>347042</v>
      </c>
      <c r="AD160" s="26">
        <v>352130</v>
      </c>
      <c r="AE160" s="26">
        <v>360938</v>
      </c>
      <c r="AG160" s="16" t="s">
        <v>160</v>
      </c>
      <c r="AH160" s="29">
        <v>0</v>
      </c>
      <c r="AI160" s="29">
        <f t="shared" si="122"/>
        <v>3.4656497049326356E-3</v>
      </c>
      <c r="AJ160" s="29">
        <f t="shared" si="101"/>
        <v>6.7755939914282146E-3</v>
      </c>
      <c r="AK160" s="29">
        <f t="shared" si="102"/>
        <v>1.6456454801578826E-2</v>
      </c>
      <c r="AL160" s="29">
        <f t="shared" si="103"/>
        <v>1.9547980482515586E-2</v>
      </c>
      <c r="AM160" s="29">
        <f t="shared" si="104"/>
        <v>1.8568309243608108E-2</v>
      </c>
      <c r="AN160" s="29">
        <f t="shared" si="105"/>
        <v>2.5754055782508254E-2</v>
      </c>
      <c r="AO160" s="29">
        <f t="shared" si="106"/>
        <v>2.1277543269215476E-2</v>
      </c>
      <c r="AP160" s="29">
        <f t="shared" si="107"/>
        <v>3.1919466264662459E-2</v>
      </c>
      <c r="AQ160" s="29">
        <f t="shared" si="108"/>
        <v>2.2030992496362881E-2</v>
      </c>
      <c r="AR160" s="29">
        <f t="shared" si="109"/>
        <v>2.4916938615791261E-2</v>
      </c>
      <c r="AS160" s="29">
        <f t="shared" si="110"/>
        <v>1.466104967122135E-2</v>
      </c>
      <c r="AT160" s="29">
        <f t="shared" si="111"/>
        <v>2.5013489336324652E-2</v>
      </c>
      <c r="AW160" s="16" t="s">
        <v>160</v>
      </c>
      <c r="AX160" s="32">
        <f t="shared" si="127"/>
        <v>3.4137478987869498E-3</v>
      </c>
      <c r="AY160" s="32">
        <f t="shared" si="128"/>
        <v>8.8992328326465576E-3</v>
      </c>
      <c r="AZ160" s="32">
        <f t="shared" si="129"/>
        <v>1.4260009758507544E-2</v>
      </c>
      <c r="BA160" s="32">
        <f t="shared" si="130"/>
        <v>1.8190914842567508E-2</v>
      </c>
      <c r="BB160" s="32">
        <f t="shared" si="131"/>
        <v>2.1290115169543985E-2</v>
      </c>
      <c r="BC160" s="32">
        <f t="shared" si="132"/>
        <v>2.1866636098443946E-2</v>
      </c>
      <c r="BD160" s="32">
        <f t="shared" si="133"/>
        <v>2.6317021772128728E-2</v>
      </c>
      <c r="BE160" s="32">
        <f t="shared" si="134"/>
        <v>2.5076000676746937E-2</v>
      </c>
      <c r="BF160" s="32">
        <f t="shared" si="135"/>
        <v>2.6289132458938866E-2</v>
      </c>
      <c r="BG160" s="32">
        <f t="shared" si="136"/>
        <v>2.0536326927791834E-2</v>
      </c>
      <c r="BH160" s="41">
        <f t="shared" si="137"/>
        <v>2.1530492541112421E-2</v>
      </c>
      <c r="BI160" s="46">
        <f t="shared" si="138"/>
        <v>1.0400644114162461</v>
      </c>
      <c r="BJ160" s="41" t="b">
        <f t="shared" si="125"/>
        <v>1</v>
      </c>
      <c r="BK160" s="41" t="b">
        <f t="shared" si="126"/>
        <v>0</v>
      </c>
      <c r="BL160" s="42" t="str">
        <f>_xlfn.XLOOKUP(AW160,'County Population Strata'!$A$3:$A$66,'County Population Strata'!$P$3:$P$66)</f>
        <v>Large</v>
      </c>
    </row>
    <row r="161" spans="18:64" x14ac:dyDescent="0.2">
      <c r="R161" s="16" t="s">
        <v>161</v>
      </c>
      <c r="S161" s="26">
        <v>1060</v>
      </c>
      <c r="T161" s="26">
        <v>1096</v>
      </c>
      <c r="U161" s="26">
        <v>1156</v>
      </c>
      <c r="V161" s="26">
        <v>1186</v>
      </c>
      <c r="W161" s="26">
        <v>1212</v>
      </c>
      <c r="X161" s="26">
        <v>1243</v>
      </c>
      <c r="Y161" s="26">
        <v>1267</v>
      </c>
      <c r="Z161" s="26">
        <v>1287</v>
      </c>
      <c r="AA161" s="26">
        <v>1317</v>
      </c>
      <c r="AB161" s="26">
        <v>1318</v>
      </c>
      <c r="AC161" s="26">
        <v>1321</v>
      </c>
      <c r="AD161" s="26">
        <v>1337</v>
      </c>
      <c r="AE161" s="26">
        <v>1357</v>
      </c>
      <c r="AG161" s="16" t="s">
        <v>161</v>
      </c>
      <c r="AH161" s="29">
        <v>0</v>
      </c>
      <c r="AI161" s="29">
        <f t="shared" si="122"/>
        <v>3.3962264150943396E-2</v>
      </c>
      <c r="AJ161" s="29">
        <f t="shared" si="101"/>
        <v>5.4744525547445258E-2</v>
      </c>
      <c r="AK161" s="29">
        <f t="shared" si="102"/>
        <v>2.5951557093425604E-2</v>
      </c>
      <c r="AL161" s="29">
        <f t="shared" si="103"/>
        <v>2.1922428330522766E-2</v>
      </c>
      <c r="AM161" s="29">
        <f t="shared" si="104"/>
        <v>2.5577557755775578E-2</v>
      </c>
      <c r="AN161" s="29">
        <f t="shared" si="105"/>
        <v>1.9308125502815767E-2</v>
      </c>
      <c r="AO161" s="29">
        <f t="shared" si="106"/>
        <v>1.5785319652722968E-2</v>
      </c>
      <c r="AP161" s="29">
        <f t="shared" si="107"/>
        <v>2.3310023310023312E-2</v>
      </c>
      <c r="AQ161" s="29">
        <f t="shared" si="108"/>
        <v>7.5930144267274111E-4</v>
      </c>
      <c r="AR161" s="29">
        <f t="shared" si="109"/>
        <v>2.276176024279211E-3</v>
      </c>
      <c r="AS161" s="29">
        <f t="shared" si="110"/>
        <v>1.2112036336109008E-2</v>
      </c>
      <c r="AT161" s="29">
        <f t="shared" si="111"/>
        <v>1.4958863126402393E-2</v>
      </c>
      <c r="AW161" s="16" t="s">
        <v>161</v>
      </c>
      <c r="AX161" s="32">
        <f t="shared" si="127"/>
        <v>2.9568929899462887E-2</v>
      </c>
      <c r="AY161" s="32">
        <f t="shared" si="128"/>
        <v>3.8219448930604756E-2</v>
      </c>
      <c r="AZ161" s="32">
        <f t="shared" si="129"/>
        <v>3.4206170323797878E-2</v>
      </c>
      <c r="BA161" s="32">
        <f t="shared" si="130"/>
        <v>2.4483847726574651E-2</v>
      </c>
      <c r="BB161" s="32">
        <f t="shared" si="131"/>
        <v>2.2269370529704704E-2</v>
      </c>
      <c r="BC161" s="32">
        <f t="shared" si="132"/>
        <v>2.0223667637104772E-2</v>
      </c>
      <c r="BD161" s="32">
        <f t="shared" si="133"/>
        <v>1.9467822821854015E-2</v>
      </c>
      <c r="BE161" s="32">
        <f t="shared" si="134"/>
        <v>1.3284881468473007E-2</v>
      </c>
      <c r="BF161" s="32">
        <f t="shared" si="135"/>
        <v>8.7818335923250893E-3</v>
      </c>
      <c r="BG161" s="32">
        <f t="shared" si="136"/>
        <v>5.0491712676869862E-3</v>
      </c>
      <c r="BH161" s="41">
        <f t="shared" si="137"/>
        <v>9.7823584955968722E-3</v>
      </c>
      <c r="BI161" s="46">
        <f t="shared" si="138"/>
        <v>-0.29597244122830607</v>
      </c>
      <c r="BJ161" s="41" t="b">
        <f t="shared" si="125"/>
        <v>0</v>
      </c>
      <c r="BK161" s="41" t="b">
        <f t="shared" si="126"/>
        <v>0</v>
      </c>
      <c r="BL161" s="42" t="str">
        <f>_xlfn.XLOOKUP(AW161,'County Population Strata'!$A$3:$A$66,'County Population Strata'!$P$3:$P$66)</f>
        <v>Tiny</v>
      </c>
    </row>
    <row r="162" spans="18:64" x14ac:dyDescent="0.2">
      <c r="R162" s="16" t="s">
        <v>162</v>
      </c>
      <c r="S162" s="26">
        <v>107260</v>
      </c>
      <c r="T162" s="26">
        <v>108031</v>
      </c>
      <c r="U162" s="26">
        <v>109233</v>
      </c>
      <c r="V162" s="26">
        <v>111597</v>
      </c>
      <c r="W162" s="26">
        <v>114036</v>
      </c>
      <c r="X162" s="26">
        <v>117377</v>
      </c>
      <c r="Y162" s="26">
        <v>119437</v>
      </c>
      <c r="Z162" s="26">
        <v>122812</v>
      </c>
      <c r="AA162" s="26">
        <v>128333</v>
      </c>
      <c r="AB162" s="26">
        <v>132630</v>
      </c>
      <c r="AC162" s="26">
        <v>136477</v>
      </c>
      <c r="AD162" s="26">
        <v>140356</v>
      </c>
      <c r="AE162" s="26">
        <v>145974</v>
      </c>
      <c r="AG162" s="16" t="s">
        <v>162</v>
      </c>
      <c r="AH162" s="29">
        <v>0</v>
      </c>
      <c r="AI162" s="29">
        <f t="shared" si="122"/>
        <v>7.1881409658773078E-3</v>
      </c>
      <c r="AJ162" s="29">
        <f t="shared" si="101"/>
        <v>1.1126435930427378E-2</v>
      </c>
      <c r="AK162" s="29">
        <f t="shared" si="102"/>
        <v>2.1641811540468538E-2</v>
      </c>
      <c r="AL162" s="29">
        <f t="shared" si="103"/>
        <v>2.1855426221134976E-2</v>
      </c>
      <c r="AM162" s="29">
        <f t="shared" si="104"/>
        <v>2.9297765617875057E-2</v>
      </c>
      <c r="AN162" s="29">
        <f t="shared" si="105"/>
        <v>1.7550286683081014E-2</v>
      </c>
      <c r="AO162" s="29">
        <f t="shared" si="106"/>
        <v>2.8257575123286752E-2</v>
      </c>
      <c r="AP162" s="29">
        <f t="shared" si="107"/>
        <v>4.4954890401589419E-2</v>
      </c>
      <c r="AQ162" s="29">
        <f t="shared" si="108"/>
        <v>3.3483203852477536E-2</v>
      </c>
      <c r="AR162" s="29">
        <f t="shared" si="109"/>
        <v>2.900550403377818E-2</v>
      </c>
      <c r="AS162" s="29">
        <f t="shared" si="110"/>
        <v>2.8422371535130463E-2</v>
      </c>
      <c r="AT162" s="29">
        <f t="shared" si="111"/>
        <v>4.0026789022200693E-2</v>
      </c>
      <c r="AW162" s="16" t="s">
        <v>162</v>
      </c>
      <c r="AX162" s="32">
        <f t="shared" si="127"/>
        <v>6.1048589654348956E-3</v>
      </c>
      <c r="AY162" s="32">
        <f t="shared" si="128"/>
        <v>1.3318796145591075E-2</v>
      </c>
      <c r="AZ162" s="32">
        <f t="shared" si="129"/>
        <v>1.8207891230676964E-2</v>
      </c>
      <c r="BA162" s="32">
        <f t="shared" si="130"/>
        <v>2.4265001126492856E-2</v>
      </c>
      <c r="BB162" s="32">
        <f t="shared" si="131"/>
        <v>2.2901159507363683E-2</v>
      </c>
      <c r="BC162" s="32">
        <f t="shared" si="132"/>
        <v>2.5035209141414272E-2</v>
      </c>
      <c r="BD162" s="32">
        <f t="shared" si="133"/>
        <v>3.0254250735985727E-2</v>
      </c>
      <c r="BE162" s="32">
        <f t="shared" si="134"/>
        <v>3.556522312578457E-2</v>
      </c>
      <c r="BF162" s="32">
        <f t="shared" si="135"/>
        <v>3.5814532762615044E-2</v>
      </c>
      <c r="BG162" s="32">
        <f t="shared" si="136"/>
        <v>3.0303693140462062E-2</v>
      </c>
      <c r="BH162" s="41">
        <f t="shared" si="137"/>
        <v>3.2484888197036446E-2</v>
      </c>
      <c r="BI162" s="46">
        <f t="shared" si="138"/>
        <v>2.2858346961322678</v>
      </c>
      <c r="BJ162" s="41" t="b">
        <f t="shared" si="125"/>
        <v>1</v>
      </c>
      <c r="BK162" s="41" t="b">
        <f t="shared" si="126"/>
        <v>0</v>
      </c>
      <c r="BL162" s="42" t="str">
        <f>_xlfn.XLOOKUP(AW162,'County Population Strata'!$A$3:$A$66,'County Population Strata'!$P$3:$P$66)</f>
        <v>Medium</v>
      </c>
    </row>
    <row r="163" spans="18:64" x14ac:dyDescent="0.2">
      <c r="R163" s="16" t="s">
        <v>163</v>
      </c>
      <c r="S163" s="26">
        <v>30810</v>
      </c>
      <c r="T163" s="26">
        <v>30875</v>
      </c>
      <c r="U163" s="26">
        <v>30927</v>
      </c>
      <c r="V163" s="26">
        <v>31014</v>
      </c>
      <c r="W163" s="26">
        <v>31120</v>
      </c>
      <c r="X163" s="26">
        <v>31363</v>
      </c>
      <c r="Y163" s="26">
        <v>31539</v>
      </c>
      <c r="Z163" s="26">
        <v>31951</v>
      </c>
      <c r="AA163" s="26">
        <v>32251</v>
      </c>
      <c r="AB163" s="26">
        <v>32626</v>
      </c>
      <c r="AC163" s="26">
        <v>33102</v>
      </c>
      <c r="AD163" s="26">
        <v>33694</v>
      </c>
      <c r="AE163" s="26">
        <v>34333</v>
      </c>
      <c r="AG163" s="16" t="s">
        <v>163</v>
      </c>
      <c r="AH163" s="29">
        <v>0</v>
      </c>
      <c r="AI163" s="29">
        <f t="shared" si="122"/>
        <v>2.1097046413502108E-3</v>
      </c>
      <c r="AJ163" s="29">
        <f t="shared" si="101"/>
        <v>1.6842105263157896E-3</v>
      </c>
      <c r="AK163" s="29">
        <f t="shared" si="102"/>
        <v>2.8130759530507325E-3</v>
      </c>
      <c r="AL163" s="29">
        <f t="shared" si="103"/>
        <v>3.4178113110208295E-3</v>
      </c>
      <c r="AM163" s="29">
        <f t="shared" si="104"/>
        <v>7.8084832904884317E-3</v>
      </c>
      <c r="AN163" s="29">
        <f t="shared" si="105"/>
        <v>5.6117080636418713E-3</v>
      </c>
      <c r="AO163" s="29">
        <f t="shared" si="106"/>
        <v>1.3063191604045784E-2</v>
      </c>
      <c r="AP163" s="29">
        <f t="shared" si="107"/>
        <v>9.3893774842727928E-3</v>
      </c>
      <c r="AQ163" s="29">
        <f t="shared" si="108"/>
        <v>1.1627546432668754E-2</v>
      </c>
      <c r="AR163" s="29">
        <f t="shared" si="109"/>
        <v>1.4589591123643719E-2</v>
      </c>
      <c r="AS163" s="29">
        <f t="shared" si="110"/>
        <v>1.7884115763397983E-2</v>
      </c>
      <c r="AT163" s="29">
        <f t="shared" si="111"/>
        <v>1.8964800854751589E-2</v>
      </c>
      <c r="AW163" s="16" t="s">
        <v>163</v>
      </c>
      <c r="AX163" s="32">
        <f t="shared" si="127"/>
        <v>1.2646383892220001E-3</v>
      </c>
      <c r="AY163" s="32">
        <f t="shared" si="128"/>
        <v>2.2023303735722445E-3</v>
      </c>
      <c r="AZ163" s="32">
        <f t="shared" si="129"/>
        <v>2.6383659301291175E-3</v>
      </c>
      <c r="BA163" s="32">
        <f t="shared" si="130"/>
        <v>4.6797901848533311E-3</v>
      </c>
      <c r="BB163" s="32">
        <f t="shared" si="131"/>
        <v>5.6126675550503781E-3</v>
      </c>
      <c r="BC163" s="32">
        <f t="shared" si="132"/>
        <v>8.8277943193920284E-3</v>
      </c>
      <c r="BD163" s="32">
        <f t="shared" si="133"/>
        <v>9.3547590506534838E-3</v>
      </c>
      <c r="BE163" s="32">
        <f t="shared" si="134"/>
        <v>1.1360038506995776E-2</v>
      </c>
      <c r="BF163" s="32">
        <f t="shared" si="135"/>
        <v>1.1868838346861754E-2</v>
      </c>
      <c r="BG163" s="32">
        <f t="shared" si="136"/>
        <v>1.470041777323682E-2</v>
      </c>
      <c r="BH163" s="41">
        <f t="shared" si="137"/>
        <v>1.714616924726443E-2</v>
      </c>
      <c r="BI163" s="46">
        <f t="shared" si="138"/>
        <v>0.5414645936243464</v>
      </c>
      <c r="BJ163" s="41" t="b">
        <f t="shared" si="125"/>
        <v>0</v>
      </c>
      <c r="BK163" s="41" t="b">
        <f t="shared" si="126"/>
        <v>0</v>
      </c>
      <c r="BL163" s="42" t="str">
        <f>_xlfn.XLOOKUP(AW163,'County Population Strata'!$A$3:$A$66,'County Population Strata'!$P$3:$P$66)</f>
        <v>Small</v>
      </c>
    </row>
    <row r="164" spans="18:64" x14ac:dyDescent="0.2">
      <c r="R164" s="16" t="s">
        <v>165</v>
      </c>
      <c r="S164" s="26">
        <v>253716</v>
      </c>
      <c r="T164" s="26">
        <v>255593</v>
      </c>
      <c r="U164" s="26">
        <v>257927</v>
      </c>
      <c r="V164" s="26">
        <v>261089</v>
      </c>
      <c r="W164" s="26">
        <v>264933</v>
      </c>
      <c r="X164" s="26">
        <v>268705</v>
      </c>
      <c r="Y164" s="26">
        <v>272240</v>
      </c>
      <c r="Z164" s="26">
        <v>276227</v>
      </c>
      <c r="AA164" s="26">
        <v>280240</v>
      </c>
      <c r="AB164" s="26">
        <v>284340</v>
      </c>
      <c r="AC164" s="26">
        <v>288421</v>
      </c>
      <c r="AD164" s="26">
        <v>295128</v>
      </c>
      <c r="AE164" s="26">
        <v>304114</v>
      </c>
      <c r="AG164" s="16" t="s">
        <v>165</v>
      </c>
      <c r="AH164" s="29">
        <v>0</v>
      </c>
      <c r="AI164" s="29">
        <f t="shared" si="122"/>
        <v>7.3980355988585659E-3</v>
      </c>
      <c r="AJ164" s="29">
        <f t="shared" si="101"/>
        <v>9.1317054848919967E-3</v>
      </c>
      <c r="AK164" s="29">
        <f t="shared" si="102"/>
        <v>1.2259282665250245E-2</v>
      </c>
      <c r="AL164" s="29">
        <f t="shared" si="103"/>
        <v>1.4722948879500861E-2</v>
      </c>
      <c r="AM164" s="29">
        <f t="shared" si="104"/>
        <v>1.4237561949624999E-2</v>
      </c>
      <c r="AN164" s="29">
        <f t="shared" si="105"/>
        <v>1.3155691185500829E-2</v>
      </c>
      <c r="AO164" s="29">
        <f t="shared" si="106"/>
        <v>1.4645166029973553E-2</v>
      </c>
      <c r="AP164" s="29">
        <f t="shared" si="107"/>
        <v>1.4527906395826622E-2</v>
      </c>
      <c r="AQ164" s="29">
        <f t="shared" si="108"/>
        <v>1.4630316871253211E-2</v>
      </c>
      <c r="AR164" s="29">
        <f t="shared" si="109"/>
        <v>1.4352535696701132E-2</v>
      </c>
      <c r="AS164" s="29">
        <f t="shared" si="110"/>
        <v>2.3254201323759365E-2</v>
      </c>
      <c r="AT164" s="29">
        <f t="shared" si="111"/>
        <v>3.0447805697866689E-2</v>
      </c>
      <c r="AW164" s="16" t="s">
        <v>165</v>
      </c>
      <c r="AX164" s="32">
        <f t="shared" si="127"/>
        <v>5.5099136945835209E-3</v>
      </c>
      <c r="AY164" s="32">
        <f t="shared" si="128"/>
        <v>9.596341249666936E-3</v>
      </c>
      <c r="AZ164" s="32">
        <f t="shared" si="129"/>
        <v>1.2037979009881036E-2</v>
      </c>
      <c r="BA164" s="32">
        <f t="shared" si="130"/>
        <v>1.3739931164792036E-2</v>
      </c>
      <c r="BB164" s="32">
        <f t="shared" si="131"/>
        <v>1.4038734004875562E-2</v>
      </c>
      <c r="BC164" s="32">
        <f t="shared" si="132"/>
        <v>1.401280638836646E-2</v>
      </c>
      <c r="BD164" s="32">
        <f t="shared" si="133"/>
        <v>1.4109587870433668E-2</v>
      </c>
      <c r="BE164" s="32">
        <f t="shared" si="134"/>
        <v>1.4601129765684463E-2</v>
      </c>
      <c r="BF164" s="32">
        <f t="shared" si="135"/>
        <v>1.4503586321260323E-2</v>
      </c>
      <c r="BG164" s="32">
        <f t="shared" si="136"/>
        <v>1.7412351297237904E-2</v>
      </c>
      <c r="BH164" s="41">
        <f t="shared" si="137"/>
        <v>2.2684847572775727E-2</v>
      </c>
      <c r="BI164" s="46">
        <f t="shared" si="138"/>
        <v>1.1713415025153684</v>
      </c>
      <c r="BJ164" s="41" t="b">
        <f t="shared" si="125"/>
        <v>1</v>
      </c>
      <c r="BK164" s="41" t="b">
        <f t="shared" si="126"/>
        <v>0</v>
      </c>
      <c r="BL164" s="42" t="str">
        <f>_xlfn.XLOOKUP(AW164,'County Population Strata'!$A$3:$A$66,'County Population Strata'!$P$3:$P$66)</f>
        <v>Large</v>
      </c>
    </row>
    <row r="165" spans="18:64" x14ac:dyDescent="0.2">
      <c r="R165" s="16" t="s">
        <v>164</v>
      </c>
      <c r="S165" s="26">
        <v>8949</v>
      </c>
      <c r="T165" s="26">
        <v>8956</v>
      </c>
      <c r="U165" s="26">
        <v>8960</v>
      </c>
      <c r="V165" s="26">
        <v>8978</v>
      </c>
      <c r="W165" s="26">
        <v>9029</v>
      </c>
      <c r="X165" s="26">
        <v>9116</v>
      </c>
      <c r="Y165" s="26">
        <v>9236</v>
      </c>
      <c r="Z165" s="26">
        <v>9328</v>
      </c>
      <c r="AA165" s="26">
        <v>9463</v>
      </c>
      <c r="AB165" s="26">
        <v>9673</v>
      </c>
      <c r="AC165" s="26">
        <v>9858</v>
      </c>
      <c r="AD165" s="26">
        <v>10145</v>
      </c>
      <c r="AE165" s="26">
        <v>10555</v>
      </c>
      <c r="AG165" s="16" t="s">
        <v>164</v>
      </c>
      <c r="AH165" s="29">
        <v>0</v>
      </c>
      <c r="AI165" s="29">
        <f t="shared" si="122"/>
        <v>7.8221030282713151E-4</v>
      </c>
      <c r="AJ165" s="29">
        <f t="shared" si="101"/>
        <v>4.4662795891022776E-4</v>
      </c>
      <c r="AK165" s="29">
        <f t="shared" si="102"/>
        <v>2.0089285714285712E-3</v>
      </c>
      <c r="AL165" s="29">
        <f t="shared" si="103"/>
        <v>5.6805524615727333E-3</v>
      </c>
      <c r="AM165" s="29">
        <f t="shared" si="104"/>
        <v>9.635618562410013E-3</v>
      </c>
      <c r="AN165" s="29">
        <f t="shared" si="105"/>
        <v>1.3163668275559455E-2</v>
      </c>
      <c r="AO165" s="29">
        <f t="shared" si="106"/>
        <v>9.9610220874837598E-3</v>
      </c>
      <c r="AP165" s="29">
        <f t="shared" si="107"/>
        <v>1.4472555746140653E-2</v>
      </c>
      <c r="AQ165" s="29">
        <f t="shared" si="108"/>
        <v>2.2191693965972734E-2</v>
      </c>
      <c r="AR165" s="29">
        <f t="shared" si="109"/>
        <v>1.9125400599607153E-2</v>
      </c>
      <c r="AS165" s="29">
        <f t="shared" si="110"/>
        <v>2.9113410428078718E-2</v>
      </c>
      <c r="AT165" s="29">
        <f t="shared" si="111"/>
        <v>4.0413997042878264E-2</v>
      </c>
      <c r="AW165" s="16" t="s">
        <v>164</v>
      </c>
      <c r="AX165" s="32">
        <f t="shared" si="127"/>
        <v>4.0961275391245309E-4</v>
      </c>
      <c r="AY165" s="32">
        <f t="shared" si="128"/>
        <v>1.0792556110553102E-3</v>
      </c>
      <c r="AZ165" s="32">
        <f t="shared" si="129"/>
        <v>2.7120363306371771E-3</v>
      </c>
      <c r="BA165" s="32">
        <f t="shared" si="130"/>
        <v>5.7750331984704395E-3</v>
      </c>
      <c r="BB165" s="32">
        <f t="shared" si="131"/>
        <v>9.4932797665140678E-3</v>
      </c>
      <c r="BC165" s="32">
        <f t="shared" si="132"/>
        <v>1.0920102975151077E-2</v>
      </c>
      <c r="BD165" s="32">
        <f t="shared" si="133"/>
        <v>1.2532415369727956E-2</v>
      </c>
      <c r="BE165" s="32">
        <f t="shared" si="134"/>
        <v>1.5541757266532383E-2</v>
      </c>
      <c r="BF165" s="32">
        <f t="shared" si="135"/>
        <v>1.8596550103906845E-2</v>
      </c>
      <c r="BG165" s="32">
        <f t="shared" si="136"/>
        <v>2.3476834997886203E-2</v>
      </c>
      <c r="BH165" s="41">
        <f t="shared" si="137"/>
        <v>2.9550936023521379E-2</v>
      </c>
      <c r="BI165" s="46">
        <f t="shared" si="138"/>
        <v>1.9521759029548957</v>
      </c>
      <c r="BJ165" s="41" t="b">
        <f t="shared" si="125"/>
        <v>1</v>
      </c>
      <c r="BK165" s="41" t="b">
        <f t="shared" si="126"/>
        <v>0</v>
      </c>
      <c r="BL165" s="42" t="str">
        <f>_xlfn.XLOOKUP(AW165,'County Population Strata'!$A$3:$A$66,'County Population Strata'!$P$3:$P$66)</f>
        <v>Small</v>
      </c>
    </row>
    <row r="166" spans="18:64" x14ac:dyDescent="0.2">
      <c r="R166" s="16" t="s">
        <v>166</v>
      </c>
      <c r="S166" s="26">
        <v>19448</v>
      </c>
      <c r="T166" s="26">
        <v>19536</v>
      </c>
      <c r="U166" s="26">
        <v>19578</v>
      </c>
      <c r="V166" s="26">
        <v>19620</v>
      </c>
      <c r="W166" s="26">
        <v>19630</v>
      </c>
      <c r="X166" s="26">
        <v>19683</v>
      </c>
      <c r="Y166" s="26">
        <v>19730</v>
      </c>
      <c r="Z166" s="26">
        <v>19834</v>
      </c>
      <c r="AA166" s="26">
        <v>19978</v>
      </c>
      <c r="AB166" s="26">
        <v>20112</v>
      </c>
      <c r="AC166" s="26">
        <v>20281</v>
      </c>
      <c r="AD166" s="26">
        <v>20408</v>
      </c>
      <c r="AE166" s="26">
        <v>20610</v>
      </c>
      <c r="AG166" s="16" t="s">
        <v>166</v>
      </c>
      <c r="AH166" s="29">
        <v>0</v>
      </c>
      <c r="AI166" s="29">
        <f t="shared" si="122"/>
        <v>4.5248868778280547E-3</v>
      </c>
      <c r="AJ166" s="29">
        <f t="shared" si="101"/>
        <v>2.1498771498771499E-3</v>
      </c>
      <c r="AK166" s="29">
        <f t="shared" si="102"/>
        <v>2.1452650934722646E-3</v>
      </c>
      <c r="AL166" s="29">
        <f t="shared" si="103"/>
        <v>5.0968399592252807E-4</v>
      </c>
      <c r="AM166" s="29">
        <f t="shared" si="104"/>
        <v>2.6999490575649516E-3</v>
      </c>
      <c r="AN166" s="29">
        <f t="shared" si="105"/>
        <v>2.3878473809886705E-3</v>
      </c>
      <c r="AO166" s="29">
        <f t="shared" si="106"/>
        <v>5.271160669031931E-3</v>
      </c>
      <c r="AP166" s="29">
        <f t="shared" si="107"/>
        <v>7.2602601593223758E-3</v>
      </c>
      <c r="AQ166" s="29">
        <f t="shared" si="108"/>
        <v>6.7073781159275201E-3</v>
      </c>
      <c r="AR166" s="29">
        <f t="shared" si="109"/>
        <v>8.4029435163086707E-3</v>
      </c>
      <c r="AS166" s="29">
        <f t="shared" si="110"/>
        <v>6.2620186381342141E-3</v>
      </c>
      <c r="AT166" s="29">
        <f t="shared" si="111"/>
        <v>9.8980791846334775E-3</v>
      </c>
      <c r="AW166" s="16" t="s">
        <v>166</v>
      </c>
      <c r="AX166" s="32">
        <f t="shared" si="127"/>
        <v>2.2249213425684015E-3</v>
      </c>
      <c r="AY166" s="32">
        <f t="shared" si="128"/>
        <v>2.9400097070591564E-3</v>
      </c>
      <c r="AZ166" s="32">
        <f t="shared" si="129"/>
        <v>1.6016087464239808E-3</v>
      </c>
      <c r="BA166" s="32">
        <f t="shared" si="130"/>
        <v>1.7849660489865813E-3</v>
      </c>
      <c r="BB166" s="32">
        <f t="shared" si="131"/>
        <v>1.8658268114920499E-3</v>
      </c>
      <c r="BC166" s="32">
        <f t="shared" si="132"/>
        <v>3.452985702528518E-3</v>
      </c>
      <c r="BD166" s="32">
        <f t="shared" si="133"/>
        <v>4.9730894031143258E-3</v>
      </c>
      <c r="BE166" s="32">
        <f t="shared" si="134"/>
        <v>6.4129329814272759E-3</v>
      </c>
      <c r="BF166" s="32">
        <f t="shared" si="135"/>
        <v>7.4568605971861894E-3</v>
      </c>
      <c r="BG166" s="32">
        <f t="shared" si="136"/>
        <v>7.1241134234568014E-3</v>
      </c>
      <c r="BH166" s="41">
        <f t="shared" si="137"/>
        <v>8.1876804463587877E-3</v>
      </c>
      <c r="BI166" s="46">
        <f t="shared" si="138"/>
        <v>-0.47732452945193926</v>
      </c>
      <c r="BJ166" s="41" t="b">
        <f t="shared" si="125"/>
        <v>0</v>
      </c>
      <c r="BK166" s="41" t="b">
        <f t="shared" si="126"/>
        <v>0</v>
      </c>
      <c r="BL166" s="42" t="str">
        <f>_xlfn.XLOOKUP(AW166,'County Population Strata'!$A$3:$A$66,'County Population Strata'!$P$3:$P$66)</f>
        <v>Small</v>
      </c>
    </row>
    <row r="167" spans="18:64" x14ac:dyDescent="0.2">
      <c r="R167" s="16" t="s">
        <v>167</v>
      </c>
      <c r="S167" s="26">
        <v>22892</v>
      </c>
      <c r="T167" s="26">
        <v>22920</v>
      </c>
      <c r="U167" s="26">
        <v>22955</v>
      </c>
      <c r="V167" s="26">
        <v>23042</v>
      </c>
      <c r="W167" s="26">
        <v>23118</v>
      </c>
      <c r="X167" s="26">
        <v>23201</v>
      </c>
      <c r="Y167" s="26">
        <v>23351</v>
      </c>
      <c r="Z167" s="26">
        <v>23511</v>
      </c>
      <c r="AA167" s="26">
        <v>23713</v>
      </c>
      <c r="AB167" s="26">
        <v>23891</v>
      </c>
      <c r="AC167" s="26">
        <v>24169</v>
      </c>
      <c r="AD167" s="26">
        <v>24500</v>
      </c>
      <c r="AE167" s="26">
        <v>25068</v>
      </c>
      <c r="AG167" s="16" t="s">
        <v>167</v>
      </c>
      <c r="AH167" s="29">
        <v>0</v>
      </c>
      <c r="AI167" s="29">
        <f t="shared" si="122"/>
        <v>1.2231347195526823E-3</v>
      </c>
      <c r="AJ167" s="29">
        <f t="shared" si="101"/>
        <v>1.5270506108202443E-3</v>
      </c>
      <c r="AK167" s="29">
        <f t="shared" si="102"/>
        <v>3.7900239599215858E-3</v>
      </c>
      <c r="AL167" s="29">
        <f t="shared" si="103"/>
        <v>3.2983247981946012E-3</v>
      </c>
      <c r="AM167" s="29">
        <f t="shared" si="104"/>
        <v>3.5902759754304005E-3</v>
      </c>
      <c r="AN167" s="29">
        <f t="shared" si="105"/>
        <v>6.4652385673031332E-3</v>
      </c>
      <c r="AO167" s="29">
        <f t="shared" si="106"/>
        <v>6.8519549483962144E-3</v>
      </c>
      <c r="AP167" s="29">
        <f t="shared" si="107"/>
        <v>8.5917230232657061E-3</v>
      </c>
      <c r="AQ167" s="29">
        <f t="shared" si="108"/>
        <v>7.506431071564121E-3</v>
      </c>
      <c r="AR167" s="29">
        <f t="shared" si="109"/>
        <v>1.1636180988656816E-2</v>
      </c>
      <c r="AS167" s="29">
        <f t="shared" si="110"/>
        <v>1.3695229426124373E-2</v>
      </c>
      <c r="AT167" s="29">
        <f t="shared" si="111"/>
        <v>2.3183673469387756E-2</v>
      </c>
      <c r="AW167" s="16" t="s">
        <v>167</v>
      </c>
      <c r="AX167" s="32">
        <f t="shared" si="127"/>
        <v>9.1672844345764214E-4</v>
      </c>
      <c r="AY167" s="32">
        <f t="shared" si="128"/>
        <v>2.180069763431504E-3</v>
      </c>
      <c r="AZ167" s="32">
        <f t="shared" si="129"/>
        <v>2.871799789645477E-3</v>
      </c>
      <c r="BA167" s="32">
        <f t="shared" si="130"/>
        <v>3.5595415778488623E-3</v>
      </c>
      <c r="BB167" s="32">
        <f t="shared" si="131"/>
        <v>4.4512797803093786E-3</v>
      </c>
      <c r="BC167" s="32">
        <f t="shared" si="132"/>
        <v>5.6358231637099162E-3</v>
      </c>
      <c r="BD167" s="32">
        <f t="shared" si="133"/>
        <v>7.3029721796550179E-3</v>
      </c>
      <c r="BE167" s="32">
        <f t="shared" si="134"/>
        <v>7.6500363477420138E-3</v>
      </c>
      <c r="BF167" s="32">
        <f t="shared" si="135"/>
        <v>9.2447783611622151E-3</v>
      </c>
      <c r="BG167" s="32">
        <f t="shared" si="136"/>
        <v>1.0945947162115104E-2</v>
      </c>
      <c r="BH167" s="41">
        <f t="shared" si="137"/>
        <v>1.6171694628056316E-2</v>
      </c>
      <c r="BI167" s="46">
        <f t="shared" si="138"/>
        <v>0.4306441009244204</v>
      </c>
      <c r="BJ167" s="41" t="b">
        <f t="shared" si="125"/>
        <v>0</v>
      </c>
      <c r="BK167" s="41" t="b">
        <f t="shared" si="126"/>
        <v>0</v>
      </c>
      <c r="BL167" s="42" t="str">
        <f>_xlfn.XLOOKUP(AW167,'County Population Strata'!$A$3:$A$66,'County Population Strata'!$P$3:$P$66)</f>
        <v>Small</v>
      </c>
    </row>
    <row r="168" spans="18:64" x14ac:dyDescent="0.2">
      <c r="R168" s="16" t="s">
        <v>168</v>
      </c>
      <c r="S168" s="26">
        <v>3298</v>
      </c>
      <c r="T168" s="26">
        <v>3306</v>
      </c>
      <c r="U168" s="26">
        <v>3321</v>
      </c>
      <c r="V168" s="26">
        <v>3328</v>
      </c>
      <c r="W168" s="26">
        <v>3343</v>
      </c>
      <c r="X168" s="26">
        <v>3354</v>
      </c>
      <c r="Y168" s="26">
        <v>3370</v>
      </c>
      <c r="Z168" s="26">
        <v>3410</v>
      </c>
      <c r="AA168" s="26">
        <v>3461</v>
      </c>
      <c r="AB168" s="26">
        <v>3491</v>
      </c>
      <c r="AC168" s="26">
        <v>3523</v>
      </c>
      <c r="AD168" s="26">
        <v>3543</v>
      </c>
      <c r="AE168" s="26">
        <v>3564</v>
      </c>
      <c r="AG168" s="16" t="s">
        <v>168</v>
      </c>
      <c r="AH168" s="29">
        <v>0</v>
      </c>
      <c r="AI168" s="29">
        <f t="shared" si="122"/>
        <v>2.4257125530624622E-3</v>
      </c>
      <c r="AJ168" s="29">
        <f t="shared" si="101"/>
        <v>4.5372050816696917E-3</v>
      </c>
      <c r="AK168" s="29">
        <f t="shared" si="102"/>
        <v>2.1077988557663355E-3</v>
      </c>
      <c r="AL168" s="29">
        <f t="shared" si="103"/>
        <v>4.5072115384615381E-3</v>
      </c>
      <c r="AM168" s="29">
        <f t="shared" si="104"/>
        <v>3.290457672749028E-3</v>
      </c>
      <c r="AN168" s="29">
        <f t="shared" si="105"/>
        <v>4.7704233750745376E-3</v>
      </c>
      <c r="AO168" s="29">
        <f t="shared" si="106"/>
        <v>1.1869436201780416E-2</v>
      </c>
      <c r="AP168" s="29">
        <f t="shared" si="107"/>
        <v>1.4956011730205278E-2</v>
      </c>
      <c r="AQ168" s="29">
        <f t="shared" si="108"/>
        <v>8.6680150245593765E-3</v>
      </c>
      <c r="AR168" s="29">
        <f t="shared" si="109"/>
        <v>9.1664279576052707E-3</v>
      </c>
      <c r="AS168" s="29">
        <f t="shared" si="110"/>
        <v>5.676979846721544E-3</v>
      </c>
      <c r="AT168" s="29">
        <f t="shared" si="111"/>
        <v>5.9271803556308214E-3</v>
      </c>
      <c r="AW168" s="16" t="s">
        <v>168</v>
      </c>
      <c r="AX168" s="32">
        <f t="shared" si="127"/>
        <v>2.3209725449107178E-3</v>
      </c>
      <c r="AY168" s="32">
        <f t="shared" si="128"/>
        <v>3.023572163499496E-3</v>
      </c>
      <c r="AZ168" s="32">
        <f t="shared" si="129"/>
        <v>3.7174051586325216E-3</v>
      </c>
      <c r="BA168" s="32">
        <f t="shared" si="130"/>
        <v>3.3018226889923005E-3</v>
      </c>
      <c r="BB168" s="32">
        <f t="shared" si="131"/>
        <v>4.189364195428368E-3</v>
      </c>
      <c r="BC168" s="32">
        <f t="shared" si="132"/>
        <v>6.6434390832013262E-3</v>
      </c>
      <c r="BD168" s="32">
        <f t="shared" si="133"/>
        <v>1.053195710235341E-2</v>
      </c>
      <c r="BE168" s="32">
        <f t="shared" si="134"/>
        <v>1.1831154318848356E-2</v>
      </c>
      <c r="BF168" s="32">
        <f t="shared" si="135"/>
        <v>1.0930151570789975E-2</v>
      </c>
      <c r="BG168" s="32">
        <f t="shared" si="136"/>
        <v>7.8371409429620637E-3</v>
      </c>
      <c r="BH168" s="41">
        <f t="shared" si="137"/>
        <v>6.9235293866525454E-3</v>
      </c>
      <c r="BI168" s="46">
        <f t="shared" si="138"/>
        <v>-0.62108798980519453</v>
      </c>
      <c r="BJ168" s="41" t="b">
        <f t="shared" si="125"/>
        <v>0</v>
      </c>
      <c r="BK168" s="41" t="b">
        <f t="shared" si="126"/>
        <v>0</v>
      </c>
      <c r="BL168" s="42" t="str">
        <f>_xlfn.XLOOKUP(AW168,'County Population Strata'!$A$3:$A$66,'County Population Strata'!$P$3:$P$66)</f>
        <v>Tiny</v>
      </c>
    </row>
    <row r="169" spans="18:64" x14ac:dyDescent="0.2">
      <c r="R169" s="16" t="s">
        <v>169</v>
      </c>
      <c r="S169" s="26">
        <v>15396</v>
      </c>
      <c r="T169" s="26">
        <v>15482</v>
      </c>
      <c r="U169" s="26">
        <v>15615</v>
      </c>
      <c r="V169" s="26">
        <v>15676</v>
      </c>
      <c r="W169" s="26">
        <v>15697</v>
      </c>
      <c r="X169" s="26">
        <v>15762</v>
      </c>
      <c r="Y169" s="26">
        <v>15889</v>
      </c>
      <c r="Z169" s="26">
        <v>16043</v>
      </c>
      <c r="AA169" s="26">
        <v>16215</v>
      </c>
      <c r="AB169" s="26">
        <v>16409</v>
      </c>
      <c r="AC169" s="26">
        <v>16805</v>
      </c>
      <c r="AD169" s="26">
        <v>16627</v>
      </c>
      <c r="AE169" s="26">
        <v>17285</v>
      </c>
      <c r="AG169" s="16" t="s">
        <v>169</v>
      </c>
      <c r="AH169" s="29">
        <v>0</v>
      </c>
      <c r="AI169" s="29">
        <f t="shared" si="122"/>
        <v>5.585866458820473E-3</v>
      </c>
      <c r="AJ169" s="29">
        <f t="shared" si="101"/>
        <v>8.590621366748482E-3</v>
      </c>
      <c r="AK169" s="29">
        <f t="shared" si="102"/>
        <v>3.9065001601024654E-3</v>
      </c>
      <c r="AL169" s="29">
        <f t="shared" si="103"/>
        <v>1.3396274559836694E-3</v>
      </c>
      <c r="AM169" s="29">
        <f t="shared" si="104"/>
        <v>4.1409186468751987E-3</v>
      </c>
      <c r="AN169" s="29">
        <f t="shared" si="105"/>
        <v>8.0573531277756631E-3</v>
      </c>
      <c r="AO169" s="29">
        <f t="shared" si="106"/>
        <v>9.6922399144061932E-3</v>
      </c>
      <c r="AP169" s="29">
        <f t="shared" si="107"/>
        <v>1.0721186810446924E-2</v>
      </c>
      <c r="AQ169" s="29">
        <f t="shared" si="108"/>
        <v>1.1964230650632131E-2</v>
      </c>
      <c r="AR169" s="29">
        <f t="shared" si="109"/>
        <v>2.4133097690291913E-2</v>
      </c>
      <c r="AS169" s="29">
        <f t="shared" si="110"/>
        <v>-1.0592085688783101E-2</v>
      </c>
      <c r="AT169" s="29">
        <f t="shared" si="111"/>
        <v>3.9574186564022375E-2</v>
      </c>
      <c r="AW169" s="16" t="s">
        <v>169</v>
      </c>
      <c r="AX169" s="32">
        <f t="shared" si="127"/>
        <v>4.7254959418563183E-3</v>
      </c>
      <c r="AY169" s="32">
        <f t="shared" si="128"/>
        <v>6.0276626618904735E-3</v>
      </c>
      <c r="AZ169" s="32">
        <f t="shared" si="129"/>
        <v>4.6122496609448723E-3</v>
      </c>
      <c r="BA169" s="32">
        <f t="shared" si="130"/>
        <v>3.1290154209871108E-3</v>
      </c>
      <c r="BB169" s="32">
        <f t="shared" si="131"/>
        <v>4.5126330768781768E-3</v>
      </c>
      <c r="BC169" s="32">
        <f t="shared" si="132"/>
        <v>7.296837229685685E-3</v>
      </c>
      <c r="BD169" s="32">
        <f t="shared" si="133"/>
        <v>9.4902599508762606E-3</v>
      </c>
      <c r="BE169" s="32">
        <f t="shared" si="134"/>
        <v>1.0792552458495081E-2</v>
      </c>
      <c r="BF169" s="32">
        <f t="shared" si="135"/>
        <v>1.5606171717123656E-2</v>
      </c>
      <c r="BG169" s="32">
        <f t="shared" si="136"/>
        <v>8.501747550713647E-3</v>
      </c>
      <c r="BH169" s="41">
        <f t="shared" si="137"/>
        <v>1.7705066188510397E-2</v>
      </c>
      <c r="BI169" s="46">
        <f t="shared" si="138"/>
        <v>0.60502421147020835</v>
      </c>
      <c r="BJ169" s="41" t="b">
        <f t="shared" si="125"/>
        <v>0</v>
      </c>
      <c r="BK169" s="41" t="b">
        <f t="shared" si="126"/>
        <v>0</v>
      </c>
      <c r="BL169" s="42" t="str">
        <f>_xlfn.XLOOKUP(AW169,'County Population Strata'!$A$3:$A$66,'County Population Strata'!$P$3:$P$66)</f>
        <v>Tiny</v>
      </c>
    </row>
    <row r="170" spans="18:64" x14ac:dyDescent="0.2">
      <c r="R170" s="16" t="s">
        <v>170</v>
      </c>
      <c r="S170" s="26">
        <v>11431</v>
      </c>
      <c r="T170" s="26">
        <v>11448</v>
      </c>
      <c r="U170" s="26">
        <v>11459</v>
      </c>
      <c r="V170" s="26">
        <v>11475</v>
      </c>
      <c r="W170" s="26">
        <v>11497</v>
      </c>
      <c r="X170" s="26">
        <v>11514</v>
      </c>
      <c r="Y170" s="26">
        <v>11539</v>
      </c>
      <c r="Z170" s="26">
        <v>11633</v>
      </c>
      <c r="AA170" s="26">
        <v>11766</v>
      </c>
      <c r="AB170" s="26">
        <v>11882</v>
      </c>
      <c r="AC170" s="26">
        <v>12220</v>
      </c>
      <c r="AD170" s="26">
        <v>12421</v>
      </c>
      <c r="AE170" s="26">
        <v>12619</v>
      </c>
      <c r="AG170" s="16" t="s">
        <v>170</v>
      </c>
      <c r="AH170" s="29">
        <v>0</v>
      </c>
      <c r="AI170" s="29">
        <f t="shared" si="122"/>
        <v>1.4871839734056512E-3</v>
      </c>
      <c r="AJ170" s="29">
        <f t="shared" si="101"/>
        <v>9.6086652690426273E-4</v>
      </c>
      <c r="AK170" s="29">
        <f t="shared" si="102"/>
        <v>1.3962823981150188E-3</v>
      </c>
      <c r="AL170" s="29">
        <f t="shared" si="103"/>
        <v>1.9172113289760348E-3</v>
      </c>
      <c r="AM170" s="29">
        <f t="shared" si="104"/>
        <v>1.4786466034617726E-3</v>
      </c>
      <c r="AN170" s="29">
        <f t="shared" si="105"/>
        <v>2.1712697585548027E-3</v>
      </c>
      <c r="AO170" s="29">
        <f t="shared" si="106"/>
        <v>8.1462865066296904E-3</v>
      </c>
      <c r="AP170" s="29">
        <f t="shared" si="107"/>
        <v>1.1432992349350985E-2</v>
      </c>
      <c r="AQ170" s="29">
        <f t="shared" si="108"/>
        <v>9.8589155192928771E-3</v>
      </c>
      <c r="AR170" s="29">
        <f t="shared" si="109"/>
        <v>2.8446389496717725E-2</v>
      </c>
      <c r="AS170" s="29">
        <f t="shared" si="110"/>
        <v>1.6448445171849426E-2</v>
      </c>
      <c r="AT170" s="29">
        <f t="shared" si="111"/>
        <v>1.5940745511633523E-2</v>
      </c>
      <c r="AW170" s="16" t="s">
        <v>170</v>
      </c>
      <c r="AX170" s="32">
        <f t="shared" si="127"/>
        <v>8.1601683343663798E-4</v>
      </c>
      <c r="AY170" s="32">
        <f t="shared" si="128"/>
        <v>1.2814442994749777E-3</v>
      </c>
      <c r="AZ170" s="32">
        <f t="shared" si="129"/>
        <v>1.4247867513317721E-3</v>
      </c>
      <c r="BA170" s="32">
        <f t="shared" si="130"/>
        <v>1.5973801101842756E-3</v>
      </c>
      <c r="BB170" s="32">
        <f t="shared" si="131"/>
        <v>1.8557092303308701E-3</v>
      </c>
      <c r="BC170" s="32">
        <f t="shared" si="132"/>
        <v>3.9320676228820879E-3</v>
      </c>
      <c r="BD170" s="32">
        <f t="shared" si="133"/>
        <v>7.2501828715118262E-3</v>
      </c>
      <c r="BE170" s="32">
        <f t="shared" si="134"/>
        <v>9.812731458424517E-3</v>
      </c>
      <c r="BF170" s="32">
        <f t="shared" si="135"/>
        <v>1.657943245512053E-2</v>
      </c>
      <c r="BG170" s="32">
        <f t="shared" si="136"/>
        <v>1.8251250062620007E-2</v>
      </c>
      <c r="BH170" s="41">
        <f t="shared" si="137"/>
        <v>2.0278526726733557E-2</v>
      </c>
      <c r="BI170" s="46">
        <f t="shared" si="138"/>
        <v>0.89768669766349929</v>
      </c>
      <c r="BJ170" s="41" t="b">
        <f t="shared" si="125"/>
        <v>0</v>
      </c>
      <c r="BK170" s="41" t="b">
        <f t="shared" si="126"/>
        <v>0</v>
      </c>
      <c r="BL170" s="42" t="str">
        <f>_xlfn.XLOOKUP(AW170,'County Population Strata'!$A$3:$A$66,'County Population Strata'!$P$3:$P$66)</f>
        <v>Tiny</v>
      </c>
    </row>
    <row r="171" spans="18:64" x14ac:dyDescent="0.2">
      <c r="R171" s="16" t="s">
        <v>171</v>
      </c>
      <c r="S171" s="26">
        <v>1274</v>
      </c>
      <c r="T171" s="26">
        <v>1275</v>
      </c>
      <c r="U171" s="26">
        <v>1281</v>
      </c>
      <c r="V171" s="26">
        <v>1284</v>
      </c>
      <c r="W171" s="26">
        <v>1288</v>
      </c>
      <c r="X171" s="26">
        <v>1292</v>
      </c>
      <c r="Y171" s="26">
        <v>1298</v>
      </c>
      <c r="Z171" s="26">
        <v>1305</v>
      </c>
      <c r="AA171" s="26">
        <v>1313</v>
      </c>
      <c r="AB171" s="26">
        <v>1321</v>
      </c>
      <c r="AC171" s="26">
        <v>1332</v>
      </c>
      <c r="AD171" s="26">
        <v>1347</v>
      </c>
      <c r="AE171" s="26">
        <v>1358</v>
      </c>
      <c r="AG171" s="16" t="s">
        <v>171</v>
      </c>
      <c r="AH171" s="29">
        <v>0</v>
      </c>
      <c r="AI171" s="29">
        <f t="shared" si="122"/>
        <v>7.8492935635792783E-4</v>
      </c>
      <c r="AJ171" s="29">
        <f t="shared" si="101"/>
        <v>4.7058823529411761E-3</v>
      </c>
      <c r="AK171" s="29">
        <f t="shared" si="102"/>
        <v>2.34192037470726E-3</v>
      </c>
      <c r="AL171" s="29">
        <f t="shared" si="103"/>
        <v>3.1152647975077881E-3</v>
      </c>
      <c r="AM171" s="29">
        <f t="shared" si="104"/>
        <v>3.105590062111801E-3</v>
      </c>
      <c r="AN171" s="29">
        <f t="shared" si="105"/>
        <v>4.6439628482972135E-3</v>
      </c>
      <c r="AO171" s="29">
        <f t="shared" si="106"/>
        <v>5.3929121725731898E-3</v>
      </c>
      <c r="AP171" s="29">
        <f t="shared" si="107"/>
        <v>6.1302681992337167E-3</v>
      </c>
      <c r="AQ171" s="29">
        <f t="shared" si="108"/>
        <v>6.0929169840060931E-3</v>
      </c>
      <c r="AR171" s="29">
        <f t="shared" si="109"/>
        <v>8.3270249810749441E-3</v>
      </c>
      <c r="AS171" s="29">
        <f t="shared" si="110"/>
        <v>1.1261261261261261E-2</v>
      </c>
      <c r="AT171" s="29">
        <f t="shared" si="111"/>
        <v>8.1662954714179659E-3</v>
      </c>
      <c r="AW171" s="16" t="s">
        <v>171</v>
      </c>
      <c r="AX171" s="32">
        <f t="shared" si="127"/>
        <v>1.8302705697663679E-3</v>
      </c>
      <c r="AY171" s="32">
        <f t="shared" si="128"/>
        <v>2.6109106946687875E-3</v>
      </c>
      <c r="AZ171" s="32">
        <f t="shared" si="129"/>
        <v>3.3876891750520745E-3</v>
      </c>
      <c r="BA171" s="32">
        <f t="shared" si="130"/>
        <v>2.8542584114422827E-3</v>
      </c>
      <c r="BB171" s="32">
        <f t="shared" si="131"/>
        <v>3.621605902638934E-3</v>
      </c>
      <c r="BC171" s="32">
        <f t="shared" si="132"/>
        <v>4.3808216943274012E-3</v>
      </c>
      <c r="BD171" s="32">
        <f t="shared" si="133"/>
        <v>5.3890477400347072E-3</v>
      </c>
      <c r="BE171" s="32">
        <f t="shared" si="134"/>
        <v>5.8720324519376662E-3</v>
      </c>
      <c r="BF171" s="32">
        <f t="shared" si="135"/>
        <v>6.8500700547715855E-3</v>
      </c>
      <c r="BG171" s="32">
        <f t="shared" si="136"/>
        <v>8.5604010754474335E-3</v>
      </c>
      <c r="BH171" s="41">
        <f t="shared" si="137"/>
        <v>9.2515272379180558E-3</v>
      </c>
      <c r="BI171" s="46">
        <f t="shared" si="138"/>
        <v>-0.35634033625290124</v>
      </c>
      <c r="BJ171" s="41" t="b">
        <f t="shared" si="125"/>
        <v>0</v>
      </c>
      <c r="BK171" s="41" t="b">
        <f t="shared" si="126"/>
        <v>0</v>
      </c>
      <c r="BL171" s="42" t="str">
        <f>_xlfn.XLOOKUP(AW171,'County Population Strata'!$A$3:$A$66,'County Population Strata'!$P$3:$P$66)</f>
        <v>Tiny</v>
      </c>
    </row>
    <row r="172" spans="18:64" x14ac:dyDescent="0.2">
      <c r="R172" s="16" t="s">
        <v>172</v>
      </c>
      <c r="S172" s="26">
        <v>4445</v>
      </c>
      <c r="T172" s="26">
        <v>4474</v>
      </c>
      <c r="U172" s="26">
        <v>4502</v>
      </c>
      <c r="V172" s="26">
        <v>4523</v>
      </c>
      <c r="W172" s="26">
        <v>4531</v>
      </c>
      <c r="X172" s="26">
        <v>4543</v>
      </c>
      <c r="Y172" s="26">
        <v>4571</v>
      </c>
      <c r="Z172" s="26">
        <v>4600</v>
      </c>
      <c r="AA172" s="26">
        <v>4637</v>
      </c>
      <c r="AB172" s="26">
        <v>4674</v>
      </c>
      <c r="AC172" s="26">
        <v>4690</v>
      </c>
      <c r="AD172" s="26">
        <v>4702</v>
      </c>
      <c r="AE172" s="26">
        <v>4747</v>
      </c>
      <c r="AG172" s="16" t="s">
        <v>172</v>
      </c>
      <c r="AH172" s="29">
        <v>0</v>
      </c>
      <c r="AI172" s="29">
        <f t="shared" si="122"/>
        <v>6.5241844769403827E-3</v>
      </c>
      <c r="AJ172" s="29">
        <f t="shared" si="101"/>
        <v>6.2583817612874388E-3</v>
      </c>
      <c r="AK172" s="29">
        <f t="shared" si="102"/>
        <v>4.6645935139937806E-3</v>
      </c>
      <c r="AL172" s="29">
        <f t="shared" si="103"/>
        <v>1.7687375635640063E-3</v>
      </c>
      <c r="AM172" s="29">
        <f t="shared" si="104"/>
        <v>2.6484219819024497E-3</v>
      </c>
      <c r="AN172" s="29">
        <f t="shared" si="105"/>
        <v>6.1633281972265025E-3</v>
      </c>
      <c r="AO172" s="29">
        <f t="shared" si="106"/>
        <v>6.3443447823233424E-3</v>
      </c>
      <c r="AP172" s="29">
        <f t="shared" si="107"/>
        <v>8.0434782608695653E-3</v>
      </c>
      <c r="AQ172" s="29">
        <f t="shared" si="108"/>
        <v>7.9792969592408884E-3</v>
      </c>
      <c r="AR172" s="29">
        <f t="shared" si="109"/>
        <v>3.4231921266581087E-3</v>
      </c>
      <c r="AS172" s="29">
        <f t="shared" si="110"/>
        <v>2.5586353944562902E-3</v>
      </c>
      <c r="AT172" s="29">
        <f t="shared" si="111"/>
        <v>9.5703955763504888E-3</v>
      </c>
      <c r="AW172" s="16" t="s">
        <v>172</v>
      </c>
      <c r="AX172" s="32">
        <f t="shared" si="127"/>
        <v>4.2608554127426075E-3</v>
      </c>
      <c r="AY172" s="32">
        <f t="shared" si="128"/>
        <v>5.8157199174072001E-3</v>
      </c>
      <c r="AZ172" s="32">
        <f t="shared" si="129"/>
        <v>4.2305709462817417E-3</v>
      </c>
      <c r="BA172" s="32">
        <f t="shared" si="130"/>
        <v>3.0272510198200791E-3</v>
      </c>
      <c r="BB172" s="32">
        <f t="shared" si="131"/>
        <v>3.5268292475643197E-3</v>
      </c>
      <c r="BC172" s="32">
        <f t="shared" si="132"/>
        <v>5.0520316538174318E-3</v>
      </c>
      <c r="BD172" s="32">
        <f t="shared" si="133"/>
        <v>6.8503837468064698E-3</v>
      </c>
      <c r="BE172" s="32">
        <f t="shared" si="134"/>
        <v>7.4557066674779326E-3</v>
      </c>
      <c r="BF172" s="32">
        <f t="shared" si="135"/>
        <v>6.4819891155895211E-3</v>
      </c>
      <c r="BG172" s="32">
        <f t="shared" si="136"/>
        <v>4.6537081601184293E-3</v>
      </c>
      <c r="BH172" s="41">
        <f t="shared" si="137"/>
        <v>5.1840743658216294E-3</v>
      </c>
      <c r="BI172" s="46">
        <f t="shared" si="138"/>
        <v>-0.81890459645472458</v>
      </c>
      <c r="BJ172" s="41" t="b">
        <f t="shared" si="125"/>
        <v>0</v>
      </c>
      <c r="BK172" s="41" t="b">
        <f t="shared" si="126"/>
        <v>0</v>
      </c>
      <c r="BL172" s="42" t="str">
        <f>_xlfn.XLOOKUP(AW172,'County Population Strata'!$A$3:$A$66,'County Population Strata'!$P$3:$P$66)</f>
        <v>Tiny</v>
      </c>
    </row>
    <row r="173" spans="18:64" x14ac:dyDescent="0.2">
      <c r="R173" s="16" t="s">
        <v>173</v>
      </c>
      <c r="S173" s="26">
        <v>1140</v>
      </c>
      <c r="T173" s="26">
        <v>1147</v>
      </c>
      <c r="U173" s="26">
        <v>1149</v>
      </c>
      <c r="V173" s="26">
        <v>1151</v>
      </c>
      <c r="W173" s="26">
        <v>1155</v>
      </c>
      <c r="X173" s="26">
        <v>1161</v>
      </c>
      <c r="Y173" s="26">
        <v>1165</v>
      </c>
      <c r="Z173" s="26">
        <v>1172</v>
      </c>
      <c r="AA173" s="26">
        <v>1179</v>
      </c>
      <c r="AB173" s="26">
        <v>1186</v>
      </c>
      <c r="AC173" s="26">
        <v>1191</v>
      </c>
      <c r="AD173" s="26">
        <v>1195</v>
      </c>
      <c r="AE173" s="26">
        <v>1199</v>
      </c>
      <c r="AG173" s="16" t="s">
        <v>173</v>
      </c>
      <c r="AH173" s="29">
        <v>0</v>
      </c>
      <c r="AI173" s="29">
        <f t="shared" si="122"/>
        <v>6.1403508771929825E-3</v>
      </c>
      <c r="AJ173" s="29">
        <f t="shared" si="101"/>
        <v>1.7436791630340018E-3</v>
      </c>
      <c r="AK173" s="29">
        <f t="shared" si="102"/>
        <v>1.7406440382941688E-3</v>
      </c>
      <c r="AL173" s="29">
        <f t="shared" si="103"/>
        <v>3.4752389226759338E-3</v>
      </c>
      <c r="AM173" s="29">
        <f t="shared" si="104"/>
        <v>5.1948051948051948E-3</v>
      </c>
      <c r="AN173" s="29">
        <f t="shared" si="105"/>
        <v>3.4453057708871662E-3</v>
      </c>
      <c r="AO173" s="29">
        <f t="shared" si="106"/>
        <v>6.0085836909871248E-3</v>
      </c>
      <c r="AP173" s="29">
        <f t="shared" si="107"/>
        <v>5.9726962457337888E-3</v>
      </c>
      <c r="AQ173" s="29">
        <f t="shared" si="108"/>
        <v>5.9372349448685328E-3</v>
      </c>
      <c r="AR173" s="29">
        <f t="shared" si="109"/>
        <v>4.2158516020236085E-3</v>
      </c>
      <c r="AS173" s="29">
        <f t="shared" si="110"/>
        <v>3.3585222502099076E-3</v>
      </c>
      <c r="AT173" s="29">
        <f t="shared" si="111"/>
        <v>3.3472803347280333E-3</v>
      </c>
      <c r="AW173" s="16" t="s">
        <v>173</v>
      </c>
      <c r="AX173" s="32">
        <f t="shared" si="127"/>
        <v>2.6280100134089949E-3</v>
      </c>
      <c r="AY173" s="32">
        <f t="shared" si="128"/>
        <v>3.2082246928403849E-3</v>
      </c>
      <c r="AZ173" s="32">
        <f t="shared" si="129"/>
        <v>2.3198540413347014E-3</v>
      </c>
      <c r="BA173" s="32">
        <f t="shared" si="130"/>
        <v>3.4702293852584324E-3</v>
      </c>
      <c r="BB173" s="32">
        <f t="shared" si="131"/>
        <v>4.0384499627894319E-3</v>
      </c>
      <c r="BC173" s="32">
        <f t="shared" si="132"/>
        <v>4.8828982188931615E-3</v>
      </c>
      <c r="BD173" s="32">
        <f t="shared" si="133"/>
        <v>5.1421952358693601E-3</v>
      </c>
      <c r="BE173" s="32">
        <f t="shared" si="134"/>
        <v>5.9728382938631494E-3</v>
      </c>
      <c r="BF173" s="32">
        <f t="shared" si="135"/>
        <v>5.3752609308753098E-3</v>
      </c>
      <c r="BG173" s="32">
        <f t="shared" si="136"/>
        <v>4.5038695990340166E-3</v>
      </c>
      <c r="BH173" s="41">
        <f t="shared" si="137"/>
        <v>3.6405513956538501E-3</v>
      </c>
      <c r="BI173" s="46">
        <f t="shared" si="138"/>
        <v>-0.9944391590548769</v>
      </c>
      <c r="BJ173" s="41" t="b">
        <f t="shared" si="125"/>
        <v>0</v>
      </c>
      <c r="BK173" s="41" t="b">
        <f t="shared" si="126"/>
        <v>0</v>
      </c>
      <c r="BL173" s="42" t="str">
        <f>_xlfn.XLOOKUP(AW173,'County Population Strata'!$A$3:$A$66,'County Population Strata'!$P$3:$P$66)</f>
        <v>Tiny</v>
      </c>
    </row>
    <row r="174" spans="18:64" x14ac:dyDescent="0.2">
      <c r="R174" s="16" t="s">
        <v>174</v>
      </c>
      <c r="S174" s="26">
        <v>230181</v>
      </c>
      <c r="T174" s="26">
        <v>230936</v>
      </c>
      <c r="U174" s="26">
        <v>232054</v>
      </c>
      <c r="V174" s="26">
        <v>233257</v>
      </c>
      <c r="W174" s="26">
        <v>234710</v>
      </c>
      <c r="X174" s="26">
        <v>237424</v>
      </c>
      <c r="Y174" s="26">
        <v>239371</v>
      </c>
      <c r="Z174" s="26">
        <v>242056</v>
      </c>
      <c r="AA174" s="26">
        <v>244236</v>
      </c>
      <c r="AB174" s="26">
        <v>246873</v>
      </c>
      <c r="AC174" s="26">
        <v>248886</v>
      </c>
      <c r="AD174" s="26">
        <v>251462</v>
      </c>
      <c r="AE174" s="26">
        <v>254441</v>
      </c>
      <c r="AG174" s="16" t="s">
        <v>174</v>
      </c>
      <c r="AH174" s="29">
        <v>0</v>
      </c>
      <c r="AI174" s="29">
        <f t="shared" si="122"/>
        <v>3.2800274566536767E-3</v>
      </c>
      <c r="AJ174" s="29">
        <f t="shared" si="101"/>
        <v>4.8411681158416183E-3</v>
      </c>
      <c r="AK174" s="29">
        <f t="shared" si="102"/>
        <v>5.1841381747351912E-3</v>
      </c>
      <c r="AL174" s="29">
        <f t="shared" si="103"/>
        <v>6.2291806891111518E-3</v>
      </c>
      <c r="AM174" s="29">
        <f t="shared" si="104"/>
        <v>1.15632056580461E-2</v>
      </c>
      <c r="AN174" s="29">
        <f t="shared" si="105"/>
        <v>8.2005189028910297E-3</v>
      </c>
      <c r="AO174" s="29">
        <f t="shared" si="106"/>
        <v>1.1216897619176927E-2</v>
      </c>
      <c r="AP174" s="29">
        <f t="shared" si="107"/>
        <v>9.0061803880093858E-3</v>
      </c>
      <c r="AQ174" s="29">
        <f t="shared" si="108"/>
        <v>1.0796934112907188E-2</v>
      </c>
      <c r="AR174" s="29">
        <f t="shared" si="109"/>
        <v>8.1539901082742956E-3</v>
      </c>
      <c r="AS174" s="29">
        <f t="shared" si="110"/>
        <v>1.0350120135322998E-2</v>
      </c>
      <c r="AT174" s="29">
        <f t="shared" si="111"/>
        <v>1.1846720379222308E-2</v>
      </c>
      <c r="AW174" s="16" t="s">
        <v>174</v>
      </c>
      <c r="AX174" s="32">
        <f t="shared" si="127"/>
        <v>2.7070651908317651E-3</v>
      </c>
      <c r="AY174" s="32">
        <f t="shared" si="128"/>
        <v>4.4351112490768289E-3</v>
      </c>
      <c r="AZ174" s="32">
        <f t="shared" si="129"/>
        <v>5.4181623265626535E-3</v>
      </c>
      <c r="BA174" s="32">
        <f t="shared" si="130"/>
        <v>7.6588415072974814E-3</v>
      </c>
      <c r="BB174" s="32">
        <f t="shared" si="131"/>
        <v>8.6643017500160936E-3</v>
      </c>
      <c r="BC174" s="32">
        <f t="shared" si="132"/>
        <v>1.0326874060038018E-2</v>
      </c>
      <c r="BD174" s="32">
        <f t="shared" si="133"/>
        <v>9.4745323033591147E-3</v>
      </c>
      <c r="BE174" s="32">
        <f t="shared" si="134"/>
        <v>1.0340004040031167E-2</v>
      </c>
      <c r="BF174" s="32">
        <f t="shared" si="135"/>
        <v>9.3190348697302899E-3</v>
      </c>
      <c r="BG174" s="32">
        <f t="shared" si="136"/>
        <v>9.7670147855014947E-3</v>
      </c>
      <c r="BH174" s="41">
        <f t="shared" si="137"/>
        <v>1.0116943540939867E-2</v>
      </c>
      <c r="BI174" s="46">
        <f t="shared" si="138"/>
        <v>-0.25792231776273122</v>
      </c>
      <c r="BJ174" s="41" t="b">
        <f t="shared" si="125"/>
        <v>0</v>
      </c>
      <c r="BK174" s="41" t="b">
        <f t="shared" si="126"/>
        <v>0</v>
      </c>
      <c r="BL174" s="42" t="str">
        <f>_xlfn.XLOOKUP(AW174,'County Population Strata'!$A$3:$A$66,'County Population Strata'!$P$3:$P$66)</f>
        <v>Medium</v>
      </c>
    </row>
    <row r="175" spans="18:64" x14ac:dyDescent="0.2">
      <c r="R175" s="16" t="s">
        <v>175</v>
      </c>
      <c r="S175" s="26">
        <v>720</v>
      </c>
      <c r="T175" s="26">
        <v>727</v>
      </c>
      <c r="U175" s="26">
        <v>728</v>
      </c>
      <c r="V175" s="26">
        <v>730</v>
      </c>
      <c r="W175" s="26">
        <v>734</v>
      </c>
      <c r="X175" s="26">
        <v>734</v>
      </c>
      <c r="Y175" s="26">
        <v>734</v>
      </c>
      <c r="Z175" s="26">
        <v>735</v>
      </c>
      <c r="AA175" s="26">
        <v>735</v>
      </c>
      <c r="AB175" s="26">
        <v>735</v>
      </c>
      <c r="AC175" s="26">
        <v>737</v>
      </c>
      <c r="AD175" s="26">
        <v>742</v>
      </c>
      <c r="AE175" s="26">
        <v>748</v>
      </c>
      <c r="AG175" s="16" t="s">
        <v>175</v>
      </c>
      <c r="AH175" s="29">
        <v>0</v>
      </c>
      <c r="AI175" s="29">
        <f t="shared" ref="AI175:AI207" si="139">(T175-S175)/S175</f>
        <v>9.7222222222222224E-3</v>
      </c>
      <c r="AJ175" s="29">
        <f t="shared" ref="AJ175:AJ207" si="140">(U175-T175)/T175</f>
        <v>1.375515818431912E-3</v>
      </c>
      <c r="AK175" s="29">
        <f t="shared" ref="AK175:AK207" si="141">(V175-U175)/U175</f>
        <v>2.7472527472527475E-3</v>
      </c>
      <c r="AL175" s="29">
        <f t="shared" ref="AL175:AL207" si="142">(W175-V175)/V175</f>
        <v>5.4794520547945206E-3</v>
      </c>
      <c r="AM175" s="29">
        <f t="shared" ref="AM175:AM207" si="143">(X175-W175)/W175</f>
        <v>0</v>
      </c>
      <c r="AN175" s="29">
        <f t="shared" ref="AN175:AN207" si="144">(Y175-X175)/X175</f>
        <v>0</v>
      </c>
      <c r="AO175" s="29">
        <f t="shared" ref="AO175:AO207" si="145">(Z175-Y175)/Y175</f>
        <v>1.3623978201634877E-3</v>
      </c>
      <c r="AP175" s="29">
        <f t="shared" ref="AP175:AP207" si="146">(AA175-Z175)/Z175</f>
        <v>0</v>
      </c>
      <c r="AQ175" s="29">
        <f t="shared" ref="AQ175:AQ207" si="147">(AB175-AA175)/AA175</f>
        <v>0</v>
      </c>
      <c r="AR175" s="29">
        <f t="shared" ref="AR175:AR207" si="148">(AC175-AB175)/AB175</f>
        <v>2.7210884353741495E-3</v>
      </c>
      <c r="AS175" s="29">
        <f t="shared" ref="AS175:AS207" si="149">(AD175-AC175)/AC175</f>
        <v>6.7842605156037995E-3</v>
      </c>
      <c r="AT175" s="29">
        <f t="shared" ref="AT175:AT207" si="150">(AE175-AD175)/AD175</f>
        <v>8.0862533692722376E-3</v>
      </c>
      <c r="AW175" s="16" t="s">
        <v>175</v>
      </c>
      <c r="AX175" s="32">
        <f t="shared" si="127"/>
        <v>3.6992460135513781E-3</v>
      </c>
      <c r="AY175" s="32">
        <f t="shared" si="128"/>
        <v>4.6149969293022937E-3</v>
      </c>
      <c r="AZ175" s="32">
        <f t="shared" si="129"/>
        <v>3.2007402068263933E-3</v>
      </c>
      <c r="BA175" s="32">
        <f t="shared" si="130"/>
        <v>2.7422349340157563E-3</v>
      </c>
      <c r="BB175" s="32">
        <f t="shared" si="131"/>
        <v>1.8264840182648401E-3</v>
      </c>
      <c r="BC175" s="32">
        <f t="shared" si="132"/>
        <v>4.5413260672116256E-4</v>
      </c>
      <c r="BD175" s="32">
        <f t="shared" si="133"/>
        <v>4.5413260672116256E-4</v>
      </c>
      <c r="BE175" s="32">
        <f t="shared" si="134"/>
        <v>4.5413260672116256E-4</v>
      </c>
      <c r="BF175" s="32">
        <f t="shared" si="135"/>
        <v>9.0702947845804982E-4</v>
      </c>
      <c r="BG175" s="32">
        <f t="shared" si="136"/>
        <v>3.168449650325983E-3</v>
      </c>
      <c r="BH175" s="41">
        <f t="shared" si="137"/>
        <v>5.8638674400833951E-3</v>
      </c>
      <c r="BI175" s="46">
        <f t="shared" si="138"/>
        <v>-0.74159626852217608</v>
      </c>
      <c r="BJ175" s="41" t="b">
        <f t="shared" si="125"/>
        <v>0</v>
      </c>
      <c r="BK175" s="41" t="b">
        <f t="shared" si="126"/>
        <v>0</v>
      </c>
      <c r="BL175" s="42" t="str">
        <f>_xlfn.XLOOKUP(AW175,'County Population Strata'!$A$3:$A$66,'County Population Strata'!$P$3:$P$66)</f>
        <v>Tiny</v>
      </c>
    </row>
    <row r="176" spans="18:64" x14ac:dyDescent="0.2">
      <c r="R176" s="16" t="s">
        <v>176</v>
      </c>
      <c r="S176" s="26">
        <v>3377</v>
      </c>
      <c r="T176" s="26">
        <v>3379</v>
      </c>
      <c r="U176" s="26">
        <v>3379</v>
      </c>
      <c r="V176" s="26">
        <v>3379</v>
      </c>
      <c r="W176" s="26">
        <v>3402</v>
      </c>
      <c r="X176" s="26">
        <v>3404</v>
      </c>
      <c r="Y176" s="26">
        <v>3404</v>
      </c>
      <c r="Z176" s="26">
        <v>3404</v>
      </c>
      <c r="AA176" s="26">
        <v>3407</v>
      </c>
      <c r="AB176" s="26">
        <v>3409</v>
      </c>
      <c r="AC176" s="26">
        <v>3411</v>
      </c>
      <c r="AD176" s="26">
        <v>3422</v>
      </c>
      <c r="AE176" s="26">
        <v>3428</v>
      </c>
      <c r="AG176" s="16" t="s">
        <v>176</v>
      </c>
      <c r="AH176" s="29">
        <v>0</v>
      </c>
      <c r="AI176" s="29">
        <f t="shared" si="139"/>
        <v>5.9224163458691142E-4</v>
      </c>
      <c r="AJ176" s="29">
        <f t="shared" si="140"/>
        <v>0</v>
      </c>
      <c r="AK176" s="29">
        <f t="shared" si="141"/>
        <v>0</v>
      </c>
      <c r="AL176" s="29">
        <f t="shared" si="142"/>
        <v>6.8067475584492453E-3</v>
      </c>
      <c r="AM176" s="29">
        <f t="shared" si="143"/>
        <v>5.8788947677836567E-4</v>
      </c>
      <c r="AN176" s="29">
        <f t="shared" si="144"/>
        <v>0</v>
      </c>
      <c r="AO176" s="29">
        <f t="shared" si="145"/>
        <v>0</v>
      </c>
      <c r="AP176" s="29">
        <f t="shared" si="146"/>
        <v>8.8131609870740308E-4</v>
      </c>
      <c r="AQ176" s="29">
        <f t="shared" si="147"/>
        <v>5.87026709715292E-4</v>
      </c>
      <c r="AR176" s="29">
        <f t="shared" si="148"/>
        <v>5.8668231152830743E-4</v>
      </c>
      <c r="AS176" s="29">
        <f t="shared" si="149"/>
        <v>3.2248607446496626E-3</v>
      </c>
      <c r="AT176" s="29">
        <f t="shared" si="150"/>
        <v>1.7533606078316774E-3</v>
      </c>
      <c r="AW176" s="16" t="s">
        <v>176</v>
      </c>
      <c r="AX176" s="32">
        <f t="shared" si="127"/>
        <v>1.9741387819563713E-4</v>
      </c>
      <c r="AY176" s="32">
        <f t="shared" si="128"/>
        <v>1.9741387819563713E-4</v>
      </c>
      <c r="AZ176" s="32">
        <f t="shared" si="129"/>
        <v>2.268915852816415E-3</v>
      </c>
      <c r="BA176" s="32">
        <f t="shared" si="130"/>
        <v>2.4648790117425367E-3</v>
      </c>
      <c r="BB176" s="32">
        <f t="shared" si="131"/>
        <v>2.4648790117425367E-3</v>
      </c>
      <c r="BC176" s="32">
        <f t="shared" si="132"/>
        <v>1.9596315892612189E-4</v>
      </c>
      <c r="BD176" s="32">
        <f t="shared" si="133"/>
        <v>2.9377203290246768E-4</v>
      </c>
      <c r="BE176" s="32">
        <f t="shared" si="134"/>
        <v>4.894476028075651E-4</v>
      </c>
      <c r="BF176" s="32">
        <f t="shared" si="135"/>
        <v>6.8500837331700087E-4</v>
      </c>
      <c r="BG176" s="32">
        <f t="shared" si="136"/>
        <v>1.4661899219644205E-3</v>
      </c>
      <c r="BH176" s="41">
        <f t="shared" si="137"/>
        <v>1.8549678880032158E-3</v>
      </c>
      <c r="BI176" s="46">
        <f t="shared" si="138"/>
        <v>-1.1975016505495324</v>
      </c>
      <c r="BJ176" s="41" t="b">
        <f t="shared" si="125"/>
        <v>0</v>
      </c>
      <c r="BK176" s="41" t="b">
        <f t="shared" si="126"/>
        <v>1</v>
      </c>
      <c r="BL176" s="42" t="str">
        <f>_xlfn.XLOOKUP(AW176,'County Population Strata'!$A$3:$A$66,'County Population Strata'!$P$3:$P$66)</f>
        <v>Tiny</v>
      </c>
    </row>
    <row r="177" spans="18:64" x14ac:dyDescent="0.2">
      <c r="R177" s="16" t="s">
        <v>178</v>
      </c>
      <c r="S177" s="26">
        <v>25910</v>
      </c>
      <c r="T177" s="26">
        <v>26063</v>
      </c>
      <c r="U177" s="26">
        <v>26154</v>
      </c>
      <c r="V177" s="26">
        <v>26262</v>
      </c>
      <c r="W177" s="26">
        <v>26464</v>
      </c>
      <c r="X177" s="26">
        <v>26672</v>
      </c>
      <c r="Y177" s="26">
        <v>26937</v>
      </c>
      <c r="Z177" s="26">
        <v>27145</v>
      </c>
      <c r="AA177" s="26">
        <v>27670</v>
      </c>
      <c r="AB177" s="26">
        <v>27983</v>
      </c>
      <c r="AC177" s="26">
        <v>28285</v>
      </c>
      <c r="AD177" s="26">
        <v>28533</v>
      </c>
      <c r="AE177" s="26">
        <v>28946</v>
      </c>
      <c r="AG177" s="16" t="s">
        <v>178</v>
      </c>
      <c r="AH177" s="29">
        <v>0</v>
      </c>
      <c r="AI177" s="29">
        <f t="shared" si="139"/>
        <v>5.9050559629486681E-3</v>
      </c>
      <c r="AJ177" s="29">
        <f t="shared" si="140"/>
        <v>3.4915397306526492E-3</v>
      </c>
      <c r="AK177" s="29">
        <f t="shared" si="141"/>
        <v>4.1293874741913286E-3</v>
      </c>
      <c r="AL177" s="29">
        <f t="shared" si="142"/>
        <v>7.6917218795217422E-3</v>
      </c>
      <c r="AM177" s="29">
        <f t="shared" si="143"/>
        <v>7.8597339782345826E-3</v>
      </c>
      <c r="AN177" s="29">
        <f t="shared" si="144"/>
        <v>9.9355128974205151E-3</v>
      </c>
      <c r="AO177" s="29">
        <f t="shared" si="145"/>
        <v>7.7217210528269667E-3</v>
      </c>
      <c r="AP177" s="29">
        <f t="shared" si="146"/>
        <v>1.9340578375391416E-2</v>
      </c>
      <c r="AQ177" s="29">
        <f t="shared" si="147"/>
        <v>1.1311890133718829E-2</v>
      </c>
      <c r="AR177" s="29">
        <f t="shared" si="148"/>
        <v>1.0792266733373834E-2</v>
      </c>
      <c r="AS177" s="29">
        <f t="shared" si="149"/>
        <v>8.7678981792469503E-3</v>
      </c>
      <c r="AT177" s="29">
        <f t="shared" si="150"/>
        <v>1.4474468159674762E-2</v>
      </c>
      <c r="AW177" s="16" t="s">
        <v>178</v>
      </c>
      <c r="AX177" s="32">
        <f t="shared" si="127"/>
        <v>3.1321985645337727E-3</v>
      </c>
      <c r="AY177" s="32">
        <f t="shared" si="128"/>
        <v>4.5086610559308821E-3</v>
      </c>
      <c r="AZ177" s="32">
        <f t="shared" si="129"/>
        <v>5.1042163614552398E-3</v>
      </c>
      <c r="BA177" s="32">
        <f t="shared" si="130"/>
        <v>6.5602811106492175E-3</v>
      </c>
      <c r="BB177" s="32">
        <f t="shared" si="131"/>
        <v>8.4956562517256133E-3</v>
      </c>
      <c r="BC177" s="32">
        <f t="shared" si="132"/>
        <v>8.5056559761606879E-3</v>
      </c>
      <c r="BD177" s="32">
        <f t="shared" si="133"/>
        <v>1.2332604108546299E-2</v>
      </c>
      <c r="BE177" s="32">
        <f t="shared" si="134"/>
        <v>1.2791396520645737E-2</v>
      </c>
      <c r="BF177" s="32">
        <f t="shared" si="135"/>
        <v>1.3814911747494692E-2</v>
      </c>
      <c r="BG177" s="32">
        <f t="shared" si="136"/>
        <v>1.0290685015446537E-2</v>
      </c>
      <c r="BH177" s="41">
        <f t="shared" si="137"/>
        <v>1.1344877690765183E-2</v>
      </c>
      <c r="BI177" s="46">
        <f t="shared" si="138"/>
        <v>-0.1182775647805665</v>
      </c>
      <c r="BJ177" s="41" t="b">
        <f t="shared" si="125"/>
        <v>0</v>
      </c>
      <c r="BK177" s="41" t="b">
        <f t="shared" si="126"/>
        <v>0</v>
      </c>
      <c r="BL177" s="42" t="str">
        <f>_xlfn.XLOOKUP(AW177,'County Population Strata'!$A$3:$A$66,'County Population Strata'!$P$3:$P$66)</f>
        <v>Small</v>
      </c>
    </row>
    <row r="178" spans="18:64" x14ac:dyDescent="0.2">
      <c r="R178" s="16" t="s">
        <v>177</v>
      </c>
      <c r="S178" s="26">
        <v>4271</v>
      </c>
      <c r="T178" s="26">
        <v>4272</v>
      </c>
      <c r="U178" s="26">
        <v>4277</v>
      </c>
      <c r="V178" s="26">
        <v>4277</v>
      </c>
      <c r="W178" s="26">
        <v>4277</v>
      </c>
      <c r="X178" s="26">
        <v>4277</v>
      </c>
      <c r="Y178" s="26">
        <v>4294</v>
      </c>
      <c r="Z178" s="26">
        <v>4294</v>
      </c>
      <c r="AA178" s="26">
        <v>4300</v>
      </c>
      <c r="AB178" s="26">
        <v>4302</v>
      </c>
      <c r="AC178" s="26">
        <v>4303</v>
      </c>
      <c r="AD178" s="26">
        <v>4348</v>
      </c>
      <c r="AE178" s="26">
        <v>4452</v>
      </c>
      <c r="AG178" s="16" t="s">
        <v>177</v>
      </c>
      <c r="AH178" s="29">
        <v>0</v>
      </c>
      <c r="AI178" s="29">
        <f t="shared" si="139"/>
        <v>2.3413720440177945E-4</v>
      </c>
      <c r="AJ178" s="29">
        <f t="shared" si="140"/>
        <v>1.1704119850187266E-3</v>
      </c>
      <c r="AK178" s="29">
        <f t="shared" si="141"/>
        <v>0</v>
      </c>
      <c r="AL178" s="29">
        <f t="shared" si="142"/>
        <v>0</v>
      </c>
      <c r="AM178" s="29">
        <f t="shared" si="143"/>
        <v>0</v>
      </c>
      <c r="AN178" s="29">
        <f t="shared" si="144"/>
        <v>3.9747486555997196E-3</v>
      </c>
      <c r="AO178" s="29">
        <f t="shared" si="145"/>
        <v>0</v>
      </c>
      <c r="AP178" s="29">
        <f t="shared" si="146"/>
        <v>1.3972985561248254E-3</v>
      </c>
      <c r="AQ178" s="29">
        <f t="shared" si="147"/>
        <v>4.6511627906976747E-4</v>
      </c>
      <c r="AR178" s="29">
        <f t="shared" si="148"/>
        <v>2.3245002324500232E-4</v>
      </c>
      <c r="AS178" s="29">
        <f t="shared" si="149"/>
        <v>1.0457820125493842E-2</v>
      </c>
      <c r="AT178" s="29">
        <f t="shared" si="150"/>
        <v>2.391904323827047E-2</v>
      </c>
      <c r="AW178" s="16" t="s">
        <v>177</v>
      </c>
      <c r="AX178" s="32">
        <f t="shared" si="127"/>
        <v>4.6818306314016871E-4</v>
      </c>
      <c r="AY178" s="32">
        <f t="shared" si="128"/>
        <v>4.6818306314016871E-4</v>
      </c>
      <c r="AZ178" s="32">
        <f t="shared" si="129"/>
        <v>3.9013732833957556E-4</v>
      </c>
      <c r="BA178" s="32">
        <f t="shared" si="130"/>
        <v>0</v>
      </c>
      <c r="BB178" s="32">
        <f t="shared" si="131"/>
        <v>1.3249162185332399E-3</v>
      </c>
      <c r="BC178" s="32">
        <f t="shared" si="132"/>
        <v>1.3249162185332399E-3</v>
      </c>
      <c r="BD178" s="32">
        <f t="shared" si="133"/>
        <v>1.7906824039081819E-3</v>
      </c>
      <c r="BE178" s="32">
        <f t="shared" si="134"/>
        <v>6.2080494506486434E-4</v>
      </c>
      <c r="BF178" s="32">
        <f t="shared" si="135"/>
        <v>6.9828828614653174E-4</v>
      </c>
      <c r="BG178" s="32">
        <f t="shared" si="136"/>
        <v>3.7184621426028706E-3</v>
      </c>
      <c r="BH178" s="41">
        <f t="shared" si="137"/>
        <v>1.1536437795669771E-2</v>
      </c>
      <c r="BI178" s="46">
        <f t="shared" si="138"/>
        <v>-9.6492712934525465E-2</v>
      </c>
      <c r="BJ178" s="41" t="b">
        <f t="shared" si="125"/>
        <v>0</v>
      </c>
      <c r="BK178" s="41" t="b">
        <f t="shared" si="126"/>
        <v>0</v>
      </c>
      <c r="BL178" s="42" t="str">
        <f>_xlfn.XLOOKUP(AW178,'County Population Strata'!$A$3:$A$66,'County Population Strata'!$P$3:$P$66)</f>
        <v>Tiny</v>
      </c>
    </row>
    <row r="179" spans="18:64" x14ac:dyDescent="0.2">
      <c r="R179" s="16" t="s">
        <v>179</v>
      </c>
      <c r="S179" s="26">
        <v>133171</v>
      </c>
      <c r="T179" s="26">
        <v>134606</v>
      </c>
      <c r="U179" s="26">
        <v>136123</v>
      </c>
      <c r="V179" s="26">
        <v>138277</v>
      </c>
      <c r="W179" s="26">
        <v>140988</v>
      </c>
      <c r="X179" s="26">
        <v>143765</v>
      </c>
      <c r="Y179" s="26">
        <v>146124</v>
      </c>
      <c r="Z179" s="26">
        <v>149794</v>
      </c>
      <c r="AA179" s="26">
        <v>152984</v>
      </c>
      <c r="AB179" s="26">
        <v>156745</v>
      </c>
      <c r="AC179" s="26">
        <v>159406</v>
      </c>
      <c r="AD179" s="26">
        <v>162284</v>
      </c>
      <c r="AE179" s="26">
        <v>165658</v>
      </c>
      <c r="AG179" s="16" t="s">
        <v>179</v>
      </c>
      <c r="AH179" s="29">
        <v>0</v>
      </c>
      <c r="AI179" s="29">
        <f t="shared" si="139"/>
        <v>1.0775619316517861E-2</v>
      </c>
      <c r="AJ179" s="29">
        <f t="shared" si="140"/>
        <v>1.1269928532160528E-2</v>
      </c>
      <c r="AK179" s="29">
        <f t="shared" si="141"/>
        <v>1.5823923951132433E-2</v>
      </c>
      <c r="AL179" s="29">
        <f t="shared" si="142"/>
        <v>1.9605574318216332E-2</v>
      </c>
      <c r="AM179" s="29">
        <f t="shared" si="143"/>
        <v>1.9696711776888812E-2</v>
      </c>
      <c r="AN179" s="29">
        <f t="shared" si="144"/>
        <v>1.6408722568079851E-2</v>
      </c>
      <c r="AO179" s="29">
        <f t="shared" si="145"/>
        <v>2.5115655196956011E-2</v>
      </c>
      <c r="AP179" s="29">
        <f t="shared" si="146"/>
        <v>2.1295913053927393E-2</v>
      </c>
      <c r="AQ179" s="29">
        <f t="shared" si="147"/>
        <v>2.4584270250483712E-2</v>
      </c>
      <c r="AR179" s="29">
        <f t="shared" si="148"/>
        <v>1.6976618073941751E-2</v>
      </c>
      <c r="AS179" s="29">
        <f t="shared" si="149"/>
        <v>1.8054527433095366E-2</v>
      </c>
      <c r="AT179" s="29">
        <f t="shared" si="150"/>
        <v>2.0790712577949767E-2</v>
      </c>
      <c r="AW179" s="16" t="s">
        <v>179</v>
      </c>
      <c r="AX179" s="32">
        <f t="shared" si="127"/>
        <v>7.3485159495594631E-3</v>
      </c>
      <c r="AY179" s="32">
        <f t="shared" si="128"/>
        <v>1.2623157266603608E-2</v>
      </c>
      <c r="AZ179" s="32">
        <f t="shared" si="129"/>
        <v>1.5566475600503097E-2</v>
      </c>
      <c r="BA179" s="32">
        <f t="shared" si="130"/>
        <v>1.8375403348745861E-2</v>
      </c>
      <c r="BB179" s="32">
        <f t="shared" si="131"/>
        <v>1.8570336221061665E-2</v>
      </c>
      <c r="BC179" s="32">
        <f t="shared" si="132"/>
        <v>2.0407029847308227E-2</v>
      </c>
      <c r="BD179" s="32">
        <f t="shared" si="133"/>
        <v>2.0940096939654419E-2</v>
      </c>
      <c r="BE179" s="32">
        <f t="shared" si="134"/>
        <v>2.3665279500455706E-2</v>
      </c>
      <c r="BF179" s="32">
        <f t="shared" si="135"/>
        <v>2.0952267126117616E-2</v>
      </c>
      <c r="BG179" s="32">
        <f t="shared" si="136"/>
        <v>1.9871805252506942E-2</v>
      </c>
      <c r="BH179" s="41">
        <f t="shared" si="137"/>
        <v>1.8607286028328961E-2</v>
      </c>
      <c r="BI179" s="46">
        <f t="shared" si="138"/>
        <v>0.70762765049419418</v>
      </c>
      <c r="BJ179" s="41" t="b">
        <f t="shared" si="125"/>
        <v>0</v>
      </c>
      <c r="BK179" s="41" t="b">
        <f t="shared" si="126"/>
        <v>0</v>
      </c>
      <c r="BL179" s="42" t="str">
        <f>_xlfn.XLOOKUP(AW179,'County Population Strata'!$A$3:$A$66,'County Population Strata'!$P$3:$P$66)</f>
        <v>Medium</v>
      </c>
    </row>
    <row r="180" spans="18:64" x14ac:dyDescent="0.2">
      <c r="R180" s="16" t="s">
        <v>180</v>
      </c>
      <c r="S180" s="26">
        <v>7648</v>
      </c>
      <c r="T180" s="26">
        <v>7712</v>
      </c>
      <c r="U180" s="26">
        <v>7789</v>
      </c>
      <c r="V180" s="26">
        <v>7915</v>
      </c>
      <c r="W180" s="26">
        <v>7953</v>
      </c>
      <c r="X180" s="26">
        <v>7959</v>
      </c>
      <c r="Y180" s="26">
        <v>7962</v>
      </c>
      <c r="Z180" s="26">
        <v>7969</v>
      </c>
      <c r="AA180" s="26">
        <v>7989</v>
      </c>
      <c r="AB180" s="26">
        <v>8027</v>
      </c>
      <c r="AC180" s="26">
        <v>8085</v>
      </c>
      <c r="AD180" s="26">
        <v>8114</v>
      </c>
      <c r="AE180" s="26">
        <v>8155</v>
      </c>
      <c r="AG180" s="16" t="s">
        <v>180</v>
      </c>
      <c r="AH180" s="29">
        <v>0</v>
      </c>
      <c r="AI180" s="29">
        <f t="shared" si="139"/>
        <v>8.368200836820083E-3</v>
      </c>
      <c r="AJ180" s="29">
        <f t="shared" si="140"/>
        <v>9.9844398340248955E-3</v>
      </c>
      <c r="AK180" s="29">
        <f t="shared" si="141"/>
        <v>1.617665939144948E-2</v>
      </c>
      <c r="AL180" s="29">
        <f t="shared" si="142"/>
        <v>4.8010107391029695E-3</v>
      </c>
      <c r="AM180" s="29">
        <f t="shared" si="143"/>
        <v>7.5443228970199924E-4</v>
      </c>
      <c r="AN180" s="29">
        <f t="shared" si="144"/>
        <v>3.769317753486619E-4</v>
      </c>
      <c r="AO180" s="29">
        <f t="shared" si="145"/>
        <v>8.7917608641044961E-4</v>
      </c>
      <c r="AP180" s="29">
        <f t="shared" si="146"/>
        <v>2.5097251850922323E-3</v>
      </c>
      <c r="AQ180" s="29">
        <f t="shared" si="147"/>
        <v>4.7565402428338963E-3</v>
      </c>
      <c r="AR180" s="29">
        <f t="shared" si="148"/>
        <v>7.2256135542543912E-3</v>
      </c>
      <c r="AS180" s="29">
        <f t="shared" si="149"/>
        <v>3.5868893011750153E-3</v>
      </c>
      <c r="AT180" s="29">
        <f t="shared" si="150"/>
        <v>5.0529948237614001E-3</v>
      </c>
      <c r="AW180" s="16" t="s">
        <v>180</v>
      </c>
      <c r="AX180" s="32">
        <f t="shared" si="127"/>
        <v>6.1175468902816598E-3</v>
      </c>
      <c r="AY180" s="32">
        <f t="shared" si="128"/>
        <v>1.1509766687431486E-2</v>
      </c>
      <c r="AZ180" s="32">
        <f t="shared" si="129"/>
        <v>1.032070332152578E-2</v>
      </c>
      <c r="BA180" s="32">
        <f t="shared" si="130"/>
        <v>7.2440341400848152E-3</v>
      </c>
      <c r="BB180" s="32">
        <f t="shared" si="131"/>
        <v>1.9774582680512102E-3</v>
      </c>
      <c r="BC180" s="32">
        <f t="shared" si="132"/>
        <v>6.7018005048703701E-4</v>
      </c>
      <c r="BD180" s="32">
        <f t="shared" si="133"/>
        <v>1.2552776822837813E-3</v>
      </c>
      <c r="BE180" s="32">
        <f t="shared" si="134"/>
        <v>2.715147171445526E-3</v>
      </c>
      <c r="BF180" s="32">
        <f t="shared" si="135"/>
        <v>4.8306263273935066E-3</v>
      </c>
      <c r="BG180" s="32">
        <f t="shared" si="136"/>
        <v>5.1896810327544335E-3</v>
      </c>
      <c r="BH180" s="41">
        <f t="shared" si="137"/>
        <v>5.2884992263969354E-3</v>
      </c>
      <c r="BI180" s="46">
        <f t="shared" si="138"/>
        <v>-0.80702905421794413</v>
      </c>
      <c r="BJ180" s="41" t="b">
        <f t="shared" si="125"/>
        <v>0</v>
      </c>
      <c r="BK180" s="41" t="b">
        <f t="shared" si="126"/>
        <v>0</v>
      </c>
      <c r="BL180" s="42" t="str">
        <f>_xlfn.XLOOKUP(AW180,'County Population Strata'!$A$3:$A$66,'County Population Strata'!$P$3:$P$66)</f>
        <v>Tiny</v>
      </c>
    </row>
    <row r="181" spans="18:64" x14ac:dyDescent="0.2">
      <c r="R181" s="16" t="s">
        <v>181</v>
      </c>
      <c r="S181" s="26">
        <v>2242</v>
      </c>
      <c r="T181" s="26">
        <v>2243</v>
      </c>
      <c r="U181" s="26">
        <v>2246</v>
      </c>
      <c r="V181" s="26">
        <v>2257</v>
      </c>
      <c r="W181" s="26">
        <v>2264</v>
      </c>
      <c r="X181" s="26">
        <v>2266</v>
      </c>
      <c r="Y181" s="26">
        <v>2281</v>
      </c>
      <c r="Z181" s="26">
        <v>2290</v>
      </c>
      <c r="AA181" s="26">
        <v>2331</v>
      </c>
      <c r="AB181" s="26">
        <v>2348</v>
      </c>
      <c r="AC181" s="26">
        <v>2360</v>
      </c>
      <c r="AD181" s="26">
        <v>2374</v>
      </c>
      <c r="AE181" s="26">
        <v>2386</v>
      </c>
      <c r="AG181" s="16" t="s">
        <v>181</v>
      </c>
      <c r="AH181" s="29">
        <v>0</v>
      </c>
      <c r="AI181" s="29">
        <f t="shared" si="139"/>
        <v>4.4603033006244426E-4</v>
      </c>
      <c r="AJ181" s="29">
        <f t="shared" si="140"/>
        <v>1.3374944271065537E-3</v>
      </c>
      <c r="AK181" s="29">
        <f t="shared" si="141"/>
        <v>4.8975957257346393E-3</v>
      </c>
      <c r="AL181" s="29">
        <f t="shared" si="142"/>
        <v>3.1014621178555605E-3</v>
      </c>
      <c r="AM181" s="29">
        <f t="shared" si="143"/>
        <v>8.8339222614840988E-4</v>
      </c>
      <c r="AN181" s="29">
        <f t="shared" si="144"/>
        <v>6.6195939982347752E-3</v>
      </c>
      <c r="AO181" s="29">
        <f t="shared" si="145"/>
        <v>3.9456378781236303E-3</v>
      </c>
      <c r="AP181" s="29">
        <f t="shared" si="146"/>
        <v>1.7903930131004366E-2</v>
      </c>
      <c r="AQ181" s="29">
        <f t="shared" si="147"/>
        <v>7.2930072930072927E-3</v>
      </c>
      <c r="AR181" s="29">
        <f t="shared" si="148"/>
        <v>5.1107325383304937E-3</v>
      </c>
      <c r="AS181" s="29">
        <f t="shared" si="149"/>
        <v>5.9322033898305086E-3</v>
      </c>
      <c r="AT181" s="29">
        <f t="shared" si="150"/>
        <v>5.054759898904802E-3</v>
      </c>
      <c r="AW181" s="16" t="s">
        <v>181</v>
      </c>
      <c r="AX181" s="32">
        <f t="shared" si="127"/>
        <v>5.9450825238966602E-4</v>
      </c>
      <c r="AY181" s="32">
        <f t="shared" si="128"/>
        <v>2.2270401609678792E-3</v>
      </c>
      <c r="AZ181" s="32">
        <f t="shared" si="129"/>
        <v>3.1121840902322514E-3</v>
      </c>
      <c r="BA181" s="32">
        <f t="shared" si="130"/>
        <v>2.9608166899128697E-3</v>
      </c>
      <c r="BB181" s="32">
        <f t="shared" si="131"/>
        <v>3.5348161140795822E-3</v>
      </c>
      <c r="BC181" s="32">
        <f t="shared" si="132"/>
        <v>3.8162080341689387E-3</v>
      </c>
      <c r="BD181" s="32">
        <f t="shared" si="133"/>
        <v>9.4897206691209237E-3</v>
      </c>
      <c r="BE181" s="32">
        <f t="shared" si="134"/>
        <v>9.7141917673784304E-3</v>
      </c>
      <c r="BF181" s="32">
        <f t="shared" si="135"/>
        <v>1.0102556654114052E-2</v>
      </c>
      <c r="BG181" s="32">
        <f t="shared" si="136"/>
        <v>6.1119810737227656E-3</v>
      </c>
      <c r="BH181" s="41">
        <f t="shared" si="137"/>
        <v>5.3658986090219353E-3</v>
      </c>
      <c r="BI181" s="46">
        <f t="shared" si="138"/>
        <v>-0.79822693916219967</v>
      </c>
      <c r="BJ181" s="41" t="b">
        <f t="shared" si="125"/>
        <v>0</v>
      </c>
      <c r="BK181" s="41" t="b">
        <f t="shared" si="126"/>
        <v>0</v>
      </c>
      <c r="BL181" s="42" t="str">
        <f>_xlfn.XLOOKUP(AW181,'County Population Strata'!$A$3:$A$66,'County Population Strata'!$P$3:$P$66)</f>
        <v>Tiny</v>
      </c>
    </row>
    <row r="182" spans="18:64" x14ac:dyDescent="0.2">
      <c r="R182" s="16" t="s">
        <v>182</v>
      </c>
      <c r="S182" s="26">
        <v>8488</v>
      </c>
      <c r="T182" s="26">
        <v>8503</v>
      </c>
      <c r="U182" s="26">
        <v>8516</v>
      </c>
      <c r="V182" s="26">
        <v>8526</v>
      </c>
      <c r="W182" s="26">
        <v>8547</v>
      </c>
      <c r="X182" s="26">
        <v>8567</v>
      </c>
      <c r="Y182" s="26">
        <v>8593</v>
      </c>
      <c r="Z182" s="26">
        <v>8607</v>
      </c>
      <c r="AA182" s="26">
        <v>8621</v>
      </c>
      <c r="AB182" s="26">
        <v>8650</v>
      </c>
      <c r="AC182" s="26">
        <v>8674</v>
      </c>
      <c r="AD182" s="26">
        <v>8687</v>
      </c>
      <c r="AE182" s="26">
        <v>8708</v>
      </c>
      <c r="AG182" s="16" t="s">
        <v>182</v>
      </c>
      <c r="AH182" s="29">
        <v>0</v>
      </c>
      <c r="AI182" s="29">
        <f t="shared" si="139"/>
        <v>1.767200754005655E-3</v>
      </c>
      <c r="AJ182" s="29">
        <f t="shared" si="140"/>
        <v>1.5288721627660826E-3</v>
      </c>
      <c r="AK182" s="29">
        <f t="shared" si="141"/>
        <v>1.1742602160638798E-3</v>
      </c>
      <c r="AL182" s="29">
        <f t="shared" si="142"/>
        <v>2.4630541871921183E-3</v>
      </c>
      <c r="AM182" s="29">
        <f t="shared" si="143"/>
        <v>2.34000234000234E-3</v>
      </c>
      <c r="AN182" s="29">
        <f t="shared" si="144"/>
        <v>3.0349013657056147E-3</v>
      </c>
      <c r="AO182" s="29">
        <f t="shared" si="145"/>
        <v>1.6292330967066218E-3</v>
      </c>
      <c r="AP182" s="29">
        <f t="shared" si="146"/>
        <v>1.6265830138259556E-3</v>
      </c>
      <c r="AQ182" s="29">
        <f t="shared" si="147"/>
        <v>3.3638789003595871E-3</v>
      </c>
      <c r="AR182" s="29">
        <f t="shared" si="148"/>
        <v>2.7745664739884392E-3</v>
      </c>
      <c r="AS182" s="29">
        <f t="shared" si="149"/>
        <v>1.4987318422872954E-3</v>
      </c>
      <c r="AT182" s="29">
        <f t="shared" si="150"/>
        <v>2.4174053182917004E-3</v>
      </c>
      <c r="AW182" s="16" t="s">
        <v>182</v>
      </c>
      <c r="AX182" s="32">
        <f t="shared" si="127"/>
        <v>1.0986909722572459E-3</v>
      </c>
      <c r="AY182" s="32">
        <f t="shared" si="128"/>
        <v>1.4901110442785391E-3</v>
      </c>
      <c r="AZ182" s="32">
        <f t="shared" si="129"/>
        <v>1.722062188674027E-3</v>
      </c>
      <c r="BA182" s="32">
        <f t="shared" si="130"/>
        <v>1.992438914419446E-3</v>
      </c>
      <c r="BB182" s="32">
        <f t="shared" si="131"/>
        <v>2.6126526309666908E-3</v>
      </c>
      <c r="BC182" s="32">
        <f t="shared" si="132"/>
        <v>2.3347122674715255E-3</v>
      </c>
      <c r="BD182" s="32">
        <f t="shared" si="133"/>
        <v>2.0969058254127308E-3</v>
      </c>
      <c r="BE182" s="32">
        <f t="shared" si="134"/>
        <v>2.2065650036307213E-3</v>
      </c>
      <c r="BF182" s="32">
        <f t="shared" si="135"/>
        <v>2.5883427960579942E-3</v>
      </c>
      <c r="BG182" s="32">
        <f t="shared" si="136"/>
        <v>2.5457257388784402E-3</v>
      </c>
      <c r="BH182" s="41">
        <f t="shared" si="137"/>
        <v>2.2302345448558117E-3</v>
      </c>
      <c r="BI182" s="46">
        <f t="shared" si="138"/>
        <v>-1.1548250790036734</v>
      </c>
      <c r="BJ182" s="41" t="b">
        <f t="shared" si="125"/>
        <v>0</v>
      </c>
      <c r="BK182" s="41" t="b">
        <f t="shared" si="126"/>
        <v>1</v>
      </c>
      <c r="BL182" s="42" t="str">
        <f>_xlfn.XLOOKUP(AW182,'County Population Strata'!$A$3:$A$66,'County Population Strata'!$P$3:$P$66)</f>
        <v>Small</v>
      </c>
    </row>
    <row r="183" spans="18:64" x14ac:dyDescent="0.2">
      <c r="R183" s="16" t="s">
        <v>183</v>
      </c>
      <c r="S183" s="26">
        <v>62994</v>
      </c>
      <c r="T183" s="26">
        <v>63269</v>
      </c>
      <c r="U183" s="26">
        <v>63472</v>
      </c>
      <c r="V183" s="26">
        <v>63811</v>
      </c>
      <c r="W183" s="26">
        <v>64108</v>
      </c>
      <c r="X183" s="26">
        <v>64529</v>
      </c>
      <c r="Y183" s="26">
        <v>64807</v>
      </c>
      <c r="Z183" s="26">
        <v>65240</v>
      </c>
      <c r="AA183" s="26">
        <v>65823</v>
      </c>
      <c r="AB183" s="26">
        <v>66587</v>
      </c>
      <c r="AC183" s="26">
        <v>67680</v>
      </c>
      <c r="AD183" s="26">
        <v>68720</v>
      </c>
      <c r="AE183" s="26">
        <v>70017</v>
      </c>
      <c r="AG183" s="16" t="s">
        <v>183</v>
      </c>
      <c r="AH183" s="29">
        <v>0</v>
      </c>
      <c r="AI183" s="29">
        <f t="shared" si="139"/>
        <v>4.3654951265199859E-3</v>
      </c>
      <c r="AJ183" s="29">
        <f t="shared" si="140"/>
        <v>3.208522341114922E-3</v>
      </c>
      <c r="AK183" s="29">
        <f t="shared" si="141"/>
        <v>5.3409377363246788E-3</v>
      </c>
      <c r="AL183" s="29">
        <f t="shared" si="142"/>
        <v>4.6543699362178934E-3</v>
      </c>
      <c r="AM183" s="29">
        <f t="shared" si="143"/>
        <v>6.5670431147438696E-3</v>
      </c>
      <c r="AN183" s="29">
        <f t="shared" si="144"/>
        <v>4.3081405259650703E-3</v>
      </c>
      <c r="AO183" s="29">
        <f t="shared" si="145"/>
        <v>6.6813770117425588E-3</v>
      </c>
      <c r="AP183" s="29">
        <f t="shared" si="146"/>
        <v>8.9362354383813614E-3</v>
      </c>
      <c r="AQ183" s="29">
        <f t="shared" si="147"/>
        <v>1.1606885131337071E-2</v>
      </c>
      <c r="AR183" s="29">
        <f t="shared" si="148"/>
        <v>1.6414615465481251E-2</v>
      </c>
      <c r="AS183" s="29">
        <f t="shared" si="149"/>
        <v>1.5366430260047281E-2</v>
      </c>
      <c r="AT183" s="29">
        <f t="shared" si="150"/>
        <v>1.8873690337601862E-2</v>
      </c>
      <c r="AW183" s="16" t="s">
        <v>183</v>
      </c>
      <c r="AX183" s="32">
        <f t="shared" si="127"/>
        <v>2.524672489211636E-3</v>
      </c>
      <c r="AY183" s="32">
        <f t="shared" si="128"/>
        <v>4.3049850679865295E-3</v>
      </c>
      <c r="AZ183" s="32">
        <f t="shared" si="129"/>
        <v>4.4012766712191653E-3</v>
      </c>
      <c r="BA183" s="32">
        <f t="shared" si="130"/>
        <v>5.5207835957621467E-3</v>
      </c>
      <c r="BB183" s="32">
        <f t="shared" si="131"/>
        <v>5.1765178589756105E-3</v>
      </c>
      <c r="BC183" s="32">
        <f t="shared" si="132"/>
        <v>5.8521868841505007E-3</v>
      </c>
      <c r="BD183" s="32">
        <f t="shared" si="133"/>
        <v>6.6419176586963308E-3</v>
      </c>
      <c r="BE183" s="32">
        <f t="shared" si="134"/>
        <v>9.0748325271536642E-3</v>
      </c>
      <c r="BF183" s="32">
        <f t="shared" si="135"/>
        <v>1.231924534506656E-2</v>
      </c>
      <c r="BG183" s="32">
        <f t="shared" si="136"/>
        <v>1.4462643618955202E-2</v>
      </c>
      <c r="BH183" s="41">
        <f t="shared" si="137"/>
        <v>1.6884912021043464E-2</v>
      </c>
      <c r="BI183" s="46">
        <f t="shared" si="138"/>
        <v>0.51175355347970797</v>
      </c>
      <c r="BJ183" s="41" t="b">
        <f t="shared" si="125"/>
        <v>0</v>
      </c>
      <c r="BK183" s="41" t="b">
        <f t="shared" si="126"/>
        <v>0</v>
      </c>
      <c r="BL183" s="42" t="str">
        <f>_xlfn.XLOOKUP(AW183,'County Population Strata'!$A$3:$A$66,'County Population Strata'!$P$3:$P$66)</f>
        <v>Small</v>
      </c>
    </row>
    <row r="184" spans="18:64" x14ac:dyDescent="0.2">
      <c r="R184" s="16" t="s">
        <v>184</v>
      </c>
      <c r="S184" s="26">
        <v>1097</v>
      </c>
      <c r="T184" s="26">
        <v>1102</v>
      </c>
      <c r="U184" s="26">
        <v>1111</v>
      </c>
      <c r="V184" s="26">
        <v>1119</v>
      </c>
      <c r="W184" s="26">
        <v>1130</v>
      </c>
      <c r="X184" s="26">
        <v>1136</v>
      </c>
      <c r="Y184" s="26">
        <v>1148</v>
      </c>
      <c r="Z184" s="26">
        <v>1162</v>
      </c>
      <c r="AA184" s="26">
        <v>1181</v>
      </c>
      <c r="AB184" s="26">
        <v>1200</v>
      </c>
      <c r="AC184" s="26">
        <v>1221</v>
      </c>
      <c r="AD184" s="26">
        <v>1290</v>
      </c>
      <c r="AE184" s="26">
        <v>1298</v>
      </c>
      <c r="AG184" s="16" t="s">
        <v>184</v>
      </c>
      <c r="AH184" s="29">
        <v>0</v>
      </c>
      <c r="AI184" s="29">
        <f t="shared" si="139"/>
        <v>4.5578851412944391E-3</v>
      </c>
      <c r="AJ184" s="29">
        <f t="shared" si="140"/>
        <v>8.1669691470054439E-3</v>
      </c>
      <c r="AK184" s="29">
        <f t="shared" si="141"/>
        <v>7.2007200720072004E-3</v>
      </c>
      <c r="AL184" s="29">
        <f t="shared" si="142"/>
        <v>9.8302055406613055E-3</v>
      </c>
      <c r="AM184" s="29">
        <f t="shared" si="143"/>
        <v>5.3097345132743362E-3</v>
      </c>
      <c r="AN184" s="29">
        <f t="shared" si="144"/>
        <v>1.0563380281690141E-2</v>
      </c>
      <c r="AO184" s="29">
        <f t="shared" si="145"/>
        <v>1.2195121951219513E-2</v>
      </c>
      <c r="AP184" s="29">
        <f t="shared" si="146"/>
        <v>1.6351118760757316E-2</v>
      </c>
      <c r="AQ184" s="29">
        <f t="shared" si="147"/>
        <v>1.6088060965283656E-2</v>
      </c>
      <c r="AR184" s="29">
        <f t="shared" si="148"/>
        <v>1.7500000000000002E-2</v>
      </c>
      <c r="AS184" s="29">
        <f t="shared" si="149"/>
        <v>5.6511056511056514E-2</v>
      </c>
      <c r="AT184" s="29">
        <f t="shared" si="150"/>
        <v>6.2015503875968991E-3</v>
      </c>
      <c r="AW184" s="16" t="s">
        <v>184</v>
      </c>
      <c r="AX184" s="32">
        <f t="shared" si="127"/>
        <v>4.2416180960999613E-3</v>
      </c>
      <c r="AY184" s="32">
        <f t="shared" si="128"/>
        <v>6.6418581201023617E-3</v>
      </c>
      <c r="AZ184" s="32">
        <f t="shared" si="129"/>
        <v>8.3992982532246508E-3</v>
      </c>
      <c r="BA184" s="32">
        <f t="shared" si="130"/>
        <v>7.4468867086476135E-3</v>
      </c>
      <c r="BB184" s="32">
        <f t="shared" si="131"/>
        <v>8.5677734452085947E-3</v>
      </c>
      <c r="BC184" s="32">
        <f t="shared" si="132"/>
        <v>9.3560789153946632E-3</v>
      </c>
      <c r="BD184" s="32">
        <f t="shared" si="133"/>
        <v>1.3036540331222321E-2</v>
      </c>
      <c r="BE184" s="32">
        <f t="shared" si="134"/>
        <v>1.4878100559086829E-2</v>
      </c>
      <c r="BF184" s="32">
        <f t="shared" si="135"/>
        <v>1.6646393242013658E-2</v>
      </c>
      <c r="BG184" s="32">
        <f t="shared" si="136"/>
        <v>3.0033039158780056E-2</v>
      </c>
      <c r="BH184" s="41">
        <f t="shared" si="137"/>
        <v>2.6737535632884474E-2</v>
      </c>
      <c r="BI184" s="46">
        <f t="shared" si="138"/>
        <v>1.6322266592219914</v>
      </c>
      <c r="BJ184" s="41" t="b">
        <f t="shared" si="125"/>
        <v>1</v>
      </c>
      <c r="BK184" s="41" t="b">
        <f t="shared" si="126"/>
        <v>0</v>
      </c>
      <c r="BL184" s="42" t="str">
        <f>_xlfn.XLOOKUP(AW184,'County Population Strata'!$A$3:$A$66,'County Population Strata'!$P$3:$P$66)</f>
        <v>Tiny</v>
      </c>
    </row>
    <row r="185" spans="18:64" x14ac:dyDescent="0.2">
      <c r="R185" s="16" t="s">
        <v>185</v>
      </c>
      <c r="S185" s="26">
        <v>5962</v>
      </c>
      <c r="T185" s="26">
        <v>5969</v>
      </c>
      <c r="U185" s="26">
        <v>5979</v>
      </c>
      <c r="V185" s="26">
        <v>5990</v>
      </c>
      <c r="W185" s="26">
        <v>5999</v>
      </c>
      <c r="X185" s="26">
        <v>6008</v>
      </c>
      <c r="Y185" s="26">
        <v>6015</v>
      </c>
      <c r="Z185" s="26">
        <v>6025</v>
      </c>
      <c r="AA185" s="26">
        <v>6047</v>
      </c>
      <c r="AB185" s="26">
        <v>6072</v>
      </c>
      <c r="AC185" s="26">
        <v>6105</v>
      </c>
      <c r="AD185" s="26">
        <v>6119</v>
      </c>
      <c r="AE185" s="26">
        <v>6139</v>
      </c>
      <c r="AG185" s="16" t="s">
        <v>185</v>
      </c>
      <c r="AH185" s="29">
        <v>0</v>
      </c>
      <c r="AI185" s="29">
        <f t="shared" si="139"/>
        <v>1.1741026501174102E-3</v>
      </c>
      <c r="AJ185" s="29">
        <f t="shared" si="140"/>
        <v>1.6753224995811693E-3</v>
      </c>
      <c r="AK185" s="29">
        <f t="shared" si="141"/>
        <v>1.8397725372135808E-3</v>
      </c>
      <c r="AL185" s="29">
        <f t="shared" si="142"/>
        <v>1.5025041736227045E-3</v>
      </c>
      <c r="AM185" s="29">
        <f t="shared" si="143"/>
        <v>1.5002500416736123E-3</v>
      </c>
      <c r="AN185" s="29">
        <f t="shared" si="144"/>
        <v>1.1651131824234355E-3</v>
      </c>
      <c r="AO185" s="29">
        <f t="shared" si="145"/>
        <v>1.6625103906899418E-3</v>
      </c>
      <c r="AP185" s="29">
        <f t="shared" si="146"/>
        <v>3.6514522821576765E-3</v>
      </c>
      <c r="AQ185" s="29">
        <f t="shared" si="147"/>
        <v>4.1342814618819251E-3</v>
      </c>
      <c r="AR185" s="29">
        <f t="shared" si="148"/>
        <v>5.434782608695652E-3</v>
      </c>
      <c r="AS185" s="29">
        <f t="shared" si="149"/>
        <v>2.293202293202293E-3</v>
      </c>
      <c r="AT185" s="29">
        <f t="shared" si="150"/>
        <v>3.2685079261317207E-3</v>
      </c>
      <c r="AW185" s="16" t="s">
        <v>185</v>
      </c>
      <c r="AX185" s="32">
        <f t="shared" si="127"/>
        <v>9.4980838323285985E-4</v>
      </c>
      <c r="AY185" s="32">
        <f t="shared" si="128"/>
        <v>1.5630658956373867E-3</v>
      </c>
      <c r="AZ185" s="32">
        <f t="shared" si="129"/>
        <v>1.6725330701391516E-3</v>
      </c>
      <c r="BA185" s="32">
        <f t="shared" si="130"/>
        <v>1.6141755841699659E-3</v>
      </c>
      <c r="BB185" s="32">
        <f t="shared" si="131"/>
        <v>1.3892891325732509E-3</v>
      </c>
      <c r="BC185" s="32">
        <f t="shared" si="132"/>
        <v>1.4426245382623299E-3</v>
      </c>
      <c r="BD185" s="32">
        <f t="shared" si="133"/>
        <v>2.1596919517570183E-3</v>
      </c>
      <c r="BE185" s="32">
        <f t="shared" si="134"/>
        <v>3.1494147115765144E-3</v>
      </c>
      <c r="BF185" s="32">
        <f t="shared" si="135"/>
        <v>4.4068387842450844E-3</v>
      </c>
      <c r="BG185" s="32">
        <f t="shared" si="136"/>
        <v>3.9540887879266238E-3</v>
      </c>
      <c r="BH185" s="41">
        <f t="shared" si="137"/>
        <v>3.6654976093432219E-3</v>
      </c>
      <c r="BI185" s="46">
        <f t="shared" si="138"/>
        <v>-0.99160219271674865</v>
      </c>
      <c r="BJ185" s="41" t="b">
        <f t="shared" si="125"/>
        <v>0</v>
      </c>
      <c r="BK185" s="41" t="b">
        <f t="shared" si="126"/>
        <v>0</v>
      </c>
      <c r="BL185" s="42" t="str">
        <f>_xlfn.XLOOKUP(AW185,'County Population Strata'!$A$3:$A$66,'County Population Strata'!$P$3:$P$66)</f>
        <v>Tiny</v>
      </c>
    </row>
    <row r="186" spans="18:64" x14ac:dyDescent="0.2">
      <c r="R186" s="16" t="s">
        <v>186</v>
      </c>
      <c r="S186" s="26">
        <v>11932</v>
      </c>
      <c r="T186" s="26">
        <v>11943</v>
      </c>
      <c r="U186" s="26">
        <v>11951</v>
      </c>
      <c r="V186" s="26">
        <v>11960</v>
      </c>
      <c r="W186" s="26">
        <v>11966</v>
      </c>
      <c r="X186" s="26">
        <v>12020</v>
      </c>
      <c r="Y186" s="26">
        <v>12052</v>
      </c>
      <c r="Z186" s="26">
        <v>12079</v>
      </c>
      <c r="AA186" s="26">
        <v>12132</v>
      </c>
      <c r="AB186" s="26">
        <v>12224</v>
      </c>
      <c r="AC186" s="26">
        <v>12302</v>
      </c>
      <c r="AD186" s="26">
        <v>12328</v>
      </c>
      <c r="AE186" s="26">
        <v>12348</v>
      </c>
      <c r="AG186" s="16" t="s">
        <v>186</v>
      </c>
      <c r="AH186" s="29">
        <v>0</v>
      </c>
      <c r="AI186" s="29">
        <f t="shared" si="139"/>
        <v>9.2189071404626219E-4</v>
      </c>
      <c r="AJ186" s="29">
        <f t="shared" si="140"/>
        <v>6.6984844678891404E-4</v>
      </c>
      <c r="AK186" s="29">
        <f t="shared" si="141"/>
        <v>7.5307505648062928E-4</v>
      </c>
      <c r="AL186" s="29">
        <f t="shared" si="142"/>
        <v>5.0167224080267553E-4</v>
      </c>
      <c r="AM186" s="29">
        <f t="shared" si="143"/>
        <v>4.5127862276449944E-3</v>
      </c>
      <c r="AN186" s="29">
        <f t="shared" si="144"/>
        <v>2.6622296173044926E-3</v>
      </c>
      <c r="AO186" s="29">
        <f t="shared" si="145"/>
        <v>2.2402920677066047E-3</v>
      </c>
      <c r="AP186" s="29">
        <f t="shared" si="146"/>
        <v>4.3877804454011092E-3</v>
      </c>
      <c r="AQ186" s="29">
        <f t="shared" si="147"/>
        <v>7.5832509066930433E-3</v>
      </c>
      <c r="AR186" s="29">
        <f t="shared" si="148"/>
        <v>6.3808900523560207E-3</v>
      </c>
      <c r="AS186" s="29">
        <f t="shared" si="149"/>
        <v>2.113477483336043E-3</v>
      </c>
      <c r="AT186" s="29">
        <f t="shared" si="150"/>
        <v>1.6223231667748216E-3</v>
      </c>
      <c r="AW186" s="16" t="s">
        <v>186</v>
      </c>
      <c r="AX186" s="32">
        <f t="shared" ref="AX186:AX207" si="151">AVERAGE(AH186:AJ186)</f>
        <v>5.3057972027839215E-4</v>
      </c>
      <c r="AY186" s="32">
        <f t="shared" ref="AY186:AY207" si="152">AVERAGE(AI186:AK186)</f>
        <v>7.8160473910526861E-4</v>
      </c>
      <c r="AZ186" s="32">
        <f t="shared" ref="AZ186:AZ207" si="153">AVERAGE(AJ186:AL186)</f>
        <v>6.4153191469073958E-4</v>
      </c>
      <c r="BA186" s="32">
        <f t="shared" ref="BA186:BA207" si="154">AVERAGE(AK186:AM186)</f>
        <v>1.9225111749760996E-3</v>
      </c>
      <c r="BB186" s="32">
        <f t="shared" ref="BB186:BB207" si="155">AVERAGE(AL186:AN186)</f>
        <v>2.5588960285840541E-3</v>
      </c>
      <c r="BC186" s="32">
        <f t="shared" ref="BC186:BC207" si="156">AVERAGE(AM186:AO186)</f>
        <v>3.1384359708853636E-3</v>
      </c>
      <c r="BD186" s="32">
        <f t="shared" ref="BD186:BD207" si="157">AVERAGE(AN186:AP186)</f>
        <v>3.0967673768040687E-3</v>
      </c>
      <c r="BE186" s="32">
        <f t="shared" ref="BE186:BE207" si="158">AVERAGE(AO186:AQ186)</f>
        <v>4.7371078066002527E-3</v>
      </c>
      <c r="BF186" s="32">
        <f t="shared" ref="BF186:BF207" si="159">AVERAGE(AP186:AR186)</f>
        <v>6.1173071348167253E-3</v>
      </c>
      <c r="BG186" s="32">
        <f t="shared" ref="BG186:BG207" si="160">AVERAGE(AQ186:AS186)</f>
        <v>5.3592061474617017E-3</v>
      </c>
      <c r="BH186" s="41">
        <f t="shared" si="137"/>
        <v>3.372230234155628E-3</v>
      </c>
      <c r="BI186" s="46">
        <f t="shared" si="138"/>
        <v>-1.0249535333986781</v>
      </c>
      <c r="BJ186" s="41" t="b">
        <f t="shared" si="125"/>
        <v>0</v>
      </c>
      <c r="BK186" s="41" t="b">
        <f t="shared" si="126"/>
        <v>1</v>
      </c>
      <c r="BL186" s="42" t="str">
        <f>_xlfn.XLOOKUP(AW186,'County Population Strata'!$A$3:$A$66,'County Population Strata'!$P$3:$P$66)</f>
        <v>Small</v>
      </c>
    </row>
    <row r="187" spans="18:64" x14ac:dyDescent="0.2">
      <c r="R187" s="16" t="s">
        <v>187</v>
      </c>
      <c r="S187" s="26">
        <v>17198</v>
      </c>
      <c r="T187" s="26">
        <v>17315</v>
      </c>
      <c r="U187" s="26">
        <v>17412</v>
      </c>
      <c r="V187" s="26">
        <v>17500</v>
      </c>
      <c r="W187" s="26">
        <v>17608</v>
      </c>
      <c r="X187" s="26">
        <v>17725</v>
      </c>
      <c r="Y187" s="26">
        <v>17890</v>
      </c>
      <c r="Z187" s="26">
        <v>18081</v>
      </c>
      <c r="AA187" s="26">
        <v>18372</v>
      </c>
      <c r="AB187" s="26">
        <v>18735</v>
      </c>
      <c r="AC187" s="26">
        <v>19029</v>
      </c>
      <c r="AD187" s="26">
        <v>19330</v>
      </c>
      <c r="AE187" s="26">
        <v>19734</v>
      </c>
      <c r="AG187" s="16" t="s">
        <v>187</v>
      </c>
      <c r="AH187" s="29">
        <v>0</v>
      </c>
      <c r="AI187" s="29">
        <f t="shared" si="139"/>
        <v>6.8031166414699385E-3</v>
      </c>
      <c r="AJ187" s="29">
        <f t="shared" si="140"/>
        <v>5.6020791221484262E-3</v>
      </c>
      <c r="AK187" s="29">
        <f t="shared" si="141"/>
        <v>5.0539857569492303E-3</v>
      </c>
      <c r="AL187" s="29">
        <f t="shared" si="142"/>
        <v>6.1714285714285716E-3</v>
      </c>
      <c r="AM187" s="29">
        <f t="shared" si="143"/>
        <v>6.6447069513857334E-3</v>
      </c>
      <c r="AN187" s="29">
        <f t="shared" si="144"/>
        <v>9.3088857545839208E-3</v>
      </c>
      <c r="AO187" s="29">
        <f t="shared" si="145"/>
        <v>1.0676355505869201E-2</v>
      </c>
      <c r="AP187" s="29">
        <f t="shared" si="146"/>
        <v>1.6094242575078813E-2</v>
      </c>
      <c r="AQ187" s="29">
        <f t="shared" si="147"/>
        <v>1.97583278902678E-2</v>
      </c>
      <c r="AR187" s="29">
        <f t="shared" si="148"/>
        <v>1.5692554043234587E-2</v>
      </c>
      <c r="AS187" s="29">
        <f t="shared" si="149"/>
        <v>1.5817962057911607E-2</v>
      </c>
      <c r="AT187" s="29">
        <f t="shared" si="150"/>
        <v>2.0900155199172273E-2</v>
      </c>
      <c r="AW187" s="16" t="s">
        <v>187</v>
      </c>
      <c r="AX187" s="32">
        <f t="shared" si="151"/>
        <v>4.1350652545394549E-3</v>
      </c>
      <c r="AY187" s="32">
        <f t="shared" si="152"/>
        <v>5.8197271735225308E-3</v>
      </c>
      <c r="AZ187" s="32">
        <f t="shared" si="153"/>
        <v>5.6091644835087424E-3</v>
      </c>
      <c r="BA187" s="32">
        <f t="shared" si="154"/>
        <v>5.9567070932545112E-3</v>
      </c>
      <c r="BB187" s="32">
        <f t="shared" si="155"/>
        <v>7.375007092466075E-3</v>
      </c>
      <c r="BC187" s="32">
        <f t="shared" si="156"/>
        <v>8.8766494039462848E-3</v>
      </c>
      <c r="BD187" s="32">
        <f t="shared" si="157"/>
        <v>1.2026494611843977E-2</v>
      </c>
      <c r="BE187" s="32">
        <f t="shared" si="158"/>
        <v>1.5509641990405271E-2</v>
      </c>
      <c r="BF187" s="32">
        <f t="shared" si="159"/>
        <v>1.7181708169527066E-2</v>
      </c>
      <c r="BG187" s="32">
        <f t="shared" si="160"/>
        <v>1.7089614663804667E-2</v>
      </c>
      <c r="BH187" s="41">
        <f t="shared" ref="BH187:BH207" si="161">AVERAGE(AR187:AT187)</f>
        <v>1.7470223766772822E-2</v>
      </c>
      <c r="BI187" s="46">
        <f t="shared" ref="BI187:BI207" si="162">(BH187-$BO$147)/$BO$148</f>
        <v>0.57831715069016387</v>
      </c>
      <c r="BJ187" s="41" t="b">
        <f t="shared" si="125"/>
        <v>0</v>
      </c>
      <c r="BK187" s="41" t="b">
        <f t="shared" si="126"/>
        <v>0</v>
      </c>
      <c r="BL187" s="42" t="str">
        <f>_xlfn.XLOOKUP(AW187,'County Population Strata'!$A$3:$A$66,'County Population Strata'!$P$3:$P$66)</f>
        <v>Small</v>
      </c>
    </row>
    <row r="188" spans="18:64" x14ac:dyDescent="0.2">
      <c r="R188" s="16" t="s">
        <v>188</v>
      </c>
      <c r="S188" s="26">
        <v>10960</v>
      </c>
      <c r="T188" s="26">
        <v>10972</v>
      </c>
      <c r="U188" s="26">
        <v>10997</v>
      </c>
      <c r="V188" s="26">
        <v>11033</v>
      </c>
      <c r="W188" s="26">
        <v>11069</v>
      </c>
      <c r="X188" s="26">
        <v>11118</v>
      </c>
      <c r="Y188" s="26">
        <v>11135</v>
      </c>
      <c r="Z188" s="26">
        <v>11164</v>
      </c>
      <c r="AA188" s="26">
        <v>11251</v>
      </c>
      <c r="AB188" s="26">
        <v>11393</v>
      </c>
      <c r="AC188" s="26">
        <v>11514</v>
      </c>
      <c r="AD188" s="26">
        <v>11639</v>
      </c>
      <c r="AE188" s="26">
        <v>11857</v>
      </c>
      <c r="AG188" s="16" t="s">
        <v>188</v>
      </c>
      <c r="AH188" s="29">
        <v>0</v>
      </c>
      <c r="AI188" s="29">
        <f t="shared" si="139"/>
        <v>1.0948905109489052E-3</v>
      </c>
      <c r="AJ188" s="29">
        <f t="shared" si="140"/>
        <v>2.2785271600437476E-3</v>
      </c>
      <c r="AK188" s="29">
        <f t="shared" si="141"/>
        <v>3.2736200782031463E-3</v>
      </c>
      <c r="AL188" s="29">
        <f t="shared" si="142"/>
        <v>3.262938457355207E-3</v>
      </c>
      <c r="AM188" s="29">
        <f t="shared" si="143"/>
        <v>4.4267774866744965E-3</v>
      </c>
      <c r="AN188" s="29">
        <f t="shared" si="144"/>
        <v>1.5290519877675841E-3</v>
      </c>
      <c r="AO188" s="29">
        <f t="shared" si="145"/>
        <v>2.6044005388414907E-3</v>
      </c>
      <c r="AP188" s="29">
        <f t="shared" si="146"/>
        <v>7.7929057685417417E-3</v>
      </c>
      <c r="AQ188" s="29">
        <f t="shared" si="147"/>
        <v>1.2621100346635855E-2</v>
      </c>
      <c r="AR188" s="29">
        <f t="shared" si="148"/>
        <v>1.0620556482050382E-2</v>
      </c>
      <c r="AS188" s="29">
        <f t="shared" si="149"/>
        <v>1.0856348792774015E-2</v>
      </c>
      <c r="AT188" s="29">
        <f t="shared" si="150"/>
        <v>1.8730131454592319E-2</v>
      </c>
      <c r="AW188" s="16" t="s">
        <v>188</v>
      </c>
      <c r="AX188" s="32">
        <f t="shared" si="151"/>
        <v>1.124472556997551E-3</v>
      </c>
      <c r="AY188" s="32">
        <f t="shared" si="152"/>
        <v>2.215679249731933E-3</v>
      </c>
      <c r="AZ188" s="32">
        <f t="shared" si="153"/>
        <v>2.9383618985340336E-3</v>
      </c>
      <c r="BA188" s="32">
        <f t="shared" si="154"/>
        <v>3.6544453407442831E-3</v>
      </c>
      <c r="BB188" s="32">
        <f t="shared" si="155"/>
        <v>3.0729226439324291E-3</v>
      </c>
      <c r="BC188" s="32">
        <f t="shared" si="156"/>
        <v>2.8534100044278568E-3</v>
      </c>
      <c r="BD188" s="32">
        <f t="shared" si="157"/>
        <v>3.9754527650502722E-3</v>
      </c>
      <c r="BE188" s="32">
        <f t="shared" si="158"/>
        <v>7.6728022180063624E-3</v>
      </c>
      <c r="BF188" s="32">
        <f t="shared" si="159"/>
        <v>1.0344854199075992E-2</v>
      </c>
      <c r="BG188" s="32">
        <f t="shared" si="160"/>
        <v>1.1366001873820085E-2</v>
      </c>
      <c r="BH188" s="41">
        <f t="shared" si="161"/>
        <v>1.3402345576472239E-2</v>
      </c>
      <c r="BI188" s="46">
        <f t="shared" si="162"/>
        <v>0.11570452188847165</v>
      </c>
      <c r="BJ188" s="41" t="b">
        <f t="shared" si="125"/>
        <v>0</v>
      </c>
      <c r="BK188" s="41" t="b">
        <f t="shared" si="126"/>
        <v>0</v>
      </c>
      <c r="BL188" s="42" t="str">
        <f>_xlfn.XLOOKUP(AW188,'County Population Strata'!$A$3:$A$66,'County Population Strata'!$P$3:$P$66)</f>
        <v>Small</v>
      </c>
    </row>
    <row r="189" spans="18:64" x14ac:dyDescent="0.2">
      <c r="R189" s="16" t="s">
        <v>189</v>
      </c>
      <c r="S189" s="26">
        <v>8689</v>
      </c>
      <c r="T189" s="26">
        <v>8690</v>
      </c>
      <c r="U189" s="26">
        <v>8693</v>
      </c>
      <c r="V189" s="26">
        <v>8696</v>
      </c>
      <c r="W189" s="26">
        <v>8700</v>
      </c>
      <c r="X189" s="26">
        <v>8691</v>
      </c>
      <c r="Y189" s="26">
        <v>8695</v>
      </c>
      <c r="Z189" s="26">
        <v>8702</v>
      </c>
      <c r="AA189" s="26">
        <v>8703</v>
      </c>
      <c r="AB189" s="26">
        <v>8707</v>
      </c>
      <c r="AC189" s="26">
        <v>8720</v>
      </c>
      <c r="AD189" s="26">
        <v>8723</v>
      </c>
      <c r="AE189" s="26">
        <v>8738</v>
      </c>
      <c r="AG189" s="16" t="s">
        <v>189</v>
      </c>
      <c r="AH189" s="29">
        <v>0</v>
      </c>
      <c r="AI189" s="29">
        <f t="shared" si="139"/>
        <v>1.1508804235239959E-4</v>
      </c>
      <c r="AJ189" s="29">
        <f t="shared" si="140"/>
        <v>3.4522439585730726E-4</v>
      </c>
      <c r="AK189" s="29">
        <f t="shared" si="141"/>
        <v>3.4510525710341653E-4</v>
      </c>
      <c r="AL189" s="29">
        <f t="shared" si="142"/>
        <v>4.5998160073597056E-4</v>
      </c>
      <c r="AM189" s="29">
        <f t="shared" si="143"/>
        <v>-1.0344827586206897E-3</v>
      </c>
      <c r="AN189" s="29">
        <f t="shared" si="144"/>
        <v>4.6024623173397769E-4</v>
      </c>
      <c r="AO189" s="29">
        <f t="shared" si="145"/>
        <v>8.0506037952846467E-4</v>
      </c>
      <c r="AP189" s="29">
        <f t="shared" si="146"/>
        <v>1.1491611123879568E-4</v>
      </c>
      <c r="AQ189" s="29">
        <f t="shared" si="147"/>
        <v>4.596116281741928E-4</v>
      </c>
      <c r="AR189" s="29">
        <f t="shared" si="148"/>
        <v>1.4930515677041461E-3</v>
      </c>
      <c r="AS189" s="29">
        <f t="shared" si="149"/>
        <v>3.4403669724770644E-4</v>
      </c>
      <c r="AT189" s="29">
        <f t="shared" si="150"/>
        <v>1.7195918835263098E-3</v>
      </c>
      <c r="AW189" s="16" t="s">
        <v>189</v>
      </c>
      <c r="AX189" s="32">
        <f t="shared" si="151"/>
        <v>1.5343747940323562E-4</v>
      </c>
      <c r="AY189" s="32">
        <f t="shared" si="152"/>
        <v>2.6847256510437444E-4</v>
      </c>
      <c r="AZ189" s="32">
        <f t="shared" si="153"/>
        <v>3.8343708456556482E-4</v>
      </c>
      <c r="BA189" s="32">
        <f t="shared" si="154"/>
        <v>-7.6465300260434199E-5</v>
      </c>
      <c r="BB189" s="32">
        <f t="shared" si="155"/>
        <v>-3.808497538358048E-5</v>
      </c>
      <c r="BC189" s="32">
        <f t="shared" si="156"/>
        <v>7.6941284213917559E-5</v>
      </c>
      <c r="BD189" s="32">
        <f t="shared" si="157"/>
        <v>4.60074240833746E-4</v>
      </c>
      <c r="BE189" s="32">
        <f t="shared" si="158"/>
        <v>4.5986270631381772E-4</v>
      </c>
      <c r="BF189" s="32">
        <f t="shared" si="159"/>
        <v>6.8919310237237821E-4</v>
      </c>
      <c r="BG189" s="32">
        <f t="shared" si="160"/>
        <v>7.6556663104201516E-4</v>
      </c>
      <c r="BH189" s="41">
        <f t="shared" si="161"/>
        <v>1.1855600494927209E-3</v>
      </c>
      <c r="BI189" s="46">
        <f t="shared" si="162"/>
        <v>-1.2736289349535219</v>
      </c>
      <c r="BJ189" s="41" t="b">
        <f t="shared" si="125"/>
        <v>0</v>
      </c>
      <c r="BK189" s="41" t="b">
        <f t="shared" si="126"/>
        <v>1</v>
      </c>
      <c r="BL189" s="42" t="str">
        <f>_xlfn.XLOOKUP(AW189,'County Population Strata'!$A$3:$A$66,'County Population Strata'!$P$3:$P$66)</f>
        <v>Tiny</v>
      </c>
    </row>
    <row r="190" spans="18:64" x14ac:dyDescent="0.2">
      <c r="R190" s="16" t="s">
        <v>190</v>
      </c>
      <c r="S190" s="26">
        <v>3088</v>
      </c>
      <c r="T190" s="26">
        <v>3097</v>
      </c>
      <c r="U190" s="26">
        <v>3104</v>
      </c>
      <c r="V190" s="26">
        <v>3112</v>
      </c>
      <c r="W190" s="26">
        <v>3126</v>
      </c>
      <c r="X190" s="26">
        <v>3144</v>
      </c>
      <c r="Y190" s="26">
        <v>3164</v>
      </c>
      <c r="Z190" s="26">
        <v>3200</v>
      </c>
      <c r="AA190" s="26">
        <v>3242</v>
      </c>
      <c r="AB190" s="26">
        <v>3289</v>
      </c>
      <c r="AC190" s="26">
        <v>3326</v>
      </c>
      <c r="AD190" s="26">
        <v>3391</v>
      </c>
      <c r="AE190" s="26">
        <v>3511</v>
      </c>
      <c r="AG190" s="16" t="s">
        <v>190</v>
      </c>
      <c r="AH190" s="29">
        <v>0</v>
      </c>
      <c r="AI190" s="29">
        <f t="shared" si="139"/>
        <v>2.9145077720207253E-3</v>
      </c>
      <c r="AJ190" s="29">
        <f t="shared" si="140"/>
        <v>2.2602518566354536E-3</v>
      </c>
      <c r="AK190" s="29">
        <f t="shared" si="141"/>
        <v>2.5773195876288659E-3</v>
      </c>
      <c r="AL190" s="29">
        <f t="shared" si="142"/>
        <v>4.4987146529562984E-3</v>
      </c>
      <c r="AM190" s="29">
        <f t="shared" si="143"/>
        <v>5.7581573896353169E-3</v>
      </c>
      <c r="AN190" s="29">
        <f t="shared" si="144"/>
        <v>6.3613231552162846E-3</v>
      </c>
      <c r="AO190" s="29">
        <f t="shared" si="145"/>
        <v>1.1378002528445006E-2</v>
      </c>
      <c r="AP190" s="29">
        <f t="shared" si="146"/>
        <v>1.3125E-2</v>
      </c>
      <c r="AQ190" s="29">
        <f t="shared" si="147"/>
        <v>1.4497223935842072E-2</v>
      </c>
      <c r="AR190" s="29">
        <f t="shared" si="148"/>
        <v>1.124961994527212E-2</v>
      </c>
      <c r="AS190" s="29">
        <f t="shared" si="149"/>
        <v>1.9542994588093807E-2</v>
      </c>
      <c r="AT190" s="29">
        <f t="shared" si="150"/>
        <v>3.5387791212031852E-2</v>
      </c>
      <c r="AW190" s="16" t="s">
        <v>190</v>
      </c>
      <c r="AX190" s="32">
        <f t="shared" si="151"/>
        <v>1.7249198762187262E-3</v>
      </c>
      <c r="AY190" s="32">
        <f t="shared" si="152"/>
        <v>2.5840264054283481E-3</v>
      </c>
      <c r="AZ190" s="32">
        <f t="shared" si="153"/>
        <v>3.112095365740206E-3</v>
      </c>
      <c r="BA190" s="32">
        <f t="shared" si="154"/>
        <v>4.2780638767401609E-3</v>
      </c>
      <c r="BB190" s="32">
        <f t="shared" si="155"/>
        <v>5.5393983992692991E-3</v>
      </c>
      <c r="BC190" s="32">
        <f t="shared" si="156"/>
        <v>7.8324943577655366E-3</v>
      </c>
      <c r="BD190" s="32">
        <f t="shared" si="157"/>
        <v>1.028810856122043E-2</v>
      </c>
      <c r="BE190" s="32">
        <f t="shared" si="158"/>
        <v>1.3000075488095694E-2</v>
      </c>
      <c r="BF190" s="32">
        <f t="shared" si="159"/>
        <v>1.295728129370473E-2</v>
      </c>
      <c r="BG190" s="32">
        <f t="shared" si="160"/>
        <v>1.5096612823069335E-2</v>
      </c>
      <c r="BH190" s="41">
        <f t="shared" si="161"/>
        <v>2.2060135248465926E-2</v>
      </c>
      <c r="BI190" s="46">
        <f t="shared" si="162"/>
        <v>1.1002971405472886</v>
      </c>
      <c r="BJ190" s="41" t="b">
        <f t="shared" si="125"/>
        <v>1</v>
      </c>
      <c r="BK190" s="41" t="b">
        <f t="shared" si="126"/>
        <v>0</v>
      </c>
      <c r="BL190" s="42" t="str">
        <f>_xlfn.XLOOKUP(AW190,'County Population Strata'!$A$3:$A$66,'County Population Strata'!$P$3:$P$66)</f>
        <v>Tiny</v>
      </c>
    </row>
    <row r="191" spans="18:64" x14ac:dyDescent="0.2">
      <c r="R191" s="16" t="s">
        <v>191</v>
      </c>
      <c r="S191" s="26">
        <v>13798</v>
      </c>
      <c r="T191" s="26">
        <v>13803</v>
      </c>
      <c r="U191" s="26">
        <v>13806</v>
      </c>
      <c r="V191" s="26">
        <v>13809</v>
      </c>
      <c r="W191" s="26">
        <v>13811</v>
      </c>
      <c r="X191" s="26">
        <v>13812</v>
      </c>
      <c r="Y191" s="26">
        <v>13813</v>
      </c>
      <c r="Z191" s="26">
        <v>13814</v>
      </c>
      <c r="AA191" s="26">
        <v>13820</v>
      </c>
      <c r="AB191" s="26">
        <v>13992</v>
      </c>
      <c r="AC191" s="26">
        <v>14154</v>
      </c>
      <c r="AD191" s="26">
        <v>14327</v>
      </c>
      <c r="AE191" s="26">
        <v>14518</v>
      </c>
      <c r="AG191" s="16" t="s">
        <v>191</v>
      </c>
      <c r="AH191" s="29">
        <v>0</v>
      </c>
      <c r="AI191" s="29">
        <f t="shared" si="139"/>
        <v>3.6237135816785042E-4</v>
      </c>
      <c r="AJ191" s="29">
        <f t="shared" si="140"/>
        <v>2.1734405564007825E-4</v>
      </c>
      <c r="AK191" s="29">
        <f t="shared" si="141"/>
        <v>2.17296827466319E-4</v>
      </c>
      <c r="AL191" s="29">
        <f t="shared" si="142"/>
        <v>1.4483307987544355E-4</v>
      </c>
      <c r="AM191" s="29">
        <f t="shared" si="143"/>
        <v>7.2406053146043011E-5</v>
      </c>
      <c r="AN191" s="29">
        <f t="shared" si="144"/>
        <v>7.2400810889081954E-5</v>
      </c>
      <c r="AO191" s="29">
        <f t="shared" si="145"/>
        <v>7.2395569391153259E-5</v>
      </c>
      <c r="AP191" s="29">
        <f t="shared" si="146"/>
        <v>4.3434197191255248E-4</v>
      </c>
      <c r="AQ191" s="29">
        <f t="shared" si="147"/>
        <v>1.2445730824891461E-2</v>
      </c>
      <c r="AR191" s="29">
        <f t="shared" si="148"/>
        <v>1.1578044596912522E-2</v>
      </c>
      <c r="AS191" s="29">
        <f t="shared" si="149"/>
        <v>1.2222693231595309E-2</v>
      </c>
      <c r="AT191" s="29">
        <f t="shared" si="150"/>
        <v>1.3331472045787674E-2</v>
      </c>
      <c r="AW191" s="16" t="s">
        <v>191</v>
      </c>
      <c r="AX191" s="32">
        <f t="shared" si="151"/>
        <v>1.9323847126930956E-4</v>
      </c>
      <c r="AY191" s="32">
        <f t="shared" si="152"/>
        <v>2.6567074709141588E-4</v>
      </c>
      <c r="AZ191" s="32">
        <f t="shared" si="153"/>
        <v>1.9315798766061359E-4</v>
      </c>
      <c r="BA191" s="32">
        <f t="shared" si="154"/>
        <v>1.4484532016260186E-4</v>
      </c>
      <c r="BB191" s="32">
        <f t="shared" si="155"/>
        <v>9.6546647970189488E-5</v>
      </c>
      <c r="BC191" s="32">
        <f t="shared" si="156"/>
        <v>7.2400811142092741E-5</v>
      </c>
      <c r="BD191" s="32">
        <f t="shared" si="157"/>
        <v>1.930461173975959E-4</v>
      </c>
      <c r="BE191" s="32">
        <f t="shared" si="158"/>
        <v>4.317489455398389E-3</v>
      </c>
      <c r="BF191" s="32">
        <f t="shared" si="159"/>
        <v>8.1527057979055104E-3</v>
      </c>
      <c r="BG191" s="32">
        <f t="shared" si="160"/>
        <v>1.2082156217799766E-2</v>
      </c>
      <c r="BH191" s="41">
        <f t="shared" si="161"/>
        <v>1.2377403291431834E-2</v>
      </c>
      <c r="BI191" s="46">
        <f t="shared" si="162"/>
        <v>-8.5532151665237825E-4</v>
      </c>
      <c r="BJ191" s="41" t="b">
        <f t="shared" si="125"/>
        <v>0</v>
      </c>
      <c r="BK191" s="41" t="b">
        <f t="shared" si="126"/>
        <v>0</v>
      </c>
      <c r="BL191" s="42" t="str">
        <f>_xlfn.XLOOKUP(AW191,'County Population Strata'!$A$3:$A$66,'County Population Strata'!$P$3:$P$66)</f>
        <v>Tiny</v>
      </c>
    </row>
    <row r="192" spans="18:64" x14ac:dyDescent="0.2">
      <c r="R192" s="16" t="s">
        <v>192</v>
      </c>
      <c r="S192" s="26">
        <v>1945</v>
      </c>
      <c r="T192" s="26">
        <v>1948</v>
      </c>
      <c r="U192" s="26">
        <v>1950</v>
      </c>
      <c r="V192" s="26">
        <v>1964</v>
      </c>
      <c r="W192" s="26">
        <v>1967</v>
      </c>
      <c r="X192" s="26">
        <v>1979</v>
      </c>
      <c r="Y192" s="26">
        <v>1988</v>
      </c>
      <c r="Z192" s="26">
        <v>1989</v>
      </c>
      <c r="AA192" s="26">
        <v>2010</v>
      </c>
      <c r="AB192" s="26">
        <v>2021</v>
      </c>
      <c r="AC192" s="26">
        <v>2026</v>
      </c>
      <c r="AD192" s="26">
        <v>2029</v>
      </c>
      <c r="AE192" s="26">
        <v>2037</v>
      </c>
      <c r="AG192" s="16" t="s">
        <v>192</v>
      </c>
      <c r="AH192" s="29">
        <v>0</v>
      </c>
      <c r="AI192" s="29">
        <f t="shared" si="139"/>
        <v>1.5424164524421595E-3</v>
      </c>
      <c r="AJ192" s="29">
        <f t="shared" si="140"/>
        <v>1.026694045174538E-3</v>
      </c>
      <c r="AK192" s="29">
        <f t="shared" si="141"/>
        <v>7.1794871794871795E-3</v>
      </c>
      <c r="AL192" s="29">
        <f t="shared" si="142"/>
        <v>1.5274949083503055E-3</v>
      </c>
      <c r="AM192" s="29">
        <f t="shared" si="143"/>
        <v>6.1006609049313676E-3</v>
      </c>
      <c r="AN192" s="29">
        <f t="shared" si="144"/>
        <v>4.5477513895907026E-3</v>
      </c>
      <c r="AO192" s="29">
        <f t="shared" si="145"/>
        <v>5.0301810865191151E-4</v>
      </c>
      <c r="AP192" s="29">
        <f t="shared" si="146"/>
        <v>1.0558069381598794E-2</v>
      </c>
      <c r="AQ192" s="29">
        <f t="shared" si="147"/>
        <v>5.4726368159203984E-3</v>
      </c>
      <c r="AR192" s="29">
        <f t="shared" si="148"/>
        <v>2.4740227610094011E-3</v>
      </c>
      <c r="AS192" s="29">
        <f t="shared" si="149"/>
        <v>1.4807502467917078E-3</v>
      </c>
      <c r="AT192" s="29">
        <f t="shared" si="150"/>
        <v>3.9428289797930017E-3</v>
      </c>
      <c r="AW192" s="16" t="s">
        <v>192</v>
      </c>
      <c r="AX192" s="32">
        <f t="shared" si="151"/>
        <v>8.5637016587223247E-4</v>
      </c>
      <c r="AY192" s="32">
        <f t="shared" si="152"/>
        <v>3.2495325590346257E-3</v>
      </c>
      <c r="AZ192" s="32">
        <f t="shared" si="153"/>
        <v>3.2445587110040077E-3</v>
      </c>
      <c r="BA192" s="32">
        <f t="shared" si="154"/>
        <v>4.9358809975896178E-3</v>
      </c>
      <c r="BB192" s="32">
        <f t="shared" si="155"/>
        <v>4.0586357342907919E-3</v>
      </c>
      <c r="BC192" s="32">
        <f t="shared" si="156"/>
        <v>3.7171434677246602E-3</v>
      </c>
      <c r="BD192" s="32">
        <f t="shared" si="157"/>
        <v>5.2029462932804693E-3</v>
      </c>
      <c r="BE192" s="32">
        <f t="shared" si="158"/>
        <v>5.511241435390367E-3</v>
      </c>
      <c r="BF192" s="32">
        <f t="shared" si="159"/>
        <v>6.168242986176198E-3</v>
      </c>
      <c r="BG192" s="32">
        <f t="shared" si="160"/>
        <v>3.1424699412405024E-3</v>
      </c>
      <c r="BH192" s="41">
        <f t="shared" si="161"/>
        <v>2.6325339958647039E-3</v>
      </c>
      <c r="BI192" s="46">
        <f t="shared" si="162"/>
        <v>-1.1090742482535154</v>
      </c>
      <c r="BJ192" s="41" t="b">
        <f t="shared" si="125"/>
        <v>0</v>
      </c>
      <c r="BK192" s="41" t="b">
        <f t="shared" si="126"/>
        <v>1</v>
      </c>
      <c r="BL192" s="42" t="str">
        <f>_xlfn.XLOOKUP(AW192,'County Population Strata'!$A$3:$A$66,'County Population Strata'!$P$3:$P$66)</f>
        <v>Tiny</v>
      </c>
    </row>
    <row r="193" spans="18:64" x14ac:dyDescent="0.2">
      <c r="R193" s="16" t="s">
        <v>193</v>
      </c>
      <c r="S193" s="26">
        <v>12488</v>
      </c>
      <c r="T193" s="26">
        <v>12567</v>
      </c>
      <c r="U193" s="26">
        <v>12636</v>
      </c>
      <c r="V193" s="26">
        <v>12699</v>
      </c>
      <c r="W193" s="26">
        <v>12780</v>
      </c>
      <c r="X193" s="26">
        <v>12853</v>
      </c>
      <c r="Y193" s="26">
        <v>12940</v>
      </c>
      <c r="Z193" s="26">
        <v>13040</v>
      </c>
      <c r="AA193" s="26">
        <v>13107</v>
      </c>
      <c r="AB193" s="26">
        <v>13183</v>
      </c>
      <c r="AC193" s="26">
        <v>13260</v>
      </c>
      <c r="AD193" s="26">
        <v>13315</v>
      </c>
      <c r="AE193" s="26">
        <v>13504</v>
      </c>
      <c r="AG193" s="16" t="s">
        <v>193</v>
      </c>
      <c r="AH193" s="29">
        <v>0</v>
      </c>
      <c r="AI193" s="29">
        <f t="shared" si="139"/>
        <v>6.3260730301089047E-3</v>
      </c>
      <c r="AJ193" s="29">
        <f t="shared" si="140"/>
        <v>5.4905705418954402E-3</v>
      </c>
      <c r="AK193" s="29">
        <f t="shared" si="141"/>
        <v>4.9857549857549857E-3</v>
      </c>
      <c r="AL193" s="29">
        <f t="shared" si="142"/>
        <v>6.3784549964564135E-3</v>
      </c>
      <c r="AM193" s="29">
        <f t="shared" si="143"/>
        <v>5.7120500782472617E-3</v>
      </c>
      <c r="AN193" s="29">
        <f t="shared" si="144"/>
        <v>6.7688477398272773E-3</v>
      </c>
      <c r="AO193" s="29">
        <f t="shared" si="145"/>
        <v>7.7279752704791345E-3</v>
      </c>
      <c r="AP193" s="29">
        <f t="shared" si="146"/>
        <v>5.1380368098159507E-3</v>
      </c>
      <c r="AQ193" s="29">
        <f t="shared" si="147"/>
        <v>5.7984283207446405E-3</v>
      </c>
      <c r="AR193" s="29">
        <f t="shared" si="148"/>
        <v>5.8408556474247135E-3</v>
      </c>
      <c r="AS193" s="29">
        <f t="shared" si="149"/>
        <v>4.1478129713423831E-3</v>
      </c>
      <c r="AT193" s="29">
        <f t="shared" si="150"/>
        <v>1.4194517461509576E-2</v>
      </c>
      <c r="AW193" s="16" t="s">
        <v>193</v>
      </c>
      <c r="AX193" s="32">
        <f t="shared" si="151"/>
        <v>3.938881190668115E-3</v>
      </c>
      <c r="AY193" s="32">
        <f t="shared" si="152"/>
        <v>5.6007995192531102E-3</v>
      </c>
      <c r="AZ193" s="32">
        <f t="shared" si="153"/>
        <v>5.6182601747022795E-3</v>
      </c>
      <c r="BA193" s="32">
        <f t="shared" si="154"/>
        <v>5.6920866868195542E-3</v>
      </c>
      <c r="BB193" s="32">
        <f t="shared" si="155"/>
        <v>6.2864509381769839E-3</v>
      </c>
      <c r="BC193" s="32">
        <f t="shared" si="156"/>
        <v>6.7362910295178909E-3</v>
      </c>
      <c r="BD193" s="32">
        <f t="shared" si="157"/>
        <v>6.5449532733741211E-3</v>
      </c>
      <c r="BE193" s="32">
        <f t="shared" si="158"/>
        <v>6.2214801336799089E-3</v>
      </c>
      <c r="BF193" s="32">
        <f t="shared" si="159"/>
        <v>5.5924402593284352E-3</v>
      </c>
      <c r="BG193" s="32">
        <f t="shared" si="160"/>
        <v>5.2623656465039118E-3</v>
      </c>
      <c r="BH193" s="41">
        <f t="shared" si="161"/>
        <v>8.0610620267588893E-3</v>
      </c>
      <c r="BI193" s="46">
        <f t="shared" si="162"/>
        <v>-0.49172399698896901</v>
      </c>
      <c r="BJ193" s="41" t="b">
        <f t="shared" si="125"/>
        <v>0</v>
      </c>
      <c r="BK193" s="41" t="b">
        <f t="shared" si="126"/>
        <v>0</v>
      </c>
      <c r="BL193" s="42" t="str">
        <f>_xlfn.XLOOKUP(AW193,'County Population Strata'!$A$3:$A$66,'County Population Strata'!$P$3:$P$66)</f>
        <v>Tiny</v>
      </c>
    </row>
    <row r="194" spans="18:64" x14ac:dyDescent="0.2">
      <c r="R194" s="16" t="s">
        <v>194</v>
      </c>
      <c r="S194" s="26">
        <v>5419</v>
      </c>
      <c r="T194" s="26">
        <v>5422</v>
      </c>
      <c r="U194" s="26">
        <v>5428</v>
      </c>
      <c r="V194" s="26">
        <v>5432</v>
      </c>
      <c r="W194" s="26">
        <v>5437</v>
      </c>
      <c r="X194" s="26">
        <v>5441</v>
      </c>
      <c r="Y194" s="26">
        <v>5446</v>
      </c>
      <c r="Z194" s="26">
        <v>5445</v>
      </c>
      <c r="AA194" s="26">
        <v>5436</v>
      </c>
      <c r="AB194" s="26">
        <v>5433</v>
      </c>
      <c r="AC194" s="26">
        <v>5438</v>
      </c>
      <c r="AD194" s="26">
        <v>5466</v>
      </c>
      <c r="AE194" s="26">
        <v>5474</v>
      </c>
      <c r="AG194" s="16" t="s">
        <v>194</v>
      </c>
      <c r="AH194" s="29">
        <v>0</v>
      </c>
      <c r="AI194" s="29">
        <f t="shared" si="139"/>
        <v>5.5360767669311681E-4</v>
      </c>
      <c r="AJ194" s="29">
        <f t="shared" si="140"/>
        <v>1.1066027296200663E-3</v>
      </c>
      <c r="AK194" s="29">
        <f t="shared" si="141"/>
        <v>7.3691967575534268E-4</v>
      </c>
      <c r="AL194" s="29">
        <f t="shared" si="142"/>
        <v>9.2047128129602355E-4</v>
      </c>
      <c r="AM194" s="29">
        <f t="shared" si="143"/>
        <v>7.356998344675372E-4</v>
      </c>
      <c r="AN194" s="29">
        <f t="shared" si="144"/>
        <v>9.1894872266127549E-4</v>
      </c>
      <c r="AO194" s="29">
        <f t="shared" si="145"/>
        <v>-1.836210062431142E-4</v>
      </c>
      <c r="AP194" s="29">
        <f t="shared" si="146"/>
        <v>-1.652892561983471E-3</v>
      </c>
      <c r="AQ194" s="29">
        <f t="shared" si="147"/>
        <v>-5.5187637969094923E-4</v>
      </c>
      <c r="AR194" s="29">
        <f t="shared" si="148"/>
        <v>9.2030185900975525E-4</v>
      </c>
      <c r="AS194" s="29">
        <f t="shared" si="149"/>
        <v>5.1489518205222505E-3</v>
      </c>
      <c r="AT194" s="29">
        <f t="shared" si="150"/>
        <v>1.4635931211123307E-3</v>
      </c>
      <c r="AW194" s="16" t="s">
        <v>194</v>
      </c>
      <c r="AX194" s="32">
        <f t="shared" si="151"/>
        <v>5.5340346877106109E-4</v>
      </c>
      <c r="AY194" s="32">
        <f t="shared" si="152"/>
        <v>7.9904336068950868E-4</v>
      </c>
      <c r="AZ194" s="32">
        <f t="shared" si="153"/>
        <v>9.2133122889047749E-4</v>
      </c>
      <c r="BA194" s="32">
        <f t="shared" si="154"/>
        <v>7.9769693050630111E-4</v>
      </c>
      <c r="BB194" s="32">
        <f t="shared" si="155"/>
        <v>8.5837327947494541E-4</v>
      </c>
      <c r="BC194" s="32">
        <f t="shared" si="156"/>
        <v>4.9034251696189945E-4</v>
      </c>
      <c r="BD194" s="32">
        <f t="shared" si="157"/>
        <v>-3.0585494852176991E-4</v>
      </c>
      <c r="BE194" s="32">
        <f t="shared" si="158"/>
        <v>-7.9612998263917827E-4</v>
      </c>
      <c r="BF194" s="32">
        <f t="shared" si="159"/>
        <v>-4.2815569422155491E-4</v>
      </c>
      <c r="BG194" s="32">
        <f t="shared" si="160"/>
        <v>1.8391257666136856E-3</v>
      </c>
      <c r="BH194" s="41">
        <f t="shared" si="161"/>
        <v>2.5109489335481123E-3</v>
      </c>
      <c r="BI194" s="46">
        <f t="shared" si="162"/>
        <v>-1.1229013056701829</v>
      </c>
      <c r="BJ194" s="41" t="b">
        <f t="shared" si="125"/>
        <v>0</v>
      </c>
      <c r="BK194" s="41" t="b">
        <f t="shared" si="126"/>
        <v>1</v>
      </c>
      <c r="BL194" s="42" t="str">
        <f>_xlfn.XLOOKUP(AW194,'County Population Strata'!$A$3:$A$66,'County Population Strata'!$P$3:$P$66)</f>
        <v>Tiny</v>
      </c>
    </row>
    <row r="195" spans="18:64" x14ac:dyDescent="0.2">
      <c r="R195" s="16" t="s">
        <v>195</v>
      </c>
      <c r="S195" s="26">
        <v>69614</v>
      </c>
      <c r="T195" s="26">
        <v>69825</v>
      </c>
      <c r="U195" s="26">
        <v>69927</v>
      </c>
      <c r="V195" s="26">
        <v>70176</v>
      </c>
      <c r="W195" s="26">
        <v>70410</v>
      </c>
      <c r="X195" s="26">
        <v>70455</v>
      </c>
      <c r="Y195" s="26">
        <v>70696</v>
      </c>
      <c r="Z195" s="26">
        <v>70831</v>
      </c>
      <c r="AA195" s="26">
        <v>71066</v>
      </c>
      <c r="AB195" s="26">
        <v>71576</v>
      </c>
      <c r="AC195" s="26">
        <v>72144</v>
      </c>
      <c r="AD195" s="26">
        <v>73047</v>
      </c>
      <c r="AE195" s="26">
        <v>73971</v>
      </c>
      <c r="AG195" s="16" t="s">
        <v>195</v>
      </c>
      <c r="AH195" s="29">
        <v>0</v>
      </c>
      <c r="AI195" s="29">
        <f t="shared" si="139"/>
        <v>3.0309995115924957E-3</v>
      </c>
      <c r="AJ195" s="29">
        <f t="shared" si="140"/>
        <v>1.460794844253491E-3</v>
      </c>
      <c r="AK195" s="29">
        <f t="shared" si="141"/>
        <v>3.5608563215925181E-3</v>
      </c>
      <c r="AL195" s="29">
        <f t="shared" si="142"/>
        <v>3.3344733242134062E-3</v>
      </c>
      <c r="AM195" s="29">
        <f t="shared" si="143"/>
        <v>6.3911376224968044E-4</v>
      </c>
      <c r="AN195" s="29">
        <f t="shared" si="144"/>
        <v>3.4206230927542403E-3</v>
      </c>
      <c r="AO195" s="29">
        <f t="shared" si="145"/>
        <v>1.9095847006902794E-3</v>
      </c>
      <c r="AP195" s="29">
        <f t="shared" si="146"/>
        <v>3.3177563496209288E-3</v>
      </c>
      <c r="AQ195" s="29">
        <f t="shared" si="147"/>
        <v>7.1764275462246367E-3</v>
      </c>
      <c r="AR195" s="29">
        <f t="shared" si="148"/>
        <v>7.9356208785067613E-3</v>
      </c>
      <c r="AS195" s="29">
        <f t="shared" si="149"/>
        <v>1.2516633399866932E-2</v>
      </c>
      <c r="AT195" s="29">
        <f t="shared" si="150"/>
        <v>1.2649390118690707E-2</v>
      </c>
      <c r="AW195" s="16" t="s">
        <v>195</v>
      </c>
      <c r="AX195" s="32">
        <f t="shared" si="151"/>
        <v>1.4972647852819956E-3</v>
      </c>
      <c r="AY195" s="32">
        <f t="shared" si="152"/>
        <v>2.6842168924795014E-3</v>
      </c>
      <c r="AZ195" s="32">
        <f t="shared" si="153"/>
        <v>2.7853748300198052E-3</v>
      </c>
      <c r="BA195" s="32">
        <f t="shared" si="154"/>
        <v>2.5114811360185348E-3</v>
      </c>
      <c r="BB195" s="32">
        <f t="shared" si="155"/>
        <v>2.4647367264057757E-3</v>
      </c>
      <c r="BC195" s="32">
        <f t="shared" si="156"/>
        <v>1.9897738518980666E-3</v>
      </c>
      <c r="BD195" s="32">
        <f t="shared" si="157"/>
        <v>2.8826547143551498E-3</v>
      </c>
      <c r="BE195" s="32">
        <f t="shared" si="158"/>
        <v>4.1345895321786147E-3</v>
      </c>
      <c r="BF195" s="32">
        <f t="shared" si="159"/>
        <v>6.1432682581174418E-3</v>
      </c>
      <c r="BG195" s="32">
        <f t="shared" si="160"/>
        <v>9.2095606081994425E-3</v>
      </c>
      <c r="BH195" s="41">
        <f t="shared" si="161"/>
        <v>1.1033881465688134E-2</v>
      </c>
      <c r="BI195" s="46">
        <f t="shared" si="162"/>
        <v>-0.15364508919989164</v>
      </c>
      <c r="BJ195" s="41" t="b">
        <f t="shared" si="125"/>
        <v>0</v>
      </c>
      <c r="BK195" s="41" t="b">
        <f t="shared" si="126"/>
        <v>0</v>
      </c>
      <c r="BL195" s="42" t="str">
        <f>_xlfn.XLOOKUP(AW195,'County Population Strata'!$A$3:$A$66,'County Population Strata'!$P$3:$P$66)</f>
        <v>Small</v>
      </c>
    </row>
    <row r="196" spans="18:64" x14ac:dyDescent="0.2">
      <c r="R196" s="16" t="s">
        <v>196</v>
      </c>
      <c r="S196" s="26">
        <v>3172</v>
      </c>
      <c r="T196" s="26">
        <v>3195</v>
      </c>
      <c r="U196" s="26">
        <v>3213</v>
      </c>
      <c r="V196" s="26">
        <v>3214</v>
      </c>
      <c r="W196" s="26">
        <v>3223</v>
      </c>
      <c r="X196" s="26">
        <v>3226</v>
      </c>
      <c r="Y196" s="26">
        <v>3232</v>
      </c>
      <c r="Z196" s="26">
        <v>3241</v>
      </c>
      <c r="AA196" s="26">
        <v>3252</v>
      </c>
      <c r="AB196" s="26">
        <v>3269</v>
      </c>
      <c r="AC196" s="26">
        <v>3279</v>
      </c>
      <c r="AD196" s="26">
        <v>3284</v>
      </c>
      <c r="AE196" s="26">
        <v>3296</v>
      </c>
      <c r="AG196" s="16" t="s">
        <v>196</v>
      </c>
      <c r="AH196" s="29">
        <v>0</v>
      </c>
      <c r="AI196" s="29">
        <f t="shared" si="139"/>
        <v>7.2509457755359392E-3</v>
      </c>
      <c r="AJ196" s="29">
        <f t="shared" si="140"/>
        <v>5.6338028169014088E-3</v>
      </c>
      <c r="AK196" s="29">
        <f t="shared" si="141"/>
        <v>3.1123560535325243E-4</v>
      </c>
      <c r="AL196" s="29">
        <f t="shared" si="142"/>
        <v>2.8002489110143126E-3</v>
      </c>
      <c r="AM196" s="29">
        <f t="shared" si="143"/>
        <v>9.3080980452994104E-4</v>
      </c>
      <c r="AN196" s="29">
        <f t="shared" si="144"/>
        <v>1.8598884066955983E-3</v>
      </c>
      <c r="AO196" s="29">
        <f t="shared" si="145"/>
        <v>2.7846534653465345E-3</v>
      </c>
      <c r="AP196" s="29">
        <f t="shared" si="146"/>
        <v>3.3940141931502622E-3</v>
      </c>
      <c r="AQ196" s="29">
        <f t="shared" si="147"/>
        <v>5.2275522755227555E-3</v>
      </c>
      <c r="AR196" s="29">
        <f t="shared" si="148"/>
        <v>3.0590394616090547E-3</v>
      </c>
      <c r="AS196" s="29">
        <f t="shared" si="149"/>
        <v>1.5248551387618177E-3</v>
      </c>
      <c r="AT196" s="29">
        <f t="shared" si="150"/>
        <v>3.6540803897685747E-3</v>
      </c>
      <c r="AW196" s="16" t="s">
        <v>196</v>
      </c>
      <c r="AX196" s="32">
        <f t="shared" si="151"/>
        <v>4.2949161974791157E-3</v>
      </c>
      <c r="AY196" s="32">
        <f t="shared" si="152"/>
        <v>4.3986613992635327E-3</v>
      </c>
      <c r="AZ196" s="32">
        <f t="shared" si="153"/>
        <v>2.9150957777563245E-3</v>
      </c>
      <c r="BA196" s="32">
        <f t="shared" si="154"/>
        <v>1.3474314402991685E-3</v>
      </c>
      <c r="BB196" s="32">
        <f t="shared" si="155"/>
        <v>1.8636490407466174E-3</v>
      </c>
      <c r="BC196" s="32">
        <f t="shared" si="156"/>
        <v>1.8584505588573579E-3</v>
      </c>
      <c r="BD196" s="32">
        <f t="shared" si="157"/>
        <v>2.679518688397465E-3</v>
      </c>
      <c r="BE196" s="32">
        <f t="shared" si="158"/>
        <v>3.8020733113398506E-3</v>
      </c>
      <c r="BF196" s="32">
        <f t="shared" si="159"/>
        <v>3.8935353100940239E-3</v>
      </c>
      <c r="BG196" s="32">
        <f t="shared" si="160"/>
        <v>3.2704822919645427E-3</v>
      </c>
      <c r="BH196" s="41">
        <f t="shared" si="161"/>
        <v>2.7459916633798161E-3</v>
      </c>
      <c r="BI196" s="46">
        <f t="shared" si="162"/>
        <v>-1.0961714651878809</v>
      </c>
      <c r="BJ196" s="41" t="b">
        <f t="shared" si="125"/>
        <v>0</v>
      </c>
      <c r="BK196" s="41" t="b">
        <f t="shared" si="126"/>
        <v>1</v>
      </c>
      <c r="BL196" s="42" t="str">
        <f>_xlfn.XLOOKUP(AW196,'County Population Strata'!$A$3:$A$66,'County Population Strata'!$P$3:$P$66)</f>
        <v>Tiny</v>
      </c>
    </row>
    <row r="197" spans="18:64" x14ac:dyDescent="0.2">
      <c r="R197" s="16" t="s">
        <v>197</v>
      </c>
      <c r="S197" s="26">
        <v>6266</v>
      </c>
      <c r="T197" s="26">
        <v>6301</v>
      </c>
      <c r="U197" s="26">
        <v>6327</v>
      </c>
      <c r="V197" s="26">
        <v>6365</v>
      </c>
      <c r="W197" s="26">
        <v>6384</v>
      </c>
      <c r="X197" s="26">
        <v>6407</v>
      </c>
      <c r="Y197" s="26">
        <v>6431</v>
      </c>
      <c r="Z197" s="26">
        <v>6440</v>
      </c>
      <c r="AA197" s="26">
        <v>6483</v>
      </c>
      <c r="AB197" s="26">
        <v>6506</v>
      </c>
      <c r="AC197" s="26">
        <v>6533</v>
      </c>
      <c r="AD197" s="26">
        <v>6563</v>
      </c>
      <c r="AE197" s="26">
        <v>6606</v>
      </c>
      <c r="AG197" s="16" t="s">
        <v>197</v>
      </c>
      <c r="AH197" s="29">
        <v>0</v>
      </c>
      <c r="AI197" s="29">
        <f t="shared" si="139"/>
        <v>5.5857006064474945E-3</v>
      </c>
      <c r="AJ197" s="29">
        <f t="shared" si="140"/>
        <v>4.126329154102523E-3</v>
      </c>
      <c r="AK197" s="29">
        <f t="shared" si="141"/>
        <v>6.006006006006006E-3</v>
      </c>
      <c r="AL197" s="29">
        <f t="shared" si="142"/>
        <v>2.9850746268656717E-3</v>
      </c>
      <c r="AM197" s="29">
        <f t="shared" si="143"/>
        <v>3.6027568922305762E-3</v>
      </c>
      <c r="AN197" s="29">
        <f t="shared" si="144"/>
        <v>3.7459029186826909E-3</v>
      </c>
      <c r="AO197" s="29">
        <f t="shared" si="145"/>
        <v>1.3994713108381278E-3</v>
      </c>
      <c r="AP197" s="29">
        <f t="shared" si="146"/>
        <v>6.6770186335403728E-3</v>
      </c>
      <c r="AQ197" s="29">
        <f t="shared" si="147"/>
        <v>3.5477402437143297E-3</v>
      </c>
      <c r="AR197" s="29">
        <f t="shared" si="148"/>
        <v>4.1500153704272982E-3</v>
      </c>
      <c r="AS197" s="29">
        <f t="shared" si="149"/>
        <v>4.5920710240318387E-3</v>
      </c>
      <c r="AT197" s="29">
        <f t="shared" si="150"/>
        <v>6.5518817613896083E-3</v>
      </c>
      <c r="AW197" s="16" t="s">
        <v>197</v>
      </c>
      <c r="AX197" s="32">
        <f t="shared" si="151"/>
        <v>3.2373432535166727E-3</v>
      </c>
      <c r="AY197" s="32">
        <f t="shared" si="152"/>
        <v>5.2393452555186751E-3</v>
      </c>
      <c r="AZ197" s="32">
        <f t="shared" si="153"/>
        <v>4.3724699289914007E-3</v>
      </c>
      <c r="BA197" s="32">
        <f t="shared" si="154"/>
        <v>4.1979458417007514E-3</v>
      </c>
      <c r="BB197" s="32">
        <f t="shared" si="155"/>
        <v>3.4445781459263129E-3</v>
      </c>
      <c r="BC197" s="32">
        <f t="shared" si="156"/>
        <v>2.9160437072504649E-3</v>
      </c>
      <c r="BD197" s="32">
        <f t="shared" si="157"/>
        <v>3.9407976210203968E-3</v>
      </c>
      <c r="BE197" s="32">
        <f t="shared" si="158"/>
        <v>3.8747433960309428E-3</v>
      </c>
      <c r="BF197" s="32">
        <f t="shared" si="159"/>
        <v>4.7915914158940002E-3</v>
      </c>
      <c r="BG197" s="32">
        <f t="shared" si="160"/>
        <v>4.0966088793911552E-3</v>
      </c>
      <c r="BH197" s="41">
        <f t="shared" si="161"/>
        <v>5.0979893852829148E-3</v>
      </c>
      <c r="BI197" s="46">
        <f t="shared" si="162"/>
        <v>-0.82869446657480661</v>
      </c>
      <c r="BJ197" s="41" t="b">
        <f t="shared" si="125"/>
        <v>0</v>
      </c>
      <c r="BK197" s="41" t="b">
        <f t="shared" si="126"/>
        <v>0</v>
      </c>
      <c r="BL197" s="42" t="str">
        <f>_xlfn.XLOOKUP(AW197,'County Population Strata'!$A$3:$A$66,'County Population Strata'!$P$3:$P$66)</f>
        <v>Tiny</v>
      </c>
    </row>
    <row r="198" spans="18:64" x14ac:dyDescent="0.2">
      <c r="R198" s="16" t="s">
        <v>198</v>
      </c>
      <c r="S198" s="26">
        <v>15591</v>
      </c>
      <c r="T198" s="26">
        <v>15617</v>
      </c>
      <c r="U198" s="26">
        <v>15638</v>
      </c>
      <c r="V198" s="26">
        <v>15670</v>
      </c>
      <c r="W198" s="26">
        <v>15725</v>
      </c>
      <c r="X198" s="26">
        <v>15848</v>
      </c>
      <c r="Y198" s="26">
        <v>15941</v>
      </c>
      <c r="Z198" s="26">
        <v>16100</v>
      </c>
      <c r="AA198" s="26">
        <v>16212</v>
      </c>
      <c r="AB198" s="26">
        <v>16369</v>
      </c>
      <c r="AC198" s="26">
        <v>16572</v>
      </c>
      <c r="AD198" s="26">
        <v>16824</v>
      </c>
      <c r="AE198" s="26">
        <v>17102</v>
      </c>
      <c r="AG198" s="16" t="s">
        <v>198</v>
      </c>
      <c r="AH198" s="29">
        <v>0</v>
      </c>
      <c r="AI198" s="29">
        <f t="shared" si="139"/>
        <v>1.6676287601821564E-3</v>
      </c>
      <c r="AJ198" s="29">
        <f t="shared" si="140"/>
        <v>1.344688480502017E-3</v>
      </c>
      <c r="AK198" s="29">
        <f t="shared" si="141"/>
        <v>2.0462974804962273E-3</v>
      </c>
      <c r="AL198" s="29">
        <f t="shared" si="142"/>
        <v>3.5098915124441607E-3</v>
      </c>
      <c r="AM198" s="29">
        <f t="shared" si="143"/>
        <v>7.8219395866454683E-3</v>
      </c>
      <c r="AN198" s="29">
        <f t="shared" si="144"/>
        <v>5.868248359414437E-3</v>
      </c>
      <c r="AO198" s="29">
        <f t="shared" si="145"/>
        <v>9.9742801580829307E-3</v>
      </c>
      <c r="AP198" s="29">
        <f t="shared" si="146"/>
        <v>6.956521739130435E-3</v>
      </c>
      <c r="AQ198" s="29">
        <f t="shared" si="147"/>
        <v>9.6841845546508758E-3</v>
      </c>
      <c r="AR198" s="29">
        <f t="shared" si="148"/>
        <v>1.2401490622518175E-2</v>
      </c>
      <c r="AS198" s="29">
        <f t="shared" si="149"/>
        <v>1.5206372194062274E-2</v>
      </c>
      <c r="AT198" s="29">
        <f t="shared" si="150"/>
        <v>1.6524013314312885E-2</v>
      </c>
      <c r="AW198" s="16" t="s">
        <v>198</v>
      </c>
      <c r="AX198" s="32">
        <f t="shared" si="151"/>
        <v>1.0041057468947246E-3</v>
      </c>
      <c r="AY198" s="32">
        <f t="shared" si="152"/>
        <v>1.6862049070601338E-3</v>
      </c>
      <c r="AZ198" s="32">
        <f t="shared" si="153"/>
        <v>2.3002924911474684E-3</v>
      </c>
      <c r="BA198" s="32">
        <f t="shared" si="154"/>
        <v>4.4593761931952854E-3</v>
      </c>
      <c r="BB198" s="32">
        <f t="shared" si="155"/>
        <v>5.733359819501356E-3</v>
      </c>
      <c r="BC198" s="32">
        <f t="shared" si="156"/>
        <v>7.8881560347142787E-3</v>
      </c>
      <c r="BD198" s="32">
        <f t="shared" si="157"/>
        <v>7.5996834188759334E-3</v>
      </c>
      <c r="BE198" s="32">
        <f t="shared" si="158"/>
        <v>8.8716621506214136E-3</v>
      </c>
      <c r="BF198" s="32">
        <f t="shared" si="159"/>
        <v>9.6807323054331623E-3</v>
      </c>
      <c r="BG198" s="32">
        <f t="shared" si="160"/>
        <v>1.2430682457077109E-2</v>
      </c>
      <c r="BH198" s="41">
        <f t="shared" si="161"/>
        <v>1.4710625376964446E-2</v>
      </c>
      <c r="BI198" s="46">
        <f t="shared" si="162"/>
        <v>0.26448644932104592</v>
      </c>
      <c r="BJ198" s="41" t="b">
        <f t="shared" si="125"/>
        <v>0</v>
      </c>
      <c r="BK198" s="41" t="b">
        <f t="shared" si="126"/>
        <v>0</v>
      </c>
      <c r="BL198" s="42" t="str">
        <f>_xlfn.XLOOKUP(AW198,'County Population Strata'!$A$3:$A$66,'County Population Strata'!$P$3:$P$66)</f>
        <v>Small</v>
      </c>
    </row>
    <row r="199" spans="18:64" x14ac:dyDescent="0.2">
      <c r="R199" s="16" t="s">
        <v>199</v>
      </c>
      <c r="S199" s="26">
        <v>3231</v>
      </c>
      <c r="T199" s="26">
        <v>3266</v>
      </c>
      <c r="U199" s="26">
        <v>3290</v>
      </c>
      <c r="V199" s="26">
        <v>3321</v>
      </c>
      <c r="W199" s="26">
        <v>3353</v>
      </c>
      <c r="X199" s="26">
        <v>3384</v>
      </c>
      <c r="Y199" s="26">
        <v>3412</v>
      </c>
      <c r="Z199" s="26">
        <v>3464</v>
      </c>
      <c r="AA199" s="26">
        <v>3559</v>
      </c>
      <c r="AB199" s="26">
        <v>3679</v>
      </c>
      <c r="AC199" s="26">
        <v>3760</v>
      </c>
      <c r="AD199" s="26">
        <v>3814</v>
      </c>
      <c r="AE199" s="26">
        <v>3914</v>
      </c>
      <c r="AG199" s="16" t="s">
        <v>199</v>
      </c>
      <c r="AH199" s="29">
        <v>0</v>
      </c>
      <c r="AI199" s="29">
        <f t="shared" si="139"/>
        <v>1.0832559579077685E-2</v>
      </c>
      <c r="AJ199" s="29">
        <f t="shared" si="140"/>
        <v>7.3484384568279241E-3</v>
      </c>
      <c r="AK199" s="29">
        <f t="shared" si="141"/>
        <v>9.4224924012158047E-3</v>
      </c>
      <c r="AL199" s="29">
        <f t="shared" si="142"/>
        <v>9.6356519120746765E-3</v>
      </c>
      <c r="AM199" s="29">
        <f t="shared" si="143"/>
        <v>9.2454518341783479E-3</v>
      </c>
      <c r="AN199" s="29">
        <f t="shared" si="144"/>
        <v>8.2742316784869974E-3</v>
      </c>
      <c r="AO199" s="29">
        <f t="shared" si="145"/>
        <v>1.5240328253223915E-2</v>
      </c>
      <c r="AP199" s="29">
        <f t="shared" si="146"/>
        <v>2.7424942263279444E-2</v>
      </c>
      <c r="AQ199" s="29">
        <f t="shared" si="147"/>
        <v>3.3717336330429899E-2</v>
      </c>
      <c r="AR199" s="29">
        <f t="shared" si="148"/>
        <v>2.2016852405544986E-2</v>
      </c>
      <c r="AS199" s="29">
        <f t="shared" si="149"/>
        <v>1.4361702127659574E-2</v>
      </c>
      <c r="AT199" s="29">
        <f t="shared" si="150"/>
        <v>2.6219192448872573E-2</v>
      </c>
      <c r="AW199" s="16" t="s">
        <v>199</v>
      </c>
      <c r="AX199" s="32">
        <f t="shared" si="151"/>
        <v>6.0603326786352026E-3</v>
      </c>
      <c r="AY199" s="32">
        <f t="shared" si="152"/>
        <v>9.2011634790404705E-3</v>
      </c>
      <c r="AZ199" s="32">
        <f t="shared" si="153"/>
        <v>8.8021942567061348E-3</v>
      </c>
      <c r="BA199" s="32">
        <f t="shared" si="154"/>
        <v>9.434532049156277E-3</v>
      </c>
      <c r="BB199" s="32">
        <f t="shared" si="155"/>
        <v>9.0517784749133412E-3</v>
      </c>
      <c r="BC199" s="32">
        <f t="shared" si="156"/>
        <v>1.0920003921963087E-2</v>
      </c>
      <c r="BD199" s="32">
        <f t="shared" si="157"/>
        <v>1.6979834064996785E-2</v>
      </c>
      <c r="BE199" s="32">
        <f t="shared" si="158"/>
        <v>2.5460868948977755E-2</v>
      </c>
      <c r="BF199" s="32">
        <f t="shared" si="159"/>
        <v>2.7719710333084777E-2</v>
      </c>
      <c r="BG199" s="32">
        <f t="shared" si="160"/>
        <v>2.3365296954544822E-2</v>
      </c>
      <c r="BH199" s="41">
        <f t="shared" si="161"/>
        <v>2.0865915660692375E-2</v>
      </c>
      <c r="BI199" s="46">
        <f t="shared" si="162"/>
        <v>0.96448651962366316</v>
      </c>
      <c r="BJ199" s="41" t="b">
        <f t="shared" si="125"/>
        <v>0</v>
      </c>
      <c r="BK199" s="41" t="b">
        <f t="shared" si="126"/>
        <v>0</v>
      </c>
      <c r="BL199" s="42" t="str">
        <f>_xlfn.XLOOKUP(AW199,'County Population Strata'!$A$3:$A$66,'County Population Strata'!$P$3:$P$66)</f>
        <v>Tiny</v>
      </c>
    </row>
    <row r="200" spans="18:64" x14ac:dyDescent="0.2">
      <c r="R200" s="16" t="s">
        <v>200</v>
      </c>
      <c r="S200" s="26">
        <v>739</v>
      </c>
      <c r="T200" s="26">
        <v>740</v>
      </c>
      <c r="U200" s="26">
        <v>741</v>
      </c>
      <c r="V200" s="26">
        <v>747</v>
      </c>
      <c r="W200" s="26">
        <v>747</v>
      </c>
      <c r="X200" s="26">
        <v>747</v>
      </c>
      <c r="Y200" s="26">
        <v>753</v>
      </c>
      <c r="Z200" s="26">
        <v>761</v>
      </c>
      <c r="AA200" s="26">
        <v>768</v>
      </c>
      <c r="AB200" s="26">
        <v>775</v>
      </c>
      <c r="AC200" s="26">
        <v>781</v>
      </c>
      <c r="AD200" s="26">
        <v>788</v>
      </c>
      <c r="AE200" s="26">
        <v>805</v>
      </c>
      <c r="AG200" s="16" t="s">
        <v>200</v>
      </c>
      <c r="AH200" s="29">
        <v>0</v>
      </c>
      <c r="AI200" s="29">
        <f t="shared" si="139"/>
        <v>1.3531799729364006E-3</v>
      </c>
      <c r="AJ200" s="29">
        <f t="shared" si="140"/>
        <v>1.3513513513513514E-3</v>
      </c>
      <c r="AK200" s="29">
        <f t="shared" si="141"/>
        <v>8.0971659919028341E-3</v>
      </c>
      <c r="AL200" s="29">
        <f t="shared" si="142"/>
        <v>0</v>
      </c>
      <c r="AM200" s="29">
        <f t="shared" si="143"/>
        <v>0</v>
      </c>
      <c r="AN200" s="29">
        <f t="shared" si="144"/>
        <v>8.0321285140562242E-3</v>
      </c>
      <c r="AO200" s="29">
        <f t="shared" si="145"/>
        <v>1.0624169986719787E-2</v>
      </c>
      <c r="AP200" s="29">
        <f t="shared" si="146"/>
        <v>9.1984231274638631E-3</v>
      </c>
      <c r="AQ200" s="29">
        <f t="shared" si="147"/>
        <v>9.1145833333333339E-3</v>
      </c>
      <c r="AR200" s="29">
        <f t="shared" si="148"/>
        <v>7.7419354838709677E-3</v>
      </c>
      <c r="AS200" s="29">
        <f t="shared" si="149"/>
        <v>8.9628681177976958E-3</v>
      </c>
      <c r="AT200" s="29">
        <f t="shared" si="150"/>
        <v>2.1573604060913704E-2</v>
      </c>
      <c r="AW200" s="16" t="s">
        <v>200</v>
      </c>
      <c r="AX200" s="32">
        <f t="shared" si="151"/>
        <v>9.0151044142925069E-4</v>
      </c>
      <c r="AY200" s="32">
        <f t="shared" si="152"/>
        <v>3.600565772063529E-3</v>
      </c>
      <c r="AZ200" s="32">
        <f t="shared" si="153"/>
        <v>3.1495057810847285E-3</v>
      </c>
      <c r="BA200" s="32">
        <f t="shared" si="154"/>
        <v>2.6990553306342779E-3</v>
      </c>
      <c r="BB200" s="32">
        <f t="shared" si="155"/>
        <v>2.6773761713520749E-3</v>
      </c>
      <c r="BC200" s="32">
        <f t="shared" si="156"/>
        <v>6.2187661669253378E-3</v>
      </c>
      <c r="BD200" s="32">
        <f t="shared" si="157"/>
        <v>9.2849072094132925E-3</v>
      </c>
      <c r="BE200" s="32">
        <f t="shared" si="158"/>
        <v>9.6457254825056613E-3</v>
      </c>
      <c r="BF200" s="32">
        <f t="shared" si="159"/>
        <v>8.6849806482227222E-3</v>
      </c>
      <c r="BG200" s="32">
        <f t="shared" si="160"/>
        <v>8.6064623116673331E-3</v>
      </c>
      <c r="BH200" s="41">
        <f t="shared" si="161"/>
        <v>1.2759469220860789E-2</v>
      </c>
      <c r="BI200" s="46">
        <f t="shared" si="162"/>
        <v>4.2594485906325134E-2</v>
      </c>
      <c r="BJ200" s="41" t="b">
        <f t="shared" si="125"/>
        <v>0</v>
      </c>
      <c r="BK200" s="41" t="b">
        <f t="shared" si="126"/>
        <v>0</v>
      </c>
      <c r="BL200" s="42" t="str">
        <f>_xlfn.XLOOKUP(AW200,'County Population Strata'!$A$3:$A$66,'County Population Strata'!$P$3:$P$66)</f>
        <v>Tiny</v>
      </c>
    </row>
    <row r="201" spans="18:64" x14ac:dyDescent="0.2">
      <c r="R201" s="16" t="s">
        <v>201</v>
      </c>
      <c r="S201" s="26">
        <v>6165</v>
      </c>
      <c r="T201" s="26">
        <v>6190</v>
      </c>
      <c r="U201" s="26">
        <v>6197</v>
      </c>
      <c r="V201" s="26">
        <v>6209</v>
      </c>
      <c r="W201" s="26">
        <v>6238</v>
      </c>
      <c r="X201" s="26">
        <v>6320</v>
      </c>
      <c r="Y201" s="26">
        <v>6355</v>
      </c>
      <c r="Z201" s="26">
        <v>6390</v>
      </c>
      <c r="AA201" s="26">
        <v>6467</v>
      </c>
      <c r="AB201" s="26">
        <v>6512</v>
      </c>
      <c r="AC201" s="26">
        <v>6564</v>
      </c>
      <c r="AD201" s="26">
        <v>6595</v>
      </c>
      <c r="AE201" s="26">
        <v>6711</v>
      </c>
      <c r="AG201" s="16" t="s">
        <v>201</v>
      </c>
      <c r="AH201" s="29">
        <v>0</v>
      </c>
      <c r="AI201" s="29">
        <f t="shared" si="139"/>
        <v>4.0551500405515001E-3</v>
      </c>
      <c r="AJ201" s="29">
        <f t="shared" si="140"/>
        <v>1.1308562197092085E-3</v>
      </c>
      <c r="AK201" s="29">
        <f t="shared" si="141"/>
        <v>1.9364208487978054E-3</v>
      </c>
      <c r="AL201" s="29">
        <f t="shared" si="142"/>
        <v>4.6706393944274437E-3</v>
      </c>
      <c r="AM201" s="29">
        <f t="shared" si="143"/>
        <v>1.3145238858608528E-2</v>
      </c>
      <c r="AN201" s="29">
        <f t="shared" si="144"/>
        <v>5.5379746835443038E-3</v>
      </c>
      <c r="AO201" s="29">
        <f t="shared" si="145"/>
        <v>5.5074744295830055E-3</v>
      </c>
      <c r="AP201" s="29">
        <f t="shared" si="146"/>
        <v>1.2050078247261346E-2</v>
      </c>
      <c r="AQ201" s="29">
        <f t="shared" si="147"/>
        <v>6.9584042059687642E-3</v>
      </c>
      <c r="AR201" s="29">
        <f t="shared" si="148"/>
        <v>7.9852579852579854E-3</v>
      </c>
      <c r="AS201" s="29">
        <f t="shared" si="149"/>
        <v>4.7227300426569167E-3</v>
      </c>
      <c r="AT201" s="29">
        <f t="shared" si="150"/>
        <v>1.7589082638362397E-2</v>
      </c>
      <c r="AW201" s="16" t="s">
        <v>201</v>
      </c>
      <c r="AX201" s="32">
        <f t="shared" si="151"/>
        <v>1.7286687534202362E-3</v>
      </c>
      <c r="AY201" s="32">
        <f t="shared" si="152"/>
        <v>2.3741423696861715E-3</v>
      </c>
      <c r="AZ201" s="32">
        <f t="shared" si="153"/>
        <v>2.5793054876448191E-3</v>
      </c>
      <c r="BA201" s="32">
        <f t="shared" si="154"/>
        <v>6.5840997006112595E-3</v>
      </c>
      <c r="BB201" s="32">
        <f t="shared" si="155"/>
        <v>7.7846176455267577E-3</v>
      </c>
      <c r="BC201" s="32">
        <f t="shared" si="156"/>
        <v>8.0635626572452806E-3</v>
      </c>
      <c r="BD201" s="32">
        <f t="shared" si="157"/>
        <v>7.6985091201295514E-3</v>
      </c>
      <c r="BE201" s="32">
        <f t="shared" si="158"/>
        <v>8.1719856276043727E-3</v>
      </c>
      <c r="BF201" s="32">
        <f t="shared" si="159"/>
        <v>8.9979134794960312E-3</v>
      </c>
      <c r="BG201" s="32">
        <f t="shared" si="160"/>
        <v>6.5554640779612221E-3</v>
      </c>
      <c r="BH201" s="41">
        <f t="shared" si="161"/>
        <v>1.0099023555425767E-2</v>
      </c>
      <c r="BI201" s="46">
        <f t="shared" si="162"/>
        <v>-0.25996023807866719</v>
      </c>
      <c r="BJ201" s="41" t="b">
        <f t="shared" si="125"/>
        <v>0</v>
      </c>
      <c r="BK201" s="41" t="b">
        <f t="shared" si="126"/>
        <v>0</v>
      </c>
      <c r="BL201" s="42" t="str">
        <f>_xlfn.XLOOKUP(AW201,'County Population Strata'!$A$3:$A$66,'County Population Strata'!$P$3:$P$66)</f>
        <v>Tiny</v>
      </c>
    </row>
    <row r="202" spans="18:64" x14ac:dyDescent="0.2">
      <c r="R202" s="16" t="s">
        <v>202</v>
      </c>
      <c r="S202" s="26">
        <v>1325</v>
      </c>
      <c r="T202" s="26">
        <v>1325</v>
      </c>
      <c r="U202" s="26">
        <v>1325</v>
      </c>
      <c r="V202" s="26">
        <v>1327</v>
      </c>
      <c r="W202" s="26">
        <v>1330</v>
      </c>
      <c r="X202" s="26">
        <v>1331</v>
      </c>
      <c r="Y202" s="26">
        <v>1331</v>
      </c>
      <c r="Z202" s="26">
        <v>1335</v>
      </c>
      <c r="AA202" s="26">
        <v>1339</v>
      </c>
      <c r="AB202" s="26">
        <v>1341</v>
      </c>
      <c r="AC202" s="26">
        <v>1343</v>
      </c>
      <c r="AD202" s="26">
        <v>1343</v>
      </c>
      <c r="AE202" s="26">
        <v>1343</v>
      </c>
      <c r="AG202" s="16" t="s">
        <v>202</v>
      </c>
      <c r="AH202" s="29">
        <v>0</v>
      </c>
      <c r="AI202" s="29">
        <f t="shared" si="139"/>
        <v>0</v>
      </c>
      <c r="AJ202" s="29">
        <f t="shared" si="140"/>
        <v>0</v>
      </c>
      <c r="AK202" s="29">
        <f t="shared" si="141"/>
        <v>1.5094339622641509E-3</v>
      </c>
      <c r="AL202" s="29">
        <f t="shared" si="142"/>
        <v>2.2607385079125848E-3</v>
      </c>
      <c r="AM202" s="29">
        <f t="shared" si="143"/>
        <v>7.5187969924812035E-4</v>
      </c>
      <c r="AN202" s="29">
        <f t="shared" si="144"/>
        <v>0</v>
      </c>
      <c r="AO202" s="29">
        <f t="shared" si="145"/>
        <v>3.0052592036063112E-3</v>
      </c>
      <c r="AP202" s="29">
        <f t="shared" si="146"/>
        <v>2.9962546816479402E-3</v>
      </c>
      <c r="AQ202" s="29">
        <f t="shared" si="147"/>
        <v>1.4936519790888724E-3</v>
      </c>
      <c r="AR202" s="29">
        <f t="shared" si="148"/>
        <v>1.4914243102162564E-3</v>
      </c>
      <c r="AS202" s="29">
        <f t="shared" si="149"/>
        <v>0</v>
      </c>
      <c r="AT202" s="29">
        <f t="shared" si="150"/>
        <v>0</v>
      </c>
      <c r="AW202" s="16" t="s">
        <v>202</v>
      </c>
      <c r="AX202" s="32">
        <f t="shared" si="151"/>
        <v>0</v>
      </c>
      <c r="AY202" s="32">
        <f t="shared" si="152"/>
        <v>5.0314465408805029E-4</v>
      </c>
      <c r="AZ202" s="32">
        <f t="shared" si="153"/>
        <v>1.2567241567255786E-3</v>
      </c>
      <c r="BA202" s="32">
        <f t="shared" si="154"/>
        <v>1.5073507231416188E-3</v>
      </c>
      <c r="BB202" s="32">
        <f t="shared" si="155"/>
        <v>1.0042060690535683E-3</v>
      </c>
      <c r="BC202" s="32">
        <f t="shared" si="156"/>
        <v>1.2523796342848105E-3</v>
      </c>
      <c r="BD202" s="32">
        <f t="shared" si="157"/>
        <v>2.0005046284180838E-3</v>
      </c>
      <c r="BE202" s="32">
        <f t="shared" si="158"/>
        <v>2.4983886214477082E-3</v>
      </c>
      <c r="BF202" s="32">
        <f t="shared" si="159"/>
        <v>1.9937769903176895E-3</v>
      </c>
      <c r="BG202" s="32">
        <f t="shared" si="160"/>
        <v>9.9502542976837634E-4</v>
      </c>
      <c r="BH202" s="41">
        <f t="shared" si="161"/>
        <v>4.9714143673875214E-4</v>
      </c>
      <c r="BI202" s="46">
        <f t="shared" si="162"/>
        <v>-1.3519181877933655</v>
      </c>
      <c r="BJ202" s="41" t="b">
        <f t="shared" si="125"/>
        <v>0</v>
      </c>
      <c r="BK202" s="41" t="b">
        <f t="shared" si="126"/>
        <v>1</v>
      </c>
      <c r="BL202" s="42" t="str">
        <f>_xlfn.XLOOKUP(AW202,'County Population Strata'!$A$3:$A$66,'County Population Strata'!$P$3:$P$66)</f>
        <v>Tiny</v>
      </c>
    </row>
    <row r="203" spans="18:64" x14ac:dyDescent="0.2">
      <c r="R203" s="16" t="s">
        <v>203</v>
      </c>
      <c r="S203" s="26">
        <v>29861</v>
      </c>
      <c r="T203" s="26">
        <v>29866</v>
      </c>
      <c r="U203" s="26">
        <v>29866</v>
      </c>
      <c r="V203" s="26">
        <v>29882</v>
      </c>
      <c r="W203" s="26">
        <v>30034</v>
      </c>
      <c r="X203" s="26">
        <v>30121</v>
      </c>
      <c r="Y203" s="26">
        <v>30141</v>
      </c>
      <c r="Z203" s="26">
        <v>30320</v>
      </c>
      <c r="AA203" s="26">
        <v>30593</v>
      </c>
      <c r="AB203" s="26">
        <v>31123</v>
      </c>
      <c r="AC203" s="26">
        <v>31416</v>
      </c>
      <c r="AD203" s="26">
        <v>31737</v>
      </c>
      <c r="AE203" s="26">
        <v>32147</v>
      </c>
      <c r="AG203" s="16" t="s">
        <v>203</v>
      </c>
      <c r="AH203" s="29">
        <v>0</v>
      </c>
      <c r="AI203" s="29">
        <f t="shared" si="139"/>
        <v>1.6744248350691537E-4</v>
      </c>
      <c r="AJ203" s="29">
        <f t="shared" si="140"/>
        <v>0</v>
      </c>
      <c r="AK203" s="29">
        <f t="shared" si="141"/>
        <v>5.357262438893725E-4</v>
      </c>
      <c r="AL203" s="29">
        <f t="shared" si="142"/>
        <v>5.0866742520580951E-3</v>
      </c>
      <c r="AM203" s="29">
        <f t="shared" si="143"/>
        <v>2.8967170540054603E-3</v>
      </c>
      <c r="AN203" s="29">
        <f t="shared" si="144"/>
        <v>6.6398857939643438E-4</v>
      </c>
      <c r="AO203" s="29">
        <f t="shared" si="145"/>
        <v>5.9387545204206893E-3</v>
      </c>
      <c r="AP203" s="29">
        <f t="shared" si="146"/>
        <v>9.0039577836411606E-3</v>
      </c>
      <c r="AQ203" s="29">
        <f t="shared" si="147"/>
        <v>1.7324224495799692E-2</v>
      </c>
      <c r="AR203" s="29">
        <f t="shared" si="148"/>
        <v>9.4142595508145098E-3</v>
      </c>
      <c r="AS203" s="29">
        <f t="shared" si="149"/>
        <v>1.0217723453017571E-2</v>
      </c>
      <c r="AT203" s="29">
        <f t="shared" si="150"/>
        <v>1.2918675363140814E-2</v>
      </c>
      <c r="AW203" s="16" t="s">
        <v>203</v>
      </c>
      <c r="AX203" s="32">
        <f t="shared" si="151"/>
        <v>5.5814161168971789E-5</v>
      </c>
      <c r="AY203" s="32">
        <f t="shared" si="152"/>
        <v>2.3438957579876261E-4</v>
      </c>
      <c r="AZ203" s="32">
        <f t="shared" si="153"/>
        <v>1.8741334986491559E-3</v>
      </c>
      <c r="BA203" s="32">
        <f t="shared" si="154"/>
        <v>2.8397058499843096E-3</v>
      </c>
      <c r="BB203" s="32">
        <f t="shared" si="155"/>
        <v>2.8824599618199969E-3</v>
      </c>
      <c r="BC203" s="32">
        <f t="shared" si="156"/>
        <v>3.1664867179408613E-3</v>
      </c>
      <c r="BD203" s="32">
        <f t="shared" si="157"/>
        <v>5.2022336278194281E-3</v>
      </c>
      <c r="BE203" s="32">
        <f t="shared" si="158"/>
        <v>1.0755645599953846E-2</v>
      </c>
      <c r="BF203" s="32">
        <f t="shared" si="159"/>
        <v>1.1914147276751788E-2</v>
      </c>
      <c r="BG203" s="32">
        <f t="shared" si="160"/>
        <v>1.231873583321059E-2</v>
      </c>
      <c r="BH203" s="41">
        <f t="shared" si="161"/>
        <v>1.0850219455657631E-2</v>
      </c>
      <c r="BI203" s="46">
        <f t="shared" si="162"/>
        <v>-0.17453174344480055</v>
      </c>
      <c r="BJ203" s="41" t="b">
        <f t="shared" si="125"/>
        <v>0</v>
      </c>
      <c r="BK203" s="41" t="b">
        <f t="shared" si="126"/>
        <v>0</v>
      </c>
      <c r="BL203" s="42" t="str">
        <f>_xlfn.XLOOKUP(AW203,'County Population Strata'!$A$3:$A$66,'County Population Strata'!$P$3:$P$66)</f>
        <v>Small</v>
      </c>
    </row>
    <row r="204" spans="18:64" x14ac:dyDescent="0.2">
      <c r="R204" s="16" t="s">
        <v>204</v>
      </c>
      <c r="S204" s="26">
        <v>12651</v>
      </c>
      <c r="T204" s="26">
        <v>12663</v>
      </c>
      <c r="U204" s="26">
        <v>12699</v>
      </c>
      <c r="V204" s="26">
        <v>12744</v>
      </c>
      <c r="W204" s="26">
        <v>12772</v>
      </c>
      <c r="X204" s="26">
        <v>12896</v>
      </c>
      <c r="Y204" s="26">
        <v>12956</v>
      </c>
      <c r="Z204" s="26">
        <v>13056</v>
      </c>
      <c r="AA204" s="26">
        <v>13138</v>
      </c>
      <c r="AB204" s="26">
        <v>13254</v>
      </c>
      <c r="AC204" s="26">
        <v>13346</v>
      </c>
      <c r="AD204" s="26">
        <v>13509</v>
      </c>
      <c r="AE204" s="26">
        <v>13657</v>
      </c>
      <c r="AG204" s="16" t="s">
        <v>204</v>
      </c>
      <c r="AH204" s="29">
        <v>0</v>
      </c>
      <c r="AI204" s="29">
        <f t="shared" si="139"/>
        <v>9.4854161726345748E-4</v>
      </c>
      <c r="AJ204" s="29">
        <f t="shared" si="140"/>
        <v>2.8429282160625444E-3</v>
      </c>
      <c r="AK204" s="29">
        <f t="shared" si="141"/>
        <v>3.5435861091424521E-3</v>
      </c>
      <c r="AL204" s="29">
        <f t="shared" si="142"/>
        <v>2.197112366603892E-3</v>
      </c>
      <c r="AM204" s="29">
        <f t="shared" si="143"/>
        <v>9.7087378640776691E-3</v>
      </c>
      <c r="AN204" s="29">
        <f t="shared" si="144"/>
        <v>4.6526054590570716E-3</v>
      </c>
      <c r="AO204" s="29">
        <f t="shared" si="145"/>
        <v>7.7184316146958936E-3</v>
      </c>
      <c r="AP204" s="29">
        <f t="shared" si="146"/>
        <v>6.280637254901961E-3</v>
      </c>
      <c r="AQ204" s="29">
        <f t="shared" si="147"/>
        <v>8.8293499771654738E-3</v>
      </c>
      <c r="AR204" s="29">
        <f t="shared" si="148"/>
        <v>6.9413007393994263E-3</v>
      </c>
      <c r="AS204" s="29">
        <f t="shared" si="149"/>
        <v>1.2213397272591039E-2</v>
      </c>
      <c r="AT204" s="29">
        <f t="shared" si="150"/>
        <v>1.0955659190169517E-2</v>
      </c>
      <c r="AW204" s="16" t="s">
        <v>204</v>
      </c>
      <c r="AX204" s="32">
        <f t="shared" si="151"/>
        <v>1.2638232777753341E-3</v>
      </c>
      <c r="AY204" s="32">
        <f t="shared" si="152"/>
        <v>2.4450186474894845E-3</v>
      </c>
      <c r="AZ204" s="32">
        <f t="shared" si="153"/>
        <v>2.8612088972696293E-3</v>
      </c>
      <c r="BA204" s="32">
        <f t="shared" si="154"/>
        <v>5.149812113274671E-3</v>
      </c>
      <c r="BB204" s="32">
        <f t="shared" si="155"/>
        <v>5.519485229912878E-3</v>
      </c>
      <c r="BC204" s="32">
        <f t="shared" si="156"/>
        <v>7.3599249792768778E-3</v>
      </c>
      <c r="BD204" s="32">
        <f t="shared" si="157"/>
        <v>6.2172247762183087E-3</v>
      </c>
      <c r="BE204" s="32">
        <f t="shared" si="158"/>
        <v>7.60947294892111E-3</v>
      </c>
      <c r="BF204" s="32">
        <f t="shared" si="159"/>
        <v>7.350429323822287E-3</v>
      </c>
      <c r="BG204" s="32">
        <f t="shared" si="160"/>
        <v>9.3280159963853148E-3</v>
      </c>
      <c r="BH204" s="41">
        <f t="shared" si="161"/>
        <v>1.0036785734053326E-2</v>
      </c>
      <c r="BI204" s="46">
        <f t="shared" si="162"/>
        <v>-0.26703812999407561</v>
      </c>
      <c r="BJ204" s="41" t="b">
        <f t="shared" si="125"/>
        <v>0</v>
      </c>
      <c r="BK204" s="41" t="b">
        <f t="shared" si="126"/>
        <v>0</v>
      </c>
      <c r="BL204" s="42" t="str">
        <f>_xlfn.XLOOKUP(AW204,'County Population Strata'!$A$3:$A$66,'County Population Strata'!$P$3:$P$66)</f>
        <v>Small</v>
      </c>
    </row>
    <row r="205" spans="18:64" x14ac:dyDescent="0.2">
      <c r="R205" s="16" t="s">
        <v>205</v>
      </c>
      <c r="S205" s="26">
        <v>2177</v>
      </c>
      <c r="T205" s="26">
        <v>2187</v>
      </c>
      <c r="U205" s="26">
        <v>2195</v>
      </c>
      <c r="V205" s="26">
        <v>2199</v>
      </c>
      <c r="W205" s="26">
        <v>2205</v>
      </c>
      <c r="X205" s="26">
        <v>2215</v>
      </c>
      <c r="Y205" s="26">
        <v>2227</v>
      </c>
      <c r="Z205" s="26">
        <v>2239</v>
      </c>
      <c r="AA205" s="26">
        <v>2249</v>
      </c>
      <c r="AB205" s="26">
        <v>2268</v>
      </c>
      <c r="AC205" s="26">
        <v>2278</v>
      </c>
      <c r="AD205" s="26">
        <v>2287</v>
      </c>
      <c r="AE205" s="26">
        <v>2289</v>
      </c>
      <c r="AG205" s="16" t="s">
        <v>205</v>
      </c>
      <c r="AH205" s="29">
        <v>0</v>
      </c>
      <c r="AI205" s="29">
        <f t="shared" si="139"/>
        <v>4.5934772622875514E-3</v>
      </c>
      <c r="AJ205" s="29">
        <f t="shared" si="140"/>
        <v>3.6579789666209418E-3</v>
      </c>
      <c r="AK205" s="29">
        <f t="shared" si="141"/>
        <v>1.8223234624145787E-3</v>
      </c>
      <c r="AL205" s="29">
        <f t="shared" si="142"/>
        <v>2.7285129604365621E-3</v>
      </c>
      <c r="AM205" s="29">
        <f t="shared" si="143"/>
        <v>4.5351473922902496E-3</v>
      </c>
      <c r="AN205" s="29">
        <f t="shared" si="144"/>
        <v>5.4176072234762979E-3</v>
      </c>
      <c r="AO205" s="29">
        <f t="shared" si="145"/>
        <v>5.3884149079479124E-3</v>
      </c>
      <c r="AP205" s="29">
        <f t="shared" si="146"/>
        <v>4.4662795891022775E-3</v>
      </c>
      <c r="AQ205" s="29">
        <f t="shared" si="147"/>
        <v>8.4481991996442872E-3</v>
      </c>
      <c r="AR205" s="29">
        <f t="shared" si="148"/>
        <v>4.4091710758377423E-3</v>
      </c>
      <c r="AS205" s="29">
        <f t="shared" si="149"/>
        <v>3.9508340649692716E-3</v>
      </c>
      <c r="AT205" s="29">
        <f t="shared" si="150"/>
        <v>8.7450808919982512E-4</v>
      </c>
      <c r="AW205" s="16" t="s">
        <v>205</v>
      </c>
      <c r="AX205" s="32">
        <f t="shared" si="151"/>
        <v>2.7504854096361644E-3</v>
      </c>
      <c r="AY205" s="32">
        <f t="shared" si="152"/>
        <v>3.3579265637743577E-3</v>
      </c>
      <c r="AZ205" s="32">
        <f t="shared" si="153"/>
        <v>2.7362717964906943E-3</v>
      </c>
      <c r="BA205" s="32">
        <f t="shared" si="154"/>
        <v>3.0286612717137971E-3</v>
      </c>
      <c r="BB205" s="32">
        <f t="shared" si="155"/>
        <v>4.2270891920677027E-3</v>
      </c>
      <c r="BC205" s="32">
        <f t="shared" si="156"/>
        <v>5.1137231745714863E-3</v>
      </c>
      <c r="BD205" s="32">
        <f t="shared" si="157"/>
        <v>5.0907672401754962E-3</v>
      </c>
      <c r="BE205" s="32">
        <f t="shared" si="158"/>
        <v>6.1009645655648254E-3</v>
      </c>
      <c r="BF205" s="32">
        <f t="shared" si="159"/>
        <v>5.7745499548614359E-3</v>
      </c>
      <c r="BG205" s="32">
        <f t="shared" si="160"/>
        <v>5.6027347801504328E-3</v>
      </c>
      <c r="BH205" s="41">
        <f t="shared" si="161"/>
        <v>3.0781710766689466E-3</v>
      </c>
      <c r="BI205" s="46">
        <f t="shared" si="162"/>
        <v>-1.058394918195422</v>
      </c>
      <c r="BJ205" s="41" t="b">
        <f t="shared" si="125"/>
        <v>0</v>
      </c>
      <c r="BK205" s="41" t="b">
        <f t="shared" si="126"/>
        <v>1</v>
      </c>
      <c r="BL205" s="42" t="str">
        <f>_xlfn.XLOOKUP(AW205,'County Population Strata'!$A$3:$A$66,'County Population Strata'!$P$3:$P$66)</f>
        <v>Tiny</v>
      </c>
    </row>
    <row r="206" spans="18:64" x14ac:dyDescent="0.2">
      <c r="R206" s="16" t="s">
        <v>206</v>
      </c>
      <c r="S206" s="26">
        <v>96540</v>
      </c>
      <c r="T206" s="26">
        <v>97321</v>
      </c>
      <c r="U206" s="26">
        <v>98257</v>
      </c>
      <c r="V206" s="26">
        <v>99547</v>
      </c>
      <c r="W206" s="26">
        <v>101046</v>
      </c>
      <c r="X206" s="26">
        <v>103354</v>
      </c>
      <c r="Y206" s="26">
        <v>106316</v>
      </c>
      <c r="Z206" s="26">
        <v>109489</v>
      </c>
      <c r="AA206" s="26">
        <v>113019</v>
      </c>
      <c r="AB206" s="26">
        <v>116937</v>
      </c>
      <c r="AC206" s="26">
        <v>120949</v>
      </c>
      <c r="AD206" s="26">
        <v>124749</v>
      </c>
      <c r="AE206" s="26">
        <v>129656</v>
      </c>
      <c r="AG206" s="16" t="s">
        <v>206</v>
      </c>
      <c r="AH206" s="29">
        <v>0</v>
      </c>
      <c r="AI206" s="29">
        <f t="shared" si="139"/>
        <v>8.0899109177542984E-3</v>
      </c>
      <c r="AJ206" s="29">
        <f t="shared" si="140"/>
        <v>9.6176570318841775E-3</v>
      </c>
      <c r="AK206" s="29">
        <f t="shared" si="141"/>
        <v>1.3128835604587968E-2</v>
      </c>
      <c r="AL206" s="29">
        <f t="shared" si="142"/>
        <v>1.5058213708097682E-2</v>
      </c>
      <c r="AM206" s="29">
        <f t="shared" si="143"/>
        <v>2.2841082279357917E-2</v>
      </c>
      <c r="AN206" s="29">
        <f t="shared" si="144"/>
        <v>2.8658784372157825E-2</v>
      </c>
      <c r="AO206" s="29">
        <f t="shared" si="145"/>
        <v>2.9844990405959591E-2</v>
      </c>
      <c r="AP206" s="29">
        <f t="shared" si="146"/>
        <v>3.2240681712318135E-2</v>
      </c>
      <c r="AQ206" s="29">
        <f t="shared" si="147"/>
        <v>3.4666737451225019E-2</v>
      </c>
      <c r="AR206" s="29">
        <f t="shared" si="148"/>
        <v>3.4309072406509489E-2</v>
      </c>
      <c r="AS206" s="29">
        <f t="shared" si="149"/>
        <v>3.1418201059950891E-2</v>
      </c>
      <c r="AT206" s="29">
        <f t="shared" si="150"/>
        <v>3.9334984649175543E-2</v>
      </c>
      <c r="AW206" s="16" t="s">
        <v>206</v>
      </c>
      <c r="AX206" s="32">
        <f t="shared" si="151"/>
        <v>5.9025226498794917E-3</v>
      </c>
      <c r="AY206" s="32">
        <f t="shared" si="152"/>
        <v>1.0278801184742148E-2</v>
      </c>
      <c r="AZ206" s="32">
        <f t="shared" si="153"/>
        <v>1.2601568781523275E-2</v>
      </c>
      <c r="BA206" s="32">
        <f t="shared" si="154"/>
        <v>1.7009377197347856E-2</v>
      </c>
      <c r="BB206" s="32">
        <f t="shared" si="155"/>
        <v>2.2186026786537808E-2</v>
      </c>
      <c r="BC206" s="32">
        <f t="shared" si="156"/>
        <v>2.711495235249178E-2</v>
      </c>
      <c r="BD206" s="32">
        <f t="shared" si="157"/>
        <v>3.0248152163478519E-2</v>
      </c>
      <c r="BE206" s="32">
        <f t="shared" si="158"/>
        <v>3.2250803189834247E-2</v>
      </c>
      <c r="BF206" s="32">
        <f t="shared" si="159"/>
        <v>3.3738830523350881E-2</v>
      </c>
      <c r="BG206" s="32">
        <f t="shared" si="160"/>
        <v>3.3464670305895138E-2</v>
      </c>
      <c r="BH206" s="41">
        <f t="shared" si="161"/>
        <v>3.5020752705211967E-2</v>
      </c>
      <c r="BI206" s="46">
        <f t="shared" si="162"/>
        <v>2.5742216368251265</v>
      </c>
      <c r="BJ206" s="41" t="b">
        <f t="shared" si="125"/>
        <v>1</v>
      </c>
      <c r="BK206" s="41" t="b">
        <f t="shared" si="126"/>
        <v>0</v>
      </c>
      <c r="BL206" s="42" t="str">
        <f>_xlfn.XLOOKUP(AW206,'County Population Strata'!$A$3:$A$66,'County Population Strata'!$P$3:$P$66)</f>
        <v>Medium</v>
      </c>
    </row>
    <row r="207" spans="18:64" x14ac:dyDescent="0.2">
      <c r="R207" s="16" t="s">
        <v>207</v>
      </c>
      <c r="S207" s="26">
        <v>4227</v>
      </c>
      <c r="T207" s="26">
        <v>4237</v>
      </c>
      <c r="U207" s="26">
        <v>4246</v>
      </c>
      <c r="V207" s="26">
        <v>4254</v>
      </c>
      <c r="W207" s="26">
        <v>4265</v>
      </c>
      <c r="X207" s="26">
        <v>4283</v>
      </c>
      <c r="Y207" s="26">
        <v>4294</v>
      </c>
      <c r="Z207" s="26">
        <v>4304</v>
      </c>
      <c r="AA207" s="26">
        <v>4311</v>
      </c>
      <c r="AB207" s="26">
        <v>4317</v>
      </c>
      <c r="AC207" s="26">
        <v>4315</v>
      </c>
      <c r="AD207" s="26">
        <v>4320</v>
      </c>
      <c r="AE207" s="26">
        <v>4326</v>
      </c>
      <c r="AG207" s="16" t="s">
        <v>207</v>
      </c>
      <c r="AH207" s="29">
        <v>0</v>
      </c>
      <c r="AI207" s="29">
        <f t="shared" si="139"/>
        <v>2.3657440264963333E-3</v>
      </c>
      <c r="AJ207" s="29">
        <f t="shared" si="140"/>
        <v>2.1241444418220439E-3</v>
      </c>
      <c r="AK207" s="29">
        <f t="shared" si="141"/>
        <v>1.8841262364578427E-3</v>
      </c>
      <c r="AL207" s="29">
        <f t="shared" si="142"/>
        <v>2.5858015984955335E-3</v>
      </c>
      <c r="AM207" s="29">
        <f t="shared" si="143"/>
        <v>4.220398593200469E-3</v>
      </c>
      <c r="AN207" s="29">
        <f t="shared" si="144"/>
        <v>2.5682932523931824E-3</v>
      </c>
      <c r="AO207" s="29">
        <f t="shared" si="145"/>
        <v>2.328830926874709E-3</v>
      </c>
      <c r="AP207" s="29">
        <f t="shared" si="146"/>
        <v>1.6263940520446097E-3</v>
      </c>
      <c r="AQ207" s="29">
        <f t="shared" si="147"/>
        <v>1.3917884481558804E-3</v>
      </c>
      <c r="AR207" s="29">
        <f t="shared" si="148"/>
        <v>-4.6328468844104701E-4</v>
      </c>
      <c r="AS207" s="29">
        <f t="shared" si="149"/>
        <v>1.1587485515643105E-3</v>
      </c>
      <c r="AT207" s="29">
        <f t="shared" si="150"/>
        <v>1.3888888888888889E-3</v>
      </c>
      <c r="AW207" s="16" t="s">
        <v>207</v>
      </c>
      <c r="AX207" s="32">
        <f t="shared" si="151"/>
        <v>1.496629489439459E-3</v>
      </c>
      <c r="AY207" s="32">
        <f t="shared" si="152"/>
        <v>2.1246715682587398E-3</v>
      </c>
      <c r="AZ207" s="32">
        <f t="shared" si="153"/>
        <v>2.1980240922584732E-3</v>
      </c>
      <c r="BA207" s="32">
        <f t="shared" si="154"/>
        <v>2.8967754760512812E-3</v>
      </c>
      <c r="BB207" s="32">
        <f t="shared" si="155"/>
        <v>3.1248311480297285E-3</v>
      </c>
      <c r="BC207" s="32">
        <f t="shared" si="156"/>
        <v>3.0391742574894538E-3</v>
      </c>
      <c r="BD207" s="32">
        <f t="shared" si="157"/>
        <v>2.1745060771041669E-3</v>
      </c>
      <c r="BE207" s="32">
        <f t="shared" si="158"/>
        <v>1.7823378090250665E-3</v>
      </c>
      <c r="BF207" s="32">
        <f t="shared" si="159"/>
        <v>8.5163260391981439E-4</v>
      </c>
      <c r="BG207" s="32">
        <f t="shared" si="160"/>
        <v>6.957507704263813E-4</v>
      </c>
      <c r="BH207" s="43">
        <f t="shared" si="161"/>
        <v>6.9478425067071752E-4</v>
      </c>
      <c r="BI207" s="47">
        <f t="shared" si="162"/>
        <v>-1.3294415900587431</v>
      </c>
      <c r="BJ207" s="43" t="b">
        <f>IF(BI207&gt;1,TRUE,FALSE)</f>
        <v>0</v>
      </c>
      <c r="BK207" s="43" t="b">
        <f>IF(BI207&gt;1,TRUE,FALSE)</f>
        <v>0</v>
      </c>
      <c r="BL207" s="44" t="str">
        <f>_xlfn.XLOOKUP(AW207,'County Population Strata'!$A$3:$A$66,'County Population Strata'!$P$3:$P$66)</f>
        <v>Tiny</v>
      </c>
    </row>
    <row r="208" spans="18:64" x14ac:dyDescent="0.2">
      <c r="R208" s="19" t="s">
        <v>225</v>
      </c>
      <c r="S208" s="27">
        <f>S154</f>
        <v>2205618</v>
      </c>
      <c r="T208" s="27">
        <f t="shared" ref="T208:AE208" si="163">T154</f>
        <v>2217639</v>
      </c>
      <c r="U208" s="27">
        <f t="shared" si="163"/>
        <v>2230882</v>
      </c>
      <c r="V208" s="27">
        <f t="shared" si="163"/>
        <v>2254094</v>
      </c>
      <c r="W208" s="27">
        <f t="shared" si="163"/>
        <v>2281231</v>
      </c>
      <c r="X208" s="27">
        <f t="shared" si="163"/>
        <v>2310630</v>
      </c>
      <c r="Y208" s="27">
        <f t="shared" si="163"/>
        <v>2339866</v>
      </c>
      <c r="Z208" s="27">
        <f t="shared" si="163"/>
        <v>2377152</v>
      </c>
      <c r="AA208" s="27">
        <f t="shared" si="163"/>
        <v>2418599</v>
      </c>
      <c r="AB208" s="27">
        <f t="shared" si="163"/>
        <v>2460839</v>
      </c>
      <c r="AC208" s="27">
        <f t="shared" si="163"/>
        <v>2501178</v>
      </c>
      <c r="AD208" s="27">
        <f t="shared" si="163"/>
        <v>2542505</v>
      </c>
      <c r="AE208" s="27">
        <f t="shared" si="163"/>
        <v>2598686</v>
      </c>
      <c r="AG208" s="16" t="s">
        <v>266</v>
      </c>
      <c r="AH208" s="31">
        <f>AH154</f>
        <v>0</v>
      </c>
      <c r="AI208" s="31">
        <f t="shared" ref="AI208:AT208" si="164">AI154</f>
        <v>5.4501731487501459E-3</v>
      </c>
      <c r="AJ208" s="31">
        <f t="shared" si="164"/>
        <v>5.9716662630842979E-3</v>
      </c>
      <c r="AK208" s="31">
        <f t="shared" si="164"/>
        <v>1.0404853327069741E-2</v>
      </c>
      <c r="AL208" s="31">
        <f t="shared" si="164"/>
        <v>1.2038983289960401E-2</v>
      </c>
      <c r="AM208" s="31">
        <f t="shared" si="164"/>
        <v>1.2887340212367796E-2</v>
      </c>
      <c r="AN208" s="31">
        <f t="shared" si="164"/>
        <v>1.2652826285471928E-2</v>
      </c>
      <c r="AO208" s="31">
        <f t="shared" si="164"/>
        <v>1.5935100557040446E-2</v>
      </c>
      <c r="AP208" s="31">
        <f t="shared" si="164"/>
        <v>1.7435569959346309E-2</v>
      </c>
      <c r="AQ208" s="31">
        <f t="shared" si="164"/>
        <v>1.7464656191456294E-2</v>
      </c>
      <c r="AR208" s="31">
        <f t="shared" si="164"/>
        <v>1.6392376746304817E-2</v>
      </c>
      <c r="AS208" s="31">
        <f t="shared" si="164"/>
        <v>1.6523014355635624E-2</v>
      </c>
      <c r="AT208" s="31">
        <f t="shared" si="164"/>
        <v>2.2096711707548265E-2</v>
      </c>
      <c r="AW208" s="19" t="s">
        <v>225</v>
      </c>
      <c r="AX208" s="31">
        <f>AX154</f>
        <v>3.807279803944815E-3</v>
      </c>
      <c r="AY208" s="31">
        <f t="shared" ref="AY208:BH208" si="165">AY154</f>
        <v>7.2755642463013951E-3</v>
      </c>
      <c r="AZ208" s="31">
        <f t="shared" si="165"/>
        <v>9.47183429337148E-3</v>
      </c>
      <c r="BA208" s="31">
        <f t="shared" si="165"/>
        <v>1.1777058943132647E-2</v>
      </c>
      <c r="BB208" s="31">
        <f t="shared" si="165"/>
        <v>1.2526383262600041E-2</v>
      </c>
      <c r="BC208" s="31">
        <f t="shared" si="165"/>
        <v>1.3825089018293388E-2</v>
      </c>
      <c r="BD208" s="31">
        <f t="shared" si="165"/>
        <v>1.534116560061956E-2</v>
      </c>
      <c r="BE208" s="31">
        <f t="shared" si="165"/>
        <v>1.6945108902614348E-2</v>
      </c>
      <c r="BF208" s="31">
        <f t="shared" si="165"/>
        <v>1.7097534299035804E-2</v>
      </c>
      <c r="BG208" s="31">
        <f t="shared" si="165"/>
        <v>1.679334909779891E-2</v>
      </c>
      <c r="BH208" s="34">
        <f t="shared" si="165"/>
        <v>0</v>
      </c>
      <c r="BI208" s="34"/>
      <c r="BJ208" s="32"/>
      <c r="BK208" s="32"/>
    </row>
  </sheetData>
  <conditionalFormatting sqref="AH5:AU6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74:BG13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43:BH207 BJ208:BK208 BJ143:BJ20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5:BK6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74:BH13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74:BI13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143:BI20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74:BK13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143:BK20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2CCA0-4FB4-514B-9F84-4B5305B55167}">
  <dimension ref="A1:W67"/>
  <sheetViews>
    <sheetView workbookViewId="0">
      <selection activeCell="O4" sqref="O4"/>
    </sheetView>
  </sheetViews>
  <sheetFormatPr baseColWidth="10" defaultRowHeight="16" x14ac:dyDescent="0.2"/>
  <cols>
    <col min="1" max="1" width="25.28515625" bestFit="1" customWidth="1"/>
    <col min="2" max="13" width="13.42578125" bestFit="1" customWidth="1"/>
    <col min="14" max="14" width="13.42578125" customWidth="1"/>
    <col min="15" max="15" width="13.42578125" bestFit="1" customWidth="1"/>
    <col min="20" max="20" width="11.42578125" bestFit="1" customWidth="1"/>
    <col min="21" max="21" width="12.42578125" bestFit="1" customWidth="1"/>
    <col min="22" max="22" width="16.42578125" bestFit="1" customWidth="1"/>
    <col min="23" max="23" width="44" bestFit="1" customWidth="1"/>
  </cols>
  <sheetData>
    <row r="1" spans="1:23" x14ac:dyDescent="0.2">
      <c r="A1" t="s">
        <v>242</v>
      </c>
      <c r="N1" t="s">
        <v>300</v>
      </c>
      <c r="O1" t="s">
        <v>299</v>
      </c>
      <c r="S1" s="60" t="s">
        <v>271</v>
      </c>
      <c r="T1" s="60"/>
      <c r="U1" s="60"/>
      <c r="V1" s="60"/>
      <c r="W1" s="60"/>
    </row>
    <row r="2" spans="1:23" x14ac:dyDescent="0.2">
      <c r="A2" s="17" t="s">
        <v>224</v>
      </c>
      <c r="B2" s="17">
        <v>2010</v>
      </c>
      <c r="C2" s="17">
        <v>2011</v>
      </c>
      <c r="D2" s="17">
        <v>2012</v>
      </c>
      <c r="E2" s="17">
        <v>2013</v>
      </c>
      <c r="F2" s="17">
        <v>2014</v>
      </c>
      <c r="G2" s="17">
        <v>2015</v>
      </c>
      <c r="H2" s="17">
        <v>2016</v>
      </c>
      <c r="I2" s="17">
        <v>2017</v>
      </c>
      <c r="J2" s="17">
        <v>2018</v>
      </c>
      <c r="K2" s="17">
        <v>2019</v>
      </c>
      <c r="L2" s="17">
        <v>2020</v>
      </c>
      <c r="M2" s="17">
        <v>2021</v>
      </c>
      <c r="N2" s="17">
        <v>2022</v>
      </c>
      <c r="O2" s="17">
        <v>2022</v>
      </c>
      <c r="P2" s="17" t="s">
        <v>267</v>
      </c>
      <c r="S2" s="36" t="s">
        <v>261</v>
      </c>
      <c r="T2" s="36" t="s">
        <v>268</v>
      </c>
      <c r="U2" s="36" t="s">
        <v>269</v>
      </c>
      <c r="V2" s="36" t="s">
        <v>270</v>
      </c>
      <c r="W2" s="36" t="s">
        <v>294</v>
      </c>
    </row>
    <row r="3" spans="1:23" x14ac:dyDescent="0.2">
      <c r="A3" s="16" t="s">
        <v>171</v>
      </c>
      <c r="B3" s="32">
        <v>1.6691971933726339E-4</v>
      </c>
      <c r="C3" s="32">
        <v>1.6297284325935538E-4</v>
      </c>
      <c r="D3" s="32">
        <v>1.5997190962568884E-4</v>
      </c>
      <c r="E3" s="32">
        <v>1.5652026425173922E-4</v>
      </c>
      <c r="F3" s="32">
        <v>1.5315124105799645E-4</v>
      </c>
      <c r="G3" s="32">
        <v>1.4926759732779789E-4</v>
      </c>
      <c r="H3" s="32">
        <v>1.4630270989149185E-4</v>
      </c>
      <c r="I3" s="32">
        <v>1.4376057667099795E-4</v>
      </c>
      <c r="J3" s="32">
        <v>1.4109783628846106E-4</v>
      </c>
      <c r="K3" s="32">
        <v>1.3914780513518175E-4</v>
      </c>
      <c r="L3" s="32">
        <v>1.3691563645717653E-4</v>
      </c>
      <c r="M3" s="32">
        <v>1.3388341404770861E-4</v>
      </c>
      <c r="N3" s="26">
        <v>779</v>
      </c>
      <c r="O3" s="32">
        <v>1.3341928801028168E-4</v>
      </c>
      <c r="P3" t="s">
        <v>265</v>
      </c>
      <c r="S3" t="s">
        <v>262</v>
      </c>
      <c r="T3">
        <f t="shared" ref="T3:T6" si="0">COUNTIF($P$3:$P$66,S3)</f>
        <v>3</v>
      </c>
      <c r="U3" s="26">
        <f>SUMIF($P$3:$P$66,S3,$N$3:$N$66)</f>
        <v>2109204</v>
      </c>
      <c r="V3" s="28">
        <f>U3/$N$67</f>
        <v>0.36124325538952268</v>
      </c>
      <c r="W3" t="s">
        <v>295</v>
      </c>
    </row>
    <row r="4" spans="1:23" x14ac:dyDescent="0.2">
      <c r="A4" s="16" t="s">
        <v>200</v>
      </c>
      <c r="B4" s="32">
        <v>1.4038681021366517E-4</v>
      </c>
      <c r="C4" s="32">
        <v>1.3779500280371843E-4</v>
      </c>
      <c r="D4" s="32">
        <v>1.3533123040536613E-4</v>
      </c>
      <c r="E4" s="32">
        <v>1.3356395882815081E-4</v>
      </c>
      <c r="F4" s="32">
        <v>1.3089849663076619E-4</v>
      </c>
      <c r="G4" s="32">
        <v>1.2778628258320704E-4</v>
      </c>
      <c r="H4" s="32">
        <v>1.2604819381257086E-4</v>
      </c>
      <c r="I4" s="32">
        <v>1.2500919710521559E-4</v>
      </c>
      <c r="J4" s="32">
        <v>1.2383492997601514E-4</v>
      </c>
      <c r="K4" s="32">
        <v>1.2293133160438989E-4</v>
      </c>
      <c r="L4" s="32">
        <v>1.2291290091041984E-4</v>
      </c>
      <c r="M4" s="32">
        <v>1.2751620798117234E-4</v>
      </c>
      <c r="N4" s="26">
        <v>801</v>
      </c>
      <c r="O4" s="32">
        <v>1.3718722682443598E-4</v>
      </c>
      <c r="P4" t="s">
        <v>265</v>
      </c>
      <c r="S4" t="s">
        <v>263</v>
      </c>
      <c r="T4">
        <f t="shared" si="0"/>
        <v>5</v>
      </c>
      <c r="U4" s="26">
        <f t="shared" ref="U4:U6" si="1">SUMIF($P$3:$P$66,S4,$N$3:$N$66)</f>
        <v>2196512</v>
      </c>
      <c r="V4" s="28">
        <f t="shared" ref="V4:V6" si="2">U4/$N$67</f>
        <v>0.37619649184344006</v>
      </c>
      <c r="W4" t="s">
        <v>298</v>
      </c>
    </row>
    <row r="5" spans="1:23" x14ac:dyDescent="0.2">
      <c r="A5" s="16" t="s">
        <v>184</v>
      </c>
      <c r="B5" s="32">
        <v>1.3959478307564731E-4</v>
      </c>
      <c r="C5" s="32">
        <v>1.3896606515049226E-4</v>
      </c>
      <c r="D5" s="32">
        <v>1.3918133653354153E-4</v>
      </c>
      <c r="E5" s="32">
        <v>1.3925560480094131E-4</v>
      </c>
      <c r="F5" s="32">
        <v>1.396873956902605E-4</v>
      </c>
      <c r="G5" s="32">
        <v>1.3861874044586396E-4</v>
      </c>
      <c r="H5" s="32">
        <v>1.3924979804258187E-4</v>
      </c>
      <c r="I5" s="32">
        <v>1.4072463902701414E-4</v>
      </c>
      <c r="J5" s="32">
        <v>1.4285935734075145E-4</v>
      </c>
      <c r="K5" s="32">
        <v>1.4542514972774634E-4</v>
      </c>
      <c r="L5" s="32">
        <v>1.5057262544722317E-4</v>
      </c>
      <c r="M5" s="32">
        <v>1.5935223831385371E-4</v>
      </c>
      <c r="N5" s="26">
        <v>924</v>
      </c>
      <c r="O5" s="32">
        <v>1.5825343019448045E-4</v>
      </c>
      <c r="P5" t="s">
        <v>265</v>
      </c>
      <c r="S5" t="s">
        <v>264</v>
      </c>
      <c r="T5">
        <f t="shared" si="0"/>
        <v>18</v>
      </c>
      <c r="U5" s="26">
        <f t="shared" si="1"/>
        <v>1235661</v>
      </c>
      <c r="V5" s="28">
        <f t="shared" si="2"/>
        <v>0.21163159286530508</v>
      </c>
      <c r="W5" t="s">
        <v>297</v>
      </c>
    </row>
    <row r="6" spans="1:23" x14ac:dyDescent="0.2">
      <c r="A6" s="16" t="s">
        <v>173</v>
      </c>
      <c r="B6" s="32">
        <v>2.7463541010769191E-4</v>
      </c>
      <c r="C6" s="32">
        <v>2.7071057916254601E-4</v>
      </c>
      <c r="D6" s="32">
        <v>2.6661984937614803E-4</v>
      </c>
      <c r="E6" s="32">
        <v>2.6238487934564285E-4</v>
      </c>
      <c r="F6" s="32">
        <v>2.5824403406726873E-4</v>
      </c>
      <c r="G6" s="32">
        <v>2.5355295437846112E-4</v>
      </c>
      <c r="H6" s="32">
        <v>2.493837292217148E-4</v>
      </c>
      <c r="I6" s="32">
        <v>2.4626811829727471E-4</v>
      </c>
      <c r="J6" s="32">
        <v>2.4291375311084618E-4</v>
      </c>
      <c r="K6" s="32">
        <v>2.4045717203184915E-4</v>
      </c>
      <c r="L6" s="32">
        <v>2.3821937757321875E-4</v>
      </c>
      <c r="M6" s="32">
        <v>2.3369367130692583E-4</v>
      </c>
      <c r="N6" s="26">
        <v>1314</v>
      </c>
      <c r="O6" s="32">
        <v>2.2504870917267026E-4</v>
      </c>
      <c r="P6" t="s">
        <v>265</v>
      </c>
      <c r="S6" t="s">
        <v>265</v>
      </c>
      <c r="T6">
        <f t="shared" si="0"/>
        <v>38</v>
      </c>
      <c r="U6" s="26">
        <f t="shared" si="1"/>
        <v>297359</v>
      </c>
      <c r="V6" s="28">
        <f t="shared" si="2"/>
        <v>5.0928659901732155E-2</v>
      </c>
      <c r="W6" t="s">
        <v>296</v>
      </c>
    </row>
    <row r="7" spans="1:23" x14ac:dyDescent="0.2">
      <c r="A7" s="16" t="s">
        <v>175</v>
      </c>
      <c r="B7" s="32">
        <v>2.7701149152174553E-4</v>
      </c>
      <c r="C7" s="32">
        <v>2.6992987093136346E-4</v>
      </c>
      <c r="D7" s="32">
        <v>2.6796738652100946E-4</v>
      </c>
      <c r="E7" s="32">
        <v>2.6504098079961174E-4</v>
      </c>
      <c r="F7" s="32">
        <v>2.6048800829522471E-4</v>
      </c>
      <c r="G7" s="32">
        <v>2.5814297889653609E-4</v>
      </c>
      <c r="H7" s="32">
        <v>2.5679832885774836E-4</v>
      </c>
      <c r="I7" s="32">
        <v>2.5501876209463981E-4</v>
      </c>
      <c r="J7" s="32">
        <v>2.540113357402757E-4</v>
      </c>
      <c r="K7" s="32">
        <v>2.537093439494855E-4</v>
      </c>
      <c r="L7" s="32">
        <v>2.5135774672820034E-4</v>
      </c>
      <c r="M7" s="32">
        <v>2.5004190309938385E-4</v>
      </c>
      <c r="N7" s="26">
        <v>1428</v>
      </c>
      <c r="O7" s="32">
        <v>2.4457348302783343E-4</v>
      </c>
      <c r="P7" t="s">
        <v>265</v>
      </c>
    </row>
    <row r="8" spans="1:23" x14ac:dyDescent="0.2">
      <c r="A8" s="16" t="s">
        <v>153</v>
      </c>
      <c r="B8" s="32">
        <v>3.6314444278118745E-4</v>
      </c>
      <c r="C8" s="32">
        <v>3.5756436988160364E-4</v>
      </c>
      <c r="D8" s="32">
        <v>3.5266972134086877E-4</v>
      </c>
      <c r="E8" s="32">
        <v>3.4491374595110532E-4</v>
      </c>
      <c r="F8" s="32">
        <v>3.3977509768300313E-4</v>
      </c>
      <c r="G8" s="32">
        <v>3.3158337118573551E-4</v>
      </c>
      <c r="H8" s="32">
        <v>3.2443394504985955E-4</v>
      </c>
      <c r="I8" s="32">
        <v>3.1930920632017925E-4</v>
      </c>
      <c r="J8" s="32">
        <v>3.1407920362337834E-4</v>
      </c>
      <c r="K8" s="32">
        <v>3.0985670391631321E-4</v>
      </c>
      <c r="L8" s="32">
        <v>3.0149099745115641E-4</v>
      </c>
      <c r="M8" s="32">
        <v>2.9530069216692541E-4</v>
      </c>
      <c r="N8" s="26">
        <v>1722</v>
      </c>
      <c r="O8" s="32">
        <v>2.9492684718062268E-4</v>
      </c>
      <c r="P8" t="s">
        <v>265</v>
      </c>
    </row>
    <row r="9" spans="1:23" x14ac:dyDescent="0.2">
      <c r="A9" s="16" t="s">
        <v>161</v>
      </c>
      <c r="B9" s="32">
        <v>4.0789397607919636E-4</v>
      </c>
      <c r="C9" s="32">
        <v>4.0304062434798663E-4</v>
      </c>
      <c r="D9" s="32">
        <v>4.0002602671742644E-4</v>
      </c>
      <c r="E9" s="32">
        <v>3.950002305116619E-4</v>
      </c>
      <c r="F9" s="32">
        <v>3.8970352425502392E-4</v>
      </c>
      <c r="G9" s="32">
        <v>3.8317524676889815E-4</v>
      </c>
      <c r="H9" s="32">
        <v>3.7760204975702716E-4</v>
      </c>
      <c r="I9" s="32">
        <v>3.7288457650812881E-4</v>
      </c>
      <c r="J9" s="32">
        <v>3.6833405203392269E-4</v>
      </c>
      <c r="K9" s="32">
        <v>3.6356287431936582E-4</v>
      </c>
      <c r="L9" s="32">
        <v>3.5923067242173335E-4</v>
      </c>
      <c r="M9" s="32">
        <v>3.6499578559793058E-4</v>
      </c>
      <c r="N9" s="26">
        <v>2203</v>
      </c>
      <c r="O9" s="32">
        <v>3.7730769125372344E-4</v>
      </c>
      <c r="P9" t="s">
        <v>265</v>
      </c>
    </row>
    <row r="10" spans="1:23" x14ac:dyDescent="0.2">
      <c r="A10" s="16" t="s">
        <v>202</v>
      </c>
      <c r="B10" s="32">
        <v>4.6868205892206693E-4</v>
      </c>
      <c r="C10" s="32">
        <v>4.6276480403345099E-4</v>
      </c>
      <c r="D10" s="32">
        <v>4.5720010272083152E-4</v>
      </c>
      <c r="E10" s="32">
        <v>4.51347525642288E-4</v>
      </c>
      <c r="F10" s="32">
        <v>4.4580287995392372E-4</v>
      </c>
      <c r="G10" s="32">
        <v>4.3843914196652073E-4</v>
      </c>
      <c r="H10" s="32">
        <v>4.3257859339981277E-4</v>
      </c>
      <c r="I10" s="32">
        <v>4.2788862323442367E-4</v>
      </c>
      <c r="J10" s="32">
        <v>4.2294120465492509E-4</v>
      </c>
      <c r="K10" s="32">
        <v>4.1936149291993998E-4</v>
      </c>
      <c r="L10" s="32">
        <v>4.133400085468549E-4</v>
      </c>
      <c r="M10" s="32">
        <v>4.0096189554133816E-4</v>
      </c>
      <c r="N10" s="26">
        <v>2297</v>
      </c>
      <c r="O10" s="32">
        <v>3.9340706618692814E-4</v>
      </c>
      <c r="P10" t="s">
        <v>265</v>
      </c>
    </row>
    <row r="11" spans="1:23" x14ac:dyDescent="0.2">
      <c r="A11" s="16" t="s">
        <v>148</v>
      </c>
      <c r="B11" s="32">
        <v>7.514357471944419E-4</v>
      </c>
      <c r="C11" s="32">
        <v>7.3523197671615775E-4</v>
      </c>
      <c r="D11" s="32">
        <v>7.1303965493808841E-4</v>
      </c>
      <c r="E11" s="32">
        <v>6.9001721343463706E-4</v>
      </c>
      <c r="F11" s="32">
        <v>6.6646034570292962E-4</v>
      </c>
      <c r="G11" s="32">
        <v>6.4811146195218521E-4</v>
      </c>
      <c r="H11" s="32">
        <v>6.3385784693409017E-4</v>
      </c>
      <c r="I11" s="32">
        <v>6.2915343057382076E-4</v>
      </c>
      <c r="J11" s="32">
        <v>6.2533997356309205E-4</v>
      </c>
      <c r="K11" s="32">
        <v>6.2163148534702124E-4</v>
      </c>
      <c r="L11" s="32">
        <v>6.0125326211876251E-4</v>
      </c>
      <c r="M11" s="32">
        <v>6.0075449671021951E-4</v>
      </c>
      <c r="N11" s="26">
        <v>3431</v>
      </c>
      <c r="O11" s="32">
        <v>5.8762718506197233E-4</v>
      </c>
      <c r="P11" t="s">
        <v>265</v>
      </c>
    </row>
    <row r="12" spans="1:23" x14ac:dyDescent="0.2">
      <c r="A12" s="16" t="s">
        <v>156</v>
      </c>
      <c r="B12" s="32">
        <v>6.9935996286976773E-4</v>
      </c>
      <c r="C12" s="32">
        <v>6.8663288932504455E-4</v>
      </c>
      <c r="D12" s="32">
        <v>6.7704116263964814E-4</v>
      </c>
      <c r="E12" s="32">
        <v>6.6706090801104865E-4</v>
      </c>
      <c r="F12" s="32">
        <v>6.5748444879110569E-4</v>
      </c>
      <c r="G12" s="32">
        <v>6.4554104822206319E-4</v>
      </c>
      <c r="H12" s="32">
        <v>6.3584712976326994E-4</v>
      </c>
      <c r="I12" s="32">
        <v>6.2790333860276862E-4</v>
      </c>
      <c r="J12" s="32">
        <v>6.1917464988007565E-4</v>
      </c>
      <c r="K12" s="32">
        <v>6.1047176162690642E-4</v>
      </c>
      <c r="L12" s="32">
        <v>6.0557509407763806E-4</v>
      </c>
      <c r="M12" s="32">
        <v>6.2243741466653222E-4</v>
      </c>
      <c r="N12" s="26">
        <v>3614</v>
      </c>
      <c r="O12" s="32">
        <v>6.1896958519789213E-4</v>
      </c>
      <c r="P12" t="s">
        <v>265</v>
      </c>
    </row>
    <row r="13" spans="1:23" x14ac:dyDescent="0.2">
      <c r="A13" s="16" t="s">
        <v>192</v>
      </c>
      <c r="B13" s="32">
        <v>8.8410029281243291E-4</v>
      </c>
      <c r="C13" s="32">
        <v>8.7302697951987618E-4</v>
      </c>
      <c r="D13" s="32">
        <v>8.6280878332411234E-4</v>
      </c>
      <c r="E13" s="32">
        <v>8.5109079446460867E-4</v>
      </c>
      <c r="F13" s="32">
        <v>8.4036834836951897E-4</v>
      </c>
      <c r="G13" s="32">
        <v>8.2602081227277086E-4</v>
      </c>
      <c r="H13" s="32">
        <v>8.147017404958848E-4</v>
      </c>
      <c r="I13" s="32">
        <v>8.0613073676134741E-4</v>
      </c>
      <c r="J13" s="32">
        <v>7.9532675510911571E-4</v>
      </c>
      <c r="K13" s="32">
        <v>7.8832985841623647E-4</v>
      </c>
      <c r="L13" s="32">
        <v>7.8190583799975938E-4</v>
      </c>
      <c r="M13" s="32">
        <v>7.7404575371027421E-4</v>
      </c>
      <c r="N13" s="26">
        <v>4435</v>
      </c>
      <c r="O13" s="32">
        <v>7.5958221094428653E-4</v>
      </c>
      <c r="P13" t="s">
        <v>265</v>
      </c>
    </row>
    <row r="14" spans="1:23" x14ac:dyDescent="0.2">
      <c r="A14" s="16" t="s">
        <v>205</v>
      </c>
      <c r="B14" s="32">
        <v>9.5340266738899542E-4</v>
      </c>
      <c r="C14" s="32">
        <v>8.9937588232228685E-4</v>
      </c>
      <c r="D14" s="32">
        <v>8.778241972239965E-4</v>
      </c>
      <c r="E14" s="32">
        <v>8.7537515061518153E-4</v>
      </c>
      <c r="F14" s="32">
        <v>8.6336908420606791E-4</v>
      </c>
      <c r="G14" s="32">
        <v>8.596197917450796E-4</v>
      </c>
      <c r="H14" s="32">
        <v>8.5810427495071557E-4</v>
      </c>
      <c r="I14" s="32">
        <v>8.6524222853538507E-4</v>
      </c>
      <c r="J14" s="32">
        <v>8.4764393036214055E-4</v>
      </c>
      <c r="K14" s="32">
        <v>8.4151291676990867E-4</v>
      </c>
      <c r="L14" s="32">
        <v>8.3169334216600538E-4</v>
      </c>
      <c r="M14" s="32">
        <v>8.3806198767653081E-4</v>
      </c>
      <c r="N14" s="26">
        <v>4835</v>
      </c>
      <c r="O14" s="32">
        <v>8.2809018938345561E-4</v>
      </c>
      <c r="P14" t="s">
        <v>265</v>
      </c>
    </row>
    <row r="15" spans="1:23" x14ac:dyDescent="0.2">
      <c r="A15" s="16" t="s">
        <v>190</v>
      </c>
      <c r="B15" s="32">
        <v>8.803381639068481E-4</v>
      </c>
      <c r="C15" s="32">
        <v>8.5955976253197731E-4</v>
      </c>
      <c r="D15" s="32">
        <v>8.6203876209847729E-4</v>
      </c>
      <c r="E15" s="32">
        <v>8.5659271890497287E-4</v>
      </c>
      <c r="F15" s="32">
        <v>8.4672627534872766E-4</v>
      </c>
      <c r="G15" s="32">
        <v>8.3538446228964374E-4</v>
      </c>
      <c r="H15" s="32">
        <v>8.537640215052324E-4</v>
      </c>
      <c r="I15" s="32">
        <v>8.4470500329667116E-4</v>
      </c>
      <c r="J15" s="32">
        <v>8.3425637036473347E-4</v>
      </c>
      <c r="K15" s="32">
        <v>8.5214952844064309E-4</v>
      </c>
      <c r="L15" s="32">
        <v>8.4293010525908171E-4</v>
      </c>
      <c r="M15" s="32">
        <v>8.6920967140742447E-4</v>
      </c>
      <c r="N15" s="26">
        <v>5088</v>
      </c>
      <c r="O15" s="32">
        <v>8.7142148574622996E-4</v>
      </c>
      <c r="P15" t="s">
        <v>265</v>
      </c>
    </row>
    <row r="16" spans="1:23" x14ac:dyDescent="0.2">
      <c r="A16" s="16" t="s">
        <v>158</v>
      </c>
      <c r="B16" s="32">
        <v>8.458849834030713E-4</v>
      </c>
      <c r="C16" s="32">
        <v>8.427745355615527E-4</v>
      </c>
      <c r="D16" s="32">
        <v>8.406706730871037E-4</v>
      </c>
      <c r="E16" s="32">
        <v>8.3572335033807433E-4</v>
      </c>
      <c r="F16" s="32">
        <v>8.2970947078672805E-4</v>
      </c>
      <c r="G16" s="32">
        <v>8.2014558088963488E-4</v>
      </c>
      <c r="H16" s="32">
        <v>8.1307414545382867E-4</v>
      </c>
      <c r="I16" s="32">
        <v>8.1059535094367657E-4</v>
      </c>
      <c r="J16" s="32">
        <v>8.0871431510652267E-4</v>
      </c>
      <c r="K16" s="32">
        <v>8.1012619380708571E-4</v>
      </c>
      <c r="L16" s="32">
        <v>8.1596187383569849E-4</v>
      </c>
      <c r="M16" s="32">
        <v>8.7144679786323447E-4</v>
      </c>
      <c r="N16" s="26">
        <v>5338</v>
      </c>
      <c r="O16" s="32">
        <v>9.1423897227071061E-4</v>
      </c>
      <c r="P16" t="s">
        <v>265</v>
      </c>
    </row>
    <row r="17" spans="1:16" x14ac:dyDescent="0.2">
      <c r="A17" s="16" t="s">
        <v>149</v>
      </c>
      <c r="B17" s="32">
        <v>1.2882321399860445E-3</v>
      </c>
      <c r="C17" s="32">
        <v>1.2403502022912615E-3</v>
      </c>
      <c r="D17" s="32">
        <v>1.128851116781034E-3</v>
      </c>
      <c r="E17" s="32">
        <v>1.1003848880728334E-3</v>
      </c>
      <c r="F17" s="32">
        <v>1.0941244339808757E-3</v>
      </c>
      <c r="G17" s="32">
        <v>1.0953634509934097E-3</v>
      </c>
      <c r="H17" s="32">
        <v>1.0403949196610045E-3</v>
      </c>
      <c r="I17" s="32">
        <v>1.0657926976056096E-3</v>
      </c>
      <c r="J17" s="32">
        <v>1.0540941976905755E-3</v>
      </c>
      <c r="K17" s="32">
        <v>1.0427366850982291E-3</v>
      </c>
      <c r="L17" s="32">
        <v>9.4682694555044925E-4</v>
      </c>
      <c r="M17" s="32">
        <v>9.1791019348390454E-4</v>
      </c>
      <c r="N17" s="26">
        <v>5400</v>
      </c>
      <c r="O17" s="32">
        <v>9.2485770892878185E-4</v>
      </c>
      <c r="P17" t="s">
        <v>265</v>
      </c>
    </row>
    <row r="18" spans="1:16" x14ac:dyDescent="0.2">
      <c r="A18" s="16" t="s">
        <v>181</v>
      </c>
      <c r="B18" s="32">
        <v>1.0838891383774373E-3</v>
      </c>
      <c r="C18" s="32">
        <v>1.0711316931824458E-3</v>
      </c>
      <c r="D18" s="32">
        <v>1.0593567011674676E-3</v>
      </c>
      <c r="E18" s="32">
        <v>1.0476423020583079E-3</v>
      </c>
      <c r="F18" s="32">
        <v>1.0355941062016904E-3</v>
      </c>
      <c r="G18" s="32">
        <v>1.0195362459548113E-3</v>
      </c>
      <c r="H18" s="32">
        <v>1.0078430188198814E-3</v>
      </c>
      <c r="I18" s="32">
        <v>9.984663157360863E-4</v>
      </c>
      <c r="J18" s="32">
        <v>9.9015098349243395E-4</v>
      </c>
      <c r="K18" s="32">
        <v>9.8379939420137276E-4</v>
      </c>
      <c r="L18" s="32">
        <v>9.7880850204612804E-4</v>
      </c>
      <c r="M18" s="32">
        <v>9.4131397794468654E-4</v>
      </c>
      <c r="N18" s="26">
        <v>5513</v>
      </c>
      <c r="O18" s="32">
        <v>9.4421121283784709E-4</v>
      </c>
      <c r="P18" t="s">
        <v>265</v>
      </c>
    </row>
    <row r="19" spans="1:16" x14ac:dyDescent="0.2">
      <c r="A19" s="16" t="s">
        <v>157</v>
      </c>
      <c r="B19" s="32">
        <v>1.1559636079370623E-3</v>
      </c>
      <c r="C19" s="32">
        <v>1.1392484863531225E-3</v>
      </c>
      <c r="D19" s="32">
        <v>1.1240384841208148E-3</v>
      </c>
      <c r="E19" s="32">
        <v>1.1085429139671664E-3</v>
      </c>
      <c r="F19" s="32">
        <v>1.0926284511622384E-3</v>
      </c>
      <c r="G19" s="32">
        <v>1.0720461264415891E-3</v>
      </c>
      <c r="H19" s="32">
        <v>1.0555858067201951E-3</v>
      </c>
      <c r="I19" s="32">
        <v>1.0423981192902048E-3</v>
      </c>
      <c r="J19" s="32">
        <v>1.0281998382219066E-3</v>
      </c>
      <c r="K19" s="32">
        <v>1.018324789460478E-3</v>
      </c>
      <c r="L19" s="32">
        <v>9.8468619351019878E-4</v>
      </c>
      <c r="M19" s="32">
        <v>9.8846572016714424E-4</v>
      </c>
      <c r="N19" s="26">
        <v>5620</v>
      </c>
      <c r="O19" s="32">
        <v>9.6253709707032483E-4</v>
      </c>
      <c r="P19" t="s">
        <v>265</v>
      </c>
    </row>
    <row r="20" spans="1:16" x14ac:dyDescent="0.2">
      <c r="A20" s="16" t="s">
        <v>168</v>
      </c>
      <c r="B20" s="32">
        <v>1.0817110637478882E-3</v>
      </c>
      <c r="C20" s="32">
        <v>1.0689847455466939E-3</v>
      </c>
      <c r="D20" s="32">
        <v>1.0587791852482414E-3</v>
      </c>
      <c r="E20" s="32">
        <v>1.0457450867340445E-3</v>
      </c>
      <c r="F20" s="32">
        <v>1.0352201104970309E-3</v>
      </c>
      <c r="G20" s="32">
        <v>1.0195362459548113E-3</v>
      </c>
      <c r="H20" s="32">
        <v>1.0087472382876905E-3</v>
      </c>
      <c r="I20" s="32">
        <v>1.0063240366969856E-3</v>
      </c>
      <c r="J20" s="32">
        <v>1.0053000645421314E-3</v>
      </c>
      <c r="K20" s="32">
        <v>1.0028057986621933E-3</v>
      </c>
      <c r="L20" s="32">
        <v>1.0066410998612865E-3</v>
      </c>
      <c r="M20" s="32">
        <v>1.0142787177341833E-3</v>
      </c>
      <c r="N20" s="26">
        <v>5895</v>
      </c>
      <c r="O20" s="32">
        <v>1.0096363322472535E-3</v>
      </c>
      <c r="P20" t="s">
        <v>265</v>
      </c>
    </row>
    <row r="21" spans="1:16" x14ac:dyDescent="0.2">
      <c r="A21" s="16" t="s">
        <v>196</v>
      </c>
      <c r="B21" s="32">
        <v>1.31021089306604E-3</v>
      </c>
      <c r="C21" s="32">
        <v>1.3147126613113987E-3</v>
      </c>
      <c r="D21" s="32">
        <v>1.3076885464347824E-3</v>
      </c>
      <c r="E21" s="32">
        <v>1.2832764453318353E-3</v>
      </c>
      <c r="F21" s="32">
        <v>1.242413730878301E-3</v>
      </c>
      <c r="G21" s="32">
        <v>1.2156220933669738E-3</v>
      </c>
      <c r="H21" s="32">
        <v>1.1964631998048333E-3</v>
      </c>
      <c r="I21" s="32">
        <v>1.1729434379815086E-3</v>
      </c>
      <c r="J21" s="32">
        <v>1.1604900692489155E-3</v>
      </c>
      <c r="K21" s="32">
        <v>1.1382918194517123E-3</v>
      </c>
      <c r="L21" s="32">
        <v>1.1273066481530911E-3</v>
      </c>
      <c r="M21" s="32">
        <v>1.1087542888295458E-3</v>
      </c>
      <c r="N21" s="26">
        <v>6558</v>
      </c>
      <c r="O21" s="32">
        <v>1.1231883065101762E-3</v>
      </c>
      <c r="P21" t="s">
        <v>265</v>
      </c>
    </row>
    <row r="22" spans="1:16" x14ac:dyDescent="0.2">
      <c r="A22" s="16" t="s">
        <v>199</v>
      </c>
      <c r="B22" s="32">
        <v>1.2165536839954284E-3</v>
      </c>
      <c r="C22" s="32">
        <v>1.2015099677899301E-3</v>
      </c>
      <c r="D22" s="32">
        <v>1.1854476768652128E-3</v>
      </c>
      <c r="E22" s="32">
        <v>1.1698229689408777E-3</v>
      </c>
      <c r="F22" s="32">
        <v>1.1547117381356874E-3</v>
      </c>
      <c r="G22" s="32">
        <v>1.1352048638103005E-3</v>
      </c>
      <c r="H22" s="32">
        <v>1.1190620133603852E-3</v>
      </c>
      <c r="I22" s="32">
        <v>1.1097245011597282E-3</v>
      </c>
      <c r="J22" s="32">
        <v>1.105530612417455E-3</v>
      </c>
      <c r="K22" s="32">
        <v>1.1088231740032841E-3</v>
      </c>
      <c r="L22" s="32">
        <v>1.1046602486885833E-3</v>
      </c>
      <c r="M22" s="32">
        <v>1.1197678344581491E-3</v>
      </c>
      <c r="N22" s="26">
        <v>6616</v>
      </c>
      <c r="O22" s="32">
        <v>1.1331219633838557E-3</v>
      </c>
      <c r="P22" t="s">
        <v>265</v>
      </c>
    </row>
    <row r="23" spans="1:16" x14ac:dyDescent="0.2">
      <c r="A23" s="16" t="s">
        <v>176</v>
      </c>
      <c r="B23" s="32">
        <v>1.6369220874984059E-3</v>
      </c>
      <c r="C23" s="32">
        <v>1.5936206769013612E-3</v>
      </c>
      <c r="D23" s="32">
        <v>1.5564054023149147E-3</v>
      </c>
      <c r="E23" s="32">
        <v>1.5189105886053626E-3</v>
      </c>
      <c r="F23" s="32">
        <v>1.4331515402545602E-3</v>
      </c>
      <c r="G23" s="32">
        <v>1.3882070152465926E-3</v>
      </c>
      <c r="H23" s="32">
        <v>1.3527123238422239E-3</v>
      </c>
      <c r="I23" s="32">
        <v>1.3215257979694221E-3</v>
      </c>
      <c r="J23" s="32">
        <v>1.2832680865935565E-3</v>
      </c>
      <c r="K23" s="32">
        <v>1.2523302462166357E-3</v>
      </c>
      <c r="L23" s="32">
        <v>1.2216954581349324E-3</v>
      </c>
      <c r="M23" s="32">
        <v>1.1923884009467519E-3</v>
      </c>
      <c r="N23" s="26">
        <v>6974</v>
      </c>
      <c r="O23" s="32">
        <v>1.1944366040869119E-3</v>
      </c>
      <c r="P23" t="s">
        <v>265</v>
      </c>
    </row>
    <row r="24" spans="1:16" x14ac:dyDescent="0.2">
      <c r="A24" s="16" t="s">
        <v>172</v>
      </c>
      <c r="B24" s="32">
        <v>1.3177351508772096E-3</v>
      </c>
      <c r="C24" s="32">
        <v>1.3020261525546822E-3</v>
      </c>
      <c r="D24" s="32">
        <v>1.2870904786490439E-3</v>
      </c>
      <c r="E24" s="32">
        <v>1.2705651026592697E-3</v>
      </c>
      <c r="F24" s="32">
        <v>1.2528856106087621E-3</v>
      </c>
      <c r="G24" s="32">
        <v>1.2312281767284288E-3</v>
      </c>
      <c r="H24" s="32">
        <v>1.2154518086288217E-3</v>
      </c>
      <c r="I24" s="32">
        <v>1.2031242298540536E-3</v>
      </c>
      <c r="J24" s="32">
        <v>1.1904359271378525E-3</v>
      </c>
      <c r="K24" s="32">
        <v>1.181884490233411E-3</v>
      </c>
      <c r="L24" s="32">
        <v>1.1812431109998575E-3</v>
      </c>
      <c r="M24" s="32">
        <v>1.1956580473052435E-3</v>
      </c>
      <c r="N24" s="26">
        <v>7104</v>
      </c>
      <c r="O24" s="32">
        <v>1.216701697079642E-3</v>
      </c>
      <c r="P24" t="s">
        <v>265</v>
      </c>
    </row>
    <row r="25" spans="1:16" x14ac:dyDescent="0.2">
      <c r="A25" s="16" t="s">
        <v>177</v>
      </c>
      <c r="B25" s="32">
        <v>1.4418854047615088E-3</v>
      </c>
      <c r="C25" s="32">
        <v>1.41347225255599E-3</v>
      </c>
      <c r="D25" s="32">
        <v>1.3673651914215016E-3</v>
      </c>
      <c r="E25" s="32">
        <v>1.3415209557867248E-3</v>
      </c>
      <c r="F25" s="32">
        <v>1.3248797837556836E-3</v>
      </c>
      <c r="G25" s="32">
        <v>1.3143994209959473E-3</v>
      </c>
      <c r="H25" s="32">
        <v>1.3103948527487638E-3</v>
      </c>
      <c r="I25" s="32">
        <v>1.31295373873935E-3</v>
      </c>
      <c r="J25" s="32">
        <v>1.2915472355393214E-3</v>
      </c>
      <c r="K25" s="32">
        <v>1.3173705110229299E-3</v>
      </c>
      <c r="L25" s="32">
        <v>1.2813367391674147E-3</v>
      </c>
      <c r="M25" s="32">
        <v>1.2732691266568073E-3</v>
      </c>
      <c r="N25" s="26">
        <v>7342</v>
      </c>
      <c r="O25" s="32">
        <v>1.2574639442509475E-3</v>
      </c>
      <c r="P25" t="s">
        <v>265</v>
      </c>
    </row>
    <row r="26" spans="1:16" x14ac:dyDescent="0.2">
      <c r="A26" s="16" t="s">
        <v>155</v>
      </c>
      <c r="B26" s="32">
        <v>1.6398921892659729E-3</v>
      </c>
      <c r="C26" s="32">
        <v>1.6006470509820042E-3</v>
      </c>
      <c r="D26" s="32">
        <v>1.5658381623289445E-3</v>
      </c>
      <c r="E26" s="32">
        <v>1.5304836020833702E-3</v>
      </c>
      <c r="F26" s="32">
        <v>1.4954218250803389E-3</v>
      </c>
      <c r="G26" s="32">
        <v>1.4559557771333792E-3</v>
      </c>
      <c r="H26" s="32">
        <v>1.4181778133115935E-3</v>
      </c>
      <c r="I26" s="32">
        <v>1.3852804884930819E-3</v>
      </c>
      <c r="J26" s="32">
        <v>1.3493251260544466E-3</v>
      </c>
      <c r="K26" s="32">
        <v>1.3166730282904227E-3</v>
      </c>
      <c r="L26" s="32">
        <v>1.2885974168583255E-3</v>
      </c>
      <c r="M26" s="32">
        <v>1.3054493302903825E-3</v>
      </c>
      <c r="N26" s="26">
        <v>7572</v>
      </c>
      <c r="O26" s="32">
        <v>1.2968560318534696E-3</v>
      </c>
      <c r="P26" t="s">
        <v>265</v>
      </c>
    </row>
    <row r="27" spans="1:16" x14ac:dyDescent="0.2">
      <c r="A27" s="16" t="s">
        <v>201</v>
      </c>
      <c r="B27" s="32">
        <v>1.4565379068148391E-3</v>
      </c>
      <c r="C27" s="32">
        <v>1.4610954546581249E-3</v>
      </c>
      <c r="D27" s="32">
        <v>1.4584202013528504E-3</v>
      </c>
      <c r="E27" s="32">
        <v>1.4447294694266597E-3</v>
      </c>
      <c r="F27" s="32">
        <v>1.4451194028036588E-3</v>
      </c>
      <c r="G27" s="32">
        <v>1.4366776741574644E-3</v>
      </c>
      <c r="H27" s="32">
        <v>1.4469319923879188E-3</v>
      </c>
      <c r="I27" s="32">
        <v>1.4311767222874253E-3</v>
      </c>
      <c r="J27" s="32">
        <v>1.4363442660375923E-3</v>
      </c>
      <c r="K27" s="32">
        <v>1.4164130590389489E-3</v>
      </c>
      <c r="L27" s="32">
        <v>1.392494257149693E-3</v>
      </c>
      <c r="M27" s="32">
        <v>1.3901159623102702E-3</v>
      </c>
      <c r="N27" s="26">
        <v>7993</v>
      </c>
      <c r="O27" s="32">
        <v>1.3689606791606951E-3</v>
      </c>
      <c r="P27" t="s">
        <v>265</v>
      </c>
    </row>
    <row r="28" spans="1:16" x14ac:dyDescent="0.2">
      <c r="A28" s="16" t="s">
        <v>154</v>
      </c>
      <c r="B28" s="32">
        <v>1.8127521121383704E-3</v>
      </c>
      <c r="C28" s="32">
        <v>1.7618633007211988E-3</v>
      </c>
      <c r="D28" s="32">
        <v>1.7356278425814807E-3</v>
      </c>
      <c r="E28" s="32">
        <v>1.7010432597346593E-3</v>
      </c>
      <c r="F28" s="32">
        <v>1.6893385979462026E-3</v>
      </c>
      <c r="G28" s="32">
        <v>1.6814177814612214E-3</v>
      </c>
      <c r="H28" s="32">
        <v>1.670455044830297E-3</v>
      </c>
      <c r="I28" s="32">
        <v>1.6835167158726677E-3</v>
      </c>
      <c r="J28" s="32">
        <v>1.6531875075745405E-3</v>
      </c>
      <c r="K28" s="32">
        <v>1.6415256109556403E-3</v>
      </c>
      <c r="L28" s="32">
        <v>1.6244901967021311E-3</v>
      </c>
      <c r="M28" s="32">
        <v>1.6274234532765814E-3</v>
      </c>
      <c r="N28" s="26">
        <v>9366</v>
      </c>
      <c r="O28" s="32">
        <v>1.6041143151531427E-3</v>
      </c>
      <c r="P28" t="s">
        <v>265</v>
      </c>
    </row>
    <row r="29" spans="1:16" x14ac:dyDescent="0.2">
      <c r="A29" s="16" t="s">
        <v>207</v>
      </c>
      <c r="B29" s="32">
        <v>1.9864040621487855E-3</v>
      </c>
      <c r="C29" s="32">
        <v>1.9734352313716674E-3</v>
      </c>
      <c r="D29" s="32">
        <v>1.9400684779875958E-3</v>
      </c>
      <c r="E29" s="32">
        <v>1.9243455034004739E-3</v>
      </c>
      <c r="F29" s="32">
        <v>1.9051341195346371E-3</v>
      </c>
      <c r="G29" s="32">
        <v>1.8431702454781832E-3</v>
      </c>
      <c r="H29" s="32">
        <v>1.8185661936574067E-3</v>
      </c>
      <c r="I29" s="32">
        <v>1.7810238896147359E-3</v>
      </c>
      <c r="J29" s="32">
        <v>1.7535942075550934E-3</v>
      </c>
      <c r="K29" s="32">
        <v>1.7454505380992097E-3</v>
      </c>
      <c r="L29" s="32">
        <v>1.7247566981480431E-3</v>
      </c>
      <c r="M29" s="32">
        <v>1.7091646122388714E-3</v>
      </c>
      <c r="N29" s="26">
        <v>9920</v>
      </c>
      <c r="O29" s="32">
        <v>1.6989978652913918E-3</v>
      </c>
      <c r="P29" t="s">
        <v>265</v>
      </c>
    </row>
    <row r="30" spans="1:16" x14ac:dyDescent="0.2">
      <c r="A30" s="16" t="s">
        <v>197</v>
      </c>
      <c r="B30" s="32">
        <v>2.3762794208380756E-3</v>
      </c>
      <c r="C30" s="32">
        <v>2.3337320800624096E-3</v>
      </c>
      <c r="D30" s="32">
        <v>2.293123209941282E-3</v>
      </c>
      <c r="E30" s="32">
        <v>2.2516151468359286E-3</v>
      </c>
      <c r="F30" s="32">
        <v>2.2108756080936411E-3</v>
      </c>
      <c r="G30" s="32">
        <v>2.1624523509554778E-3</v>
      </c>
      <c r="H30" s="32">
        <v>2.122022247054098E-3</v>
      </c>
      <c r="I30" s="32">
        <v>2.0872964225225141E-3</v>
      </c>
      <c r="J30" s="32">
        <v>2.0511151132869419E-3</v>
      </c>
      <c r="K30" s="32">
        <v>2.0226999242708124E-3</v>
      </c>
      <c r="L30" s="32">
        <v>1.9942661391035205E-3</v>
      </c>
      <c r="M30" s="32">
        <v>1.962476161696747E-3</v>
      </c>
      <c r="N30" s="26">
        <v>11336</v>
      </c>
      <c r="O30" s="32">
        <v>1.9415161089660503E-3</v>
      </c>
      <c r="P30" t="s">
        <v>265</v>
      </c>
    </row>
    <row r="31" spans="1:16" x14ac:dyDescent="0.2">
      <c r="A31" s="16" t="s">
        <v>194</v>
      </c>
      <c r="B31" s="32">
        <v>2.4812230166254418E-3</v>
      </c>
      <c r="C31" s="32">
        <v>2.4354193271739358E-3</v>
      </c>
      <c r="D31" s="32">
        <v>2.3866807888559449E-3</v>
      </c>
      <c r="E31" s="32">
        <v>2.3311084689225693E-3</v>
      </c>
      <c r="F31" s="32">
        <v>2.2482751785595743E-3</v>
      </c>
      <c r="G31" s="32">
        <v>2.1831992617771766E-3</v>
      </c>
      <c r="H31" s="32">
        <v>2.1496913627690527E-3</v>
      </c>
      <c r="I31" s="32">
        <v>2.13051388780746E-3</v>
      </c>
      <c r="J31" s="32">
        <v>2.1087168516968381E-3</v>
      </c>
      <c r="K31" s="32">
        <v>2.0943662750359249E-3</v>
      </c>
      <c r="L31" s="32">
        <v>2.0765538196005108E-3</v>
      </c>
      <c r="M31" s="32">
        <v>2.062458505606411E-3</v>
      </c>
      <c r="N31" s="26">
        <v>11850</v>
      </c>
      <c r="O31" s="32">
        <v>2.0295488612603824E-3</v>
      </c>
      <c r="P31" t="s">
        <v>265</v>
      </c>
    </row>
    <row r="32" spans="1:16" x14ac:dyDescent="0.2">
      <c r="A32" s="16" t="s">
        <v>185</v>
      </c>
      <c r="B32" s="32">
        <v>2.7336816668686336E-3</v>
      </c>
      <c r="C32" s="32">
        <v>2.6255217814668843E-3</v>
      </c>
      <c r="D32" s="32">
        <v>2.5441501294983194E-3</v>
      </c>
      <c r="E32" s="32">
        <v>2.501857848106285E-3</v>
      </c>
      <c r="F32" s="32">
        <v>2.4339640459229324E-3</v>
      </c>
      <c r="G32" s="32">
        <v>2.3937895866664562E-3</v>
      </c>
      <c r="H32" s="32">
        <v>2.3990750919907675E-3</v>
      </c>
      <c r="I32" s="32">
        <v>2.3614237333175227E-3</v>
      </c>
      <c r="J32" s="32">
        <v>2.3412376305991709E-3</v>
      </c>
      <c r="K32" s="32">
        <v>2.330289809306477E-3</v>
      </c>
      <c r="L32" s="32">
        <v>2.2931640373793517E-3</v>
      </c>
      <c r="M32" s="32">
        <v>2.264832406531996E-3</v>
      </c>
      <c r="N32" s="26">
        <v>13166</v>
      </c>
      <c r="O32" s="32">
        <v>2.2549401103252485E-3</v>
      </c>
      <c r="P32" t="s">
        <v>265</v>
      </c>
    </row>
    <row r="33" spans="1:16" x14ac:dyDescent="0.2">
      <c r="A33" s="16" t="s">
        <v>147</v>
      </c>
      <c r="B33" s="32">
        <v>2.3879618211238391E-3</v>
      </c>
      <c r="C33" s="32">
        <v>2.3333417259468183E-3</v>
      </c>
      <c r="D33" s="32">
        <v>2.3081386238411662E-3</v>
      </c>
      <c r="E33" s="32">
        <v>2.275709781454075E-3</v>
      </c>
      <c r="F33" s="32">
        <v>2.231071376145245E-3</v>
      </c>
      <c r="G33" s="32">
        <v>2.2048641775024905E-3</v>
      </c>
      <c r="H33" s="32">
        <v>2.2355922122109053E-3</v>
      </c>
      <c r="I33" s="32">
        <v>2.2783819095262008E-3</v>
      </c>
      <c r="J33" s="32">
        <v>2.2959665395553075E-3</v>
      </c>
      <c r="K33" s="32">
        <v>2.3006467931749224E-3</v>
      </c>
      <c r="L33" s="32">
        <v>2.3213423817512202E-3</v>
      </c>
      <c r="M33" s="32">
        <v>2.3768608159729452E-3</v>
      </c>
      <c r="N33" s="26">
        <v>13986</v>
      </c>
      <c r="O33" s="32">
        <v>2.3953814661255451E-3</v>
      </c>
      <c r="P33" t="s">
        <v>265</v>
      </c>
    </row>
    <row r="34" spans="1:16" x14ac:dyDescent="0.2">
      <c r="A34" s="16" t="s">
        <v>180</v>
      </c>
      <c r="B34" s="32">
        <v>3.0506905288602807E-3</v>
      </c>
      <c r="C34" s="32">
        <v>2.9910884107181091E-3</v>
      </c>
      <c r="D34" s="32">
        <v>2.9347433962017165E-3</v>
      </c>
      <c r="E34" s="32">
        <v>2.8784550899725908E-3</v>
      </c>
      <c r="F34" s="32">
        <v>2.8210496002453412E-3</v>
      </c>
      <c r="G34" s="32">
        <v>2.7534639079028105E-3</v>
      </c>
      <c r="H34" s="32">
        <v>2.6956590774321106E-3</v>
      </c>
      <c r="I34" s="32">
        <v>2.6460875335828278E-3</v>
      </c>
      <c r="J34" s="32">
        <v>2.5945443579185302E-3</v>
      </c>
      <c r="K34" s="32">
        <v>2.553309913025647E-3</v>
      </c>
      <c r="L34" s="32">
        <v>2.5030321973023469E-3</v>
      </c>
      <c r="M34" s="32">
        <v>2.4660017009044532E-3</v>
      </c>
      <c r="N34" s="26">
        <v>14297</v>
      </c>
      <c r="O34" s="32">
        <v>2.4486464193619988E-3</v>
      </c>
      <c r="P34" t="s">
        <v>265</v>
      </c>
    </row>
    <row r="35" spans="1:16" x14ac:dyDescent="0.2">
      <c r="A35" s="16" t="s">
        <v>169</v>
      </c>
      <c r="B35" s="32">
        <v>2.9285203428210263E-3</v>
      </c>
      <c r="C35" s="32">
        <v>2.8956468294560433E-3</v>
      </c>
      <c r="D35" s="32">
        <v>2.8731416981509095E-3</v>
      </c>
      <c r="E35" s="32">
        <v>2.8359574667090885E-3</v>
      </c>
      <c r="F35" s="32">
        <v>2.792625926691232E-3</v>
      </c>
      <c r="G35" s="32">
        <v>2.7468542725967823E-3</v>
      </c>
      <c r="H35" s="32">
        <v>2.7202538469565146E-3</v>
      </c>
      <c r="I35" s="32">
        <v>2.7050204407895722E-3</v>
      </c>
      <c r="J35" s="32">
        <v>2.6894903426369831E-3</v>
      </c>
      <c r="K35" s="32">
        <v>2.6867034856176445E-3</v>
      </c>
      <c r="L35" s="32">
        <v>2.7224083875348687E-3</v>
      </c>
      <c r="M35" s="32">
        <v>2.7292942760882501E-3</v>
      </c>
      <c r="N35" s="26">
        <v>15748</v>
      </c>
      <c r="O35" s="32">
        <v>2.6971591111500846E-3</v>
      </c>
      <c r="P35" t="s">
        <v>265</v>
      </c>
    </row>
    <row r="36" spans="1:16" x14ac:dyDescent="0.2">
      <c r="A36" s="16" t="s">
        <v>145</v>
      </c>
      <c r="B36" s="32">
        <v>3.0639569834220799E-3</v>
      </c>
      <c r="C36" s="32">
        <v>3.0307093534506229E-3</v>
      </c>
      <c r="D36" s="32">
        <v>3.003852801202465E-3</v>
      </c>
      <c r="E36" s="32">
        <v>2.9803355528855414E-3</v>
      </c>
      <c r="F36" s="32">
        <v>2.9523220925807667E-3</v>
      </c>
      <c r="G36" s="32">
        <v>2.9165015787848332E-3</v>
      </c>
      <c r="H36" s="32">
        <v>2.8819282878007591E-3</v>
      </c>
      <c r="I36" s="32">
        <v>2.8668180587571798E-3</v>
      </c>
      <c r="J36" s="32">
        <v>2.8508456710267835E-3</v>
      </c>
      <c r="K36" s="32">
        <v>2.8330004887610247E-3</v>
      </c>
      <c r="L36" s="32">
        <v>2.8301084399500465E-3</v>
      </c>
      <c r="M36" s="32">
        <v>2.8521641445073556E-3</v>
      </c>
      <c r="N36" s="26">
        <v>16575</v>
      </c>
      <c r="O36" s="32">
        <v>2.8387993565730666E-3</v>
      </c>
      <c r="P36" t="s">
        <v>265</v>
      </c>
    </row>
    <row r="37" spans="1:16" x14ac:dyDescent="0.2">
      <c r="A37" s="16" t="s">
        <v>193</v>
      </c>
      <c r="B37" s="32">
        <v>3.3970043949585887E-3</v>
      </c>
      <c r="C37" s="32">
        <v>3.3429926459236392E-3</v>
      </c>
      <c r="D37" s="32">
        <v>3.3112837755372728E-3</v>
      </c>
      <c r="E37" s="32">
        <v>3.2861666631568182E-3</v>
      </c>
      <c r="F37" s="32">
        <v>3.276389370668078E-3</v>
      </c>
      <c r="G37" s="32">
        <v>3.2499209597777988E-3</v>
      </c>
      <c r="H37" s="32">
        <v>3.1993093210017087E-3</v>
      </c>
      <c r="I37" s="32">
        <v>3.15344628926271E-3</v>
      </c>
      <c r="J37" s="32">
        <v>3.1078515925559531E-3</v>
      </c>
      <c r="K37" s="32">
        <v>3.0363167052868669E-3</v>
      </c>
      <c r="L37" s="32">
        <v>3.0002157458513872E-3</v>
      </c>
      <c r="M37" s="32">
        <v>2.9832941721479132E-3</v>
      </c>
      <c r="N37" s="26">
        <v>16856</v>
      </c>
      <c r="O37" s="32">
        <v>2.8869262114265826E-3</v>
      </c>
      <c r="P37" t="s">
        <v>265</v>
      </c>
    </row>
    <row r="38" spans="1:16" x14ac:dyDescent="0.2">
      <c r="A38" s="16" t="s">
        <v>170</v>
      </c>
      <c r="B38" s="32">
        <v>3.0312858639788432E-3</v>
      </c>
      <c r="C38" s="32">
        <v>2.9955774830474086E-3</v>
      </c>
      <c r="D38" s="32">
        <v>2.9395560288619357E-3</v>
      </c>
      <c r="E38" s="32">
        <v>2.9264546376764574E-3</v>
      </c>
      <c r="F38" s="32">
        <v>2.9081905994309655E-3</v>
      </c>
      <c r="G38" s="32">
        <v>2.9056691209221764E-3</v>
      </c>
      <c r="H38" s="32">
        <v>2.9083314962607813E-3</v>
      </c>
      <c r="I38" s="32">
        <v>2.940216315914671E-3</v>
      </c>
      <c r="J38" s="32">
        <v>2.9383932673256166E-3</v>
      </c>
      <c r="K38" s="32">
        <v>2.95401374285102E-3</v>
      </c>
      <c r="L38" s="32">
        <v>2.9295105750041833E-3</v>
      </c>
      <c r="M38" s="32">
        <v>2.9793361791876339E-3</v>
      </c>
      <c r="N38" s="26">
        <v>17269</v>
      </c>
      <c r="O38" s="32">
        <v>2.9576606991650249E-3</v>
      </c>
      <c r="P38" t="s">
        <v>265</v>
      </c>
    </row>
    <row r="39" spans="1:16" x14ac:dyDescent="0.2">
      <c r="A39" s="16" t="s">
        <v>191</v>
      </c>
      <c r="B39" s="32">
        <v>3.2199863296115978E-3</v>
      </c>
      <c r="C39" s="32">
        <v>3.102534510719417E-3</v>
      </c>
      <c r="D39" s="32">
        <v>3.0298410175676493E-3</v>
      </c>
      <c r="E39" s="32">
        <v>2.9843197050664944E-3</v>
      </c>
      <c r="F39" s="32">
        <v>2.9504521140574702E-3</v>
      </c>
      <c r="G39" s="32">
        <v>2.9330256670499033E-3</v>
      </c>
      <c r="H39" s="32">
        <v>2.9768713319207013E-3</v>
      </c>
      <c r="I39" s="32">
        <v>3.0120073119665231E-3</v>
      </c>
      <c r="J39" s="32">
        <v>3.059057459407509E-3</v>
      </c>
      <c r="K39" s="32">
        <v>3.0534050322332928E-3</v>
      </c>
      <c r="L39" s="32">
        <v>3.0107610158310433E-3</v>
      </c>
      <c r="M39" s="32">
        <v>3.0519567456762367E-3</v>
      </c>
      <c r="N39" s="26">
        <v>17900</v>
      </c>
      <c r="O39" s="32">
        <v>3.0657320351528141E-3</v>
      </c>
      <c r="P39" t="s">
        <v>265</v>
      </c>
    </row>
    <row r="40" spans="1:16" x14ac:dyDescent="0.2">
      <c r="A40" s="16" t="s">
        <v>189</v>
      </c>
      <c r="B40" s="32">
        <v>3.7300518064950976E-3</v>
      </c>
      <c r="C40" s="32">
        <v>3.6753791753496058E-3</v>
      </c>
      <c r="D40" s="32">
        <v>3.6219873400810294E-3</v>
      </c>
      <c r="E40" s="32">
        <v>3.5665750880829643E-3</v>
      </c>
      <c r="F40" s="32">
        <v>3.5116326688987977E-3</v>
      </c>
      <c r="G40" s="32">
        <v>3.454819654264665E-3</v>
      </c>
      <c r="H40" s="32">
        <v>3.3993226672810535E-3</v>
      </c>
      <c r="I40" s="32">
        <v>3.3507822361216574E-3</v>
      </c>
      <c r="J40" s="32">
        <v>3.3039088856758746E-3</v>
      </c>
      <c r="K40" s="32">
        <v>3.2670091190636153E-3</v>
      </c>
      <c r="L40" s="32">
        <v>3.2271983603315295E-3</v>
      </c>
      <c r="M40" s="32">
        <v>3.1875610262284146E-3</v>
      </c>
      <c r="N40" s="26">
        <v>18294</v>
      </c>
      <c r="O40" s="32">
        <v>3.1332123939153953E-3</v>
      </c>
      <c r="P40" t="s">
        <v>265</v>
      </c>
    </row>
    <row r="41" spans="1:16" x14ac:dyDescent="0.2">
      <c r="A41" s="16" t="s">
        <v>152</v>
      </c>
      <c r="B41" s="32">
        <v>3.5239267438259506E-3</v>
      </c>
      <c r="C41" s="32">
        <v>3.4999150003913299E-3</v>
      </c>
      <c r="D41" s="32">
        <v>3.4587428402463915E-3</v>
      </c>
      <c r="E41" s="32">
        <v>3.4218175588416589E-3</v>
      </c>
      <c r="F41" s="32">
        <v>3.3783032001877458E-3</v>
      </c>
      <c r="G41" s="32">
        <v>3.3246465589320592E-3</v>
      </c>
      <c r="H41" s="32">
        <v>3.3490480648708746E-3</v>
      </c>
      <c r="I41" s="32">
        <v>3.3872134878494631E-3</v>
      </c>
      <c r="J41" s="32">
        <v>3.3909280256590201E-3</v>
      </c>
      <c r="K41" s="32">
        <v>3.3812219165116658E-3</v>
      </c>
      <c r="L41" s="32">
        <v>3.3672257157990964E-3</v>
      </c>
      <c r="M41" s="32">
        <v>3.396474219870983E-3</v>
      </c>
      <c r="N41" s="26">
        <v>20261</v>
      </c>
      <c r="O41" s="32">
        <v>3.470100377890009E-3</v>
      </c>
      <c r="P41" t="s">
        <v>264</v>
      </c>
    </row>
    <row r="42" spans="1:16" x14ac:dyDescent="0.2">
      <c r="A42" s="16" t="s">
        <v>182</v>
      </c>
      <c r="B42" s="32">
        <v>4.414165246958022E-3</v>
      </c>
      <c r="C42" s="32">
        <v>4.334882453641057E-3</v>
      </c>
      <c r="D42" s="32">
        <v>4.2603349361325146E-3</v>
      </c>
      <c r="E42" s="32">
        <v>4.1844981191955883E-3</v>
      </c>
      <c r="F42" s="32">
        <v>4.1072208285687839E-3</v>
      </c>
      <c r="G42" s="32">
        <v>4.0159042513541491E-3</v>
      </c>
      <c r="H42" s="32">
        <v>3.9373332506273924E-3</v>
      </c>
      <c r="I42" s="32">
        <v>3.8736778491560452E-3</v>
      </c>
      <c r="J42" s="32">
        <v>3.8068231461047836E-3</v>
      </c>
      <c r="K42" s="32">
        <v>3.7498415406417083E-3</v>
      </c>
      <c r="L42" s="32">
        <v>3.6654321209615075E-3</v>
      </c>
      <c r="M42" s="32">
        <v>3.6291353712752275E-3</v>
      </c>
      <c r="N42" s="26">
        <v>20809</v>
      </c>
      <c r="O42" s="32">
        <v>3.5639563083516707E-3</v>
      </c>
      <c r="P42" t="s">
        <v>264</v>
      </c>
    </row>
    <row r="43" spans="1:16" x14ac:dyDescent="0.2">
      <c r="A43" s="16" t="s">
        <v>204</v>
      </c>
      <c r="B43" s="32">
        <v>4.6414770355691463E-3</v>
      </c>
      <c r="C43" s="32">
        <v>4.5413797807888397E-3</v>
      </c>
      <c r="D43" s="32">
        <v>4.4795984801321046E-3</v>
      </c>
      <c r="E43" s="32">
        <v>4.3844646143729616E-3</v>
      </c>
      <c r="F43" s="32">
        <v>4.3235773437142076E-3</v>
      </c>
      <c r="G43" s="32">
        <v>4.2239241625133062E-3</v>
      </c>
      <c r="H43" s="32">
        <v>4.2691817953132861E-3</v>
      </c>
      <c r="I43" s="32">
        <v>4.3133530538318173E-3</v>
      </c>
      <c r="J43" s="32">
        <v>4.3197780765317486E-3</v>
      </c>
      <c r="K43" s="32">
        <v>4.3032940888861528E-3</v>
      </c>
      <c r="L43" s="32">
        <v>4.2777492728949913E-3</v>
      </c>
      <c r="M43" s="32">
        <v>4.2930456686994687E-3</v>
      </c>
      <c r="N43" s="26">
        <v>24852</v>
      </c>
      <c r="O43" s="32">
        <v>4.2564007004255713E-3</v>
      </c>
      <c r="P43" t="s">
        <v>264</v>
      </c>
    </row>
    <row r="44" spans="1:16" x14ac:dyDescent="0.2">
      <c r="A44" s="16" t="s">
        <v>198</v>
      </c>
      <c r="B44" s="32">
        <v>4.6410810220001378E-3</v>
      </c>
      <c r="C44" s="32">
        <v>4.5837332023304922E-3</v>
      </c>
      <c r="D44" s="32">
        <v>4.5286873332663416E-3</v>
      </c>
      <c r="E44" s="32">
        <v>4.473254291548494E-3</v>
      </c>
      <c r="F44" s="32">
        <v>4.4241821882675678E-3</v>
      </c>
      <c r="G44" s="32">
        <v>4.3741097647447191E-3</v>
      </c>
      <c r="H44" s="32">
        <v>4.3315729385921048E-3</v>
      </c>
      <c r="I44" s="32">
        <v>4.314960314937456E-3</v>
      </c>
      <c r="J44" s="32">
        <v>4.282962286538879E-3</v>
      </c>
      <c r="K44" s="32">
        <v>4.2757435209521194E-3</v>
      </c>
      <c r="L44" s="32">
        <v>4.2931349946685885E-3</v>
      </c>
      <c r="M44" s="32">
        <v>4.3126635468504187E-3</v>
      </c>
      <c r="N44" s="26">
        <v>25027</v>
      </c>
      <c r="O44" s="32">
        <v>4.2863729409927083E-3</v>
      </c>
      <c r="P44" t="s">
        <v>264</v>
      </c>
    </row>
    <row r="45" spans="1:16" x14ac:dyDescent="0.2">
      <c r="A45" s="16" t="s">
        <v>186</v>
      </c>
      <c r="B45" s="32">
        <v>5.0555092219679819E-3</v>
      </c>
      <c r="C45" s="32">
        <v>4.9807233378868143E-3</v>
      </c>
      <c r="D45" s="32">
        <v>4.9090778187300737E-3</v>
      </c>
      <c r="E45" s="32">
        <v>4.8350532538855443E-3</v>
      </c>
      <c r="F45" s="32">
        <v>4.7617133117226146E-3</v>
      </c>
      <c r="G45" s="32">
        <v>4.6858642300123708E-3</v>
      </c>
      <c r="H45" s="32">
        <v>4.6192955732489204E-3</v>
      </c>
      <c r="I45" s="32">
        <v>4.5639072017441282E-3</v>
      </c>
      <c r="J45" s="32">
        <v>4.5116077191261726E-3</v>
      </c>
      <c r="K45" s="32">
        <v>4.4867320475355408E-3</v>
      </c>
      <c r="L45" s="32">
        <v>4.4753434300547797E-3</v>
      </c>
      <c r="M45" s="32">
        <v>4.5169304009309201E-3</v>
      </c>
      <c r="N45" s="26">
        <v>26464</v>
      </c>
      <c r="O45" s="32">
        <v>4.5324878535354229E-3</v>
      </c>
      <c r="P45" t="s">
        <v>264</v>
      </c>
    </row>
    <row r="46" spans="1:16" x14ac:dyDescent="0.2">
      <c r="A46" s="16" t="s">
        <v>164</v>
      </c>
      <c r="B46" s="32">
        <v>4.5753427695446559E-3</v>
      </c>
      <c r="C46" s="32">
        <v>4.4953179951490695E-3</v>
      </c>
      <c r="D46" s="32">
        <v>4.4341672278196348E-3</v>
      </c>
      <c r="E46" s="32">
        <v>4.398314286240085E-3</v>
      </c>
      <c r="F46" s="32">
        <v>4.4073523815578979E-3</v>
      </c>
      <c r="G46" s="32">
        <v>4.4176231971760696E-3</v>
      </c>
      <c r="H46" s="32">
        <v>4.4216331975858785E-3</v>
      </c>
      <c r="I46" s="32">
        <v>4.4542562774261248E-3</v>
      </c>
      <c r="J46" s="32">
        <v>4.4682743012398286E-3</v>
      </c>
      <c r="K46" s="32">
        <v>4.4755723238154256E-3</v>
      </c>
      <c r="L46" s="32">
        <v>4.5327373584686474E-3</v>
      </c>
      <c r="M46" s="32">
        <v>4.6711200397313657E-3</v>
      </c>
      <c r="N46" s="26">
        <v>27821</v>
      </c>
      <c r="O46" s="32">
        <v>4.7649011703903036E-3</v>
      </c>
      <c r="P46" t="s">
        <v>264</v>
      </c>
    </row>
    <row r="47" spans="1:16" x14ac:dyDescent="0.2">
      <c r="A47" s="16" t="s">
        <v>188</v>
      </c>
      <c r="B47" s="32">
        <v>5.582999295887874E-3</v>
      </c>
      <c r="C47" s="32">
        <v>5.5488837531299084E-3</v>
      </c>
      <c r="D47" s="32">
        <v>5.4376973901285588E-3</v>
      </c>
      <c r="E47" s="32">
        <v>5.3594435695119777E-3</v>
      </c>
      <c r="F47" s="32">
        <v>5.2662335173080535E-3</v>
      </c>
      <c r="G47" s="32">
        <v>5.2023337887861665E-3</v>
      </c>
      <c r="H47" s="32">
        <v>5.1167971244374172E-3</v>
      </c>
      <c r="I47" s="32">
        <v>5.076266325308219E-3</v>
      </c>
      <c r="J47" s="32">
        <v>5.0966088605918147E-3</v>
      </c>
      <c r="K47" s="32">
        <v>5.0794179994835143E-3</v>
      </c>
      <c r="L47" s="32">
        <v>5.0268091880072965E-3</v>
      </c>
      <c r="M47" s="32">
        <v>4.9924058161157775E-3</v>
      </c>
      <c r="N47" s="26">
        <v>29296</v>
      </c>
      <c r="O47" s="32">
        <v>5.0175243408847395E-3</v>
      </c>
      <c r="P47" t="s">
        <v>264</v>
      </c>
    </row>
    <row r="48" spans="1:16" x14ac:dyDescent="0.2">
      <c r="A48" s="16" t="s">
        <v>203</v>
      </c>
      <c r="B48" s="32">
        <v>5.5586444613938248E-3</v>
      </c>
      <c r="C48" s="32">
        <v>5.4819380223060056E-3</v>
      </c>
      <c r="D48" s="32">
        <v>5.4642631224129691E-3</v>
      </c>
      <c r="E48" s="32">
        <v>5.4753634258244777E-3</v>
      </c>
      <c r="F48" s="32">
        <v>5.5156886523158285E-3</v>
      </c>
      <c r="G48" s="32">
        <v>5.5572344845237227E-3</v>
      </c>
      <c r="H48" s="32">
        <v>5.573066267893825E-3</v>
      </c>
      <c r="I48" s="32">
        <v>5.5598733335381102E-3</v>
      </c>
      <c r="J48" s="32">
        <v>5.4774497120969991E-3</v>
      </c>
      <c r="K48" s="32">
        <v>5.4386216067247098E-3</v>
      </c>
      <c r="L48" s="32">
        <v>5.3583801358922266E-3</v>
      </c>
      <c r="M48" s="32">
        <v>5.3336536439520322E-3</v>
      </c>
      <c r="N48" s="26">
        <v>30583</v>
      </c>
      <c r="O48" s="32">
        <v>5.2379487615127661E-3</v>
      </c>
      <c r="P48" t="s">
        <v>264</v>
      </c>
    </row>
    <row r="49" spans="1:16" x14ac:dyDescent="0.2">
      <c r="A49" s="16" t="s">
        <v>159</v>
      </c>
      <c r="B49" s="32">
        <v>6.1162315665583963E-3</v>
      </c>
      <c r="C49" s="32">
        <v>5.9398233998945657E-3</v>
      </c>
      <c r="D49" s="32">
        <v>5.8818071320135938E-3</v>
      </c>
      <c r="E49" s="32">
        <v>5.7728467886689954E-3</v>
      </c>
      <c r="F49" s="32">
        <v>5.6222774281437377E-3</v>
      </c>
      <c r="G49" s="32">
        <v>5.5151898599381556E-3</v>
      </c>
      <c r="H49" s="32">
        <v>5.5137494708055561E-3</v>
      </c>
      <c r="I49" s="32">
        <v>5.4830819696020496E-3</v>
      </c>
      <c r="J49" s="32">
        <v>5.4665282815727989E-3</v>
      </c>
      <c r="K49" s="32">
        <v>5.4468170288316693E-3</v>
      </c>
      <c r="L49" s="32">
        <v>5.3680610394801079E-3</v>
      </c>
      <c r="M49" s="32">
        <v>5.4011116109272273E-3</v>
      </c>
      <c r="N49" s="26">
        <v>31581</v>
      </c>
      <c r="O49" s="32">
        <v>5.4088761677184927E-3</v>
      </c>
      <c r="P49" t="s">
        <v>264</v>
      </c>
    </row>
    <row r="50" spans="1:16" x14ac:dyDescent="0.2">
      <c r="A50" s="16" t="s">
        <v>187</v>
      </c>
      <c r="B50" s="32">
        <v>8.1555034401698742E-3</v>
      </c>
      <c r="C50" s="32">
        <v>8.0530054046479074E-3</v>
      </c>
      <c r="D50" s="32">
        <v>7.9510466706014752E-3</v>
      </c>
      <c r="E50" s="32">
        <v>7.8413806567134963E-3</v>
      </c>
      <c r="F50" s="32">
        <v>7.7394671122202165E-3</v>
      </c>
      <c r="G50" s="32">
        <v>7.6115458578333538E-3</v>
      </c>
      <c r="H50" s="32">
        <v>7.5220209088092856E-3</v>
      </c>
      <c r="I50" s="32">
        <v>7.4591202067009216E-3</v>
      </c>
      <c r="J50" s="32">
        <v>7.4131851964589195E-3</v>
      </c>
      <c r="K50" s="32">
        <v>7.4109284035718788E-3</v>
      </c>
      <c r="L50" s="32">
        <v>7.4007050463784432E-3</v>
      </c>
      <c r="M50" s="32">
        <v>7.4399942454224091E-3</v>
      </c>
      <c r="N50" s="26">
        <v>43799</v>
      </c>
      <c r="O50" s="32">
        <v>7.5014523691429103E-3</v>
      </c>
      <c r="P50" t="s">
        <v>264</v>
      </c>
    </row>
    <row r="51" spans="1:16" x14ac:dyDescent="0.2">
      <c r="A51" s="16" t="s">
        <v>166</v>
      </c>
      <c r="B51" s="32">
        <v>9.2774098811721686E-3</v>
      </c>
      <c r="C51" s="32">
        <v>9.1881551727873208E-3</v>
      </c>
      <c r="D51" s="32">
        <v>9.0727750910453847E-3</v>
      </c>
      <c r="E51" s="32">
        <v>8.9516310644724983E-3</v>
      </c>
      <c r="F51" s="32">
        <v>8.8111518039215315E-3</v>
      </c>
      <c r="G51" s="32">
        <v>8.6683531028749344E-3</v>
      </c>
      <c r="H51" s="32">
        <v>8.551022663175898E-3</v>
      </c>
      <c r="I51" s="32">
        <v>8.4941963587321073E-3</v>
      </c>
      <c r="J51" s="32">
        <v>8.45353952994163E-3</v>
      </c>
      <c r="K51" s="32">
        <v>8.4358792789911742E-3</v>
      </c>
      <c r="L51" s="32">
        <v>8.4502187192717747E-3</v>
      </c>
      <c r="M51" s="32">
        <v>8.4750954478606706E-3</v>
      </c>
      <c r="N51" s="26">
        <v>49570</v>
      </c>
      <c r="O51" s="32">
        <v>8.4898512280740211E-3</v>
      </c>
      <c r="P51" t="s">
        <v>264</v>
      </c>
    </row>
    <row r="52" spans="1:16" x14ac:dyDescent="0.2">
      <c r="A52" s="16" t="s">
        <v>163</v>
      </c>
      <c r="B52" s="32">
        <v>1.0307639180948897E-2</v>
      </c>
      <c r="C52" s="32">
        <v>1.0172628252308505E-2</v>
      </c>
      <c r="D52" s="32">
        <v>1.0041076782281503E-2</v>
      </c>
      <c r="E52" s="32">
        <v>9.9152267276659337E-3</v>
      </c>
      <c r="F52" s="32">
        <v>9.798313466369838E-3</v>
      </c>
      <c r="G52" s="32">
        <v>9.6904597625598679E-3</v>
      </c>
      <c r="H52" s="32">
        <v>9.5921409584111498E-3</v>
      </c>
      <c r="I52" s="32">
        <v>9.5942772932580047E-3</v>
      </c>
      <c r="J52" s="32">
        <v>9.5483248639401143E-3</v>
      </c>
      <c r="K52" s="32">
        <v>9.5588264783277293E-3</v>
      </c>
      <c r="L52" s="32">
        <v>9.623336786188947E-3</v>
      </c>
      <c r="M52" s="32">
        <v>9.59985379518178E-3</v>
      </c>
      <c r="N52" s="26">
        <v>55291</v>
      </c>
      <c r="O52" s="32">
        <v>9.4696865897002363E-3</v>
      </c>
      <c r="P52" t="s">
        <v>264</v>
      </c>
    </row>
    <row r="53" spans="1:16" x14ac:dyDescent="0.2">
      <c r="A53" s="16" t="s">
        <v>178</v>
      </c>
      <c r="B53" s="32">
        <v>1.0185667001694146E-2</v>
      </c>
      <c r="C53" s="32">
        <v>1.0110757124987289E-2</v>
      </c>
      <c r="D53" s="32">
        <v>1.0070722599468455E-2</v>
      </c>
      <c r="E53" s="32">
        <v>1.0082940562330828E-2</v>
      </c>
      <c r="F53" s="32">
        <v>1.0015043977219921E-2</v>
      </c>
      <c r="G53" s="32">
        <v>9.9695332532588263E-3</v>
      </c>
      <c r="H53" s="32">
        <v>9.9254362542455371E-3</v>
      </c>
      <c r="I53" s="32">
        <v>9.8282230764120508E-3</v>
      </c>
      <c r="J53" s="32">
        <v>9.8171329765196283E-3</v>
      </c>
      <c r="K53" s="32">
        <v>9.6791422496852169E-3</v>
      </c>
      <c r="L53" s="32">
        <v>9.6235096594673008E-3</v>
      </c>
      <c r="M53" s="32">
        <v>9.6662792422542946E-3</v>
      </c>
      <c r="N53" s="26">
        <v>56557</v>
      </c>
      <c r="O53" s="32">
        <v>9.6865143414602058E-3</v>
      </c>
      <c r="P53" t="s">
        <v>264</v>
      </c>
    </row>
    <row r="54" spans="1:16" x14ac:dyDescent="0.2">
      <c r="A54" s="16" t="s">
        <v>167</v>
      </c>
      <c r="B54" s="32">
        <v>1.1118080949925668E-2</v>
      </c>
      <c r="C54" s="32">
        <v>1.0982027510987005E-2</v>
      </c>
      <c r="D54" s="32">
        <v>1.0860186861050825E-2</v>
      </c>
      <c r="E54" s="32">
        <v>1.0775803598751859E-2</v>
      </c>
      <c r="F54" s="32">
        <v>1.0683374301446148E-2</v>
      </c>
      <c r="G54" s="32">
        <v>1.0556138386668806E-2</v>
      </c>
      <c r="H54" s="32">
        <v>1.0518061693447538E-2</v>
      </c>
      <c r="I54" s="32">
        <v>1.0513452061115924E-2</v>
      </c>
      <c r="J54" s="32">
        <v>1.0528435177434493E-2</v>
      </c>
      <c r="K54" s="32">
        <v>1.0559539828792401E-2</v>
      </c>
      <c r="L54" s="32">
        <v>1.0682012742835095E-2</v>
      </c>
      <c r="M54" s="32">
        <v>1.0697594538382723E-2</v>
      </c>
      <c r="N54" s="26">
        <v>62254</v>
      </c>
      <c r="O54" s="32">
        <v>1.0662239224380071E-2</v>
      </c>
      <c r="P54" t="s">
        <v>264</v>
      </c>
    </row>
    <row r="55" spans="1:16" x14ac:dyDescent="0.2">
      <c r="A55" s="16" t="s">
        <v>151</v>
      </c>
      <c r="B55" s="32">
        <v>1.1109566658191976E-2</v>
      </c>
      <c r="C55" s="32">
        <v>1.1239075696103856E-2</v>
      </c>
      <c r="D55" s="32">
        <v>1.1409982016154275E-2</v>
      </c>
      <c r="E55" s="32">
        <v>1.1510215650774263E-2</v>
      </c>
      <c r="F55" s="32">
        <v>1.1688113762013444E-2</v>
      </c>
      <c r="G55" s="32">
        <v>1.2086636161975722E-2</v>
      </c>
      <c r="H55" s="32">
        <v>1.224439750138843E-2</v>
      </c>
      <c r="I55" s="32">
        <v>1.2439308034805419E-2</v>
      </c>
      <c r="J55" s="32">
        <v>1.2563520449145592E-2</v>
      </c>
      <c r="K55" s="32">
        <v>1.2671343172141004E-2</v>
      </c>
      <c r="L55" s="32">
        <v>1.2878021997778924E-2</v>
      </c>
      <c r="M55" s="32">
        <v>1.2977914743454942E-2</v>
      </c>
      <c r="N55" s="26">
        <v>76155</v>
      </c>
      <c r="O55" s="32">
        <v>1.3043062745087293E-2</v>
      </c>
      <c r="P55" t="s">
        <v>264</v>
      </c>
    </row>
    <row r="56" spans="1:16" x14ac:dyDescent="0.2">
      <c r="A56" s="16" t="s">
        <v>183</v>
      </c>
      <c r="B56" s="32">
        <v>2.9137688373754439E-2</v>
      </c>
      <c r="C56" s="32">
        <v>2.8877811940268793E-2</v>
      </c>
      <c r="D56" s="32">
        <v>2.8479042524807197E-2</v>
      </c>
      <c r="E56" s="32">
        <v>2.8064747405700335E-2</v>
      </c>
      <c r="F56" s="32">
        <v>2.7652494411101687E-2</v>
      </c>
      <c r="G56" s="32">
        <v>2.7315052306083398E-2</v>
      </c>
      <c r="H56" s="32">
        <v>2.7189156021441577E-2</v>
      </c>
      <c r="I56" s="32">
        <v>2.7171284744520491E-2</v>
      </c>
      <c r="J56" s="32">
        <v>2.7135703354217926E-2</v>
      </c>
      <c r="K56" s="32">
        <v>2.7046462289113917E-2</v>
      </c>
      <c r="L56" s="32">
        <v>2.6967021310434769E-2</v>
      </c>
      <c r="M56" s="32">
        <v>2.7091945553160492E-2</v>
      </c>
      <c r="N56" s="26">
        <v>158534</v>
      </c>
      <c r="O56" s="32">
        <v>2.7152109634688056E-2</v>
      </c>
      <c r="P56" t="s">
        <v>264</v>
      </c>
    </row>
    <row r="57" spans="1:16" x14ac:dyDescent="0.2">
      <c r="A57" s="16" t="s">
        <v>195</v>
      </c>
      <c r="B57" s="32">
        <v>3.158129010132403E-2</v>
      </c>
      <c r="C57" s="32">
        <v>3.1196710563938735E-2</v>
      </c>
      <c r="D57" s="32">
        <v>3.0863798260599054E-2</v>
      </c>
      <c r="E57" s="32">
        <v>3.0462637854036981E-2</v>
      </c>
      <c r="F57" s="32">
        <v>3.008178351071638E-2</v>
      </c>
      <c r="G57" s="32">
        <v>2.9825795717470405E-2</v>
      </c>
      <c r="H57" s="32">
        <v>2.9680823186935983E-2</v>
      </c>
      <c r="I57" s="32">
        <v>2.9564496530816196E-2</v>
      </c>
      <c r="J57" s="32">
        <v>2.9362089812207764E-2</v>
      </c>
      <c r="K57" s="32">
        <v>2.9204473863491121E-2</v>
      </c>
      <c r="L57" s="32">
        <v>2.9096474353211915E-2</v>
      </c>
      <c r="M57" s="32">
        <v>2.9129451494452098E-2</v>
      </c>
      <c r="N57" s="26">
        <v>169383</v>
      </c>
      <c r="O57" s="32">
        <v>2.9010217279904417E-2</v>
      </c>
      <c r="P57" t="s">
        <v>264</v>
      </c>
    </row>
    <row r="58" spans="1:16" x14ac:dyDescent="0.2">
      <c r="A58" s="16" t="s">
        <v>150</v>
      </c>
      <c r="B58" s="32">
        <v>5.8531795533442156E-2</v>
      </c>
      <c r="C58" s="32">
        <v>5.865578047109106E-2</v>
      </c>
      <c r="D58" s="32">
        <v>5.888371562962133E-2</v>
      </c>
      <c r="E58" s="32">
        <v>5.8983665545222691E-2</v>
      </c>
      <c r="F58" s="32">
        <v>5.875715617406134E-2</v>
      </c>
      <c r="G58" s="32">
        <v>5.8816941376574054E-2</v>
      </c>
      <c r="H58" s="32">
        <v>5.8585645226598301E-2</v>
      </c>
      <c r="I58" s="32">
        <v>5.8113918381138038E-2</v>
      </c>
      <c r="J58" s="32">
        <v>5.7787578880912724E-2</v>
      </c>
      <c r="K58" s="32">
        <v>5.7337788620534347E-2</v>
      </c>
      <c r="L58" s="32">
        <v>5.7207743893078568E-2</v>
      </c>
      <c r="M58" s="32">
        <v>5.6286101628180638E-2</v>
      </c>
      <c r="N58" s="26">
        <v>327424</v>
      </c>
      <c r="O58" s="32">
        <v>5.6077890831166197E-2</v>
      </c>
      <c r="P58" t="s">
        <v>264</v>
      </c>
    </row>
    <row r="59" spans="1:16" x14ac:dyDescent="0.2">
      <c r="A59" s="16" t="s">
        <v>206</v>
      </c>
      <c r="B59" s="32">
        <v>5.0339264824569949E-2</v>
      </c>
      <c r="C59" s="32">
        <v>5.0492695205846413E-2</v>
      </c>
      <c r="D59" s="32">
        <v>5.079252509595427E-2</v>
      </c>
      <c r="E59" s="32">
        <v>5.1181177802656595E-2</v>
      </c>
      <c r="F59" s="32">
        <v>5.1610285255873835E-2</v>
      </c>
      <c r="G59" s="32">
        <v>5.2299657363849776E-2</v>
      </c>
      <c r="H59" s="32">
        <v>5.3260877624564822E-2</v>
      </c>
      <c r="I59" s="32">
        <v>5.4395966274661638E-2</v>
      </c>
      <c r="J59" s="32">
        <v>5.5174186247734687E-2</v>
      </c>
      <c r="K59" s="32">
        <v>5.6205774145675194E-2</v>
      </c>
      <c r="L59" s="32">
        <v>5.729418053225608E-2</v>
      </c>
      <c r="M59" s="32">
        <v>5.8486229454144584E-2</v>
      </c>
      <c r="N59" s="26">
        <v>350206</v>
      </c>
      <c r="O59" s="32">
        <v>5.9979762743169067E-2</v>
      </c>
      <c r="P59" t="s">
        <v>263</v>
      </c>
    </row>
    <row r="60" spans="1:16" x14ac:dyDescent="0.2">
      <c r="A60" s="16" t="s">
        <v>179</v>
      </c>
      <c r="B60" s="32">
        <v>5.9507374960695657E-2</v>
      </c>
      <c r="C60" s="32">
        <v>5.9595753181434834E-2</v>
      </c>
      <c r="D60" s="32">
        <v>5.9859910038420207E-2</v>
      </c>
      <c r="E60" s="32">
        <v>6.0015940403154465E-2</v>
      </c>
      <c r="F60" s="32">
        <v>6.061030489064833E-2</v>
      </c>
      <c r="G60" s="32">
        <v>6.1220829017180275E-2</v>
      </c>
      <c r="H60" s="32">
        <v>6.1329227935824286E-2</v>
      </c>
      <c r="I60" s="32">
        <v>6.146648646293263E-2</v>
      </c>
      <c r="J60" s="32">
        <v>6.1769673371720402E-2</v>
      </c>
      <c r="K60" s="32">
        <v>6.2215459739640155E-2</v>
      </c>
      <c r="L60" s="32">
        <v>6.2220550345539111E-2</v>
      </c>
      <c r="M60" s="32">
        <v>6.242856252923322E-2</v>
      </c>
      <c r="N60" s="26">
        <v>366843</v>
      </c>
      <c r="O60" s="32">
        <v>6.2829180836400211E-2</v>
      </c>
      <c r="P60" t="s">
        <v>263</v>
      </c>
    </row>
    <row r="61" spans="1:16" x14ac:dyDescent="0.2">
      <c r="A61" s="16" t="s">
        <v>162</v>
      </c>
      <c r="B61" s="32">
        <v>5.6852499994059794E-2</v>
      </c>
      <c r="C61" s="32">
        <v>5.7113296183332156E-2</v>
      </c>
      <c r="D61" s="32">
        <v>5.7507687699411433E-2</v>
      </c>
      <c r="E61" s="32">
        <v>5.8116827863566693E-2</v>
      </c>
      <c r="F61" s="32">
        <v>5.8831207323583885E-2</v>
      </c>
      <c r="G61" s="32">
        <v>5.9134020270282674E-2</v>
      </c>
      <c r="H61" s="32">
        <v>5.9377018104824715E-2</v>
      </c>
      <c r="I61" s="32">
        <v>5.9992449444494847E-2</v>
      </c>
      <c r="J61" s="32">
        <v>6.0467204705656877E-2</v>
      </c>
      <c r="K61" s="32">
        <v>6.1241076362327632E-2</v>
      </c>
      <c r="L61" s="32">
        <v>6.2281401739520077E-2</v>
      </c>
      <c r="M61" s="32">
        <v>6.3630415695954554E-2</v>
      </c>
      <c r="N61" s="26">
        <v>376026</v>
      </c>
      <c r="O61" s="32">
        <v>6.4401952751417427E-2</v>
      </c>
      <c r="P61" t="s">
        <v>263</v>
      </c>
    </row>
    <row r="62" spans="1:16" x14ac:dyDescent="0.2">
      <c r="A62" s="16" t="s">
        <v>144</v>
      </c>
      <c r="B62" s="32">
        <v>8.7857788359260336E-2</v>
      </c>
      <c r="C62" s="32">
        <v>8.8255357171088109E-2</v>
      </c>
      <c r="D62" s="32">
        <v>8.8642533431434037E-2</v>
      </c>
      <c r="E62" s="32">
        <v>8.914597421342875E-2</v>
      </c>
      <c r="F62" s="32">
        <v>8.9740456330859045E-2</v>
      </c>
      <c r="G62" s="32">
        <v>9.0028924498503096E-2</v>
      </c>
      <c r="H62" s="32">
        <v>9.0028068780719728E-2</v>
      </c>
      <c r="I62" s="32">
        <v>8.9954118052971044E-2</v>
      </c>
      <c r="J62" s="32">
        <v>9.0088061960446109E-2</v>
      </c>
      <c r="K62" s="32">
        <v>9.00593191626929E-2</v>
      </c>
      <c r="L62" s="32">
        <v>8.9968958874138569E-2</v>
      </c>
      <c r="M62" s="32">
        <v>9.0073078316978791E-2</v>
      </c>
      <c r="N62" s="26">
        <v>527501</v>
      </c>
      <c r="O62" s="32">
        <v>9.0345067836600249E-2</v>
      </c>
      <c r="P62" t="s">
        <v>263</v>
      </c>
    </row>
    <row r="63" spans="1:16" x14ac:dyDescent="0.2">
      <c r="A63" s="16" t="s">
        <v>174</v>
      </c>
      <c r="B63" s="32">
        <v>0.10606253212660079</v>
      </c>
      <c r="C63" s="32">
        <v>0.10551759687076527</v>
      </c>
      <c r="D63" s="32">
        <v>0.10522936814753299</v>
      </c>
      <c r="E63" s="32">
        <v>0.10477106018099813</v>
      </c>
      <c r="F63" s="32">
        <v>0.10453479141792056</v>
      </c>
      <c r="G63" s="32">
        <v>0.10376411386639063</v>
      </c>
      <c r="H63" s="32">
        <v>0.10339641108059471</v>
      </c>
      <c r="I63" s="32">
        <v>0.10285095974918154</v>
      </c>
      <c r="J63" s="32">
        <v>0.10213668980600721</v>
      </c>
      <c r="K63" s="32">
        <v>0.10158278012781022</v>
      </c>
      <c r="L63" s="32">
        <v>0.10079601229751353</v>
      </c>
      <c r="M63" s="32">
        <v>9.9935192167441692E-2</v>
      </c>
      <c r="N63" s="26">
        <v>575936</v>
      </c>
      <c r="O63" s="32">
        <v>9.8640527675853129E-2</v>
      </c>
      <c r="P63" t="s">
        <v>263</v>
      </c>
    </row>
    <row r="64" spans="1:16" x14ac:dyDescent="0.2">
      <c r="A64" s="16" t="s">
        <v>146</v>
      </c>
      <c r="B64" s="32">
        <v>0.11381806186207165</v>
      </c>
      <c r="C64" s="32">
        <v>0.11433803846666561</v>
      </c>
      <c r="D64" s="32">
        <v>0.11477705382948881</v>
      </c>
      <c r="E64" s="32">
        <v>0.11532432042221388</v>
      </c>
      <c r="F64" s="32">
        <v>0.11562264207395578</v>
      </c>
      <c r="G64" s="32">
        <v>0.11566219182116383</v>
      </c>
      <c r="H64" s="32">
        <v>0.11531619379303971</v>
      </c>
      <c r="I64" s="32">
        <v>0.11482559073989015</v>
      </c>
      <c r="J64" s="32">
        <v>0.11452828580044926</v>
      </c>
      <c r="K64" s="32">
        <v>0.11400425011103053</v>
      </c>
      <c r="L64" s="32">
        <v>0.11326864645754993</v>
      </c>
      <c r="M64" s="32">
        <v>0.1130130892548063</v>
      </c>
      <c r="N64" s="26">
        <v>656015</v>
      </c>
      <c r="O64" s="32">
        <v>0.11235565368942867</v>
      </c>
      <c r="P64" t="s">
        <v>262</v>
      </c>
    </row>
    <row r="65" spans="1:16" x14ac:dyDescent="0.2">
      <c r="A65" s="16" t="s">
        <v>160</v>
      </c>
      <c r="B65" s="32">
        <v>0.11977014580427583</v>
      </c>
      <c r="C65" s="32">
        <v>0.12105447137952902</v>
      </c>
      <c r="D65" s="32">
        <v>0.12184122855346508</v>
      </c>
      <c r="E65" s="32">
        <v>0.12242768431778887</v>
      </c>
      <c r="F65" s="32">
        <v>0.12316276947559257</v>
      </c>
      <c r="G65" s="32">
        <v>0.12402870491173015</v>
      </c>
      <c r="H65" s="32">
        <v>0.12414354592557804</v>
      </c>
      <c r="I65" s="32">
        <v>0.12378303546618073</v>
      </c>
      <c r="J65" s="32">
        <v>0.12377838515023661</v>
      </c>
      <c r="K65" s="32">
        <v>0.12382812002771099</v>
      </c>
      <c r="L65" s="32">
        <v>0.12404435651725344</v>
      </c>
      <c r="M65" s="32">
        <v>0.12241814096168216</v>
      </c>
      <c r="N65" s="26">
        <v>712637</v>
      </c>
      <c r="O65" s="32">
        <v>0.12205330057738524</v>
      </c>
      <c r="P65" t="s">
        <v>262</v>
      </c>
    </row>
    <row r="66" spans="1:16" x14ac:dyDescent="0.2">
      <c r="A66" s="16" t="s">
        <v>165</v>
      </c>
      <c r="B66" s="32">
        <v>0.12419619145830413</v>
      </c>
      <c r="C66" s="32">
        <v>0.12474526954244447</v>
      </c>
      <c r="D66" s="32">
        <v>0.12482910341423561</v>
      </c>
      <c r="E66" s="32">
        <v>0.12489425396086386</v>
      </c>
      <c r="F66" s="32">
        <v>0.12449456817988445</v>
      </c>
      <c r="G66" s="32">
        <v>0.12447577329979066</v>
      </c>
      <c r="H66" s="32">
        <v>0.12519732329336261</v>
      </c>
      <c r="I66" s="32">
        <v>0.1258658672745209</v>
      </c>
      <c r="J66" s="32">
        <v>0.12644409495866768</v>
      </c>
      <c r="K66" s="32">
        <v>0.12650540749643979</v>
      </c>
      <c r="L66" s="32">
        <v>0.12660651137575321</v>
      </c>
      <c r="M66" s="32">
        <v>0.12686262288277492</v>
      </c>
      <c r="N66" s="26">
        <v>740552</v>
      </c>
      <c r="O66" s="32">
        <v>0.12683430112270874</v>
      </c>
      <c r="P66" t="s">
        <v>262</v>
      </c>
    </row>
    <row r="67" spans="1:16" x14ac:dyDescent="0.2">
      <c r="A67" s="19" t="s">
        <v>225</v>
      </c>
      <c r="B67" s="30">
        <v>0.99999999999999989</v>
      </c>
      <c r="C67" s="30">
        <v>0.99999941446882668</v>
      </c>
      <c r="D67" s="30">
        <v>1.0000000000000002</v>
      </c>
      <c r="E67" s="30">
        <v>1</v>
      </c>
      <c r="F67" s="30">
        <v>0.99999981300214746</v>
      </c>
      <c r="G67" s="30">
        <v>0.99999981639901891</v>
      </c>
      <c r="H67" s="30">
        <v>0.99999963831221284</v>
      </c>
      <c r="I67" s="30">
        <v>1.0000001785845674</v>
      </c>
      <c r="J67" s="30">
        <v>1.0000001761521053</v>
      </c>
      <c r="K67" s="30">
        <v>1.0000006974827322</v>
      </c>
      <c r="L67" s="30">
        <v>1</v>
      </c>
      <c r="M67" s="30">
        <v>1.0000000000000002</v>
      </c>
      <c r="N67" s="58">
        <f>SUM(N3:N66)</f>
        <v>5838736</v>
      </c>
      <c r="O67" s="30">
        <v>1</v>
      </c>
      <c r="P67" s="30"/>
    </row>
  </sheetData>
  <sortState xmlns:xlrd2="http://schemas.microsoft.com/office/spreadsheetml/2017/richdata2" ref="A3:O67">
    <sortCondition ref="O3:O67"/>
  </sortState>
  <mergeCells count="1">
    <mergeCell ref="S1:W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0F1FC-4372-8444-A373-53D973EB48C2}">
  <dimension ref="A4:BK40"/>
  <sheetViews>
    <sheetView topLeftCell="R3" zoomScale="89" zoomScaleNormal="160" workbookViewId="0">
      <selection activeCell="X48" sqref="X48"/>
    </sheetView>
  </sheetViews>
  <sheetFormatPr baseColWidth="10" defaultRowHeight="16" x14ac:dyDescent="0.2"/>
  <cols>
    <col min="1" max="1" width="24.7109375" bestFit="1" customWidth="1"/>
    <col min="2" max="2" width="16.140625" bestFit="1" customWidth="1"/>
    <col min="3" max="15" width="12" bestFit="1" customWidth="1"/>
    <col min="16" max="16" width="13.42578125" bestFit="1" customWidth="1"/>
    <col min="20" max="32" width="12.42578125" bestFit="1" customWidth="1"/>
    <col min="48" max="48" width="20.5703125" bestFit="1" customWidth="1"/>
  </cols>
  <sheetData>
    <row r="4" spans="1:48" x14ac:dyDescent="0.2">
      <c r="S4" t="s">
        <v>245</v>
      </c>
      <c r="AH4" t="s">
        <v>239</v>
      </c>
    </row>
    <row r="5" spans="1:48" x14ac:dyDescent="0.2">
      <c r="A5" s="15" t="s">
        <v>244</v>
      </c>
      <c r="B5" s="15" t="s">
        <v>226</v>
      </c>
      <c r="S5" s="17" t="s">
        <v>224</v>
      </c>
      <c r="T5" s="17">
        <v>2010</v>
      </c>
      <c r="U5" s="17">
        <v>2011</v>
      </c>
      <c r="V5" s="17">
        <v>2012</v>
      </c>
      <c r="W5" s="17">
        <v>2013</v>
      </c>
      <c r="X5" s="17">
        <v>2014</v>
      </c>
      <c r="Y5" s="17">
        <v>2015</v>
      </c>
      <c r="Z5" s="17">
        <v>2016</v>
      </c>
      <c r="AA5" s="17">
        <v>2017</v>
      </c>
      <c r="AB5" s="17">
        <v>2018</v>
      </c>
      <c r="AC5" s="17">
        <v>2019</v>
      </c>
      <c r="AD5" s="17">
        <v>2020</v>
      </c>
      <c r="AE5" s="17">
        <v>2021</v>
      </c>
      <c r="AF5" s="17">
        <v>2022</v>
      </c>
      <c r="AH5" s="17" t="s">
        <v>224</v>
      </c>
      <c r="AI5" s="17">
        <v>2010</v>
      </c>
      <c r="AJ5" s="17">
        <v>2011</v>
      </c>
      <c r="AK5" s="17">
        <v>2012</v>
      </c>
      <c r="AL5" s="17">
        <v>2013</v>
      </c>
      <c r="AM5" s="17">
        <v>2014</v>
      </c>
      <c r="AN5" s="17">
        <v>2015</v>
      </c>
      <c r="AO5" s="17">
        <v>2016</v>
      </c>
      <c r="AP5" s="17">
        <v>2017</v>
      </c>
      <c r="AQ5" s="17">
        <v>2018</v>
      </c>
      <c r="AR5" s="17">
        <v>2019</v>
      </c>
      <c r="AS5" s="17">
        <v>2020</v>
      </c>
      <c r="AT5" s="17">
        <v>2021</v>
      </c>
      <c r="AU5" s="17">
        <v>2022</v>
      </c>
      <c r="AV5" s="33"/>
    </row>
    <row r="6" spans="1:48" x14ac:dyDescent="0.2">
      <c r="A6" s="15" t="s">
        <v>224</v>
      </c>
      <c r="B6">
        <v>2010</v>
      </c>
      <c r="C6">
        <v>2011</v>
      </c>
      <c r="D6">
        <v>2012</v>
      </c>
      <c r="E6">
        <v>2013</v>
      </c>
      <c r="F6">
        <v>2014</v>
      </c>
      <c r="G6">
        <v>2015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 t="s">
        <v>225</v>
      </c>
      <c r="S6" s="16">
        <v>0</v>
      </c>
      <c r="T6" s="26">
        <v>48.516114504720974</v>
      </c>
      <c r="U6" s="26">
        <v>49.21951349317365</v>
      </c>
      <c r="V6" s="26">
        <v>49.902623511745929</v>
      </c>
      <c r="W6" s="26">
        <v>50.634842059687799</v>
      </c>
      <c r="X6" s="26">
        <v>51.372353800055848</v>
      </c>
      <c r="Y6" s="26">
        <v>52.322813265489522</v>
      </c>
      <c r="Z6" s="26">
        <v>53.120509852590828</v>
      </c>
      <c r="AA6" s="26">
        <v>53.792553160319265</v>
      </c>
      <c r="AB6" s="26">
        <v>54.535367699633319</v>
      </c>
      <c r="AC6" s="26">
        <v>55.092517030198181</v>
      </c>
      <c r="AD6" s="26">
        <v>55.569720902740031</v>
      </c>
      <c r="AE6" s="26">
        <v>55.823736500077757</v>
      </c>
      <c r="AF6" s="26">
        <v>56.089933164559582</v>
      </c>
      <c r="AH6" s="16">
        <v>0</v>
      </c>
      <c r="AI6" s="26">
        <v>2205618</v>
      </c>
      <c r="AJ6" s="26">
        <v>2217639</v>
      </c>
      <c r="AK6" s="26">
        <v>2230882</v>
      </c>
      <c r="AL6" s="26">
        <v>2254094</v>
      </c>
      <c r="AM6" s="26">
        <v>2281231</v>
      </c>
      <c r="AN6" s="26">
        <v>2310630</v>
      </c>
      <c r="AO6" s="26">
        <v>2339866</v>
      </c>
      <c r="AP6" s="26">
        <v>2377152</v>
      </c>
      <c r="AQ6" s="26">
        <v>2418599</v>
      </c>
      <c r="AR6" s="26">
        <v>2460839</v>
      </c>
      <c r="AS6" s="26">
        <v>2501178</v>
      </c>
      <c r="AT6" s="26">
        <v>2542505</v>
      </c>
      <c r="AU6" s="26">
        <v>2598686</v>
      </c>
      <c r="AV6" s="26"/>
    </row>
    <row r="7" spans="1:48" x14ac:dyDescent="0.2">
      <c r="A7" s="16">
        <v>0</v>
      </c>
      <c r="B7">
        <v>48.516114504720974</v>
      </c>
      <c r="C7">
        <v>49.21951349317365</v>
      </c>
      <c r="D7">
        <v>49.902623511745929</v>
      </c>
      <c r="E7">
        <v>50.634842059687799</v>
      </c>
      <c r="F7">
        <v>51.372353800055848</v>
      </c>
      <c r="G7">
        <v>52.322813265489522</v>
      </c>
      <c r="H7">
        <v>53.120509852590828</v>
      </c>
      <c r="I7">
        <v>53.792553160319265</v>
      </c>
      <c r="J7">
        <v>54.535367699633319</v>
      </c>
      <c r="K7">
        <v>55.092517030198181</v>
      </c>
      <c r="L7">
        <v>55.569720902740031</v>
      </c>
      <c r="M7">
        <v>55.823736500077757</v>
      </c>
      <c r="N7">
        <v>56.089933164559582</v>
      </c>
      <c r="O7">
        <v>685.99259894499278</v>
      </c>
      <c r="S7" s="16">
        <v>1</v>
      </c>
      <c r="T7" s="26">
        <v>50.815492947970995</v>
      </c>
      <c r="U7" s="26">
        <v>50.921573890591269</v>
      </c>
      <c r="V7" s="26">
        <v>50.724733984733703</v>
      </c>
      <c r="W7" s="26">
        <v>50.747570470290086</v>
      </c>
      <c r="X7" s="26">
        <v>50.671384832313244</v>
      </c>
      <c r="Y7" s="26">
        <v>50.733219125346722</v>
      </c>
      <c r="Z7" s="26">
        <v>50.694947712616646</v>
      </c>
      <c r="AA7" s="26">
        <v>50.777276416572583</v>
      </c>
      <c r="AB7" s="26">
        <v>51.116442765134828</v>
      </c>
      <c r="AC7" s="26">
        <v>51.256026059095831</v>
      </c>
      <c r="AD7" s="26">
        <v>51.009702187761619</v>
      </c>
      <c r="AE7" s="26">
        <v>50.753068132621053</v>
      </c>
      <c r="AF7" s="26">
        <v>50.651013530954565</v>
      </c>
      <c r="AH7" s="16">
        <v>1</v>
      </c>
      <c r="AI7" s="29">
        <f>T7/T$6</f>
        <v>1.0473941177425961</v>
      </c>
      <c r="AJ7" s="29">
        <f>U7/U$25</f>
        <v>2.2962066364539615E-5</v>
      </c>
      <c r="AK7" s="29">
        <f t="shared" ref="AK7:AK20" si="0">V7/V$25</f>
        <v>2.2737524434162678E-5</v>
      </c>
      <c r="AL7" s="29">
        <f t="shared" ref="AL7:AL20" si="1">W7/W$25</f>
        <v>2.2513511180230323E-5</v>
      </c>
      <c r="AM7" s="29">
        <f t="shared" ref="AM7:AM20" si="2">X7/X$25</f>
        <v>2.2212298900161027E-5</v>
      </c>
      <c r="AN7" s="29">
        <f t="shared" ref="AN7:AN20" si="3">Y7/Y$25</f>
        <v>2.1956444400594955E-5</v>
      </c>
      <c r="AO7" s="29">
        <f t="shared" ref="AO7:AO20" si="4">Z7/Z$25</f>
        <v>2.166574825764238E-5</v>
      </c>
      <c r="AP7" s="29">
        <f t="shared" ref="AP7:AP20" si="5">AA7/AA$25</f>
        <v>2.136055095196798E-5</v>
      </c>
      <c r="AQ7" s="29">
        <f t="shared" ref="AQ7:AQ20" si="6">AB7/AB$25</f>
        <v>2.1134732448469062E-5</v>
      </c>
      <c r="AR7" s="29">
        <f t="shared" ref="AR7:AR20" si="7">AC7/AC$25</f>
        <v>2.0828679185877594E-5</v>
      </c>
      <c r="AS7" s="29">
        <f t="shared" ref="AS7:AS20" si="8">AD7/AD$25</f>
        <v>2.0394271094564889E-5</v>
      </c>
      <c r="AT7" s="29">
        <f t="shared" ref="AT7:AT20" si="9">AE7/AE$25</f>
        <v>1.9961836115414149E-5</v>
      </c>
      <c r="AU7" s="29">
        <f t="shared" ref="AU7:AU20" si="10">AF7/AF$25</f>
        <v>1.9491009506710147E-5</v>
      </c>
      <c r="AV7" s="29"/>
    </row>
    <row r="8" spans="1:48" x14ac:dyDescent="0.2">
      <c r="A8" s="16">
        <v>1</v>
      </c>
      <c r="B8">
        <v>50.815492947970995</v>
      </c>
      <c r="C8">
        <v>50.921573890591269</v>
      </c>
      <c r="D8">
        <v>50.724733984733703</v>
      </c>
      <c r="E8">
        <v>50.747570470290086</v>
      </c>
      <c r="F8">
        <v>50.671384832313244</v>
      </c>
      <c r="G8">
        <v>50.733219125346722</v>
      </c>
      <c r="H8">
        <v>50.694947712616646</v>
      </c>
      <c r="I8">
        <v>50.777276416572583</v>
      </c>
      <c r="J8">
        <v>51.116442765134828</v>
      </c>
      <c r="K8">
        <v>51.256026059095831</v>
      </c>
      <c r="L8">
        <v>51.009702187761619</v>
      </c>
      <c r="M8">
        <v>50.753068132621053</v>
      </c>
      <c r="N8">
        <v>50.651013530954565</v>
      </c>
      <c r="O8">
        <v>660.872452056003</v>
      </c>
      <c r="S8" s="16">
        <v>2</v>
      </c>
      <c r="T8" s="26">
        <v>177.53308665345537</v>
      </c>
      <c r="U8" s="26">
        <v>180.4749129122763</v>
      </c>
      <c r="V8" s="26">
        <v>183.88913668860582</v>
      </c>
      <c r="W8" s="26">
        <v>187.41020054462609</v>
      </c>
      <c r="X8" s="26">
        <v>191.91932304650533</v>
      </c>
      <c r="Y8" s="26">
        <v>197.66906447171459</v>
      </c>
      <c r="Z8" s="26">
        <v>202.23463874649832</v>
      </c>
      <c r="AA8" s="26">
        <v>206.66874293769433</v>
      </c>
      <c r="AB8" s="26">
        <v>211.27726900205994</v>
      </c>
      <c r="AC8" s="26">
        <v>215.88107922781722</v>
      </c>
      <c r="AD8" s="26">
        <v>219.33076815451557</v>
      </c>
      <c r="AE8" s="26">
        <v>222.51844051424001</v>
      </c>
      <c r="AF8" s="26">
        <v>226.64089589433499</v>
      </c>
      <c r="AH8" s="16">
        <v>2</v>
      </c>
      <c r="AI8" s="29">
        <f>T8/T$6</f>
        <v>3.6592601956238706</v>
      </c>
      <c r="AJ8" s="29">
        <f t="shared" ref="AJ8:AJ20" si="11">U8/U$25</f>
        <v>8.1381556201111317E-5</v>
      </c>
      <c r="AK8" s="29">
        <f t="shared" si="0"/>
        <v>8.2428894351474353E-5</v>
      </c>
      <c r="AL8" s="29">
        <f t="shared" si="1"/>
        <v>8.3142140720229981E-5</v>
      </c>
      <c r="AM8" s="29">
        <f t="shared" si="2"/>
        <v>8.4129719018593614E-5</v>
      </c>
      <c r="AN8" s="29">
        <f t="shared" si="3"/>
        <v>8.554769239199465E-5</v>
      </c>
      <c r="AO8" s="29">
        <f t="shared" si="4"/>
        <v>8.6430008704130201E-5</v>
      </c>
      <c r="AP8" s="29">
        <f t="shared" si="5"/>
        <v>8.6939641612187332E-5</v>
      </c>
      <c r="AQ8" s="29">
        <f t="shared" si="6"/>
        <v>8.7355228792395897E-5</v>
      </c>
      <c r="AR8" s="29">
        <f t="shared" si="7"/>
        <v>8.7726616502671335E-5</v>
      </c>
      <c r="AS8" s="29">
        <f t="shared" si="8"/>
        <v>8.7690987268605256E-5</v>
      </c>
      <c r="AT8" s="29">
        <f t="shared" si="9"/>
        <v>8.7519371845577496E-5</v>
      </c>
      <c r="AU8" s="29">
        <f t="shared" si="10"/>
        <v>8.7213651781837046E-5</v>
      </c>
      <c r="AV8" s="29"/>
    </row>
    <row r="9" spans="1:48" x14ac:dyDescent="0.2">
      <c r="A9" s="16">
        <v>2</v>
      </c>
      <c r="B9">
        <v>177.53308665345537</v>
      </c>
      <c r="C9">
        <v>180.4749129122763</v>
      </c>
      <c r="D9">
        <v>183.88913668860582</v>
      </c>
      <c r="E9">
        <v>187.41020054462609</v>
      </c>
      <c r="F9">
        <v>191.91932304650533</v>
      </c>
      <c r="G9">
        <v>197.66906447171459</v>
      </c>
      <c r="H9">
        <v>202.23463874649832</v>
      </c>
      <c r="I9">
        <v>206.66874293769433</v>
      </c>
      <c r="J9">
        <v>211.27726900205994</v>
      </c>
      <c r="K9">
        <v>215.88107922781722</v>
      </c>
      <c r="L9">
        <v>219.33076815451557</v>
      </c>
      <c r="M9">
        <v>222.51844051424001</v>
      </c>
      <c r="N9">
        <v>226.64089589433499</v>
      </c>
      <c r="O9">
        <v>2623.4475587943439</v>
      </c>
      <c r="S9" s="16">
        <v>3</v>
      </c>
      <c r="T9" s="26">
        <v>7446.6843514214688</v>
      </c>
      <c r="U9" s="26">
        <v>7623.0752058020907</v>
      </c>
      <c r="V9" s="26">
        <v>7789.4472295687719</v>
      </c>
      <c r="W9" s="26">
        <v>7948.7739316163415</v>
      </c>
      <c r="X9" s="26">
        <v>8125.1819071177015</v>
      </c>
      <c r="Y9" s="26">
        <v>8373.7837951015372</v>
      </c>
      <c r="Z9" s="26">
        <v>8528.449098638026</v>
      </c>
      <c r="AA9" s="26">
        <v>8652.7408619620837</v>
      </c>
      <c r="AB9" s="26">
        <v>8791.8309440805333</v>
      </c>
      <c r="AC9" s="26">
        <v>8899.5491214479862</v>
      </c>
      <c r="AD9" s="26">
        <v>9020.5811730685327</v>
      </c>
      <c r="AE9" s="26">
        <v>9019.4760958103525</v>
      </c>
      <c r="AF9" s="26">
        <v>9059.8856706664756</v>
      </c>
      <c r="AH9" s="16">
        <v>3</v>
      </c>
      <c r="AI9" s="29">
        <f>T9/T$6</f>
        <v>153.4888856504956</v>
      </c>
      <c r="AJ9" s="29">
        <f t="shared" si="11"/>
        <v>3.4374734597479983E-3</v>
      </c>
      <c r="AK9" s="29">
        <f t="shared" si="0"/>
        <v>3.4916446632178538E-3</v>
      </c>
      <c r="AL9" s="29">
        <f t="shared" si="1"/>
        <v>3.5263719843166884E-3</v>
      </c>
      <c r="AM9" s="29">
        <f t="shared" si="2"/>
        <v>3.5617532407361207E-3</v>
      </c>
      <c r="AN9" s="29">
        <f t="shared" si="3"/>
        <v>3.6240262591161446E-3</v>
      </c>
      <c r="AO9" s="29">
        <f t="shared" si="4"/>
        <v>3.6448450888375769E-3</v>
      </c>
      <c r="AP9" s="29">
        <f t="shared" si="5"/>
        <v>3.6399611223691558E-3</v>
      </c>
      <c r="AQ9" s="29">
        <f t="shared" si="6"/>
        <v>3.6350924415665983E-3</v>
      </c>
      <c r="AR9" s="29">
        <f t="shared" si="7"/>
        <v>3.6164694729919292E-3</v>
      </c>
      <c r="AS9" s="29">
        <f t="shared" si="8"/>
        <v>3.6065330708444313E-3</v>
      </c>
      <c r="AT9" s="29">
        <f t="shared" si="9"/>
        <v>3.5474762471697607E-3</v>
      </c>
      <c r="AU9" s="29">
        <f t="shared" si="10"/>
        <v>3.4863333510345134E-3</v>
      </c>
      <c r="AV9" s="29"/>
    </row>
    <row r="10" spans="1:48" x14ac:dyDescent="0.2">
      <c r="A10" s="16">
        <v>3</v>
      </c>
      <c r="B10">
        <v>7446.6843514214688</v>
      </c>
      <c r="C10">
        <v>7623.0752058020907</v>
      </c>
      <c r="D10">
        <v>7789.4472295687719</v>
      </c>
      <c r="E10">
        <v>7948.7739316163415</v>
      </c>
      <c r="F10">
        <v>8125.1819071177015</v>
      </c>
      <c r="G10">
        <v>8373.7837951015372</v>
      </c>
      <c r="H10">
        <v>8528.449098638026</v>
      </c>
      <c r="I10">
        <v>8652.7408619620837</v>
      </c>
      <c r="J10">
        <v>8791.8309440805333</v>
      </c>
      <c r="K10">
        <v>8899.5491214479862</v>
      </c>
      <c r="L10">
        <v>9020.5811730685327</v>
      </c>
      <c r="M10">
        <v>9019.4760958103525</v>
      </c>
      <c r="N10">
        <v>9059.8856706664756</v>
      </c>
      <c r="O10">
        <v>109279.45938630193</v>
      </c>
      <c r="S10" s="16">
        <v>4</v>
      </c>
      <c r="T10" s="26">
        <v>1037.0799731721438</v>
      </c>
      <c r="U10" s="26">
        <v>1048.6343369551334</v>
      </c>
      <c r="V10" s="26">
        <v>1060.7099801187512</v>
      </c>
      <c r="W10" s="26">
        <v>1072.3030564910189</v>
      </c>
      <c r="X10" s="26">
        <v>1084.6176221772241</v>
      </c>
      <c r="Y10" s="26">
        <v>1098.1905127748828</v>
      </c>
      <c r="Z10" s="26">
        <v>1114.7344974198313</v>
      </c>
      <c r="AA10" s="26">
        <v>1127.1758898594737</v>
      </c>
      <c r="AB10" s="26">
        <v>1139.2226106617893</v>
      </c>
      <c r="AC10" s="26">
        <v>1146.7322510105575</v>
      </c>
      <c r="AD10" s="26">
        <v>1150.6748990630283</v>
      </c>
      <c r="AE10" s="26">
        <v>1150.4289591809668</v>
      </c>
      <c r="AF10" s="26">
        <v>1145.7095325371276</v>
      </c>
      <c r="AH10" s="16">
        <v>4</v>
      </c>
      <c r="AI10" s="29">
        <f t="shared" ref="AI10:AI20" si="12">T10/T$6</f>
        <v>21.375989890353406</v>
      </c>
      <c r="AJ10" s="29">
        <f t="shared" si="11"/>
        <v>4.7286070318709831E-4</v>
      </c>
      <c r="AK10" s="29">
        <f t="shared" si="0"/>
        <v>4.7546664508420937E-4</v>
      </c>
      <c r="AL10" s="29">
        <f t="shared" si="1"/>
        <v>4.7571354898731769E-4</v>
      </c>
      <c r="AM10" s="29">
        <f t="shared" si="2"/>
        <v>4.7545278061591486E-4</v>
      </c>
      <c r="AN10" s="29">
        <f t="shared" si="3"/>
        <v>4.7527752724360145E-4</v>
      </c>
      <c r="AO10" s="29">
        <f t="shared" si="4"/>
        <v>4.7640954542688824E-4</v>
      </c>
      <c r="AP10" s="29">
        <f t="shared" si="5"/>
        <v>4.7417072608713019E-4</v>
      </c>
      <c r="AQ10" s="29">
        <f t="shared" si="6"/>
        <v>4.7102583382437074E-4</v>
      </c>
      <c r="AR10" s="29">
        <f t="shared" si="7"/>
        <v>4.6599239162357128E-4</v>
      </c>
      <c r="AS10" s="29">
        <f t="shared" si="8"/>
        <v>4.6005318256558644E-4</v>
      </c>
      <c r="AT10" s="29">
        <f t="shared" si="9"/>
        <v>4.5247854347620428E-4</v>
      </c>
      <c r="AU10" s="29">
        <f t="shared" si="10"/>
        <v>4.408803266485938E-4</v>
      </c>
      <c r="AV10" s="29"/>
    </row>
    <row r="11" spans="1:48" x14ac:dyDescent="0.2">
      <c r="A11" s="16">
        <v>4</v>
      </c>
      <c r="B11">
        <v>1037.0799731721438</v>
      </c>
      <c r="C11">
        <v>1048.6343369551334</v>
      </c>
      <c r="D11">
        <v>1060.7099801187512</v>
      </c>
      <c r="E11">
        <v>1072.3030564910189</v>
      </c>
      <c r="F11">
        <v>1084.6176221772241</v>
      </c>
      <c r="G11">
        <v>1098.1905127748828</v>
      </c>
      <c r="H11">
        <v>1114.7344974198313</v>
      </c>
      <c r="I11">
        <v>1127.1758898594737</v>
      </c>
      <c r="J11">
        <v>1139.2226106617893</v>
      </c>
      <c r="K11">
        <v>1146.7322510105575</v>
      </c>
      <c r="L11">
        <v>1150.6748990630283</v>
      </c>
      <c r="M11">
        <v>1150.4289591809668</v>
      </c>
      <c r="N11">
        <v>1145.7095325371276</v>
      </c>
      <c r="O11">
        <v>14376.214121421928</v>
      </c>
      <c r="S11" s="16">
        <v>5</v>
      </c>
      <c r="T11" s="26">
        <v>19.466166647679717</v>
      </c>
      <c r="U11" s="26">
        <v>19.382729802843002</v>
      </c>
      <c r="V11" s="26">
        <v>19.352618241186363</v>
      </c>
      <c r="W11" s="26">
        <v>19.396158597337472</v>
      </c>
      <c r="X11" s="26">
        <v>19.452383503141427</v>
      </c>
      <c r="Y11" s="26">
        <v>19.670459220097957</v>
      </c>
      <c r="Z11" s="26">
        <v>19.844378180103856</v>
      </c>
      <c r="AA11" s="26">
        <v>20.077056520419376</v>
      </c>
      <c r="AB11" s="26">
        <v>20.261977308801409</v>
      </c>
      <c r="AC11" s="26">
        <v>20.381885302613483</v>
      </c>
      <c r="AD11" s="26">
        <v>20.616988792498837</v>
      </c>
      <c r="AE11" s="26">
        <v>20.9628974684667</v>
      </c>
      <c r="AF11" s="26">
        <v>21.369835681545222</v>
      </c>
      <c r="AH11" s="16">
        <v>5</v>
      </c>
      <c r="AI11" s="29">
        <f t="shared" si="12"/>
        <v>0.40123094865285464</v>
      </c>
      <c r="AJ11" s="29">
        <f t="shared" si="11"/>
        <v>8.7402547496878442E-6</v>
      </c>
      <c r="AK11" s="29">
        <f t="shared" si="0"/>
        <v>8.6748730955677459E-6</v>
      </c>
      <c r="AL11" s="29">
        <f t="shared" si="1"/>
        <v>8.6048579151257534E-6</v>
      </c>
      <c r="AM11" s="29">
        <f t="shared" si="2"/>
        <v>8.5271432411454276E-6</v>
      </c>
      <c r="AN11" s="29">
        <f t="shared" si="3"/>
        <v>8.513028576664355E-6</v>
      </c>
      <c r="AO11" s="29">
        <f t="shared" si="4"/>
        <v>8.4809891592526487E-6</v>
      </c>
      <c r="AP11" s="29">
        <f t="shared" si="5"/>
        <v>8.4458446579854273E-6</v>
      </c>
      <c r="AQ11" s="29">
        <f t="shared" si="6"/>
        <v>8.3775678848793913E-6</v>
      </c>
      <c r="AR11" s="29">
        <f t="shared" si="7"/>
        <v>8.2824944267436769E-6</v>
      </c>
      <c r="AS11" s="29">
        <f t="shared" si="8"/>
        <v>8.2429114571209392E-6</v>
      </c>
      <c r="AT11" s="29">
        <f t="shared" si="9"/>
        <v>8.2449778735800714E-6</v>
      </c>
      <c r="AU11" s="29">
        <f t="shared" si="10"/>
        <v>8.2233235110148832E-6</v>
      </c>
      <c r="AV11" s="29"/>
    </row>
    <row r="12" spans="1:48" x14ac:dyDescent="0.2">
      <c r="A12" s="16">
        <v>5</v>
      </c>
      <c r="B12">
        <v>19.466166647679717</v>
      </c>
      <c r="C12">
        <v>19.382729802843002</v>
      </c>
      <c r="D12">
        <v>19.352618241186363</v>
      </c>
      <c r="E12">
        <v>19.396158597337472</v>
      </c>
      <c r="F12">
        <v>19.452383503141427</v>
      </c>
      <c r="G12">
        <v>19.670459220097957</v>
      </c>
      <c r="H12">
        <v>19.844378180103856</v>
      </c>
      <c r="I12">
        <v>20.077056520419376</v>
      </c>
      <c r="J12">
        <v>20.261977308801409</v>
      </c>
      <c r="K12">
        <v>20.381885302613483</v>
      </c>
      <c r="L12">
        <v>20.616988792498837</v>
      </c>
      <c r="M12">
        <v>20.9628974684667</v>
      </c>
      <c r="N12">
        <v>21.369835681545222</v>
      </c>
      <c r="O12">
        <v>260.23553526673481</v>
      </c>
      <c r="S12" s="16">
        <v>6</v>
      </c>
      <c r="T12" s="26">
        <v>36.259808795243387</v>
      </c>
      <c r="U12" s="26">
        <v>36.102938697156191</v>
      </c>
      <c r="V12" s="26">
        <v>35.706000573355666</v>
      </c>
      <c r="W12" s="26">
        <v>35.565997874177107</v>
      </c>
      <c r="X12" s="26">
        <v>35.392092096018658</v>
      </c>
      <c r="Y12" s="26">
        <v>35.40545873695774</v>
      </c>
      <c r="Z12" s="26">
        <v>35.244603517753873</v>
      </c>
      <c r="AA12" s="26">
        <v>35.39494480168684</v>
      </c>
      <c r="AB12" s="26">
        <v>35.443115946005015</v>
      </c>
      <c r="AC12" s="26">
        <v>35.465944720934978</v>
      </c>
      <c r="AD12" s="26">
        <v>34.872009971130112</v>
      </c>
      <c r="AE12" s="26">
        <v>34.712924592080761</v>
      </c>
      <c r="AF12" s="26">
        <v>34.300658082249335</v>
      </c>
      <c r="AH12" s="16">
        <v>6</v>
      </c>
      <c r="AI12" s="29">
        <f t="shared" si="12"/>
        <v>0.74737660188585464</v>
      </c>
      <c r="AJ12" s="29">
        <f t="shared" si="11"/>
        <v>1.6279898891188417E-5</v>
      </c>
      <c r="AK12" s="29">
        <f t="shared" si="0"/>
        <v>1.6005329091075039E-5</v>
      </c>
      <c r="AL12" s="29">
        <f t="shared" si="1"/>
        <v>1.5778400490031519E-5</v>
      </c>
      <c r="AM12" s="29">
        <f t="shared" si="2"/>
        <v>1.5514470957136151E-5</v>
      </c>
      <c r="AN12" s="29">
        <f t="shared" si="3"/>
        <v>1.532285945259853E-5</v>
      </c>
      <c r="AO12" s="29">
        <f t="shared" si="4"/>
        <v>1.5062658937628853E-5</v>
      </c>
      <c r="AP12" s="29">
        <f t="shared" si="5"/>
        <v>1.4889643069390111E-5</v>
      </c>
      <c r="AQ12" s="29">
        <f t="shared" si="6"/>
        <v>1.4654399487473953E-5</v>
      </c>
      <c r="AR12" s="29">
        <f t="shared" si="7"/>
        <v>1.4412135341212885E-5</v>
      </c>
      <c r="AS12" s="29">
        <f t="shared" si="8"/>
        <v>1.3942234407599184E-5</v>
      </c>
      <c r="AT12" s="29">
        <f t="shared" si="9"/>
        <v>1.3653040836529628E-5</v>
      </c>
      <c r="AU12" s="29">
        <f t="shared" si="10"/>
        <v>1.319923148939477E-5</v>
      </c>
      <c r="AV12" s="29"/>
    </row>
    <row r="13" spans="1:48" x14ac:dyDescent="0.2">
      <c r="A13" s="16">
        <v>6</v>
      </c>
      <c r="B13">
        <v>36.259808795243387</v>
      </c>
      <c r="C13">
        <v>36.102938697156191</v>
      </c>
      <c r="D13">
        <v>35.706000573355666</v>
      </c>
      <c r="E13">
        <v>35.565997874177107</v>
      </c>
      <c r="F13">
        <v>35.392092096018658</v>
      </c>
      <c r="G13">
        <v>35.40545873695774</v>
      </c>
      <c r="H13">
        <v>35.244603517753873</v>
      </c>
      <c r="I13">
        <v>35.39494480168684</v>
      </c>
      <c r="J13">
        <v>35.443115946005015</v>
      </c>
      <c r="K13">
        <v>35.465944720934978</v>
      </c>
      <c r="L13">
        <v>34.872009971130112</v>
      </c>
      <c r="M13">
        <v>34.712924592080761</v>
      </c>
      <c r="N13">
        <v>34.300658082249335</v>
      </c>
      <c r="O13">
        <v>459.86649840474973</v>
      </c>
      <c r="S13" s="16">
        <v>7</v>
      </c>
      <c r="T13" s="26">
        <v>66.546226796897486</v>
      </c>
      <c r="U13" s="26">
        <v>66.688918836600919</v>
      </c>
      <c r="V13" s="26">
        <v>66.892943419685665</v>
      </c>
      <c r="W13" s="26">
        <v>66.992243728017286</v>
      </c>
      <c r="X13" s="26">
        <v>67.11824664027003</v>
      </c>
      <c r="Y13" s="26">
        <v>67.778301630944981</v>
      </c>
      <c r="Z13" s="26">
        <v>68.477158842942799</v>
      </c>
      <c r="AA13" s="26">
        <v>69.071709008373773</v>
      </c>
      <c r="AB13" s="26">
        <v>69.546097456159742</v>
      </c>
      <c r="AC13" s="26">
        <v>69.879462776987367</v>
      </c>
      <c r="AD13" s="26">
        <v>70.224093258844192</v>
      </c>
      <c r="AE13" s="26">
        <v>70.625049545847119</v>
      </c>
      <c r="AF13" s="26">
        <v>70.671361874522802</v>
      </c>
      <c r="AH13" s="16">
        <v>7</v>
      </c>
      <c r="AI13" s="29">
        <f t="shared" si="12"/>
        <v>1.371631415174891</v>
      </c>
      <c r="AJ13" s="29">
        <f t="shared" si="11"/>
        <v>3.0072035546182638E-5</v>
      </c>
      <c r="AK13" s="29">
        <f t="shared" si="0"/>
        <v>2.9984976085550768E-5</v>
      </c>
      <c r="AL13" s="29">
        <f t="shared" si="1"/>
        <v>2.9720252894518722E-5</v>
      </c>
      <c r="AM13" s="29">
        <f t="shared" si="2"/>
        <v>2.9421942205883591E-5</v>
      </c>
      <c r="AN13" s="29">
        <f t="shared" si="3"/>
        <v>2.9333256138345378E-5</v>
      </c>
      <c r="AO13" s="29">
        <f t="shared" si="4"/>
        <v>2.9265418978241829E-5</v>
      </c>
      <c r="AP13" s="29">
        <f t="shared" si="5"/>
        <v>2.9056496601131847E-5</v>
      </c>
      <c r="AQ13" s="29">
        <f t="shared" si="6"/>
        <v>2.8754703634690887E-5</v>
      </c>
      <c r="AR13" s="29">
        <f t="shared" si="7"/>
        <v>2.8396600824754228E-5</v>
      </c>
      <c r="AS13" s="29">
        <f t="shared" si="8"/>
        <v>2.8076407700229327E-5</v>
      </c>
      <c r="AT13" s="29">
        <f t="shared" si="9"/>
        <v>2.7777742638007444E-5</v>
      </c>
      <c r="AU13" s="29">
        <f t="shared" si="10"/>
        <v>2.719503698196812E-5</v>
      </c>
      <c r="AV13" s="29"/>
    </row>
    <row r="14" spans="1:48" x14ac:dyDescent="0.2">
      <c r="A14" s="16">
        <v>7</v>
      </c>
      <c r="B14">
        <v>66.546226796897486</v>
      </c>
      <c r="C14">
        <v>66.688918836600919</v>
      </c>
      <c r="D14">
        <v>66.892943419685665</v>
      </c>
      <c r="E14">
        <v>66.992243728017286</v>
      </c>
      <c r="F14">
        <v>67.11824664027003</v>
      </c>
      <c r="G14">
        <v>67.778301630944981</v>
      </c>
      <c r="H14">
        <v>68.477158842942799</v>
      </c>
      <c r="I14">
        <v>69.071709008373773</v>
      </c>
      <c r="J14">
        <v>69.546097456159742</v>
      </c>
      <c r="K14">
        <v>69.879462776987367</v>
      </c>
      <c r="L14">
        <v>70.224093258844192</v>
      </c>
      <c r="M14">
        <v>70.625049545847119</v>
      </c>
      <c r="N14">
        <v>70.671361874522802</v>
      </c>
      <c r="O14">
        <v>890.51181381609399</v>
      </c>
      <c r="S14" s="16">
        <v>8</v>
      </c>
      <c r="T14" s="26">
        <v>46.573479942557441</v>
      </c>
      <c r="U14" s="26">
        <v>46.537550422238951</v>
      </c>
      <c r="V14" s="26">
        <v>46.553769695260115</v>
      </c>
      <c r="W14" s="26">
        <v>46.613076889742331</v>
      </c>
      <c r="X14" s="26">
        <v>46.636419430873367</v>
      </c>
      <c r="Y14" s="26">
        <v>46.680966845312213</v>
      </c>
      <c r="Z14" s="26">
        <v>46.653752159374832</v>
      </c>
      <c r="AA14" s="26">
        <v>46.72797647006535</v>
      </c>
      <c r="AB14" s="26">
        <v>46.830691315082596</v>
      </c>
      <c r="AC14" s="26">
        <v>46.826133854623727</v>
      </c>
      <c r="AD14" s="26">
        <v>46.90586453825037</v>
      </c>
      <c r="AE14" s="26">
        <v>47.336591925992046</v>
      </c>
      <c r="AF14" s="26">
        <v>47.282337554124936</v>
      </c>
      <c r="AH14" s="16">
        <v>8</v>
      </c>
      <c r="AI14" s="29">
        <f t="shared" si="12"/>
        <v>0.95995898307201621</v>
      </c>
      <c r="AJ14" s="29">
        <f t="shared" si="11"/>
        <v>2.0985178571552425E-5</v>
      </c>
      <c r="AK14" s="29">
        <f t="shared" si="0"/>
        <v>2.086787633557495E-5</v>
      </c>
      <c r="AL14" s="29">
        <f t="shared" si="1"/>
        <v>2.0679295934305459E-5</v>
      </c>
      <c r="AM14" s="29">
        <f t="shared" si="2"/>
        <v>2.0443532211719621E-5</v>
      </c>
      <c r="AN14" s="29">
        <f t="shared" si="3"/>
        <v>2.0202700928020589E-5</v>
      </c>
      <c r="AO14" s="29">
        <f t="shared" si="4"/>
        <v>1.993864270833237E-5</v>
      </c>
      <c r="AP14" s="29">
        <f t="shared" si="5"/>
        <v>1.9657126035720623E-5</v>
      </c>
      <c r="AQ14" s="29">
        <f t="shared" si="6"/>
        <v>1.936273492012632E-5</v>
      </c>
      <c r="AR14" s="29">
        <f t="shared" si="7"/>
        <v>1.9028523952450252E-5</v>
      </c>
      <c r="AS14" s="29">
        <f t="shared" si="8"/>
        <v>1.8753509161783117E-5</v>
      </c>
      <c r="AT14" s="29">
        <f t="shared" si="9"/>
        <v>1.8618091970710792E-5</v>
      </c>
      <c r="AU14" s="29">
        <f t="shared" si="10"/>
        <v>1.8194709770293502E-5</v>
      </c>
      <c r="AV14" s="29"/>
    </row>
    <row r="15" spans="1:48" x14ac:dyDescent="0.2">
      <c r="A15" s="16">
        <v>8</v>
      </c>
      <c r="B15">
        <v>46.573479942557441</v>
      </c>
      <c r="C15">
        <v>46.537550422238951</v>
      </c>
      <c r="D15">
        <v>46.553769695260115</v>
      </c>
      <c r="E15">
        <v>46.613076889742331</v>
      </c>
      <c r="F15">
        <v>46.636419430873367</v>
      </c>
      <c r="G15">
        <v>46.680966845312213</v>
      </c>
      <c r="H15">
        <v>46.653752159374832</v>
      </c>
      <c r="I15">
        <v>46.72797647006535</v>
      </c>
      <c r="J15">
        <v>46.830691315082596</v>
      </c>
      <c r="K15">
        <v>46.826133854623727</v>
      </c>
      <c r="L15">
        <v>46.90586453825037</v>
      </c>
      <c r="M15">
        <v>47.336591925992046</v>
      </c>
      <c r="N15">
        <v>47.282337554124936</v>
      </c>
      <c r="O15">
        <v>608.15861104349835</v>
      </c>
      <c r="S15" s="16">
        <v>9</v>
      </c>
      <c r="T15" s="26">
        <v>55.43206006474017</v>
      </c>
      <c r="U15" s="26">
        <v>55.557973329065753</v>
      </c>
      <c r="V15" s="26">
        <v>55.879840343636275</v>
      </c>
      <c r="W15" s="26">
        <v>56.371242490928914</v>
      </c>
      <c r="X15" s="26">
        <v>56.546954512460083</v>
      </c>
      <c r="Y15" s="26">
        <v>57.062477477948008</v>
      </c>
      <c r="Z15" s="26">
        <v>57.680339680214892</v>
      </c>
      <c r="AA15" s="26">
        <v>58.0750024482859</v>
      </c>
      <c r="AB15" s="26">
        <v>58.726662662759431</v>
      </c>
      <c r="AC15" s="26">
        <v>58.77225417783459</v>
      </c>
      <c r="AD15" s="26">
        <v>59.124557199824174</v>
      </c>
      <c r="AE15" s="26">
        <v>59.997741938191439</v>
      </c>
      <c r="AF15" s="26">
        <v>60.689688624065887</v>
      </c>
      <c r="AH15" s="16">
        <v>9</v>
      </c>
      <c r="AI15" s="29">
        <f t="shared" si="12"/>
        <v>1.142549452498844</v>
      </c>
      <c r="AJ15" s="29">
        <f t="shared" si="11"/>
        <v>2.5052758058938247E-5</v>
      </c>
      <c r="AK15" s="29">
        <f t="shared" si="0"/>
        <v>2.5048317366690068E-5</v>
      </c>
      <c r="AL15" s="29">
        <f t="shared" si="1"/>
        <v>2.500838141218996E-5</v>
      </c>
      <c r="AM15" s="29">
        <f t="shared" si="2"/>
        <v>2.4787912540404757E-5</v>
      </c>
      <c r="AN15" s="29">
        <f t="shared" si="3"/>
        <v>2.469563602911241E-5</v>
      </c>
      <c r="AO15" s="29">
        <f t="shared" si="4"/>
        <v>2.4651129457932589E-5</v>
      </c>
      <c r="AP15" s="29">
        <f t="shared" si="5"/>
        <v>2.4430496008789466E-5</v>
      </c>
      <c r="AQ15" s="29">
        <f t="shared" si="6"/>
        <v>2.4281273027384626E-5</v>
      </c>
      <c r="AR15" s="29">
        <f t="shared" si="7"/>
        <v>2.3883014767660376E-5</v>
      </c>
      <c r="AS15" s="29">
        <f t="shared" si="8"/>
        <v>2.363868433187249E-5</v>
      </c>
      <c r="AT15" s="29">
        <f t="shared" si="9"/>
        <v>2.359788552557082E-5</v>
      </c>
      <c r="AU15" s="29">
        <f t="shared" si="10"/>
        <v>2.3353990679930507E-5</v>
      </c>
      <c r="AV15" s="29"/>
    </row>
    <row r="16" spans="1:48" x14ac:dyDescent="0.2">
      <c r="A16" s="16">
        <v>9</v>
      </c>
      <c r="B16">
        <v>55.43206006474017</v>
      </c>
      <c r="C16">
        <v>55.557973329065753</v>
      </c>
      <c r="D16">
        <v>55.879840343636275</v>
      </c>
      <c r="E16">
        <v>56.371242490928914</v>
      </c>
      <c r="F16">
        <v>56.546954512460083</v>
      </c>
      <c r="G16">
        <v>57.062477477948008</v>
      </c>
      <c r="H16">
        <v>57.680339680214892</v>
      </c>
      <c r="I16">
        <v>58.0750024482859</v>
      </c>
      <c r="J16">
        <v>58.726662662759431</v>
      </c>
      <c r="K16">
        <v>58.77225417783459</v>
      </c>
      <c r="L16">
        <v>59.124557199824174</v>
      </c>
      <c r="M16">
        <v>59.997741938191439</v>
      </c>
      <c r="N16">
        <v>60.689688624065887</v>
      </c>
      <c r="O16">
        <v>749.91679494995549</v>
      </c>
      <c r="S16" s="16">
        <v>10</v>
      </c>
      <c r="T16" s="26">
        <v>64.5529074340715</v>
      </c>
      <c r="U16" s="26">
        <v>64.216355813473541</v>
      </c>
      <c r="V16" s="26">
        <v>64.51945526282887</v>
      </c>
      <c r="W16" s="26">
        <v>64.562959786266362</v>
      </c>
      <c r="X16" s="26">
        <v>64.418539914997041</v>
      </c>
      <c r="Y16" s="26">
        <v>64.620211120490552</v>
      </c>
      <c r="Z16" s="26">
        <v>65.599354782470144</v>
      </c>
      <c r="AA16" s="26">
        <v>66.003301374989945</v>
      </c>
      <c r="AB16" s="26">
        <v>66.613612124355299</v>
      </c>
      <c r="AC16" s="26">
        <v>67.308247627759272</v>
      </c>
      <c r="AD16" s="26">
        <v>67.208078095665712</v>
      </c>
      <c r="AE16" s="26">
        <v>68.128057772534618</v>
      </c>
      <c r="AF16" s="26">
        <v>68.538981049038341</v>
      </c>
      <c r="AH16" s="16">
        <v>10</v>
      </c>
      <c r="AI16" s="29">
        <f t="shared" si="12"/>
        <v>1.3305456979204306</v>
      </c>
      <c r="AJ16" s="29">
        <f t="shared" si="11"/>
        <v>2.8957082651177014E-5</v>
      </c>
      <c r="AK16" s="29">
        <f t="shared" si="0"/>
        <v>2.8921052419100998E-5</v>
      </c>
      <c r="AL16" s="29">
        <f t="shared" si="1"/>
        <v>2.8642532115460298E-5</v>
      </c>
      <c r="AM16" s="29">
        <f t="shared" si="2"/>
        <v>2.8238499264211753E-5</v>
      </c>
      <c r="AN16" s="29">
        <f t="shared" si="3"/>
        <v>2.7966490143593111E-5</v>
      </c>
      <c r="AO16" s="29">
        <f t="shared" si="4"/>
        <v>2.8035517752926939E-5</v>
      </c>
      <c r="AP16" s="29">
        <f t="shared" si="5"/>
        <v>2.7765705085324767E-5</v>
      </c>
      <c r="AQ16" s="29">
        <f t="shared" si="6"/>
        <v>2.754223090489796E-5</v>
      </c>
      <c r="AR16" s="29">
        <f t="shared" si="7"/>
        <v>2.7351747768854147E-5</v>
      </c>
      <c r="AS16" s="29">
        <f t="shared" si="8"/>
        <v>2.6870569825764385E-5</v>
      </c>
      <c r="AT16" s="29">
        <f t="shared" si="9"/>
        <v>2.6795643576919069E-5</v>
      </c>
      <c r="AU16" s="29">
        <f t="shared" si="10"/>
        <v>2.6374475811636475E-5</v>
      </c>
      <c r="AV16" s="29"/>
    </row>
    <row r="17" spans="1:63" x14ac:dyDescent="0.2">
      <c r="A17" s="16">
        <v>10</v>
      </c>
      <c r="B17">
        <v>64.5529074340715</v>
      </c>
      <c r="C17">
        <v>64.216355813473541</v>
      </c>
      <c r="D17">
        <v>64.51945526282887</v>
      </c>
      <c r="E17">
        <v>64.562959786266362</v>
      </c>
      <c r="F17">
        <v>64.418539914997041</v>
      </c>
      <c r="G17">
        <v>64.620211120490552</v>
      </c>
      <c r="H17">
        <v>65.599354782470144</v>
      </c>
      <c r="I17">
        <v>66.003301374989945</v>
      </c>
      <c r="J17">
        <v>66.613612124355299</v>
      </c>
      <c r="K17">
        <v>67.308247627759272</v>
      </c>
      <c r="L17">
        <v>67.208078095665712</v>
      </c>
      <c r="M17">
        <v>68.128057772534618</v>
      </c>
      <c r="N17">
        <v>68.538981049038341</v>
      </c>
      <c r="O17">
        <v>856.29006215894128</v>
      </c>
      <c r="S17" s="16">
        <v>11</v>
      </c>
      <c r="T17" s="26">
        <v>77.841245278340821</v>
      </c>
      <c r="U17" s="26">
        <v>78.102432015239259</v>
      </c>
      <c r="V17" s="26">
        <v>78.132060522078319</v>
      </c>
      <c r="W17" s="26">
        <v>78.264995271058723</v>
      </c>
      <c r="X17" s="26">
        <v>78.323758714902823</v>
      </c>
      <c r="Y17" s="26">
        <v>78.78255992029186</v>
      </c>
      <c r="Z17" s="26">
        <v>79.578132684287382</v>
      </c>
      <c r="AA17" s="26">
        <v>80.421728552270352</v>
      </c>
      <c r="AB17" s="26">
        <v>81.377730937156599</v>
      </c>
      <c r="AC17" s="26">
        <v>82.04625328872703</v>
      </c>
      <c r="AD17" s="26">
        <v>82.836799628532731</v>
      </c>
      <c r="AE17" s="26">
        <v>83.443050149073187</v>
      </c>
      <c r="AF17" s="26">
        <v>83.825155372363056</v>
      </c>
      <c r="AH17" s="16">
        <v>11</v>
      </c>
      <c r="AI17" s="29">
        <f t="shared" si="12"/>
        <v>1.6044410413526891</v>
      </c>
      <c r="AJ17" s="29">
        <f t="shared" si="11"/>
        <v>3.5218731279184418E-5</v>
      </c>
      <c r="AK17" s="29">
        <f t="shared" si="0"/>
        <v>3.5022946315438612E-5</v>
      </c>
      <c r="AL17" s="29">
        <f t="shared" si="1"/>
        <v>3.4721265071935208E-5</v>
      </c>
      <c r="AM17" s="29">
        <f t="shared" si="2"/>
        <v>3.4333988410162241E-5</v>
      </c>
      <c r="AN17" s="29">
        <f t="shared" si="3"/>
        <v>3.4095705465735259E-5</v>
      </c>
      <c r="AO17" s="29">
        <f t="shared" si="4"/>
        <v>3.4009696574200141E-5</v>
      </c>
      <c r="AP17" s="29">
        <f t="shared" si="5"/>
        <v>3.3831125881841106E-5</v>
      </c>
      <c r="AQ17" s="29">
        <f t="shared" si="6"/>
        <v>3.3646640446455407E-5</v>
      </c>
      <c r="AR17" s="29">
        <f t="shared" si="7"/>
        <v>3.3340764385125165E-5</v>
      </c>
      <c r="AS17" s="29">
        <f t="shared" si="8"/>
        <v>3.3119114124837468E-5</v>
      </c>
      <c r="AT17" s="29">
        <f t="shared" si="9"/>
        <v>3.281922755277696E-5</v>
      </c>
      <c r="AU17" s="29">
        <f t="shared" si="10"/>
        <v>3.2256746437377604E-5</v>
      </c>
      <c r="AV17" s="29"/>
    </row>
    <row r="18" spans="1:63" x14ac:dyDescent="0.2">
      <c r="A18" s="16">
        <v>11</v>
      </c>
      <c r="B18">
        <v>77.841245278340821</v>
      </c>
      <c r="C18">
        <v>78.102432015239259</v>
      </c>
      <c r="D18">
        <v>78.132060522078319</v>
      </c>
      <c r="E18">
        <v>78.264995271058723</v>
      </c>
      <c r="F18">
        <v>78.323758714902823</v>
      </c>
      <c r="G18">
        <v>78.78255992029186</v>
      </c>
      <c r="H18">
        <v>79.578132684287382</v>
      </c>
      <c r="I18">
        <v>80.421728552270352</v>
      </c>
      <c r="J18">
        <v>81.377730937156599</v>
      </c>
      <c r="K18">
        <v>82.04625328872703</v>
      </c>
      <c r="L18">
        <v>82.836799628532731</v>
      </c>
      <c r="M18">
        <v>83.443050149073187</v>
      </c>
      <c r="N18">
        <v>83.825155372363056</v>
      </c>
      <c r="O18">
        <v>1042.9759023343222</v>
      </c>
      <c r="S18" s="16">
        <v>12</v>
      </c>
      <c r="T18" s="26">
        <v>102.41759630459023</v>
      </c>
      <c r="U18" s="26">
        <v>102.47302192585002</v>
      </c>
      <c r="V18" s="26">
        <v>103.09965000177654</v>
      </c>
      <c r="W18" s="26">
        <v>104.06182765088766</v>
      </c>
      <c r="X18" s="26">
        <v>105.36676803009713</v>
      </c>
      <c r="Y18" s="26">
        <v>107.03865368204686</v>
      </c>
      <c r="Z18" s="26">
        <v>108.1109529851669</v>
      </c>
      <c r="AA18" s="26">
        <v>109.04529121249578</v>
      </c>
      <c r="AB18" s="26">
        <v>109.31600744772612</v>
      </c>
      <c r="AC18" s="26">
        <v>109.66841792236696</v>
      </c>
      <c r="AD18" s="26">
        <v>109.97514214026759</v>
      </c>
      <c r="AE18" s="26">
        <v>110.06930387451482</v>
      </c>
      <c r="AF18" s="26">
        <v>108.5330239856354</v>
      </c>
      <c r="AH18" s="16">
        <v>12</v>
      </c>
      <c r="AI18" s="29">
        <f t="shared" si="12"/>
        <v>2.1110016197736581</v>
      </c>
      <c r="AJ18" s="29">
        <f t="shared" si="11"/>
        <v>4.620816189012279E-5</v>
      </c>
      <c r="AK18" s="29">
        <f t="shared" si="0"/>
        <v>4.6214748248350448E-5</v>
      </c>
      <c r="AL18" s="29">
        <f t="shared" si="1"/>
        <v>4.6165700122039129E-5</v>
      </c>
      <c r="AM18" s="29">
        <f t="shared" si="2"/>
        <v>4.6188556980900724E-5</v>
      </c>
      <c r="AN18" s="29">
        <f t="shared" si="3"/>
        <v>4.6324445576334963E-5</v>
      </c>
      <c r="AO18" s="29">
        <f t="shared" si="4"/>
        <v>4.6203907824280069E-5</v>
      </c>
      <c r="AP18" s="29">
        <f t="shared" si="5"/>
        <v>4.5872241746634535E-5</v>
      </c>
      <c r="AQ18" s="29">
        <f t="shared" si="6"/>
        <v>4.5198070224839307E-5</v>
      </c>
      <c r="AR18" s="29">
        <f t="shared" si="7"/>
        <v>4.4565458334481436E-5</v>
      </c>
      <c r="AS18" s="29">
        <f t="shared" si="8"/>
        <v>4.3969338503804047E-5</v>
      </c>
      <c r="AT18" s="29">
        <f t="shared" si="9"/>
        <v>4.3291676466522117E-5</v>
      </c>
      <c r="AU18" s="29">
        <f t="shared" si="10"/>
        <v>4.1764577938864255E-5</v>
      </c>
      <c r="AV18" s="29"/>
    </row>
    <row r="19" spans="1:63" x14ac:dyDescent="0.2">
      <c r="A19" s="16">
        <v>12</v>
      </c>
      <c r="B19">
        <v>102.41759630459023</v>
      </c>
      <c r="C19">
        <v>102.47302192585002</v>
      </c>
      <c r="D19">
        <v>103.09965000177654</v>
      </c>
      <c r="E19">
        <v>104.06182765088766</v>
      </c>
      <c r="F19">
        <v>105.36676803009713</v>
      </c>
      <c r="G19">
        <v>107.03865368204686</v>
      </c>
      <c r="H19">
        <v>108.1109529851669</v>
      </c>
      <c r="I19">
        <v>109.04529121249578</v>
      </c>
      <c r="J19">
        <v>109.31600744772612</v>
      </c>
      <c r="K19">
        <v>109.66841792236696</v>
      </c>
      <c r="L19">
        <v>109.97514214026759</v>
      </c>
      <c r="M19">
        <v>110.06930387451482</v>
      </c>
      <c r="N19">
        <v>108.5330239856354</v>
      </c>
      <c r="O19">
        <v>1389.1756571634219</v>
      </c>
      <c r="S19" s="16">
        <v>13</v>
      </c>
      <c r="T19" s="26">
        <v>72.875710477640737</v>
      </c>
      <c r="U19" s="26">
        <v>73.111573596961492</v>
      </c>
      <c r="V19" s="26">
        <v>72.885189692231819</v>
      </c>
      <c r="W19" s="26">
        <v>72.955772721774011</v>
      </c>
      <c r="X19" s="26">
        <v>73.023398073373613</v>
      </c>
      <c r="Y19" s="26">
        <v>73.35964401655481</v>
      </c>
      <c r="Z19" s="26">
        <v>74.077290989155969</v>
      </c>
      <c r="AA19" s="26">
        <v>75.03622436529578</v>
      </c>
      <c r="AB19" s="26">
        <v>75.611352300232227</v>
      </c>
      <c r="AC19" s="26">
        <v>76.659936262567527</v>
      </c>
      <c r="AD19" s="26">
        <v>76.800438256382975</v>
      </c>
      <c r="AE19" s="26">
        <v>77.727319086795063</v>
      </c>
      <c r="AF19" s="26">
        <v>78.675443562841991</v>
      </c>
      <c r="AH19" s="16">
        <v>13</v>
      </c>
      <c r="AI19" s="29">
        <f t="shared" si="12"/>
        <v>1.5020928864892797</v>
      </c>
      <c r="AJ19" s="29">
        <f t="shared" si="11"/>
        <v>3.296820338971379E-5</v>
      </c>
      <c r="AK19" s="29">
        <f t="shared" si="0"/>
        <v>3.2671019664971887E-5</v>
      </c>
      <c r="AL19" s="29">
        <f t="shared" si="1"/>
        <v>3.2365896329866461E-5</v>
      </c>
      <c r="AM19" s="29">
        <f t="shared" si="2"/>
        <v>3.2010523297892066E-5</v>
      </c>
      <c r="AN19" s="29">
        <f t="shared" si="3"/>
        <v>3.1748762898670413E-5</v>
      </c>
      <c r="AO19" s="29">
        <f t="shared" si="4"/>
        <v>3.1658774899569452E-5</v>
      </c>
      <c r="AP19" s="29">
        <f t="shared" si="5"/>
        <v>3.1565597978293259E-5</v>
      </c>
      <c r="AQ19" s="29">
        <f t="shared" si="6"/>
        <v>3.1262459093149476E-5</v>
      </c>
      <c r="AR19" s="29">
        <f t="shared" si="7"/>
        <v>3.1151951128280851E-5</v>
      </c>
      <c r="AS19" s="29">
        <f t="shared" si="8"/>
        <v>3.0705706773521509E-5</v>
      </c>
      <c r="AT19" s="29">
        <f t="shared" si="9"/>
        <v>3.0571156826356313E-5</v>
      </c>
      <c r="AU19" s="29">
        <f t="shared" si="10"/>
        <v>3.0275086548679597E-5</v>
      </c>
      <c r="AV19" s="29"/>
    </row>
    <row r="20" spans="1:63" x14ac:dyDescent="0.2">
      <c r="A20" s="16">
        <v>13</v>
      </c>
      <c r="B20">
        <v>72.875710477640737</v>
      </c>
      <c r="C20">
        <v>73.111573596961492</v>
      </c>
      <c r="D20">
        <v>72.885189692231819</v>
      </c>
      <c r="E20">
        <v>72.955772721774011</v>
      </c>
      <c r="F20">
        <v>73.023398073373613</v>
      </c>
      <c r="G20">
        <v>73.35964401655481</v>
      </c>
      <c r="H20">
        <v>74.077290989155969</v>
      </c>
      <c r="I20">
        <v>75.03622436529578</v>
      </c>
      <c r="J20">
        <v>75.611352300232227</v>
      </c>
      <c r="K20">
        <v>76.659936262567527</v>
      </c>
      <c r="L20">
        <v>76.800438256382975</v>
      </c>
      <c r="M20">
        <v>77.727319086795063</v>
      </c>
      <c r="N20">
        <v>78.675443562841991</v>
      </c>
      <c r="O20">
        <v>972.79929340180797</v>
      </c>
      <c r="S20" s="16">
        <v>14</v>
      </c>
      <c r="T20" s="26">
        <v>7.4070713512048805</v>
      </c>
      <c r="U20" s="26">
        <v>7.3999402683209379</v>
      </c>
      <c r="V20" s="26">
        <v>7.3926001906597962</v>
      </c>
      <c r="W20" s="26">
        <v>7.3842146339034764</v>
      </c>
      <c r="X20" s="26">
        <v>7.3680816193244727</v>
      </c>
      <c r="Y20" s="26">
        <v>7.3532040890362138</v>
      </c>
      <c r="Z20" s="26">
        <v>7.3435595115248642</v>
      </c>
      <c r="AA20" s="26">
        <v>7.3349619287362442</v>
      </c>
      <c r="AB20" s="26">
        <v>7.3297138196838265</v>
      </c>
      <c r="AC20" s="26">
        <v>7.324256715854208</v>
      </c>
      <c r="AD20" s="26">
        <v>7.3244384293354923</v>
      </c>
      <c r="AE20" s="26">
        <v>7.3654423276103476</v>
      </c>
      <c r="AF20" s="26">
        <v>7.4564960090540922</v>
      </c>
      <c r="AH20" s="16">
        <v>14</v>
      </c>
      <c r="AI20" s="29">
        <f t="shared" si="12"/>
        <v>0.15267239404516036</v>
      </c>
      <c r="AJ20" s="29">
        <f t="shared" si="11"/>
        <v>3.3368552177883495E-6</v>
      </c>
      <c r="AK20" s="29">
        <f t="shared" si="0"/>
        <v>3.3137567072842923E-6</v>
      </c>
      <c r="AL20" s="29">
        <f t="shared" si="1"/>
        <v>3.2759124658969309E-6</v>
      </c>
      <c r="AM20" s="29">
        <f t="shared" si="2"/>
        <v>3.2298708983546483E-6</v>
      </c>
      <c r="AN20" s="29">
        <f t="shared" si="3"/>
        <v>3.1823373231699639E-6</v>
      </c>
      <c r="AO20" s="29">
        <f t="shared" si="4"/>
        <v>3.1384530189014516E-6</v>
      </c>
      <c r="AP20" s="29">
        <f t="shared" si="5"/>
        <v>3.0856091359476566E-6</v>
      </c>
      <c r="AQ20" s="29">
        <f t="shared" si="6"/>
        <v>3.0305618333935584E-6</v>
      </c>
      <c r="AR20" s="29">
        <f t="shared" si="7"/>
        <v>2.9763250321756962E-6</v>
      </c>
      <c r="AS20" s="29">
        <f t="shared" si="8"/>
        <v>2.9283955117690514E-6</v>
      </c>
      <c r="AT20" s="29">
        <f t="shared" si="9"/>
        <v>2.8969234387387036E-6</v>
      </c>
      <c r="AU20" s="29">
        <f t="shared" si="10"/>
        <v>2.8693331972597277E-6</v>
      </c>
      <c r="AV20" s="29"/>
    </row>
    <row r="21" spans="1:63" x14ac:dyDescent="0.2">
      <c r="A21" s="16">
        <v>14</v>
      </c>
      <c r="B21">
        <v>7.4070713512048805</v>
      </c>
      <c r="C21">
        <v>7.3999402683209379</v>
      </c>
      <c r="D21">
        <v>7.3926001906597962</v>
      </c>
      <c r="E21">
        <v>7.3842146339034764</v>
      </c>
      <c r="F21">
        <v>7.3680816193244727</v>
      </c>
      <c r="G21">
        <v>7.3532040890362138</v>
      </c>
      <c r="H21">
        <v>7.3435595115248642</v>
      </c>
      <c r="I21">
        <v>7.3349619287362442</v>
      </c>
      <c r="J21">
        <v>7.3297138196838265</v>
      </c>
      <c r="K21">
        <v>7.324256715854208</v>
      </c>
      <c r="L21">
        <v>7.3244384293354923</v>
      </c>
      <c r="M21">
        <v>7.3654423276103476</v>
      </c>
      <c r="N21">
        <v>7.4564960090540922</v>
      </c>
      <c r="O21">
        <v>95.783980894248842</v>
      </c>
      <c r="S21" s="19" t="s">
        <v>225</v>
      </c>
      <c r="T21" s="24">
        <v>61.17724911402663</v>
      </c>
      <c r="U21" s="24">
        <v>61.199597979313374</v>
      </c>
      <c r="V21" s="24">
        <v>61.268394560864756</v>
      </c>
      <c r="W21" s="24">
        <v>61.460988556612122</v>
      </c>
      <c r="X21" s="24">
        <v>61.609218104977757</v>
      </c>
      <c r="Y21" s="24">
        <v>62.003932746148479</v>
      </c>
      <c r="Z21" s="24">
        <v>62.453514538712227</v>
      </c>
      <c r="AA21" s="24">
        <v>62.934641491716775</v>
      </c>
      <c r="AB21" s="24">
        <v>63.372894969549058</v>
      </c>
      <c r="AC21" s="24">
        <v>63.724451465966993</v>
      </c>
      <c r="AD21" s="24">
        <v>63.781400492211212</v>
      </c>
      <c r="AE21" s="24">
        <v>64.167468439267623</v>
      </c>
      <c r="AF21" s="24">
        <v>64.344404685882893</v>
      </c>
      <c r="AH21" s="19" t="s">
        <v>225</v>
      </c>
      <c r="AI21" s="27">
        <v>4411236</v>
      </c>
      <c r="AJ21" s="27">
        <v>4435278</v>
      </c>
      <c r="AK21" s="27">
        <v>4461764</v>
      </c>
      <c r="AL21" s="27">
        <v>4508188</v>
      </c>
      <c r="AM21" s="27">
        <v>4562462</v>
      </c>
      <c r="AN21" s="27">
        <v>4621260</v>
      </c>
      <c r="AO21" s="27">
        <v>4679732</v>
      </c>
      <c r="AP21" s="27">
        <v>4754304</v>
      </c>
      <c r="AQ21" s="27">
        <v>4837198</v>
      </c>
      <c r="AR21" s="27">
        <v>4921678</v>
      </c>
      <c r="AS21" s="27">
        <v>5002356</v>
      </c>
      <c r="AT21" s="27">
        <v>5085010</v>
      </c>
      <c r="AU21" s="27">
        <v>5197372</v>
      </c>
      <c r="AV21" s="35"/>
    </row>
    <row r="22" spans="1:63" x14ac:dyDescent="0.2">
      <c r="A22" s="16" t="s">
        <v>225</v>
      </c>
      <c r="B22">
        <v>9310.0012917927288</v>
      </c>
      <c r="C22">
        <v>9501.8989777610168</v>
      </c>
      <c r="D22">
        <v>9685.0878318153082</v>
      </c>
      <c r="E22">
        <v>9862.0380908260558</v>
      </c>
      <c r="F22">
        <v>10057.409233509259</v>
      </c>
      <c r="G22">
        <v>10330.451341478652</v>
      </c>
      <c r="H22">
        <v>10511.843215702562</v>
      </c>
      <c r="I22">
        <v>10658.343521018767</v>
      </c>
      <c r="J22">
        <v>10819.039595527109</v>
      </c>
      <c r="K22">
        <v>10942.843787425922</v>
      </c>
      <c r="L22">
        <v>11073.054673687309</v>
      </c>
      <c r="M22">
        <v>11079.368678819365</v>
      </c>
      <c r="N22">
        <v>11120.320027588898</v>
      </c>
      <c r="O22">
        <v>134951.70026695298</v>
      </c>
    </row>
    <row r="23" spans="1:63" x14ac:dyDescent="0.2">
      <c r="S23" t="s">
        <v>238</v>
      </c>
      <c r="AH23" t="s">
        <v>239</v>
      </c>
      <c r="AX23" t="s">
        <v>240</v>
      </c>
    </row>
    <row r="24" spans="1:63" x14ac:dyDescent="0.2">
      <c r="S24" s="17" t="s">
        <v>224</v>
      </c>
      <c r="T24" s="17">
        <v>2010</v>
      </c>
      <c r="U24" s="17">
        <v>2011</v>
      </c>
      <c r="V24" s="17">
        <v>2012</v>
      </c>
      <c r="W24" s="17">
        <v>2013</v>
      </c>
      <c r="X24" s="17">
        <v>2014</v>
      </c>
      <c r="Y24" s="17">
        <v>2015</v>
      </c>
      <c r="Z24" s="17">
        <v>2016</v>
      </c>
      <c r="AA24" s="17">
        <v>2017</v>
      </c>
      <c r="AB24" s="17">
        <v>2018</v>
      </c>
      <c r="AC24" s="17">
        <v>2019</v>
      </c>
      <c r="AD24" s="17">
        <v>2020</v>
      </c>
      <c r="AE24" s="17">
        <v>2021</v>
      </c>
      <c r="AF24" s="17">
        <v>2022</v>
      </c>
      <c r="AH24" s="17" t="s">
        <v>224</v>
      </c>
      <c r="AI24" s="17">
        <v>2010</v>
      </c>
      <c r="AJ24" s="17">
        <v>2011</v>
      </c>
      <c r="AK24" s="17">
        <v>2012</v>
      </c>
      <c r="AL24" s="17">
        <v>2013</v>
      </c>
      <c r="AM24" s="17">
        <v>2014</v>
      </c>
      <c r="AN24" s="17">
        <v>2015</v>
      </c>
      <c r="AO24" s="17">
        <v>2016</v>
      </c>
      <c r="AP24" s="17">
        <v>2017</v>
      </c>
      <c r="AQ24" s="17">
        <v>2018</v>
      </c>
      <c r="AR24" s="17">
        <v>2019</v>
      </c>
      <c r="AS24" s="17">
        <v>2020</v>
      </c>
      <c r="AT24" s="17">
        <v>2021</v>
      </c>
      <c r="AU24" s="17">
        <v>2022</v>
      </c>
      <c r="AV24" s="33" t="s">
        <v>258</v>
      </c>
      <c r="AX24" s="17" t="s">
        <v>224</v>
      </c>
      <c r="AY24" s="17">
        <v>2010</v>
      </c>
      <c r="AZ24" s="17">
        <v>2011</v>
      </c>
      <c r="BA24" s="17">
        <v>2012</v>
      </c>
      <c r="BB24" s="17">
        <v>2013</v>
      </c>
      <c r="BC24" s="17">
        <v>2014</v>
      </c>
      <c r="BD24" s="17">
        <v>2015</v>
      </c>
      <c r="BE24" s="17">
        <v>2016</v>
      </c>
      <c r="BF24" s="17">
        <v>2017</v>
      </c>
      <c r="BG24" s="17">
        <v>2018</v>
      </c>
      <c r="BH24" s="17">
        <v>2019</v>
      </c>
      <c r="BI24" s="17">
        <v>2020</v>
      </c>
      <c r="BJ24" s="17">
        <v>2021</v>
      </c>
      <c r="BK24" s="17">
        <v>2022</v>
      </c>
    </row>
    <row r="25" spans="1:63" x14ac:dyDescent="0.2">
      <c r="S25" s="16">
        <v>0</v>
      </c>
      <c r="T25" s="26">
        <v>2205618</v>
      </c>
      <c r="U25" s="26">
        <v>2217639</v>
      </c>
      <c r="V25" s="26">
        <v>2230882</v>
      </c>
      <c r="W25" s="26">
        <v>2254094</v>
      </c>
      <c r="X25" s="26">
        <v>2281231</v>
      </c>
      <c r="Y25" s="26">
        <v>2310630</v>
      </c>
      <c r="Z25" s="26">
        <v>2339866</v>
      </c>
      <c r="AA25" s="26">
        <v>2377152</v>
      </c>
      <c r="AB25" s="26">
        <v>2418599</v>
      </c>
      <c r="AC25" s="26">
        <v>2460839</v>
      </c>
      <c r="AD25" s="26">
        <v>2501178</v>
      </c>
      <c r="AE25" s="26">
        <v>2542505</v>
      </c>
      <c r="AF25" s="26">
        <v>2598686</v>
      </c>
      <c r="AH25" s="16">
        <v>0</v>
      </c>
      <c r="AI25" s="26">
        <v>2205618</v>
      </c>
      <c r="AJ25" s="26">
        <v>2217639</v>
      </c>
      <c r="AK25" s="26">
        <v>2230882</v>
      </c>
      <c r="AL25" s="26">
        <v>2254094</v>
      </c>
      <c r="AM25" s="26">
        <v>2281231</v>
      </c>
      <c r="AN25" s="26">
        <v>2310630</v>
      </c>
      <c r="AO25" s="26">
        <v>2339866</v>
      </c>
      <c r="AP25" s="26">
        <v>2377152</v>
      </c>
      <c r="AQ25" s="26">
        <v>2418599</v>
      </c>
      <c r="AR25" s="26">
        <v>2460839</v>
      </c>
      <c r="AS25" s="26">
        <v>2501178</v>
      </c>
      <c r="AT25" s="26">
        <v>2542505</v>
      </c>
      <c r="AU25" s="26">
        <v>2598686</v>
      </c>
      <c r="AV25" s="29"/>
      <c r="AX25" s="16">
        <v>0</v>
      </c>
      <c r="AY25" s="26">
        <v>2205618</v>
      </c>
      <c r="AZ25" s="26">
        <v>2217639</v>
      </c>
      <c r="BA25" s="26">
        <v>2230882</v>
      </c>
      <c r="BB25" s="26">
        <v>2254094</v>
      </c>
      <c r="BC25" s="26">
        <v>2281231</v>
      </c>
      <c r="BD25" s="26">
        <v>2310630</v>
      </c>
      <c r="BE25" s="26">
        <v>2339866</v>
      </c>
      <c r="BF25" s="26">
        <v>2377152</v>
      </c>
      <c r="BG25" s="26">
        <v>2418599</v>
      </c>
      <c r="BH25" s="26">
        <v>2460839</v>
      </c>
      <c r="BI25" s="26">
        <v>2501178</v>
      </c>
      <c r="BJ25" s="26">
        <v>2542505</v>
      </c>
      <c r="BK25" s="26">
        <v>2598686</v>
      </c>
    </row>
    <row r="26" spans="1:63" x14ac:dyDescent="0.2">
      <c r="S26" s="16">
        <v>1</v>
      </c>
      <c r="T26" s="26">
        <v>29122</v>
      </c>
      <c r="U26" s="26">
        <v>29172</v>
      </c>
      <c r="V26" s="26">
        <v>29229</v>
      </c>
      <c r="W26" s="26">
        <v>29303</v>
      </c>
      <c r="X26" s="26">
        <v>29383</v>
      </c>
      <c r="Y26" s="26">
        <v>29493</v>
      </c>
      <c r="Z26" s="26">
        <v>29568</v>
      </c>
      <c r="AA26" s="26">
        <v>29638</v>
      </c>
      <c r="AB26" s="26">
        <v>29781</v>
      </c>
      <c r="AC26" s="26">
        <v>29990</v>
      </c>
      <c r="AD26" s="26">
        <v>30150</v>
      </c>
      <c r="AE26" s="26">
        <v>30305</v>
      </c>
      <c r="AF26" s="26">
        <v>30560</v>
      </c>
      <c r="AH26" s="16">
        <v>1</v>
      </c>
      <c r="AI26" s="29">
        <f>T26/T$25</f>
        <v>1.3203555647442123E-2</v>
      </c>
      <c r="AJ26" s="29">
        <f>U26/U$25</f>
        <v>1.3154530561556682E-2</v>
      </c>
      <c r="AK26" s="29">
        <f t="shared" ref="AJ26:AU39" si="13">V26/V$25</f>
        <v>1.3101992844085883E-2</v>
      </c>
      <c r="AL26" s="29">
        <f t="shared" si="13"/>
        <v>1.2999901512536743E-2</v>
      </c>
      <c r="AM26" s="29">
        <f t="shared" si="13"/>
        <v>1.288032645532171E-2</v>
      </c>
      <c r="AN26" s="29">
        <f t="shared" si="13"/>
        <v>1.2764051362615391E-2</v>
      </c>
      <c r="AO26" s="29">
        <f t="shared" si="13"/>
        <v>1.2636621071463067E-2</v>
      </c>
      <c r="AP26" s="29">
        <f t="shared" si="13"/>
        <v>1.2467860700535767E-2</v>
      </c>
      <c r="AQ26" s="29">
        <f t="shared" si="13"/>
        <v>1.2313326847484846E-2</v>
      </c>
      <c r="AR26" s="29">
        <f t="shared" si="13"/>
        <v>1.218690048394064E-2</v>
      </c>
      <c r="AS26" s="29">
        <f t="shared" si="13"/>
        <v>1.2054320004413921E-2</v>
      </c>
      <c r="AT26" s="29">
        <f t="shared" si="13"/>
        <v>1.1919347257920831E-2</v>
      </c>
      <c r="AU26" s="29">
        <f t="shared" si="13"/>
        <v>1.1759789370474154E-2</v>
      </c>
      <c r="AV26" s="29" t="b">
        <f t="shared" ref="AV26:AV39" si="14">IF(AU26&gt;=0.05,TRUE,FALSE)</f>
        <v>0</v>
      </c>
      <c r="AX26" s="16">
        <v>1</v>
      </c>
      <c r="AY26" s="32">
        <f>AI26/AI$25</f>
        <v>5.986329295209834E-9</v>
      </c>
      <c r="AZ26" s="32">
        <f>AJ26-AI26</f>
        <v>-4.9025085885440536E-5</v>
      </c>
      <c r="BA26" s="32">
        <f t="shared" ref="BA26:BK39" si="15">AK26-AJ26</f>
        <v>-5.2537717470799855E-5</v>
      </c>
      <c r="BB26" s="32">
        <f t="shared" si="15"/>
        <v>-1.0209133154913917E-4</v>
      </c>
      <c r="BC26" s="32">
        <f t="shared" si="15"/>
        <v>-1.195750572150333E-4</v>
      </c>
      <c r="BD26" s="32">
        <f t="shared" si="15"/>
        <v>-1.1627509270631907E-4</v>
      </c>
      <c r="BE26" s="32">
        <f t="shared" si="15"/>
        <v>-1.2743029115232403E-4</v>
      </c>
      <c r="BF26" s="32">
        <f t="shared" si="15"/>
        <v>-1.6876037092729973E-4</v>
      </c>
      <c r="BG26" s="32">
        <f t="shared" si="15"/>
        <v>-1.5453385305092167E-4</v>
      </c>
      <c r="BH26" s="32">
        <f t="shared" si="15"/>
        <v>-1.2642636354420582E-4</v>
      </c>
      <c r="BI26" s="32">
        <f t="shared" si="15"/>
        <v>-1.3258047952671888E-4</v>
      </c>
      <c r="BJ26" s="32">
        <f t="shared" si="15"/>
        <v>-1.3497274649309013E-4</v>
      </c>
      <c r="BK26" s="32">
        <f t="shared" si="15"/>
        <v>-1.5955788744667632E-4</v>
      </c>
    </row>
    <row r="27" spans="1:63" x14ac:dyDescent="0.2">
      <c r="S27" s="16">
        <v>2</v>
      </c>
      <c r="T27" s="26">
        <v>229711</v>
      </c>
      <c r="U27" s="26">
        <v>231927</v>
      </c>
      <c r="V27" s="26">
        <v>234380</v>
      </c>
      <c r="W27" s="26">
        <v>237824</v>
      </c>
      <c r="X27" s="26">
        <v>242034</v>
      </c>
      <c r="Y27" s="26">
        <v>247119</v>
      </c>
      <c r="Z27" s="26">
        <v>252440</v>
      </c>
      <c r="AA27" s="26">
        <v>259283</v>
      </c>
      <c r="AB27" s="26">
        <v>266003</v>
      </c>
      <c r="AC27" s="26">
        <v>273682</v>
      </c>
      <c r="AD27" s="26">
        <v>280355</v>
      </c>
      <c r="AE27" s="26">
        <v>287033</v>
      </c>
      <c r="AF27" s="26">
        <v>295314</v>
      </c>
      <c r="AH27" s="16">
        <v>2</v>
      </c>
      <c r="AI27" s="29">
        <f t="shared" ref="AI27:AI39" si="16">T27/T$25</f>
        <v>0.10414813444576532</v>
      </c>
      <c r="AJ27" s="29">
        <f t="shared" si="13"/>
        <v>0.10458284689257359</v>
      </c>
      <c r="AK27" s="29">
        <f t="shared" si="13"/>
        <v>0.10506158550743608</v>
      </c>
      <c r="AL27" s="29">
        <f t="shared" si="13"/>
        <v>0.10550757865466125</v>
      </c>
      <c r="AM27" s="29">
        <f t="shared" si="13"/>
        <v>0.10609797955577494</v>
      </c>
      <c r="AN27" s="29">
        <f t="shared" si="13"/>
        <v>0.10694875423585776</v>
      </c>
      <c r="AO27" s="29">
        <f t="shared" si="13"/>
        <v>0.10788651999729899</v>
      </c>
      <c r="AP27" s="29">
        <f t="shared" si="13"/>
        <v>0.10907295789246964</v>
      </c>
      <c r="AQ27" s="29">
        <f t="shared" si="13"/>
        <v>0.1099822665931806</v>
      </c>
      <c r="AR27" s="29">
        <f t="shared" si="13"/>
        <v>0.11121491491316579</v>
      </c>
      <c r="AS27" s="29">
        <f t="shared" si="13"/>
        <v>0.11208918357669866</v>
      </c>
      <c r="AT27" s="29">
        <f t="shared" si="13"/>
        <v>0.1128937799532351</v>
      </c>
      <c r="AU27" s="29">
        <f t="shared" si="13"/>
        <v>0.11363973946833131</v>
      </c>
      <c r="AV27" s="29" t="b">
        <f t="shared" si="14"/>
        <v>1</v>
      </c>
      <c r="AX27" s="16">
        <v>2</v>
      </c>
      <c r="AY27" s="32">
        <f t="shared" ref="AY27:AY39" si="17">AI27/AI$25</f>
        <v>4.7219479731197927E-8</v>
      </c>
      <c r="AZ27" s="32">
        <f t="shared" ref="AZ27:AZ39" si="18">AJ27-AI27</f>
        <v>4.347124468082747E-4</v>
      </c>
      <c r="BA27" s="32">
        <f t="shared" si="15"/>
        <v>4.787386148624867E-4</v>
      </c>
      <c r="BB27" s="32">
        <f t="shared" si="15"/>
        <v>4.4599314722516825E-4</v>
      </c>
      <c r="BC27" s="32">
        <f t="shared" si="15"/>
        <v>5.9040090111368848E-4</v>
      </c>
      <c r="BD27" s="32">
        <f t="shared" si="15"/>
        <v>8.5077468008282198E-4</v>
      </c>
      <c r="BE27" s="32">
        <f t="shared" si="15"/>
        <v>9.3776576144123658E-4</v>
      </c>
      <c r="BF27" s="32">
        <f t="shared" si="15"/>
        <v>1.1864378951706445E-3</v>
      </c>
      <c r="BG27" s="32">
        <f t="shared" si="15"/>
        <v>9.0930870071095904E-4</v>
      </c>
      <c r="BH27" s="32">
        <f t="shared" si="15"/>
        <v>1.232648319985194E-3</v>
      </c>
      <c r="BI27" s="32">
        <f t="shared" si="15"/>
        <v>8.7426866353286503E-4</v>
      </c>
      <c r="BJ27" s="32">
        <f t="shared" si="15"/>
        <v>8.0459637653644556E-4</v>
      </c>
      <c r="BK27" s="32">
        <f t="shared" si="15"/>
        <v>7.4595951509620617E-4</v>
      </c>
    </row>
    <row r="28" spans="1:63" x14ac:dyDescent="0.2">
      <c r="S28" s="16">
        <v>3</v>
      </c>
      <c r="T28" s="26">
        <v>955926</v>
      </c>
      <c r="U28" s="26">
        <v>961340</v>
      </c>
      <c r="V28" s="26">
        <v>967223</v>
      </c>
      <c r="W28" s="26">
        <v>980761</v>
      </c>
      <c r="X28" s="26">
        <v>996405</v>
      </c>
      <c r="Y28" s="26">
        <v>1011790</v>
      </c>
      <c r="Z28" s="26">
        <v>1027740</v>
      </c>
      <c r="AA28" s="26">
        <v>1048165</v>
      </c>
      <c r="AB28" s="26">
        <v>1072231</v>
      </c>
      <c r="AC28" s="26">
        <v>1094623</v>
      </c>
      <c r="AD28" s="26">
        <v>1116013</v>
      </c>
      <c r="AE28" s="26">
        <v>1135106</v>
      </c>
      <c r="AF28" s="26">
        <v>1161763</v>
      </c>
      <c r="AH28" s="16">
        <v>3</v>
      </c>
      <c r="AI28" s="29">
        <f t="shared" si="16"/>
        <v>0.43340505926230199</v>
      </c>
      <c r="AJ28" s="29">
        <f t="shared" si="13"/>
        <v>0.43349706602382082</v>
      </c>
      <c r="AK28" s="29">
        <f t="shared" si="13"/>
        <v>0.43356080689162402</v>
      </c>
      <c r="AL28" s="29">
        <f t="shared" si="13"/>
        <v>0.43510208536112516</v>
      </c>
      <c r="AM28" s="29">
        <f t="shared" si="13"/>
        <v>0.43678391184408771</v>
      </c>
      <c r="AN28" s="29">
        <f t="shared" si="13"/>
        <v>0.43788490584818857</v>
      </c>
      <c r="AO28" s="29">
        <f t="shared" si="13"/>
        <v>0.43923028070838244</v>
      </c>
      <c r="AP28" s="29">
        <f t="shared" si="13"/>
        <v>0.44093309977653933</v>
      </c>
      <c r="AQ28" s="29">
        <f t="shared" si="13"/>
        <v>0.44332731469747566</v>
      </c>
      <c r="AR28" s="29">
        <f t="shared" si="13"/>
        <v>0.44481699127817786</v>
      </c>
      <c r="AS28" s="29">
        <f t="shared" si="13"/>
        <v>0.44619495293817552</v>
      </c>
      <c r="AT28" s="29">
        <f t="shared" si="13"/>
        <v>0.44645182605343942</v>
      </c>
      <c r="AU28" s="29">
        <f t="shared" si="13"/>
        <v>0.44705785924117036</v>
      </c>
      <c r="AV28" s="29" t="b">
        <f t="shared" si="14"/>
        <v>1</v>
      </c>
      <c r="AX28" s="16">
        <v>3</v>
      </c>
      <c r="AY28" s="32">
        <f t="shared" si="17"/>
        <v>1.9650050881988722E-7</v>
      </c>
      <c r="AZ28" s="32">
        <f t="shared" si="18"/>
        <v>9.2006761518825808E-5</v>
      </c>
      <c r="BA28" s="32">
        <f t="shared" si="15"/>
        <v>6.3740867803196988E-5</v>
      </c>
      <c r="BB28" s="32">
        <f t="shared" si="15"/>
        <v>1.5412784695011394E-3</v>
      </c>
      <c r="BC28" s="32">
        <f t="shared" si="15"/>
        <v>1.6818264829625562E-3</v>
      </c>
      <c r="BD28" s="32">
        <f t="shared" si="15"/>
        <v>1.1009940041008526E-3</v>
      </c>
      <c r="BE28" s="32">
        <f t="shared" si="15"/>
        <v>1.3453748601938709E-3</v>
      </c>
      <c r="BF28" s="32">
        <f t="shared" si="15"/>
        <v>1.7028190681568911E-3</v>
      </c>
      <c r="BG28" s="32">
        <f t="shared" si="15"/>
        <v>2.3942149209363328E-3</v>
      </c>
      <c r="BH28" s="32">
        <f t="shared" si="15"/>
        <v>1.4896765807022039E-3</v>
      </c>
      <c r="BI28" s="32">
        <f t="shared" si="15"/>
        <v>1.3779616599976507E-3</v>
      </c>
      <c r="BJ28" s="32">
        <f t="shared" si="15"/>
        <v>2.5687311526390033E-4</v>
      </c>
      <c r="BK28" s="32">
        <f t="shared" si="15"/>
        <v>6.0603318773094772E-4</v>
      </c>
    </row>
    <row r="29" spans="1:63" x14ac:dyDescent="0.2">
      <c r="S29" s="16">
        <v>4</v>
      </c>
      <c r="T29" s="26">
        <v>510346</v>
      </c>
      <c r="U29" s="26">
        <v>512995</v>
      </c>
      <c r="V29" s="26">
        <v>516486</v>
      </c>
      <c r="W29" s="26">
        <v>520899</v>
      </c>
      <c r="X29" s="26">
        <v>526226</v>
      </c>
      <c r="Y29" s="26">
        <v>532837</v>
      </c>
      <c r="Z29" s="26">
        <v>538380</v>
      </c>
      <c r="AA29" s="26">
        <v>545153</v>
      </c>
      <c r="AB29" s="26">
        <v>551434</v>
      </c>
      <c r="AC29" s="26">
        <v>558459</v>
      </c>
      <c r="AD29" s="26">
        <v>564807</v>
      </c>
      <c r="AE29" s="26">
        <v>574426</v>
      </c>
      <c r="AF29" s="26">
        <v>586730</v>
      </c>
      <c r="AH29" s="16">
        <v>4</v>
      </c>
      <c r="AI29" s="29">
        <f t="shared" si="16"/>
        <v>0.23138458246169555</v>
      </c>
      <c r="AJ29" s="29">
        <f t="shared" si="13"/>
        <v>0.23132484592848521</v>
      </c>
      <c r="AK29" s="29">
        <f t="shared" si="13"/>
        <v>0.23151650333814158</v>
      </c>
      <c r="AL29" s="29">
        <f t="shared" si="13"/>
        <v>0.23109018523628563</v>
      </c>
      <c r="AM29" s="29">
        <f t="shared" si="13"/>
        <v>0.23067633220835593</v>
      </c>
      <c r="AN29" s="29">
        <f t="shared" si="13"/>
        <v>0.23060247638090045</v>
      </c>
      <c r="AO29" s="29">
        <f t="shared" si="13"/>
        <v>0.23009009917661952</v>
      </c>
      <c r="AP29" s="29">
        <f t="shared" si="13"/>
        <v>0.22933030786420053</v>
      </c>
      <c r="AQ29" s="29">
        <f t="shared" si="13"/>
        <v>0.22799728272442021</v>
      </c>
      <c r="AR29" s="29">
        <f t="shared" si="13"/>
        <v>0.22693845473027696</v>
      </c>
      <c r="AS29" s="29">
        <f t="shared" si="13"/>
        <v>0.2258163953145278</v>
      </c>
      <c r="AT29" s="29">
        <f t="shared" si="13"/>
        <v>0.22592915254837256</v>
      </c>
      <c r="AU29" s="29">
        <f t="shared" si="13"/>
        <v>0.22577949009614859</v>
      </c>
      <c r="AV29" s="29" t="b">
        <f t="shared" si="14"/>
        <v>1</v>
      </c>
      <c r="AX29" s="16">
        <v>4</v>
      </c>
      <c r="AY29" s="32">
        <f t="shared" si="17"/>
        <v>1.049069160941267E-7</v>
      </c>
      <c r="AZ29" s="32">
        <f t="shared" si="18"/>
        <v>-5.9736533210341669E-5</v>
      </c>
      <c r="BA29" s="32">
        <f t="shared" si="15"/>
        <v>1.9165740965637612E-4</v>
      </c>
      <c r="BB29" s="32">
        <f t="shared" si="15"/>
        <v>-4.2631810185594921E-4</v>
      </c>
      <c r="BC29" s="32">
        <f t="shared" si="15"/>
        <v>-4.1385302792970591E-4</v>
      </c>
      <c r="BD29" s="32">
        <f t="shared" si="15"/>
        <v>-7.3855827455476808E-5</v>
      </c>
      <c r="BE29" s="32">
        <f t="shared" si="15"/>
        <v>-5.1237720428093381E-4</v>
      </c>
      <c r="BF29" s="32">
        <f t="shared" si="15"/>
        <v>-7.5979131241898923E-4</v>
      </c>
      <c r="BG29" s="32">
        <f t="shared" si="15"/>
        <v>-1.3330251397803139E-3</v>
      </c>
      <c r="BH29" s="32">
        <f t="shared" si="15"/>
        <v>-1.0588279941432521E-3</v>
      </c>
      <c r="BI29" s="32">
        <f t="shared" si="15"/>
        <v>-1.1220594157491659E-3</v>
      </c>
      <c r="BJ29" s="32">
        <f t="shared" si="15"/>
        <v>1.1275723384476799E-4</v>
      </c>
      <c r="BK29" s="32">
        <f t="shared" si="15"/>
        <v>-1.4966245222397534E-4</v>
      </c>
    </row>
    <row r="30" spans="1:63" x14ac:dyDescent="0.2">
      <c r="S30" s="16">
        <v>5</v>
      </c>
      <c r="T30" s="26">
        <v>15436</v>
      </c>
      <c r="U30" s="26">
        <v>15447</v>
      </c>
      <c r="V30" s="26">
        <v>15454</v>
      </c>
      <c r="W30" s="26">
        <v>15492</v>
      </c>
      <c r="X30" s="26">
        <v>15574</v>
      </c>
      <c r="Y30" s="26">
        <v>15672</v>
      </c>
      <c r="Z30" s="26">
        <v>15815</v>
      </c>
      <c r="AA30" s="26">
        <v>15920</v>
      </c>
      <c r="AB30" s="26">
        <v>16102</v>
      </c>
      <c r="AC30" s="26">
        <v>16335</v>
      </c>
      <c r="AD30" s="26">
        <v>16558</v>
      </c>
      <c r="AE30" s="26">
        <v>16874</v>
      </c>
      <c r="AF30" s="26">
        <v>17314</v>
      </c>
      <c r="AH30" s="16">
        <v>5</v>
      </c>
      <c r="AI30" s="29">
        <f t="shared" si="16"/>
        <v>6.9984920326185227E-3</v>
      </c>
      <c r="AJ30" s="29">
        <f t="shared" si="13"/>
        <v>6.965516028533048E-3</v>
      </c>
      <c r="AK30" s="29">
        <f t="shared" si="13"/>
        <v>6.9273049852031617E-3</v>
      </c>
      <c r="AL30" s="29">
        <f t="shared" si="13"/>
        <v>6.872827841252406E-3</v>
      </c>
      <c r="AM30" s="29">
        <f t="shared" si="13"/>
        <v>6.8270157647340405E-3</v>
      </c>
      <c r="AN30" s="29">
        <f t="shared" si="13"/>
        <v>6.7825657937445631E-3</v>
      </c>
      <c r="AO30" s="29">
        <f t="shared" si="13"/>
        <v>6.7589340586170317E-3</v>
      </c>
      <c r="AP30" s="29">
        <f t="shared" si="13"/>
        <v>6.6970896265783593E-3</v>
      </c>
      <c r="AQ30" s="29">
        <f t="shared" si="13"/>
        <v>6.6575732479836466E-3</v>
      </c>
      <c r="AR30" s="29">
        <f t="shared" si="13"/>
        <v>6.6379799734968443E-3</v>
      </c>
      <c r="AS30" s="29">
        <f t="shared" si="13"/>
        <v>6.6200806180127924E-3</v>
      </c>
      <c r="AT30" s="29">
        <f t="shared" si="13"/>
        <v>6.636761776279693E-3</v>
      </c>
      <c r="AU30" s="29">
        <f t="shared" si="13"/>
        <v>6.662597943730024E-3</v>
      </c>
      <c r="AV30" s="29" t="b">
        <f t="shared" si="14"/>
        <v>0</v>
      </c>
      <c r="AX30" s="16">
        <v>5</v>
      </c>
      <c r="AY30" s="32">
        <f t="shared" si="17"/>
        <v>3.1730299773662177E-9</v>
      </c>
      <c r="AZ30" s="32">
        <f t="shared" si="18"/>
        <v>-3.2976004085474679E-5</v>
      </c>
      <c r="BA30" s="32">
        <f t="shared" si="15"/>
        <v>-3.8211043329886354E-5</v>
      </c>
      <c r="BB30" s="32">
        <f t="shared" si="15"/>
        <v>-5.4477143950755653E-5</v>
      </c>
      <c r="BC30" s="32">
        <f t="shared" si="15"/>
        <v>-4.5812076518365538E-5</v>
      </c>
      <c r="BD30" s="32">
        <f t="shared" si="15"/>
        <v>-4.4449970989477415E-5</v>
      </c>
      <c r="BE30" s="32">
        <f t="shared" si="15"/>
        <v>-2.3631735127531417E-5</v>
      </c>
      <c r="BF30" s="32">
        <f t="shared" si="15"/>
        <v>-6.1844432038672334E-5</v>
      </c>
      <c r="BG30" s="32">
        <f t="shared" si="15"/>
        <v>-3.9516378594712728E-5</v>
      </c>
      <c r="BH30" s="32">
        <f t="shared" si="15"/>
        <v>-1.9593274486802252E-5</v>
      </c>
      <c r="BI30" s="32">
        <f t="shared" si="15"/>
        <v>-1.7899355484051957E-5</v>
      </c>
      <c r="BJ30" s="32">
        <f t="shared" si="15"/>
        <v>1.6681158266900614E-5</v>
      </c>
      <c r="BK30" s="32">
        <f t="shared" si="15"/>
        <v>2.5836167450330946E-5</v>
      </c>
    </row>
    <row r="31" spans="1:63" x14ac:dyDescent="0.2">
      <c r="S31" s="16">
        <v>6</v>
      </c>
      <c r="T31" s="26">
        <v>20382</v>
      </c>
      <c r="U31" s="26">
        <v>20404</v>
      </c>
      <c r="V31" s="26">
        <v>20420</v>
      </c>
      <c r="W31" s="26">
        <v>20433</v>
      </c>
      <c r="X31" s="26">
        <v>20451</v>
      </c>
      <c r="Y31" s="26">
        <v>20453</v>
      </c>
      <c r="Z31" s="26">
        <v>20471</v>
      </c>
      <c r="AA31" s="26">
        <v>20485</v>
      </c>
      <c r="AB31" s="26">
        <v>20483</v>
      </c>
      <c r="AC31" s="26">
        <v>20487</v>
      </c>
      <c r="AD31" s="26">
        <v>20512</v>
      </c>
      <c r="AE31" s="26">
        <v>20572</v>
      </c>
      <c r="AF31" s="26">
        <v>20647</v>
      </c>
      <c r="AH31" s="16">
        <v>6</v>
      </c>
      <c r="AI31" s="29">
        <f t="shared" si="16"/>
        <v>9.2409474351406277E-3</v>
      </c>
      <c r="AJ31" s="29">
        <f t="shared" si="13"/>
        <v>9.2007761407514928E-3</v>
      </c>
      <c r="AK31" s="29">
        <f t="shared" si="13"/>
        <v>9.1533303868156189E-3</v>
      </c>
      <c r="AL31" s="29">
        <f t="shared" si="13"/>
        <v>9.0648393545255876E-3</v>
      </c>
      <c r="AM31" s="29">
        <f t="shared" si="13"/>
        <v>8.9648965843441546E-3</v>
      </c>
      <c r="AN31" s="29">
        <f t="shared" si="13"/>
        <v>8.8516984545340457E-3</v>
      </c>
      <c r="AO31" s="29">
        <f t="shared" si="13"/>
        <v>8.7487915974675465E-3</v>
      </c>
      <c r="AP31" s="29">
        <f t="shared" si="13"/>
        <v>8.6174548367121667E-3</v>
      </c>
      <c r="AQ31" s="29">
        <f t="shared" si="13"/>
        <v>8.4689524803408921E-3</v>
      </c>
      <c r="AR31" s="29">
        <f t="shared" si="13"/>
        <v>8.3252094102864924E-3</v>
      </c>
      <c r="AS31" s="29">
        <f t="shared" si="13"/>
        <v>8.2009357190891644E-3</v>
      </c>
      <c r="AT31" s="29">
        <f t="shared" si="13"/>
        <v>8.0912328589324307E-3</v>
      </c>
      <c r="AU31" s="29">
        <f t="shared" si="13"/>
        <v>7.9451692124404404E-3</v>
      </c>
      <c r="AV31" s="29" t="b">
        <f t="shared" si="14"/>
        <v>0</v>
      </c>
      <c r="AX31" s="16">
        <v>6</v>
      </c>
      <c r="AY31" s="32">
        <f t="shared" si="17"/>
        <v>4.1897316013655257E-9</v>
      </c>
      <c r="AZ31" s="32">
        <f t="shared" si="18"/>
        <v>-4.0171294389134901E-5</v>
      </c>
      <c r="BA31" s="32">
        <f t="shared" si="15"/>
        <v>-4.7445753935873927E-5</v>
      </c>
      <c r="BB31" s="32">
        <f t="shared" si="15"/>
        <v>-8.849103229003133E-5</v>
      </c>
      <c r="BC31" s="32">
        <f t="shared" si="15"/>
        <v>-9.9942770181432952E-5</v>
      </c>
      <c r="BD31" s="32">
        <f t="shared" si="15"/>
        <v>-1.1319812981010896E-4</v>
      </c>
      <c r="BE31" s="32">
        <f t="shared" si="15"/>
        <v>-1.029068570664992E-4</v>
      </c>
      <c r="BF31" s="32">
        <f t="shared" si="15"/>
        <v>-1.3133676075537982E-4</v>
      </c>
      <c r="BG31" s="32">
        <f t="shared" si="15"/>
        <v>-1.4850235637127451E-4</v>
      </c>
      <c r="BH31" s="32">
        <f t="shared" si="15"/>
        <v>-1.4374307005439978E-4</v>
      </c>
      <c r="BI31" s="32">
        <f t="shared" si="15"/>
        <v>-1.2427369119732794E-4</v>
      </c>
      <c r="BJ31" s="32">
        <f t="shared" si="15"/>
        <v>-1.0970286015673375E-4</v>
      </c>
      <c r="BK31" s="32">
        <f t="shared" si="15"/>
        <v>-1.4606364649199025E-4</v>
      </c>
    </row>
    <row r="32" spans="1:63" x14ac:dyDescent="0.2">
      <c r="S32" s="16">
        <v>7</v>
      </c>
      <c r="T32" s="26">
        <v>69614</v>
      </c>
      <c r="U32" s="26">
        <v>69825</v>
      </c>
      <c r="V32" s="26">
        <v>69927</v>
      </c>
      <c r="W32" s="26">
        <v>70176</v>
      </c>
      <c r="X32" s="26">
        <v>70410</v>
      </c>
      <c r="Y32" s="26">
        <v>70455</v>
      </c>
      <c r="Z32" s="26">
        <v>70696</v>
      </c>
      <c r="AA32" s="26">
        <v>70831</v>
      </c>
      <c r="AB32" s="26">
        <v>71066</v>
      </c>
      <c r="AC32" s="26">
        <v>71576</v>
      </c>
      <c r="AD32" s="26">
        <v>72144</v>
      </c>
      <c r="AE32" s="26">
        <v>73047</v>
      </c>
      <c r="AF32" s="26">
        <v>73971</v>
      </c>
      <c r="AH32" s="16">
        <v>7</v>
      </c>
      <c r="AI32" s="29">
        <f t="shared" si="16"/>
        <v>3.156212907221468E-2</v>
      </c>
      <c r="AJ32" s="29">
        <f t="shared" si="13"/>
        <v>3.1486188689863408E-2</v>
      </c>
      <c r="AK32" s="29">
        <f t="shared" si="13"/>
        <v>3.134500166301938E-2</v>
      </c>
      <c r="AL32" s="29">
        <f t="shared" si="13"/>
        <v>3.1132685682141028E-2</v>
      </c>
      <c r="AM32" s="29">
        <f t="shared" si="13"/>
        <v>3.0864914600932568E-2</v>
      </c>
      <c r="AN32" s="29">
        <f t="shared" si="13"/>
        <v>3.0491684086158322E-2</v>
      </c>
      <c r="AO32" s="29">
        <f t="shared" si="13"/>
        <v>3.0213695997975954E-2</v>
      </c>
      <c r="AP32" s="29">
        <f t="shared" si="13"/>
        <v>2.9796580109307271E-2</v>
      </c>
      <c r="AQ32" s="29">
        <f t="shared" si="13"/>
        <v>2.9383126347112522E-2</v>
      </c>
      <c r="AR32" s="29">
        <f t="shared" si="13"/>
        <v>2.9086014972942154E-2</v>
      </c>
      <c r="AS32" s="29">
        <f t="shared" si="13"/>
        <v>2.8844008703099101E-2</v>
      </c>
      <c r="AT32" s="29">
        <f t="shared" si="13"/>
        <v>2.873032698067457E-2</v>
      </c>
      <c r="AU32" s="29">
        <f t="shared" si="13"/>
        <v>2.8464770272360725E-2</v>
      </c>
      <c r="AV32" s="29" t="b">
        <f t="shared" si="14"/>
        <v>0</v>
      </c>
      <c r="AX32" s="16">
        <v>7</v>
      </c>
      <c r="AY32" s="32">
        <f t="shared" si="17"/>
        <v>1.4309880075432228E-8</v>
      </c>
      <c r="AZ32" s="32">
        <f t="shared" si="18"/>
        <v>-7.5940382351272206E-5</v>
      </c>
      <c r="BA32" s="32">
        <f t="shared" si="15"/>
        <v>-1.4118702684402795E-4</v>
      </c>
      <c r="BB32" s="32">
        <f t="shared" si="15"/>
        <v>-2.1231598087835188E-4</v>
      </c>
      <c r="BC32" s="32">
        <f t="shared" si="15"/>
        <v>-2.6777108120846008E-4</v>
      </c>
      <c r="BD32" s="32">
        <f t="shared" si="15"/>
        <v>-3.7323051477424624E-4</v>
      </c>
      <c r="BE32" s="32">
        <f t="shared" si="15"/>
        <v>-2.779880881823675E-4</v>
      </c>
      <c r="BF32" s="32">
        <f t="shared" si="15"/>
        <v>-4.1711588866868293E-4</v>
      </c>
      <c r="BG32" s="32">
        <f t="shared" si="15"/>
        <v>-4.1345376219474941E-4</v>
      </c>
      <c r="BH32" s="32">
        <f t="shared" si="15"/>
        <v>-2.9711137417036751E-4</v>
      </c>
      <c r="BI32" s="32">
        <f t="shared" si="15"/>
        <v>-2.4200626984305362E-4</v>
      </c>
      <c r="BJ32" s="32">
        <f t="shared" si="15"/>
        <v>-1.1368172242453081E-4</v>
      </c>
      <c r="BK32" s="32">
        <f t="shared" si="15"/>
        <v>-2.655567083138452E-4</v>
      </c>
    </row>
    <row r="33" spans="19:63" x14ac:dyDescent="0.2">
      <c r="S33" s="16">
        <v>8</v>
      </c>
      <c r="T33" s="26">
        <v>23206</v>
      </c>
      <c r="U33" s="26">
        <v>23389</v>
      </c>
      <c r="V33" s="26">
        <v>23511</v>
      </c>
      <c r="W33" s="26">
        <v>23671</v>
      </c>
      <c r="X33" s="26">
        <v>23795</v>
      </c>
      <c r="Y33" s="26">
        <v>23929</v>
      </c>
      <c r="Z33" s="26">
        <v>24042</v>
      </c>
      <c r="AA33" s="26">
        <v>24211</v>
      </c>
      <c r="AB33" s="26">
        <v>24476</v>
      </c>
      <c r="AC33" s="26">
        <v>24763</v>
      </c>
      <c r="AD33" s="26">
        <v>25019</v>
      </c>
      <c r="AE33" s="26">
        <v>25290</v>
      </c>
      <c r="AF33" s="26">
        <v>25611</v>
      </c>
      <c r="AH33" s="16">
        <v>8</v>
      </c>
      <c r="AI33" s="29">
        <f t="shared" si="16"/>
        <v>1.0521314207627976E-2</v>
      </c>
      <c r="AJ33" s="29">
        <f t="shared" si="13"/>
        <v>1.0546802252305266E-2</v>
      </c>
      <c r="AK33" s="29">
        <f t="shared" si="13"/>
        <v>1.0538881034496669E-2</v>
      </c>
      <c r="AL33" s="29">
        <f t="shared" si="13"/>
        <v>1.0501336678949503E-2</v>
      </c>
      <c r="AM33" s="29">
        <f t="shared" si="13"/>
        <v>1.0430771806976146E-2</v>
      </c>
      <c r="AN33" s="29">
        <f t="shared" si="13"/>
        <v>1.0356050081579483E-2</v>
      </c>
      <c r="AO33" s="29">
        <f t="shared" si="13"/>
        <v>1.0274947368780948E-2</v>
      </c>
      <c r="AP33" s="29">
        <f t="shared" si="13"/>
        <v>1.0184876692781951E-2</v>
      </c>
      <c r="AQ33" s="29">
        <f t="shared" si="13"/>
        <v>1.0119908260939494E-2</v>
      </c>
      <c r="AR33" s="29">
        <f t="shared" si="13"/>
        <v>1.0062828165515908E-2</v>
      </c>
      <c r="AS33" s="29">
        <f t="shared" si="13"/>
        <v>1.000288663981532E-2</v>
      </c>
      <c r="AT33" s="29">
        <f t="shared" si="13"/>
        <v>9.9468830936418999E-3</v>
      </c>
      <c r="AU33" s="29">
        <f t="shared" si="13"/>
        <v>9.8553653654192934E-3</v>
      </c>
      <c r="AV33" s="29" t="b">
        <f t="shared" si="14"/>
        <v>0</v>
      </c>
      <c r="AX33" s="16">
        <v>8</v>
      </c>
      <c r="AY33" s="32">
        <f t="shared" si="17"/>
        <v>4.7702341056465698E-9</v>
      </c>
      <c r="AZ33" s="32">
        <f t="shared" si="18"/>
        <v>2.5488044677290239E-5</v>
      </c>
      <c r="BA33" s="32">
        <f t="shared" si="15"/>
        <v>-7.9212178085968227E-6</v>
      </c>
      <c r="BB33" s="32">
        <f t="shared" si="15"/>
        <v>-3.7544355547166827E-5</v>
      </c>
      <c r="BC33" s="32">
        <f t="shared" si="15"/>
        <v>-7.0564871973356758E-5</v>
      </c>
      <c r="BD33" s="32">
        <f t="shared" si="15"/>
        <v>-7.4721725396662692E-5</v>
      </c>
      <c r="BE33" s="32">
        <f t="shared" si="15"/>
        <v>-8.1102712798535037E-5</v>
      </c>
      <c r="BF33" s="32">
        <f t="shared" si="15"/>
        <v>-9.0070675998997485E-5</v>
      </c>
      <c r="BG33" s="32">
        <f t="shared" si="15"/>
        <v>-6.4968431842456209E-5</v>
      </c>
      <c r="BH33" s="32">
        <f t="shared" si="15"/>
        <v>-5.7080095423586719E-5</v>
      </c>
      <c r="BI33" s="32">
        <f t="shared" si="15"/>
        <v>-5.9941525700588083E-5</v>
      </c>
      <c r="BJ33" s="32">
        <f t="shared" si="15"/>
        <v>-5.6003546173419641E-5</v>
      </c>
      <c r="BK33" s="32">
        <f t="shared" si="15"/>
        <v>-9.1517728222606509E-5</v>
      </c>
    </row>
    <row r="34" spans="19:63" x14ac:dyDescent="0.2">
      <c r="S34" s="16">
        <v>9</v>
      </c>
      <c r="T34" s="26">
        <v>48403</v>
      </c>
      <c r="U34" s="26">
        <v>48623</v>
      </c>
      <c r="V34" s="26">
        <v>48809</v>
      </c>
      <c r="W34" s="26">
        <v>48995</v>
      </c>
      <c r="X34" s="26">
        <v>49288</v>
      </c>
      <c r="Y34" s="26">
        <v>49634</v>
      </c>
      <c r="Z34" s="26">
        <v>50042</v>
      </c>
      <c r="AA34" s="26">
        <v>50409</v>
      </c>
      <c r="AB34" s="26">
        <v>51164</v>
      </c>
      <c r="AC34" s="26">
        <v>51711</v>
      </c>
      <c r="AD34" s="26">
        <v>52226</v>
      </c>
      <c r="AE34" s="26">
        <v>52673</v>
      </c>
      <c r="AF34" s="26">
        <v>53335</v>
      </c>
      <c r="AH34" s="16">
        <v>9</v>
      </c>
      <c r="AI34" s="29">
        <f t="shared" si="16"/>
        <v>2.1945323260872916E-2</v>
      </c>
      <c r="AJ34" s="29">
        <f t="shared" si="13"/>
        <v>2.1925570392656333E-2</v>
      </c>
      <c r="AK34" s="29">
        <f t="shared" si="13"/>
        <v>2.1878790541140232E-2</v>
      </c>
      <c r="AL34" s="29">
        <f t="shared" si="13"/>
        <v>2.1736005685654636E-2</v>
      </c>
      <c r="AM34" s="29">
        <f t="shared" si="13"/>
        <v>2.1605878580468175E-2</v>
      </c>
      <c r="AN34" s="29">
        <f t="shared" si="13"/>
        <v>2.1480721707932467E-2</v>
      </c>
      <c r="AO34" s="29">
        <f t="shared" si="13"/>
        <v>2.1386694793633483E-2</v>
      </c>
      <c r="AP34" s="29">
        <f t="shared" si="13"/>
        <v>2.120562757450933E-2</v>
      </c>
      <c r="AQ34" s="29">
        <f t="shared" si="13"/>
        <v>2.1154395581905062E-2</v>
      </c>
      <c r="AR34" s="29">
        <f t="shared" si="13"/>
        <v>2.101356488579708E-2</v>
      </c>
      <c r="AS34" s="29">
        <f t="shared" si="13"/>
        <v>2.0880561079619282E-2</v>
      </c>
      <c r="AT34" s="29">
        <f t="shared" si="13"/>
        <v>2.0716970074788447E-2</v>
      </c>
      <c r="AU34" s="29">
        <f t="shared" si="13"/>
        <v>2.0523833968397874E-2</v>
      </c>
      <c r="AV34" s="29" t="b">
        <f t="shared" si="14"/>
        <v>0</v>
      </c>
      <c r="AX34" s="16">
        <v>9</v>
      </c>
      <c r="AY34" s="32">
        <f t="shared" si="17"/>
        <v>9.9497389216414247E-9</v>
      </c>
      <c r="AZ34" s="32">
        <f t="shared" si="18"/>
        <v>-1.9752868216583314E-5</v>
      </c>
      <c r="BA34" s="32">
        <f t="shared" si="15"/>
        <v>-4.6779851516100951E-5</v>
      </c>
      <c r="BB34" s="32">
        <f t="shared" si="15"/>
        <v>-1.4278485548559552E-4</v>
      </c>
      <c r="BC34" s="32">
        <f t="shared" si="15"/>
        <v>-1.3012710518646095E-4</v>
      </c>
      <c r="BD34" s="32">
        <f t="shared" si="15"/>
        <v>-1.2515687253570815E-4</v>
      </c>
      <c r="BE34" s="32">
        <f t="shared" si="15"/>
        <v>-9.4026914298984271E-5</v>
      </c>
      <c r="BF34" s="32">
        <f t="shared" si="15"/>
        <v>-1.8106721912415288E-4</v>
      </c>
      <c r="BG34" s="32">
        <f t="shared" si="15"/>
        <v>-5.1231992604268417E-5</v>
      </c>
      <c r="BH34" s="32">
        <f t="shared" si="15"/>
        <v>-1.408306961079818E-4</v>
      </c>
      <c r="BI34" s="32">
        <f t="shared" si="15"/>
        <v>-1.3300380617779772E-4</v>
      </c>
      <c r="BJ34" s="32">
        <f t="shared" si="15"/>
        <v>-1.6359100483083477E-4</v>
      </c>
      <c r="BK34" s="32">
        <f t="shared" si="15"/>
        <v>-1.9313610639057344E-4</v>
      </c>
    </row>
    <row r="35" spans="19:63" x14ac:dyDescent="0.2">
      <c r="S35" s="16">
        <v>10</v>
      </c>
      <c r="T35" s="26">
        <v>53731</v>
      </c>
      <c r="U35" s="26">
        <v>53902</v>
      </c>
      <c r="V35" s="26">
        <v>54069</v>
      </c>
      <c r="W35" s="26">
        <v>54196</v>
      </c>
      <c r="X35" s="26">
        <v>54380</v>
      </c>
      <c r="Y35" s="26">
        <v>54668</v>
      </c>
      <c r="Z35" s="26">
        <v>54904</v>
      </c>
      <c r="AA35" s="26">
        <v>55269</v>
      </c>
      <c r="AB35" s="26">
        <v>55854</v>
      </c>
      <c r="AC35" s="26">
        <v>56467</v>
      </c>
      <c r="AD35" s="26">
        <v>57265</v>
      </c>
      <c r="AE35" s="26">
        <v>57944</v>
      </c>
      <c r="AF35" s="26">
        <v>59014</v>
      </c>
      <c r="AH35" s="16">
        <v>10</v>
      </c>
      <c r="AI35" s="29">
        <f t="shared" si="16"/>
        <v>2.4360972752307971E-2</v>
      </c>
      <c r="AJ35" s="29">
        <f t="shared" si="13"/>
        <v>2.430602997151475E-2</v>
      </c>
      <c r="AK35" s="29">
        <f t="shared" si="13"/>
        <v>2.423660238416913E-2</v>
      </c>
      <c r="AL35" s="29">
        <f t="shared" si="13"/>
        <v>2.4043362876614727E-2</v>
      </c>
      <c r="AM35" s="29">
        <f t="shared" si="13"/>
        <v>2.3838006760385073E-2</v>
      </c>
      <c r="AN35" s="29">
        <f t="shared" si="13"/>
        <v>2.3659348316260067E-2</v>
      </c>
      <c r="AO35" s="29">
        <f t="shared" si="13"/>
        <v>2.3464591562080906E-2</v>
      </c>
      <c r="AP35" s="29">
        <f t="shared" si="13"/>
        <v>2.3250090865035135E-2</v>
      </c>
      <c r="AQ35" s="29">
        <f t="shared" si="13"/>
        <v>2.3093534728162876E-2</v>
      </c>
      <c r="AR35" s="29">
        <f t="shared" si="13"/>
        <v>2.2946239067244953E-2</v>
      </c>
      <c r="AS35" s="29">
        <f t="shared" si="13"/>
        <v>2.2895211776211049E-2</v>
      </c>
      <c r="AT35" s="29">
        <f t="shared" si="13"/>
        <v>2.2790122339975731E-2</v>
      </c>
      <c r="AU35" s="29">
        <f t="shared" si="13"/>
        <v>2.2709169172420215E-2</v>
      </c>
      <c r="AV35" s="29" t="b">
        <f t="shared" si="14"/>
        <v>0</v>
      </c>
      <c r="AX35" s="16">
        <v>10</v>
      </c>
      <c r="AY35" s="32">
        <f t="shared" si="17"/>
        <v>1.1044964609605095E-8</v>
      </c>
      <c r="AZ35" s="32">
        <f t="shared" si="18"/>
        <v>-5.4942780793220541E-5</v>
      </c>
      <c r="BA35" s="32">
        <f t="shared" si="15"/>
        <v>-6.9427587345620434E-5</v>
      </c>
      <c r="BB35" s="32">
        <f t="shared" si="15"/>
        <v>-1.9323950755440258E-4</v>
      </c>
      <c r="BC35" s="32">
        <f t="shared" si="15"/>
        <v>-2.0535611622965466E-4</v>
      </c>
      <c r="BD35" s="32">
        <f t="shared" si="15"/>
        <v>-1.7865844412500581E-4</v>
      </c>
      <c r="BE35" s="32">
        <f t="shared" si="15"/>
        <v>-1.9475675417916088E-4</v>
      </c>
      <c r="BF35" s="32">
        <f t="shared" si="15"/>
        <v>-2.1450069704577121E-4</v>
      </c>
      <c r="BG35" s="32">
        <f t="shared" si="15"/>
        <v>-1.5655613687225872E-4</v>
      </c>
      <c r="BH35" s="32">
        <f t="shared" si="15"/>
        <v>-1.4729566091792323E-4</v>
      </c>
      <c r="BI35" s="32">
        <f t="shared" si="15"/>
        <v>-5.1027291033903938E-5</v>
      </c>
      <c r="BJ35" s="32">
        <f t="shared" si="15"/>
        <v>-1.0508943623531788E-4</v>
      </c>
      <c r="BK35" s="32">
        <f t="shared" si="15"/>
        <v>-8.0953167555516264E-5</v>
      </c>
    </row>
    <row r="36" spans="19:63" x14ac:dyDescent="0.2">
      <c r="S36" s="16">
        <v>11</v>
      </c>
      <c r="T36" s="26">
        <v>110611</v>
      </c>
      <c r="U36" s="26">
        <v>110970</v>
      </c>
      <c r="V36" s="26">
        <v>111257</v>
      </c>
      <c r="W36" s="26">
        <v>111727</v>
      </c>
      <c r="X36" s="26">
        <v>112173</v>
      </c>
      <c r="Y36" s="26">
        <v>112812</v>
      </c>
      <c r="Z36" s="26">
        <v>113346</v>
      </c>
      <c r="AA36" s="26">
        <v>114117</v>
      </c>
      <c r="AB36" s="26">
        <v>115047</v>
      </c>
      <c r="AC36" s="26">
        <v>116188</v>
      </c>
      <c r="AD36" s="26">
        <v>117805</v>
      </c>
      <c r="AE36" s="26">
        <v>119447</v>
      </c>
      <c r="AF36" s="26">
        <v>121622</v>
      </c>
      <c r="AH36" s="16">
        <v>11</v>
      </c>
      <c r="AI36" s="29">
        <f t="shared" si="16"/>
        <v>5.0149663268979489E-2</v>
      </c>
      <c r="AJ36" s="29">
        <f t="shared" si="13"/>
        <v>5.0039704388315683E-2</v>
      </c>
      <c r="AK36" s="29">
        <f t="shared" si="13"/>
        <v>4.9871306505678024E-2</v>
      </c>
      <c r="AL36" s="29">
        <f t="shared" si="13"/>
        <v>4.956625588817503E-2</v>
      </c>
      <c r="AM36" s="29">
        <f t="shared" si="13"/>
        <v>4.9172135570663383E-2</v>
      </c>
      <c r="AN36" s="29">
        <f t="shared" si="13"/>
        <v>4.8823048259565571E-2</v>
      </c>
      <c r="AO36" s="29">
        <f t="shared" si="13"/>
        <v>4.8441235523743666E-2</v>
      </c>
      <c r="AP36" s="29">
        <f t="shared" si="13"/>
        <v>4.8005764881673532E-2</v>
      </c>
      <c r="AQ36" s="29">
        <f t="shared" si="13"/>
        <v>4.7567620758960046E-2</v>
      </c>
      <c r="AR36" s="29">
        <f t="shared" si="13"/>
        <v>4.7214791378062525E-2</v>
      </c>
      <c r="AS36" s="29">
        <f t="shared" si="13"/>
        <v>4.7099806571143675E-2</v>
      </c>
      <c r="AT36" s="29">
        <f t="shared" si="13"/>
        <v>4.6980045270314116E-2</v>
      </c>
      <c r="AU36" s="29">
        <f t="shared" si="13"/>
        <v>4.6801344987428259E-2</v>
      </c>
      <c r="AV36" s="29" t="b">
        <f t="shared" si="14"/>
        <v>0</v>
      </c>
      <c r="AX36" s="16">
        <v>11</v>
      </c>
      <c r="AY36" s="32">
        <f t="shared" si="17"/>
        <v>2.2737238845974004E-8</v>
      </c>
      <c r="AZ36" s="32">
        <f t="shared" si="18"/>
        <v>-1.0995888066380605E-4</v>
      </c>
      <c r="BA36" s="32">
        <f t="shared" si="15"/>
        <v>-1.6839788263765809E-4</v>
      </c>
      <c r="BB36" s="32">
        <f t="shared" si="15"/>
        <v>-3.0505061750299434E-4</v>
      </c>
      <c r="BC36" s="32">
        <f t="shared" si="15"/>
        <v>-3.9412031751164672E-4</v>
      </c>
      <c r="BD36" s="32">
        <f t="shared" si="15"/>
        <v>-3.490873110978121E-4</v>
      </c>
      <c r="BE36" s="32">
        <f t="shared" si="15"/>
        <v>-3.8181273582190561E-4</v>
      </c>
      <c r="BF36" s="32">
        <f t="shared" si="15"/>
        <v>-4.3547064207013347E-4</v>
      </c>
      <c r="BG36" s="32">
        <f t="shared" si="15"/>
        <v>-4.3814412271348663E-4</v>
      </c>
      <c r="BH36" s="32">
        <f t="shared" si="15"/>
        <v>-3.5282938089752081E-4</v>
      </c>
      <c r="BI36" s="32">
        <f t="shared" si="15"/>
        <v>-1.1498480691884971E-4</v>
      </c>
      <c r="BJ36" s="32">
        <f t="shared" si="15"/>
        <v>-1.1976130082955866E-4</v>
      </c>
      <c r="BK36" s="32">
        <f t="shared" si="15"/>
        <v>-1.7870028288585749E-4</v>
      </c>
    </row>
    <row r="37" spans="19:63" x14ac:dyDescent="0.2">
      <c r="S37" s="16">
        <v>12</v>
      </c>
      <c r="T37" s="26">
        <v>89695</v>
      </c>
      <c r="U37" s="26">
        <v>89937</v>
      </c>
      <c r="V37" s="26">
        <v>90193</v>
      </c>
      <c r="W37" s="26">
        <v>90422</v>
      </c>
      <c r="X37" s="26">
        <v>90786</v>
      </c>
      <c r="Y37" s="26">
        <v>91260</v>
      </c>
      <c r="Z37" s="26">
        <v>91674</v>
      </c>
      <c r="AA37" s="26">
        <v>92526</v>
      </c>
      <c r="AB37" s="26">
        <v>93345</v>
      </c>
      <c r="AC37" s="26">
        <v>94527</v>
      </c>
      <c r="AD37" s="26">
        <v>95774</v>
      </c>
      <c r="AE37" s="26">
        <v>96568</v>
      </c>
      <c r="AF37" s="26">
        <v>98468</v>
      </c>
      <c r="AH37" s="16">
        <v>12</v>
      </c>
      <c r="AI37" s="29">
        <f t="shared" si="16"/>
        <v>4.0666606819494584E-2</v>
      </c>
      <c r="AJ37" s="29">
        <f t="shared" si="13"/>
        <v>4.0555293264593562E-2</v>
      </c>
      <c r="AK37" s="29">
        <f t="shared" si="13"/>
        <v>4.0429301056712101E-2</v>
      </c>
      <c r="AL37" s="29">
        <f t="shared" si="13"/>
        <v>4.0114564876176415E-2</v>
      </c>
      <c r="AM37" s="29">
        <f t="shared" si="13"/>
        <v>3.9796934199123189E-2</v>
      </c>
      <c r="AN37" s="29">
        <f t="shared" si="13"/>
        <v>3.9495721945962792E-2</v>
      </c>
      <c r="AO37" s="29">
        <f t="shared" si="13"/>
        <v>3.9179166670228124E-2</v>
      </c>
      <c r="AP37" s="29">
        <f t="shared" si="13"/>
        <v>3.8923047411356111E-2</v>
      </c>
      <c r="AQ37" s="29">
        <f t="shared" si="13"/>
        <v>3.8594657485593931E-2</v>
      </c>
      <c r="AR37" s="29">
        <f t="shared" si="13"/>
        <v>3.8412508904483389E-2</v>
      </c>
      <c r="AS37" s="29">
        <f t="shared" si="13"/>
        <v>3.8291557018332964E-2</v>
      </c>
      <c r="AT37" s="29">
        <f t="shared" si="13"/>
        <v>3.7981439564523961E-2</v>
      </c>
      <c r="AU37" s="29">
        <f t="shared" si="13"/>
        <v>3.7891457451958412E-2</v>
      </c>
      <c r="AV37" s="29" t="b">
        <f t="shared" si="14"/>
        <v>0</v>
      </c>
      <c r="AX37" s="16">
        <v>12</v>
      </c>
      <c r="AY37" s="32">
        <f t="shared" si="17"/>
        <v>1.8437738003359867E-8</v>
      </c>
      <c r="AZ37" s="32">
        <f t="shared" si="18"/>
        <v>-1.1131355490102274E-4</v>
      </c>
      <c r="BA37" s="32">
        <f t="shared" si="15"/>
        <v>-1.2599220788146043E-4</v>
      </c>
      <c r="BB37" s="32">
        <f t="shared" si="15"/>
        <v>-3.1473618053568658E-4</v>
      </c>
      <c r="BC37" s="32">
        <f t="shared" si="15"/>
        <v>-3.1763067705322529E-4</v>
      </c>
      <c r="BD37" s="32">
        <f t="shared" si="15"/>
        <v>-3.0121225316039751E-4</v>
      </c>
      <c r="BE37" s="32">
        <f t="shared" si="15"/>
        <v>-3.1655527573466735E-4</v>
      </c>
      <c r="BF37" s="32">
        <f t="shared" si="15"/>
        <v>-2.561192588720132E-4</v>
      </c>
      <c r="BG37" s="32">
        <f t="shared" si="15"/>
        <v>-3.2838992576218057E-4</v>
      </c>
      <c r="BH37" s="32">
        <f t="shared" si="15"/>
        <v>-1.8214858111054166E-4</v>
      </c>
      <c r="BI37" s="32">
        <f t="shared" si="15"/>
        <v>-1.2095188615042496E-4</v>
      </c>
      <c r="BJ37" s="32">
        <f t="shared" si="15"/>
        <v>-3.1011745380900291E-4</v>
      </c>
      <c r="BK37" s="32">
        <f t="shared" si="15"/>
        <v>-8.9982112565549499E-5</v>
      </c>
    </row>
    <row r="38" spans="19:63" x14ac:dyDescent="0.2">
      <c r="S38" s="16">
        <v>13</v>
      </c>
      <c r="T38" s="26">
        <v>37342</v>
      </c>
      <c r="U38" s="26">
        <v>37522</v>
      </c>
      <c r="V38" s="26">
        <v>37633</v>
      </c>
      <c r="W38" s="26">
        <v>37757</v>
      </c>
      <c r="X38" s="26">
        <v>37842</v>
      </c>
      <c r="Y38" s="26">
        <v>38006</v>
      </c>
      <c r="Z38" s="26">
        <v>38215</v>
      </c>
      <c r="AA38" s="26">
        <v>38576</v>
      </c>
      <c r="AB38" s="26">
        <v>38987</v>
      </c>
      <c r="AC38" s="26">
        <v>39330</v>
      </c>
      <c r="AD38" s="26">
        <v>39775</v>
      </c>
      <c r="AE38" s="26">
        <v>40404</v>
      </c>
      <c r="AF38" s="26">
        <v>41435</v>
      </c>
      <c r="AH38" s="16">
        <v>13</v>
      </c>
      <c r="AI38" s="29">
        <f t="shared" si="16"/>
        <v>1.6930402272741698E-2</v>
      </c>
      <c r="AJ38" s="29">
        <f t="shared" si="13"/>
        <v>1.6919796233742283E-2</v>
      </c>
      <c r="AK38" s="29">
        <f t="shared" si="13"/>
        <v>1.6869112754506962E-2</v>
      </c>
      <c r="AL38" s="29">
        <f t="shared" si="13"/>
        <v>1.6750410586248845E-2</v>
      </c>
      <c r="AM38" s="29">
        <f t="shared" si="13"/>
        <v>1.6588412133624345E-2</v>
      </c>
      <c r="AN38" s="29">
        <f t="shared" si="13"/>
        <v>1.6448327945192437E-2</v>
      </c>
      <c r="AO38" s="29">
        <f t="shared" si="13"/>
        <v>1.6332131840028446E-2</v>
      </c>
      <c r="AP38" s="29">
        <f t="shared" si="13"/>
        <v>1.6227822200683844E-2</v>
      </c>
      <c r="AQ38" s="29">
        <f t="shared" si="13"/>
        <v>1.6119662664211803E-2</v>
      </c>
      <c r="AR38" s="29">
        <f t="shared" si="13"/>
        <v>1.5982353985774769E-2</v>
      </c>
      <c r="AS38" s="29">
        <f t="shared" si="13"/>
        <v>1.5902506738824665E-2</v>
      </c>
      <c r="AT38" s="29">
        <f t="shared" si="13"/>
        <v>1.5891414176176646E-2</v>
      </c>
      <c r="AU38" s="29">
        <f t="shared" si="13"/>
        <v>1.5944596615366381E-2</v>
      </c>
      <c r="AV38" s="29" t="b">
        <f t="shared" si="14"/>
        <v>0</v>
      </c>
      <c r="AX38" s="16">
        <v>13</v>
      </c>
      <c r="AY38" s="32">
        <f t="shared" si="17"/>
        <v>7.6760355930817113E-9</v>
      </c>
      <c r="AZ38" s="32">
        <f t="shared" si="18"/>
        <v>-1.0606038999414619E-5</v>
      </c>
      <c r="BA38" s="32">
        <f t="shared" si="15"/>
        <v>-5.068347923532085E-5</v>
      </c>
      <c r="BB38" s="32">
        <f t="shared" si="15"/>
        <v>-1.1870216825811755E-4</v>
      </c>
      <c r="BC38" s="32">
        <f t="shared" si="15"/>
        <v>-1.6199845262450038E-4</v>
      </c>
      <c r="BD38" s="32">
        <f t="shared" si="15"/>
        <v>-1.4008418843190762E-4</v>
      </c>
      <c r="BE38" s="32">
        <f t="shared" si="15"/>
        <v>-1.1619610516399106E-4</v>
      </c>
      <c r="BF38" s="32">
        <f t="shared" si="15"/>
        <v>-1.0430963934460191E-4</v>
      </c>
      <c r="BG38" s="32">
        <f t="shared" si="15"/>
        <v>-1.0815953647204044E-4</v>
      </c>
      <c r="BH38" s="32">
        <f t="shared" si="15"/>
        <v>-1.373086784370349E-4</v>
      </c>
      <c r="BI38" s="32">
        <f t="shared" si="15"/>
        <v>-7.9847246950103673E-5</v>
      </c>
      <c r="BJ38" s="32">
        <f t="shared" si="15"/>
        <v>-1.1092562648019194E-5</v>
      </c>
      <c r="BK38" s="32">
        <f t="shared" si="15"/>
        <v>5.3182439189735503E-5</v>
      </c>
    </row>
    <row r="39" spans="19:63" x14ac:dyDescent="0.2">
      <c r="S39" s="16">
        <v>14</v>
      </c>
      <c r="T39" s="26">
        <v>12093</v>
      </c>
      <c r="U39" s="26">
        <v>12186</v>
      </c>
      <c r="V39" s="26">
        <v>12291</v>
      </c>
      <c r="W39" s="26">
        <v>12438</v>
      </c>
      <c r="X39" s="26">
        <v>12484</v>
      </c>
      <c r="Y39" s="26">
        <v>12502</v>
      </c>
      <c r="Z39" s="26">
        <v>12533</v>
      </c>
      <c r="AA39" s="26">
        <v>12569</v>
      </c>
      <c r="AB39" s="26">
        <v>12626</v>
      </c>
      <c r="AC39" s="26">
        <v>12701</v>
      </c>
      <c r="AD39" s="26">
        <v>12775</v>
      </c>
      <c r="AE39" s="26">
        <v>12816</v>
      </c>
      <c r="AF39" s="26">
        <v>12902</v>
      </c>
      <c r="AH39" s="16">
        <v>14</v>
      </c>
      <c r="AI39" s="29">
        <f t="shared" si="16"/>
        <v>5.4828170607965658E-3</v>
      </c>
      <c r="AJ39" s="29">
        <f t="shared" si="13"/>
        <v>5.4950332312878698E-3</v>
      </c>
      <c r="AK39" s="29">
        <f t="shared" si="13"/>
        <v>5.5094801069711444E-3</v>
      </c>
      <c r="AL39" s="29">
        <f t="shared" si="13"/>
        <v>5.5179597656530742E-3</v>
      </c>
      <c r="AM39" s="29">
        <f t="shared" si="13"/>
        <v>5.4724839352086659E-3</v>
      </c>
      <c r="AN39" s="29">
        <f t="shared" si="13"/>
        <v>5.4106455815080738E-3</v>
      </c>
      <c r="AO39" s="29">
        <f t="shared" si="13"/>
        <v>5.356289633679877E-3</v>
      </c>
      <c r="AP39" s="29">
        <f t="shared" si="13"/>
        <v>5.2874195676170478E-3</v>
      </c>
      <c r="AQ39" s="29">
        <f t="shared" si="13"/>
        <v>5.2203775822283896E-3</v>
      </c>
      <c r="AR39" s="29">
        <f t="shared" si="13"/>
        <v>5.1612478508346136E-3</v>
      </c>
      <c r="AS39" s="29">
        <f t="shared" si="13"/>
        <v>5.1075933020360807E-3</v>
      </c>
      <c r="AT39" s="29">
        <f t="shared" si="13"/>
        <v>5.0406980517245783E-3</v>
      </c>
      <c r="AU39" s="29">
        <f t="shared" si="13"/>
        <v>4.9648168343539778E-3</v>
      </c>
      <c r="AV39" s="29" t="b">
        <f t="shared" si="14"/>
        <v>0</v>
      </c>
      <c r="AX39" s="16">
        <v>14</v>
      </c>
      <c r="AY39" s="32">
        <f t="shared" si="17"/>
        <v>2.4858416374896132E-9</v>
      </c>
      <c r="AZ39" s="32">
        <f t="shared" si="18"/>
        <v>1.2216170491304024E-5</v>
      </c>
      <c r="BA39" s="32">
        <f t="shared" si="15"/>
        <v>1.4446875683274581E-5</v>
      </c>
      <c r="BB39" s="32">
        <f t="shared" si="15"/>
        <v>8.4796586819297845E-6</v>
      </c>
      <c r="BC39" s="32">
        <f t="shared" si="15"/>
        <v>-4.5475830444408234E-5</v>
      </c>
      <c r="BD39" s="32">
        <f t="shared" si="15"/>
        <v>-6.1838353700592076E-5</v>
      </c>
      <c r="BE39" s="32">
        <f t="shared" si="15"/>
        <v>-5.435594782819686E-5</v>
      </c>
      <c r="BF39" s="32">
        <f t="shared" si="15"/>
        <v>-6.8870066062829208E-5</v>
      </c>
      <c r="BG39" s="32">
        <f t="shared" si="15"/>
        <v>-6.7041985388658146E-5</v>
      </c>
      <c r="BH39" s="32">
        <f t="shared" si="15"/>
        <v>-5.9129731393776051E-5</v>
      </c>
      <c r="BI39" s="32">
        <f t="shared" si="15"/>
        <v>-5.3654548798532861E-5</v>
      </c>
      <c r="BJ39" s="32">
        <f t="shared" si="15"/>
        <v>-6.6895250311502404E-5</v>
      </c>
      <c r="BK39" s="32">
        <f t="shared" si="15"/>
        <v>-7.5881217370600551E-5</v>
      </c>
    </row>
    <row r="40" spans="19:63" x14ac:dyDescent="0.2">
      <c r="S40" s="19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H40" s="19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35"/>
      <c r="AX40" s="19" t="s">
        <v>225</v>
      </c>
      <c r="AY40" s="27">
        <v>4411236</v>
      </c>
      <c r="AZ40" s="27">
        <v>4435278</v>
      </c>
      <c r="BA40" s="27">
        <v>4461764</v>
      </c>
      <c r="BB40" s="27">
        <v>4508188</v>
      </c>
      <c r="BC40" s="27">
        <v>4562462</v>
      </c>
      <c r="BD40" s="27">
        <v>4621260</v>
      </c>
      <c r="BE40" s="27">
        <v>4679732</v>
      </c>
      <c r="BF40" s="27">
        <v>4754304</v>
      </c>
      <c r="BG40" s="27">
        <v>4837198</v>
      </c>
      <c r="BH40" s="27">
        <v>4921678</v>
      </c>
      <c r="BI40" s="27">
        <v>5002356</v>
      </c>
      <c r="BJ40" s="27">
        <v>5085010</v>
      </c>
      <c r="BK40" s="27">
        <v>5197372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DA187-A09D-464D-9279-9EC17E72B459}">
  <sheetPr>
    <tabColor theme="7"/>
  </sheetPr>
  <dimension ref="A1:X66"/>
  <sheetViews>
    <sheetView topLeftCell="B2" zoomScale="86" zoomScaleNormal="93" workbookViewId="0">
      <selection activeCell="J3" sqref="J3"/>
    </sheetView>
  </sheetViews>
  <sheetFormatPr baseColWidth="10" defaultRowHeight="16" x14ac:dyDescent="0.2"/>
  <cols>
    <col min="1" max="1" width="16.140625" bestFit="1" customWidth="1"/>
    <col min="2" max="2" width="16.140625" customWidth="1"/>
    <col min="3" max="3" width="12.140625" bestFit="1" customWidth="1"/>
    <col min="4" max="4" width="13.42578125" customWidth="1"/>
    <col min="7" max="8" width="11.42578125" bestFit="1" customWidth="1"/>
    <col min="12" max="12" width="18.42578125" bestFit="1" customWidth="1"/>
    <col min="15" max="18" width="20.7109375" customWidth="1"/>
  </cols>
  <sheetData>
    <row r="1" spans="1:24" ht="16" customHeight="1" x14ac:dyDescent="0.2">
      <c r="B1" s="51" t="s">
        <v>285</v>
      </c>
      <c r="C1" s="61" t="str">
        <f>COUNTY_PIVOT!AW72</f>
        <v>Change in Population (3-year rolling avg, 2010 baseline)</v>
      </c>
      <c r="D1" s="61"/>
      <c r="E1" s="61"/>
      <c r="F1" s="61"/>
      <c r="G1" s="61" t="str">
        <f>COUNTY_PIVOT!AW141</f>
        <v>Change in Housing (3-year rolling avg, 2010 baseline)</v>
      </c>
      <c r="H1" s="61"/>
      <c r="I1" s="61"/>
      <c r="J1" s="61"/>
    </row>
    <row r="2" spans="1:24" s="48" customFormat="1" ht="51" x14ac:dyDescent="0.2">
      <c r="A2" s="48" t="s">
        <v>133</v>
      </c>
      <c r="B2" s="50">
        <f>COUNTY_PIVOT!AE4</f>
        <v>2022</v>
      </c>
      <c r="C2" s="48" t="str">
        <f>COUNTY_PIVOT!BH73</f>
        <v>CY 20-22</v>
      </c>
      <c r="D2" s="48" t="str">
        <f>COUNTY_PIVOT!BI73</f>
        <v>CY 20-22 - Std Devs</v>
      </c>
      <c r="E2" s="48" t="str">
        <f>COUNTY_PIVOT!BJ73</f>
        <v>&gt;1% Dev</v>
      </c>
      <c r="F2" s="48" t="str">
        <f>COUNTY_PIVOT!BK73</f>
        <v>&lt;- 1% Dev</v>
      </c>
      <c r="G2" s="48" t="str" cm="1">
        <f t="array" ref="G2:K2">COUNTY_PIVOT!BH142:BL142</f>
        <v>CY 20-22</v>
      </c>
      <c r="H2" s="48" t="str">
        <v>CY 20-22 - Std Devs</v>
      </c>
      <c r="I2" s="48" t="str">
        <v>&gt;1% Dev</v>
      </c>
      <c r="J2" s="48" t="str">
        <v>&lt;- 1% Dev</v>
      </c>
      <c r="K2" s="48" t="str">
        <v>Stratum</v>
      </c>
      <c r="L2" s="48" t="s">
        <v>286</v>
      </c>
      <c r="N2" s="48" t="s">
        <v>261</v>
      </c>
      <c r="O2" s="48" t="s">
        <v>283</v>
      </c>
      <c r="P2" s="48" t="s">
        <v>282</v>
      </c>
      <c r="Q2" s="48" t="s">
        <v>281</v>
      </c>
      <c r="R2" s="48" t="s">
        <v>280</v>
      </c>
    </row>
    <row r="3" spans="1:24" ht="17" x14ac:dyDescent="0.2">
      <c r="A3" t="s">
        <v>146</v>
      </c>
      <c r="B3" s="23">
        <v>815.52317847863651</v>
      </c>
      <c r="C3" s="49">
        <v>1.127196390068805E-3</v>
      </c>
      <c r="D3" s="22">
        <f>_xlfn.XLOOKUP(PLOTS!A3,COUNTY_PIVOT!$AW$74:$AW$138,COUNTY_PIVOT!$BI$74:$BI$138)</f>
        <v>-0.18873227394953571</v>
      </c>
      <c r="E3" s="48" t="b">
        <f>_xlfn.XLOOKUP(PLOTS!A3,COUNTY_PIVOT!$AW$74:$AW$138,COUNTY_PIVOT!$BJ$74:$BJ$138)</f>
        <v>0</v>
      </c>
      <c r="F3" s="48" t="b">
        <f>_xlfn.XLOOKUP(PLOTS!A3,COUNTY_PIVOT!$AW$74:$AW$138,COUNTY_PIVOT!$BK$74:$BK$138)</f>
        <v>0</v>
      </c>
      <c r="G3" s="49">
        <v>1.3913231185349019E-2</v>
      </c>
      <c r="H3" s="22">
        <v>0.17380413143503393</v>
      </c>
      <c r="I3" s="48" t="b">
        <v>0</v>
      </c>
      <c r="J3" s="48" t="b">
        <v>0</v>
      </c>
      <c r="K3" s="48" t="s">
        <v>262</v>
      </c>
      <c r="L3" s="57" t="s">
        <v>287</v>
      </c>
      <c r="M3">
        <f>COUNTA(L3:L66)-COUNTIF(L3:L66,"--")</f>
        <v>29</v>
      </c>
      <c r="N3" t="s">
        <v>262</v>
      </c>
      <c r="O3">
        <f>COUNTIFS($K$3:$K$66,N3,$E$3:$E$66,TRUE)</f>
        <v>0</v>
      </c>
      <c r="P3">
        <f>COUNTIFS($K$3:$K$66,N3,$F$3:$F$66,TRUE)</f>
        <v>0</v>
      </c>
      <c r="Q3">
        <f>COUNTIFS($K$3:$K$66,N3,$I$3:$I$66,TRUE)</f>
        <v>2</v>
      </c>
      <c r="R3">
        <f>COUNTIFS($K$3:$K$66,N3,$J$3:$J$66,TRUE)</f>
        <v>0</v>
      </c>
      <c r="X3" t="str">
        <f>_xlfn.CONCAT(A3," CO")</f>
        <v>Arapahoe County CO</v>
      </c>
    </row>
    <row r="4" spans="1:24" ht="17" x14ac:dyDescent="0.2">
      <c r="A4" s="52" t="s">
        <v>160</v>
      </c>
      <c r="B4" s="53">
        <v>4578.1639470641139</v>
      </c>
      <c r="C4" s="54">
        <v>1.1995060365832646E-3</v>
      </c>
      <c r="D4" s="55">
        <v>-0.18357867541143846</v>
      </c>
      <c r="E4" s="56" t="b">
        <f>_xlfn.XLOOKUP(PLOTS!A4,COUNTY_PIVOT!$AW$74:$AW$138,COUNTY_PIVOT!$BJ$74:$BJ$138)</f>
        <v>0</v>
      </c>
      <c r="F4" s="56" t="b">
        <f>_xlfn.XLOOKUP(PLOTS!A4,COUNTY_PIVOT!$AW$74:$AW$138,COUNTY_PIVOT!$BK$74:$BK$138)</f>
        <v>0</v>
      </c>
      <c r="G4" s="54">
        <v>2.1530492541112421E-2</v>
      </c>
      <c r="H4" s="55">
        <v>1.0400644114162461</v>
      </c>
      <c r="I4" s="56" t="b">
        <v>1</v>
      </c>
      <c r="J4" s="56" t="b">
        <v>0</v>
      </c>
      <c r="K4" s="56" t="s">
        <v>262</v>
      </c>
      <c r="L4" t="s">
        <v>289</v>
      </c>
      <c r="M4">
        <f>SUM(O3:R6)</f>
        <v>37</v>
      </c>
      <c r="N4" t="s">
        <v>263</v>
      </c>
      <c r="O4">
        <f>COUNTIFS($K$3:$K$66,N4,$E$3:$E$66,TRUE)</f>
        <v>2</v>
      </c>
      <c r="P4">
        <f t="shared" ref="P4:P6" si="0">COUNTIFS($K$3:$K$66,N4,$F$3:$F$66,TRUE)</f>
        <v>0</v>
      </c>
      <c r="Q4">
        <f>COUNTIFS($K$3:$K$66,N4,$I$3:$I$66,TRUE)</f>
        <v>3</v>
      </c>
      <c r="R4">
        <f t="shared" ref="R4:R6" si="1">COUNTIFS($K$3:$K$66,N4,$J$3:$J$66,TRUE)</f>
        <v>0</v>
      </c>
      <c r="X4" t="str">
        <f t="shared" ref="X4:X66" si="2">_xlfn.CONCAT(A4," CO")</f>
        <v>Denver County CO</v>
      </c>
    </row>
    <row r="5" spans="1:24" ht="17" x14ac:dyDescent="0.2">
      <c r="A5" s="52" t="s">
        <v>165</v>
      </c>
      <c r="B5" s="53">
        <v>347.90566569576248</v>
      </c>
      <c r="C5" s="54">
        <v>6.8718190285785288E-3</v>
      </c>
      <c r="D5" s="55">
        <v>0.220694133989326</v>
      </c>
      <c r="E5" s="56" t="b">
        <f>_xlfn.XLOOKUP(PLOTS!A5,COUNTY_PIVOT!$AW$74:$AW$138,COUNTY_PIVOT!$BJ$74:$BJ$138)</f>
        <v>0</v>
      </c>
      <c r="F5" s="56" t="b">
        <f>_xlfn.XLOOKUP(PLOTS!A5,COUNTY_PIVOT!$AW$74:$AW$138,COUNTY_PIVOT!$BK$74:$BK$138)</f>
        <v>0</v>
      </c>
      <c r="G5" s="54">
        <v>2.2684847572775727E-2</v>
      </c>
      <c r="H5" s="55">
        <v>1.1713415025153684</v>
      </c>
      <c r="I5" s="56" t="b">
        <v>1</v>
      </c>
      <c r="J5" s="56" t="b">
        <v>0</v>
      </c>
      <c r="K5" s="56" t="s">
        <v>262</v>
      </c>
      <c r="L5" t="s">
        <v>289</v>
      </c>
      <c r="N5" t="s">
        <v>264</v>
      </c>
      <c r="O5">
        <f>COUNTIFS($K$3:$K$66,N5,$E$3:$E$66,TRUE)</f>
        <v>1</v>
      </c>
      <c r="P5">
        <f t="shared" si="0"/>
        <v>1</v>
      </c>
      <c r="Q5">
        <f>COUNTIFS($K$3:$K$66,N5,$I$3:$I$66,TRUE)</f>
        <v>3</v>
      </c>
      <c r="R5">
        <f t="shared" si="1"/>
        <v>2</v>
      </c>
      <c r="X5" t="str">
        <f t="shared" si="2"/>
        <v>El Paso County CO</v>
      </c>
    </row>
    <row r="6" spans="1:24" ht="17" x14ac:dyDescent="0.2">
      <c r="A6" s="52" t="s">
        <v>144</v>
      </c>
      <c r="B6" s="53">
        <v>446.16887565656481</v>
      </c>
      <c r="C6" s="54">
        <v>7.0620307837532537E-3</v>
      </c>
      <c r="D6" s="55">
        <v>0.2342507626087364</v>
      </c>
      <c r="E6" s="56" t="b">
        <f>_xlfn.XLOOKUP(PLOTS!A6,COUNTY_PIVOT!$AW$74:$AW$138,COUNTY_PIVOT!$BJ$74:$BJ$138)</f>
        <v>0</v>
      </c>
      <c r="F6" s="56" t="b">
        <f>_xlfn.XLOOKUP(PLOTS!A6,COUNTY_PIVOT!$AW$74:$AW$138,COUNTY_PIVOT!$BK$74:$BK$138)</f>
        <v>0</v>
      </c>
      <c r="G6" s="54">
        <v>2.3038900684513208E-2</v>
      </c>
      <c r="H6" s="55">
        <v>1.2116055992001791</v>
      </c>
      <c r="I6" s="56" t="b">
        <v>1</v>
      </c>
      <c r="J6" s="56" t="b">
        <v>0</v>
      </c>
      <c r="K6" s="56" t="s">
        <v>263</v>
      </c>
      <c r="L6" t="s">
        <v>289</v>
      </c>
      <c r="N6" t="s">
        <v>265</v>
      </c>
      <c r="O6">
        <f>COUNTIFS($K$3:$K$66,N6,$E$3:$E$66,TRUE)</f>
        <v>5</v>
      </c>
      <c r="P6">
        <f t="shared" si="0"/>
        <v>7</v>
      </c>
      <c r="Q6">
        <f>COUNTIFS($K$3:$K$66,N6,$I$3:$I$66,TRUE)</f>
        <v>3</v>
      </c>
      <c r="R6">
        <f t="shared" si="1"/>
        <v>8</v>
      </c>
      <c r="X6" t="str">
        <f t="shared" si="2"/>
        <v>Adams County CO</v>
      </c>
    </row>
    <row r="7" spans="1:24" ht="17" x14ac:dyDescent="0.2">
      <c r="A7" s="52" t="s">
        <v>162</v>
      </c>
      <c r="B7" s="53">
        <v>446.42763860857178</v>
      </c>
      <c r="C7" s="54">
        <v>2.3026039684271249E-2</v>
      </c>
      <c r="D7" s="55">
        <v>1.3720255533543821</v>
      </c>
      <c r="E7" s="56" t="b">
        <f>_xlfn.XLOOKUP(PLOTS!A7,COUNTY_PIVOT!$AW$74:$AW$138,COUNTY_PIVOT!$BJ$74:$BJ$138)</f>
        <v>1</v>
      </c>
      <c r="F7" s="56" t="b">
        <f>_xlfn.XLOOKUP(PLOTS!A7,COUNTY_PIVOT!$AW$74:$AW$138,COUNTY_PIVOT!$BK$74:$BK$138)</f>
        <v>0</v>
      </c>
      <c r="G7" s="54">
        <v>3.2484888197036446E-2</v>
      </c>
      <c r="H7" s="55">
        <v>2.2858346961322678</v>
      </c>
      <c r="I7" s="56" t="b">
        <v>1</v>
      </c>
      <c r="J7" s="56" t="b">
        <v>0</v>
      </c>
      <c r="K7" s="56" t="s">
        <v>263</v>
      </c>
      <c r="L7" t="s">
        <v>288</v>
      </c>
      <c r="X7" t="str">
        <f t="shared" si="2"/>
        <v>Douglas County CO</v>
      </c>
    </row>
    <row r="8" spans="1:24" ht="17" x14ac:dyDescent="0.2">
      <c r="A8" s="52" t="s">
        <v>174</v>
      </c>
      <c r="B8" s="53">
        <v>745.21058420133272</v>
      </c>
      <c r="C8" s="54">
        <v>-3.8022510279360562E-3</v>
      </c>
      <c r="D8" s="55">
        <v>-0.54006012896784239</v>
      </c>
      <c r="E8" s="56" t="b">
        <f>_xlfn.XLOOKUP(PLOTS!A8,COUNTY_PIVOT!$AW$74:$AW$138,COUNTY_PIVOT!$BJ$74:$BJ$138)</f>
        <v>0</v>
      </c>
      <c r="F8" s="56" t="b">
        <f>_xlfn.XLOOKUP(PLOTS!A8,COUNTY_PIVOT!$AW$74:$AW$138,COUNTY_PIVOT!$BK$74:$BK$138)</f>
        <v>0</v>
      </c>
      <c r="G8" s="54">
        <v>1.0116943540939867E-2</v>
      </c>
      <c r="H8" s="55">
        <v>-0.25792231776273122</v>
      </c>
      <c r="I8" s="56" t="b">
        <v>0</v>
      </c>
      <c r="J8" s="56" t="b">
        <v>0</v>
      </c>
      <c r="K8" s="56" t="s">
        <v>263</v>
      </c>
      <c r="L8" t="s">
        <v>290</v>
      </c>
      <c r="X8" t="str">
        <f t="shared" si="2"/>
        <v>Jefferson County CO</v>
      </c>
    </row>
    <row r="9" spans="1:24" ht="17" x14ac:dyDescent="0.2">
      <c r="A9" t="s">
        <v>179</v>
      </c>
      <c r="B9" s="23">
        <v>139.39127956682816</v>
      </c>
      <c r="C9" s="49">
        <v>9.2967613632005119E-3</v>
      </c>
      <c r="D9" s="22">
        <v>0.39352279341554691</v>
      </c>
      <c r="E9" s="48" t="b">
        <f>_xlfn.XLOOKUP(PLOTS!A9,COUNTY_PIVOT!$AW$74:$AW$138,COUNTY_PIVOT!$BJ$74:$BJ$138)</f>
        <v>0</v>
      </c>
      <c r="F9" s="48" t="b">
        <f>_xlfn.XLOOKUP(PLOTS!A9,COUNTY_PIVOT!$AW$74:$AW$138,COUNTY_PIVOT!$BK$74:$BK$138)</f>
        <v>0</v>
      </c>
      <c r="G9" s="49">
        <v>1.8607286028328961E-2</v>
      </c>
      <c r="H9" s="22">
        <v>0.70762765049419418</v>
      </c>
      <c r="I9" s="48" t="b">
        <v>0</v>
      </c>
      <c r="J9" s="48" t="b">
        <v>0</v>
      </c>
      <c r="K9" s="48" t="s">
        <v>263</v>
      </c>
      <c r="L9" s="57" t="s">
        <v>287</v>
      </c>
      <c r="X9" t="str">
        <f t="shared" si="2"/>
        <v>Larimer County CO</v>
      </c>
    </row>
    <row r="10" spans="1:24" ht="17" x14ac:dyDescent="0.2">
      <c r="A10" s="52" t="s">
        <v>206</v>
      </c>
      <c r="B10" s="53">
        <v>87.249616327506828</v>
      </c>
      <c r="C10" s="54">
        <v>2.8031012320035253E-2</v>
      </c>
      <c r="D10" s="55">
        <v>1.7287361846770255</v>
      </c>
      <c r="E10" s="56" t="b">
        <f>_xlfn.XLOOKUP(PLOTS!A10,COUNTY_PIVOT!$AW$74:$AW$138,COUNTY_PIVOT!$BJ$74:$BJ$138)</f>
        <v>1</v>
      </c>
      <c r="F10" s="56" t="b">
        <f>_xlfn.XLOOKUP(PLOTS!A10,COUNTY_PIVOT!$AW$74:$AW$138,COUNTY_PIVOT!$BK$74:$BK$138)</f>
        <v>0</v>
      </c>
      <c r="G10" s="54">
        <v>3.5020752705211967E-2</v>
      </c>
      <c r="H10" s="55">
        <v>2.5742216368251265</v>
      </c>
      <c r="I10" s="56" t="b">
        <v>1</v>
      </c>
      <c r="J10" s="56" t="b">
        <v>0</v>
      </c>
      <c r="K10" s="56" t="s">
        <v>263</v>
      </c>
      <c r="L10" t="s">
        <v>288</v>
      </c>
      <c r="X10" t="str">
        <f t="shared" si="2"/>
        <v>Weld County CO</v>
      </c>
    </row>
    <row r="11" spans="1:24" ht="17" x14ac:dyDescent="0.2">
      <c r="A11" t="s">
        <v>150</v>
      </c>
      <c r="B11" s="23">
        <v>442.17804667242871</v>
      </c>
      <c r="C11" s="49">
        <v>-1.3956901700198764E-3</v>
      </c>
      <c r="D11" s="22">
        <v>-0.36854154027278119</v>
      </c>
      <c r="E11" s="48" t="b">
        <f>_xlfn.XLOOKUP(PLOTS!A11,COUNTY_PIVOT!$AW$74:$AW$138,COUNTY_PIVOT!$BJ$74:$BJ$138)</f>
        <v>0</v>
      </c>
      <c r="F11" s="48" t="b">
        <f>_xlfn.XLOOKUP(PLOTS!A11,COUNTY_PIVOT!$AW$74:$AW$138,COUNTY_PIVOT!$BK$74:$BK$138)</f>
        <v>0</v>
      </c>
      <c r="G11" s="49">
        <v>1.0647361135346719E-2</v>
      </c>
      <c r="H11" s="22">
        <v>-0.19760146590037689</v>
      </c>
      <c r="I11" s="48" t="b">
        <v>0</v>
      </c>
      <c r="J11" s="48" t="b">
        <v>0</v>
      </c>
      <c r="K11" s="48" t="s">
        <v>264</v>
      </c>
      <c r="L11" s="57" t="s">
        <v>287</v>
      </c>
      <c r="X11" t="str">
        <f t="shared" si="2"/>
        <v>Boulder County CO</v>
      </c>
    </row>
    <row r="12" spans="1:24" ht="17" x14ac:dyDescent="0.2">
      <c r="A12" s="52" t="s">
        <v>151</v>
      </c>
      <c r="B12" s="53">
        <v>2268.5433422698839</v>
      </c>
      <c r="C12" s="54">
        <v>1.5763218617618962E-2</v>
      </c>
      <c r="D12" s="55">
        <v>0.85439525316924225</v>
      </c>
      <c r="E12" s="56" t="b">
        <f>_xlfn.XLOOKUP(PLOTS!A12,COUNTY_PIVOT!$AW$74:$AW$138,COUNTY_PIVOT!$BJ$74:$BJ$138)</f>
        <v>0</v>
      </c>
      <c r="F12" s="56" t="b">
        <f>_xlfn.XLOOKUP(PLOTS!A12,COUNTY_PIVOT!$AW$74:$AW$138,COUNTY_PIVOT!$BK$74:$BK$138)</f>
        <v>0</v>
      </c>
      <c r="G12" s="54">
        <v>2.7935191747388632E-2</v>
      </c>
      <c r="H12" s="55">
        <v>1.7684280933879071</v>
      </c>
      <c r="I12" s="56" t="b">
        <v>1</v>
      </c>
      <c r="J12" s="56" t="b">
        <v>0</v>
      </c>
      <c r="K12" s="56" t="s">
        <v>264</v>
      </c>
      <c r="L12" t="s">
        <v>289</v>
      </c>
      <c r="N12" t="s">
        <v>306</v>
      </c>
      <c r="X12" t="str">
        <f t="shared" si="2"/>
        <v>Broomfield County CO</v>
      </c>
    </row>
    <row r="13" spans="1:24" ht="17" x14ac:dyDescent="0.2">
      <c r="A13" s="52" t="s">
        <v>152</v>
      </c>
      <c r="B13" s="53">
        <v>19.978897960793596</v>
      </c>
      <c r="C13" s="54">
        <v>1.4777597176287835E-2</v>
      </c>
      <c r="D13" s="55">
        <v>0.78414878587188586</v>
      </c>
      <c r="E13" s="56" t="b">
        <f>_xlfn.XLOOKUP(PLOTS!A13,COUNTY_PIVOT!$AW$74:$AW$138,COUNTY_PIVOT!$BJ$74:$BJ$138)</f>
        <v>0</v>
      </c>
      <c r="F13" s="56" t="b">
        <f>_xlfn.XLOOKUP(PLOTS!A13,COUNTY_PIVOT!$AW$74:$AW$138,COUNTY_PIVOT!$BK$74:$BK$138)</f>
        <v>0</v>
      </c>
      <c r="G13" s="54">
        <v>3.2849786268406719E-2</v>
      </c>
      <c r="H13" s="55">
        <v>2.3273321176734951</v>
      </c>
      <c r="I13" s="56" t="b">
        <v>1</v>
      </c>
      <c r="J13" s="56" t="b">
        <v>0</v>
      </c>
      <c r="K13" s="56" t="s">
        <v>264</v>
      </c>
      <c r="L13" t="s">
        <v>289</v>
      </c>
      <c r="N13" t="s">
        <v>307</v>
      </c>
      <c r="X13" t="str">
        <f t="shared" si="2"/>
        <v>Chaffee County CO</v>
      </c>
    </row>
    <row r="14" spans="1:24" ht="17" x14ac:dyDescent="0.2">
      <c r="A14" t="s">
        <v>159</v>
      </c>
      <c r="B14" s="23">
        <v>27.475118318485521</v>
      </c>
      <c r="C14" s="49">
        <v>3.6822161401776055E-3</v>
      </c>
      <c r="D14" s="22">
        <v>-6.6328351652898687E-3</v>
      </c>
      <c r="E14" s="48" t="b">
        <f>_xlfn.XLOOKUP(PLOTS!A14,COUNTY_PIVOT!$AW$74:$AW$138,COUNTY_PIVOT!$BJ$74:$BJ$138)</f>
        <v>0</v>
      </c>
      <c r="F14" s="48" t="b">
        <f>_xlfn.XLOOKUP(PLOTS!A14,COUNTY_PIVOT!$AW$74:$AW$138,COUNTY_PIVOT!$BK$74:$BK$138)</f>
        <v>0</v>
      </c>
      <c r="G14" s="49">
        <v>7.9382227464730205E-3</v>
      </c>
      <c r="H14" s="22">
        <v>-0.50569368824193017</v>
      </c>
      <c r="I14" s="48" t="b">
        <v>0</v>
      </c>
      <c r="J14" s="48" t="b">
        <v>0</v>
      </c>
      <c r="K14" s="48" t="s">
        <v>264</v>
      </c>
      <c r="L14" s="57" t="s">
        <v>287</v>
      </c>
      <c r="N14" t="s">
        <v>308</v>
      </c>
      <c r="X14" t="str">
        <f t="shared" si="2"/>
        <v>Delta County CO</v>
      </c>
    </row>
    <row r="15" spans="1:24" ht="17" x14ac:dyDescent="0.2">
      <c r="A15" t="s">
        <v>163</v>
      </c>
      <c r="B15" s="23">
        <v>32.509583950704389</v>
      </c>
      <c r="C15" s="49">
        <v>2.911136628071334E-3</v>
      </c>
      <c r="D15" s="22">
        <v>-6.1588632045765222E-2</v>
      </c>
      <c r="E15" s="48" t="b">
        <f>_xlfn.XLOOKUP(PLOTS!A15,COUNTY_PIVOT!$AW$74:$AW$138,COUNTY_PIVOT!$BJ$74:$BJ$138)</f>
        <v>0</v>
      </c>
      <c r="F15" s="48" t="b">
        <f>_xlfn.XLOOKUP(PLOTS!A15,COUNTY_PIVOT!$AW$74:$AW$138,COUNTY_PIVOT!$BK$74:$BK$138)</f>
        <v>0</v>
      </c>
      <c r="G15" s="49">
        <v>1.714616924726443E-2</v>
      </c>
      <c r="H15" s="22">
        <v>0.5414645936243464</v>
      </c>
      <c r="I15" s="48" t="b">
        <v>0</v>
      </c>
      <c r="J15" s="48" t="b">
        <v>0</v>
      </c>
      <c r="K15" s="48" t="s">
        <v>264</v>
      </c>
      <c r="L15" s="57" t="s">
        <v>287</v>
      </c>
      <c r="N15" t="s">
        <v>309</v>
      </c>
      <c r="X15" t="str">
        <f t="shared" si="2"/>
        <v>Eagle County CO</v>
      </c>
    </row>
    <row r="16" spans="1:24" ht="17" x14ac:dyDescent="0.2">
      <c r="A16" s="52" t="s">
        <v>164</v>
      </c>
      <c r="B16" s="53">
        <v>15.045860644212258</v>
      </c>
      <c r="C16" s="54">
        <v>2.7242168150333885E-2</v>
      </c>
      <c r="D16" s="55">
        <v>1.6725142785313971</v>
      </c>
      <c r="E16" s="56" t="b">
        <f>_xlfn.XLOOKUP(PLOTS!A16,COUNTY_PIVOT!$AW$74:$AW$138,COUNTY_PIVOT!$BJ$74:$BJ$138)</f>
        <v>1</v>
      </c>
      <c r="F16" s="56" t="b">
        <f>_xlfn.XLOOKUP(PLOTS!A16,COUNTY_PIVOT!$AW$74:$AW$138,COUNTY_PIVOT!$BK$74:$BK$138)</f>
        <v>0</v>
      </c>
      <c r="G16" s="54">
        <v>2.9550936023521379E-2</v>
      </c>
      <c r="H16" s="55">
        <v>1.9521759029548957</v>
      </c>
      <c r="I16" s="56" t="b">
        <v>1</v>
      </c>
      <c r="J16" s="56" t="b">
        <v>0</v>
      </c>
      <c r="K16" s="56" t="s">
        <v>264</v>
      </c>
      <c r="L16" t="s">
        <v>288</v>
      </c>
      <c r="X16" t="str">
        <f t="shared" si="2"/>
        <v>Elbert County CO</v>
      </c>
    </row>
    <row r="17" spans="1:24" ht="17" x14ac:dyDescent="0.2">
      <c r="A17" t="s">
        <v>166</v>
      </c>
      <c r="B17" s="23">
        <v>32.333392038301731</v>
      </c>
      <c r="C17" s="49">
        <v>8.1409297922506851E-3</v>
      </c>
      <c r="D17" s="22">
        <v>0.31114523825570367</v>
      </c>
      <c r="E17" s="48" t="b">
        <f>_xlfn.XLOOKUP(PLOTS!A17,COUNTY_PIVOT!$AW$74:$AW$138,COUNTY_PIVOT!$BJ$74:$BJ$138)</f>
        <v>0</v>
      </c>
      <c r="F17" s="48" t="b">
        <f>_xlfn.XLOOKUP(PLOTS!A17,COUNTY_PIVOT!$AW$74:$AW$138,COUNTY_PIVOT!$BK$74:$BK$138)</f>
        <v>0</v>
      </c>
      <c r="G17" s="49">
        <v>8.1876804463587877E-3</v>
      </c>
      <c r="H17" s="22">
        <v>-0.47732452945193926</v>
      </c>
      <c r="I17" s="48" t="b">
        <v>0</v>
      </c>
      <c r="J17" s="48" t="b">
        <v>0</v>
      </c>
      <c r="K17" s="48" t="s">
        <v>264</v>
      </c>
      <c r="L17" s="57" t="s">
        <v>287</v>
      </c>
      <c r="X17" t="str">
        <f t="shared" si="2"/>
        <v>Fremont County CO</v>
      </c>
    </row>
    <row r="18" spans="1:24" ht="17" x14ac:dyDescent="0.2">
      <c r="A18" t="s">
        <v>167</v>
      </c>
      <c r="B18" s="23">
        <v>21.044340703731624</v>
      </c>
      <c r="C18" s="49">
        <v>9.2816356931372888E-3</v>
      </c>
      <c r="D18" s="22">
        <v>0.39244476807753093</v>
      </c>
      <c r="E18" s="48" t="b">
        <f>_xlfn.XLOOKUP(PLOTS!A18,COUNTY_PIVOT!$AW$74:$AW$138,COUNTY_PIVOT!$BJ$74:$BJ$138)</f>
        <v>0</v>
      </c>
      <c r="F18" s="48" t="b">
        <f>_xlfn.XLOOKUP(PLOTS!A18,COUNTY_PIVOT!$AW$74:$AW$138,COUNTY_PIVOT!$BK$74:$BK$138)</f>
        <v>0</v>
      </c>
      <c r="G18" s="49">
        <v>1.6171694628056316E-2</v>
      </c>
      <c r="H18" s="22">
        <v>0.4306441009244204</v>
      </c>
      <c r="I18" s="48" t="b">
        <v>0</v>
      </c>
      <c r="J18" s="48" t="b">
        <v>0</v>
      </c>
      <c r="K18" s="48" t="s">
        <v>264</v>
      </c>
      <c r="L18" s="57" t="s">
        <v>287</v>
      </c>
      <c r="X18" t="str">
        <f t="shared" si="2"/>
        <v>Garfield County CO</v>
      </c>
    </row>
    <row r="19" spans="1:24" ht="17" x14ac:dyDescent="0.2">
      <c r="A19" t="s">
        <v>178</v>
      </c>
      <c r="B19" s="23">
        <v>33.260215003175645</v>
      </c>
      <c r="C19" s="49">
        <v>6.2573284912035782E-3</v>
      </c>
      <c r="D19" s="22">
        <v>0.17689862830313974</v>
      </c>
      <c r="E19" s="48" t="b">
        <f>_xlfn.XLOOKUP(PLOTS!A19,COUNTY_PIVOT!$AW$74:$AW$138,COUNTY_PIVOT!$BJ$74:$BJ$138)</f>
        <v>0</v>
      </c>
      <c r="F19" s="48" t="b">
        <f>_xlfn.XLOOKUP(PLOTS!A19,COUNTY_PIVOT!$AW$74:$AW$138,COUNTY_PIVOT!$BK$74:$BK$138)</f>
        <v>0</v>
      </c>
      <c r="G19" s="49">
        <v>1.1344877690765183E-2</v>
      </c>
      <c r="H19" s="22">
        <v>-0.1182775647805665</v>
      </c>
      <c r="I19" s="48" t="b">
        <v>0</v>
      </c>
      <c r="J19" s="48" t="b">
        <v>0</v>
      </c>
      <c r="K19" s="48" t="s">
        <v>264</v>
      </c>
      <c r="L19" s="57" t="s">
        <v>287</v>
      </c>
      <c r="X19" t="str">
        <f t="shared" si="2"/>
        <v>La Plata County CO</v>
      </c>
    </row>
    <row r="20" spans="1:24" ht="17" x14ac:dyDescent="0.2">
      <c r="A20" s="52" t="s">
        <v>182</v>
      </c>
      <c r="B20" s="53">
        <v>11.276696056489154</v>
      </c>
      <c r="C20" s="54">
        <v>-1.0898969093412451E-2</v>
      </c>
      <c r="D20" s="55">
        <v>-1.0458520614483018</v>
      </c>
      <c r="E20" s="56" t="b">
        <f>_xlfn.XLOOKUP(PLOTS!A20,COUNTY_PIVOT!$AW$74:$AW$138,COUNTY_PIVOT!$BJ$74:$BJ$138)</f>
        <v>0</v>
      </c>
      <c r="F20" s="56" t="b">
        <f>_xlfn.XLOOKUP(PLOTS!A20,COUNTY_PIVOT!$AW$74:$AW$138,COUNTY_PIVOT!$BK$74:$BK$138)</f>
        <v>1</v>
      </c>
      <c r="G20" s="54">
        <v>2.2302345448558117E-3</v>
      </c>
      <c r="H20" s="55">
        <v>-1.1548250790036734</v>
      </c>
      <c r="I20" s="56" t="b">
        <v>0</v>
      </c>
      <c r="J20" s="56" t="b">
        <v>1</v>
      </c>
      <c r="K20" s="56" t="s">
        <v>264</v>
      </c>
      <c r="L20" t="s">
        <v>293</v>
      </c>
      <c r="X20" t="str">
        <f t="shared" si="2"/>
        <v>Logan County CO</v>
      </c>
    </row>
    <row r="21" spans="1:24" ht="17" x14ac:dyDescent="0.2">
      <c r="A21" s="52" t="s">
        <v>183</v>
      </c>
      <c r="B21" s="53">
        <v>47.384545489869055</v>
      </c>
      <c r="C21" s="54">
        <v>7.3079461430016375E-3</v>
      </c>
      <c r="D21" s="55">
        <v>0.25177745644570182</v>
      </c>
      <c r="E21" s="56" t="b">
        <f>_xlfn.XLOOKUP(PLOTS!A21,COUNTY_PIVOT!$AW$74:$AW$138,COUNTY_PIVOT!$BJ$74:$BJ$138)</f>
        <v>0</v>
      </c>
      <c r="F21" s="56" t="b">
        <f>_xlfn.XLOOKUP(PLOTS!A21,COUNTY_PIVOT!$AW$74:$AW$138,COUNTY_PIVOT!$BK$74:$BK$138)</f>
        <v>0</v>
      </c>
      <c r="G21" s="54">
        <v>1.6884912021043464E-2</v>
      </c>
      <c r="H21" s="55">
        <v>0.51175355347970797</v>
      </c>
      <c r="I21" s="56" t="b">
        <v>0</v>
      </c>
      <c r="J21" s="56" t="b">
        <v>0</v>
      </c>
      <c r="K21" s="56" t="s">
        <v>264</v>
      </c>
      <c r="L21" t="s">
        <v>290</v>
      </c>
      <c r="X21" t="str">
        <f t="shared" si="2"/>
        <v>Mesa County CO</v>
      </c>
    </row>
    <row r="22" spans="1:24" ht="17" x14ac:dyDescent="0.2">
      <c r="A22" s="52" t="s">
        <v>186</v>
      </c>
      <c r="B22" s="53">
        <v>12.999312309657137</v>
      </c>
      <c r="C22" s="54">
        <v>9.4122815992682476E-3</v>
      </c>
      <c r="D22" s="55">
        <v>0.40175606447157791</v>
      </c>
      <c r="E22" s="56" t="b">
        <f>_xlfn.XLOOKUP(PLOTS!A22,COUNTY_PIVOT!$AW$74:$AW$138,COUNTY_PIVOT!$BJ$74:$BJ$138)</f>
        <v>0</v>
      </c>
      <c r="F22" s="56" t="b">
        <f>_xlfn.XLOOKUP(PLOTS!A22,COUNTY_PIVOT!$AW$74:$AW$138,COUNTY_PIVOT!$BK$74:$BK$138)</f>
        <v>0</v>
      </c>
      <c r="G22" s="54">
        <v>3.372230234155628E-3</v>
      </c>
      <c r="H22" s="55">
        <v>-1.0249535333986781</v>
      </c>
      <c r="I22" s="56" t="b">
        <v>0</v>
      </c>
      <c r="J22" s="56" t="b">
        <v>1</v>
      </c>
      <c r="K22" s="56" t="s">
        <v>264</v>
      </c>
      <c r="L22" t="s">
        <v>291</v>
      </c>
      <c r="X22" t="str">
        <f t="shared" si="2"/>
        <v>Montezuma County CO</v>
      </c>
    </row>
    <row r="23" spans="1:24" ht="17" x14ac:dyDescent="0.2">
      <c r="A23" t="s">
        <v>187</v>
      </c>
      <c r="B23" s="23">
        <v>19.497157712459327</v>
      </c>
      <c r="C23" s="49">
        <v>1.0081021175066098E-2</v>
      </c>
      <c r="D23" s="22">
        <v>0.44941796667034467</v>
      </c>
      <c r="E23" s="48" t="b">
        <f>_xlfn.XLOOKUP(PLOTS!A23,COUNTY_PIVOT!$AW$74:$AW$138,COUNTY_PIVOT!$BJ$74:$BJ$138)</f>
        <v>0</v>
      </c>
      <c r="F23" s="48" t="b">
        <f>_xlfn.XLOOKUP(PLOTS!A23,COUNTY_PIVOT!$AW$74:$AW$138,COUNTY_PIVOT!$BK$74:$BK$138)</f>
        <v>0</v>
      </c>
      <c r="G23" s="49">
        <v>1.7470223766772822E-2</v>
      </c>
      <c r="H23" s="22">
        <v>0.57831715069016387</v>
      </c>
      <c r="I23" s="48" t="b">
        <v>0</v>
      </c>
      <c r="J23" s="48" t="b">
        <v>0</v>
      </c>
      <c r="K23" s="48" t="s">
        <v>264</v>
      </c>
      <c r="L23" s="57" t="s">
        <v>287</v>
      </c>
      <c r="X23" t="str">
        <f t="shared" si="2"/>
        <v>Montrose County CO</v>
      </c>
    </row>
    <row r="24" spans="1:24" ht="17" x14ac:dyDescent="0.2">
      <c r="A24" t="s">
        <v>188</v>
      </c>
      <c r="B24" s="23">
        <v>22.642851070078759</v>
      </c>
      <c r="C24" s="49">
        <v>1.9115370598661926E-3</v>
      </c>
      <c r="D24" s="22">
        <v>-0.13283133784926418</v>
      </c>
      <c r="E24" s="48" t="b">
        <f>_xlfn.XLOOKUP(PLOTS!A24,COUNTY_PIVOT!$AW$74:$AW$138,COUNTY_PIVOT!$BJ$74:$BJ$138)</f>
        <v>0</v>
      </c>
      <c r="F24" s="48" t="b">
        <f>_xlfn.XLOOKUP(PLOTS!A24,COUNTY_PIVOT!$AW$74:$AW$138,COUNTY_PIVOT!$BK$74:$BK$138)</f>
        <v>0</v>
      </c>
      <c r="G24" s="49">
        <v>1.3402345576472239E-2</v>
      </c>
      <c r="H24" s="22">
        <v>0.11570452188847165</v>
      </c>
      <c r="I24" s="48" t="b">
        <v>0</v>
      </c>
      <c r="J24" s="48" t="b">
        <v>0</v>
      </c>
      <c r="K24" s="48" t="s">
        <v>264</v>
      </c>
      <c r="L24" s="57" t="s">
        <v>287</v>
      </c>
      <c r="X24" t="str">
        <f t="shared" si="2"/>
        <v>Morgan County CO</v>
      </c>
    </row>
    <row r="25" spans="1:24" ht="17" x14ac:dyDescent="0.2">
      <c r="A25" t="s">
        <v>195</v>
      </c>
      <c r="B25" s="23">
        <v>70.671361874522802</v>
      </c>
      <c r="C25" s="49">
        <v>3.7657342246482472E-3</v>
      </c>
      <c r="D25" s="22">
        <v>-6.8039729869746044E-4</v>
      </c>
      <c r="E25" s="48" t="b">
        <f>_xlfn.XLOOKUP(PLOTS!A25,COUNTY_PIVOT!$AW$74:$AW$138,COUNTY_PIVOT!$BJ$74:$BJ$138)</f>
        <v>0</v>
      </c>
      <c r="F25" s="48" t="b">
        <f>_xlfn.XLOOKUP(PLOTS!A25,COUNTY_PIVOT!$AW$74:$AW$138,COUNTY_PIVOT!$BK$74:$BK$138)</f>
        <v>0</v>
      </c>
      <c r="G25" s="49">
        <v>1.1033881465688134E-2</v>
      </c>
      <c r="H25" s="22">
        <v>-0.15364508919989164</v>
      </c>
      <c r="I25" s="48" t="b">
        <v>0</v>
      </c>
      <c r="J25" s="48" t="b">
        <v>0</v>
      </c>
      <c r="K25" s="48" t="s">
        <v>264</v>
      </c>
      <c r="L25" s="57" t="s">
        <v>287</v>
      </c>
      <c r="X25" t="str">
        <f t="shared" si="2"/>
        <v>Pueblo County CO</v>
      </c>
    </row>
    <row r="26" spans="1:24" ht="17" x14ac:dyDescent="0.2">
      <c r="A26" t="s">
        <v>198</v>
      </c>
      <c r="B26" s="23">
        <v>10.595188200380168</v>
      </c>
      <c r="C26" s="49">
        <v>6.8495245590594689E-3</v>
      </c>
      <c r="D26" s="22">
        <v>0.21910517938839175</v>
      </c>
      <c r="E26" s="48" t="b">
        <f>_xlfn.XLOOKUP(PLOTS!A26,COUNTY_PIVOT!$AW$74:$AW$138,COUNTY_PIVOT!$BJ$74:$BJ$138)</f>
        <v>0</v>
      </c>
      <c r="F26" s="48" t="b">
        <f>_xlfn.XLOOKUP(PLOTS!A26,COUNTY_PIVOT!$AW$74:$AW$138,COUNTY_PIVOT!$BK$74:$BK$138)</f>
        <v>0</v>
      </c>
      <c r="G26" s="49">
        <v>1.4710625376964446E-2</v>
      </c>
      <c r="H26" s="22">
        <v>0.26448644932104592</v>
      </c>
      <c r="I26" s="48" t="b">
        <v>0</v>
      </c>
      <c r="J26" s="48" t="b">
        <v>0</v>
      </c>
      <c r="K26" s="48" t="s">
        <v>264</v>
      </c>
      <c r="L26" s="57" t="s">
        <v>287</v>
      </c>
      <c r="X26" t="str">
        <f t="shared" si="2"/>
        <v>Routt County CO</v>
      </c>
    </row>
    <row r="27" spans="1:24" ht="17" x14ac:dyDescent="0.2">
      <c r="A27" s="52" t="s">
        <v>203</v>
      </c>
      <c r="B27" s="53">
        <v>49.413494474245461</v>
      </c>
      <c r="C27" s="54">
        <v>-6.5150326112839926E-3</v>
      </c>
      <c r="D27" s="55">
        <v>-0.73340345003252738</v>
      </c>
      <c r="E27" s="56" t="b">
        <f>_xlfn.XLOOKUP(PLOTS!A27,COUNTY_PIVOT!$AW$74:$AW$138,COUNTY_PIVOT!$BJ$74:$BJ$138)</f>
        <v>0</v>
      </c>
      <c r="F27" s="56" t="b">
        <f>_xlfn.XLOOKUP(PLOTS!A27,COUNTY_PIVOT!$AW$74:$AW$138,COUNTY_PIVOT!$BK$74:$BK$138)</f>
        <v>0</v>
      </c>
      <c r="G27" s="54">
        <v>1.0850219455657631E-2</v>
      </c>
      <c r="H27" s="55">
        <v>-0.17453174344480055</v>
      </c>
      <c r="I27" s="56" t="b">
        <v>0</v>
      </c>
      <c r="J27" s="56" t="b">
        <v>0</v>
      </c>
      <c r="K27" s="56" t="s">
        <v>264</v>
      </c>
      <c r="L27" t="s">
        <v>290</v>
      </c>
      <c r="X27" t="str">
        <f t="shared" si="2"/>
        <v>Summit County CO</v>
      </c>
    </row>
    <row r="28" spans="1:24" ht="17" x14ac:dyDescent="0.2">
      <c r="A28" t="s">
        <v>204</v>
      </c>
      <c r="B28" s="23">
        <v>44.491388878943027</v>
      </c>
      <c r="C28" s="49">
        <v>2.3431768991803688E-3</v>
      </c>
      <c r="D28" s="22">
        <v>-0.1020678290769009</v>
      </c>
      <c r="E28" s="48" t="b">
        <f>_xlfn.XLOOKUP(PLOTS!A28,COUNTY_PIVOT!$AW$74:$AW$138,COUNTY_PIVOT!$BJ$74:$BJ$138)</f>
        <v>0</v>
      </c>
      <c r="F28" s="48" t="b">
        <f>_xlfn.XLOOKUP(PLOTS!A28,COUNTY_PIVOT!$AW$74:$AW$138,COUNTY_PIVOT!$BK$74:$BK$138)</f>
        <v>0</v>
      </c>
      <c r="G28" s="49">
        <v>1.0036785734053326E-2</v>
      </c>
      <c r="H28" s="22">
        <v>-0.26703812999407561</v>
      </c>
      <c r="I28" s="48" t="b">
        <v>0</v>
      </c>
      <c r="J28" s="48" t="b">
        <v>0</v>
      </c>
      <c r="K28" s="48" t="s">
        <v>264</v>
      </c>
      <c r="L28" s="57" t="s">
        <v>287</v>
      </c>
      <c r="X28" t="str">
        <f t="shared" si="2"/>
        <v>Teller County CO</v>
      </c>
    </row>
    <row r="29" spans="1:24" ht="17" x14ac:dyDescent="0.2">
      <c r="A29" t="s">
        <v>145</v>
      </c>
      <c r="B29" s="23">
        <v>22.918654332766415</v>
      </c>
      <c r="C29" s="49">
        <v>6.6974964266763451E-3</v>
      </c>
      <c r="D29" s="22">
        <v>0.2082699451068544</v>
      </c>
      <c r="E29" s="48" t="b">
        <f>_xlfn.XLOOKUP(PLOTS!A29,COUNTY_PIVOT!$AW$74:$AW$138,COUNTY_PIVOT!$BJ$74:$BJ$138)</f>
        <v>0</v>
      </c>
      <c r="F29" s="48" t="b">
        <f>_xlfn.XLOOKUP(PLOTS!A29,COUNTY_PIVOT!$AW$74:$AW$138,COUNTY_PIVOT!$BK$74:$BK$138)</f>
        <v>0</v>
      </c>
      <c r="G29" s="49">
        <v>1.0523756749418167E-2</v>
      </c>
      <c r="H29" s="22">
        <v>-0.21165816751011737</v>
      </c>
      <c r="I29" s="48" t="b">
        <v>0</v>
      </c>
      <c r="J29" s="48" t="b">
        <v>0</v>
      </c>
      <c r="K29" s="48" t="s">
        <v>265</v>
      </c>
      <c r="L29" s="57" t="s">
        <v>287</v>
      </c>
      <c r="X29" t="str">
        <f t="shared" si="2"/>
        <v>Alamosa County CO</v>
      </c>
    </row>
    <row r="30" spans="1:24" ht="17" x14ac:dyDescent="0.2">
      <c r="A30" s="52" t="s">
        <v>147</v>
      </c>
      <c r="B30" s="53">
        <v>10.325352705366438</v>
      </c>
      <c r="C30" s="54">
        <v>1.9643345636790266E-2</v>
      </c>
      <c r="D30" s="55">
        <v>1.1309367368789456</v>
      </c>
      <c r="E30" s="56" t="b">
        <f>_xlfn.XLOOKUP(PLOTS!A30,COUNTY_PIVOT!$AW$74:$AW$138,COUNTY_PIVOT!$BJ$74:$BJ$138)</f>
        <v>1</v>
      </c>
      <c r="F30" s="56" t="b">
        <f>_xlfn.XLOOKUP(PLOTS!A30,COUNTY_PIVOT!$AW$74:$AW$138,COUNTY_PIVOT!$BK$74:$BK$138)</f>
        <v>0</v>
      </c>
      <c r="G30" s="54">
        <v>1.6312394022990284E-2</v>
      </c>
      <c r="H30" s="55">
        <v>0.44664490377943439</v>
      </c>
      <c r="I30" s="56" t="b">
        <v>0</v>
      </c>
      <c r="J30" s="56" t="b">
        <v>0</v>
      </c>
      <c r="K30" s="56" t="s">
        <v>265</v>
      </c>
      <c r="L30" t="s">
        <v>292</v>
      </c>
      <c r="X30" t="str">
        <f t="shared" si="2"/>
        <v>Archuleta County CO</v>
      </c>
    </row>
    <row r="31" spans="1:24" ht="17" x14ac:dyDescent="0.2">
      <c r="A31" s="52" t="s">
        <v>148</v>
      </c>
      <c r="B31" s="53">
        <v>1.3410306119258311</v>
      </c>
      <c r="C31" s="54">
        <v>-1.2617733051902858E-2</v>
      </c>
      <c r="D31" s="55">
        <v>-1.1683505087618162</v>
      </c>
      <c r="E31" s="56" t="b">
        <f>_xlfn.XLOOKUP(PLOTS!A31,COUNTY_PIVOT!$AW$74:$AW$138,COUNTY_PIVOT!$BJ$74:$BJ$138)</f>
        <v>0</v>
      </c>
      <c r="F31" s="56" t="b">
        <f>_xlfn.XLOOKUP(PLOTS!A31,COUNTY_PIVOT!$AW$74:$AW$138,COUNTY_PIVOT!$BK$74:$BK$138)</f>
        <v>1</v>
      </c>
      <c r="G31" s="54">
        <v>2.0274601944321471E-3</v>
      </c>
      <c r="H31" s="55">
        <v>-1.1778852521245691</v>
      </c>
      <c r="I31" s="56" t="b">
        <v>0</v>
      </c>
      <c r="J31" s="56" t="b">
        <v>1</v>
      </c>
      <c r="K31" s="56" t="s">
        <v>265</v>
      </c>
      <c r="L31" t="s">
        <v>293</v>
      </c>
      <c r="X31" t="str">
        <f t="shared" si="2"/>
        <v>Baca County CO</v>
      </c>
    </row>
    <row r="32" spans="1:24" ht="17" x14ac:dyDescent="0.2">
      <c r="A32" s="52" t="s">
        <v>149</v>
      </c>
      <c r="B32" s="53">
        <v>3.5040588681889857</v>
      </c>
      <c r="C32" s="54">
        <v>-3.2616480972007991E-2</v>
      </c>
      <c r="D32" s="55">
        <v>-2.5936861729905063</v>
      </c>
      <c r="E32" s="56" t="b">
        <f>_xlfn.XLOOKUP(PLOTS!A32,COUNTY_PIVOT!$AW$74:$AW$138,COUNTY_PIVOT!$BJ$74:$BJ$138)</f>
        <v>0</v>
      </c>
      <c r="F32" s="56" t="b">
        <f>_xlfn.XLOOKUP(PLOTS!A32,COUNTY_PIVOT!$AW$74:$AW$138,COUNTY_PIVOT!$BK$74:$BK$138)</f>
        <v>1</v>
      </c>
      <c r="G32" s="54">
        <v>5.6037777488732151E-3</v>
      </c>
      <c r="H32" s="55">
        <v>-0.77117453270468117</v>
      </c>
      <c r="I32" s="56" t="b">
        <v>0</v>
      </c>
      <c r="J32" s="56" t="b">
        <v>0</v>
      </c>
      <c r="K32" s="56" t="s">
        <v>265</v>
      </c>
      <c r="L32" t="s">
        <v>290</v>
      </c>
      <c r="X32" t="str">
        <f t="shared" si="2"/>
        <v>Bent County CO</v>
      </c>
    </row>
    <row r="33" spans="1:24" ht="17" x14ac:dyDescent="0.2">
      <c r="A33" s="52" t="s">
        <v>153</v>
      </c>
      <c r="B33" s="53">
        <v>0.96638419664403163</v>
      </c>
      <c r="C33" s="54">
        <v>-1.0376389007779922E-2</v>
      </c>
      <c r="D33" s="55">
        <v>-1.0086071280933033</v>
      </c>
      <c r="E33" s="56" t="b">
        <f>_xlfn.XLOOKUP(PLOTS!A33,COUNTY_PIVOT!$AW$74:$AW$138,COUNTY_PIVOT!$BJ$74:$BJ$138)</f>
        <v>0</v>
      </c>
      <c r="F33" s="56" t="b">
        <f>_xlfn.XLOOKUP(PLOTS!A33,COUNTY_PIVOT!$AW$74:$AW$138,COUNTY_PIVOT!$BK$74:$BK$138)</f>
        <v>1</v>
      </c>
      <c r="G33" s="54">
        <v>1.4562259470061059E-2</v>
      </c>
      <c r="H33" s="55">
        <v>0.24761378524256447</v>
      </c>
      <c r="I33" s="56" t="b">
        <v>0</v>
      </c>
      <c r="J33" s="56" t="b">
        <v>0</v>
      </c>
      <c r="K33" s="56" t="s">
        <v>265</v>
      </c>
      <c r="L33" t="s">
        <v>290</v>
      </c>
      <c r="X33" t="str">
        <f t="shared" si="2"/>
        <v>Cheyenne County CO</v>
      </c>
    </row>
    <row r="34" spans="1:24" ht="17" x14ac:dyDescent="0.2">
      <c r="A34" t="s">
        <v>154</v>
      </c>
      <c r="B34" s="23">
        <v>23.619902655536784</v>
      </c>
      <c r="C34" s="49">
        <v>-1.6811021577799259E-3</v>
      </c>
      <c r="D34" s="22">
        <v>-0.38888320800008069</v>
      </c>
      <c r="E34" s="48" t="b">
        <f>_xlfn.XLOOKUP(PLOTS!A34,COUNTY_PIVOT!$AW$74:$AW$138,COUNTY_PIVOT!$BJ$74:$BJ$138)</f>
        <v>0</v>
      </c>
      <c r="F34" s="48" t="b">
        <f>_xlfn.XLOOKUP(PLOTS!A34,COUNTY_PIVOT!$AW$74:$AW$138,COUNTY_PIVOT!$BK$74:$BK$138)</f>
        <v>0</v>
      </c>
      <c r="G34" s="49">
        <v>1.3661655710413487E-2</v>
      </c>
      <c r="H34" s="22">
        <v>0.14519413222722549</v>
      </c>
      <c r="I34" s="48" t="b">
        <v>0</v>
      </c>
      <c r="J34" s="48" t="b">
        <v>0</v>
      </c>
      <c r="K34" s="48" t="s">
        <v>265</v>
      </c>
      <c r="L34" s="57" t="s">
        <v>287</v>
      </c>
      <c r="X34" t="str">
        <f t="shared" si="2"/>
        <v>Clear Creek County CO</v>
      </c>
    </row>
    <row r="35" spans="1:24" ht="17" x14ac:dyDescent="0.2">
      <c r="A35" t="s">
        <v>155</v>
      </c>
      <c r="B35" s="23">
        <v>5.8687665669420719</v>
      </c>
      <c r="C35" s="49">
        <v>1.0057090943701092E-3</v>
      </c>
      <c r="D35" s="22">
        <v>-0.19739082477490844</v>
      </c>
      <c r="E35" s="48" t="b">
        <f>_xlfn.XLOOKUP(PLOTS!A35,COUNTY_PIVOT!$AW$74:$AW$138,COUNTY_PIVOT!$BJ$74:$BJ$138)</f>
        <v>0</v>
      </c>
      <c r="F35" s="48" t="b">
        <f>_xlfn.XLOOKUP(PLOTS!A35,COUNTY_PIVOT!$AW$74:$AW$138,COUNTY_PIVOT!$BK$74:$BK$138)</f>
        <v>0</v>
      </c>
      <c r="G35" s="49">
        <v>1.1681870489604354E-2</v>
      </c>
      <c r="H35" s="22">
        <v>-7.9953623584404637E-2</v>
      </c>
      <c r="I35" s="48" t="b">
        <v>0</v>
      </c>
      <c r="J35" s="48" t="b">
        <v>0</v>
      </c>
      <c r="K35" s="48" t="s">
        <v>265</v>
      </c>
      <c r="L35" s="57" t="s">
        <v>287</v>
      </c>
      <c r="X35" t="str">
        <f t="shared" si="2"/>
        <v>Conejos County CO</v>
      </c>
    </row>
    <row r="36" spans="1:24" ht="17" x14ac:dyDescent="0.2">
      <c r="A36" t="s">
        <v>156</v>
      </c>
      <c r="B36" s="23">
        <v>2.9396931786754297</v>
      </c>
      <c r="C36" s="49">
        <v>1.0761794274248645E-2</v>
      </c>
      <c r="D36" s="22">
        <v>0.49793751306339096</v>
      </c>
      <c r="E36" s="48" t="b">
        <f>_xlfn.XLOOKUP(PLOTS!A36,COUNTY_PIVOT!$AW$74:$AW$138,COUNTY_PIVOT!$BJ$74:$BJ$138)</f>
        <v>0</v>
      </c>
      <c r="F36" s="48" t="b">
        <f>_xlfn.XLOOKUP(PLOTS!A36,COUNTY_PIVOT!$AW$74:$AW$138,COUNTY_PIVOT!$BK$74:$BK$138)</f>
        <v>0</v>
      </c>
      <c r="G36" s="49">
        <v>7.0204998595900028E-3</v>
      </c>
      <c r="H36" s="22">
        <v>-0.61006018530782691</v>
      </c>
      <c r="I36" s="48" t="b">
        <v>0</v>
      </c>
      <c r="J36" s="48" t="b">
        <v>0</v>
      </c>
      <c r="K36" s="48" t="s">
        <v>265</v>
      </c>
      <c r="L36" s="57" t="s">
        <v>287</v>
      </c>
      <c r="X36" t="str">
        <f t="shared" si="2"/>
        <v>Costilla County CO</v>
      </c>
    </row>
    <row r="37" spans="1:24" ht="17" x14ac:dyDescent="0.2">
      <c r="A37" t="s">
        <v>157</v>
      </c>
      <c r="B37" s="23">
        <v>7.0226298624214332</v>
      </c>
      <c r="C37" s="49">
        <v>-1.2606103895677012E-2</v>
      </c>
      <c r="D37" s="22">
        <v>-1.1675216843184157</v>
      </c>
      <c r="E37" s="48" t="b">
        <f>_xlfn.XLOOKUP(PLOTS!A37,COUNTY_PIVOT!$AW$74:$AW$138,COUNTY_PIVOT!$BJ$74:$BJ$138)</f>
        <v>0</v>
      </c>
      <c r="F37" s="48" t="b">
        <f>_xlfn.XLOOKUP(PLOTS!A37,COUNTY_PIVOT!$AW$74:$AW$138,COUNTY_PIVOT!$BK$74:$BK$138)</f>
        <v>1</v>
      </c>
      <c r="G37" s="49">
        <v>5.939962332904415E-3</v>
      </c>
      <c r="H37" s="22">
        <v>-0.73294250438286346</v>
      </c>
      <c r="I37" s="48" t="b">
        <v>0</v>
      </c>
      <c r="J37" s="48" t="b">
        <v>0</v>
      </c>
      <c r="K37" s="48" t="s">
        <v>265</v>
      </c>
      <c r="L37" s="57" t="s">
        <v>287</v>
      </c>
      <c r="X37" t="str">
        <f t="shared" si="2"/>
        <v>Crowley County CO</v>
      </c>
    </row>
    <row r="38" spans="1:24" ht="17" x14ac:dyDescent="0.2">
      <c r="A38" s="52" t="s">
        <v>158</v>
      </c>
      <c r="B38" s="53">
        <v>7.2209296033764403</v>
      </c>
      <c r="C38" s="54">
        <v>4.7638820205734372E-2</v>
      </c>
      <c r="D38" s="55">
        <v>3.1262090659035104</v>
      </c>
      <c r="E38" s="56" t="b">
        <f>_xlfn.XLOOKUP(PLOTS!A38,COUNTY_PIVOT!$AW$74:$AW$138,COUNTY_PIVOT!$BJ$74:$BJ$138)</f>
        <v>1</v>
      </c>
      <c r="F38" s="56" t="b">
        <f>_xlfn.XLOOKUP(PLOTS!A38,COUNTY_PIVOT!$AW$74:$AW$138,COUNTY_PIVOT!$BK$74:$BK$138)</f>
        <v>0</v>
      </c>
      <c r="G38" s="54">
        <v>2.839633444140573E-2</v>
      </c>
      <c r="H38" s="55">
        <v>1.8208707733188367</v>
      </c>
      <c r="I38" s="56" t="b">
        <v>1</v>
      </c>
      <c r="J38" s="56" t="b">
        <v>0</v>
      </c>
      <c r="K38" s="56" t="s">
        <v>265</v>
      </c>
      <c r="L38" t="s">
        <v>288</v>
      </c>
      <c r="X38" t="str">
        <f t="shared" si="2"/>
        <v>Custer County CO</v>
      </c>
    </row>
    <row r="39" spans="1:24" ht="17" x14ac:dyDescent="0.2">
      <c r="A39" s="52" t="s">
        <v>161</v>
      </c>
      <c r="B39" s="53">
        <v>2.0456297066661713</v>
      </c>
      <c r="C39" s="54">
        <v>1.8665556274277368E-2</v>
      </c>
      <c r="D39" s="55">
        <v>1.0612484715904984</v>
      </c>
      <c r="E39" s="56" t="b">
        <f>_xlfn.XLOOKUP(PLOTS!A39,COUNTY_PIVOT!$AW$74:$AW$138,COUNTY_PIVOT!$BJ$74:$BJ$138)</f>
        <v>1</v>
      </c>
      <c r="F39" s="56" t="b">
        <f>_xlfn.XLOOKUP(PLOTS!A39,COUNTY_PIVOT!$AW$74:$AW$138,COUNTY_PIVOT!$BK$74:$BK$138)</f>
        <v>0</v>
      </c>
      <c r="G39" s="54">
        <v>9.7823584955968722E-3</v>
      </c>
      <c r="H39" s="55">
        <v>-0.29597244122830607</v>
      </c>
      <c r="I39" s="56" t="b">
        <v>0</v>
      </c>
      <c r="J39" s="56" t="b">
        <v>0</v>
      </c>
      <c r="K39" s="56" t="s">
        <v>265</v>
      </c>
      <c r="L39" t="s">
        <v>292</v>
      </c>
      <c r="X39" t="str">
        <f t="shared" si="2"/>
        <v>Dolores County CO</v>
      </c>
    </row>
    <row r="40" spans="1:24" ht="17" x14ac:dyDescent="0.2">
      <c r="A40" t="s">
        <v>168</v>
      </c>
      <c r="B40" s="23">
        <v>39.260739260739257</v>
      </c>
      <c r="C40" s="49">
        <v>8.2940845098218845E-3</v>
      </c>
      <c r="D40" s="22">
        <v>0.32206076566627945</v>
      </c>
      <c r="E40" s="48" t="b">
        <f>_xlfn.XLOOKUP(PLOTS!A40,COUNTY_PIVOT!$AW$74:$AW$138,COUNTY_PIVOT!$BJ$74:$BJ$138)</f>
        <v>0</v>
      </c>
      <c r="F40" s="48" t="b">
        <f>_xlfn.XLOOKUP(PLOTS!A40,COUNTY_PIVOT!$AW$74:$AW$138,COUNTY_PIVOT!$BK$74:$BK$138)</f>
        <v>0</v>
      </c>
      <c r="G40" s="49">
        <v>6.9235293866525454E-3</v>
      </c>
      <c r="H40" s="22">
        <v>-0.62108798980519453</v>
      </c>
      <c r="I40" s="48" t="b">
        <v>0</v>
      </c>
      <c r="J40" s="48" t="b">
        <v>0</v>
      </c>
      <c r="K40" s="48" t="s">
        <v>265</v>
      </c>
      <c r="L40" s="57" t="s">
        <v>287</v>
      </c>
      <c r="X40" t="str">
        <f t="shared" si="2"/>
        <v>Gilpin County CO</v>
      </c>
    </row>
    <row r="41" spans="1:24" ht="17" x14ac:dyDescent="0.2">
      <c r="A41" t="s">
        <v>169</v>
      </c>
      <c r="B41" s="23">
        <v>8.4280156058505877</v>
      </c>
      <c r="C41" s="49">
        <v>7.372227512675745E-3</v>
      </c>
      <c r="D41" s="22">
        <v>0.25635886969757166</v>
      </c>
      <c r="E41" s="48" t="b">
        <f>_xlfn.XLOOKUP(PLOTS!A41,COUNTY_PIVOT!$AW$74:$AW$138,COUNTY_PIVOT!$BJ$74:$BJ$138)</f>
        <v>0</v>
      </c>
      <c r="F41" s="48" t="b">
        <f>_xlfn.XLOOKUP(PLOTS!A41,COUNTY_PIVOT!$AW$74:$AW$138,COUNTY_PIVOT!$BK$74:$BK$138)</f>
        <v>0</v>
      </c>
      <c r="G41" s="49">
        <v>1.7705066188510397E-2</v>
      </c>
      <c r="H41" s="22">
        <v>0.60502421147020835</v>
      </c>
      <c r="I41" s="48" t="b">
        <v>0</v>
      </c>
      <c r="J41" s="48" t="b">
        <v>0</v>
      </c>
      <c r="K41" s="48" t="s">
        <v>265</v>
      </c>
      <c r="L41" s="57" t="s">
        <v>287</v>
      </c>
      <c r="X41" t="str">
        <f t="shared" si="2"/>
        <v>Grand County CO</v>
      </c>
    </row>
    <row r="42" spans="1:24" ht="17" x14ac:dyDescent="0.2">
      <c r="A42" t="s">
        <v>170</v>
      </c>
      <c r="B42" s="23">
        <v>5.2985070047434668</v>
      </c>
      <c r="C42" s="49">
        <v>6.4702424413716339E-3</v>
      </c>
      <c r="D42" s="22">
        <v>0.19207327062568494</v>
      </c>
      <c r="E42" s="48" t="b">
        <f>_xlfn.XLOOKUP(PLOTS!A42,COUNTY_PIVOT!$AW$74:$AW$138,COUNTY_PIVOT!$BJ$74:$BJ$138)</f>
        <v>0</v>
      </c>
      <c r="F42" s="48" t="b">
        <f>_xlfn.XLOOKUP(PLOTS!A42,COUNTY_PIVOT!$AW$74:$AW$138,COUNTY_PIVOT!$BK$74:$BK$138)</f>
        <v>0</v>
      </c>
      <c r="G42" s="49">
        <v>2.0278526726733557E-2</v>
      </c>
      <c r="H42" s="22">
        <v>0.89768669766349929</v>
      </c>
      <c r="I42" s="48" t="b">
        <v>0</v>
      </c>
      <c r="J42" s="48" t="b">
        <v>0</v>
      </c>
      <c r="K42" s="48" t="s">
        <v>265</v>
      </c>
      <c r="L42" s="57" t="s">
        <v>287</v>
      </c>
      <c r="X42" t="str">
        <f t="shared" si="2"/>
        <v>Gunnison County CO</v>
      </c>
    </row>
    <row r="43" spans="1:24" ht="17" x14ac:dyDescent="0.2">
      <c r="A43" t="s">
        <v>171</v>
      </c>
      <c r="B43" s="23">
        <v>0.69346152134241335</v>
      </c>
      <c r="C43" s="49">
        <v>-7.9700725418490274E-3</v>
      </c>
      <c r="D43" s="22">
        <v>-0.83710595751932004</v>
      </c>
      <c r="E43" s="48" t="b">
        <f>_xlfn.XLOOKUP(PLOTS!A43,COUNTY_PIVOT!$AW$74:$AW$138,COUNTY_PIVOT!$BJ$74:$BJ$138)</f>
        <v>0</v>
      </c>
      <c r="F43" s="48" t="b">
        <f>_xlfn.XLOOKUP(PLOTS!A43,COUNTY_PIVOT!$AW$74:$AW$138,COUNTY_PIVOT!$BK$74:$BK$138)</f>
        <v>0</v>
      </c>
      <c r="G43" s="49">
        <v>9.2515272379180558E-3</v>
      </c>
      <c r="H43" s="22">
        <v>-0.35634033625290124</v>
      </c>
      <c r="I43" s="48" t="b">
        <v>0</v>
      </c>
      <c r="J43" s="48" t="b">
        <v>0</v>
      </c>
      <c r="K43" s="48" t="s">
        <v>265</v>
      </c>
      <c r="L43" s="57" t="s">
        <v>287</v>
      </c>
      <c r="X43" t="str">
        <f t="shared" si="2"/>
        <v>Hinsdale County CO</v>
      </c>
    </row>
    <row r="44" spans="1:24" ht="17" x14ac:dyDescent="0.2">
      <c r="A44" t="s">
        <v>172</v>
      </c>
      <c r="B44" s="23">
        <v>4.4612747037434772</v>
      </c>
      <c r="C44" s="49">
        <v>1.5799027213336297E-2</v>
      </c>
      <c r="D44" s="22">
        <v>0.85694737637044294</v>
      </c>
      <c r="E44" s="48" t="b">
        <f>_xlfn.XLOOKUP(PLOTS!A44,COUNTY_PIVOT!$AW$74:$AW$138,COUNTY_PIVOT!$BJ$74:$BJ$138)</f>
        <v>0</v>
      </c>
      <c r="F44" s="48" t="b">
        <f>_xlfn.XLOOKUP(PLOTS!A44,COUNTY_PIVOT!$AW$74:$AW$138,COUNTY_PIVOT!$BK$74:$BK$138)</f>
        <v>0</v>
      </c>
      <c r="G44" s="49">
        <v>5.1840743658216294E-3</v>
      </c>
      <c r="H44" s="22">
        <v>-0.81890459645472458</v>
      </c>
      <c r="I44" s="48" t="b">
        <v>0</v>
      </c>
      <c r="J44" s="48" t="b">
        <v>0</v>
      </c>
      <c r="K44" s="48" t="s">
        <v>265</v>
      </c>
      <c r="L44" s="57" t="s">
        <v>287</v>
      </c>
      <c r="X44" t="str">
        <f t="shared" si="2"/>
        <v>Huerfano County CO</v>
      </c>
    </row>
    <row r="45" spans="1:24" ht="17" x14ac:dyDescent="0.2">
      <c r="A45" t="s">
        <v>173</v>
      </c>
      <c r="B45" s="23">
        <v>0.81123630189844109</v>
      </c>
      <c r="C45" s="49">
        <v>-1.5879846787341726E-2</v>
      </c>
      <c r="D45" s="22">
        <v>-1.400845416266348</v>
      </c>
      <c r="E45" s="48" t="b">
        <f>_xlfn.XLOOKUP(PLOTS!A45,COUNTY_PIVOT!$AW$74:$AW$138,COUNTY_PIVOT!$BJ$74:$BJ$138)</f>
        <v>0</v>
      </c>
      <c r="F45" s="48" t="b">
        <f>_xlfn.XLOOKUP(PLOTS!A45,COUNTY_PIVOT!$AW$74:$AW$138,COUNTY_PIVOT!$BK$74:$BK$138)</f>
        <v>1</v>
      </c>
      <c r="G45" s="49">
        <v>3.6405513956538501E-3</v>
      </c>
      <c r="H45" s="22">
        <v>-0.9944391590548769</v>
      </c>
      <c r="I45" s="48" t="b">
        <v>0</v>
      </c>
      <c r="J45" s="48" t="b">
        <v>0</v>
      </c>
      <c r="K45" s="48" t="s">
        <v>265</v>
      </c>
      <c r="L45" s="57" t="s">
        <v>287</v>
      </c>
      <c r="X45" t="str">
        <f t="shared" si="2"/>
        <v>Jackson County CO</v>
      </c>
    </row>
    <row r="46" spans="1:24" ht="17" x14ac:dyDescent="0.2">
      <c r="A46" t="s">
        <v>175</v>
      </c>
      <c r="B46" s="23">
        <v>0.79959684192843938</v>
      </c>
      <c r="C46" s="49">
        <v>-6.1936080916825077E-3</v>
      </c>
      <c r="D46" s="22">
        <v>-0.71049512432254669</v>
      </c>
      <c r="E46" s="48" t="b">
        <f>_xlfn.XLOOKUP(PLOTS!A46,COUNTY_PIVOT!$AW$74:$AW$138,COUNTY_PIVOT!$BJ$74:$BJ$138)</f>
        <v>0</v>
      </c>
      <c r="F46" s="48" t="b">
        <f>_xlfn.XLOOKUP(PLOTS!A46,COUNTY_PIVOT!$AW$74:$AW$138,COUNTY_PIVOT!$BK$74:$BK$138)</f>
        <v>0</v>
      </c>
      <c r="G46" s="49">
        <v>5.8638674400833951E-3</v>
      </c>
      <c r="H46" s="22">
        <v>-0.74159626852217608</v>
      </c>
      <c r="I46" s="48" t="b">
        <v>0</v>
      </c>
      <c r="J46" s="48" t="b">
        <v>0</v>
      </c>
      <c r="K46" s="48" t="s">
        <v>265</v>
      </c>
      <c r="L46" s="57" t="s">
        <v>287</v>
      </c>
      <c r="X46" t="str">
        <f t="shared" si="2"/>
        <v>Kiowa County CO</v>
      </c>
    </row>
    <row r="47" spans="1:24" ht="17" x14ac:dyDescent="0.2">
      <c r="A47" s="52" t="s">
        <v>176</v>
      </c>
      <c r="B47" s="53">
        <v>3.2250754937732089</v>
      </c>
      <c r="C47" s="54">
        <v>-9.6817299985407067E-3</v>
      </c>
      <c r="D47" s="55">
        <v>-0.95909791560150381</v>
      </c>
      <c r="E47" s="56" t="b">
        <f>_xlfn.XLOOKUP(PLOTS!A47,COUNTY_PIVOT!$AW$74:$AW$138,COUNTY_PIVOT!$BJ$74:$BJ$138)</f>
        <v>0</v>
      </c>
      <c r="F47" s="56" t="b">
        <f>_xlfn.XLOOKUP(PLOTS!A47,COUNTY_PIVOT!$AW$74:$AW$138,COUNTY_PIVOT!$BK$74:$BK$138)</f>
        <v>0</v>
      </c>
      <c r="G47" s="54">
        <v>1.8549678880032158E-3</v>
      </c>
      <c r="H47" s="55">
        <v>-1.1975016505495324</v>
      </c>
      <c r="I47" s="56" t="b">
        <v>0</v>
      </c>
      <c r="J47" s="56" t="b">
        <v>1</v>
      </c>
      <c r="K47" s="56" t="s">
        <v>265</v>
      </c>
      <c r="L47" t="s">
        <v>291</v>
      </c>
      <c r="X47" t="str">
        <f t="shared" si="2"/>
        <v>Kit Carson County CO</v>
      </c>
    </row>
    <row r="48" spans="1:24" ht="17" x14ac:dyDescent="0.2">
      <c r="A48" t="s">
        <v>177</v>
      </c>
      <c r="B48" s="23">
        <v>19.142223960370224</v>
      </c>
      <c r="C48" s="49">
        <v>-9.4618395553928702E-3</v>
      </c>
      <c r="D48" s="22">
        <v>-0.94342604993802504</v>
      </c>
      <c r="E48" s="48" t="b">
        <f>_xlfn.XLOOKUP(PLOTS!A48,COUNTY_PIVOT!$AW$74:$AW$138,COUNTY_PIVOT!$BJ$74:$BJ$138)</f>
        <v>0</v>
      </c>
      <c r="F48" s="48" t="b">
        <f>_xlfn.XLOOKUP(PLOTS!A48,COUNTY_PIVOT!$AW$74:$AW$138,COUNTY_PIVOT!$BK$74:$BK$138)</f>
        <v>0</v>
      </c>
      <c r="G48" s="49">
        <v>1.1536437795669771E-2</v>
      </c>
      <c r="H48" s="22">
        <v>-9.6492712934525465E-2</v>
      </c>
      <c r="I48" s="48" t="b">
        <v>0</v>
      </c>
      <c r="J48" s="48" t="b">
        <v>0</v>
      </c>
      <c r="K48" s="48" t="s">
        <v>265</v>
      </c>
      <c r="L48" s="57" t="s">
        <v>287</v>
      </c>
      <c r="X48" t="str">
        <f t="shared" si="2"/>
        <v>Lake County CO</v>
      </c>
    </row>
    <row r="49" spans="1:24" ht="17" x14ac:dyDescent="0.2">
      <c r="A49" t="s">
        <v>180</v>
      </c>
      <c r="B49" s="23">
        <v>2.9952213053106149</v>
      </c>
      <c r="C49" s="49">
        <v>-7.9311726000476316E-3</v>
      </c>
      <c r="D49" s="22">
        <v>-0.83433351023374724</v>
      </c>
      <c r="E49" s="48" t="b">
        <f>_xlfn.XLOOKUP(PLOTS!A49,COUNTY_PIVOT!$AW$74:$AW$138,COUNTY_PIVOT!$BJ$74:$BJ$138)</f>
        <v>0</v>
      </c>
      <c r="F49" s="48" t="b">
        <f>_xlfn.XLOOKUP(PLOTS!A49,COUNTY_PIVOT!$AW$74:$AW$138,COUNTY_PIVOT!$BK$74:$BK$138)</f>
        <v>0</v>
      </c>
      <c r="G49" s="49">
        <v>5.2884992263969354E-3</v>
      </c>
      <c r="H49" s="22">
        <v>-0.80702905421794413</v>
      </c>
      <c r="I49" s="48" t="b">
        <v>0</v>
      </c>
      <c r="J49" s="48" t="b">
        <v>0</v>
      </c>
      <c r="K49" s="48" t="s">
        <v>265</v>
      </c>
      <c r="L49" s="57" t="s">
        <v>287</v>
      </c>
      <c r="X49" t="str">
        <f t="shared" si="2"/>
        <v>Las Animas County CO</v>
      </c>
    </row>
    <row r="50" spans="1:24" ht="17" x14ac:dyDescent="0.2">
      <c r="A50" t="s">
        <v>181</v>
      </c>
      <c r="B50" s="23">
        <v>2.1325153469157243</v>
      </c>
      <c r="C50" s="49">
        <v>-7.5014588232502413E-3</v>
      </c>
      <c r="D50" s="22">
        <v>-0.80370727433504963</v>
      </c>
      <c r="E50" s="48" t="b">
        <f>_xlfn.XLOOKUP(PLOTS!A50,COUNTY_PIVOT!$AW$74:$AW$138,COUNTY_PIVOT!$BJ$74:$BJ$138)</f>
        <v>0</v>
      </c>
      <c r="F50" s="48" t="b">
        <f>_xlfn.XLOOKUP(PLOTS!A50,COUNTY_PIVOT!$AW$74:$AW$138,COUNTY_PIVOT!$BK$74:$BK$138)</f>
        <v>0</v>
      </c>
      <c r="G50" s="49">
        <v>5.3658986090219353E-3</v>
      </c>
      <c r="H50" s="22">
        <v>-0.79822693916219967</v>
      </c>
      <c r="I50" s="48" t="b">
        <v>0</v>
      </c>
      <c r="J50" s="48" t="b">
        <v>0</v>
      </c>
      <c r="K50" s="48" t="s">
        <v>265</v>
      </c>
      <c r="L50" s="57" t="s">
        <v>287</v>
      </c>
      <c r="X50" t="str">
        <f t="shared" si="2"/>
        <v>Lincoln County CO</v>
      </c>
    </row>
    <row r="51" spans="1:24" ht="17" x14ac:dyDescent="0.2">
      <c r="A51" s="52" t="s">
        <v>184</v>
      </c>
      <c r="B51" s="53">
        <v>1.0522000546597432</v>
      </c>
      <c r="C51" s="54">
        <v>3.51168301979762E-2</v>
      </c>
      <c r="D51" s="55">
        <v>2.2337512472202707</v>
      </c>
      <c r="E51" s="56" t="b">
        <f>_xlfn.XLOOKUP(PLOTS!A51,COUNTY_PIVOT!$AW$74:$AW$138,COUNTY_PIVOT!$BJ$74:$BJ$138)</f>
        <v>1</v>
      </c>
      <c r="F51" s="56" t="b">
        <f>_xlfn.XLOOKUP(PLOTS!A51,COUNTY_PIVOT!$AW$74:$AW$138,COUNTY_PIVOT!$BK$74:$BK$138)</f>
        <v>0</v>
      </c>
      <c r="G51" s="54">
        <v>2.6737535632884474E-2</v>
      </c>
      <c r="H51" s="55">
        <v>1.6322266592219914</v>
      </c>
      <c r="I51" s="56" t="b">
        <v>1</v>
      </c>
      <c r="J51" s="56" t="b">
        <v>0</v>
      </c>
      <c r="K51" s="56" t="s">
        <v>265</v>
      </c>
      <c r="L51" t="s">
        <v>288</v>
      </c>
      <c r="X51" t="str">
        <f t="shared" si="2"/>
        <v>Mineral County CO</v>
      </c>
    </row>
    <row r="52" spans="1:24" ht="17" x14ac:dyDescent="0.2">
      <c r="A52" t="s">
        <v>185</v>
      </c>
      <c r="B52" s="23">
        <v>2.7683741741767003</v>
      </c>
      <c r="C52" s="49">
        <v>-4.95607742473667E-3</v>
      </c>
      <c r="D52" s="22">
        <v>-0.62229477286947688</v>
      </c>
      <c r="E52" s="48" t="b">
        <f>_xlfn.XLOOKUP(PLOTS!A52,COUNTY_PIVOT!$AW$74:$AW$138,COUNTY_PIVOT!$BJ$74:$BJ$138)</f>
        <v>0</v>
      </c>
      <c r="F52" s="48" t="b">
        <f>_xlfn.XLOOKUP(PLOTS!A52,COUNTY_PIVOT!$AW$74:$AW$138,COUNTY_PIVOT!$BK$74:$BK$138)</f>
        <v>0</v>
      </c>
      <c r="G52" s="49">
        <v>3.6654976093432219E-3</v>
      </c>
      <c r="H52" s="22">
        <v>-0.99160219271674865</v>
      </c>
      <c r="I52" s="48" t="b">
        <v>0</v>
      </c>
      <c r="J52" s="48" t="b">
        <v>0</v>
      </c>
      <c r="K52" s="48" t="s">
        <v>265</v>
      </c>
      <c r="L52" s="57" t="s">
        <v>287</v>
      </c>
      <c r="X52" t="str">
        <f t="shared" si="2"/>
        <v>Moffat County CO</v>
      </c>
    </row>
    <row r="53" spans="1:24" ht="17" x14ac:dyDescent="0.2">
      <c r="A53" s="52" t="s">
        <v>189</v>
      </c>
      <c r="B53" s="53">
        <v>14.431314390293926</v>
      </c>
      <c r="C53" s="54">
        <v>-7.9198956962567429E-3</v>
      </c>
      <c r="D53" s="55">
        <v>-0.8335297912599674</v>
      </c>
      <c r="E53" s="56" t="b">
        <f>_xlfn.XLOOKUP(PLOTS!A53,COUNTY_PIVOT!$AW$74:$AW$138,COUNTY_PIVOT!$BJ$74:$BJ$138)</f>
        <v>0</v>
      </c>
      <c r="F53" s="56" t="b">
        <f>_xlfn.XLOOKUP(PLOTS!A53,COUNTY_PIVOT!$AW$74:$AW$138,COUNTY_PIVOT!$BK$74:$BK$138)</f>
        <v>0</v>
      </c>
      <c r="G53" s="54">
        <v>1.1855600494927209E-3</v>
      </c>
      <c r="H53" s="55">
        <v>-1.2736289349535219</v>
      </c>
      <c r="I53" s="56" t="b">
        <v>0</v>
      </c>
      <c r="J53" s="56" t="b">
        <v>1</v>
      </c>
      <c r="K53" s="56" t="s">
        <v>265</v>
      </c>
      <c r="L53" t="s">
        <v>291</v>
      </c>
      <c r="X53" t="str">
        <f t="shared" si="2"/>
        <v>Otero County CO</v>
      </c>
    </row>
    <row r="54" spans="1:24" ht="17" x14ac:dyDescent="0.2">
      <c r="A54" s="52" t="s">
        <v>190</v>
      </c>
      <c r="B54" s="53">
        <v>9.3822607412871104</v>
      </c>
      <c r="C54" s="54">
        <v>1.3654828766392157E-2</v>
      </c>
      <c r="D54" s="55">
        <v>0.70412768336652298</v>
      </c>
      <c r="E54" s="56" t="b">
        <f>_xlfn.XLOOKUP(PLOTS!A54,COUNTY_PIVOT!$AW$74:$AW$138,COUNTY_PIVOT!$BJ$74:$BJ$138)</f>
        <v>0</v>
      </c>
      <c r="F54" s="56" t="b">
        <f>_xlfn.XLOOKUP(PLOTS!A54,COUNTY_PIVOT!$AW$74:$AW$138,COUNTY_PIVOT!$BK$74:$BK$138)</f>
        <v>0</v>
      </c>
      <c r="G54" s="54">
        <v>2.2060135248465926E-2</v>
      </c>
      <c r="H54" s="55">
        <v>1.1002971405472886</v>
      </c>
      <c r="I54" s="56" t="b">
        <v>1</v>
      </c>
      <c r="J54" s="56" t="b">
        <v>0</v>
      </c>
      <c r="K54" s="56" t="s">
        <v>265</v>
      </c>
      <c r="L54" t="s">
        <v>289</v>
      </c>
      <c r="X54" t="str">
        <f t="shared" si="2"/>
        <v>Ouray County CO</v>
      </c>
    </row>
    <row r="55" spans="1:24" ht="17" x14ac:dyDescent="0.2">
      <c r="A55" t="s">
        <v>191</v>
      </c>
      <c r="B55" s="23">
        <v>8.1018937610891832</v>
      </c>
      <c r="C55" s="49">
        <v>7.3983220441464223E-3</v>
      </c>
      <c r="D55" s="22">
        <v>0.25821865944516398</v>
      </c>
      <c r="E55" s="48" t="b">
        <f>_xlfn.XLOOKUP(PLOTS!A55,COUNTY_PIVOT!$AW$74:$AW$138,COUNTY_PIVOT!$BJ$74:$BJ$138)</f>
        <v>0</v>
      </c>
      <c r="F55" s="48" t="b">
        <f>_xlfn.XLOOKUP(PLOTS!A55,COUNTY_PIVOT!$AW$74:$AW$138,COUNTY_PIVOT!$BK$74:$BK$138)</f>
        <v>0</v>
      </c>
      <c r="G55" s="49">
        <v>1.2377403291431834E-2</v>
      </c>
      <c r="H55" s="22">
        <v>-8.5532151665237825E-4</v>
      </c>
      <c r="I55" s="48" t="b">
        <v>0</v>
      </c>
      <c r="J55" s="48" t="b">
        <v>0</v>
      </c>
      <c r="K55" s="48" t="s">
        <v>265</v>
      </c>
      <c r="L55" s="57" t="s">
        <v>287</v>
      </c>
      <c r="X55" t="str">
        <f t="shared" si="2"/>
        <v>Park County CO</v>
      </c>
    </row>
    <row r="56" spans="1:24" ht="17" x14ac:dyDescent="0.2">
      <c r="A56" s="52" t="s">
        <v>192</v>
      </c>
      <c r="B56" s="53">
        <v>6.4434113032108096</v>
      </c>
      <c r="C56" s="54">
        <v>-6.3637166235325565E-3</v>
      </c>
      <c r="D56" s="55">
        <v>-0.72261897118556473</v>
      </c>
      <c r="E56" s="56" t="b">
        <f>_xlfn.XLOOKUP(PLOTS!A56,COUNTY_PIVOT!$AW$74:$AW$138,COUNTY_PIVOT!$BJ$74:$BJ$138)</f>
        <v>0</v>
      </c>
      <c r="F56" s="56" t="b">
        <f>_xlfn.XLOOKUP(PLOTS!A56,COUNTY_PIVOT!$AW$74:$AW$138,COUNTY_PIVOT!$BK$74:$BK$138)</f>
        <v>0</v>
      </c>
      <c r="G56" s="54">
        <v>2.6325339958647039E-3</v>
      </c>
      <c r="H56" s="55">
        <v>-1.1090742482535154</v>
      </c>
      <c r="I56" s="56" t="b">
        <v>0</v>
      </c>
      <c r="J56" s="56" t="b">
        <v>1</v>
      </c>
      <c r="K56" s="56" t="s">
        <v>265</v>
      </c>
      <c r="L56" t="s">
        <v>291</v>
      </c>
      <c r="X56" t="str">
        <f t="shared" si="2"/>
        <v>Phillips County CO</v>
      </c>
    </row>
    <row r="57" spans="1:24" ht="17" x14ac:dyDescent="0.2">
      <c r="A57" t="s">
        <v>193</v>
      </c>
      <c r="B57" s="23">
        <v>17.370693652936509</v>
      </c>
      <c r="C57" s="49">
        <v>-1.0704559376070934E-2</v>
      </c>
      <c r="D57" s="22">
        <v>-1.0319962388384816</v>
      </c>
      <c r="E57" s="48" t="b">
        <f>_xlfn.XLOOKUP(PLOTS!A57,COUNTY_PIVOT!$AW$74:$AW$138,COUNTY_PIVOT!$BJ$74:$BJ$138)</f>
        <v>0</v>
      </c>
      <c r="F57" s="48" t="b">
        <f>_xlfn.XLOOKUP(PLOTS!A57,COUNTY_PIVOT!$AW$74:$AW$138,COUNTY_PIVOT!$BK$74:$BK$138)</f>
        <v>1</v>
      </c>
      <c r="G57" s="49">
        <v>8.0610620267588893E-3</v>
      </c>
      <c r="H57" s="22">
        <v>-0.49172399698896901</v>
      </c>
      <c r="I57" s="48" t="b">
        <v>0</v>
      </c>
      <c r="J57" s="48" t="b">
        <v>0</v>
      </c>
      <c r="K57" s="48" t="s">
        <v>265</v>
      </c>
      <c r="L57" s="57" t="s">
        <v>287</v>
      </c>
      <c r="X57" t="str">
        <f t="shared" si="2"/>
        <v>Pitkin County CO</v>
      </c>
    </row>
    <row r="58" spans="1:24" ht="17" x14ac:dyDescent="0.2">
      <c r="A58" s="52" t="s">
        <v>194</v>
      </c>
      <c r="B58" s="53">
        <v>7.2020275074907172</v>
      </c>
      <c r="C58" s="54">
        <v>-4.4761917778246467E-3</v>
      </c>
      <c r="D58" s="55">
        <v>-0.58809272531991363</v>
      </c>
      <c r="E58" s="56" t="b">
        <f>_xlfn.XLOOKUP(PLOTS!A58,COUNTY_PIVOT!$AW$74:$AW$138,COUNTY_PIVOT!$BJ$74:$BJ$138)</f>
        <v>0</v>
      </c>
      <c r="F58" s="56" t="b">
        <f>_xlfn.XLOOKUP(PLOTS!A58,COUNTY_PIVOT!$AW$74:$AW$138,COUNTY_PIVOT!$BK$74:$BK$138)</f>
        <v>0</v>
      </c>
      <c r="G58" s="54">
        <v>2.5109489335481123E-3</v>
      </c>
      <c r="H58" s="55">
        <v>-1.1229013056701829</v>
      </c>
      <c r="I58" s="56" t="b">
        <v>0</v>
      </c>
      <c r="J58" s="56" t="b">
        <v>1</v>
      </c>
      <c r="K58" s="56" t="s">
        <v>265</v>
      </c>
      <c r="L58" t="s">
        <v>293</v>
      </c>
      <c r="X58" t="str">
        <f t="shared" si="2"/>
        <v>Prowers County CO</v>
      </c>
    </row>
    <row r="59" spans="1:24" ht="17" x14ac:dyDescent="0.2">
      <c r="A59" s="52" t="s">
        <v>196</v>
      </c>
      <c r="B59" s="53">
        <v>2.0327068042055148</v>
      </c>
      <c r="C59" s="54">
        <v>1.6050562145851835E-3</v>
      </c>
      <c r="D59" s="55">
        <v>-0.15467460928441315</v>
      </c>
      <c r="E59" s="56" t="b">
        <f>_xlfn.XLOOKUP(PLOTS!A59,COUNTY_PIVOT!$AW$74:$AW$138,COUNTY_PIVOT!$BJ$74:$BJ$138)</f>
        <v>0</v>
      </c>
      <c r="F59" s="56" t="b">
        <f>_xlfn.XLOOKUP(PLOTS!A59,COUNTY_PIVOT!$AW$74:$AW$138,COUNTY_PIVOT!$BK$74:$BK$138)</f>
        <v>0</v>
      </c>
      <c r="G59" s="54">
        <v>2.7459916633798161E-3</v>
      </c>
      <c r="H59" s="55">
        <v>-1.0961714651878809</v>
      </c>
      <c r="I59" s="56" t="b">
        <v>0</v>
      </c>
      <c r="J59" s="56" t="b">
        <v>1</v>
      </c>
      <c r="K59" s="56" t="s">
        <v>265</v>
      </c>
      <c r="L59" t="s">
        <v>291</v>
      </c>
      <c r="X59" t="str">
        <f t="shared" si="2"/>
        <v>Rio Blanco County CO</v>
      </c>
    </row>
    <row r="60" spans="1:24" ht="17" x14ac:dyDescent="0.2">
      <c r="A60" t="s">
        <v>197</v>
      </c>
      <c r="B60" s="23">
        <v>12.414850509254189</v>
      </c>
      <c r="C60" s="49">
        <v>-7.6408341655125429E-3</v>
      </c>
      <c r="D60" s="22">
        <v>-0.81364072851098967</v>
      </c>
      <c r="E60" s="48" t="b">
        <f>_xlfn.XLOOKUP(PLOTS!A60,COUNTY_PIVOT!$AW$74:$AW$138,COUNTY_PIVOT!$BJ$74:$BJ$138)</f>
        <v>0</v>
      </c>
      <c r="F60" s="48" t="b">
        <f>_xlfn.XLOOKUP(PLOTS!A60,COUNTY_PIVOT!$AW$74:$AW$138,COUNTY_PIVOT!$BK$74:$BK$138)</f>
        <v>0</v>
      </c>
      <c r="G60" s="49">
        <v>5.0979893852829148E-3</v>
      </c>
      <c r="H60" s="22">
        <v>-0.82869446657480661</v>
      </c>
      <c r="I60" s="48" t="b">
        <v>0</v>
      </c>
      <c r="J60" s="48" t="b">
        <v>0</v>
      </c>
      <c r="K60" s="48" t="s">
        <v>265</v>
      </c>
      <c r="L60" s="57" t="s">
        <v>287</v>
      </c>
      <c r="X60" t="str">
        <f t="shared" si="2"/>
        <v>Rio Grande County CO</v>
      </c>
    </row>
    <row r="61" spans="1:24" ht="17" x14ac:dyDescent="0.2">
      <c r="A61" t="s">
        <v>199</v>
      </c>
      <c r="B61" s="23">
        <v>2.0881729118270882</v>
      </c>
      <c r="C61" s="49">
        <v>1.3312010174266907E-2</v>
      </c>
      <c r="D61" s="22">
        <v>0.67969457547052525</v>
      </c>
      <c r="E61" s="48" t="b">
        <f>_xlfn.XLOOKUP(PLOTS!A61,COUNTY_PIVOT!$AW$74:$AW$138,COUNTY_PIVOT!$BJ$74:$BJ$138)</f>
        <v>0</v>
      </c>
      <c r="F61" s="48" t="b">
        <f>_xlfn.XLOOKUP(PLOTS!A61,COUNTY_PIVOT!$AW$74:$AW$138,COUNTY_PIVOT!$BK$74:$BK$138)</f>
        <v>0</v>
      </c>
      <c r="G61" s="49">
        <v>2.0865915660692375E-2</v>
      </c>
      <c r="H61" s="22">
        <v>0.96448651962366316</v>
      </c>
      <c r="I61" s="48" t="b">
        <v>0</v>
      </c>
      <c r="J61" s="48" t="b">
        <v>0</v>
      </c>
      <c r="K61" s="48" t="s">
        <v>265</v>
      </c>
      <c r="L61" s="57" t="s">
        <v>287</v>
      </c>
      <c r="X61" t="str">
        <f t="shared" si="2"/>
        <v>Saguache County CO</v>
      </c>
    </row>
    <row r="62" spans="1:24" ht="17" x14ac:dyDescent="0.2">
      <c r="A62" s="52" t="s">
        <v>200</v>
      </c>
      <c r="B62" s="53">
        <v>2.0591788992004934</v>
      </c>
      <c r="C62" s="54">
        <v>4.3892130347968294E-2</v>
      </c>
      <c r="D62" s="55">
        <v>2.8591778148265763</v>
      </c>
      <c r="E62" s="56" t="b">
        <f>_xlfn.XLOOKUP(PLOTS!A62,COUNTY_PIVOT!$AW$74:$AW$138,COUNTY_PIVOT!$BJ$74:$BJ$138)</f>
        <v>1</v>
      </c>
      <c r="F62" s="56" t="b">
        <f>_xlfn.XLOOKUP(PLOTS!A62,COUNTY_PIVOT!$AW$74:$AW$138,COUNTY_PIVOT!$BK$74:$BK$138)</f>
        <v>0</v>
      </c>
      <c r="G62" s="54">
        <v>1.2759469220860789E-2</v>
      </c>
      <c r="H62" s="55">
        <v>4.2594485906325134E-2</v>
      </c>
      <c r="I62" s="56" t="b">
        <v>0</v>
      </c>
      <c r="J62" s="56" t="b">
        <v>0</v>
      </c>
      <c r="K62" s="56" t="s">
        <v>265</v>
      </c>
      <c r="L62" t="s">
        <v>292</v>
      </c>
      <c r="X62" t="str">
        <f t="shared" si="2"/>
        <v>San Juan County CO</v>
      </c>
    </row>
    <row r="63" spans="1:24" ht="17" x14ac:dyDescent="0.2">
      <c r="A63" t="s">
        <v>201</v>
      </c>
      <c r="B63" s="23">
        <v>6.1924757507205062</v>
      </c>
      <c r="C63" s="49">
        <v>-5.346109531753321E-3</v>
      </c>
      <c r="D63" s="22">
        <v>-0.65009284675620305</v>
      </c>
      <c r="E63" s="48" t="b">
        <f>_xlfn.XLOOKUP(PLOTS!A63,COUNTY_PIVOT!$AW$74:$AW$138,COUNTY_PIVOT!$BJ$74:$BJ$138)</f>
        <v>0</v>
      </c>
      <c r="F63" s="48" t="b">
        <f>_xlfn.XLOOKUP(PLOTS!A63,COUNTY_PIVOT!$AW$74:$AW$138,COUNTY_PIVOT!$BK$74:$BK$138)</f>
        <v>0</v>
      </c>
      <c r="G63" s="49">
        <v>1.0099023555425767E-2</v>
      </c>
      <c r="H63" s="22">
        <v>-0.25996023807866719</v>
      </c>
      <c r="I63" s="48" t="b">
        <v>0</v>
      </c>
      <c r="J63" s="48" t="b">
        <v>0</v>
      </c>
      <c r="K63" s="48" t="s">
        <v>265</v>
      </c>
      <c r="L63" s="57" t="s">
        <v>287</v>
      </c>
      <c r="X63" t="str">
        <f t="shared" si="2"/>
        <v>San Miguel County CO</v>
      </c>
    </row>
    <row r="64" spans="1:24" ht="17" x14ac:dyDescent="0.2">
      <c r="A64" s="52" t="s">
        <v>202</v>
      </c>
      <c r="B64" s="53">
        <v>4.185266840369513</v>
      </c>
      <c r="C64" s="54">
        <v>-1.5165544627960015E-2</v>
      </c>
      <c r="D64" s="55">
        <v>-1.3499362120066765</v>
      </c>
      <c r="E64" s="56" t="b">
        <f>_xlfn.XLOOKUP(PLOTS!A64,COUNTY_PIVOT!$AW$74:$AW$138,COUNTY_PIVOT!$BJ$74:$BJ$138)</f>
        <v>0</v>
      </c>
      <c r="F64" s="56" t="b">
        <f>_xlfn.XLOOKUP(PLOTS!A64,COUNTY_PIVOT!$AW$74:$AW$138,COUNTY_PIVOT!$BK$74:$BK$138)</f>
        <v>1</v>
      </c>
      <c r="G64" s="54">
        <v>4.9714143673875214E-4</v>
      </c>
      <c r="H64" s="55">
        <v>-1.3519181877933655</v>
      </c>
      <c r="I64" s="56" t="b">
        <v>0</v>
      </c>
      <c r="J64" s="56" t="b">
        <v>1</v>
      </c>
      <c r="K64" s="56" t="s">
        <v>265</v>
      </c>
      <c r="L64" t="s">
        <v>291</v>
      </c>
      <c r="X64" t="str">
        <f t="shared" si="2"/>
        <v>Sedgwick County CO</v>
      </c>
    </row>
    <row r="65" spans="1:24" ht="17" x14ac:dyDescent="0.2">
      <c r="A65" s="52" t="s">
        <v>205</v>
      </c>
      <c r="B65" s="53">
        <v>1.9164453604978398</v>
      </c>
      <c r="C65" s="54">
        <v>6.5618008053232627E-4</v>
      </c>
      <c r="D65" s="55">
        <v>-0.22230219278134394</v>
      </c>
      <c r="E65" s="56" t="b">
        <f>_xlfn.XLOOKUP(PLOTS!A65,COUNTY_PIVOT!$AW$74:$AW$138,COUNTY_PIVOT!$BJ$74:$BJ$138)</f>
        <v>0</v>
      </c>
      <c r="F65" s="56" t="b">
        <f>_xlfn.XLOOKUP(PLOTS!A65,COUNTY_PIVOT!$AW$74:$AW$138,COUNTY_PIVOT!$BK$74:$BK$138)</f>
        <v>0</v>
      </c>
      <c r="G65" s="54">
        <v>3.0781710766689466E-3</v>
      </c>
      <c r="H65" s="55">
        <v>-1.058394918195422</v>
      </c>
      <c r="I65" s="56" t="b">
        <v>0</v>
      </c>
      <c r="J65" s="56" t="b">
        <v>1</v>
      </c>
      <c r="K65" s="56" t="s">
        <v>265</v>
      </c>
      <c r="L65" t="s">
        <v>291</v>
      </c>
      <c r="X65" t="str">
        <f t="shared" si="2"/>
        <v>Washington County CO</v>
      </c>
    </row>
    <row r="66" spans="1:24" ht="17" x14ac:dyDescent="0.2">
      <c r="A66" t="s">
        <v>207</v>
      </c>
      <c r="B66" s="23">
        <v>4.1863429003084898</v>
      </c>
      <c r="C66" s="49">
        <v>-3.0050976748275822E-3</v>
      </c>
      <c r="D66" s="22">
        <v>-0.48324601697522424</v>
      </c>
      <c r="E66" s="48" t="b">
        <f>_xlfn.XLOOKUP(PLOTS!A66,COUNTY_PIVOT!$AW$74:$AW$138,COUNTY_PIVOT!$BJ$74:$BJ$138)</f>
        <v>0</v>
      </c>
      <c r="F66" s="48" t="b">
        <f>_xlfn.XLOOKUP(PLOTS!A66,COUNTY_PIVOT!$AW$74:$AW$138,COUNTY_PIVOT!$BK$74:$BK$138)</f>
        <v>0</v>
      </c>
      <c r="G66" s="49">
        <v>6.9478425067071752E-4</v>
      </c>
      <c r="H66" s="22">
        <v>-1.3294415900587431</v>
      </c>
      <c r="I66" s="48" t="b">
        <v>0</v>
      </c>
      <c r="J66" s="48" t="b">
        <v>0</v>
      </c>
      <c r="K66" s="48" t="s">
        <v>265</v>
      </c>
      <c r="L66" s="57" t="s">
        <v>287</v>
      </c>
      <c r="X66" t="str">
        <f t="shared" si="2"/>
        <v>Yuma County CO</v>
      </c>
    </row>
  </sheetData>
  <sortState xmlns:xlrd2="http://schemas.microsoft.com/office/spreadsheetml/2017/richdata2" ref="A3:K66">
    <sortCondition ref="K3:K66"/>
  </sortState>
  <mergeCells count="2">
    <mergeCell ref="C1:F1"/>
    <mergeCell ref="G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CountyHousingProf</vt:lpstr>
      <vt:lpstr>CountyPopHousing</vt:lpstr>
      <vt:lpstr>JobsBySector</vt:lpstr>
      <vt:lpstr>Lookups</vt:lpstr>
      <vt:lpstr>COMB_RAW_DATA</vt:lpstr>
      <vt:lpstr>COUNTY_PIVOT</vt:lpstr>
      <vt:lpstr>County Population Strata</vt:lpstr>
      <vt:lpstr>REGION_PIVOT</vt:lpstr>
      <vt:lpstr>PLOTS</vt:lpstr>
    </vt:vector>
  </TitlesOfParts>
  <Company>Dept. of Local Affairs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Gedeon, Nancy</dc:creator>
  <cp:lastModifiedBy>David Milner</cp:lastModifiedBy>
  <cp:lastPrinted>2023-10-17T18:54:08Z</cp:lastPrinted>
  <dcterms:created xsi:type="dcterms:W3CDTF">2022-08-18T22:39:48Z</dcterms:created>
  <dcterms:modified xsi:type="dcterms:W3CDTF">2026-05-24T17:07:44Z</dcterms:modified>
</cp:coreProperties>
</file>