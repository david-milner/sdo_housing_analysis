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david/Documents/CAREER/AIA/SDO Data Analysis/Data/"/>
    </mc:Choice>
  </mc:AlternateContent>
  <xr:revisionPtr revIDLastSave="0" documentId="13_ncr:1_{63576F77-B26B-F946-B44C-4B3DEDE49F72}" xr6:coauthVersionLast="47" xr6:coauthVersionMax="47" xr10:uidLastSave="{00000000-0000-0000-0000-000000000000}"/>
  <bookViews>
    <workbookView xWindow="0" yWindow="500" windowWidth="28800" windowHeight="12460" xr2:uid="{00000000-000D-0000-FFFF-FFFF00000000}"/>
  </bookViews>
  <sheets>
    <sheet name="CountyMuniHousing" sheetId="1" r:id="rId1"/>
  </sheets>
  <definedNames>
    <definedName name="_xlnm._FilterDatabase" localSheetId="0" hidden="1">CountyMuniHousing!$A$3:$K$512</definedName>
    <definedName name="_xlnm.Print_Area" localSheetId="0">CountyMuniHousing!#REF!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9" i="1"/>
  <c r="L20" i="1"/>
  <c r="L21" i="1"/>
  <c r="L22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0" i="1"/>
  <c r="L41" i="1"/>
  <c r="L42" i="1"/>
  <c r="L44" i="1"/>
  <c r="L45" i="1"/>
  <c r="L46" i="1"/>
  <c r="L47" i="1"/>
  <c r="L48" i="1"/>
  <c r="L49" i="1"/>
  <c r="L50" i="1"/>
  <c r="L51" i="1"/>
  <c r="L53" i="1"/>
  <c r="L54" i="1"/>
  <c r="L55" i="1"/>
  <c r="L57" i="1"/>
  <c r="L58" i="1"/>
  <c r="L59" i="1"/>
  <c r="L60" i="1"/>
  <c r="L61" i="1"/>
  <c r="L62" i="1"/>
  <c r="L63" i="1"/>
  <c r="L64" i="1"/>
  <c r="L65" i="1"/>
  <c r="L66" i="1"/>
  <c r="L67" i="1"/>
  <c r="L68" i="1"/>
  <c r="L70" i="1"/>
  <c r="L71" i="1"/>
  <c r="L73" i="1"/>
  <c r="L74" i="1"/>
  <c r="L75" i="1"/>
  <c r="L76" i="1"/>
  <c r="L77" i="1"/>
  <c r="L79" i="1"/>
  <c r="L80" i="1"/>
  <c r="L81" i="1"/>
  <c r="L82" i="1"/>
  <c r="L84" i="1"/>
  <c r="L86" i="1"/>
  <c r="L87" i="1"/>
  <c r="L88" i="1"/>
  <c r="L89" i="1"/>
  <c r="L90" i="1"/>
  <c r="L92" i="1"/>
  <c r="L93" i="1"/>
  <c r="L94" i="1"/>
  <c r="L95" i="1"/>
  <c r="L96" i="1"/>
  <c r="L97" i="1"/>
  <c r="L98" i="1"/>
  <c r="L100" i="1"/>
  <c r="L101" i="1"/>
  <c r="L102" i="1"/>
  <c r="L103" i="1"/>
  <c r="L105" i="1"/>
  <c r="L106" i="1"/>
  <c r="L107" i="1"/>
  <c r="L108" i="1"/>
  <c r="L109" i="1"/>
  <c r="L110" i="1"/>
  <c r="L112" i="1"/>
  <c r="L113" i="1"/>
  <c r="L114" i="1"/>
  <c r="L115" i="1"/>
  <c r="L117" i="1"/>
  <c r="L118" i="1"/>
  <c r="L119" i="1"/>
  <c r="L120" i="1"/>
  <c r="L121" i="1"/>
  <c r="L122" i="1"/>
  <c r="L123" i="1"/>
  <c r="L124" i="1"/>
  <c r="L126" i="1"/>
  <c r="L127" i="1"/>
  <c r="L129" i="1"/>
  <c r="L130" i="1"/>
  <c r="L131" i="1"/>
  <c r="L132" i="1"/>
  <c r="L134" i="1"/>
  <c r="L135" i="1"/>
  <c r="L136" i="1"/>
  <c r="L137" i="1"/>
  <c r="L138" i="1"/>
  <c r="L139" i="1"/>
  <c r="L140" i="1"/>
  <c r="L141" i="1"/>
  <c r="L142" i="1"/>
  <c r="L144" i="1"/>
  <c r="L145" i="1"/>
  <c r="L146" i="1"/>
  <c r="L147" i="1"/>
  <c r="L148" i="1"/>
  <c r="L149" i="1"/>
  <c r="L150" i="1"/>
  <c r="L151" i="1"/>
  <c r="L152" i="1"/>
  <c r="L154" i="1"/>
  <c r="L155" i="1"/>
  <c r="L156" i="1"/>
  <c r="L157" i="1"/>
  <c r="L158" i="1"/>
  <c r="L160" i="1"/>
  <c r="L161" i="1"/>
  <c r="L162" i="1"/>
  <c r="L163" i="1"/>
  <c r="L164" i="1"/>
  <c r="L165" i="1"/>
  <c r="L166" i="1"/>
  <c r="L167" i="1"/>
  <c r="L168" i="1"/>
  <c r="L169" i="1"/>
  <c r="L171" i="1"/>
  <c r="L172" i="1"/>
  <c r="L173" i="1"/>
  <c r="L174" i="1"/>
  <c r="L175" i="1"/>
  <c r="L176" i="1"/>
  <c r="L177" i="1"/>
  <c r="L178" i="1"/>
  <c r="L180" i="1"/>
  <c r="L182" i="1"/>
  <c r="L183" i="1"/>
  <c r="L184" i="1"/>
  <c r="L185" i="1"/>
  <c r="L186" i="1"/>
  <c r="L187" i="1"/>
  <c r="L188" i="1"/>
  <c r="L190" i="1"/>
  <c r="L191" i="1"/>
  <c r="L192" i="1"/>
  <c r="L193" i="1"/>
  <c r="L195" i="1"/>
  <c r="L196" i="1"/>
  <c r="L197" i="1"/>
  <c r="L198" i="1"/>
  <c r="L199" i="1"/>
  <c r="L200" i="1"/>
  <c r="L201" i="1"/>
  <c r="L202" i="1"/>
  <c r="L204" i="1"/>
  <c r="L205" i="1"/>
  <c r="L206" i="1"/>
  <c r="L207" i="1"/>
  <c r="L208" i="1"/>
  <c r="L209" i="1"/>
  <c r="L210" i="1"/>
  <c r="L212" i="1"/>
  <c r="L213" i="1"/>
  <c r="L214" i="1"/>
  <c r="L216" i="1"/>
  <c r="L217" i="1"/>
  <c r="L218" i="1"/>
  <c r="L219" i="1"/>
  <c r="L221" i="1"/>
  <c r="L222" i="1"/>
  <c r="L223" i="1"/>
  <c r="L225" i="1"/>
  <c r="L226" i="1"/>
  <c r="L227" i="1"/>
  <c r="L228" i="1"/>
  <c r="L229" i="1"/>
  <c r="L230" i="1"/>
  <c r="L231" i="1"/>
  <c r="L232" i="1"/>
  <c r="L233" i="1"/>
  <c r="L234" i="1"/>
  <c r="L236" i="1"/>
  <c r="L237" i="1"/>
  <c r="L238" i="1"/>
  <c r="L240" i="1"/>
  <c r="L241" i="1"/>
  <c r="L242" i="1"/>
  <c r="L243" i="1"/>
  <c r="L244" i="1"/>
  <c r="L246" i="1"/>
  <c r="L247" i="1"/>
  <c r="L248" i="1"/>
  <c r="L249" i="1"/>
  <c r="L250" i="1"/>
  <c r="L251" i="1"/>
  <c r="L252" i="1"/>
  <c r="L253" i="1"/>
  <c r="L255" i="1"/>
  <c r="L256" i="1"/>
  <c r="L257" i="1"/>
  <c r="L259" i="1"/>
  <c r="L260" i="1"/>
  <c r="L261" i="1"/>
  <c r="L262" i="1"/>
  <c r="L263" i="1"/>
  <c r="L265" i="1"/>
  <c r="L266" i="1"/>
  <c r="L267" i="1"/>
  <c r="L268" i="1"/>
  <c r="L269" i="1"/>
  <c r="L270" i="1"/>
  <c r="L271" i="1"/>
  <c r="L272" i="1"/>
  <c r="L273" i="1"/>
  <c r="L274" i="1"/>
  <c r="L276" i="1"/>
  <c r="L277" i="1"/>
  <c r="L278" i="1"/>
  <c r="L279" i="1"/>
  <c r="L280" i="1"/>
  <c r="L281" i="1"/>
  <c r="L282" i="1"/>
  <c r="L283" i="1"/>
  <c r="L285" i="1"/>
  <c r="L286" i="1"/>
  <c r="L287" i="1"/>
  <c r="L288" i="1"/>
  <c r="L289" i="1"/>
  <c r="L290" i="1"/>
  <c r="L292" i="1"/>
  <c r="L293" i="1"/>
  <c r="L294" i="1"/>
  <c r="L295" i="1"/>
  <c r="L296" i="1"/>
  <c r="L297" i="1"/>
  <c r="L298" i="1"/>
  <c r="L299" i="1"/>
  <c r="L301" i="1"/>
  <c r="L302" i="1"/>
  <c r="L303" i="1"/>
  <c r="L304" i="1"/>
  <c r="L305" i="1"/>
  <c r="L306" i="1"/>
  <c r="L307" i="1"/>
  <c r="L309" i="1"/>
  <c r="L310" i="1"/>
  <c r="L311" i="1"/>
  <c r="L313" i="1"/>
  <c r="L314" i="1"/>
  <c r="L315" i="1"/>
  <c r="L316" i="1"/>
  <c r="L318" i="1"/>
  <c r="L319" i="1"/>
  <c r="L320" i="1"/>
  <c r="L321" i="1"/>
  <c r="L322" i="1"/>
  <c r="L324" i="1"/>
  <c r="L325" i="1"/>
  <c r="L326" i="1"/>
  <c r="L327" i="1"/>
  <c r="L328" i="1"/>
  <c r="L329" i="1"/>
  <c r="L331" i="1"/>
  <c r="L332" i="1"/>
  <c r="L333" i="1"/>
  <c r="L334" i="1"/>
  <c r="L335" i="1"/>
  <c r="L336" i="1"/>
  <c r="L337" i="1"/>
  <c r="L339" i="1"/>
  <c r="L340" i="1"/>
  <c r="L341" i="1"/>
  <c r="L342" i="1"/>
  <c r="L343" i="1"/>
  <c r="L344" i="1"/>
  <c r="L345" i="1"/>
  <c r="L346" i="1"/>
  <c r="L348" i="1"/>
  <c r="L349" i="1"/>
  <c r="L350" i="1"/>
  <c r="L351" i="1"/>
  <c r="L353" i="1"/>
  <c r="L354" i="1"/>
  <c r="L355" i="1"/>
  <c r="L356" i="1"/>
  <c r="L358" i="1"/>
  <c r="L359" i="1"/>
  <c r="L360" i="1"/>
  <c r="L361" i="1"/>
  <c r="L362" i="1"/>
  <c r="L364" i="1"/>
  <c r="L365" i="1"/>
  <c r="L366" i="1"/>
  <c r="L367" i="1"/>
  <c r="L368" i="1"/>
  <c r="L370" i="1"/>
  <c r="L371" i="1"/>
  <c r="L372" i="1"/>
  <c r="L373" i="1"/>
  <c r="L374" i="1"/>
  <c r="L375" i="1"/>
  <c r="L376" i="1"/>
  <c r="L378" i="1"/>
  <c r="L379" i="1"/>
  <c r="L380" i="1"/>
  <c r="L381" i="1"/>
  <c r="L382" i="1"/>
  <c r="L384" i="1"/>
  <c r="L385" i="1"/>
  <c r="L386" i="1"/>
  <c r="L387" i="1"/>
  <c r="L389" i="1"/>
  <c r="L390" i="1"/>
  <c r="L391" i="1"/>
  <c r="L392" i="1"/>
  <c r="L393" i="1"/>
  <c r="L394" i="1"/>
  <c r="L396" i="1"/>
  <c r="L397" i="1"/>
  <c r="L398" i="1"/>
  <c r="L399" i="1"/>
  <c r="L400" i="1"/>
  <c r="L401" i="1"/>
  <c r="L403" i="1"/>
  <c r="L404" i="1"/>
  <c r="L405" i="1"/>
  <c r="L406" i="1"/>
  <c r="L407" i="1"/>
  <c r="L408" i="1"/>
  <c r="L409" i="1"/>
  <c r="L411" i="1"/>
  <c r="L412" i="1"/>
  <c r="L413" i="1"/>
  <c r="L415" i="1"/>
  <c r="L416" i="1"/>
  <c r="L417" i="1"/>
  <c r="L418" i="1"/>
  <c r="L419" i="1"/>
  <c r="L420" i="1"/>
  <c r="L421" i="1"/>
  <c r="L423" i="1"/>
  <c r="L424" i="1"/>
  <c r="L425" i="1"/>
  <c r="L426" i="1"/>
  <c r="L427" i="1"/>
  <c r="L429" i="1"/>
  <c r="L430" i="1"/>
  <c r="L431" i="1"/>
  <c r="L432" i="1"/>
  <c r="L433" i="1"/>
  <c r="L434" i="1"/>
  <c r="L435" i="1"/>
  <c r="L436" i="1"/>
  <c r="L438" i="1"/>
  <c r="L439" i="1"/>
  <c r="L440" i="1"/>
  <c r="L441" i="1"/>
  <c r="L442" i="1"/>
  <c r="L443" i="1"/>
  <c r="L445" i="1"/>
  <c r="L446" i="1"/>
  <c r="L447" i="1"/>
  <c r="L448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1" i="1"/>
  <c r="L482" i="1"/>
  <c r="L483" i="1"/>
  <c r="L485" i="1"/>
  <c r="L486" i="1"/>
  <c r="L487" i="1"/>
  <c r="L488" i="1"/>
  <c r="L489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4" i="1"/>
</calcChain>
</file>

<file path=xl/sharedStrings.xml><?xml version="1.0" encoding="utf-8"?>
<sst xmlns="http://schemas.openxmlformats.org/spreadsheetml/2006/main" count="1477" uniqueCount="716">
  <si>
    <t>MuniFIP</t>
  </si>
  <si>
    <t>Area</t>
  </si>
  <si>
    <t xml:space="preserve"> Total Population</t>
  </si>
  <si>
    <t xml:space="preserve"> Group Quarter Population</t>
  </si>
  <si>
    <t>Household Population</t>
  </si>
  <si>
    <t>Persons Per Household</t>
  </si>
  <si>
    <t xml:space="preserve"> Total Housing Units</t>
  </si>
  <si>
    <t xml:space="preserve"> Occupied Housing Units</t>
  </si>
  <si>
    <t xml:space="preserve"> Vacant  Housing Units</t>
  </si>
  <si>
    <t>Vacancy Rate</t>
  </si>
  <si>
    <t>000</t>
  </si>
  <si>
    <t>00000</t>
  </si>
  <si>
    <t>COLORADO STATE</t>
  </si>
  <si>
    <t>001</t>
  </si>
  <si>
    <t>ADAMS COUNTY</t>
  </si>
  <si>
    <t>03455</t>
  </si>
  <si>
    <t>Arvada (Part)</t>
  </si>
  <si>
    <t>04000</t>
  </si>
  <si>
    <t>Aurora (Part)</t>
  </si>
  <si>
    <t>06090</t>
  </si>
  <si>
    <t>Bennett (Part)</t>
  </si>
  <si>
    <t>08675</t>
  </si>
  <si>
    <t>Brighton (Part)</t>
  </si>
  <si>
    <t>16495</t>
  </si>
  <si>
    <t>Commerce City</t>
  </si>
  <si>
    <t>26270</t>
  </si>
  <si>
    <t>Federal Heights</t>
  </si>
  <si>
    <t>45530</t>
  </si>
  <si>
    <t>Lochbuie (Part)</t>
  </si>
  <si>
    <t>54330</t>
  </si>
  <si>
    <t>Northglenn (Part)</t>
  </si>
  <si>
    <t>77290</t>
  </si>
  <si>
    <t>Thornton (Part)</t>
  </si>
  <si>
    <t>83835</t>
  </si>
  <si>
    <t>Westminster (Part)</t>
  </si>
  <si>
    <t>99990</t>
  </si>
  <si>
    <t>Unincorp. Area</t>
  </si>
  <si>
    <t>003</t>
  </si>
  <si>
    <t>ALAMOSA COUNTY</t>
  </si>
  <si>
    <t>01090</t>
  </si>
  <si>
    <t>Alamosa</t>
  </si>
  <si>
    <t>37380</t>
  </si>
  <si>
    <t>Hooper</t>
  </si>
  <si>
    <t>005</t>
  </si>
  <si>
    <t>ARAPAHOE COUNTY</t>
  </si>
  <si>
    <t>08070</t>
  </si>
  <si>
    <t>Bow Mar (Part)</t>
  </si>
  <si>
    <t>12815</t>
  </si>
  <si>
    <t>Centennial</t>
  </si>
  <si>
    <t>13845</t>
  </si>
  <si>
    <t>Cherry Hills Village</t>
  </si>
  <si>
    <t>16385</t>
  </si>
  <si>
    <t>Columbine Valley</t>
  </si>
  <si>
    <t>19630</t>
  </si>
  <si>
    <t>Deer Trail</t>
  </si>
  <si>
    <t>24785</t>
  </si>
  <si>
    <t>Englewood</t>
  </si>
  <si>
    <t>28105</t>
  </si>
  <si>
    <t>Foxfield</t>
  </si>
  <si>
    <t>30340</t>
  </si>
  <si>
    <t>Glendale</t>
  </si>
  <si>
    <t>33035</t>
  </si>
  <si>
    <t>Greenwood Village</t>
  </si>
  <si>
    <t>45255</t>
  </si>
  <si>
    <t>Littleton (Part)</t>
  </si>
  <si>
    <t>69645</t>
  </si>
  <si>
    <t>Sheridan</t>
  </si>
  <si>
    <t>007</t>
  </si>
  <si>
    <t>ARCHULETA COUNTY</t>
  </si>
  <si>
    <t>56860</t>
  </si>
  <si>
    <t>Pagosa Springs</t>
  </si>
  <si>
    <t>009</t>
  </si>
  <si>
    <t>BACA COUNTY</t>
  </si>
  <si>
    <t>11645</t>
  </si>
  <si>
    <t>Campo</t>
  </si>
  <si>
    <t>61315</t>
  </si>
  <si>
    <t>Pritchett</t>
  </si>
  <si>
    <t>73330</t>
  </si>
  <si>
    <t>Springfield</t>
  </si>
  <si>
    <t>79270</t>
  </si>
  <si>
    <t>Two Buttes</t>
  </si>
  <si>
    <t>81030</t>
  </si>
  <si>
    <t>Vilas</t>
  </si>
  <si>
    <t>82460</t>
  </si>
  <si>
    <t>Walsh</t>
  </si>
  <si>
    <t>011</t>
  </si>
  <si>
    <t>BENT COUNTY</t>
  </si>
  <si>
    <t>43660</t>
  </si>
  <si>
    <t>Las Animas</t>
  </si>
  <si>
    <t>013</t>
  </si>
  <si>
    <t>BOULDER COUNTY</t>
  </si>
  <si>
    <t>07850</t>
  </si>
  <si>
    <t>Boulder</t>
  </si>
  <si>
    <t>24950</t>
  </si>
  <si>
    <t>Erie (Part)</t>
  </si>
  <si>
    <t>39195</t>
  </si>
  <si>
    <t>Jamestown</t>
  </si>
  <si>
    <t>41835</t>
  </si>
  <si>
    <t>Lafayette</t>
  </si>
  <si>
    <t>45970</t>
  </si>
  <si>
    <t>Longmont (Part)</t>
  </si>
  <si>
    <t>46355</t>
  </si>
  <si>
    <t>Louisville</t>
  </si>
  <si>
    <t>47070</t>
  </si>
  <si>
    <t>Lyons</t>
  </si>
  <si>
    <t>53175</t>
  </si>
  <si>
    <t>Nederland</t>
  </si>
  <si>
    <t>75640</t>
  </si>
  <si>
    <t>Superior (Part)</t>
  </si>
  <si>
    <t>82735</t>
  </si>
  <si>
    <t>Ward</t>
  </si>
  <si>
    <t>014</t>
  </si>
  <si>
    <t>BROOMFIELD COUNTY</t>
  </si>
  <si>
    <t>09280</t>
  </si>
  <si>
    <t>Broomfield</t>
  </si>
  <si>
    <t>015</t>
  </si>
  <si>
    <t>CHAFFEE COUNTY</t>
  </si>
  <si>
    <t>10105</t>
  </si>
  <si>
    <t>Buena Vista</t>
  </si>
  <si>
    <t>60600</t>
  </si>
  <si>
    <t>Poncha Springs</t>
  </si>
  <si>
    <t>67280</t>
  </si>
  <si>
    <t>Salida</t>
  </si>
  <si>
    <t>017</t>
  </si>
  <si>
    <t>CHEYENNE COUNTY</t>
  </si>
  <si>
    <t>14175</t>
  </si>
  <si>
    <t>Cheyenne Wells</t>
  </si>
  <si>
    <t>41010</t>
  </si>
  <si>
    <t>Kit Carson</t>
  </si>
  <si>
    <t>019</t>
  </si>
  <si>
    <t>CLEAR CREEK COUNTY</t>
  </si>
  <si>
    <t>12910</t>
  </si>
  <si>
    <t>Central City (Part)</t>
  </si>
  <si>
    <t>24620</t>
  </si>
  <si>
    <t>Empire</t>
  </si>
  <si>
    <t>29735</t>
  </si>
  <si>
    <t>Georgetown</t>
  </si>
  <si>
    <t>38370</t>
  </si>
  <si>
    <t>Idaho Sprgs</t>
  </si>
  <si>
    <t>70360</t>
  </si>
  <si>
    <t>Silver Plume</t>
  </si>
  <si>
    <t>021</t>
  </si>
  <si>
    <t>CONEJOS COUNTY</t>
  </si>
  <si>
    <t>02355</t>
  </si>
  <si>
    <t>Antonito</t>
  </si>
  <si>
    <t>42055</t>
  </si>
  <si>
    <t>La Jara</t>
  </si>
  <si>
    <t>48060</t>
  </si>
  <si>
    <t>Manassa</t>
  </si>
  <si>
    <t>65740</t>
  </si>
  <si>
    <t>Romeo</t>
  </si>
  <si>
    <t>67830</t>
  </si>
  <si>
    <t>Sanford</t>
  </si>
  <si>
    <t>023</t>
  </si>
  <si>
    <t>COSTILLA COUNTY</t>
  </si>
  <si>
    <t>07190</t>
  </si>
  <si>
    <t>Blanca</t>
  </si>
  <si>
    <t>68105</t>
  </si>
  <si>
    <t>San Luis</t>
  </si>
  <si>
    <t>025</t>
  </si>
  <si>
    <t>CROWLEY COUNTY</t>
  </si>
  <si>
    <t>18750</t>
  </si>
  <si>
    <t>Crowley</t>
  </si>
  <si>
    <t>55705</t>
  </si>
  <si>
    <t>Olney Springs</t>
  </si>
  <si>
    <t>56145</t>
  </si>
  <si>
    <t>Ordway</t>
  </si>
  <si>
    <t>74815</t>
  </si>
  <si>
    <t>Sugar City</t>
  </si>
  <si>
    <t>027</t>
  </si>
  <si>
    <t>CUSTER COUNTY</t>
  </si>
  <si>
    <t>70250</t>
  </si>
  <si>
    <t>Silver Cliff</t>
  </si>
  <si>
    <t>83450</t>
  </si>
  <si>
    <t>Westcliffe</t>
  </si>
  <si>
    <t>029</t>
  </si>
  <si>
    <t>DELTA COUNTY</t>
  </si>
  <si>
    <t>12635</t>
  </si>
  <si>
    <t>Cedaredge</t>
  </si>
  <si>
    <t>17925</t>
  </si>
  <si>
    <t>Crawford</t>
  </si>
  <si>
    <t>19850</t>
  </si>
  <si>
    <t>Delta</t>
  </si>
  <si>
    <t>37545</t>
  </si>
  <si>
    <t>Hotchkiss</t>
  </si>
  <si>
    <t>55980</t>
  </si>
  <si>
    <t>Orchard City</t>
  </si>
  <si>
    <t>57300</t>
  </si>
  <si>
    <t>Paonia</t>
  </si>
  <si>
    <t>031</t>
  </si>
  <si>
    <t>DENVER COUNTY</t>
  </si>
  <si>
    <t>20000</t>
  </si>
  <si>
    <t>Denver</t>
  </si>
  <si>
    <t>033</t>
  </si>
  <si>
    <t>DOLORES COUNTY</t>
  </si>
  <si>
    <t>21265</t>
  </si>
  <si>
    <t>Dove Creek</t>
  </si>
  <si>
    <t>64090</t>
  </si>
  <si>
    <t>Rico</t>
  </si>
  <si>
    <t>035</t>
  </si>
  <si>
    <t>DOUGLAS COUNTY</t>
  </si>
  <si>
    <t>12387</t>
  </si>
  <si>
    <t>Castle Pines</t>
  </si>
  <si>
    <t>12415</t>
  </si>
  <si>
    <t>Castle Rock</t>
  </si>
  <si>
    <t>43550</t>
  </si>
  <si>
    <t>Larkspur</t>
  </si>
  <si>
    <t>45955</t>
  </si>
  <si>
    <t>Lone Tree</t>
  </si>
  <si>
    <t>57630</t>
  </si>
  <si>
    <t>Parker</t>
  </si>
  <si>
    <t>037</t>
  </si>
  <si>
    <t>EAGLE COUNTY</t>
  </si>
  <si>
    <t>04110</t>
  </si>
  <si>
    <t>Avon</t>
  </si>
  <si>
    <t>04935</t>
  </si>
  <si>
    <t>Basalt (Part)</t>
  </si>
  <si>
    <t>22200</t>
  </si>
  <si>
    <t>Eagle</t>
  </si>
  <si>
    <t>33695</t>
  </si>
  <si>
    <t>Gypsum</t>
  </si>
  <si>
    <t>50920</t>
  </si>
  <si>
    <t>Minturn</t>
  </si>
  <si>
    <t>63265</t>
  </si>
  <si>
    <t>Red Cliff</t>
  </si>
  <si>
    <t>80040</t>
  </si>
  <si>
    <t>Vail</t>
  </si>
  <si>
    <t>039</t>
  </si>
  <si>
    <t>ELBERT COUNTY</t>
  </si>
  <si>
    <t>23740</t>
  </si>
  <si>
    <t>Elizabeth</t>
  </si>
  <si>
    <t>40790</t>
  </si>
  <si>
    <t>Kiowa</t>
  </si>
  <si>
    <t>70635</t>
  </si>
  <si>
    <t>Simla</t>
  </si>
  <si>
    <t>041</t>
  </si>
  <si>
    <t>EL PASO COUNTY</t>
  </si>
  <si>
    <t>11260</t>
  </si>
  <si>
    <t>Calhan</t>
  </si>
  <si>
    <t>16000</t>
  </si>
  <si>
    <t>Colorado Springs</t>
  </si>
  <si>
    <t>27865</t>
  </si>
  <si>
    <t>Fountain</t>
  </si>
  <si>
    <t>32650</t>
  </si>
  <si>
    <t>Green Mtn. Falls (Part)</t>
  </si>
  <si>
    <t>48445</t>
  </si>
  <si>
    <t>Manitou Springs</t>
  </si>
  <si>
    <t>51800</t>
  </si>
  <si>
    <t>Monument</t>
  </si>
  <si>
    <t>57025</t>
  </si>
  <si>
    <t>Palmer Lake</t>
  </si>
  <si>
    <t>62660</t>
  </si>
  <si>
    <t>Ramah</t>
  </si>
  <si>
    <t>043</t>
  </si>
  <si>
    <t>FREMONT COUNTY</t>
  </si>
  <si>
    <t>09115</t>
  </si>
  <si>
    <t>Brookside</t>
  </si>
  <si>
    <t>11810</t>
  </si>
  <si>
    <t>Canon City</t>
  </si>
  <si>
    <t>15330</t>
  </si>
  <si>
    <t>Coal Creek</t>
  </si>
  <si>
    <t>27040</t>
  </si>
  <si>
    <t>Florence</t>
  </si>
  <si>
    <t>64970</t>
  </si>
  <si>
    <t>Rockvale</t>
  </si>
  <si>
    <t>85155</t>
  </si>
  <si>
    <t>Williamsburg</t>
  </si>
  <si>
    <t>045</t>
  </si>
  <si>
    <t>GARFIELD COUNTY</t>
  </si>
  <si>
    <t>12030</t>
  </si>
  <si>
    <t>Carbonate</t>
  </si>
  <si>
    <t>12045</t>
  </si>
  <si>
    <t>Carbondale</t>
  </si>
  <si>
    <t>30780</t>
  </si>
  <si>
    <t>Glenwood Springs</t>
  </si>
  <si>
    <t>53395</t>
  </si>
  <si>
    <t>New Castle</t>
  </si>
  <si>
    <t>57400</t>
  </si>
  <si>
    <t>Parachute</t>
  </si>
  <si>
    <t>64255</t>
  </si>
  <si>
    <t>Rifle</t>
  </si>
  <si>
    <t>70195</t>
  </si>
  <si>
    <t>Silt</t>
  </si>
  <si>
    <t>047</t>
  </si>
  <si>
    <t>GILPIN COUNTY</t>
  </si>
  <si>
    <t>07025</t>
  </si>
  <si>
    <t>Black Hawk</t>
  </si>
  <si>
    <t>049</t>
  </si>
  <si>
    <t>GRAND COUNTY</t>
  </si>
  <si>
    <t>28305</t>
  </si>
  <si>
    <t>Fraser</t>
  </si>
  <si>
    <t>31605</t>
  </si>
  <si>
    <t>Granby</t>
  </si>
  <si>
    <t>31715</t>
  </si>
  <si>
    <t>Grand Lake</t>
  </si>
  <si>
    <t>37600</t>
  </si>
  <si>
    <t>Hot Sulphur Springs</t>
  </si>
  <si>
    <t>41560</t>
  </si>
  <si>
    <t>Kremmling</t>
  </si>
  <si>
    <t>85705</t>
  </si>
  <si>
    <t>Winter Park</t>
  </si>
  <si>
    <t>051</t>
  </si>
  <si>
    <t>GUNNISON COUNTY</t>
  </si>
  <si>
    <t>18310</t>
  </si>
  <si>
    <t>Crested Butte</t>
  </si>
  <si>
    <t>33640</t>
  </si>
  <si>
    <t>Gunnison</t>
  </si>
  <si>
    <t>48555</t>
  </si>
  <si>
    <t>Marble</t>
  </si>
  <si>
    <t>52570</t>
  </si>
  <si>
    <t>59830</t>
  </si>
  <si>
    <t>Pitkin</t>
  </si>
  <si>
    <t>053</t>
  </si>
  <si>
    <t>HINSDALE COUNTY</t>
  </si>
  <si>
    <t>42330</t>
  </si>
  <si>
    <t>Lake City</t>
  </si>
  <si>
    <t>055</t>
  </si>
  <si>
    <t>HUERFANO COUNTY</t>
  </si>
  <si>
    <t>44100</t>
  </si>
  <si>
    <t>La Veta</t>
  </si>
  <si>
    <t>82350</t>
  </si>
  <si>
    <t>Walsenburg</t>
  </si>
  <si>
    <t>057</t>
  </si>
  <si>
    <t>JACKSON COUNTY</t>
  </si>
  <si>
    <t>82130</t>
  </si>
  <si>
    <t>Walden</t>
  </si>
  <si>
    <t>059</t>
  </si>
  <si>
    <t>JEFFERSON COUNTY</t>
  </si>
  <si>
    <t>23135</t>
  </si>
  <si>
    <t>Edgewater</t>
  </si>
  <si>
    <t>30835</t>
  </si>
  <si>
    <t>Golden</t>
  </si>
  <si>
    <t>42495</t>
  </si>
  <si>
    <t>Lakeside</t>
  </si>
  <si>
    <t>43000</t>
  </si>
  <si>
    <t>Lakewood</t>
  </si>
  <si>
    <t>52075</t>
  </si>
  <si>
    <t>Morrison</t>
  </si>
  <si>
    <t>52350</t>
  </si>
  <si>
    <t>Mountain View</t>
  </si>
  <si>
    <t>84440</t>
  </si>
  <si>
    <t>Wheat Ridge</t>
  </si>
  <si>
    <t>061</t>
  </si>
  <si>
    <t>KIOWA COUNTY</t>
  </si>
  <si>
    <t>22145</t>
  </si>
  <si>
    <t>Eads</t>
  </si>
  <si>
    <t>34740</t>
  </si>
  <si>
    <t>Haswell</t>
  </si>
  <si>
    <t>69700</t>
  </si>
  <si>
    <t>Sheridan Lake</t>
  </si>
  <si>
    <t>063</t>
  </si>
  <si>
    <t>KIT CARSON COUNTY</t>
  </si>
  <si>
    <t>06530</t>
  </si>
  <si>
    <t>Bethune</t>
  </si>
  <si>
    <t>10600</t>
  </si>
  <si>
    <t>Burlington</t>
  </si>
  <si>
    <t>26765</t>
  </si>
  <si>
    <t>Flagler</t>
  </si>
  <si>
    <t>69040</t>
  </si>
  <si>
    <t>Seibert</t>
  </si>
  <si>
    <t>74485</t>
  </si>
  <si>
    <t>Stratton</t>
  </si>
  <si>
    <t>81690</t>
  </si>
  <si>
    <t>Vona</t>
  </si>
  <si>
    <t>065</t>
  </si>
  <si>
    <t>LAKE COUNTY</t>
  </si>
  <si>
    <t>44320</t>
  </si>
  <si>
    <t>Leadville</t>
  </si>
  <si>
    <t>067</t>
  </si>
  <si>
    <t>LA PLATA COUNTY</t>
  </si>
  <si>
    <t>05265</t>
  </si>
  <si>
    <t>Bayfield</t>
  </si>
  <si>
    <t>22035</t>
  </si>
  <si>
    <t>Durango</t>
  </si>
  <si>
    <t>38535</t>
  </si>
  <si>
    <t>Ignacio</t>
  </si>
  <si>
    <t>069</t>
  </si>
  <si>
    <t>LARIMER COUNTY</t>
  </si>
  <si>
    <t>06255</t>
  </si>
  <si>
    <t>Berthoud (Part)</t>
  </si>
  <si>
    <t>25115</t>
  </si>
  <si>
    <t>Estes Park</t>
  </si>
  <si>
    <t>27425</t>
  </si>
  <si>
    <t>Fort Collins</t>
  </si>
  <si>
    <t>39855</t>
  </si>
  <si>
    <t>Johnstown (Part)</t>
  </si>
  <si>
    <t>46465</t>
  </si>
  <si>
    <t>Loveland</t>
  </si>
  <si>
    <t>77510</t>
  </si>
  <si>
    <t>Timnath (Part)</t>
  </si>
  <si>
    <t>83230</t>
  </si>
  <si>
    <t>Wellington</t>
  </si>
  <si>
    <t>85485</t>
  </si>
  <si>
    <t>Windsor (Part)</t>
  </si>
  <si>
    <t>071</t>
  </si>
  <si>
    <t>LAS ANIMAS COUNTY</t>
  </si>
  <si>
    <t>00760</t>
  </si>
  <si>
    <t>Aguilar</t>
  </si>
  <si>
    <t>08345</t>
  </si>
  <si>
    <t>Branson</t>
  </si>
  <si>
    <t>15550</t>
  </si>
  <si>
    <t>Cokedale</t>
  </si>
  <si>
    <t>40570</t>
  </si>
  <si>
    <t>Kim</t>
  </si>
  <si>
    <t>73715</t>
  </si>
  <si>
    <t>Starkville</t>
  </si>
  <si>
    <t>78610</t>
  </si>
  <si>
    <t>Trinidad</t>
  </si>
  <si>
    <t>073</t>
  </si>
  <si>
    <t>LINCOLN COUNTY</t>
  </si>
  <si>
    <t>03235</t>
  </si>
  <si>
    <t>Arriba</t>
  </si>
  <si>
    <t>29680</t>
  </si>
  <si>
    <t>Genoa</t>
  </si>
  <si>
    <t>37875</t>
  </si>
  <si>
    <t>Hugo</t>
  </si>
  <si>
    <t>44980</t>
  </si>
  <si>
    <t>Limon</t>
  </si>
  <si>
    <t>075</t>
  </si>
  <si>
    <t>LOGAN COUNTY</t>
  </si>
  <si>
    <t>18640</t>
  </si>
  <si>
    <t>Crook</t>
  </si>
  <si>
    <t>26875</t>
  </si>
  <si>
    <t>Fleming</t>
  </si>
  <si>
    <t>38590</t>
  </si>
  <si>
    <t>Iliff</t>
  </si>
  <si>
    <t>50040</t>
  </si>
  <si>
    <t>Merino</t>
  </si>
  <si>
    <t>58235</t>
  </si>
  <si>
    <t>Peetz</t>
  </si>
  <si>
    <t>73935</t>
  </si>
  <si>
    <t>Sterling</t>
  </si>
  <si>
    <t>077</t>
  </si>
  <si>
    <t>MESA COUNTY</t>
  </si>
  <si>
    <t>15605</t>
  </si>
  <si>
    <t>Collbran</t>
  </si>
  <si>
    <t>19355</t>
  </si>
  <si>
    <t>De Beque</t>
  </si>
  <si>
    <t>28745</t>
  </si>
  <si>
    <t>Fruita</t>
  </si>
  <si>
    <t>31660</t>
  </si>
  <si>
    <t>Grand Junction</t>
  </si>
  <si>
    <t>56970</t>
  </si>
  <si>
    <t>Palisade</t>
  </si>
  <si>
    <t>079</t>
  </si>
  <si>
    <t>MINERAL COUNTY</t>
  </si>
  <si>
    <t>14765</t>
  </si>
  <si>
    <t>City of Creede</t>
  </si>
  <si>
    <t>081</t>
  </si>
  <si>
    <t>MOFFAT COUNTY</t>
  </si>
  <si>
    <t>17760</t>
  </si>
  <si>
    <t>Craig</t>
  </si>
  <si>
    <t>20495</t>
  </si>
  <si>
    <t>Dinosaur</t>
  </si>
  <si>
    <t>083</t>
  </si>
  <si>
    <t>MONTEZUMA COUNTY</t>
  </si>
  <si>
    <t>17375</t>
  </si>
  <si>
    <t>Cortez</t>
  </si>
  <si>
    <t>20770</t>
  </si>
  <si>
    <t>Dolores</t>
  </si>
  <si>
    <t>48115</t>
  </si>
  <si>
    <t>Mancos</t>
  </si>
  <si>
    <t>085</t>
  </si>
  <si>
    <t>MONTROSE COUNTY</t>
  </si>
  <si>
    <t>51745</t>
  </si>
  <si>
    <t>Montrose</t>
  </si>
  <si>
    <t>53120</t>
  </si>
  <si>
    <t>Naturita</t>
  </si>
  <si>
    <t>54935</t>
  </si>
  <si>
    <t>Nucla</t>
  </si>
  <si>
    <t>55540</t>
  </si>
  <si>
    <t>Olathe</t>
  </si>
  <si>
    <t>087</t>
  </si>
  <si>
    <t>MORGAN COUNTY</t>
  </si>
  <si>
    <t>09555</t>
  </si>
  <si>
    <t>Brush</t>
  </si>
  <si>
    <t>27810</t>
  </si>
  <si>
    <t>Fort Morgan</t>
  </si>
  <si>
    <t>36610</t>
  </si>
  <si>
    <t>Hillrose</t>
  </si>
  <si>
    <t>45695</t>
  </si>
  <si>
    <t>Log Lane Village</t>
  </si>
  <si>
    <t>84770</t>
  </si>
  <si>
    <t>Wiggins</t>
  </si>
  <si>
    <t>089</t>
  </si>
  <si>
    <t>OTERO COUNTY</t>
  </si>
  <si>
    <t>13460</t>
  </si>
  <si>
    <t>Cheraw</t>
  </si>
  <si>
    <t>27975</t>
  </si>
  <si>
    <t>Fowler</t>
  </si>
  <si>
    <t>42110</t>
  </si>
  <si>
    <t>La Junta</t>
  </si>
  <si>
    <t>48500</t>
  </si>
  <si>
    <t>Manzanola</t>
  </si>
  <si>
    <t>65190</t>
  </si>
  <si>
    <t>Rocky Ford</t>
  </si>
  <si>
    <t>75970</t>
  </si>
  <si>
    <t>Swink</t>
  </si>
  <si>
    <t>091</t>
  </si>
  <si>
    <t>OURAY COUNTY</t>
  </si>
  <si>
    <t>56420</t>
  </si>
  <si>
    <t>Ouray</t>
  </si>
  <si>
    <t>64200</t>
  </si>
  <si>
    <t>Ridgway</t>
  </si>
  <si>
    <t>093</t>
  </si>
  <si>
    <t>PARK COUNTY</t>
  </si>
  <si>
    <t>01530</t>
  </si>
  <si>
    <t>Alma</t>
  </si>
  <si>
    <t>25610</t>
  </si>
  <si>
    <t>Fairplay</t>
  </si>
  <si>
    <t>095</t>
  </si>
  <si>
    <t>PHILLIPS COUNTY</t>
  </si>
  <si>
    <t>34960</t>
  </si>
  <si>
    <t>Haxtun</t>
  </si>
  <si>
    <t>37270</t>
  </si>
  <si>
    <t>Holyoke</t>
  </si>
  <si>
    <t>57245</t>
  </si>
  <si>
    <t>Paoli</t>
  </si>
  <si>
    <t>097</t>
  </si>
  <si>
    <t>PITKIN COUNTY</t>
  </si>
  <si>
    <t>03620</t>
  </si>
  <si>
    <t>Aspen</t>
  </si>
  <si>
    <t>71755</t>
  </si>
  <si>
    <t>Snowmass Village</t>
  </si>
  <si>
    <t>099</t>
  </si>
  <si>
    <t>PROWERS COUNTY</t>
  </si>
  <si>
    <t>31550</t>
  </si>
  <si>
    <t>Granada</t>
  </si>
  <si>
    <t>34520</t>
  </si>
  <si>
    <t>Hartman</t>
  </si>
  <si>
    <t>37215</t>
  </si>
  <si>
    <t>Holly</t>
  </si>
  <si>
    <t>43110</t>
  </si>
  <si>
    <t>Lamar</t>
  </si>
  <si>
    <t>85045</t>
  </si>
  <si>
    <t>Wiley</t>
  </si>
  <si>
    <t>101</t>
  </si>
  <si>
    <t>PUEBLO COUNTY</t>
  </si>
  <si>
    <t>07795</t>
  </si>
  <si>
    <t>Boone</t>
  </si>
  <si>
    <t>62000</t>
  </si>
  <si>
    <t>Pueblo</t>
  </si>
  <si>
    <t>66895</t>
  </si>
  <si>
    <t>Rye</t>
  </si>
  <si>
    <t>103</t>
  </si>
  <si>
    <t>RIO BLANCO COUNTY</t>
  </si>
  <si>
    <t>49875</t>
  </si>
  <si>
    <t>Meeker</t>
  </si>
  <si>
    <t>62880</t>
  </si>
  <si>
    <t>Rangely</t>
  </si>
  <si>
    <t>105</t>
  </si>
  <si>
    <t>RIO GRANDE COUNTY</t>
  </si>
  <si>
    <t>12855</t>
  </si>
  <si>
    <t>Center (Part)</t>
  </si>
  <si>
    <t>19795</t>
  </si>
  <si>
    <t>Del Norte</t>
  </si>
  <si>
    <t>51635</t>
  </si>
  <si>
    <t>Monte Vista</t>
  </si>
  <si>
    <t>72395</t>
  </si>
  <si>
    <t>South Fork</t>
  </si>
  <si>
    <t>107</t>
  </si>
  <si>
    <t>ROUTT COUNTY</t>
  </si>
  <si>
    <t>35070</t>
  </si>
  <si>
    <t>Hayden</t>
  </si>
  <si>
    <t>55155</t>
  </si>
  <si>
    <t>Oak Creek</t>
  </si>
  <si>
    <t>73825</t>
  </si>
  <si>
    <t>Steamboat Springs</t>
  </si>
  <si>
    <t>86475</t>
  </si>
  <si>
    <t>Yampa</t>
  </si>
  <si>
    <t>109</t>
  </si>
  <si>
    <t>SAGUACHE COUNTY</t>
  </si>
  <si>
    <t>07571</t>
  </si>
  <si>
    <t>Bonanza City</t>
  </si>
  <si>
    <t>18420</t>
  </si>
  <si>
    <t>Crestone</t>
  </si>
  <si>
    <t>51250</t>
  </si>
  <si>
    <t>Moffat</t>
  </si>
  <si>
    <t>67005</t>
  </si>
  <si>
    <t>Saguache</t>
  </si>
  <si>
    <t>111</t>
  </si>
  <si>
    <t>SAN JUAN COUNTY</t>
  </si>
  <si>
    <t>70580</t>
  </si>
  <si>
    <t>Silverton</t>
  </si>
  <si>
    <t>113</t>
  </si>
  <si>
    <t>SAN MIGUEL COUNTY</t>
  </si>
  <si>
    <t>52550</t>
  </si>
  <si>
    <t>Mountain Village</t>
  </si>
  <si>
    <t>54880</t>
  </si>
  <si>
    <t>Norwood</t>
  </si>
  <si>
    <t>55870</t>
  </si>
  <si>
    <t>Ophir</t>
  </si>
  <si>
    <t>68655</t>
  </si>
  <si>
    <t>Sawpit</t>
  </si>
  <si>
    <t>76795</t>
  </si>
  <si>
    <t>Telluride</t>
  </si>
  <si>
    <t>115</t>
  </si>
  <si>
    <t>SEDGWICK COUNTY</t>
  </si>
  <si>
    <t>39965</t>
  </si>
  <si>
    <t>Julesburg</t>
  </si>
  <si>
    <t>56475</t>
  </si>
  <si>
    <t>Ovid</t>
  </si>
  <si>
    <t>68930</t>
  </si>
  <si>
    <t>Sedgwick</t>
  </si>
  <si>
    <t>117</t>
  </si>
  <si>
    <t>SUMMIT COUNTY</t>
  </si>
  <si>
    <t>07410</t>
  </si>
  <si>
    <t>Blue River</t>
  </si>
  <si>
    <t>08400</t>
  </si>
  <si>
    <t>Breckenridge</t>
  </si>
  <si>
    <t>20440</t>
  </si>
  <si>
    <t>Dillon</t>
  </si>
  <si>
    <t>28690</t>
  </si>
  <si>
    <t>Frisco</t>
  </si>
  <si>
    <t>51690</t>
  </si>
  <si>
    <t>Montezuma</t>
  </si>
  <si>
    <t>70525</t>
  </si>
  <si>
    <t>Silverthorne</t>
  </si>
  <si>
    <t>119</t>
  </si>
  <si>
    <t>TELLER COUNTY</t>
  </si>
  <si>
    <t>18530</t>
  </si>
  <si>
    <t>Cripple Creek</t>
  </si>
  <si>
    <t>80865</t>
  </si>
  <si>
    <t>Victor</t>
  </si>
  <si>
    <t>86090</t>
  </si>
  <si>
    <t>Woodland Park</t>
  </si>
  <si>
    <t>121</t>
  </si>
  <si>
    <t>WASHINGTON COUNTY</t>
  </si>
  <si>
    <t>00925</t>
  </si>
  <si>
    <t>Akron</t>
  </si>
  <si>
    <t>56365</t>
  </si>
  <si>
    <t>Otis</t>
  </si>
  <si>
    <t>123</t>
  </si>
  <si>
    <t>WELD COUNTY</t>
  </si>
  <si>
    <t>03950</t>
  </si>
  <si>
    <t>Ault</t>
  </si>
  <si>
    <t>19080</t>
  </si>
  <si>
    <t>Dacono</t>
  </si>
  <si>
    <t>22860</t>
  </si>
  <si>
    <t>Eaton</t>
  </si>
  <si>
    <t>25280</t>
  </si>
  <si>
    <t>Evans</t>
  </si>
  <si>
    <t>26600</t>
  </si>
  <si>
    <t>Firestone</t>
  </si>
  <si>
    <t>27700</t>
  </si>
  <si>
    <t>Fort Lupton</t>
  </si>
  <si>
    <t>28360</t>
  </si>
  <si>
    <t>Frederick</t>
  </si>
  <si>
    <t>29185</t>
  </si>
  <si>
    <t>Garden City</t>
  </si>
  <si>
    <t>29955</t>
  </si>
  <si>
    <t>Gilcrest</t>
  </si>
  <si>
    <t>32155</t>
  </si>
  <si>
    <t>Greeley</t>
  </si>
  <si>
    <t>33310</t>
  </si>
  <si>
    <t>Grover</t>
  </si>
  <si>
    <t>37820</t>
  </si>
  <si>
    <t>Hudson</t>
  </si>
  <si>
    <t>40185</t>
  </si>
  <si>
    <t>Keenesburg</t>
  </si>
  <si>
    <t>40515</t>
  </si>
  <si>
    <t>Kersey</t>
  </si>
  <si>
    <t>43605</t>
  </si>
  <si>
    <t>La Salle</t>
  </si>
  <si>
    <t>49600</t>
  </si>
  <si>
    <t>Mead</t>
  </si>
  <si>
    <t>50480</t>
  </si>
  <si>
    <t>Milliken</t>
  </si>
  <si>
    <t>55045</t>
  </si>
  <si>
    <t>Nunn</t>
  </si>
  <si>
    <t>59005</t>
  </si>
  <si>
    <t>Pierce</t>
  </si>
  <si>
    <t>60160</t>
  </si>
  <si>
    <t>Platteville</t>
  </si>
  <si>
    <t>63045</t>
  </si>
  <si>
    <t>Raymer</t>
  </si>
  <si>
    <t>69150</t>
  </si>
  <si>
    <t>Severance</t>
  </si>
  <si>
    <t>125</t>
  </si>
  <si>
    <t>YUMA COUNTY</t>
  </si>
  <si>
    <t>23025</t>
  </si>
  <si>
    <t>Eckley</t>
  </si>
  <si>
    <t>86310</t>
  </si>
  <si>
    <t>Wray</t>
  </si>
  <si>
    <t>86750</t>
  </si>
  <si>
    <t>Yuma</t>
  </si>
  <si>
    <t>999</t>
  </si>
  <si>
    <t>Multi-County Places</t>
  </si>
  <si>
    <t>Arvada (Total)</t>
  </si>
  <si>
    <t>Aurora (Total)</t>
  </si>
  <si>
    <t>Basalt (Total)</t>
  </si>
  <si>
    <t>Bennett (Total)</t>
  </si>
  <si>
    <t>Berthoud (Total)</t>
  </si>
  <si>
    <t>Bow Mar (Total)</t>
  </si>
  <si>
    <t>Brighton (Total)</t>
  </si>
  <si>
    <t>Center (Total)</t>
  </si>
  <si>
    <t>Central City (Total)</t>
  </si>
  <si>
    <t>Erie (Total)</t>
  </si>
  <si>
    <t>Johnstown (Total)</t>
  </si>
  <si>
    <t>Littleton (Total)</t>
  </si>
  <si>
    <t>Lochbuie (Total)</t>
  </si>
  <si>
    <t>Longmont (Total)</t>
  </si>
  <si>
    <t>Northglenn (Total)</t>
  </si>
  <si>
    <t>Superior (Total)</t>
  </si>
  <si>
    <t>Thornton (Total)</t>
  </si>
  <si>
    <t>Timnath (Total)</t>
  </si>
  <si>
    <t>Westminster (Total)</t>
  </si>
  <si>
    <t>Windsor (Total)</t>
  </si>
  <si>
    <t>99999</t>
  </si>
  <si>
    <t>Source: State Demography Office</t>
  </si>
  <si>
    <t>Green Mtn. Falls (Total)</t>
  </si>
  <si>
    <t>Mount Crested Butte</t>
  </si>
  <si>
    <t>Population and Household Estimates for Colorado Counties and Municipalities, 2022</t>
  </si>
  <si>
    <t>Vintage 2022 prepared August 2023.</t>
  </si>
  <si>
    <t>Household Population to Total Housing Units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</si>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</sst>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4" fillId="0" borderId="0" xfId="0" applyFont="1"/>
    <xf numFmtId="3" fontId="4" fillId="0" borderId="0" xfId="0" applyNumberFormat="1" applyFont="1"/>
    <xf numFmtId="0" fontId="7" fillId="0" borderId="0" xfId="0" applyFont="1" applyAlignment="1">
      <alignment horizontal="left"/>
    </xf>
    <xf numFmtId="2" fontId="4" fillId="0" borderId="0" xfId="0" applyNumberFormat="1" applyFont="1"/>
    <xf numFmtId="164" fontId="4" fillId="0" borderId="0" xfId="0" applyNumberFormat="1" applyFont="1"/>
    <xf numFmtId="0" fontId="2" fillId="0" borderId="0" xfId="0" applyFont="1"/>
    <xf numFmtId="3" fontId="1" fillId="0" borderId="0" xfId="0" applyNumberFormat="1" applyFont="1"/>
    <xf numFmtId="3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3" fontId="4" fillId="0" borderId="1" xfId="0" applyNumberFormat="1" applyFont="1" applyBorder="1"/>
    <xf numFmtId="2" fontId="4" fillId="0" borderId="1" xfId="0" applyNumberFormat="1" applyFont="1" applyBorder="1"/>
    <xf numFmtId="3" fontId="6" fillId="0" borderId="1" xfId="1" applyNumberFormat="1" applyBorder="1" applyAlignment="1">
      <alignment horizontal="right" wrapText="1"/>
    </xf>
    <xf numFmtId="2" fontId="6" fillId="0" borderId="1" xfId="1" applyNumberFormat="1" applyBorder="1" applyAlignment="1">
      <alignment horizontal="right" wrapText="1"/>
    </xf>
    <xf numFmtId="3" fontId="1" fillId="0" borderId="0" xfId="0" applyNumberFormat="1" applyFont="1" applyAlignment="1">
      <alignment horizontal="center" vertical="center" wrapText="1"/>
    </xf>
    <xf numFmtId="0" fontId="6" fillId="0" borderId="1" xfId="1" applyBorder="1" applyAlignment="1">
      <alignment wrapText="1"/>
    </xf>
    <xf numFmtId="3" fontId="1" fillId="0" borderId="1" xfId="0" applyNumberFormat="1" applyFont="1" applyBorder="1"/>
    <xf numFmtId="3" fontId="2" fillId="0" borderId="1" xfId="0" applyNumberFormat="1" applyFont="1" applyBorder="1"/>
    <xf numFmtId="0" fontId="4" fillId="0" borderId="1" xfId="0" applyFont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5"/>
  <sheetViews>
    <sheetView tabSelected="1" zoomScaleNormal="100" zoomScaleSheetLayoutView="100" workbookViewId="0">
      <selection activeCell="A3" sqref="A3"/>
    </sheetView>
  </sheetViews>
  <sheetFormatPr baseColWidth="10" defaultColWidth="8.85546875" defaultRowHeight="13" x14ac:dyDescent="0.15"/>
  <cols>
    <col min="1" max="1" width="6.5703125" style="1" bestFit="1" customWidth="1"/>
    <col min="2" max="2" width="7.85546875" style="1" bestFit="1" customWidth="1"/>
    <col min="3" max="3" width="18.42578125" style="1" customWidth="1"/>
    <col min="4" max="4" width="9.42578125" style="7" customWidth="1"/>
    <col min="5" max="6" width="9.42578125" style="2" customWidth="1"/>
    <col min="7" max="7" width="9.42578125" style="4" customWidth="1"/>
    <col min="8" max="10" width="9.42578125" style="2" customWidth="1"/>
    <col min="11" max="11" width="9.42578125" style="5" customWidth="1"/>
    <col min="12" max="16384" width="8.85546875" style="1"/>
  </cols>
  <sheetData>
    <row r="1" spans="1:12" x14ac:dyDescent="0.15">
      <c r="A1" s="21" t="s">
        <v>712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15">
      <c r="A2" s="6" t="s">
        <v>713</v>
      </c>
    </row>
    <row r="3" spans="1:12" ht="70" x14ac:dyDescent="0.15">
      <c r="A3" s="22" t="s">
        <v>715</v>
      </c>
      <c r="B3" s="1" t="s">
        <v>0</v>
      </c>
      <c r="C3" s="1" t="s">
        <v>1</v>
      </c>
      <c r="D3" s="15" t="s">
        <v>2</v>
      </c>
      <c r="E3" s="8" t="s">
        <v>3</v>
      </c>
      <c r="F3" s="8" t="s">
        <v>4</v>
      </c>
      <c r="G3" s="9" t="s">
        <v>5</v>
      </c>
      <c r="H3" s="8" t="s">
        <v>6</v>
      </c>
      <c r="I3" s="8" t="s">
        <v>7</v>
      </c>
      <c r="J3" s="8" t="s">
        <v>8</v>
      </c>
      <c r="K3" s="10" t="s">
        <v>9</v>
      </c>
      <c r="L3" s="10" t="s">
        <v>714</v>
      </c>
    </row>
    <row r="4" spans="1:12" ht="14" x14ac:dyDescent="0.15">
      <c r="A4" s="16" t="s">
        <v>10</v>
      </c>
      <c r="B4" s="16" t="s">
        <v>11</v>
      </c>
      <c r="C4" s="16" t="s">
        <v>12</v>
      </c>
      <c r="D4" s="17">
        <v>5838736</v>
      </c>
      <c r="E4" s="18">
        <v>123130</v>
      </c>
      <c r="F4" s="18">
        <v>5715606</v>
      </c>
      <c r="G4" s="12"/>
      <c r="H4" s="18">
        <v>2598686</v>
      </c>
      <c r="I4" s="11"/>
      <c r="J4" s="11"/>
      <c r="K4" s="12"/>
      <c r="L4" s="12">
        <f>F4/H4</f>
        <v>2.1994215538160438</v>
      </c>
    </row>
    <row r="5" spans="1:12" ht="14" x14ac:dyDescent="0.15">
      <c r="A5" s="16" t="s">
        <v>10</v>
      </c>
      <c r="B5" s="16" t="s">
        <v>708</v>
      </c>
      <c r="C5" s="16"/>
      <c r="D5" s="13"/>
      <c r="E5" s="13"/>
      <c r="F5" s="13"/>
      <c r="G5" s="14"/>
      <c r="H5" s="13"/>
      <c r="I5" s="13"/>
      <c r="J5" s="13"/>
      <c r="K5" s="14"/>
      <c r="L5" s="12"/>
    </row>
    <row r="6" spans="1:12" ht="14" x14ac:dyDescent="0.15">
      <c r="A6" s="16" t="s">
        <v>13</v>
      </c>
      <c r="B6" s="16" t="s">
        <v>11</v>
      </c>
      <c r="C6" s="16" t="s">
        <v>14</v>
      </c>
      <c r="D6" s="17">
        <v>527501</v>
      </c>
      <c r="E6" s="18">
        <v>4564</v>
      </c>
      <c r="F6" s="18">
        <v>522937</v>
      </c>
      <c r="G6" s="12"/>
      <c r="H6" s="18">
        <v>196741</v>
      </c>
      <c r="I6" s="11"/>
      <c r="J6" s="11"/>
      <c r="K6" s="12"/>
      <c r="L6" s="12">
        <f t="shared" ref="L6:L17" si="0">F6/H6</f>
        <v>2.6579970621273654</v>
      </c>
    </row>
    <row r="7" spans="1:12" ht="14" x14ac:dyDescent="0.15">
      <c r="A7" s="16" t="s">
        <v>13</v>
      </c>
      <c r="B7" s="16" t="s">
        <v>15</v>
      </c>
      <c r="C7" s="16" t="s">
        <v>16</v>
      </c>
      <c r="D7" s="17">
        <v>2890</v>
      </c>
      <c r="E7" s="18">
        <v>0</v>
      </c>
      <c r="F7" s="18">
        <v>2890</v>
      </c>
      <c r="G7" s="12"/>
      <c r="H7" s="18">
        <v>1158</v>
      </c>
      <c r="I7" s="11"/>
      <c r="J7" s="11"/>
      <c r="K7" s="12"/>
      <c r="L7" s="12">
        <f t="shared" si="0"/>
        <v>2.4956822107081176</v>
      </c>
    </row>
    <row r="8" spans="1:12" ht="14" x14ac:dyDescent="0.15">
      <c r="A8" s="16" t="s">
        <v>13</v>
      </c>
      <c r="B8" s="16" t="s">
        <v>17</v>
      </c>
      <c r="C8" s="16" t="s">
        <v>18</v>
      </c>
      <c r="D8" s="17">
        <v>49209</v>
      </c>
      <c r="E8" s="18">
        <v>1417</v>
      </c>
      <c r="F8" s="18">
        <v>47792</v>
      </c>
      <c r="G8" s="12"/>
      <c r="H8" s="18">
        <v>18133</v>
      </c>
      <c r="I8" s="11"/>
      <c r="J8" s="11"/>
      <c r="K8" s="12"/>
      <c r="L8" s="12">
        <f t="shared" si="0"/>
        <v>2.6356366844978769</v>
      </c>
    </row>
    <row r="9" spans="1:12" ht="14" x14ac:dyDescent="0.15">
      <c r="A9" s="16" t="s">
        <v>13</v>
      </c>
      <c r="B9" s="16" t="s">
        <v>19</v>
      </c>
      <c r="C9" s="16" t="s">
        <v>20</v>
      </c>
      <c r="D9" s="17">
        <v>2676</v>
      </c>
      <c r="E9" s="18">
        <v>0</v>
      </c>
      <c r="F9" s="18">
        <v>2676</v>
      </c>
      <c r="G9" s="12"/>
      <c r="H9" s="18">
        <v>1211</v>
      </c>
      <c r="I9" s="11"/>
      <c r="J9" s="11"/>
      <c r="K9" s="12"/>
      <c r="L9" s="12">
        <f t="shared" si="0"/>
        <v>2.2097440132122212</v>
      </c>
    </row>
    <row r="10" spans="1:12" ht="14" x14ac:dyDescent="0.15">
      <c r="A10" s="16" t="s">
        <v>13</v>
      </c>
      <c r="B10" s="16" t="s">
        <v>21</v>
      </c>
      <c r="C10" s="16" t="s">
        <v>22</v>
      </c>
      <c r="D10" s="17">
        <v>40760</v>
      </c>
      <c r="E10" s="18">
        <v>833</v>
      </c>
      <c r="F10" s="18">
        <v>39927</v>
      </c>
      <c r="G10" s="12"/>
      <c r="H10" s="18">
        <v>15049</v>
      </c>
      <c r="I10" s="11"/>
      <c r="J10" s="11"/>
      <c r="K10" s="12"/>
      <c r="L10" s="12">
        <f t="shared" si="0"/>
        <v>2.6531330985447537</v>
      </c>
    </row>
    <row r="11" spans="1:12" ht="14" x14ac:dyDescent="0.15">
      <c r="A11" s="16" t="s">
        <v>13</v>
      </c>
      <c r="B11" s="16" t="s">
        <v>23</v>
      </c>
      <c r="C11" s="16" t="s">
        <v>24</v>
      </c>
      <c r="D11" s="17">
        <v>64970</v>
      </c>
      <c r="E11" s="18">
        <v>320</v>
      </c>
      <c r="F11" s="18">
        <v>64650</v>
      </c>
      <c r="G11" s="12"/>
      <c r="H11" s="18">
        <v>22737</v>
      </c>
      <c r="I11" s="11"/>
      <c r="J11" s="11"/>
      <c r="K11" s="12"/>
      <c r="L11" s="12">
        <f t="shared" si="0"/>
        <v>2.8433830320622775</v>
      </c>
    </row>
    <row r="12" spans="1:12" ht="14" x14ac:dyDescent="0.15">
      <c r="A12" s="16" t="s">
        <v>13</v>
      </c>
      <c r="B12" s="16" t="s">
        <v>25</v>
      </c>
      <c r="C12" s="16" t="s">
        <v>26</v>
      </c>
      <c r="D12" s="17">
        <v>14348</v>
      </c>
      <c r="E12" s="18">
        <v>0</v>
      </c>
      <c r="F12" s="18">
        <v>14348</v>
      </c>
      <c r="G12" s="12"/>
      <c r="H12" s="18">
        <v>5577</v>
      </c>
      <c r="I12" s="11"/>
      <c r="J12" s="11"/>
      <c r="K12" s="12"/>
      <c r="L12" s="12">
        <f t="shared" si="0"/>
        <v>2.572709341940111</v>
      </c>
    </row>
    <row r="13" spans="1:12" ht="14" x14ac:dyDescent="0.15">
      <c r="A13" s="16" t="s">
        <v>13</v>
      </c>
      <c r="B13" s="16" t="s">
        <v>27</v>
      </c>
      <c r="C13" s="16" t="s">
        <v>28</v>
      </c>
      <c r="D13" s="17">
        <v>10</v>
      </c>
      <c r="E13" s="18">
        <v>0</v>
      </c>
      <c r="F13" s="18">
        <v>10</v>
      </c>
      <c r="G13" s="12"/>
      <c r="H13" s="18">
        <v>38</v>
      </c>
      <c r="I13" s="11"/>
      <c r="J13" s="11"/>
      <c r="K13" s="12"/>
      <c r="L13" s="12">
        <f t="shared" si="0"/>
        <v>0.26315789473684209</v>
      </c>
    </row>
    <row r="14" spans="1:12" ht="14" x14ac:dyDescent="0.15">
      <c r="A14" s="16" t="s">
        <v>13</v>
      </c>
      <c r="B14" s="16" t="s">
        <v>29</v>
      </c>
      <c r="C14" s="16" t="s">
        <v>30</v>
      </c>
      <c r="D14" s="17">
        <v>38409</v>
      </c>
      <c r="E14" s="18">
        <v>253</v>
      </c>
      <c r="F14" s="18">
        <v>38156</v>
      </c>
      <c r="G14" s="12"/>
      <c r="H14" s="18">
        <v>15171</v>
      </c>
      <c r="I14" s="11"/>
      <c r="J14" s="11"/>
      <c r="K14" s="12"/>
      <c r="L14" s="12">
        <f t="shared" si="0"/>
        <v>2.5150616307428648</v>
      </c>
    </row>
    <row r="15" spans="1:12" ht="14" x14ac:dyDescent="0.15">
      <c r="A15" s="16" t="s">
        <v>13</v>
      </c>
      <c r="B15" s="16" t="s">
        <v>31</v>
      </c>
      <c r="C15" s="16" t="s">
        <v>32</v>
      </c>
      <c r="D15" s="17">
        <v>143708</v>
      </c>
      <c r="E15" s="18">
        <v>789</v>
      </c>
      <c r="F15" s="18">
        <v>142919</v>
      </c>
      <c r="G15" s="12"/>
      <c r="H15" s="18">
        <v>52935</v>
      </c>
      <c r="I15" s="11"/>
      <c r="J15" s="11"/>
      <c r="K15" s="12"/>
      <c r="L15" s="12">
        <f t="shared" si="0"/>
        <v>2.6998960989893264</v>
      </c>
    </row>
    <row r="16" spans="1:12" ht="14" x14ac:dyDescent="0.15">
      <c r="A16" s="16" t="s">
        <v>13</v>
      </c>
      <c r="B16" s="16" t="s">
        <v>33</v>
      </c>
      <c r="C16" s="16" t="s">
        <v>34</v>
      </c>
      <c r="D16" s="17">
        <v>71230</v>
      </c>
      <c r="E16" s="18">
        <v>601</v>
      </c>
      <c r="F16" s="18">
        <v>70629</v>
      </c>
      <c r="G16" s="12"/>
      <c r="H16" s="18">
        <v>30086</v>
      </c>
      <c r="I16" s="11"/>
      <c r="J16" s="11"/>
      <c r="K16" s="12"/>
      <c r="L16" s="12">
        <f t="shared" si="0"/>
        <v>2.3475702984776974</v>
      </c>
    </row>
    <row r="17" spans="1:12" ht="14" x14ac:dyDescent="0.15">
      <c r="A17" s="16" t="s">
        <v>13</v>
      </c>
      <c r="B17" s="16" t="s">
        <v>35</v>
      </c>
      <c r="C17" s="16" t="s">
        <v>36</v>
      </c>
      <c r="D17" s="17">
        <v>99291</v>
      </c>
      <c r="E17" s="18">
        <v>351</v>
      </c>
      <c r="F17" s="18">
        <v>98940</v>
      </c>
      <c r="G17" s="12"/>
      <c r="H17" s="18">
        <v>34645</v>
      </c>
      <c r="I17" s="11"/>
      <c r="J17" s="11"/>
      <c r="K17" s="12"/>
      <c r="L17" s="12">
        <f t="shared" si="0"/>
        <v>2.8558233511329196</v>
      </c>
    </row>
    <row r="18" spans="1:12" ht="14" x14ac:dyDescent="0.15">
      <c r="A18" s="16" t="s">
        <v>13</v>
      </c>
      <c r="B18" s="16" t="s">
        <v>708</v>
      </c>
      <c r="C18" s="16"/>
      <c r="D18" s="13"/>
      <c r="E18" s="13"/>
      <c r="F18" s="13"/>
      <c r="G18" s="14"/>
      <c r="H18" s="13"/>
      <c r="I18" s="13"/>
      <c r="J18" s="13"/>
      <c r="K18" s="14"/>
      <c r="L18" s="12"/>
    </row>
    <row r="19" spans="1:12" ht="14" x14ac:dyDescent="0.15">
      <c r="A19" s="16" t="s">
        <v>37</v>
      </c>
      <c r="B19" s="16" t="s">
        <v>11</v>
      </c>
      <c r="C19" s="16" t="s">
        <v>38</v>
      </c>
      <c r="D19" s="17">
        <v>16575</v>
      </c>
      <c r="E19" s="18">
        <v>966</v>
      </c>
      <c r="F19" s="18">
        <v>15609</v>
      </c>
      <c r="G19" s="12"/>
      <c r="H19" s="18">
        <v>7250</v>
      </c>
      <c r="I19" s="11"/>
      <c r="J19" s="11"/>
      <c r="K19" s="12"/>
      <c r="L19" s="12">
        <f>F19/H19</f>
        <v>2.1529655172413795</v>
      </c>
    </row>
    <row r="20" spans="1:12" ht="14" x14ac:dyDescent="0.15">
      <c r="A20" s="16" t="s">
        <v>37</v>
      </c>
      <c r="B20" s="16" t="s">
        <v>39</v>
      </c>
      <c r="C20" s="16" t="s">
        <v>40</v>
      </c>
      <c r="D20" s="17">
        <v>9900</v>
      </c>
      <c r="E20" s="18">
        <v>907</v>
      </c>
      <c r="F20" s="18">
        <v>8993</v>
      </c>
      <c r="G20" s="12"/>
      <c r="H20" s="18">
        <v>4320</v>
      </c>
      <c r="I20" s="11"/>
      <c r="J20" s="11"/>
      <c r="K20" s="12"/>
      <c r="L20" s="12">
        <f>F20/H20</f>
        <v>2.0817129629629632</v>
      </c>
    </row>
    <row r="21" spans="1:12" ht="14" x14ac:dyDescent="0.15">
      <c r="A21" s="16" t="s">
        <v>37</v>
      </c>
      <c r="B21" s="16" t="s">
        <v>41</v>
      </c>
      <c r="C21" s="16" t="s">
        <v>42</v>
      </c>
      <c r="D21" s="17">
        <v>80</v>
      </c>
      <c r="E21" s="18">
        <v>0</v>
      </c>
      <c r="F21" s="18">
        <v>80</v>
      </c>
      <c r="G21" s="12"/>
      <c r="H21" s="18">
        <v>47</v>
      </c>
      <c r="I21" s="11"/>
      <c r="J21" s="11"/>
      <c r="K21" s="12"/>
      <c r="L21" s="12">
        <f>F21/H21</f>
        <v>1.7021276595744681</v>
      </c>
    </row>
    <row r="22" spans="1:12" ht="14" x14ac:dyDescent="0.15">
      <c r="A22" s="16" t="s">
        <v>37</v>
      </c>
      <c r="B22" s="16" t="s">
        <v>35</v>
      </c>
      <c r="C22" s="16" t="s">
        <v>36</v>
      </c>
      <c r="D22" s="17">
        <v>6595</v>
      </c>
      <c r="E22" s="18">
        <v>59</v>
      </c>
      <c r="F22" s="18">
        <v>6536</v>
      </c>
      <c r="G22" s="12"/>
      <c r="H22" s="18">
        <v>2883</v>
      </c>
      <c r="I22" s="11"/>
      <c r="J22" s="11"/>
      <c r="K22" s="12"/>
      <c r="L22" s="12">
        <f>F22/H22</f>
        <v>2.2670828997571975</v>
      </c>
    </row>
    <row r="23" spans="1:12" ht="14" x14ac:dyDescent="0.15">
      <c r="A23" s="16" t="s">
        <v>37</v>
      </c>
      <c r="B23" s="16" t="s">
        <v>708</v>
      </c>
      <c r="C23" s="16"/>
      <c r="D23" s="13"/>
      <c r="E23" s="13"/>
      <c r="F23" s="13"/>
      <c r="G23" s="14"/>
      <c r="H23" s="13"/>
      <c r="I23" s="13"/>
      <c r="J23" s="13"/>
      <c r="K23" s="14"/>
      <c r="L23" s="12"/>
    </row>
    <row r="24" spans="1:12" ht="14" x14ac:dyDescent="0.15">
      <c r="A24" s="16" t="s">
        <v>43</v>
      </c>
      <c r="B24" s="16" t="s">
        <v>11</v>
      </c>
      <c r="C24" s="16" t="s">
        <v>44</v>
      </c>
      <c r="D24" s="17">
        <v>656015</v>
      </c>
      <c r="E24" s="18">
        <v>5301</v>
      </c>
      <c r="F24" s="18">
        <v>650714</v>
      </c>
      <c r="G24" s="12"/>
      <c r="H24" s="18">
        <v>270939</v>
      </c>
      <c r="I24" s="11"/>
      <c r="J24" s="11"/>
      <c r="K24" s="12"/>
      <c r="L24" s="12">
        <f t="shared" ref="L24:L38" si="1">F24/H24</f>
        <v>2.4016992754826734</v>
      </c>
    </row>
    <row r="25" spans="1:12" ht="14" x14ac:dyDescent="0.15">
      <c r="A25" s="16" t="s">
        <v>43</v>
      </c>
      <c r="B25" s="16" t="s">
        <v>17</v>
      </c>
      <c r="C25" s="16" t="s">
        <v>18</v>
      </c>
      <c r="D25" s="17">
        <v>338608</v>
      </c>
      <c r="E25" s="18">
        <v>2048</v>
      </c>
      <c r="F25" s="18">
        <v>336560</v>
      </c>
      <c r="G25" s="12"/>
      <c r="H25" s="18">
        <v>135525</v>
      </c>
      <c r="I25" s="11"/>
      <c r="J25" s="11"/>
      <c r="K25" s="12"/>
      <c r="L25" s="12">
        <f t="shared" si="1"/>
        <v>2.4833794502859252</v>
      </c>
    </row>
    <row r="26" spans="1:12" ht="14" x14ac:dyDescent="0.15">
      <c r="A26" s="16" t="s">
        <v>43</v>
      </c>
      <c r="B26" s="16" t="s">
        <v>19</v>
      </c>
      <c r="C26" s="16" t="s">
        <v>20</v>
      </c>
      <c r="D26" s="17">
        <v>421</v>
      </c>
      <c r="E26" s="18">
        <v>0</v>
      </c>
      <c r="F26" s="18">
        <v>421</v>
      </c>
      <c r="G26" s="12"/>
      <c r="H26" s="18">
        <v>141</v>
      </c>
      <c r="I26" s="11"/>
      <c r="J26" s="11"/>
      <c r="K26" s="12"/>
      <c r="L26" s="12">
        <f t="shared" si="1"/>
        <v>2.9858156028368796</v>
      </c>
    </row>
    <row r="27" spans="1:12" ht="14" x14ac:dyDescent="0.15">
      <c r="A27" s="16" t="s">
        <v>43</v>
      </c>
      <c r="B27" s="16" t="s">
        <v>45</v>
      </c>
      <c r="C27" s="16" t="s">
        <v>46</v>
      </c>
      <c r="D27" s="17">
        <v>569</v>
      </c>
      <c r="E27" s="18">
        <v>0</v>
      </c>
      <c r="F27" s="18">
        <v>569</v>
      </c>
      <c r="G27" s="12"/>
      <c r="H27" s="18">
        <v>206</v>
      </c>
      <c r="I27" s="11"/>
      <c r="J27" s="11"/>
      <c r="K27" s="12"/>
      <c r="L27" s="12">
        <f t="shared" si="1"/>
        <v>2.762135922330097</v>
      </c>
    </row>
    <row r="28" spans="1:12" ht="14" x14ac:dyDescent="0.15">
      <c r="A28" s="16" t="s">
        <v>43</v>
      </c>
      <c r="B28" s="16" t="s">
        <v>47</v>
      </c>
      <c r="C28" s="16" t="s">
        <v>48</v>
      </c>
      <c r="D28" s="17">
        <v>106818</v>
      </c>
      <c r="E28" s="18">
        <v>1423</v>
      </c>
      <c r="F28" s="18">
        <v>105395</v>
      </c>
      <c r="G28" s="12"/>
      <c r="H28" s="18">
        <v>42220</v>
      </c>
      <c r="I28" s="11"/>
      <c r="J28" s="11"/>
      <c r="K28" s="12"/>
      <c r="L28" s="12">
        <f t="shared" si="1"/>
        <v>2.496328754144955</v>
      </c>
    </row>
    <row r="29" spans="1:12" ht="14" x14ac:dyDescent="0.15">
      <c r="A29" s="16" t="s">
        <v>43</v>
      </c>
      <c r="B29" s="16" t="s">
        <v>49</v>
      </c>
      <c r="C29" s="16" t="s">
        <v>50</v>
      </c>
      <c r="D29" s="17">
        <v>6276</v>
      </c>
      <c r="E29" s="18">
        <v>0</v>
      </c>
      <c r="F29" s="18">
        <v>6276</v>
      </c>
      <c r="G29" s="12"/>
      <c r="H29" s="18">
        <v>2194</v>
      </c>
      <c r="I29" s="11"/>
      <c r="J29" s="11"/>
      <c r="K29" s="12"/>
      <c r="L29" s="12">
        <f t="shared" si="1"/>
        <v>2.86052871467639</v>
      </c>
    </row>
    <row r="30" spans="1:12" ht="14" x14ac:dyDescent="0.15">
      <c r="A30" s="16" t="s">
        <v>43</v>
      </c>
      <c r="B30" s="16" t="s">
        <v>51</v>
      </c>
      <c r="C30" s="16" t="s">
        <v>52</v>
      </c>
      <c r="D30" s="17">
        <v>1627</v>
      </c>
      <c r="E30" s="18">
        <v>0</v>
      </c>
      <c r="F30" s="18">
        <v>1627</v>
      </c>
      <c r="G30" s="12"/>
      <c r="H30" s="18">
        <v>668</v>
      </c>
      <c r="I30" s="11"/>
      <c r="J30" s="11"/>
      <c r="K30" s="12"/>
      <c r="L30" s="12">
        <f t="shared" si="1"/>
        <v>2.4356287425149699</v>
      </c>
    </row>
    <row r="31" spans="1:12" ht="14" x14ac:dyDescent="0.15">
      <c r="A31" s="16" t="s">
        <v>43</v>
      </c>
      <c r="B31" s="16" t="s">
        <v>53</v>
      </c>
      <c r="C31" s="16" t="s">
        <v>54</v>
      </c>
      <c r="D31" s="17">
        <v>1390</v>
      </c>
      <c r="E31" s="18">
        <v>0</v>
      </c>
      <c r="F31" s="18">
        <v>1390</v>
      </c>
      <c r="G31" s="12"/>
      <c r="H31" s="18">
        <v>589</v>
      </c>
      <c r="I31" s="11"/>
      <c r="J31" s="11"/>
      <c r="K31" s="12"/>
      <c r="L31" s="12">
        <f t="shared" si="1"/>
        <v>2.359932088285229</v>
      </c>
    </row>
    <row r="32" spans="1:12" ht="14" x14ac:dyDescent="0.15">
      <c r="A32" s="16" t="s">
        <v>43</v>
      </c>
      <c r="B32" s="16" t="s">
        <v>55</v>
      </c>
      <c r="C32" s="16" t="s">
        <v>56</v>
      </c>
      <c r="D32" s="17">
        <v>33668</v>
      </c>
      <c r="E32" s="18">
        <v>422</v>
      </c>
      <c r="F32" s="18">
        <v>33246</v>
      </c>
      <c r="G32" s="12"/>
      <c r="H32" s="18">
        <v>17611</v>
      </c>
      <c r="I32" s="11"/>
      <c r="J32" s="11"/>
      <c r="K32" s="12"/>
      <c r="L32" s="12">
        <f t="shared" si="1"/>
        <v>1.8877973993526773</v>
      </c>
    </row>
    <row r="33" spans="1:12" ht="14" x14ac:dyDescent="0.15">
      <c r="A33" s="16" t="s">
        <v>43</v>
      </c>
      <c r="B33" s="16" t="s">
        <v>57</v>
      </c>
      <c r="C33" s="16" t="s">
        <v>58</v>
      </c>
      <c r="D33" s="17">
        <v>737</v>
      </c>
      <c r="E33" s="18">
        <v>36</v>
      </c>
      <c r="F33" s="18">
        <v>701</v>
      </c>
      <c r="G33" s="12"/>
      <c r="H33" s="18">
        <v>275</v>
      </c>
      <c r="I33" s="11"/>
      <c r="J33" s="11"/>
      <c r="K33" s="12"/>
      <c r="L33" s="12">
        <f t="shared" si="1"/>
        <v>2.5490909090909093</v>
      </c>
    </row>
    <row r="34" spans="1:12" ht="14" x14ac:dyDescent="0.15">
      <c r="A34" s="16" t="s">
        <v>43</v>
      </c>
      <c r="B34" s="16" t="s">
        <v>59</v>
      </c>
      <c r="C34" s="16" t="s">
        <v>60</v>
      </c>
      <c r="D34" s="17">
        <v>4474</v>
      </c>
      <c r="E34" s="18">
        <v>0</v>
      </c>
      <c r="F34" s="18">
        <v>4474</v>
      </c>
      <c r="G34" s="12"/>
      <c r="H34" s="18">
        <v>3106</v>
      </c>
      <c r="I34" s="11"/>
      <c r="J34" s="11"/>
      <c r="K34" s="12"/>
      <c r="L34" s="12">
        <f t="shared" si="1"/>
        <v>1.4404378622021894</v>
      </c>
    </row>
    <row r="35" spans="1:12" ht="14" x14ac:dyDescent="0.15">
      <c r="A35" s="16" t="s">
        <v>43</v>
      </c>
      <c r="B35" s="16" t="s">
        <v>61</v>
      </c>
      <c r="C35" s="16" t="s">
        <v>62</v>
      </c>
      <c r="D35" s="17">
        <v>15291</v>
      </c>
      <c r="E35" s="18">
        <v>189</v>
      </c>
      <c r="F35" s="18">
        <v>15102</v>
      </c>
      <c r="G35" s="12"/>
      <c r="H35" s="18">
        <v>6753</v>
      </c>
      <c r="I35" s="11"/>
      <c r="J35" s="11"/>
      <c r="K35" s="12"/>
      <c r="L35" s="12">
        <f t="shared" si="1"/>
        <v>2.2363394047090184</v>
      </c>
    </row>
    <row r="36" spans="1:12" ht="14" x14ac:dyDescent="0.15">
      <c r="A36" s="16" t="s">
        <v>43</v>
      </c>
      <c r="B36" s="16" t="s">
        <v>63</v>
      </c>
      <c r="C36" s="16" t="s">
        <v>64</v>
      </c>
      <c r="D36" s="17">
        <v>41787</v>
      </c>
      <c r="E36" s="18">
        <v>547</v>
      </c>
      <c r="F36" s="18">
        <v>41240</v>
      </c>
      <c r="G36" s="12"/>
      <c r="H36" s="18">
        <v>20434</v>
      </c>
      <c r="I36" s="11"/>
      <c r="J36" s="11"/>
      <c r="K36" s="12"/>
      <c r="L36" s="12">
        <f t="shared" si="1"/>
        <v>2.0182049525300969</v>
      </c>
    </row>
    <row r="37" spans="1:12" ht="14" x14ac:dyDescent="0.15">
      <c r="A37" s="16" t="s">
        <v>43</v>
      </c>
      <c r="B37" s="16" t="s">
        <v>65</v>
      </c>
      <c r="C37" s="16" t="s">
        <v>66</v>
      </c>
      <c r="D37" s="17">
        <v>5919</v>
      </c>
      <c r="E37" s="18">
        <v>0</v>
      </c>
      <c r="F37" s="18">
        <v>5919</v>
      </c>
      <c r="G37" s="12"/>
      <c r="H37" s="18">
        <v>2634</v>
      </c>
      <c r="I37" s="11"/>
      <c r="J37" s="11"/>
      <c r="K37" s="12"/>
      <c r="L37" s="12">
        <f t="shared" si="1"/>
        <v>2.2471526195899774</v>
      </c>
    </row>
    <row r="38" spans="1:12" ht="14" x14ac:dyDescent="0.15">
      <c r="A38" s="16" t="s">
        <v>43</v>
      </c>
      <c r="B38" s="16" t="s">
        <v>35</v>
      </c>
      <c r="C38" s="16" t="s">
        <v>36</v>
      </c>
      <c r="D38" s="17">
        <v>98430</v>
      </c>
      <c r="E38" s="18">
        <v>636</v>
      </c>
      <c r="F38" s="18">
        <v>97794</v>
      </c>
      <c r="G38" s="12"/>
      <c r="H38" s="18">
        <v>38583</v>
      </c>
      <c r="I38" s="11"/>
      <c r="J38" s="11"/>
      <c r="K38" s="12"/>
      <c r="L38" s="12">
        <f t="shared" si="1"/>
        <v>2.5346396081175646</v>
      </c>
    </row>
    <row r="39" spans="1:12" ht="14" x14ac:dyDescent="0.15">
      <c r="A39" s="16" t="s">
        <v>43</v>
      </c>
      <c r="B39" s="16" t="s">
        <v>708</v>
      </c>
      <c r="C39" s="16"/>
      <c r="D39" s="13"/>
      <c r="E39" s="13"/>
      <c r="F39" s="13"/>
      <c r="G39" s="14"/>
      <c r="H39" s="13"/>
      <c r="I39" s="13"/>
      <c r="J39" s="13"/>
      <c r="K39" s="14"/>
      <c r="L39" s="12"/>
    </row>
    <row r="40" spans="1:12" ht="14" x14ac:dyDescent="0.15">
      <c r="A40" s="16" t="s">
        <v>67</v>
      </c>
      <c r="B40" s="16" t="s">
        <v>11</v>
      </c>
      <c r="C40" s="16" t="s">
        <v>68</v>
      </c>
      <c r="D40" s="17">
        <v>13986</v>
      </c>
      <c r="E40" s="18">
        <v>88</v>
      </c>
      <c r="F40" s="18">
        <v>13898</v>
      </c>
      <c r="G40" s="12"/>
      <c r="H40" s="18">
        <v>9879</v>
      </c>
      <c r="I40" s="11"/>
      <c r="J40" s="11"/>
      <c r="K40" s="12"/>
      <c r="L40" s="12">
        <f>F40/H40</f>
        <v>1.4068225528899687</v>
      </c>
    </row>
    <row r="41" spans="1:12" ht="14" x14ac:dyDescent="0.15">
      <c r="A41" s="16" t="s">
        <v>67</v>
      </c>
      <c r="B41" s="16" t="s">
        <v>69</v>
      </c>
      <c r="C41" s="16" t="s">
        <v>70</v>
      </c>
      <c r="D41" s="17">
        <v>1678</v>
      </c>
      <c r="E41" s="18">
        <v>34</v>
      </c>
      <c r="F41" s="18">
        <v>1644</v>
      </c>
      <c r="G41" s="12"/>
      <c r="H41" s="18">
        <v>1029</v>
      </c>
      <c r="I41" s="11"/>
      <c r="J41" s="11"/>
      <c r="K41" s="12"/>
      <c r="L41" s="12">
        <f>F41/H41</f>
        <v>1.597667638483965</v>
      </c>
    </row>
    <row r="42" spans="1:12" ht="14" x14ac:dyDescent="0.15">
      <c r="A42" s="16" t="s">
        <v>67</v>
      </c>
      <c r="B42" s="16" t="s">
        <v>35</v>
      </c>
      <c r="C42" s="16" t="s">
        <v>36</v>
      </c>
      <c r="D42" s="17">
        <v>12308</v>
      </c>
      <c r="E42" s="18">
        <v>54</v>
      </c>
      <c r="F42" s="18">
        <v>12254</v>
      </c>
      <c r="G42" s="12"/>
      <c r="H42" s="18">
        <v>8849</v>
      </c>
      <c r="I42" s="11"/>
      <c r="J42" s="11"/>
      <c r="K42" s="12"/>
      <c r="L42" s="12">
        <f>F42/H42</f>
        <v>1.3847892417222285</v>
      </c>
    </row>
    <row r="43" spans="1:12" ht="14" x14ac:dyDescent="0.15">
      <c r="A43" s="16" t="s">
        <v>67</v>
      </c>
      <c r="B43" s="16" t="s">
        <v>708</v>
      </c>
      <c r="C43" s="16"/>
      <c r="D43" s="13"/>
      <c r="E43" s="13"/>
      <c r="F43" s="13"/>
      <c r="G43" s="14"/>
      <c r="H43" s="13"/>
      <c r="I43" s="13"/>
      <c r="J43" s="13"/>
      <c r="K43" s="14"/>
      <c r="L43" s="12"/>
    </row>
    <row r="44" spans="1:12" ht="14" x14ac:dyDescent="0.15">
      <c r="A44" s="16" t="s">
        <v>71</v>
      </c>
      <c r="B44" s="16" t="s">
        <v>11</v>
      </c>
      <c r="C44" s="16" t="s">
        <v>72</v>
      </c>
      <c r="D44" s="17">
        <v>3431</v>
      </c>
      <c r="E44" s="18">
        <v>48</v>
      </c>
      <c r="F44" s="18">
        <v>3383</v>
      </c>
      <c r="G44" s="12"/>
      <c r="H44" s="18">
        <v>1981</v>
      </c>
      <c r="I44" s="11"/>
      <c r="J44" s="11"/>
      <c r="K44" s="12"/>
      <c r="L44" s="12">
        <f t="shared" ref="L44:L51" si="2">F44/H44</f>
        <v>1.7077233720343261</v>
      </c>
    </row>
    <row r="45" spans="1:12" ht="14" x14ac:dyDescent="0.15">
      <c r="A45" s="16" t="s">
        <v>71</v>
      </c>
      <c r="B45" s="16" t="s">
        <v>73</v>
      </c>
      <c r="C45" s="16" t="s">
        <v>74</v>
      </c>
      <c r="D45" s="17">
        <v>100</v>
      </c>
      <c r="E45" s="18">
        <v>0</v>
      </c>
      <c r="F45" s="18">
        <v>100</v>
      </c>
      <c r="G45" s="12"/>
      <c r="H45" s="18">
        <v>65</v>
      </c>
      <c r="I45" s="11"/>
      <c r="J45" s="11"/>
      <c r="K45" s="12"/>
      <c r="L45" s="12">
        <f t="shared" si="2"/>
        <v>1.5384615384615385</v>
      </c>
    </row>
    <row r="46" spans="1:12" ht="14" x14ac:dyDescent="0.15">
      <c r="A46" s="16" t="s">
        <v>71</v>
      </c>
      <c r="B46" s="16" t="s">
        <v>75</v>
      </c>
      <c r="C46" s="16" t="s">
        <v>76</v>
      </c>
      <c r="D46" s="17">
        <v>109</v>
      </c>
      <c r="E46" s="18">
        <v>0</v>
      </c>
      <c r="F46" s="18">
        <v>109</v>
      </c>
      <c r="G46" s="12"/>
      <c r="H46" s="18">
        <v>65</v>
      </c>
      <c r="I46" s="11"/>
      <c r="J46" s="11"/>
      <c r="K46" s="12"/>
      <c r="L46" s="12">
        <f t="shared" si="2"/>
        <v>1.676923076923077</v>
      </c>
    </row>
    <row r="47" spans="1:12" ht="14" x14ac:dyDescent="0.15">
      <c r="A47" s="16" t="s">
        <v>71</v>
      </c>
      <c r="B47" s="16" t="s">
        <v>77</v>
      </c>
      <c r="C47" s="16" t="s">
        <v>78</v>
      </c>
      <c r="D47" s="17">
        <v>1305</v>
      </c>
      <c r="E47" s="18">
        <v>46</v>
      </c>
      <c r="F47" s="18">
        <v>1259</v>
      </c>
      <c r="G47" s="12"/>
      <c r="H47" s="18">
        <v>742</v>
      </c>
      <c r="I47" s="11"/>
      <c r="J47" s="11"/>
      <c r="K47" s="12"/>
      <c r="L47" s="12">
        <f t="shared" si="2"/>
        <v>1.6967654986522911</v>
      </c>
    </row>
    <row r="48" spans="1:12" ht="14" x14ac:dyDescent="0.15">
      <c r="A48" s="16" t="s">
        <v>71</v>
      </c>
      <c r="B48" s="16" t="s">
        <v>79</v>
      </c>
      <c r="C48" s="16" t="s">
        <v>80</v>
      </c>
      <c r="D48" s="17">
        <v>33</v>
      </c>
      <c r="E48" s="18">
        <v>0</v>
      </c>
      <c r="F48" s="18">
        <v>33</v>
      </c>
      <c r="G48" s="12"/>
      <c r="H48" s="18">
        <v>30</v>
      </c>
      <c r="I48" s="11"/>
      <c r="J48" s="11"/>
      <c r="K48" s="12"/>
      <c r="L48" s="12">
        <f t="shared" si="2"/>
        <v>1.1000000000000001</v>
      </c>
    </row>
    <row r="49" spans="1:12" ht="14" x14ac:dyDescent="0.15">
      <c r="A49" s="16" t="s">
        <v>71</v>
      </c>
      <c r="B49" s="16" t="s">
        <v>81</v>
      </c>
      <c r="C49" s="16" t="s">
        <v>82</v>
      </c>
      <c r="D49" s="17">
        <v>95</v>
      </c>
      <c r="E49" s="18">
        <v>0</v>
      </c>
      <c r="F49" s="18">
        <v>95</v>
      </c>
      <c r="G49" s="12"/>
      <c r="H49" s="18">
        <v>37</v>
      </c>
      <c r="I49" s="11"/>
      <c r="J49" s="11"/>
      <c r="K49" s="12"/>
      <c r="L49" s="12">
        <f t="shared" si="2"/>
        <v>2.5675675675675675</v>
      </c>
    </row>
    <row r="50" spans="1:12" ht="14" x14ac:dyDescent="0.15">
      <c r="A50" s="16" t="s">
        <v>71</v>
      </c>
      <c r="B50" s="16" t="s">
        <v>83</v>
      </c>
      <c r="C50" s="16" t="s">
        <v>84</v>
      </c>
      <c r="D50" s="17">
        <v>531</v>
      </c>
      <c r="E50" s="18">
        <v>2</v>
      </c>
      <c r="F50" s="18">
        <v>529</v>
      </c>
      <c r="G50" s="12"/>
      <c r="H50" s="18">
        <v>331</v>
      </c>
      <c r="I50" s="11"/>
      <c r="J50" s="11"/>
      <c r="K50" s="12"/>
      <c r="L50" s="12">
        <f t="shared" si="2"/>
        <v>1.5981873111782476</v>
      </c>
    </row>
    <row r="51" spans="1:12" ht="14" x14ac:dyDescent="0.15">
      <c r="A51" s="16" t="s">
        <v>71</v>
      </c>
      <c r="B51" s="16" t="s">
        <v>35</v>
      </c>
      <c r="C51" s="16" t="s">
        <v>36</v>
      </c>
      <c r="D51" s="17">
        <v>1258</v>
      </c>
      <c r="E51" s="18">
        <v>0</v>
      </c>
      <c r="F51" s="18">
        <v>1258</v>
      </c>
      <c r="G51" s="12"/>
      <c r="H51" s="18">
        <v>711</v>
      </c>
      <c r="I51" s="11"/>
      <c r="J51" s="11"/>
      <c r="K51" s="12"/>
      <c r="L51" s="12">
        <f t="shared" si="2"/>
        <v>1.7693389592123769</v>
      </c>
    </row>
    <row r="52" spans="1:12" ht="14" x14ac:dyDescent="0.15">
      <c r="A52" s="16" t="s">
        <v>71</v>
      </c>
      <c r="B52" s="16" t="s">
        <v>708</v>
      </c>
      <c r="C52" s="16"/>
      <c r="D52" s="13"/>
      <c r="E52" s="13"/>
      <c r="F52" s="13"/>
      <c r="G52" s="14"/>
      <c r="H52" s="13"/>
      <c r="I52" s="13"/>
      <c r="J52" s="13"/>
      <c r="K52" s="14"/>
      <c r="L52" s="12"/>
    </row>
    <row r="53" spans="1:12" ht="14" x14ac:dyDescent="0.15">
      <c r="A53" s="16" t="s">
        <v>85</v>
      </c>
      <c r="B53" s="16" t="s">
        <v>11</v>
      </c>
      <c r="C53" s="16" t="s">
        <v>86</v>
      </c>
      <c r="D53" s="17">
        <v>5400</v>
      </c>
      <c r="E53" s="18">
        <v>1295</v>
      </c>
      <c r="F53" s="18">
        <v>4105</v>
      </c>
      <c r="G53" s="12"/>
      <c r="H53" s="18">
        <v>2171</v>
      </c>
      <c r="I53" s="11"/>
      <c r="J53" s="11"/>
      <c r="K53" s="12"/>
      <c r="L53" s="12">
        <f>F53/H53</f>
        <v>1.8908337171810226</v>
      </c>
    </row>
    <row r="54" spans="1:12" ht="14" x14ac:dyDescent="0.15">
      <c r="A54" s="16" t="s">
        <v>85</v>
      </c>
      <c r="B54" s="16" t="s">
        <v>87</v>
      </c>
      <c r="C54" s="16" t="s">
        <v>88</v>
      </c>
      <c r="D54" s="17">
        <v>2301</v>
      </c>
      <c r="E54" s="18">
        <v>64</v>
      </c>
      <c r="F54" s="18">
        <v>2237</v>
      </c>
      <c r="G54" s="12"/>
      <c r="H54" s="18">
        <v>1202</v>
      </c>
      <c r="I54" s="11"/>
      <c r="J54" s="11"/>
      <c r="K54" s="12"/>
      <c r="L54" s="12">
        <f>F54/H54</f>
        <v>1.8610648918469217</v>
      </c>
    </row>
    <row r="55" spans="1:12" ht="14" x14ac:dyDescent="0.15">
      <c r="A55" s="16" t="s">
        <v>85</v>
      </c>
      <c r="B55" s="16" t="s">
        <v>35</v>
      </c>
      <c r="C55" s="16" t="s">
        <v>36</v>
      </c>
      <c r="D55" s="17">
        <v>3099</v>
      </c>
      <c r="E55" s="18">
        <v>1231</v>
      </c>
      <c r="F55" s="18">
        <v>1868</v>
      </c>
      <c r="G55" s="12"/>
      <c r="H55" s="18">
        <v>969</v>
      </c>
      <c r="I55" s="11"/>
      <c r="J55" s="11"/>
      <c r="K55" s="12"/>
      <c r="L55" s="12">
        <f>F55/H55</f>
        <v>1.9277605779153766</v>
      </c>
    </row>
    <row r="56" spans="1:12" ht="14" x14ac:dyDescent="0.15">
      <c r="A56" s="16" t="s">
        <v>85</v>
      </c>
      <c r="B56" s="16" t="s">
        <v>708</v>
      </c>
      <c r="C56" s="16"/>
      <c r="D56" s="13"/>
      <c r="E56" s="13"/>
      <c r="F56" s="13"/>
      <c r="G56" s="14"/>
      <c r="H56" s="13"/>
      <c r="I56" s="13"/>
      <c r="J56" s="13"/>
      <c r="K56" s="14"/>
      <c r="L56" s="12"/>
    </row>
    <row r="57" spans="1:12" ht="14" x14ac:dyDescent="0.15">
      <c r="A57" s="16" t="s">
        <v>89</v>
      </c>
      <c r="B57" s="16" t="s">
        <v>11</v>
      </c>
      <c r="C57" s="16" t="s">
        <v>90</v>
      </c>
      <c r="D57" s="17">
        <v>327424</v>
      </c>
      <c r="E57" s="18">
        <v>14393</v>
      </c>
      <c r="F57" s="18">
        <v>313031</v>
      </c>
      <c r="G57" s="12"/>
      <c r="H57" s="18">
        <v>144094</v>
      </c>
      <c r="I57" s="11"/>
      <c r="J57" s="11"/>
      <c r="K57" s="12"/>
      <c r="L57" s="12">
        <f t="shared" ref="L57:L68" si="3">F57/H57</f>
        <v>2.1724082890335477</v>
      </c>
    </row>
    <row r="58" spans="1:12" ht="14" x14ac:dyDescent="0.15">
      <c r="A58" s="16" t="s">
        <v>89</v>
      </c>
      <c r="B58" s="16" t="s">
        <v>91</v>
      </c>
      <c r="C58" s="16" t="s">
        <v>92</v>
      </c>
      <c r="D58" s="17">
        <v>105650</v>
      </c>
      <c r="E58" s="18">
        <v>12605</v>
      </c>
      <c r="F58" s="18">
        <v>93045</v>
      </c>
      <c r="G58" s="12"/>
      <c r="H58" s="18">
        <v>46971</v>
      </c>
      <c r="I58" s="11"/>
      <c r="J58" s="11"/>
      <c r="K58" s="12"/>
      <c r="L58" s="12">
        <f t="shared" si="3"/>
        <v>1.9809031104298398</v>
      </c>
    </row>
    <row r="59" spans="1:12" ht="14" x14ac:dyDescent="0.15">
      <c r="A59" s="16" t="s">
        <v>89</v>
      </c>
      <c r="B59" s="16" t="s">
        <v>93</v>
      </c>
      <c r="C59" s="16" t="s">
        <v>94</v>
      </c>
      <c r="D59" s="17">
        <v>14809</v>
      </c>
      <c r="E59" s="18">
        <v>0</v>
      </c>
      <c r="F59" s="18">
        <v>14809</v>
      </c>
      <c r="G59" s="12"/>
      <c r="H59" s="18">
        <v>5169</v>
      </c>
      <c r="I59" s="11"/>
      <c r="J59" s="11"/>
      <c r="K59" s="12"/>
      <c r="L59" s="12">
        <f t="shared" si="3"/>
        <v>2.8649642097117431</v>
      </c>
    </row>
    <row r="60" spans="1:12" ht="14" x14ac:dyDescent="0.15">
      <c r="A60" s="16" t="s">
        <v>89</v>
      </c>
      <c r="B60" s="16" t="s">
        <v>95</v>
      </c>
      <c r="C60" s="16" t="s">
        <v>96</v>
      </c>
      <c r="D60" s="17">
        <v>250</v>
      </c>
      <c r="E60" s="18">
        <v>0</v>
      </c>
      <c r="F60" s="18">
        <v>250</v>
      </c>
      <c r="G60" s="12"/>
      <c r="H60" s="18">
        <v>131</v>
      </c>
      <c r="I60" s="11"/>
      <c r="J60" s="11"/>
      <c r="K60" s="12"/>
      <c r="L60" s="12">
        <f t="shared" si="3"/>
        <v>1.9083969465648856</v>
      </c>
    </row>
    <row r="61" spans="1:12" ht="14" x14ac:dyDescent="0.15">
      <c r="A61" s="16" t="s">
        <v>89</v>
      </c>
      <c r="B61" s="16" t="s">
        <v>97</v>
      </c>
      <c r="C61" s="16" t="s">
        <v>98</v>
      </c>
      <c r="D61" s="17">
        <v>30890</v>
      </c>
      <c r="E61" s="18">
        <v>264</v>
      </c>
      <c r="F61" s="18">
        <v>30626</v>
      </c>
      <c r="G61" s="12"/>
      <c r="H61" s="18">
        <v>13065</v>
      </c>
      <c r="I61" s="11"/>
      <c r="J61" s="11"/>
      <c r="K61" s="12"/>
      <c r="L61" s="12">
        <f t="shared" si="3"/>
        <v>2.3441255262150786</v>
      </c>
    </row>
    <row r="62" spans="1:12" ht="14" x14ac:dyDescent="0.15">
      <c r="A62" s="16" t="s">
        <v>89</v>
      </c>
      <c r="B62" s="16" t="s">
        <v>99</v>
      </c>
      <c r="C62" s="16" t="s">
        <v>100</v>
      </c>
      <c r="D62" s="17">
        <v>98498</v>
      </c>
      <c r="E62" s="18">
        <v>825</v>
      </c>
      <c r="F62" s="18">
        <v>97673</v>
      </c>
      <c r="G62" s="12"/>
      <c r="H62" s="18">
        <v>42783</v>
      </c>
      <c r="I62" s="11"/>
      <c r="J62" s="11"/>
      <c r="K62" s="12"/>
      <c r="L62" s="12">
        <f t="shared" si="3"/>
        <v>2.2829862328494963</v>
      </c>
    </row>
    <row r="63" spans="1:12" ht="14" x14ac:dyDescent="0.15">
      <c r="A63" s="16" t="s">
        <v>89</v>
      </c>
      <c r="B63" s="16" t="s">
        <v>101</v>
      </c>
      <c r="C63" s="16" t="s">
        <v>102</v>
      </c>
      <c r="D63" s="17">
        <v>19394</v>
      </c>
      <c r="E63" s="18">
        <v>313</v>
      </c>
      <c r="F63" s="18">
        <v>19081</v>
      </c>
      <c r="G63" s="12"/>
      <c r="H63" s="18">
        <v>8434</v>
      </c>
      <c r="I63" s="11"/>
      <c r="J63" s="11"/>
      <c r="K63" s="12"/>
      <c r="L63" s="12">
        <f t="shared" si="3"/>
        <v>2.2623903248755037</v>
      </c>
    </row>
    <row r="64" spans="1:12" ht="14" x14ac:dyDescent="0.15">
      <c r="A64" s="16" t="s">
        <v>89</v>
      </c>
      <c r="B64" s="16" t="s">
        <v>103</v>
      </c>
      <c r="C64" s="16" t="s">
        <v>104</v>
      </c>
      <c r="D64" s="17">
        <v>2145</v>
      </c>
      <c r="E64" s="18">
        <v>0</v>
      </c>
      <c r="F64" s="18">
        <v>2145</v>
      </c>
      <c r="G64" s="12"/>
      <c r="H64" s="18">
        <v>912</v>
      </c>
      <c r="I64" s="11"/>
      <c r="J64" s="11"/>
      <c r="K64" s="12"/>
      <c r="L64" s="12">
        <f t="shared" si="3"/>
        <v>2.3519736842105261</v>
      </c>
    </row>
    <row r="65" spans="1:12" ht="14" x14ac:dyDescent="0.15">
      <c r="A65" s="16" t="s">
        <v>89</v>
      </c>
      <c r="B65" s="16" t="s">
        <v>105</v>
      </c>
      <c r="C65" s="16" t="s">
        <v>106</v>
      </c>
      <c r="D65" s="17">
        <v>1478</v>
      </c>
      <c r="E65" s="18">
        <v>7</v>
      </c>
      <c r="F65" s="18">
        <v>1471</v>
      </c>
      <c r="G65" s="12"/>
      <c r="H65" s="18">
        <v>793</v>
      </c>
      <c r="I65" s="11"/>
      <c r="J65" s="11"/>
      <c r="K65" s="12"/>
      <c r="L65" s="12">
        <f t="shared" si="3"/>
        <v>1.8549810844892811</v>
      </c>
    </row>
    <row r="66" spans="1:12" ht="14" x14ac:dyDescent="0.15">
      <c r="A66" s="16" t="s">
        <v>89</v>
      </c>
      <c r="B66" s="16" t="s">
        <v>107</v>
      </c>
      <c r="C66" s="16" t="s">
        <v>108</v>
      </c>
      <c r="D66" s="17">
        <v>12240</v>
      </c>
      <c r="E66" s="18">
        <v>0</v>
      </c>
      <c r="F66" s="18">
        <v>12240</v>
      </c>
      <c r="G66" s="12"/>
      <c r="H66" s="18">
        <v>4853</v>
      </c>
      <c r="I66" s="11"/>
      <c r="J66" s="11"/>
      <c r="K66" s="12"/>
      <c r="L66" s="12">
        <f t="shared" si="3"/>
        <v>2.5221512466515557</v>
      </c>
    </row>
    <row r="67" spans="1:12" ht="14" x14ac:dyDescent="0.15">
      <c r="A67" s="16" t="s">
        <v>89</v>
      </c>
      <c r="B67" s="16" t="s">
        <v>109</v>
      </c>
      <c r="C67" s="16" t="s">
        <v>110</v>
      </c>
      <c r="D67" s="17">
        <v>128</v>
      </c>
      <c r="E67" s="18">
        <v>0</v>
      </c>
      <c r="F67" s="18">
        <v>128</v>
      </c>
      <c r="G67" s="12"/>
      <c r="H67" s="18">
        <v>103</v>
      </c>
      <c r="I67" s="11"/>
      <c r="J67" s="11"/>
      <c r="K67" s="12"/>
      <c r="L67" s="12">
        <f t="shared" si="3"/>
        <v>1.2427184466019416</v>
      </c>
    </row>
    <row r="68" spans="1:12" ht="14" x14ac:dyDescent="0.15">
      <c r="A68" s="16" t="s">
        <v>89</v>
      </c>
      <c r="B68" s="16" t="s">
        <v>35</v>
      </c>
      <c r="C68" s="16" t="s">
        <v>36</v>
      </c>
      <c r="D68" s="17">
        <v>41942</v>
      </c>
      <c r="E68" s="18">
        <v>379</v>
      </c>
      <c r="F68" s="18">
        <v>41563</v>
      </c>
      <c r="G68" s="12"/>
      <c r="H68" s="18">
        <v>20881</v>
      </c>
      <c r="I68" s="11"/>
      <c r="J68" s="11"/>
      <c r="K68" s="12"/>
      <c r="L68" s="12">
        <f t="shared" si="3"/>
        <v>1.9904698050859633</v>
      </c>
    </row>
    <row r="69" spans="1:12" ht="14" x14ac:dyDescent="0.15">
      <c r="A69" s="16" t="s">
        <v>89</v>
      </c>
      <c r="B69" s="16" t="s">
        <v>708</v>
      </c>
      <c r="C69" s="16"/>
      <c r="D69" s="13"/>
      <c r="E69" s="13"/>
      <c r="F69" s="13"/>
      <c r="G69" s="14"/>
      <c r="H69" s="13"/>
      <c r="I69" s="13"/>
      <c r="J69" s="13"/>
      <c r="K69" s="14"/>
      <c r="L69" s="12"/>
    </row>
    <row r="70" spans="1:12" ht="14" x14ac:dyDescent="0.15">
      <c r="A70" s="16" t="s">
        <v>111</v>
      </c>
      <c r="B70" s="16" t="s">
        <v>11</v>
      </c>
      <c r="C70" s="16" t="s">
        <v>112</v>
      </c>
      <c r="D70" s="17">
        <v>76155</v>
      </c>
      <c r="E70" s="18">
        <v>451</v>
      </c>
      <c r="F70" s="18">
        <v>75704</v>
      </c>
      <c r="G70" s="12"/>
      <c r="H70" s="18">
        <v>33645</v>
      </c>
      <c r="I70" s="11"/>
      <c r="J70" s="11"/>
      <c r="K70" s="12"/>
      <c r="L70" s="12">
        <f>F70/H70</f>
        <v>2.2500817357705456</v>
      </c>
    </row>
    <row r="71" spans="1:12" ht="14" x14ac:dyDescent="0.15">
      <c r="A71" s="16" t="s">
        <v>111</v>
      </c>
      <c r="B71" s="16" t="s">
        <v>113</v>
      </c>
      <c r="C71" s="16" t="s">
        <v>114</v>
      </c>
      <c r="D71" s="17">
        <v>76155</v>
      </c>
      <c r="E71" s="18">
        <v>451</v>
      </c>
      <c r="F71" s="18">
        <v>75704</v>
      </c>
      <c r="G71" s="12"/>
      <c r="H71" s="18">
        <v>33645</v>
      </c>
      <c r="I71" s="11"/>
      <c r="J71" s="11"/>
      <c r="K71" s="12"/>
      <c r="L71" s="12">
        <f>F71/H71</f>
        <v>2.2500817357705456</v>
      </c>
    </row>
    <row r="72" spans="1:12" ht="14" x14ac:dyDescent="0.15">
      <c r="A72" s="16" t="s">
        <v>111</v>
      </c>
      <c r="B72" s="16" t="s">
        <v>708</v>
      </c>
      <c r="C72" s="16"/>
      <c r="D72" s="17"/>
      <c r="E72" s="11"/>
      <c r="F72" s="11"/>
      <c r="G72" s="12"/>
      <c r="H72" s="11"/>
      <c r="I72" s="11"/>
      <c r="J72" s="11"/>
      <c r="K72" s="12"/>
      <c r="L72" s="12"/>
    </row>
    <row r="73" spans="1:12" ht="14" x14ac:dyDescent="0.15">
      <c r="A73" s="16" t="s">
        <v>115</v>
      </c>
      <c r="B73" s="16" t="s">
        <v>11</v>
      </c>
      <c r="C73" s="16" t="s">
        <v>116</v>
      </c>
      <c r="D73" s="17">
        <v>20261</v>
      </c>
      <c r="E73" s="18">
        <v>1190</v>
      </c>
      <c r="F73" s="18">
        <v>19071</v>
      </c>
      <c r="G73" s="12"/>
      <c r="H73" s="18">
        <v>11903</v>
      </c>
      <c r="I73" s="11"/>
      <c r="J73" s="11"/>
      <c r="K73" s="12"/>
      <c r="L73" s="12">
        <f>F73/H73</f>
        <v>1.6022011257666136</v>
      </c>
    </row>
    <row r="74" spans="1:12" ht="14" x14ac:dyDescent="0.15">
      <c r="A74" s="16" t="s">
        <v>115</v>
      </c>
      <c r="B74" s="16" t="s">
        <v>117</v>
      </c>
      <c r="C74" s="16" t="s">
        <v>118</v>
      </c>
      <c r="D74" s="17">
        <v>3003</v>
      </c>
      <c r="E74" s="18">
        <v>13</v>
      </c>
      <c r="F74" s="18">
        <v>2990</v>
      </c>
      <c r="G74" s="12"/>
      <c r="H74" s="18">
        <v>1693</v>
      </c>
      <c r="I74" s="11"/>
      <c r="J74" s="11"/>
      <c r="K74" s="12"/>
      <c r="L74" s="12">
        <f>F74/H74</f>
        <v>1.7660956881275842</v>
      </c>
    </row>
    <row r="75" spans="1:12" ht="14" x14ac:dyDescent="0.15">
      <c r="A75" s="16" t="s">
        <v>115</v>
      </c>
      <c r="B75" s="16" t="s">
        <v>119</v>
      </c>
      <c r="C75" s="16" t="s">
        <v>120</v>
      </c>
      <c r="D75" s="17">
        <v>1157</v>
      </c>
      <c r="E75" s="18">
        <v>0</v>
      </c>
      <c r="F75" s="18">
        <v>1157</v>
      </c>
      <c r="G75" s="12"/>
      <c r="H75" s="18">
        <v>705</v>
      </c>
      <c r="I75" s="11"/>
      <c r="J75" s="11"/>
      <c r="K75" s="12"/>
      <c r="L75" s="12">
        <f>F75/H75</f>
        <v>1.6411347517730497</v>
      </c>
    </row>
    <row r="76" spans="1:12" ht="14" x14ac:dyDescent="0.15">
      <c r="A76" s="16" t="s">
        <v>115</v>
      </c>
      <c r="B76" s="16" t="s">
        <v>121</v>
      </c>
      <c r="C76" s="16" t="s">
        <v>122</v>
      </c>
      <c r="D76" s="17">
        <v>5886</v>
      </c>
      <c r="E76" s="18">
        <v>74</v>
      </c>
      <c r="F76" s="18">
        <v>5812</v>
      </c>
      <c r="G76" s="12"/>
      <c r="H76" s="18">
        <v>3571</v>
      </c>
      <c r="I76" s="11"/>
      <c r="J76" s="11"/>
      <c r="K76" s="12"/>
      <c r="L76" s="12">
        <f>F76/H76</f>
        <v>1.6275553066367965</v>
      </c>
    </row>
    <row r="77" spans="1:12" ht="14" x14ac:dyDescent="0.15">
      <c r="A77" s="16" t="s">
        <v>115</v>
      </c>
      <c r="B77" s="16" t="s">
        <v>35</v>
      </c>
      <c r="C77" s="16" t="s">
        <v>36</v>
      </c>
      <c r="D77" s="17">
        <v>10215</v>
      </c>
      <c r="E77" s="18">
        <v>1103</v>
      </c>
      <c r="F77" s="18">
        <v>9112</v>
      </c>
      <c r="G77" s="12"/>
      <c r="H77" s="18">
        <v>5933</v>
      </c>
      <c r="I77" s="11"/>
      <c r="J77" s="11"/>
      <c r="K77" s="12"/>
      <c r="L77" s="12">
        <f>F77/H77</f>
        <v>1.5358166189111748</v>
      </c>
    </row>
    <row r="78" spans="1:12" ht="14" x14ac:dyDescent="0.15">
      <c r="A78" s="16" t="s">
        <v>115</v>
      </c>
      <c r="B78" s="16" t="s">
        <v>708</v>
      </c>
      <c r="C78" s="16"/>
      <c r="D78" s="13"/>
      <c r="E78" s="13"/>
      <c r="F78" s="13"/>
      <c r="G78" s="14"/>
      <c r="H78" s="13"/>
      <c r="I78" s="13"/>
      <c r="J78" s="13"/>
      <c r="K78" s="14"/>
      <c r="L78" s="12"/>
    </row>
    <row r="79" spans="1:12" ht="14" x14ac:dyDescent="0.15">
      <c r="A79" s="16" t="s">
        <v>123</v>
      </c>
      <c r="B79" s="16" t="s">
        <v>11</v>
      </c>
      <c r="C79" s="16" t="s">
        <v>124</v>
      </c>
      <c r="D79" s="17">
        <v>1722</v>
      </c>
      <c r="E79" s="18">
        <v>24</v>
      </c>
      <c r="F79" s="18">
        <v>1698</v>
      </c>
      <c r="G79" s="12"/>
      <c r="H79" s="18">
        <v>945</v>
      </c>
      <c r="I79" s="11"/>
      <c r="J79" s="11"/>
      <c r="K79" s="12"/>
      <c r="L79" s="12">
        <f>F79/H79</f>
        <v>1.7968253968253969</v>
      </c>
    </row>
    <row r="80" spans="1:12" ht="14" x14ac:dyDescent="0.15">
      <c r="A80" s="16" t="s">
        <v>123</v>
      </c>
      <c r="B80" s="16" t="s">
        <v>125</v>
      </c>
      <c r="C80" s="16" t="s">
        <v>126</v>
      </c>
      <c r="D80" s="17">
        <v>729</v>
      </c>
      <c r="E80" s="18">
        <v>24</v>
      </c>
      <c r="F80" s="18">
        <v>705</v>
      </c>
      <c r="G80" s="12"/>
      <c r="H80" s="18">
        <v>419</v>
      </c>
      <c r="I80" s="11"/>
      <c r="J80" s="11"/>
      <c r="K80" s="12"/>
      <c r="L80" s="12">
        <f>F80/H80</f>
        <v>1.6825775656324582</v>
      </c>
    </row>
    <row r="81" spans="1:12" ht="14" x14ac:dyDescent="0.15">
      <c r="A81" s="16" t="s">
        <v>123</v>
      </c>
      <c r="B81" s="16" t="s">
        <v>127</v>
      </c>
      <c r="C81" s="16" t="s">
        <v>128</v>
      </c>
      <c r="D81" s="17">
        <v>246</v>
      </c>
      <c r="E81" s="18">
        <v>0</v>
      </c>
      <c r="F81" s="18">
        <v>246</v>
      </c>
      <c r="G81" s="12"/>
      <c r="H81" s="18">
        <v>136</v>
      </c>
      <c r="I81" s="11"/>
      <c r="J81" s="11"/>
      <c r="K81" s="12"/>
      <c r="L81" s="12">
        <f>F81/H81</f>
        <v>1.8088235294117647</v>
      </c>
    </row>
    <row r="82" spans="1:12" ht="14" x14ac:dyDescent="0.15">
      <c r="A82" s="16" t="s">
        <v>123</v>
      </c>
      <c r="B82" s="16" t="s">
        <v>35</v>
      </c>
      <c r="C82" s="16" t="s">
        <v>36</v>
      </c>
      <c r="D82" s="17">
        <v>747</v>
      </c>
      <c r="E82" s="18">
        <v>0</v>
      </c>
      <c r="F82" s="18">
        <v>747</v>
      </c>
      <c r="G82" s="12"/>
      <c r="H82" s="18">
        <v>390</v>
      </c>
      <c r="I82" s="11"/>
      <c r="J82" s="11"/>
      <c r="K82" s="12"/>
      <c r="L82" s="12">
        <f>F82/H82</f>
        <v>1.9153846153846155</v>
      </c>
    </row>
    <row r="83" spans="1:12" ht="14" x14ac:dyDescent="0.15">
      <c r="A83" s="16" t="s">
        <v>123</v>
      </c>
      <c r="B83" s="16" t="s">
        <v>708</v>
      </c>
      <c r="C83" s="16"/>
      <c r="D83" s="13"/>
      <c r="E83" s="13"/>
      <c r="F83" s="13"/>
      <c r="G83" s="14"/>
      <c r="H83" s="13"/>
      <c r="I83" s="13"/>
      <c r="J83" s="13"/>
      <c r="K83" s="14"/>
      <c r="L83" s="12"/>
    </row>
    <row r="84" spans="1:12" ht="14" x14ac:dyDescent="0.15">
      <c r="A84" s="16" t="s">
        <v>129</v>
      </c>
      <c r="B84" s="16" t="s">
        <v>11</v>
      </c>
      <c r="C84" s="16" t="s">
        <v>130</v>
      </c>
      <c r="D84" s="17">
        <v>9366</v>
      </c>
      <c r="E84" s="18">
        <v>82</v>
      </c>
      <c r="F84" s="18">
        <v>9284</v>
      </c>
      <c r="G84" s="12"/>
      <c r="H84" s="18">
        <v>5868</v>
      </c>
      <c r="I84" s="11"/>
      <c r="J84" s="11"/>
      <c r="K84" s="12"/>
      <c r="L84" s="12">
        <f>F84/H84</f>
        <v>1.5821404226312201</v>
      </c>
    </row>
    <row r="85" spans="1:12" ht="14" x14ac:dyDescent="0.15">
      <c r="A85" s="16" t="s">
        <v>129</v>
      </c>
      <c r="B85" s="16" t="s">
        <v>131</v>
      </c>
      <c r="C85" s="16" t="s">
        <v>132</v>
      </c>
      <c r="D85" s="17">
        <v>0</v>
      </c>
      <c r="E85" s="18">
        <v>0</v>
      </c>
      <c r="F85" s="18">
        <v>0</v>
      </c>
      <c r="G85" s="12"/>
      <c r="H85" s="18">
        <v>0</v>
      </c>
      <c r="I85" s="11"/>
      <c r="J85" s="11"/>
      <c r="K85" s="12"/>
      <c r="L85" s="12">
        <v>0</v>
      </c>
    </row>
    <row r="86" spans="1:12" ht="14" x14ac:dyDescent="0.15">
      <c r="A86" s="16" t="s">
        <v>129</v>
      </c>
      <c r="B86" s="16" t="s">
        <v>133</v>
      </c>
      <c r="C86" s="16" t="s">
        <v>134</v>
      </c>
      <c r="D86" s="17">
        <v>336</v>
      </c>
      <c r="E86" s="18">
        <v>0</v>
      </c>
      <c r="F86" s="18">
        <v>336</v>
      </c>
      <c r="G86" s="12"/>
      <c r="H86" s="18">
        <v>210</v>
      </c>
      <c r="I86" s="11"/>
      <c r="J86" s="11"/>
      <c r="K86" s="12"/>
      <c r="L86" s="12">
        <f>F86/H86</f>
        <v>1.6</v>
      </c>
    </row>
    <row r="87" spans="1:12" ht="14" x14ac:dyDescent="0.15">
      <c r="A87" s="16" t="s">
        <v>129</v>
      </c>
      <c r="B87" s="16" t="s">
        <v>135</v>
      </c>
      <c r="C87" s="16" t="s">
        <v>136</v>
      </c>
      <c r="D87" s="17">
        <v>1295</v>
      </c>
      <c r="E87" s="18">
        <v>39</v>
      </c>
      <c r="F87" s="18">
        <v>1256</v>
      </c>
      <c r="G87" s="12"/>
      <c r="H87" s="18">
        <v>908</v>
      </c>
      <c r="I87" s="11"/>
      <c r="J87" s="11"/>
      <c r="K87" s="12"/>
      <c r="L87" s="12">
        <f>F87/H87</f>
        <v>1.3832599118942732</v>
      </c>
    </row>
    <row r="88" spans="1:12" ht="14" x14ac:dyDescent="0.15">
      <c r="A88" s="16" t="s">
        <v>129</v>
      </c>
      <c r="B88" s="16" t="s">
        <v>137</v>
      </c>
      <c r="C88" s="16" t="s">
        <v>138</v>
      </c>
      <c r="D88" s="17">
        <v>1747</v>
      </c>
      <c r="E88" s="18">
        <v>30</v>
      </c>
      <c r="F88" s="18">
        <v>1717</v>
      </c>
      <c r="G88" s="12"/>
      <c r="H88" s="18">
        <v>948</v>
      </c>
      <c r="I88" s="11"/>
      <c r="J88" s="11"/>
      <c r="K88" s="12"/>
      <c r="L88" s="12">
        <f>F88/H88</f>
        <v>1.8111814345991561</v>
      </c>
    </row>
    <row r="89" spans="1:12" ht="14" x14ac:dyDescent="0.15">
      <c r="A89" s="16" t="s">
        <v>129</v>
      </c>
      <c r="B89" s="16" t="s">
        <v>139</v>
      </c>
      <c r="C89" s="16" t="s">
        <v>140</v>
      </c>
      <c r="D89" s="17">
        <v>200</v>
      </c>
      <c r="E89" s="18">
        <v>6</v>
      </c>
      <c r="F89" s="18">
        <v>194</v>
      </c>
      <c r="G89" s="12"/>
      <c r="H89" s="18">
        <v>147</v>
      </c>
      <c r="I89" s="11"/>
      <c r="J89" s="11"/>
      <c r="K89" s="12"/>
      <c r="L89" s="12">
        <f>F89/H89</f>
        <v>1.3197278911564625</v>
      </c>
    </row>
    <row r="90" spans="1:12" ht="14" x14ac:dyDescent="0.15">
      <c r="A90" s="16" t="s">
        <v>129</v>
      </c>
      <c r="B90" s="16" t="s">
        <v>35</v>
      </c>
      <c r="C90" s="16" t="s">
        <v>36</v>
      </c>
      <c r="D90" s="17">
        <v>5788</v>
      </c>
      <c r="E90" s="18">
        <v>7</v>
      </c>
      <c r="F90" s="18">
        <v>5781</v>
      </c>
      <c r="G90" s="12"/>
      <c r="H90" s="18">
        <v>3655</v>
      </c>
      <c r="I90" s="11"/>
      <c r="J90" s="11"/>
      <c r="K90" s="12"/>
      <c r="L90" s="12">
        <f>F90/H90</f>
        <v>1.5816689466484268</v>
      </c>
    </row>
    <row r="91" spans="1:12" ht="14" x14ac:dyDescent="0.15">
      <c r="A91" s="16" t="s">
        <v>129</v>
      </c>
      <c r="B91" s="16" t="s">
        <v>708</v>
      </c>
      <c r="C91" s="16"/>
      <c r="D91" s="13"/>
      <c r="E91" s="13"/>
      <c r="F91" s="13"/>
      <c r="G91" s="14"/>
      <c r="H91" s="13"/>
      <c r="I91" s="13"/>
      <c r="J91" s="13"/>
      <c r="K91" s="14"/>
      <c r="L91" s="12"/>
    </row>
    <row r="92" spans="1:12" ht="14" x14ac:dyDescent="0.15">
      <c r="A92" s="16" t="s">
        <v>141</v>
      </c>
      <c r="B92" s="16" t="s">
        <v>11</v>
      </c>
      <c r="C92" s="16" t="s">
        <v>142</v>
      </c>
      <c r="D92" s="17">
        <v>7572</v>
      </c>
      <c r="E92" s="18">
        <v>48</v>
      </c>
      <c r="F92" s="18">
        <v>7524</v>
      </c>
      <c r="G92" s="12"/>
      <c r="H92" s="18">
        <v>4119</v>
      </c>
      <c r="I92" s="11"/>
      <c r="J92" s="11"/>
      <c r="K92" s="12"/>
      <c r="L92" s="12">
        <f t="shared" ref="L92:L98" si="4">F92/H92</f>
        <v>1.8266569555717407</v>
      </c>
    </row>
    <row r="93" spans="1:12" ht="14" x14ac:dyDescent="0.15">
      <c r="A93" s="16" t="s">
        <v>141</v>
      </c>
      <c r="B93" s="16" t="s">
        <v>143</v>
      </c>
      <c r="C93" s="16" t="s">
        <v>144</v>
      </c>
      <c r="D93" s="17">
        <v>639</v>
      </c>
      <c r="E93" s="18">
        <v>4</v>
      </c>
      <c r="F93" s="18">
        <v>635</v>
      </c>
      <c r="G93" s="12"/>
      <c r="H93" s="18">
        <v>377</v>
      </c>
      <c r="I93" s="11"/>
      <c r="J93" s="11"/>
      <c r="K93" s="12"/>
      <c r="L93" s="12">
        <f t="shared" si="4"/>
        <v>1.6843501326259946</v>
      </c>
    </row>
    <row r="94" spans="1:12" ht="14" x14ac:dyDescent="0.15">
      <c r="A94" s="16" t="s">
        <v>141</v>
      </c>
      <c r="B94" s="16" t="s">
        <v>145</v>
      </c>
      <c r="C94" s="16" t="s">
        <v>146</v>
      </c>
      <c r="D94" s="17">
        <v>714</v>
      </c>
      <c r="E94" s="18">
        <v>0</v>
      </c>
      <c r="F94" s="18">
        <v>714</v>
      </c>
      <c r="G94" s="12"/>
      <c r="H94" s="18">
        <v>337</v>
      </c>
      <c r="I94" s="11"/>
      <c r="J94" s="11"/>
      <c r="K94" s="12"/>
      <c r="L94" s="12">
        <f t="shared" si="4"/>
        <v>2.1186943620178043</v>
      </c>
    </row>
    <row r="95" spans="1:12" ht="14" x14ac:dyDescent="0.15">
      <c r="A95" s="16" t="s">
        <v>141</v>
      </c>
      <c r="B95" s="16" t="s">
        <v>147</v>
      </c>
      <c r="C95" s="16" t="s">
        <v>148</v>
      </c>
      <c r="D95" s="17">
        <v>961</v>
      </c>
      <c r="E95" s="18">
        <v>0</v>
      </c>
      <c r="F95" s="18">
        <v>961</v>
      </c>
      <c r="G95" s="12"/>
      <c r="H95" s="18">
        <v>418</v>
      </c>
      <c r="I95" s="11"/>
      <c r="J95" s="11"/>
      <c r="K95" s="12"/>
      <c r="L95" s="12">
        <f t="shared" si="4"/>
        <v>2.299043062200957</v>
      </c>
    </row>
    <row r="96" spans="1:12" ht="14" x14ac:dyDescent="0.15">
      <c r="A96" s="16" t="s">
        <v>141</v>
      </c>
      <c r="B96" s="16" t="s">
        <v>149</v>
      </c>
      <c r="C96" s="16" t="s">
        <v>150</v>
      </c>
      <c r="D96" s="17">
        <v>305</v>
      </c>
      <c r="E96" s="18">
        <v>0</v>
      </c>
      <c r="F96" s="18">
        <v>305</v>
      </c>
      <c r="G96" s="12"/>
      <c r="H96" s="18">
        <v>130</v>
      </c>
      <c r="I96" s="11"/>
      <c r="J96" s="11"/>
      <c r="K96" s="12"/>
      <c r="L96" s="12">
        <f t="shared" si="4"/>
        <v>2.3461538461538463</v>
      </c>
    </row>
    <row r="97" spans="1:12" ht="14" x14ac:dyDescent="0.15">
      <c r="A97" s="16" t="s">
        <v>141</v>
      </c>
      <c r="B97" s="16" t="s">
        <v>151</v>
      </c>
      <c r="C97" s="16" t="s">
        <v>152</v>
      </c>
      <c r="D97" s="17">
        <v>896</v>
      </c>
      <c r="E97" s="18">
        <v>0</v>
      </c>
      <c r="F97" s="18">
        <v>896</v>
      </c>
      <c r="G97" s="12"/>
      <c r="H97" s="18">
        <v>355</v>
      </c>
      <c r="I97" s="11"/>
      <c r="J97" s="11"/>
      <c r="K97" s="12"/>
      <c r="L97" s="12">
        <f t="shared" si="4"/>
        <v>2.5239436619718312</v>
      </c>
    </row>
    <row r="98" spans="1:12" ht="14" x14ac:dyDescent="0.15">
      <c r="A98" s="16" t="s">
        <v>141</v>
      </c>
      <c r="B98" s="16" t="s">
        <v>35</v>
      </c>
      <c r="C98" s="16" t="s">
        <v>36</v>
      </c>
      <c r="D98" s="17">
        <v>4057</v>
      </c>
      <c r="E98" s="18">
        <v>44</v>
      </c>
      <c r="F98" s="18">
        <v>4013</v>
      </c>
      <c r="G98" s="12"/>
      <c r="H98" s="18">
        <v>2502</v>
      </c>
      <c r="I98" s="11"/>
      <c r="J98" s="11"/>
      <c r="K98" s="12"/>
      <c r="L98" s="12">
        <f t="shared" si="4"/>
        <v>1.6039168665067947</v>
      </c>
    </row>
    <row r="99" spans="1:12" ht="14" x14ac:dyDescent="0.15">
      <c r="A99" s="16" t="s">
        <v>141</v>
      </c>
      <c r="B99" s="16" t="s">
        <v>708</v>
      </c>
      <c r="C99" s="16"/>
      <c r="D99" s="13"/>
      <c r="E99" s="13"/>
      <c r="F99" s="13"/>
      <c r="G99" s="14"/>
      <c r="H99" s="13"/>
      <c r="I99" s="13"/>
      <c r="J99" s="13"/>
      <c r="K99" s="14"/>
      <c r="L99" s="12"/>
    </row>
    <row r="100" spans="1:12" ht="14" x14ac:dyDescent="0.15">
      <c r="A100" s="16" t="s">
        <v>153</v>
      </c>
      <c r="B100" s="16" t="s">
        <v>11</v>
      </c>
      <c r="C100" s="16" t="s">
        <v>154</v>
      </c>
      <c r="D100" s="17">
        <v>3614</v>
      </c>
      <c r="E100" s="18">
        <v>12</v>
      </c>
      <c r="F100" s="18">
        <v>3602</v>
      </c>
      <c r="G100" s="12"/>
      <c r="H100" s="18">
        <v>2424</v>
      </c>
      <c r="I100" s="11"/>
      <c r="J100" s="11"/>
      <c r="K100" s="12"/>
      <c r="L100" s="12">
        <f>F100/H100</f>
        <v>1.4859735973597359</v>
      </c>
    </row>
    <row r="101" spans="1:12" ht="14" x14ac:dyDescent="0.15">
      <c r="A101" s="16" t="s">
        <v>153</v>
      </c>
      <c r="B101" s="16" t="s">
        <v>155</v>
      </c>
      <c r="C101" s="16" t="s">
        <v>156</v>
      </c>
      <c r="D101" s="17">
        <v>332</v>
      </c>
      <c r="E101" s="18">
        <v>0</v>
      </c>
      <c r="F101" s="18">
        <v>332</v>
      </c>
      <c r="G101" s="12"/>
      <c r="H101" s="18">
        <v>149</v>
      </c>
      <c r="I101" s="11"/>
      <c r="J101" s="11"/>
      <c r="K101" s="12"/>
      <c r="L101" s="12">
        <f>F101/H101</f>
        <v>2.2281879194630871</v>
      </c>
    </row>
    <row r="102" spans="1:12" ht="14" x14ac:dyDescent="0.15">
      <c r="A102" s="16" t="s">
        <v>153</v>
      </c>
      <c r="B102" s="16" t="s">
        <v>157</v>
      </c>
      <c r="C102" s="16" t="s">
        <v>158</v>
      </c>
      <c r="D102" s="17">
        <v>623</v>
      </c>
      <c r="E102" s="18">
        <v>12</v>
      </c>
      <c r="F102" s="18">
        <v>611</v>
      </c>
      <c r="G102" s="12"/>
      <c r="H102" s="18">
        <v>344</v>
      </c>
      <c r="I102" s="11"/>
      <c r="J102" s="11"/>
      <c r="K102" s="12"/>
      <c r="L102" s="12">
        <f>F102/H102</f>
        <v>1.7761627906976745</v>
      </c>
    </row>
    <row r="103" spans="1:12" ht="14" x14ac:dyDescent="0.15">
      <c r="A103" s="16" t="s">
        <v>153</v>
      </c>
      <c r="B103" s="16" t="s">
        <v>35</v>
      </c>
      <c r="C103" s="16" t="s">
        <v>36</v>
      </c>
      <c r="D103" s="17">
        <v>2659</v>
      </c>
      <c r="E103" s="18">
        <v>0</v>
      </c>
      <c r="F103" s="18">
        <v>2659</v>
      </c>
      <c r="G103" s="12"/>
      <c r="H103" s="18">
        <v>1931</v>
      </c>
      <c r="I103" s="11"/>
      <c r="J103" s="11"/>
      <c r="K103" s="12"/>
      <c r="L103" s="12">
        <f>F103/H103</f>
        <v>1.3770067322630761</v>
      </c>
    </row>
    <row r="104" spans="1:12" ht="14" x14ac:dyDescent="0.15">
      <c r="A104" s="16" t="s">
        <v>153</v>
      </c>
      <c r="B104" s="16" t="s">
        <v>708</v>
      </c>
      <c r="C104" s="16"/>
      <c r="D104" s="13"/>
      <c r="E104" s="13"/>
      <c r="F104" s="13"/>
      <c r="G104" s="14"/>
      <c r="H104" s="13"/>
      <c r="I104" s="13"/>
      <c r="J104" s="13"/>
      <c r="K104" s="14"/>
      <c r="L104" s="12"/>
    </row>
    <row r="105" spans="1:12" ht="14" x14ac:dyDescent="0.15">
      <c r="A105" s="16" t="s">
        <v>159</v>
      </c>
      <c r="B105" s="16" t="s">
        <v>11</v>
      </c>
      <c r="C105" s="16" t="s">
        <v>160</v>
      </c>
      <c r="D105" s="17">
        <v>5620</v>
      </c>
      <c r="E105" s="18">
        <v>2504</v>
      </c>
      <c r="F105" s="18">
        <v>3116</v>
      </c>
      <c r="G105" s="12"/>
      <c r="H105" s="18">
        <v>1535</v>
      </c>
      <c r="I105" s="11"/>
      <c r="J105" s="11"/>
      <c r="K105" s="12"/>
      <c r="L105" s="12">
        <f t="shared" ref="L105:L110" si="5">F105/H105</f>
        <v>2.0299674267100976</v>
      </c>
    </row>
    <row r="106" spans="1:12" ht="14" x14ac:dyDescent="0.15">
      <c r="A106" s="16" t="s">
        <v>159</v>
      </c>
      <c r="B106" s="16" t="s">
        <v>161</v>
      </c>
      <c r="C106" s="16" t="s">
        <v>162</v>
      </c>
      <c r="D106" s="17">
        <v>167</v>
      </c>
      <c r="E106" s="18">
        <v>0</v>
      </c>
      <c r="F106" s="18">
        <v>167</v>
      </c>
      <c r="G106" s="12"/>
      <c r="H106" s="18">
        <v>81</v>
      </c>
      <c r="I106" s="11"/>
      <c r="J106" s="11"/>
      <c r="K106" s="12"/>
      <c r="L106" s="12">
        <f t="shared" si="5"/>
        <v>2.0617283950617282</v>
      </c>
    </row>
    <row r="107" spans="1:12" ht="14" x14ac:dyDescent="0.15">
      <c r="A107" s="16" t="s">
        <v>159</v>
      </c>
      <c r="B107" s="16" t="s">
        <v>163</v>
      </c>
      <c r="C107" s="16" t="s">
        <v>164</v>
      </c>
      <c r="D107" s="17">
        <v>318</v>
      </c>
      <c r="E107" s="18">
        <v>0</v>
      </c>
      <c r="F107" s="18">
        <v>318</v>
      </c>
      <c r="G107" s="12"/>
      <c r="H107" s="18">
        <v>155</v>
      </c>
      <c r="I107" s="11"/>
      <c r="J107" s="11"/>
      <c r="K107" s="12"/>
      <c r="L107" s="12">
        <f t="shared" si="5"/>
        <v>2.0516129032258066</v>
      </c>
    </row>
    <row r="108" spans="1:12" ht="14" x14ac:dyDescent="0.15">
      <c r="A108" s="16" t="s">
        <v>159</v>
      </c>
      <c r="B108" s="16" t="s">
        <v>165</v>
      </c>
      <c r="C108" s="16" t="s">
        <v>166</v>
      </c>
      <c r="D108" s="17">
        <v>1108</v>
      </c>
      <c r="E108" s="18">
        <v>40</v>
      </c>
      <c r="F108" s="18">
        <v>1068</v>
      </c>
      <c r="G108" s="12"/>
      <c r="H108" s="18">
        <v>537</v>
      </c>
      <c r="I108" s="11"/>
      <c r="J108" s="11"/>
      <c r="K108" s="12"/>
      <c r="L108" s="12">
        <f t="shared" si="5"/>
        <v>1.988826815642458</v>
      </c>
    </row>
    <row r="109" spans="1:12" ht="14" x14ac:dyDescent="0.15">
      <c r="A109" s="16" t="s">
        <v>159</v>
      </c>
      <c r="B109" s="16" t="s">
        <v>167</v>
      </c>
      <c r="C109" s="16" t="s">
        <v>168</v>
      </c>
      <c r="D109" s="17">
        <v>263</v>
      </c>
      <c r="E109" s="18">
        <v>0</v>
      </c>
      <c r="F109" s="18">
        <v>263</v>
      </c>
      <c r="G109" s="12"/>
      <c r="H109" s="18">
        <v>150</v>
      </c>
      <c r="I109" s="11"/>
      <c r="J109" s="11"/>
      <c r="K109" s="12"/>
      <c r="L109" s="12">
        <f t="shared" si="5"/>
        <v>1.7533333333333334</v>
      </c>
    </row>
    <row r="110" spans="1:12" ht="14" x14ac:dyDescent="0.15">
      <c r="A110" s="16" t="s">
        <v>159</v>
      </c>
      <c r="B110" s="16" t="s">
        <v>35</v>
      </c>
      <c r="C110" s="16" t="s">
        <v>36</v>
      </c>
      <c r="D110" s="17">
        <v>3764</v>
      </c>
      <c r="E110" s="18">
        <v>2464</v>
      </c>
      <c r="F110" s="18">
        <v>1300</v>
      </c>
      <c r="G110" s="12"/>
      <c r="H110" s="18">
        <v>612</v>
      </c>
      <c r="I110" s="11"/>
      <c r="J110" s="11"/>
      <c r="K110" s="12"/>
      <c r="L110" s="12">
        <f t="shared" si="5"/>
        <v>2.1241830065359477</v>
      </c>
    </row>
    <row r="111" spans="1:12" ht="14" x14ac:dyDescent="0.15">
      <c r="A111" s="16" t="s">
        <v>159</v>
      </c>
      <c r="B111" s="16" t="s">
        <v>708</v>
      </c>
      <c r="C111" s="16"/>
      <c r="D111" s="13"/>
      <c r="E111" s="13"/>
      <c r="F111" s="13"/>
      <c r="G111" s="14"/>
      <c r="H111" s="13"/>
      <c r="I111" s="13"/>
      <c r="J111" s="13"/>
      <c r="K111" s="14"/>
      <c r="L111" s="12"/>
    </row>
    <row r="112" spans="1:12" ht="14" x14ac:dyDescent="0.15">
      <c r="A112" s="16" t="s">
        <v>169</v>
      </c>
      <c r="B112" s="16" t="s">
        <v>11</v>
      </c>
      <c r="C112" s="16" t="s">
        <v>170</v>
      </c>
      <c r="D112" s="17">
        <v>5338</v>
      </c>
      <c r="E112" s="18">
        <v>3</v>
      </c>
      <c r="F112" s="18">
        <v>5335</v>
      </c>
      <c r="G112" s="12"/>
      <c r="H112" s="18">
        <v>4470</v>
      </c>
      <c r="I112" s="11"/>
      <c r="J112" s="11"/>
      <c r="K112" s="12"/>
      <c r="L112" s="12">
        <f>F112/H112</f>
        <v>1.1935123042505593</v>
      </c>
    </row>
    <row r="113" spans="1:12" ht="14" x14ac:dyDescent="0.15">
      <c r="A113" s="16" t="s">
        <v>169</v>
      </c>
      <c r="B113" s="16" t="s">
        <v>171</v>
      </c>
      <c r="C113" s="16" t="s">
        <v>172</v>
      </c>
      <c r="D113" s="17">
        <v>681</v>
      </c>
      <c r="E113" s="18">
        <v>0</v>
      </c>
      <c r="F113" s="18">
        <v>681</v>
      </c>
      <c r="G113" s="12"/>
      <c r="H113" s="18">
        <v>425</v>
      </c>
      <c r="I113" s="11"/>
      <c r="J113" s="11"/>
      <c r="K113" s="12"/>
      <c r="L113" s="12">
        <f>F113/H113</f>
        <v>1.6023529411764705</v>
      </c>
    </row>
    <row r="114" spans="1:12" ht="14" x14ac:dyDescent="0.15">
      <c r="A114" s="16" t="s">
        <v>169</v>
      </c>
      <c r="B114" s="16" t="s">
        <v>173</v>
      </c>
      <c r="C114" s="16" t="s">
        <v>174</v>
      </c>
      <c r="D114" s="17">
        <v>486</v>
      </c>
      <c r="E114" s="18">
        <v>3</v>
      </c>
      <c r="F114" s="18">
        <v>483</v>
      </c>
      <c r="G114" s="12"/>
      <c r="H114" s="18">
        <v>340</v>
      </c>
      <c r="I114" s="11"/>
      <c r="J114" s="11"/>
      <c r="K114" s="12"/>
      <c r="L114" s="12">
        <f>F114/H114</f>
        <v>1.4205882352941177</v>
      </c>
    </row>
    <row r="115" spans="1:12" ht="14" x14ac:dyDescent="0.15">
      <c r="A115" s="16" t="s">
        <v>169</v>
      </c>
      <c r="B115" s="16" t="s">
        <v>35</v>
      </c>
      <c r="C115" s="16" t="s">
        <v>36</v>
      </c>
      <c r="D115" s="17">
        <v>4171</v>
      </c>
      <c r="E115" s="18">
        <v>0</v>
      </c>
      <c r="F115" s="18">
        <v>4171</v>
      </c>
      <c r="G115" s="12"/>
      <c r="H115" s="18">
        <v>3706</v>
      </c>
      <c r="I115" s="11"/>
      <c r="J115" s="11"/>
      <c r="K115" s="12"/>
      <c r="L115" s="12">
        <f>F115/H115</f>
        <v>1.1254722072315164</v>
      </c>
    </row>
    <row r="116" spans="1:12" ht="14" x14ac:dyDescent="0.15">
      <c r="A116" s="16" t="s">
        <v>169</v>
      </c>
      <c r="B116" s="16" t="s">
        <v>708</v>
      </c>
      <c r="C116" s="16"/>
      <c r="D116" s="13"/>
      <c r="E116" s="13"/>
      <c r="F116" s="13"/>
      <c r="G116" s="14"/>
      <c r="H116" s="13"/>
      <c r="I116" s="13"/>
      <c r="J116" s="13"/>
      <c r="K116" s="14"/>
      <c r="L116" s="12"/>
    </row>
    <row r="117" spans="1:12" ht="14" x14ac:dyDescent="0.15">
      <c r="A117" s="16" t="s">
        <v>175</v>
      </c>
      <c r="B117" s="16" t="s">
        <v>11</v>
      </c>
      <c r="C117" s="16" t="s">
        <v>176</v>
      </c>
      <c r="D117" s="17">
        <v>31581</v>
      </c>
      <c r="E117" s="18">
        <v>495</v>
      </c>
      <c r="F117" s="18">
        <v>31086</v>
      </c>
      <c r="G117" s="12"/>
      <c r="H117" s="18">
        <v>15081</v>
      </c>
      <c r="I117" s="11"/>
      <c r="J117" s="11"/>
      <c r="K117" s="12"/>
      <c r="L117" s="12">
        <f t="shared" ref="L117:L124" si="6">F117/H117</f>
        <v>2.0612691466083151</v>
      </c>
    </row>
    <row r="118" spans="1:12" ht="14" x14ac:dyDescent="0.15">
      <c r="A118" s="16" t="s">
        <v>175</v>
      </c>
      <c r="B118" s="16" t="s">
        <v>177</v>
      </c>
      <c r="C118" s="16" t="s">
        <v>178</v>
      </c>
      <c r="D118" s="17">
        <v>2365</v>
      </c>
      <c r="E118" s="18">
        <v>0</v>
      </c>
      <c r="F118" s="18">
        <v>2365</v>
      </c>
      <c r="G118" s="12"/>
      <c r="H118" s="18">
        <v>1245</v>
      </c>
      <c r="I118" s="11"/>
      <c r="J118" s="11"/>
      <c r="K118" s="12"/>
      <c r="L118" s="12">
        <f t="shared" si="6"/>
        <v>1.8995983935742973</v>
      </c>
    </row>
    <row r="119" spans="1:12" ht="14" x14ac:dyDescent="0.15">
      <c r="A119" s="16" t="s">
        <v>175</v>
      </c>
      <c r="B119" s="16" t="s">
        <v>179</v>
      </c>
      <c r="C119" s="16" t="s">
        <v>180</v>
      </c>
      <c r="D119" s="17">
        <v>407</v>
      </c>
      <c r="E119" s="18">
        <v>0</v>
      </c>
      <c r="F119" s="18">
        <v>407</v>
      </c>
      <c r="G119" s="12"/>
      <c r="H119" s="18">
        <v>216</v>
      </c>
      <c r="I119" s="11"/>
      <c r="J119" s="11"/>
      <c r="K119" s="12"/>
      <c r="L119" s="12">
        <f t="shared" si="6"/>
        <v>1.8842592592592593</v>
      </c>
    </row>
    <row r="120" spans="1:12" ht="14" x14ac:dyDescent="0.15">
      <c r="A120" s="16" t="s">
        <v>175</v>
      </c>
      <c r="B120" s="16" t="s">
        <v>181</v>
      </c>
      <c r="C120" s="16" t="s">
        <v>182</v>
      </c>
      <c r="D120" s="17">
        <v>9468</v>
      </c>
      <c r="E120" s="18">
        <v>149</v>
      </c>
      <c r="F120" s="18">
        <v>9319</v>
      </c>
      <c r="G120" s="12"/>
      <c r="H120" s="18">
        <v>4130</v>
      </c>
      <c r="I120" s="11"/>
      <c r="J120" s="11"/>
      <c r="K120" s="12"/>
      <c r="L120" s="12">
        <f t="shared" si="6"/>
        <v>2.256416464891041</v>
      </c>
    </row>
    <row r="121" spans="1:12" ht="14" x14ac:dyDescent="0.15">
      <c r="A121" s="16" t="s">
        <v>175</v>
      </c>
      <c r="B121" s="16" t="s">
        <v>183</v>
      </c>
      <c r="C121" s="16" t="s">
        <v>184</v>
      </c>
      <c r="D121" s="17">
        <v>901</v>
      </c>
      <c r="E121" s="18">
        <v>0</v>
      </c>
      <c r="F121" s="18">
        <v>901</v>
      </c>
      <c r="G121" s="12"/>
      <c r="H121" s="18">
        <v>445</v>
      </c>
      <c r="I121" s="11"/>
      <c r="J121" s="11"/>
      <c r="K121" s="12"/>
      <c r="L121" s="12">
        <f t="shared" si="6"/>
        <v>2.0247191011235954</v>
      </c>
    </row>
    <row r="122" spans="1:12" ht="14" x14ac:dyDescent="0.15">
      <c r="A122" s="16" t="s">
        <v>175</v>
      </c>
      <c r="B122" s="16" t="s">
        <v>185</v>
      </c>
      <c r="C122" s="16" t="s">
        <v>186</v>
      </c>
      <c r="D122" s="17">
        <v>3214</v>
      </c>
      <c r="E122" s="18">
        <v>52</v>
      </c>
      <c r="F122" s="18">
        <v>3162</v>
      </c>
      <c r="G122" s="12"/>
      <c r="H122" s="18">
        <v>1499</v>
      </c>
      <c r="I122" s="11"/>
      <c r="J122" s="11"/>
      <c r="K122" s="12"/>
      <c r="L122" s="12">
        <f t="shared" si="6"/>
        <v>2.1094062708472316</v>
      </c>
    </row>
    <row r="123" spans="1:12" ht="14" x14ac:dyDescent="0.15">
      <c r="A123" s="16" t="s">
        <v>175</v>
      </c>
      <c r="B123" s="16" t="s">
        <v>187</v>
      </c>
      <c r="C123" s="16" t="s">
        <v>188</v>
      </c>
      <c r="D123" s="17">
        <v>1461</v>
      </c>
      <c r="E123" s="18">
        <v>61</v>
      </c>
      <c r="F123" s="18">
        <v>1400</v>
      </c>
      <c r="G123" s="12"/>
      <c r="H123" s="18">
        <v>758</v>
      </c>
      <c r="I123" s="11"/>
      <c r="J123" s="11"/>
      <c r="K123" s="12"/>
      <c r="L123" s="12">
        <f t="shared" si="6"/>
        <v>1.8469656992084433</v>
      </c>
    </row>
    <row r="124" spans="1:12" ht="14" x14ac:dyDescent="0.15">
      <c r="A124" s="16" t="s">
        <v>175</v>
      </c>
      <c r="B124" s="16" t="s">
        <v>35</v>
      </c>
      <c r="C124" s="16" t="s">
        <v>36</v>
      </c>
      <c r="D124" s="17">
        <v>13765</v>
      </c>
      <c r="E124" s="18">
        <v>233</v>
      </c>
      <c r="F124" s="18">
        <v>13532</v>
      </c>
      <c r="G124" s="12"/>
      <c r="H124" s="18">
        <v>6789</v>
      </c>
      <c r="I124" s="11"/>
      <c r="J124" s="11"/>
      <c r="K124" s="12"/>
      <c r="L124" s="12">
        <f t="shared" si="6"/>
        <v>1.9932243334806303</v>
      </c>
    </row>
    <row r="125" spans="1:12" ht="14" x14ac:dyDescent="0.15">
      <c r="A125" s="16" t="s">
        <v>175</v>
      </c>
      <c r="B125" s="16" t="s">
        <v>708</v>
      </c>
      <c r="C125" s="16"/>
      <c r="D125" s="13"/>
      <c r="E125" s="13"/>
      <c r="F125" s="13"/>
      <c r="G125" s="14"/>
      <c r="H125" s="13"/>
      <c r="I125" s="13"/>
      <c r="J125" s="13"/>
      <c r="K125" s="14"/>
      <c r="L125" s="12"/>
    </row>
    <row r="126" spans="1:12" ht="14" x14ac:dyDescent="0.15">
      <c r="A126" s="16" t="s">
        <v>189</v>
      </c>
      <c r="B126" s="16" t="s">
        <v>11</v>
      </c>
      <c r="C126" s="16" t="s">
        <v>190</v>
      </c>
      <c r="D126" s="17">
        <v>712637</v>
      </c>
      <c r="E126" s="18">
        <v>15394</v>
      </c>
      <c r="F126" s="18">
        <v>697243</v>
      </c>
      <c r="G126" s="12"/>
      <c r="H126" s="18">
        <v>360938</v>
      </c>
      <c r="I126" s="11"/>
      <c r="J126" s="11"/>
      <c r="K126" s="12"/>
      <c r="L126" s="12">
        <f>F126/H126</f>
        <v>1.9317528218142728</v>
      </c>
    </row>
    <row r="127" spans="1:12" ht="14" x14ac:dyDescent="0.15">
      <c r="A127" s="16" t="s">
        <v>189</v>
      </c>
      <c r="B127" s="16" t="s">
        <v>191</v>
      </c>
      <c r="C127" s="16" t="s">
        <v>192</v>
      </c>
      <c r="D127" s="17">
        <v>712637</v>
      </c>
      <c r="E127" s="18">
        <v>15394</v>
      </c>
      <c r="F127" s="18">
        <v>697243</v>
      </c>
      <c r="G127" s="12"/>
      <c r="H127" s="18">
        <v>360938</v>
      </c>
      <c r="I127" s="11"/>
      <c r="J127" s="11"/>
      <c r="K127" s="12"/>
      <c r="L127" s="12">
        <f>F127/H127</f>
        <v>1.9317528218142728</v>
      </c>
    </row>
    <row r="128" spans="1:12" ht="14" x14ac:dyDescent="0.15">
      <c r="A128" s="16" t="s">
        <v>189</v>
      </c>
      <c r="B128" s="16" t="s">
        <v>708</v>
      </c>
      <c r="C128" s="16"/>
      <c r="D128" s="17"/>
      <c r="E128" s="11"/>
      <c r="F128" s="11"/>
      <c r="G128" s="12"/>
      <c r="H128" s="11"/>
      <c r="I128" s="11"/>
      <c r="J128" s="11"/>
      <c r="K128" s="12"/>
      <c r="L128" s="12"/>
    </row>
    <row r="129" spans="1:12" ht="14" x14ac:dyDescent="0.15">
      <c r="A129" s="16" t="s">
        <v>193</v>
      </c>
      <c r="B129" s="16" t="s">
        <v>11</v>
      </c>
      <c r="C129" s="16" t="s">
        <v>194</v>
      </c>
      <c r="D129" s="17">
        <v>2203</v>
      </c>
      <c r="E129" s="18">
        <v>0</v>
      </c>
      <c r="F129" s="18">
        <v>2203</v>
      </c>
      <c r="G129" s="12"/>
      <c r="H129" s="18">
        <v>1357</v>
      </c>
      <c r="I129" s="11"/>
      <c r="J129" s="11"/>
      <c r="K129" s="12"/>
      <c r="L129" s="12">
        <f>F129/H129</f>
        <v>1.6234340456890199</v>
      </c>
    </row>
    <row r="130" spans="1:12" ht="14" x14ac:dyDescent="0.15">
      <c r="A130" s="16" t="s">
        <v>193</v>
      </c>
      <c r="B130" s="16" t="s">
        <v>195</v>
      </c>
      <c r="C130" s="16" t="s">
        <v>196</v>
      </c>
      <c r="D130" s="17">
        <v>658</v>
      </c>
      <c r="E130" s="18">
        <v>0</v>
      </c>
      <c r="F130" s="18">
        <v>658</v>
      </c>
      <c r="G130" s="12"/>
      <c r="H130" s="18">
        <v>331</v>
      </c>
      <c r="I130" s="11"/>
      <c r="J130" s="11"/>
      <c r="K130" s="12"/>
      <c r="L130" s="12">
        <f>F130/H130</f>
        <v>1.987915407854985</v>
      </c>
    </row>
    <row r="131" spans="1:12" ht="14" x14ac:dyDescent="0.15">
      <c r="A131" s="16" t="s">
        <v>193</v>
      </c>
      <c r="B131" s="16" t="s">
        <v>197</v>
      </c>
      <c r="C131" s="16" t="s">
        <v>198</v>
      </c>
      <c r="D131" s="17">
        <v>316</v>
      </c>
      <c r="E131" s="18">
        <v>0</v>
      </c>
      <c r="F131" s="18">
        <v>316</v>
      </c>
      <c r="G131" s="12"/>
      <c r="H131" s="18">
        <v>237</v>
      </c>
      <c r="I131" s="11"/>
      <c r="J131" s="11"/>
      <c r="K131" s="12"/>
      <c r="L131" s="12">
        <f>F131/H131</f>
        <v>1.3333333333333333</v>
      </c>
    </row>
    <row r="132" spans="1:12" ht="14" x14ac:dyDescent="0.15">
      <c r="A132" s="16" t="s">
        <v>193</v>
      </c>
      <c r="B132" s="16" t="s">
        <v>35</v>
      </c>
      <c r="C132" s="16" t="s">
        <v>36</v>
      </c>
      <c r="D132" s="17">
        <v>1229</v>
      </c>
      <c r="E132" s="18">
        <v>0</v>
      </c>
      <c r="F132" s="18">
        <v>1229</v>
      </c>
      <c r="G132" s="12"/>
      <c r="H132" s="18">
        <v>789</v>
      </c>
      <c r="I132" s="11"/>
      <c r="J132" s="11"/>
      <c r="K132" s="12"/>
      <c r="L132" s="12">
        <f>F132/H132</f>
        <v>1.5576679340937896</v>
      </c>
    </row>
    <row r="133" spans="1:12" ht="14" x14ac:dyDescent="0.15">
      <c r="A133" s="16" t="s">
        <v>193</v>
      </c>
      <c r="B133" s="16" t="s">
        <v>708</v>
      </c>
      <c r="C133" s="16"/>
      <c r="D133" s="13"/>
      <c r="E133" s="13"/>
      <c r="F133" s="13"/>
      <c r="G133" s="14"/>
      <c r="H133" s="13"/>
      <c r="I133" s="13"/>
      <c r="J133" s="13"/>
      <c r="K133" s="14"/>
      <c r="L133" s="12"/>
    </row>
    <row r="134" spans="1:12" ht="14" x14ac:dyDescent="0.15">
      <c r="A134" s="16" t="s">
        <v>199</v>
      </c>
      <c r="B134" s="16" t="s">
        <v>11</v>
      </c>
      <c r="C134" s="16" t="s">
        <v>200</v>
      </c>
      <c r="D134" s="17">
        <v>376026</v>
      </c>
      <c r="E134" s="18">
        <v>1622</v>
      </c>
      <c r="F134" s="18">
        <v>374404</v>
      </c>
      <c r="G134" s="12"/>
      <c r="H134" s="18">
        <v>145974</v>
      </c>
      <c r="I134" s="11"/>
      <c r="J134" s="11"/>
      <c r="K134" s="12"/>
      <c r="L134" s="12">
        <f t="shared" ref="L134:L142" si="7">F134/H134</f>
        <v>2.5648677161686328</v>
      </c>
    </row>
    <row r="135" spans="1:12" ht="14" x14ac:dyDescent="0.15">
      <c r="A135" s="16" t="s">
        <v>199</v>
      </c>
      <c r="B135" s="16" t="s">
        <v>17</v>
      </c>
      <c r="C135" s="16" t="s">
        <v>18</v>
      </c>
      <c r="D135" s="17">
        <v>3464</v>
      </c>
      <c r="E135" s="18">
        <v>0</v>
      </c>
      <c r="F135" s="18">
        <v>3464</v>
      </c>
      <c r="G135" s="12"/>
      <c r="H135" s="18">
        <v>1705</v>
      </c>
      <c r="I135" s="11"/>
      <c r="J135" s="11"/>
      <c r="K135" s="12"/>
      <c r="L135" s="12">
        <f t="shared" si="7"/>
        <v>2.0316715542521995</v>
      </c>
    </row>
    <row r="136" spans="1:12" ht="14" x14ac:dyDescent="0.15">
      <c r="A136" s="16" t="s">
        <v>199</v>
      </c>
      <c r="B136" s="16" t="s">
        <v>201</v>
      </c>
      <c r="C136" s="16" t="s">
        <v>202</v>
      </c>
      <c r="D136" s="17">
        <v>12879</v>
      </c>
      <c r="E136" s="18">
        <v>33</v>
      </c>
      <c r="F136" s="18">
        <v>12846</v>
      </c>
      <c r="G136" s="12"/>
      <c r="H136" s="18">
        <v>5028</v>
      </c>
      <c r="I136" s="11"/>
      <c r="J136" s="11"/>
      <c r="K136" s="12"/>
      <c r="L136" s="12">
        <f t="shared" si="7"/>
        <v>2.5548926014319808</v>
      </c>
    </row>
    <row r="137" spans="1:12" ht="14" x14ac:dyDescent="0.15">
      <c r="A137" s="16" t="s">
        <v>199</v>
      </c>
      <c r="B137" s="16" t="s">
        <v>203</v>
      </c>
      <c r="C137" s="16" t="s">
        <v>204</v>
      </c>
      <c r="D137" s="17">
        <v>79084</v>
      </c>
      <c r="E137" s="18">
        <v>560</v>
      </c>
      <c r="F137" s="18">
        <v>78524</v>
      </c>
      <c r="G137" s="12"/>
      <c r="H137" s="18">
        <v>29871</v>
      </c>
      <c r="I137" s="11"/>
      <c r="J137" s="11"/>
      <c r="K137" s="12"/>
      <c r="L137" s="12">
        <f t="shared" si="7"/>
        <v>2.6287703792976465</v>
      </c>
    </row>
    <row r="138" spans="1:12" ht="14" x14ac:dyDescent="0.15">
      <c r="A138" s="16" t="s">
        <v>199</v>
      </c>
      <c r="B138" s="16" t="s">
        <v>205</v>
      </c>
      <c r="C138" s="16" t="s">
        <v>206</v>
      </c>
      <c r="D138" s="17">
        <v>210</v>
      </c>
      <c r="E138" s="18">
        <v>0</v>
      </c>
      <c r="F138" s="18">
        <v>210</v>
      </c>
      <c r="G138" s="12"/>
      <c r="H138" s="18">
        <v>108</v>
      </c>
      <c r="I138" s="11"/>
      <c r="J138" s="11"/>
      <c r="K138" s="12"/>
      <c r="L138" s="12">
        <f t="shared" si="7"/>
        <v>1.9444444444444444</v>
      </c>
    </row>
    <row r="139" spans="1:12" ht="14" x14ac:dyDescent="0.15">
      <c r="A139" s="16" t="s">
        <v>199</v>
      </c>
      <c r="B139" s="16" t="s">
        <v>63</v>
      </c>
      <c r="C139" s="16" t="s">
        <v>64</v>
      </c>
      <c r="D139" s="17">
        <v>640</v>
      </c>
      <c r="E139" s="18">
        <v>0</v>
      </c>
      <c r="F139" s="18">
        <v>640</v>
      </c>
      <c r="G139" s="12"/>
      <c r="H139" s="18">
        <v>415</v>
      </c>
      <c r="I139" s="11"/>
      <c r="J139" s="11"/>
      <c r="K139" s="12"/>
      <c r="L139" s="12">
        <f t="shared" si="7"/>
        <v>1.5421686746987953</v>
      </c>
    </row>
    <row r="140" spans="1:12" ht="14" x14ac:dyDescent="0.15">
      <c r="A140" s="16" t="s">
        <v>199</v>
      </c>
      <c r="B140" s="16" t="s">
        <v>207</v>
      </c>
      <c r="C140" s="16" t="s">
        <v>208</v>
      </c>
      <c r="D140" s="17">
        <v>14588</v>
      </c>
      <c r="E140" s="18">
        <v>163</v>
      </c>
      <c r="F140" s="18">
        <v>14425</v>
      </c>
      <c r="G140" s="12"/>
      <c r="H140" s="18">
        <v>6942</v>
      </c>
      <c r="I140" s="11"/>
      <c r="J140" s="11"/>
      <c r="K140" s="12"/>
      <c r="L140" s="12">
        <f t="shared" si="7"/>
        <v>2.0779314318640161</v>
      </c>
    </row>
    <row r="141" spans="1:12" ht="14" x14ac:dyDescent="0.15">
      <c r="A141" s="16" t="s">
        <v>199</v>
      </c>
      <c r="B141" s="16" t="s">
        <v>209</v>
      </c>
      <c r="C141" s="16" t="s">
        <v>210</v>
      </c>
      <c r="D141" s="17">
        <v>61617</v>
      </c>
      <c r="E141" s="18">
        <v>312</v>
      </c>
      <c r="F141" s="18">
        <v>61305</v>
      </c>
      <c r="G141" s="12"/>
      <c r="H141" s="18">
        <v>23216</v>
      </c>
      <c r="I141" s="11"/>
      <c r="J141" s="11"/>
      <c r="K141" s="12"/>
      <c r="L141" s="12">
        <f t="shared" si="7"/>
        <v>2.6406357684355615</v>
      </c>
    </row>
    <row r="142" spans="1:12" ht="14" x14ac:dyDescent="0.15">
      <c r="A142" s="16" t="s">
        <v>199</v>
      </c>
      <c r="B142" s="16" t="s">
        <v>35</v>
      </c>
      <c r="C142" s="16" t="s">
        <v>36</v>
      </c>
      <c r="D142" s="17">
        <v>203544</v>
      </c>
      <c r="E142" s="18">
        <v>554</v>
      </c>
      <c r="F142" s="18">
        <v>202990</v>
      </c>
      <c r="G142" s="12"/>
      <c r="H142" s="18">
        <v>78690</v>
      </c>
      <c r="I142" s="11"/>
      <c r="J142" s="11"/>
      <c r="K142" s="12"/>
      <c r="L142" s="12">
        <f t="shared" si="7"/>
        <v>2.5796162155292923</v>
      </c>
    </row>
    <row r="143" spans="1:12" ht="14" x14ac:dyDescent="0.15">
      <c r="A143" s="16" t="s">
        <v>199</v>
      </c>
      <c r="B143" s="16" t="s">
        <v>708</v>
      </c>
      <c r="C143" s="16"/>
      <c r="D143" s="17"/>
      <c r="E143" s="13"/>
      <c r="F143" s="13"/>
      <c r="G143" s="14"/>
      <c r="H143" s="13"/>
      <c r="I143" s="13"/>
      <c r="J143" s="13"/>
      <c r="K143" s="14"/>
      <c r="L143" s="12"/>
    </row>
    <row r="144" spans="1:12" ht="14" x14ac:dyDescent="0.15">
      <c r="A144" s="16" t="s">
        <v>211</v>
      </c>
      <c r="B144" s="16" t="s">
        <v>11</v>
      </c>
      <c r="C144" s="16" t="s">
        <v>212</v>
      </c>
      <c r="D144" s="17">
        <v>55291</v>
      </c>
      <c r="E144" s="18">
        <v>101</v>
      </c>
      <c r="F144" s="18">
        <v>55190</v>
      </c>
      <c r="G144" s="12"/>
      <c r="H144" s="18">
        <v>34333</v>
      </c>
      <c r="I144" s="11"/>
      <c r="J144" s="11"/>
      <c r="K144" s="12"/>
      <c r="L144" s="12">
        <f t="shared" ref="L144:L152" si="8">F144/H144</f>
        <v>1.6074913348673288</v>
      </c>
    </row>
    <row r="145" spans="1:12" ht="14" x14ac:dyDescent="0.15">
      <c r="A145" s="16" t="s">
        <v>211</v>
      </c>
      <c r="B145" s="16" t="s">
        <v>213</v>
      </c>
      <c r="C145" s="16" t="s">
        <v>214</v>
      </c>
      <c r="D145" s="17">
        <v>5978</v>
      </c>
      <c r="E145" s="18">
        <v>0</v>
      </c>
      <c r="F145" s="18">
        <v>5978</v>
      </c>
      <c r="G145" s="12"/>
      <c r="H145" s="18">
        <v>4175</v>
      </c>
      <c r="I145" s="11"/>
      <c r="J145" s="11"/>
      <c r="K145" s="12"/>
      <c r="L145" s="12">
        <f t="shared" si="8"/>
        <v>1.4318562874251497</v>
      </c>
    </row>
    <row r="146" spans="1:12" ht="14" x14ac:dyDescent="0.15">
      <c r="A146" s="16" t="s">
        <v>211</v>
      </c>
      <c r="B146" s="16" t="s">
        <v>215</v>
      </c>
      <c r="C146" s="16" t="s">
        <v>216</v>
      </c>
      <c r="D146" s="17">
        <v>2909</v>
      </c>
      <c r="E146" s="18">
        <v>0</v>
      </c>
      <c r="F146" s="18">
        <v>2909</v>
      </c>
      <c r="G146" s="12"/>
      <c r="H146" s="18">
        <v>1593</v>
      </c>
      <c r="I146" s="11"/>
      <c r="J146" s="11"/>
      <c r="K146" s="12"/>
      <c r="L146" s="12">
        <f t="shared" si="8"/>
        <v>1.8261142498430634</v>
      </c>
    </row>
    <row r="147" spans="1:12" ht="14" x14ac:dyDescent="0.15">
      <c r="A147" s="16" t="s">
        <v>211</v>
      </c>
      <c r="B147" s="16" t="s">
        <v>217</v>
      </c>
      <c r="C147" s="16" t="s">
        <v>218</v>
      </c>
      <c r="D147" s="17">
        <v>7488</v>
      </c>
      <c r="E147" s="18">
        <v>83</v>
      </c>
      <c r="F147" s="18">
        <v>7405</v>
      </c>
      <c r="G147" s="12"/>
      <c r="H147" s="18">
        <v>2796</v>
      </c>
      <c r="I147" s="11"/>
      <c r="J147" s="11"/>
      <c r="K147" s="12"/>
      <c r="L147" s="12">
        <f t="shared" si="8"/>
        <v>2.6484263233190273</v>
      </c>
    </row>
    <row r="148" spans="1:12" ht="14" x14ac:dyDescent="0.15">
      <c r="A148" s="16" t="s">
        <v>211</v>
      </c>
      <c r="B148" s="16" t="s">
        <v>219</v>
      </c>
      <c r="C148" s="16" t="s">
        <v>220</v>
      </c>
      <c r="D148" s="17">
        <v>7927</v>
      </c>
      <c r="E148" s="18">
        <v>0</v>
      </c>
      <c r="F148" s="18">
        <v>7927</v>
      </c>
      <c r="G148" s="12"/>
      <c r="H148" s="18">
        <v>3177</v>
      </c>
      <c r="I148" s="11"/>
      <c r="J148" s="11"/>
      <c r="K148" s="12"/>
      <c r="L148" s="12">
        <f t="shared" si="8"/>
        <v>2.4951211835064528</v>
      </c>
    </row>
    <row r="149" spans="1:12" ht="14" x14ac:dyDescent="0.15">
      <c r="A149" s="16" t="s">
        <v>211</v>
      </c>
      <c r="B149" s="16" t="s">
        <v>221</v>
      </c>
      <c r="C149" s="16" t="s">
        <v>222</v>
      </c>
      <c r="D149" s="17">
        <v>1025</v>
      </c>
      <c r="E149" s="18">
        <v>0</v>
      </c>
      <c r="F149" s="18">
        <v>1025</v>
      </c>
      <c r="G149" s="12"/>
      <c r="H149" s="18">
        <v>566</v>
      </c>
      <c r="I149" s="11"/>
      <c r="J149" s="11"/>
      <c r="K149" s="12"/>
      <c r="L149" s="12">
        <f t="shared" si="8"/>
        <v>1.8109540636042403</v>
      </c>
    </row>
    <row r="150" spans="1:12" ht="14" x14ac:dyDescent="0.15">
      <c r="A150" s="16" t="s">
        <v>211</v>
      </c>
      <c r="B150" s="16" t="s">
        <v>223</v>
      </c>
      <c r="C150" s="16" t="s">
        <v>224</v>
      </c>
      <c r="D150" s="17">
        <v>254</v>
      </c>
      <c r="E150" s="18">
        <v>0</v>
      </c>
      <c r="F150" s="18">
        <v>254</v>
      </c>
      <c r="G150" s="12"/>
      <c r="H150" s="18">
        <v>139</v>
      </c>
      <c r="I150" s="11"/>
      <c r="J150" s="11"/>
      <c r="K150" s="12"/>
      <c r="L150" s="12">
        <f t="shared" si="8"/>
        <v>1.8273381294964028</v>
      </c>
    </row>
    <row r="151" spans="1:12" ht="14" x14ac:dyDescent="0.15">
      <c r="A151" s="16" t="s">
        <v>211</v>
      </c>
      <c r="B151" s="16" t="s">
        <v>225</v>
      </c>
      <c r="C151" s="16" t="s">
        <v>226</v>
      </c>
      <c r="D151" s="17">
        <v>4804</v>
      </c>
      <c r="E151" s="18">
        <v>8</v>
      </c>
      <c r="F151" s="18">
        <v>4796</v>
      </c>
      <c r="G151" s="12"/>
      <c r="H151" s="18">
        <v>7331</v>
      </c>
      <c r="I151" s="11"/>
      <c r="J151" s="11"/>
      <c r="K151" s="12"/>
      <c r="L151" s="12">
        <f t="shared" si="8"/>
        <v>0.65420815714090852</v>
      </c>
    </row>
    <row r="152" spans="1:12" ht="14" x14ac:dyDescent="0.15">
      <c r="A152" s="16" t="s">
        <v>211</v>
      </c>
      <c r="B152" s="16" t="s">
        <v>35</v>
      </c>
      <c r="C152" s="16" t="s">
        <v>36</v>
      </c>
      <c r="D152" s="17">
        <v>24906</v>
      </c>
      <c r="E152" s="18">
        <v>10</v>
      </c>
      <c r="F152" s="18">
        <v>24896</v>
      </c>
      <c r="G152" s="12"/>
      <c r="H152" s="18">
        <v>14556</v>
      </c>
      <c r="I152" s="11"/>
      <c r="J152" s="11"/>
      <c r="K152" s="12"/>
      <c r="L152" s="12">
        <f t="shared" si="8"/>
        <v>1.7103599890079693</v>
      </c>
    </row>
    <row r="153" spans="1:12" ht="14" x14ac:dyDescent="0.15">
      <c r="A153" s="16" t="s">
        <v>211</v>
      </c>
      <c r="B153" s="16" t="s">
        <v>708</v>
      </c>
      <c r="C153" s="16"/>
      <c r="D153" s="17"/>
      <c r="E153" s="13"/>
      <c r="F153" s="13"/>
      <c r="G153" s="14"/>
      <c r="H153" s="13"/>
      <c r="I153" s="13"/>
      <c r="J153" s="13"/>
      <c r="K153" s="14"/>
      <c r="L153" s="12"/>
    </row>
    <row r="154" spans="1:12" ht="14" x14ac:dyDescent="0.15">
      <c r="A154" s="16" t="s">
        <v>227</v>
      </c>
      <c r="B154" s="16" t="s">
        <v>11</v>
      </c>
      <c r="C154" s="16" t="s">
        <v>228</v>
      </c>
      <c r="D154" s="17">
        <v>27821</v>
      </c>
      <c r="E154" s="18">
        <v>59</v>
      </c>
      <c r="F154" s="18">
        <v>27762</v>
      </c>
      <c r="G154" s="12"/>
      <c r="H154" s="18">
        <v>10555</v>
      </c>
      <c r="I154" s="11"/>
      <c r="J154" s="11"/>
      <c r="K154" s="12"/>
      <c r="L154" s="12">
        <f>F154/H154</f>
        <v>2.6302226432970155</v>
      </c>
    </row>
    <row r="155" spans="1:12" ht="14" x14ac:dyDescent="0.15">
      <c r="A155" s="16" t="s">
        <v>227</v>
      </c>
      <c r="B155" s="16" t="s">
        <v>229</v>
      </c>
      <c r="C155" s="16" t="s">
        <v>230</v>
      </c>
      <c r="D155" s="17">
        <v>2258</v>
      </c>
      <c r="E155" s="18">
        <v>13</v>
      </c>
      <c r="F155" s="18">
        <v>2245</v>
      </c>
      <c r="G155" s="12"/>
      <c r="H155" s="18">
        <v>853</v>
      </c>
      <c r="I155" s="11"/>
      <c r="J155" s="11"/>
      <c r="K155" s="12"/>
      <c r="L155" s="12">
        <f>F155/H155</f>
        <v>2.6318874560375147</v>
      </c>
    </row>
    <row r="156" spans="1:12" ht="14" x14ac:dyDescent="0.15">
      <c r="A156" s="16" t="s">
        <v>227</v>
      </c>
      <c r="B156" s="16" t="s">
        <v>231</v>
      </c>
      <c r="C156" s="16" t="s">
        <v>232</v>
      </c>
      <c r="D156" s="17">
        <v>721</v>
      </c>
      <c r="E156" s="18">
        <v>17</v>
      </c>
      <c r="F156" s="18">
        <v>704</v>
      </c>
      <c r="G156" s="12"/>
      <c r="H156" s="18">
        <v>312</v>
      </c>
      <c r="I156" s="11"/>
      <c r="J156" s="11"/>
      <c r="K156" s="12"/>
      <c r="L156" s="12">
        <f>F156/H156</f>
        <v>2.2564102564102564</v>
      </c>
    </row>
    <row r="157" spans="1:12" ht="14" x14ac:dyDescent="0.15">
      <c r="A157" s="16" t="s">
        <v>227</v>
      </c>
      <c r="B157" s="16" t="s">
        <v>233</v>
      </c>
      <c r="C157" s="16" t="s">
        <v>234</v>
      </c>
      <c r="D157" s="17">
        <v>607</v>
      </c>
      <c r="E157" s="18">
        <v>18</v>
      </c>
      <c r="F157" s="18">
        <v>589</v>
      </c>
      <c r="G157" s="12"/>
      <c r="H157" s="18">
        <v>258</v>
      </c>
      <c r="I157" s="11"/>
      <c r="J157" s="11"/>
      <c r="K157" s="12"/>
      <c r="L157" s="12">
        <f>F157/H157</f>
        <v>2.2829457364341086</v>
      </c>
    </row>
    <row r="158" spans="1:12" ht="14" x14ac:dyDescent="0.15">
      <c r="A158" s="16" t="s">
        <v>227</v>
      </c>
      <c r="B158" s="16" t="s">
        <v>35</v>
      </c>
      <c r="C158" s="16" t="s">
        <v>36</v>
      </c>
      <c r="D158" s="17">
        <v>24235</v>
      </c>
      <c r="E158" s="18">
        <v>11</v>
      </c>
      <c r="F158" s="18">
        <v>24224</v>
      </c>
      <c r="G158" s="12"/>
      <c r="H158" s="18">
        <v>9132</v>
      </c>
      <c r="I158" s="11"/>
      <c r="J158" s="11"/>
      <c r="K158" s="12"/>
      <c r="L158" s="12">
        <f>F158/H158</f>
        <v>2.6526500219010076</v>
      </c>
    </row>
    <row r="159" spans="1:12" ht="14" x14ac:dyDescent="0.15">
      <c r="A159" s="16" t="s">
        <v>227</v>
      </c>
      <c r="B159" s="16" t="s">
        <v>708</v>
      </c>
      <c r="C159" s="16"/>
      <c r="D159" s="17"/>
      <c r="E159" s="13"/>
      <c r="F159" s="13"/>
      <c r="G159" s="14"/>
      <c r="H159" s="13"/>
      <c r="I159" s="13"/>
      <c r="J159" s="13"/>
      <c r="K159" s="14"/>
      <c r="L159" s="12"/>
    </row>
    <row r="160" spans="1:12" ht="14" x14ac:dyDescent="0.15">
      <c r="A160" s="16" t="s">
        <v>235</v>
      </c>
      <c r="B160" s="16" t="s">
        <v>11</v>
      </c>
      <c r="C160" s="16" t="s">
        <v>236</v>
      </c>
      <c r="D160" s="17">
        <v>740552</v>
      </c>
      <c r="E160" s="18">
        <v>20468</v>
      </c>
      <c r="F160" s="18">
        <v>720084</v>
      </c>
      <c r="G160" s="12"/>
      <c r="H160" s="18">
        <v>304114</v>
      </c>
      <c r="I160" s="11"/>
      <c r="J160" s="11"/>
      <c r="K160" s="12"/>
      <c r="L160" s="12">
        <f t="shared" ref="L160:L169" si="9">F160/H160</f>
        <v>2.3678094398810972</v>
      </c>
    </row>
    <row r="161" spans="1:12" ht="14" x14ac:dyDescent="0.15">
      <c r="A161" s="16" t="s">
        <v>235</v>
      </c>
      <c r="B161" s="16" t="s">
        <v>237</v>
      </c>
      <c r="C161" s="16" t="s">
        <v>238</v>
      </c>
      <c r="D161" s="17">
        <v>764</v>
      </c>
      <c r="E161" s="18">
        <v>0</v>
      </c>
      <c r="F161" s="18">
        <v>764</v>
      </c>
      <c r="G161" s="12"/>
      <c r="H161" s="18">
        <v>334</v>
      </c>
      <c r="I161" s="11"/>
      <c r="J161" s="11"/>
      <c r="K161" s="12"/>
      <c r="L161" s="12">
        <f t="shared" si="9"/>
        <v>2.2874251497005988</v>
      </c>
    </row>
    <row r="162" spans="1:12" ht="14" x14ac:dyDescent="0.15">
      <c r="A162" s="16" t="s">
        <v>235</v>
      </c>
      <c r="B162" s="16" t="s">
        <v>239</v>
      </c>
      <c r="C162" s="16" t="s">
        <v>240</v>
      </c>
      <c r="D162" s="17">
        <v>485143</v>
      </c>
      <c r="E162" s="18">
        <v>8048</v>
      </c>
      <c r="F162" s="18">
        <v>477095</v>
      </c>
      <c r="G162" s="12"/>
      <c r="H162" s="18">
        <v>212345</v>
      </c>
      <c r="I162" s="11"/>
      <c r="J162" s="11"/>
      <c r="K162" s="12"/>
      <c r="L162" s="12">
        <f t="shared" si="9"/>
        <v>2.2467917775318469</v>
      </c>
    </row>
    <row r="163" spans="1:12" ht="14" x14ac:dyDescent="0.15">
      <c r="A163" s="16" t="s">
        <v>235</v>
      </c>
      <c r="B163" s="16" t="s">
        <v>241</v>
      </c>
      <c r="C163" s="16" t="s">
        <v>242</v>
      </c>
      <c r="D163" s="17">
        <v>30007</v>
      </c>
      <c r="E163" s="18">
        <v>9</v>
      </c>
      <c r="F163" s="18">
        <v>29998</v>
      </c>
      <c r="G163" s="12"/>
      <c r="H163" s="18">
        <v>10487</v>
      </c>
      <c r="I163" s="11"/>
      <c r="J163" s="11"/>
      <c r="K163" s="12"/>
      <c r="L163" s="12">
        <f t="shared" si="9"/>
        <v>2.8604939448841424</v>
      </c>
    </row>
    <row r="164" spans="1:12" ht="14" x14ac:dyDescent="0.15">
      <c r="A164" s="16" t="s">
        <v>235</v>
      </c>
      <c r="B164" s="16" t="s">
        <v>243</v>
      </c>
      <c r="C164" s="16" t="s">
        <v>244</v>
      </c>
      <c r="D164" s="17">
        <v>622</v>
      </c>
      <c r="E164" s="18">
        <v>0</v>
      </c>
      <c r="F164" s="18">
        <v>622</v>
      </c>
      <c r="G164" s="12"/>
      <c r="H164" s="18">
        <v>526</v>
      </c>
      <c r="I164" s="11"/>
      <c r="J164" s="11"/>
      <c r="K164" s="12"/>
      <c r="L164" s="12">
        <f t="shared" si="9"/>
        <v>1.1825095057034221</v>
      </c>
    </row>
    <row r="165" spans="1:12" ht="14" x14ac:dyDescent="0.15">
      <c r="A165" s="16" t="s">
        <v>235</v>
      </c>
      <c r="B165" s="16" t="s">
        <v>245</v>
      </c>
      <c r="C165" s="16" t="s">
        <v>246</v>
      </c>
      <c r="D165" s="17">
        <v>4864</v>
      </c>
      <c r="E165" s="18">
        <v>3</v>
      </c>
      <c r="F165" s="18">
        <v>4861</v>
      </c>
      <c r="G165" s="12"/>
      <c r="H165" s="18">
        <v>2690</v>
      </c>
      <c r="I165" s="11"/>
      <c r="J165" s="11"/>
      <c r="K165" s="12"/>
      <c r="L165" s="12">
        <f t="shared" si="9"/>
        <v>1.8070631970260222</v>
      </c>
    </row>
    <row r="166" spans="1:12" ht="14" x14ac:dyDescent="0.15">
      <c r="A166" s="16" t="s">
        <v>235</v>
      </c>
      <c r="B166" s="16" t="s">
        <v>247</v>
      </c>
      <c r="C166" s="16" t="s">
        <v>248</v>
      </c>
      <c r="D166" s="17">
        <v>10820</v>
      </c>
      <c r="E166" s="18">
        <v>0</v>
      </c>
      <c r="F166" s="18">
        <v>10820</v>
      </c>
      <c r="G166" s="12"/>
      <c r="H166" s="18">
        <v>4445</v>
      </c>
      <c r="I166" s="11"/>
      <c r="J166" s="11"/>
      <c r="K166" s="12"/>
      <c r="L166" s="12">
        <f t="shared" si="9"/>
        <v>2.4341957255343081</v>
      </c>
    </row>
    <row r="167" spans="1:12" ht="14" x14ac:dyDescent="0.15">
      <c r="A167" s="16" t="s">
        <v>235</v>
      </c>
      <c r="B167" s="16" t="s">
        <v>249</v>
      </c>
      <c r="C167" s="16" t="s">
        <v>250</v>
      </c>
      <c r="D167" s="17">
        <v>2658</v>
      </c>
      <c r="E167" s="18">
        <v>0</v>
      </c>
      <c r="F167" s="18">
        <v>2658</v>
      </c>
      <c r="G167" s="12"/>
      <c r="H167" s="18">
        <v>1194</v>
      </c>
      <c r="I167" s="11"/>
      <c r="J167" s="11"/>
      <c r="K167" s="12"/>
      <c r="L167" s="12">
        <f t="shared" si="9"/>
        <v>2.2261306532663316</v>
      </c>
    </row>
    <row r="168" spans="1:12" ht="14" x14ac:dyDescent="0.15">
      <c r="A168" s="16" t="s">
        <v>235</v>
      </c>
      <c r="B168" s="16" t="s">
        <v>251</v>
      </c>
      <c r="C168" s="16" t="s">
        <v>252</v>
      </c>
      <c r="D168" s="17">
        <v>111</v>
      </c>
      <c r="E168" s="18">
        <v>0</v>
      </c>
      <c r="F168" s="18">
        <v>111</v>
      </c>
      <c r="G168" s="12"/>
      <c r="H168" s="18">
        <v>63</v>
      </c>
      <c r="I168" s="11"/>
      <c r="J168" s="11"/>
      <c r="K168" s="12"/>
      <c r="L168" s="12">
        <f t="shared" si="9"/>
        <v>1.7619047619047619</v>
      </c>
    </row>
    <row r="169" spans="1:12" ht="14" x14ac:dyDescent="0.15">
      <c r="A169" s="16" t="s">
        <v>235</v>
      </c>
      <c r="B169" s="16" t="s">
        <v>35</v>
      </c>
      <c r="C169" s="16" t="s">
        <v>36</v>
      </c>
      <c r="D169" s="17">
        <v>205563</v>
      </c>
      <c r="E169" s="18">
        <v>12408</v>
      </c>
      <c r="F169" s="18">
        <v>193155</v>
      </c>
      <c r="G169" s="12"/>
      <c r="H169" s="18">
        <v>72030</v>
      </c>
      <c r="I169" s="11"/>
      <c r="J169" s="11"/>
      <c r="K169" s="12"/>
      <c r="L169" s="12">
        <f t="shared" si="9"/>
        <v>2.6815910037484381</v>
      </c>
    </row>
    <row r="170" spans="1:12" ht="14" x14ac:dyDescent="0.15">
      <c r="A170" s="16" t="s">
        <v>235</v>
      </c>
      <c r="B170" s="16" t="s">
        <v>708</v>
      </c>
      <c r="C170" s="16"/>
      <c r="D170" s="13"/>
      <c r="E170" s="13"/>
      <c r="F170" s="13"/>
      <c r="G170" s="14"/>
      <c r="H170" s="13"/>
      <c r="I170" s="13"/>
      <c r="J170" s="13"/>
      <c r="K170" s="14"/>
      <c r="L170" s="12"/>
    </row>
    <row r="171" spans="1:12" ht="14" x14ac:dyDescent="0.15">
      <c r="A171" s="16" t="s">
        <v>253</v>
      </c>
      <c r="B171" s="16" t="s">
        <v>11</v>
      </c>
      <c r="C171" s="16" t="s">
        <v>254</v>
      </c>
      <c r="D171" s="17">
        <v>49570</v>
      </c>
      <c r="E171" s="18">
        <v>7969</v>
      </c>
      <c r="F171" s="18">
        <v>41601</v>
      </c>
      <c r="G171" s="12"/>
      <c r="H171" s="18">
        <v>20610</v>
      </c>
      <c r="I171" s="11"/>
      <c r="J171" s="11"/>
      <c r="K171" s="12"/>
      <c r="L171" s="12">
        <f t="shared" ref="L171:L178" si="10">F171/H171</f>
        <v>2.018486171761281</v>
      </c>
    </row>
    <row r="172" spans="1:12" ht="14" x14ac:dyDescent="0.15">
      <c r="A172" s="16" t="s">
        <v>253</v>
      </c>
      <c r="B172" s="16" t="s">
        <v>255</v>
      </c>
      <c r="C172" s="16" t="s">
        <v>256</v>
      </c>
      <c r="D172" s="17">
        <v>241</v>
      </c>
      <c r="E172" s="18">
        <v>0</v>
      </c>
      <c r="F172" s="18">
        <v>241</v>
      </c>
      <c r="G172" s="12"/>
      <c r="H172" s="18">
        <v>105</v>
      </c>
      <c r="I172" s="11"/>
      <c r="J172" s="11"/>
      <c r="K172" s="12"/>
      <c r="L172" s="12">
        <f t="shared" si="10"/>
        <v>2.2952380952380951</v>
      </c>
    </row>
    <row r="173" spans="1:12" ht="14" x14ac:dyDescent="0.15">
      <c r="A173" s="16" t="s">
        <v>253</v>
      </c>
      <c r="B173" s="16" t="s">
        <v>257</v>
      </c>
      <c r="C173" s="16" t="s">
        <v>258</v>
      </c>
      <c r="D173" s="17">
        <v>17421</v>
      </c>
      <c r="E173" s="18">
        <v>1412</v>
      </c>
      <c r="F173" s="18">
        <v>16009</v>
      </c>
      <c r="G173" s="12"/>
      <c r="H173" s="18">
        <v>7719</v>
      </c>
      <c r="I173" s="11"/>
      <c r="J173" s="11"/>
      <c r="K173" s="12"/>
      <c r="L173" s="12">
        <f t="shared" si="10"/>
        <v>2.07397331260526</v>
      </c>
    </row>
    <row r="174" spans="1:12" ht="14" x14ac:dyDescent="0.15">
      <c r="A174" s="16" t="s">
        <v>253</v>
      </c>
      <c r="B174" s="16" t="s">
        <v>259</v>
      </c>
      <c r="C174" s="16" t="s">
        <v>260</v>
      </c>
      <c r="D174" s="17">
        <v>372</v>
      </c>
      <c r="E174" s="18">
        <v>0</v>
      </c>
      <c r="F174" s="18">
        <v>372</v>
      </c>
      <c r="G174" s="12"/>
      <c r="H174" s="18">
        <v>163</v>
      </c>
      <c r="I174" s="11"/>
      <c r="J174" s="11"/>
      <c r="K174" s="12"/>
      <c r="L174" s="12">
        <f t="shared" si="10"/>
        <v>2.2822085889570554</v>
      </c>
    </row>
    <row r="175" spans="1:12" ht="14" x14ac:dyDescent="0.15">
      <c r="A175" s="16" t="s">
        <v>253</v>
      </c>
      <c r="B175" s="16" t="s">
        <v>261</v>
      </c>
      <c r="C175" s="16" t="s">
        <v>262</v>
      </c>
      <c r="D175" s="17">
        <v>3833</v>
      </c>
      <c r="E175" s="18">
        <v>88</v>
      </c>
      <c r="F175" s="18">
        <v>3745</v>
      </c>
      <c r="G175" s="12"/>
      <c r="H175" s="18">
        <v>1771</v>
      </c>
      <c r="I175" s="11"/>
      <c r="J175" s="11"/>
      <c r="K175" s="12"/>
      <c r="L175" s="12">
        <f t="shared" si="10"/>
        <v>2.1146245059288535</v>
      </c>
    </row>
    <row r="176" spans="1:12" ht="14" x14ac:dyDescent="0.15">
      <c r="A176" s="16" t="s">
        <v>253</v>
      </c>
      <c r="B176" s="16" t="s">
        <v>263</v>
      </c>
      <c r="C176" s="16" t="s">
        <v>264</v>
      </c>
      <c r="D176" s="17">
        <v>549</v>
      </c>
      <c r="E176" s="18">
        <v>0</v>
      </c>
      <c r="F176" s="18">
        <v>549</v>
      </c>
      <c r="G176" s="12"/>
      <c r="H176" s="18">
        <v>270</v>
      </c>
      <c r="I176" s="11"/>
      <c r="J176" s="11"/>
      <c r="K176" s="12"/>
      <c r="L176" s="12">
        <f t="shared" si="10"/>
        <v>2.0333333333333332</v>
      </c>
    </row>
    <row r="177" spans="1:12" ht="14" x14ac:dyDescent="0.15">
      <c r="A177" s="16" t="s">
        <v>253</v>
      </c>
      <c r="B177" s="16" t="s">
        <v>265</v>
      </c>
      <c r="C177" s="16" t="s">
        <v>266</v>
      </c>
      <c r="D177" s="17">
        <v>754</v>
      </c>
      <c r="E177" s="18">
        <v>9</v>
      </c>
      <c r="F177" s="18">
        <v>745</v>
      </c>
      <c r="G177" s="12"/>
      <c r="H177" s="18">
        <v>311</v>
      </c>
      <c r="I177" s="11"/>
      <c r="J177" s="11"/>
      <c r="K177" s="12"/>
      <c r="L177" s="12">
        <f t="shared" si="10"/>
        <v>2.395498392282958</v>
      </c>
    </row>
    <row r="178" spans="1:12" ht="14" x14ac:dyDescent="0.15">
      <c r="A178" s="16" t="s">
        <v>253</v>
      </c>
      <c r="B178" s="16" t="s">
        <v>35</v>
      </c>
      <c r="C178" s="16" t="s">
        <v>36</v>
      </c>
      <c r="D178" s="17">
        <v>26400</v>
      </c>
      <c r="E178" s="18">
        <v>6460</v>
      </c>
      <c r="F178" s="18">
        <v>19940</v>
      </c>
      <c r="G178" s="12"/>
      <c r="H178" s="18">
        <v>10271</v>
      </c>
      <c r="I178" s="11"/>
      <c r="J178" s="11"/>
      <c r="K178" s="12"/>
      <c r="L178" s="12">
        <f t="shared" si="10"/>
        <v>1.9413883750365106</v>
      </c>
    </row>
    <row r="179" spans="1:12" ht="14" x14ac:dyDescent="0.15">
      <c r="A179" s="16" t="s">
        <v>253</v>
      </c>
      <c r="B179" s="16" t="s">
        <v>708</v>
      </c>
      <c r="C179" s="16"/>
      <c r="D179" s="13"/>
      <c r="E179" s="13"/>
      <c r="F179" s="13"/>
      <c r="G179" s="14"/>
      <c r="H179" s="13"/>
      <c r="I179" s="13"/>
      <c r="J179" s="13"/>
      <c r="K179" s="14"/>
      <c r="L179" s="12"/>
    </row>
    <row r="180" spans="1:12" ht="14" x14ac:dyDescent="0.15">
      <c r="A180" s="16" t="s">
        <v>267</v>
      </c>
      <c r="B180" s="16" t="s">
        <v>11</v>
      </c>
      <c r="C180" s="16" t="s">
        <v>268</v>
      </c>
      <c r="D180" s="17">
        <v>62254</v>
      </c>
      <c r="E180" s="18">
        <v>1033</v>
      </c>
      <c r="F180" s="18">
        <v>61221</v>
      </c>
      <c r="G180" s="12"/>
      <c r="H180" s="18">
        <v>25068</v>
      </c>
      <c r="I180" s="11"/>
      <c r="J180" s="11"/>
      <c r="K180" s="12"/>
      <c r="L180" s="12">
        <f>F180/H180</f>
        <v>2.4421972235519389</v>
      </c>
    </row>
    <row r="181" spans="1:12" ht="14" x14ac:dyDescent="0.15">
      <c r="A181" s="16" t="s">
        <v>267</v>
      </c>
      <c r="B181" s="16" t="s">
        <v>269</v>
      </c>
      <c r="C181" s="16" t="s">
        <v>270</v>
      </c>
      <c r="D181" s="17">
        <v>0</v>
      </c>
      <c r="E181" s="18">
        <v>0</v>
      </c>
      <c r="F181" s="18">
        <v>0</v>
      </c>
      <c r="G181" s="12"/>
      <c r="H181" s="18">
        <v>0</v>
      </c>
      <c r="I181" s="11"/>
      <c r="J181" s="11"/>
      <c r="K181" s="12"/>
      <c r="L181" s="12">
        <v>0</v>
      </c>
    </row>
    <row r="182" spans="1:12" ht="14" x14ac:dyDescent="0.15">
      <c r="A182" s="16" t="s">
        <v>267</v>
      </c>
      <c r="B182" s="16" t="s">
        <v>271</v>
      </c>
      <c r="C182" s="16" t="s">
        <v>272</v>
      </c>
      <c r="D182" s="17">
        <v>6574</v>
      </c>
      <c r="E182" s="18">
        <v>79</v>
      </c>
      <c r="F182" s="18">
        <v>6495</v>
      </c>
      <c r="G182" s="12"/>
      <c r="H182" s="18">
        <v>2810</v>
      </c>
      <c r="I182" s="11"/>
      <c r="J182" s="11"/>
      <c r="K182" s="12"/>
      <c r="L182" s="12">
        <f t="shared" ref="L182:L188" si="11">F182/H182</f>
        <v>2.3113879003558719</v>
      </c>
    </row>
    <row r="183" spans="1:12" ht="14" x14ac:dyDescent="0.15">
      <c r="A183" s="16" t="s">
        <v>267</v>
      </c>
      <c r="B183" s="16" t="s">
        <v>273</v>
      </c>
      <c r="C183" s="16" t="s">
        <v>274</v>
      </c>
      <c r="D183" s="17">
        <v>10115</v>
      </c>
      <c r="E183" s="18">
        <v>234</v>
      </c>
      <c r="F183" s="18">
        <v>9881</v>
      </c>
      <c r="G183" s="12"/>
      <c r="H183" s="18">
        <v>4442</v>
      </c>
      <c r="I183" s="11"/>
      <c r="J183" s="11"/>
      <c r="K183" s="12"/>
      <c r="L183" s="12">
        <f t="shared" si="11"/>
        <v>2.2244484466456553</v>
      </c>
    </row>
    <row r="184" spans="1:12" ht="14" x14ac:dyDescent="0.15">
      <c r="A184" s="16" t="s">
        <v>267</v>
      </c>
      <c r="B184" s="16" t="s">
        <v>275</v>
      </c>
      <c r="C184" s="16" t="s">
        <v>276</v>
      </c>
      <c r="D184" s="17">
        <v>4936</v>
      </c>
      <c r="E184" s="18">
        <v>0</v>
      </c>
      <c r="F184" s="18">
        <v>4936</v>
      </c>
      <c r="G184" s="12"/>
      <c r="H184" s="18">
        <v>1930</v>
      </c>
      <c r="I184" s="11"/>
      <c r="J184" s="11"/>
      <c r="K184" s="12"/>
      <c r="L184" s="12">
        <f t="shared" si="11"/>
        <v>2.5575129533678758</v>
      </c>
    </row>
    <row r="185" spans="1:12" ht="14" x14ac:dyDescent="0.15">
      <c r="A185" s="16" t="s">
        <v>267</v>
      </c>
      <c r="B185" s="16" t="s">
        <v>277</v>
      </c>
      <c r="C185" s="16" t="s">
        <v>278</v>
      </c>
      <c r="D185" s="17">
        <v>1390</v>
      </c>
      <c r="E185" s="18">
        <v>1</v>
      </c>
      <c r="F185" s="18">
        <v>1389</v>
      </c>
      <c r="G185" s="12"/>
      <c r="H185" s="18">
        <v>547</v>
      </c>
      <c r="I185" s="11"/>
      <c r="J185" s="11"/>
      <c r="K185" s="12"/>
      <c r="L185" s="12">
        <f t="shared" si="11"/>
        <v>2.5393053016453382</v>
      </c>
    </row>
    <row r="186" spans="1:12" ht="14" x14ac:dyDescent="0.15">
      <c r="A186" s="16" t="s">
        <v>267</v>
      </c>
      <c r="B186" s="16" t="s">
        <v>279</v>
      </c>
      <c r="C186" s="16" t="s">
        <v>280</v>
      </c>
      <c r="D186" s="17">
        <v>10530</v>
      </c>
      <c r="E186" s="18">
        <v>146</v>
      </c>
      <c r="F186" s="18">
        <v>10384</v>
      </c>
      <c r="G186" s="12"/>
      <c r="H186" s="18">
        <v>3927</v>
      </c>
      <c r="I186" s="11"/>
      <c r="J186" s="11"/>
      <c r="K186" s="12"/>
      <c r="L186" s="12">
        <f t="shared" si="11"/>
        <v>2.6442577030812324</v>
      </c>
    </row>
    <row r="187" spans="1:12" ht="14" x14ac:dyDescent="0.15">
      <c r="A187" s="16" t="s">
        <v>267</v>
      </c>
      <c r="B187" s="16" t="s">
        <v>281</v>
      </c>
      <c r="C187" s="16" t="s">
        <v>282</v>
      </c>
      <c r="D187" s="17">
        <v>3579</v>
      </c>
      <c r="E187" s="18">
        <v>0</v>
      </c>
      <c r="F187" s="18">
        <v>3579</v>
      </c>
      <c r="G187" s="12"/>
      <c r="H187" s="18">
        <v>1302</v>
      </c>
      <c r="I187" s="11"/>
      <c r="J187" s="11"/>
      <c r="K187" s="12"/>
      <c r="L187" s="12">
        <f t="shared" si="11"/>
        <v>2.7488479262672811</v>
      </c>
    </row>
    <row r="188" spans="1:12" ht="14" x14ac:dyDescent="0.15">
      <c r="A188" s="16" t="s">
        <v>267</v>
      </c>
      <c r="B188" s="16" t="s">
        <v>35</v>
      </c>
      <c r="C188" s="16" t="s">
        <v>36</v>
      </c>
      <c r="D188" s="17">
        <v>25130</v>
      </c>
      <c r="E188" s="18">
        <v>573</v>
      </c>
      <c r="F188" s="18">
        <v>24557</v>
      </c>
      <c r="G188" s="12"/>
      <c r="H188" s="18">
        <v>10110</v>
      </c>
      <c r="I188" s="11"/>
      <c r="J188" s="11"/>
      <c r="K188" s="12"/>
      <c r="L188" s="12">
        <f t="shared" si="11"/>
        <v>2.4289812067260139</v>
      </c>
    </row>
    <row r="189" spans="1:12" ht="14" x14ac:dyDescent="0.15">
      <c r="A189" s="16" t="s">
        <v>267</v>
      </c>
      <c r="B189" s="16" t="s">
        <v>708</v>
      </c>
      <c r="C189" s="16"/>
      <c r="D189" s="13"/>
      <c r="E189" s="13"/>
      <c r="F189" s="13"/>
      <c r="G189" s="14"/>
      <c r="H189" s="13"/>
      <c r="I189" s="13"/>
      <c r="J189" s="13"/>
      <c r="K189" s="14"/>
      <c r="L189" s="12"/>
    </row>
    <row r="190" spans="1:12" ht="14" x14ac:dyDescent="0.15">
      <c r="A190" s="16" t="s">
        <v>283</v>
      </c>
      <c r="B190" s="16" t="s">
        <v>11</v>
      </c>
      <c r="C190" s="16" t="s">
        <v>284</v>
      </c>
      <c r="D190" s="17">
        <v>5895</v>
      </c>
      <c r="E190" s="18">
        <v>48</v>
      </c>
      <c r="F190" s="18">
        <v>5847</v>
      </c>
      <c r="G190" s="12"/>
      <c r="H190" s="18">
        <v>3564</v>
      </c>
      <c r="I190" s="11"/>
      <c r="J190" s="11"/>
      <c r="K190" s="12"/>
      <c r="L190" s="12">
        <f>F190/H190</f>
        <v>1.6405723905723906</v>
      </c>
    </row>
    <row r="191" spans="1:12" ht="14" x14ac:dyDescent="0.15">
      <c r="A191" s="16" t="s">
        <v>283</v>
      </c>
      <c r="B191" s="16" t="s">
        <v>285</v>
      </c>
      <c r="C191" s="16" t="s">
        <v>286</v>
      </c>
      <c r="D191" s="17">
        <v>125</v>
      </c>
      <c r="E191" s="18">
        <v>0</v>
      </c>
      <c r="F191" s="18">
        <v>125</v>
      </c>
      <c r="G191" s="12"/>
      <c r="H191" s="18">
        <v>66</v>
      </c>
      <c r="I191" s="11"/>
      <c r="J191" s="11"/>
      <c r="K191" s="12"/>
      <c r="L191" s="12">
        <f>F191/H191</f>
        <v>1.893939393939394</v>
      </c>
    </row>
    <row r="192" spans="1:12" ht="14" x14ac:dyDescent="0.15">
      <c r="A192" s="16" t="s">
        <v>283</v>
      </c>
      <c r="B192" s="16" t="s">
        <v>131</v>
      </c>
      <c r="C192" s="16" t="s">
        <v>132</v>
      </c>
      <c r="D192" s="17">
        <v>779</v>
      </c>
      <c r="E192" s="18">
        <v>0</v>
      </c>
      <c r="F192" s="18">
        <v>779</v>
      </c>
      <c r="G192" s="12"/>
      <c r="H192" s="18">
        <v>530</v>
      </c>
      <c r="I192" s="11"/>
      <c r="J192" s="11"/>
      <c r="K192" s="12"/>
      <c r="L192" s="12">
        <f>F192/H192</f>
        <v>1.469811320754717</v>
      </c>
    </row>
    <row r="193" spans="1:12" ht="14" x14ac:dyDescent="0.15">
      <c r="A193" s="16" t="s">
        <v>283</v>
      </c>
      <c r="B193" s="16" t="s">
        <v>35</v>
      </c>
      <c r="C193" s="16" t="s">
        <v>36</v>
      </c>
      <c r="D193" s="17">
        <v>4991</v>
      </c>
      <c r="E193" s="18">
        <v>48</v>
      </c>
      <c r="F193" s="18">
        <v>4943</v>
      </c>
      <c r="G193" s="12"/>
      <c r="H193" s="18">
        <v>2968</v>
      </c>
      <c r="I193" s="11"/>
      <c r="J193" s="11"/>
      <c r="K193" s="12"/>
      <c r="L193" s="12">
        <f>F193/H193</f>
        <v>1.6654312668463611</v>
      </c>
    </row>
    <row r="194" spans="1:12" ht="14" x14ac:dyDescent="0.15">
      <c r="A194" s="16" t="s">
        <v>283</v>
      </c>
      <c r="B194" s="16" t="s">
        <v>708</v>
      </c>
      <c r="C194" s="16"/>
      <c r="D194" s="13"/>
      <c r="E194" s="13"/>
      <c r="F194" s="13"/>
      <c r="G194" s="14"/>
      <c r="H194" s="13"/>
      <c r="I194" s="13"/>
      <c r="J194" s="13"/>
      <c r="K194" s="14"/>
      <c r="L194" s="12"/>
    </row>
    <row r="195" spans="1:12" ht="14" x14ac:dyDescent="0.15">
      <c r="A195" s="16" t="s">
        <v>287</v>
      </c>
      <c r="B195" s="16" t="s">
        <v>11</v>
      </c>
      <c r="C195" s="16" t="s">
        <v>288</v>
      </c>
      <c r="D195" s="17">
        <v>15748</v>
      </c>
      <c r="E195" s="18">
        <v>212</v>
      </c>
      <c r="F195" s="18">
        <v>15536</v>
      </c>
      <c r="G195" s="12"/>
      <c r="H195" s="18">
        <v>17285</v>
      </c>
      <c r="I195" s="11"/>
      <c r="J195" s="11"/>
      <c r="K195" s="12"/>
      <c r="L195" s="12">
        <f t="shared" ref="L195:L202" si="12">F195/H195</f>
        <v>0.89881400057853633</v>
      </c>
    </row>
    <row r="196" spans="1:12" ht="14" x14ac:dyDescent="0.15">
      <c r="A196" s="16" t="s">
        <v>287</v>
      </c>
      <c r="B196" s="16" t="s">
        <v>289</v>
      </c>
      <c r="C196" s="16" t="s">
        <v>290</v>
      </c>
      <c r="D196" s="17">
        <v>1506</v>
      </c>
      <c r="E196" s="18">
        <v>6</v>
      </c>
      <c r="F196" s="18">
        <v>1500</v>
      </c>
      <c r="G196" s="12"/>
      <c r="H196" s="18">
        <v>1586</v>
      </c>
      <c r="I196" s="11"/>
      <c r="J196" s="11"/>
      <c r="K196" s="12"/>
      <c r="L196" s="12">
        <f t="shared" si="12"/>
        <v>0.94577553593947039</v>
      </c>
    </row>
    <row r="197" spans="1:12" ht="14" x14ac:dyDescent="0.15">
      <c r="A197" s="16" t="s">
        <v>287</v>
      </c>
      <c r="B197" s="16" t="s">
        <v>291</v>
      </c>
      <c r="C197" s="16" t="s">
        <v>292</v>
      </c>
      <c r="D197" s="17">
        <v>2310</v>
      </c>
      <c r="E197" s="18">
        <v>0</v>
      </c>
      <c r="F197" s="18">
        <v>2310</v>
      </c>
      <c r="G197" s="12"/>
      <c r="H197" s="18">
        <v>2027</v>
      </c>
      <c r="I197" s="11"/>
      <c r="J197" s="11"/>
      <c r="K197" s="12"/>
      <c r="L197" s="12">
        <f t="shared" si="12"/>
        <v>1.139615194869265</v>
      </c>
    </row>
    <row r="198" spans="1:12" ht="14" x14ac:dyDescent="0.15">
      <c r="A198" s="16" t="s">
        <v>287</v>
      </c>
      <c r="B198" s="16" t="s">
        <v>293</v>
      </c>
      <c r="C198" s="16" t="s">
        <v>294</v>
      </c>
      <c r="D198" s="17">
        <v>400</v>
      </c>
      <c r="E198" s="18">
        <v>0</v>
      </c>
      <c r="F198" s="18">
        <v>400</v>
      </c>
      <c r="G198" s="12"/>
      <c r="H198" s="18">
        <v>809</v>
      </c>
      <c r="I198" s="11"/>
      <c r="J198" s="11"/>
      <c r="K198" s="12"/>
      <c r="L198" s="12">
        <f t="shared" si="12"/>
        <v>0.49443757725587145</v>
      </c>
    </row>
    <row r="199" spans="1:12" ht="14" x14ac:dyDescent="0.15">
      <c r="A199" s="16" t="s">
        <v>287</v>
      </c>
      <c r="B199" s="16" t="s">
        <v>295</v>
      </c>
      <c r="C199" s="16" t="s">
        <v>296</v>
      </c>
      <c r="D199" s="17">
        <v>684</v>
      </c>
      <c r="E199" s="18">
        <v>9</v>
      </c>
      <c r="F199" s="18">
        <v>675</v>
      </c>
      <c r="G199" s="12"/>
      <c r="H199" s="18">
        <v>320</v>
      </c>
      <c r="I199" s="11"/>
      <c r="J199" s="11"/>
      <c r="K199" s="12"/>
      <c r="L199" s="12">
        <f t="shared" si="12"/>
        <v>2.109375</v>
      </c>
    </row>
    <row r="200" spans="1:12" ht="14" x14ac:dyDescent="0.15">
      <c r="A200" s="16" t="s">
        <v>287</v>
      </c>
      <c r="B200" s="16" t="s">
        <v>297</v>
      </c>
      <c r="C200" s="16" t="s">
        <v>298</v>
      </c>
      <c r="D200" s="17">
        <v>1478</v>
      </c>
      <c r="E200" s="18">
        <v>10</v>
      </c>
      <c r="F200" s="18">
        <v>1468</v>
      </c>
      <c r="G200" s="12"/>
      <c r="H200" s="18">
        <v>686</v>
      </c>
      <c r="I200" s="11"/>
      <c r="J200" s="11"/>
      <c r="K200" s="12"/>
      <c r="L200" s="12">
        <f t="shared" si="12"/>
        <v>2.139941690962099</v>
      </c>
    </row>
    <row r="201" spans="1:12" ht="14" x14ac:dyDescent="0.15">
      <c r="A201" s="16" t="s">
        <v>287</v>
      </c>
      <c r="B201" s="16" t="s">
        <v>299</v>
      </c>
      <c r="C201" s="16" t="s">
        <v>300</v>
      </c>
      <c r="D201" s="17">
        <v>1099</v>
      </c>
      <c r="E201" s="18">
        <v>39</v>
      </c>
      <c r="F201" s="18">
        <v>1060</v>
      </c>
      <c r="G201" s="12"/>
      <c r="H201" s="18">
        <v>3016</v>
      </c>
      <c r="I201" s="11"/>
      <c r="J201" s="11"/>
      <c r="K201" s="12"/>
      <c r="L201" s="12">
        <f t="shared" si="12"/>
        <v>0.35145888594164454</v>
      </c>
    </row>
    <row r="202" spans="1:12" ht="14" x14ac:dyDescent="0.15">
      <c r="A202" s="16" t="s">
        <v>287</v>
      </c>
      <c r="B202" s="16" t="s">
        <v>35</v>
      </c>
      <c r="C202" s="16" t="s">
        <v>36</v>
      </c>
      <c r="D202" s="17">
        <v>8271</v>
      </c>
      <c r="E202" s="18">
        <v>148</v>
      </c>
      <c r="F202" s="18">
        <v>8123</v>
      </c>
      <c r="G202" s="12"/>
      <c r="H202" s="18">
        <v>8842</v>
      </c>
      <c r="I202" s="11"/>
      <c r="J202" s="11"/>
      <c r="K202" s="12"/>
      <c r="L202" s="12">
        <f t="shared" si="12"/>
        <v>0.9186835557566162</v>
      </c>
    </row>
    <row r="203" spans="1:12" ht="14" x14ac:dyDescent="0.15">
      <c r="A203" s="16" t="s">
        <v>287</v>
      </c>
      <c r="B203" s="16" t="s">
        <v>708</v>
      </c>
      <c r="C203" s="16"/>
      <c r="D203" s="13"/>
      <c r="E203" s="13"/>
      <c r="F203" s="13"/>
      <c r="G203" s="14"/>
      <c r="H203" s="13"/>
      <c r="I203" s="13"/>
      <c r="J203" s="13"/>
      <c r="K203" s="14"/>
      <c r="L203" s="12"/>
    </row>
    <row r="204" spans="1:12" ht="14" x14ac:dyDescent="0.15">
      <c r="A204" s="16" t="s">
        <v>301</v>
      </c>
      <c r="B204" s="16" t="s">
        <v>11</v>
      </c>
      <c r="C204" s="16" t="s">
        <v>302</v>
      </c>
      <c r="D204" s="17">
        <v>17269</v>
      </c>
      <c r="E204" s="18">
        <v>1057</v>
      </c>
      <c r="F204" s="18">
        <v>16212</v>
      </c>
      <c r="G204" s="12"/>
      <c r="H204" s="18">
        <v>12619</v>
      </c>
      <c r="I204" s="11"/>
      <c r="J204" s="11"/>
      <c r="K204" s="12"/>
      <c r="L204" s="12">
        <f t="shared" ref="L204:L210" si="13">F204/H204</f>
        <v>1.2847293763372691</v>
      </c>
    </row>
    <row r="205" spans="1:12" ht="14" x14ac:dyDescent="0.15">
      <c r="A205" s="16" t="s">
        <v>301</v>
      </c>
      <c r="B205" s="16" t="s">
        <v>303</v>
      </c>
      <c r="C205" s="16" t="s">
        <v>304</v>
      </c>
      <c r="D205" s="17">
        <v>1639</v>
      </c>
      <c r="E205" s="18">
        <v>0</v>
      </c>
      <c r="F205" s="18">
        <v>1639</v>
      </c>
      <c r="G205" s="12"/>
      <c r="H205" s="18">
        <v>1214</v>
      </c>
      <c r="I205" s="11"/>
      <c r="J205" s="11"/>
      <c r="K205" s="12"/>
      <c r="L205" s="12">
        <f t="shared" si="13"/>
        <v>1.3500823723228994</v>
      </c>
    </row>
    <row r="206" spans="1:12" ht="14" x14ac:dyDescent="0.15">
      <c r="A206" s="16" t="s">
        <v>301</v>
      </c>
      <c r="B206" s="16" t="s">
        <v>305</v>
      </c>
      <c r="C206" s="16" t="s">
        <v>306</v>
      </c>
      <c r="D206" s="17">
        <v>6766</v>
      </c>
      <c r="E206" s="18">
        <v>1029</v>
      </c>
      <c r="F206" s="18">
        <v>5737</v>
      </c>
      <c r="G206" s="12"/>
      <c r="H206" s="18">
        <v>2992</v>
      </c>
      <c r="I206" s="11"/>
      <c r="J206" s="11"/>
      <c r="K206" s="12"/>
      <c r="L206" s="12">
        <f t="shared" si="13"/>
        <v>1.9174465240641712</v>
      </c>
    </row>
    <row r="207" spans="1:12" ht="14" x14ac:dyDescent="0.15">
      <c r="A207" s="16" t="s">
        <v>301</v>
      </c>
      <c r="B207" s="16" t="s">
        <v>307</v>
      </c>
      <c r="C207" s="16" t="s">
        <v>308</v>
      </c>
      <c r="D207" s="17">
        <v>134</v>
      </c>
      <c r="E207" s="18">
        <v>0</v>
      </c>
      <c r="F207" s="18">
        <v>134</v>
      </c>
      <c r="G207" s="12"/>
      <c r="H207" s="18">
        <v>106</v>
      </c>
      <c r="I207" s="11"/>
      <c r="J207" s="11"/>
      <c r="K207" s="12"/>
      <c r="L207" s="12">
        <f t="shared" si="13"/>
        <v>1.2641509433962264</v>
      </c>
    </row>
    <row r="208" spans="1:12" ht="14" x14ac:dyDescent="0.15">
      <c r="A208" s="16" t="s">
        <v>301</v>
      </c>
      <c r="B208" s="16" t="s">
        <v>309</v>
      </c>
      <c r="C208" s="16" t="s">
        <v>711</v>
      </c>
      <c r="D208" s="17">
        <v>937</v>
      </c>
      <c r="E208" s="18">
        <v>0</v>
      </c>
      <c r="F208" s="18">
        <v>937</v>
      </c>
      <c r="G208" s="12"/>
      <c r="H208" s="18">
        <v>1417</v>
      </c>
      <c r="I208" s="11"/>
      <c r="J208" s="11"/>
      <c r="K208" s="12"/>
      <c r="L208" s="12">
        <f t="shared" si="13"/>
        <v>0.66125617501764289</v>
      </c>
    </row>
    <row r="209" spans="1:12" ht="14" x14ac:dyDescent="0.15">
      <c r="A209" s="16" t="s">
        <v>301</v>
      </c>
      <c r="B209" s="16" t="s">
        <v>310</v>
      </c>
      <c r="C209" s="16" t="s">
        <v>311</v>
      </c>
      <c r="D209" s="17">
        <v>70</v>
      </c>
      <c r="E209" s="18">
        <v>0</v>
      </c>
      <c r="F209" s="18">
        <v>70</v>
      </c>
      <c r="G209" s="12"/>
      <c r="H209" s="18">
        <v>170</v>
      </c>
      <c r="I209" s="11"/>
      <c r="J209" s="11"/>
      <c r="K209" s="12"/>
      <c r="L209" s="12">
        <f t="shared" si="13"/>
        <v>0.41176470588235292</v>
      </c>
    </row>
    <row r="210" spans="1:12" ht="14" x14ac:dyDescent="0.15">
      <c r="A210" s="16" t="s">
        <v>301</v>
      </c>
      <c r="B210" s="16" t="s">
        <v>35</v>
      </c>
      <c r="C210" s="16" t="s">
        <v>36</v>
      </c>
      <c r="D210" s="17">
        <v>7723</v>
      </c>
      <c r="E210" s="18">
        <v>28</v>
      </c>
      <c r="F210" s="18">
        <v>7695</v>
      </c>
      <c r="G210" s="12"/>
      <c r="H210" s="18">
        <v>6721</v>
      </c>
      <c r="I210" s="11"/>
      <c r="J210" s="11"/>
      <c r="K210" s="12"/>
      <c r="L210" s="12">
        <f t="shared" si="13"/>
        <v>1.1449189108763578</v>
      </c>
    </row>
    <row r="211" spans="1:12" ht="14" x14ac:dyDescent="0.15">
      <c r="A211" s="16" t="s">
        <v>301</v>
      </c>
      <c r="B211" s="16" t="s">
        <v>708</v>
      </c>
      <c r="C211" s="16"/>
      <c r="D211" s="13"/>
      <c r="E211" s="13"/>
      <c r="F211" s="13"/>
      <c r="G211" s="14"/>
      <c r="H211" s="13"/>
      <c r="I211" s="13"/>
      <c r="J211" s="13"/>
      <c r="K211" s="14"/>
      <c r="L211" s="12"/>
    </row>
    <row r="212" spans="1:12" ht="14" x14ac:dyDescent="0.15">
      <c r="A212" s="16" t="s">
        <v>312</v>
      </c>
      <c r="B212" s="16" t="s">
        <v>11</v>
      </c>
      <c r="C212" s="16" t="s">
        <v>313</v>
      </c>
      <c r="D212" s="17">
        <v>779</v>
      </c>
      <c r="E212" s="18">
        <v>0</v>
      </c>
      <c r="F212" s="18">
        <v>779</v>
      </c>
      <c r="G212" s="12"/>
      <c r="H212" s="18">
        <v>1358</v>
      </c>
      <c r="I212" s="11"/>
      <c r="J212" s="11"/>
      <c r="K212" s="12"/>
      <c r="L212" s="12">
        <f>F212/H212</f>
        <v>0.57363770250368185</v>
      </c>
    </row>
    <row r="213" spans="1:12" ht="14" x14ac:dyDescent="0.15">
      <c r="A213" s="16" t="s">
        <v>312</v>
      </c>
      <c r="B213" s="16" t="s">
        <v>314</v>
      </c>
      <c r="C213" s="16" t="s">
        <v>315</v>
      </c>
      <c r="D213" s="17">
        <v>428</v>
      </c>
      <c r="E213" s="18">
        <v>0</v>
      </c>
      <c r="F213" s="18">
        <v>428</v>
      </c>
      <c r="G213" s="12"/>
      <c r="H213" s="18">
        <v>454</v>
      </c>
      <c r="I213" s="11"/>
      <c r="J213" s="11"/>
      <c r="K213" s="12"/>
      <c r="L213" s="12">
        <f>F213/H213</f>
        <v>0.94273127753303965</v>
      </c>
    </row>
    <row r="214" spans="1:12" ht="14" x14ac:dyDescent="0.15">
      <c r="A214" s="16" t="s">
        <v>312</v>
      </c>
      <c r="B214" s="16" t="s">
        <v>35</v>
      </c>
      <c r="C214" s="16" t="s">
        <v>36</v>
      </c>
      <c r="D214" s="17">
        <v>351</v>
      </c>
      <c r="E214" s="18">
        <v>0</v>
      </c>
      <c r="F214" s="18">
        <v>351</v>
      </c>
      <c r="G214" s="12"/>
      <c r="H214" s="18">
        <v>904</v>
      </c>
      <c r="I214" s="11"/>
      <c r="J214" s="11"/>
      <c r="K214" s="12"/>
      <c r="L214" s="12">
        <f>F214/H214</f>
        <v>0.38827433628318586</v>
      </c>
    </row>
    <row r="215" spans="1:12" ht="14" x14ac:dyDescent="0.15">
      <c r="A215" s="16" t="s">
        <v>312</v>
      </c>
      <c r="B215" s="16" t="s">
        <v>708</v>
      </c>
      <c r="C215" s="16"/>
      <c r="D215" s="13"/>
      <c r="E215" s="13"/>
      <c r="F215" s="13"/>
      <c r="G215" s="14"/>
      <c r="H215" s="13"/>
      <c r="I215" s="13"/>
      <c r="J215" s="13"/>
      <c r="K215" s="14"/>
      <c r="L215" s="12"/>
    </row>
    <row r="216" spans="1:12" ht="14" x14ac:dyDescent="0.15">
      <c r="A216" s="16" t="s">
        <v>316</v>
      </c>
      <c r="B216" s="16" t="s">
        <v>11</v>
      </c>
      <c r="C216" s="16" t="s">
        <v>317</v>
      </c>
      <c r="D216" s="17">
        <v>7104</v>
      </c>
      <c r="E216" s="18">
        <v>103</v>
      </c>
      <c r="F216" s="18">
        <v>7001</v>
      </c>
      <c r="G216" s="12"/>
      <c r="H216" s="18">
        <v>4747</v>
      </c>
      <c r="I216" s="11"/>
      <c r="J216" s="11"/>
      <c r="K216" s="12"/>
      <c r="L216" s="12">
        <f>F216/H216</f>
        <v>1.4748262060248578</v>
      </c>
    </row>
    <row r="217" spans="1:12" ht="14" x14ac:dyDescent="0.15">
      <c r="A217" s="16" t="s">
        <v>316</v>
      </c>
      <c r="B217" s="16" t="s">
        <v>318</v>
      </c>
      <c r="C217" s="16" t="s">
        <v>319</v>
      </c>
      <c r="D217" s="17">
        <v>891</v>
      </c>
      <c r="E217" s="18">
        <v>0</v>
      </c>
      <c r="F217" s="18">
        <v>891</v>
      </c>
      <c r="G217" s="12"/>
      <c r="H217" s="18">
        <v>545</v>
      </c>
      <c r="I217" s="11"/>
      <c r="J217" s="11"/>
      <c r="K217" s="12"/>
      <c r="L217" s="12">
        <f>F217/H217</f>
        <v>1.6348623853211008</v>
      </c>
    </row>
    <row r="218" spans="1:12" ht="14" x14ac:dyDescent="0.15">
      <c r="A218" s="16" t="s">
        <v>316</v>
      </c>
      <c r="B218" s="16" t="s">
        <v>320</v>
      </c>
      <c r="C218" s="16" t="s">
        <v>321</v>
      </c>
      <c r="D218" s="17">
        <v>3128</v>
      </c>
      <c r="E218" s="18">
        <v>13</v>
      </c>
      <c r="F218" s="18">
        <v>3115</v>
      </c>
      <c r="G218" s="12"/>
      <c r="H218" s="18">
        <v>1618</v>
      </c>
      <c r="I218" s="11"/>
      <c r="J218" s="11"/>
      <c r="K218" s="12"/>
      <c r="L218" s="12">
        <f>F218/H218</f>
        <v>1.9252163164400495</v>
      </c>
    </row>
    <row r="219" spans="1:12" ht="14" x14ac:dyDescent="0.15">
      <c r="A219" s="16" t="s">
        <v>316</v>
      </c>
      <c r="B219" s="16" t="s">
        <v>35</v>
      </c>
      <c r="C219" s="16" t="s">
        <v>36</v>
      </c>
      <c r="D219" s="17">
        <v>3085</v>
      </c>
      <c r="E219" s="18">
        <v>90</v>
      </c>
      <c r="F219" s="18">
        <v>2995</v>
      </c>
      <c r="G219" s="12"/>
      <c r="H219" s="18">
        <v>2584</v>
      </c>
      <c r="I219" s="11"/>
      <c r="J219" s="11"/>
      <c r="K219" s="12"/>
      <c r="L219" s="12">
        <f>F219/H219</f>
        <v>1.1590557275541795</v>
      </c>
    </row>
    <row r="220" spans="1:12" ht="14" x14ac:dyDescent="0.15">
      <c r="A220" s="16" t="s">
        <v>316</v>
      </c>
      <c r="B220" s="16" t="s">
        <v>708</v>
      </c>
      <c r="C220" s="16"/>
      <c r="D220" s="13"/>
      <c r="E220" s="13"/>
      <c r="F220" s="13"/>
      <c r="G220" s="14"/>
      <c r="H220" s="13"/>
      <c r="I220" s="13"/>
      <c r="J220" s="13"/>
      <c r="K220" s="14"/>
      <c r="L220" s="12"/>
    </row>
    <row r="221" spans="1:12" ht="14" x14ac:dyDescent="0.15">
      <c r="A221" s="16" t="s">
        <v>322</v>
      </c>
      <c r="B221" s="16" t="s">
        <v>11</v>
      </c>
      <c r="C221" s="16" t="s">
        <v>323</v>
      </c>
      <c r="D221" s="17">
        <v>1314</v>
      </c>
      <c r="E221" s="18">
        <v>2</v>
      </c>
      <c r="F221" s="18">
        <v>1312</v>
      </c>
      <c r="G221" s="12"/>
      <c r="H221" s="18">
        <v>1199</v>
      </c>
      <c r="I221" s="11"/>
      <c r="J221" s="11"/>
      <c r="K221" s="12"/>
      <c r="L221" s="12">
        <f>F221/H221</f>
        <v>1.0942452043369475</v>
      </c>
    </row>
    <row r="222" spans="1:12" ht="14" x14ac:dyDescent="0.15">
      <c r="A222" s="16" t="s">
        <v>322</v>
      </c>
      <c r="B222" s="16" t="s">
        <v>324</v>
      </c>
      <c r="C222" s="16" t="s">
        <v>325</v>
      </c>
      <c r="D222" s="17">
        <v>576</v>
      </c>
      <c r="E222" s="18">
        <v>2</v>
      </c>
      <c r="F222" s="18">
        <v>574</v>
      </c>
      <c r="G222" s="12"/>
      <c r="H222" s="18">
        <v>353</v>
      </c>
      <c r="I222" s="11"/>
      <c r="J222" s="11"/>
      <c r="K222" s="12"/>
      <c r="L222" s="12">
        <f>F222/H222</f>
        <v>1.6260623229461757</v>
      </c>
    </row>
    <row r="223" spans="1:12" ht="14" x14ac:dyDescent="0.15">
      <c r="A223" s="16" t="s">
        <v>322</v>
      </c>
      <c r="B223" s="16" t="s">
        <v>35</v>
      </c>
      <c r="C223" s="16" t="s">
        <v>36</v>
      </c>
      <c r="D223" s="17">
        <v>738</v>
      </c>
      <c r="E223" s="18">
        <v>0</v>
      </c>
      <c r="F223" s="18">
        <v>738</v>
      </c>
      <c r="G223" s="12"/>
      <c r="H223" s="18">
        <v>846</v>
      </c>
      <c r="I223" s="11"/>
      <c r="J223" s="11"/>
      <c r="K223" s="12"/>
      <c r="L223" s="12">
        <f>F223/H223</f>
        <v>0.87234042553191493</v>
      </c>
    </row>
    <row r="224" spans="1:12" ht="14" x14ac:dyDescent="0.15">
      <c r="A224" s="16" t="s">
        <v>322</v>
      </c>
      <c r="B224" s="16" t="s">
        <v>708</v>
      </c>
      <c r="C224" s="16"/>
      <c r="D224" s="13"/>
      <c r="E224" s="13"/>
      <c r="F224" s="13"/>
      <c r="G224" s="14"/>
      <c r="H224" s="13"/>
      <c r="I224" s="13"/>
      <c r="J224" s="13"/>
      <c r="K224" s="14"/>
      <c r="L224" s="12"/>
    </row>
    <row r="225" spans="1:12" ht="14" x14ac:dyDescent="0.15">
      <c r="A225" s="16" t="s">
        <v>326</v>
      </c>
      <c r="B225" s="16" t="s">
        <v>11</v>
      </c>
      <c r="C225" s="16" t="s">
        <v>327</v>
      </c>
      <c r="D225" s="17">
        <v>575936</v>
      </c>
      <c r="E225" s="18">
        <v>9382</v>
      </c>
      <c r="F225" s="18">
        <v>566554</v>
      </c>
      <c r="G225" s="12"/>
      <c r="H225" s="18">
        <v>254441</v>
      </c>
      <c r="I225" s="11"/>
      <c r="J225" s="11"/>
      <c r="K225" s="12"/>
      <c r="L225" s="12">
        <f t="shared" ref="L225:L234" si="14">F225/H225</f>
        <v>2.2266615836284247</v>
      </c>
    </row>
    <row r="226" spans="1:12" ht="14" x14ac:dyDescent="0.15">
      <c r="A226" s="16" t="s">
        <v>326</v>
      </c>
      <c r="B226" s="16" t="s">
        <v>15</v>
      </c>
      <c r="C226" s="16" t="s">
        <v>16</v>
      </c>
      <c r="D226" s="17">
        <v>120342</v>
      </c>
      <c r="E226" s="18">
        <v>689</v>
      </c>
      <c r="F226" s="18">
        <v>119653</v>
      </c>
      <c r="G226" s="12"/>
      <c r="H226" s="18">
        <v>50930</v>
      </c>
      <c r="I226" s="11"/>
      <c r="J226" s="11"/>
      <c r="K226" s="12"/>
      <c r="L226" s="12">
        <f t="shared" si="14"/>
        <v>2.3493618692322795</v>
      </c>
    </row>
    <row r="227" spans="1:12" ht="14" x14ac:dyDescent="0.15">
      <c r="A227" s="16" t="s">
        <v>326</v>
      </c>
      <c r="B227" s="16" t="s">
        <v>45</v>
      </c>
      <c r="C227" s="16" t="s">
        <v>46</v>
      </c>
      <c r="D227" s="17">
        <v>266</v>
      </c>
      <c r="E227" s="18">
        <v>0</v>
      </c>
      <c r="F227" s="18">
        <v>266</v>
      </c>
      <c r="G227" s="12"/>
      <c r="H227" s="18">
        <v>92</v>
      </c>
      <c r="I227" s="11"/>
      <c r="J227" s="11"/>
      <c r="K227" s="12"/>
      <c r="L227" s="12">
        <f t="shared" si="14"/>
        <v>2.8913043478260869</v>
      </c>
    </row>
    <row r="228" spans="1:12" ht="14" x14ac:dyDescent="0.15">
      <c r="A228" s="16" t="s">
        <v>326</v>
      </c>
      <c r="B228" s="16" t="s">
        <v>328</v>
      </c>
      <c r="C228" s="16" t="s">
        <v>329</v>
      </c>
      <c r="D228" s="17">
        <v>4912</v>
      </c>
      <c r="E228" s="18">
        <v>0</v>
      </c>
      <c r="F228" s="18">
        <v>4912</v>
      </c>
      <c r="G228" s="12"/>
      <c r="H228" s="18">
        <v>2507</v>
      </c>
      <c r="I228" s="11"/>
      <c r="J228" s="11"/>
      <c r="K228" s="12"/>
      <c r="L228" s="12">
        <f t="shared" si="14"/>
        <v>1.9593139210211408</v>
      </c>
    </row>
    <row r="229" spans="1:12" ht="14" x14ac:dyDescent="0.15">
      <c r="A229" s="16" t="s">
        <v>326</v>
      </c>
      <c r="B229" s="16" t="s">
        <v>330</v>
      </c>
      <c r="C229" s="16" t="s">
        <v>331</v>
      </c>
      <c r="D229" s="17">
        <v>20904</v>
      </c>
      <c r="E229" s="18">
        <v>3243</v>
      </c>
      <c r="F229" s="18">
        <v>17661</v>
      </c>
      <c r="G229" s="12"/>
      <c r="H229" s="18">
        <v>8556</v>
      </c>
      <c r="I229" s="11"/>
      <c r="J229" s="11"/>
      <c r="K229" s="12"/>
      <c r="L229" s="12">
        <f t="shared" si="14"/>
        <v>2.0641654978962132</v>
      </c>
    </row>
    <row r="230" spans="1:12" ht="14" x14ac:dyDescent="0.15">
      <c r="A230" s="16" t="s">
        <v>326</v>
      </c>
      <c r="B230" s="16" t="s">
        <v>332</v>
      </c>
      <c r="C230" s="16" t="s">
        <v>333</v>
      </c>
      <c r="D230" s="17">
        <v>16</v>
      </c>
      <c r="E230" s="18">
        <v>0</v>
      </c>
      <c r="F230" s="18">
        <v>16</v>
      </c>
      <c r="G230" s="12"/>
      <c r="H230" s="18">
        <v>11</v>
      </c>
      <c r="I230" s="11"/>
      <c r="J230" s="11"/>
      <c r="K230" s="12"/>
      <c r="L230" s="12">
        <f t="shared" si="14"/>
        <v>1.4545454545454546</v>
      </c>
    </row>
    <row r="231" spans="1:12" ht="14" x14ac:dyDescent="0.15">
      <c r="A231" s="16" t="s">
        <v>326</v>
      </c>
      <c r="B231" s="16" t="s">
        <v>334</v>
      </c>
      <c r="C231" s="16" t="s">
        <v>335</v>
      </c>
      <c r="D231" s="17">
        <v>154631</v>
      </c>
      <c r="E231" s="18">
        <v>2785</v>
      </c>
      <c r="F231" s="18">
        <v>151846</v>
      </c>
      <c r="G231" s="12"/>
      <c r="H231" s="18">
        <v>72369</v>
      </c>
      <c r="I231" s="11"/>
      <c r="J231" s="11"/>
      <c r="K231" s="12"/>
      <c r="L231" s="12">
        <f t="shared" si="14"/>
        <v>2.0982188506128314</v>
      </c>
    </row>
    <row r="232" spans="1:12" ht="14" x14ac:dyDescent="0.15">
      <c r="A232" s="16" t="s">
        <v>326</v>
      </c>
      <c r="B232" s="16" t="s">
        <v>63</v>
      </c>
      <c r="C232" s="16" t="s">
        <v>64</v>
      </c>
      <c r="D232" s="17">
        <v>2305</v>
      </c>
      <c r="E232" s="18">
        <v>0</v>
      </c>
      <c r="F232" s="18">
        <v>2305</v>
      </c>
      <c r="G232" s="12"/>
      <c r="H232" s="18">
        <v>801</v>
      </c>
      <c r="I232" s="11"/>
      <c r="J232" s="11"/>
      <c r="K232" s="12"/>
      <c r="L232" s="12">
        <f t="shared" si="14"/>
        <v>2.8776529338327093</v>
      </c>
    </row>
    <row r="233" spans="1:12" ht="14" x14ac:dyDescent="0.15">
      <c r="A233" s="16" t="s">
        <v>326</v>
      </c>
      <c r="B233" s="16" t="s">
        <v>336</v>
      </c>
      <c r="C233" s="16" t="s">
        <v>337</v>
      </c>
      <c r="D233" s="17">
        <v>382</v>
      </c>
      <c r="E233" s="18">
        <v>113</v>
      </c>
      <c r="F233" s="18">
        <v>269</v>
      </c>
      <c r="G233" s="12"/>
      <c r="H233" s="18">
        <v>131</v>
      </c>
      <c r="I233" s="11"/>
      <c r="J233" s="11"/>
      <c r="K233" s="12"/>
      <c r="L233" s="12">
        <f t="shared" si="14"/>
        <v>2.053435114503817</v>
      </c>
    </row>
    <row r="234" spans="1:12" ht="14" x14ac:dyDescent="0.15">
      <c r="A234" s="16" t="s">
        <v>326</v>
      </c>
      <c r="B234" s="16" t="s">
        <v>338</v>
      </c>
      <c r="C234" s="16" t="s">
        <v>339</v>
      </c>
      <c r="D234" s="17">
        <v>539</v>
      </c>
      <c r="E234" s="18">
        <v>0</v>
      </c>
      <c r="F234" s="18">
        <v>539</v>
      </c>
      <c r="G234" s="12"/>
      <c r="H234" s="18">
        <v>275</v>
      </c>
      <c r="I234" s="11"/>
      <c r="J234" s="11"/>
      <c r="K234" s="12"/>
      <c r="L234" s="12">
        <f t="shared" si="14"/>
        <v>1.96</v>
      </c>
    </row>
    <row r="235" spans="1:12" ht="14" x14ac:dyDescent="0.15">
      <c r="A235" s="16" t="s">
        <v>326</v>
      </c>
      <c r="B235" s="16" t="s">
        <v>107</v>
      </c>
      <c r="C235" s="16" t="s">
        <v>108</v>
      </c>
      <c r="D235" s="17">
        <v>0</v>
      </c>
      <c r="E235" s="18">
        <v>0</v>
      </c>
      <c r="F235" s="18">
        <v>0</v>
      </c>
      <c r="G235" s="12"/>
      <c r="H235" s="18">
        <v>0</v>
      </c>
      <c r="I235" s="11"/>
      <c r="J235" s="11"/>
      <c r="K235" s="12"/>
      <c r="L235" s="12">
        <v>0</v>
      </c>
    </row>
    <row r="236" spans="1:12" ht="14" x14ac:dyDescent="0.15">
      <c r="A236" s="16" t="s">
        <v>326</v>
      </c>
      <c r="B236" s="16" t="s">
        <v>33</v>
      </c>
      <c r="C236" s="16" t="s">
        <v>34</v>
      </c>
      <c r="D236" s="17">
        <v>43948</v>
      </c>
      <c r="E236" s="18">
        <v>86</v>
      </c>
      <c r="F236" s="18">
        <v>43862</v>
      </c>
      <c r="G236" s="12"/>
      <c r="H236" s="18">
        <v>19920</v>
      </c>
      <c r="I236" s="11"/>
      <c r="J236" s="11"/>
      <c r="K236" s="12"/>
      <c r="L236" s="12">
        <f>F236/H236</f>
        <v>2.2019076305220882</v>
      </c>
    </row>
    <row r="237" spans="1:12" ht="14" x14ac:dyDescent="0.15">
      <c r="A237" s="16" t="s">
        <v>326</v>
      </c>
      <c r="B237" s="16" t="s">
        <v>340</v>
      </c>
      <c r="C237" s="16" t="s">
        <v>341</v>
      </c>
      <c r="D237" s="17">
        <v>31208</v>
      </c>
      <c r="E237" s="18">
        <v>634</v>
      </c>
      <c r="F237" s="18">
        <v>30574</v>
      </c>
      <c r="G237" s="12"/>
      <c r="H237" s="18">
        <v>16382</v>
      </c>
      <c r="I237" s="11"/>
      <c r="J237" s="11"/>
      <c r="K237" s="12"/>
      <c r="L237" s="12">
        <f>F237/H237</f>
        <v>1.8663166890489562</v>
      </c>
    </row>
    <row r="238" spans="1:12" ht="14" x14ac:dyDescent="0.15">
      <c r="A238" s="16" t="s">
        <v>326</v>
      </c>
      <c r="B238" s="16" t="s">
        <v>35</v>
      </c>
      <c r="C238" s="16" t="s">
        <v>36</v>
      </c>
      <c r="D238" s="17">
        <v>196483</v>
      </c>
      <c r="E238" s="18">
        <v>1832</v>
      </c>
      <c r="F238" s="18">
        <v>194651</v>
      </c>
      <c r="G238" s="12"/>
      <c r="H238" s="18">
        <v>82467</v>
      </c>
      <c r="I238" s="11"/>
      <c r="J238" s="11"/>
      <c r="K238" s="12"/>
      <c r="L238" s="12">
        <f>F238/H238</f>
        <v>2.3603502006863351</v>
      </c>
    </row>
    <row r="239" spans="1:12" ht="14" x14ac:dyDescent="0.15">
      <c r="A239" s="16" t="s">
        <v>326</v>
      </c>
      <c r="B239" s="16" t="s">
        <v>708</v>
      </c>
      <c r="C239" s="16"/>
      <c r="D239" s="13"/>
      <c r="E239" s="13"/>
      <c r="F239" s="13"/>
      <c r="G239" s="14"/>
      <c r="H239" s="13"/>
      <c r="I239" s="13"/>
      <c r="J239" s="13"/>
      <c r="K239" s="14"/>
      <c r="L239" s="12"/>
    </row>
    <row r="240" spans="1:12" ht="14" x14ac:dyDescent="0.15">
      <c r="A240" s="16" t="s">
        <v>342</v>
      </c>
      <c r="B240" s="16" t="s">
        <v>11</v>
      </c>
      <c r="C240" s="16" t="s">
        <v>343</v>
      </c>
      <c r="D240" s="17">
        <v>1428</v>
      </c>
      <c r="E240" s="18">
        <v>29</v>
      </c>
      <c r="F240" s="18">
        <v>1399</v>
      </c>
      <c r="G240" s="12"/>
      <c r="H240" s="18">
        <v>748</v>
      </c>
      <c r="I240" s="11"/>
      <c r="J240" s="11"/>
      <c r="K240" s="12"/>
      <c r="L240" s="12">
        <f>F240/H240</f>
        <v>1.8703208556149733</v>
      </c>
    </row>
    <row r="241" spans="1:12" ht="14" x14ac:dyDescent="0.15">
      <c r="A241" s="16" t="s">
        <v>342</v>
      </c>
      <c r="B241" s="16" t="s">
        <v>344</v>
      </c>
      <c r="C241" s="16" t="s">
        <v>345</v>
      </c>
      <c r="D241" s="17">
        <v>653</v>
      </c>
      <c r="E241" s="18">
        <v>13</v>
      </c>
      <c r="F241" s="18">
        <v>640</v>
      </c>
      <c r="G241" s="12"/>
      <c r="H241" s="18">
        <v>355</v>
      </c>
      <c r="I241" s="11"/>
      <c r="J241" s="11"/>
      <c r="K241" s="12"/>
      <c r="L241" s="12">
        <f>F241/H241</f>
        <v>1.8028169014084507</v>
      </c>
    </row>
    <row r="242" spans="1:12" ht="14" x14ac:dyDescent="0.15">
      <c r="A242" s="16" t="s">
        <v>342</v>
      </c>
      <c r="B242" s="16" t="s">
        <v>346</v>
      </c>
      <c r="C242" s="16" t="s">
        <v>347</v>
      </c>
      <c r="D242" s="17">
        <v>71</v>
      </c>
      <c r="E242" s="18">
        <v>0</v>
      </c>
      <c r="F242" s="18">
        <v>71</v>
      </c>
      <c r="G242" s="12"/>
      <c r="H242" s="18">
        <v>38</v>
      </c>
      <c r="I242" s="11"/>
      <c r="J242" s="11"/>
      <c r="K242" s="12"/>
      <c r="L242" s="12">
        <f>F242/H242</f>
        <v>1.868421052631579</v>
      </c>
    </row>
    <row r="243" spans="1:12" ht="14" x14ac:dyDescent="0.15">
      <c r="A243" s="16" t="s">
        <v>342</v>
      </c>
      <c r="B243" s="16" t="s">
        <v>348</v>
      </c>
      <c r="C243" s="16" t="s">
        <v>349</v>
      </c>
      <c r="D243" s="17">
        <v>55</v>
      </c>
      <c r="E243" s="18">
        <v>0</v>
      </c>
      <c r="F243" s="18">
        <v>55</v>
      </c>
      <c r="G243" s="12"/>
      <c r="H243" s="18">
        <v>39</v>
      </c>
      <c r="I243" s="11"/>
      <c r="J243" s="11"/>
      <c r="K243" s="12"/>
      <c r="L243" s="12">
        <f>F243/H243</f>
        <v>1.4102564102564104</v>
      </c>
    </row>
    <row r="244" spans="1:12" ht="14" x14ac:dyDescent="0.15">
      <c r="A244" s="16" t="s">
        <v>342</v>
      </c>
      <c r="B244" s="16" t="s">
        <v>35</v>
      </c>
      <c r="C244" s="16" t="s">
        <v>36</v>
      </c>
      <c r="D244" s="17">
        <v>649</v>
      </c>
      <c r="E244" s="18">
        <v>16</v>
      </c>
      <c r="F244" s="18">
        <v>633</v>
      </c>
      <c r="G244" s="12"/>
      <c r="H244" s="18">
        <v>316</v>
      </c>
      <c r="I244" s="11"/>
      <c r="J244" s="11"/>
      <c r="K244" s="12"/>
      <c r="L244" s="12">
        <f>F244/H244</f>
        <v>2.0031645569620253</v>
      </c>
    </row>
    <row r="245" spans="1:12" ht="14" x14ac:dyDescent="0.15">
      <c r="A245" s="16" t="s">
        <v>342</v>
      </c>
      <c r="B245" s="16" t="s">
        <v>708</v>
      </c>
      <c r="C245" s="16"/>
      <c r="D245" s="13"/>
      <c r="E245" s="13"/>
      <c r="F245" s="13"/>
      <c r="G245" s="14"/>
      <c r="H245" s="13"/>
      <c r="I245" s="13"/>
      <c r="J245" s="13"/>
      <c r="K245" s="14"/>
      <c r="L245" s="12"/>
    </row>
    <row r="246" spans="1:12" ht="14" x14ac:dyDescent="0.15">
      <c r="A246" s="16" t="s">
        <v>350</v>
      </c>
      <c r="B246" s="16" t="s">
        <v>11</v>
      </c>
      <c r="C246" s="16" t="s">
        <v>351</v>
      </c>
      <c r="D246" s="17">
        <v>6974</v>
      </c>
      <c r="E246" s="18">
        <v>93</v>
      </c>
      <c r="F246" s="18">
        <v>6881</v>
      </c>
      <c r="G246" s="12"/>
      <c r="H246" s="18">
        <v>3428</v>
      </c>
      <c r="I246" s="11"/>
      <c r="J246" s="11"/>
      <c r="K246" s="12"/>
      <c r="L246" s="12">
        <f t="shared" ref="L246:L253" si="15">F246/H246</f>
        <v>2.0072928821470244</v>
      </c>
    </row>
    <row r="247" spans="1:12" ht="14" x14ac:dyDescent="0.15">
      <c r="A247" s="16" t="s">
        <v>350</v>
      </c>
      <c r="B247" s="16" t="s">
        <v>352</v>
      </c>
      <c r="C247" s="16" t="s">
        <v>353</v>
      </c>
      <c r="D247" s="17">
        <v>179</v>
      </c>
      <c r="E247" s="18">
        <v>0</v>
      </c>
      <c r="F247" s="18">
        <v>179</v>
      </c>
      <c r="G247" s="12"/>
      <c r="H247" s="18">
        <v>80</v>
      </c>
      <c r="I247" s="11"/>
      <c r="J247" s="11"/>
      <c r="K247" s="12"/>
      <c r="L247" s="12">
        <f t="shared" si="15"/>
        <v>2.2374999999999998</v>
      </c>
    </row>
    <row r="248" spans="1:12" ht="14" x14ac:dyDescent="0.15">
      <c r="A248" s="16" t="s">
        <v>350</v>
      </c>
      <c r="B248" s="16" t="s">
        <v>354</v>
      </c>
      <c r="C248" s="16" t="s">
        <v>355</v>
      </c>
      <c r="D248" s="17">
        <v>3112</v>
      </c>
      <c r="E248" s="18">
        <v>69</v>
      </c>
      <c r="F248" s="18">
        <v>3043</v>
      </c>
      <c r="G248" s="12"/>
      <c r="H248" s="18">
        <v>1472</v>
      </c>
      <c r="I248" s="11"/>
      <c r="J248" s="11"/>
      <c r="K248" s="12"/>
      <c r="L248" s="12">
        <f t="shared" si="15"/>
        <v>2.0672554347826089</v>
      </c>
    </row>
    <row r="249" spans="1:12" ht="14" x14ac:dyDescent="0.15">
      <c r="A249" s="16" t="s">
        <v>350</v>
      </c>
      <c r="B249" s="16" t="s">
        <v>356</v>
      </c>
      <c r="C249" s="16" t="s">
        <v>357</v>
      </c>
      <c r="D249" s="17">
        <v>578</v>
      </c>
      <c r="E249" s="18">
        <v>11</v>
      </c>
      <c r="F249" s="18">
        <v>567</v>
      </c>
      <c r="G249" s="12"/>
      <c r="H249" s="18">
        <v>328</v>
      </c>
      <c r="I249" s="11"/>
      <c r="J249" s="11"/>
      <c r="K249" s="12"/>
      <c r="L249" s="12">
        <f t="shared" si="15"/>
        <v>1.7286585365853659</v>
      </c>
    </row>
    <row r="250" spans="1:12" ht="14" x14ac:dyDescent="0.15">
      <c r="A250" s="16" t="s">
        <v>350</v>
      </c>
      <c r="B250" s="16" t="s">
        <v>358</v>
      </c>
      <c r="C250" s="16" t="s">
        <v>359</v>
      </c>
      <c r="D250" s="17">
        <v>173</v>
      </c>
      <c r="E250" s="18">
        <v>0</v>
      </c>
      <c r="F250" s="18">
        <v>173</v>
      </c>
      <c r="G250" s="12"/>
      <c r="H250" s="18">
        <v>102</v>
      </c>
      <c r="I250" s="11"/>
      <c r="J250" s="11"/>
      <c r="K250" s="12"/>
      <c r="L250" s="12">
        <f t="shared" si="15"/>
        <v>1.696078431372549</v>
      </c>
    </row>
    <row r="251" spans="1:12" ht="14" x14ac:dyDescent="0.15">
      <c r="A251" s="16" t="s">
        <v>350</v>
      </c>
      <c r="B251" s="16" t="s">
        <v>360</v>
      </c>
      <c r="C251" s="16" t="s">
        <v>361</v>
      </c>
      <c r="D251" s="17">
        <v>643</v>
      </c>
      <c r="E251" s="18">
        <v>13</v>
      </c>
      <c r="F251" s="18">
        <v>630</v>
      </c>
      <c r="G251" s="12"/>
      <c r="H251" s="18">
        <v>315</v>
      </c>
      <c r="I251" s="11"/>
      <c r="J251" s="11"/>
      <c r="K251" s="12"/>
      <c r="L251" s="12">
        <f t="shared" si="15"/>
        <v>2</v>
      </c>
    </row>
    <row r="252" spans="1:12" ht="14" x14ac:dyDescent="0.15">
      <c r="A252" s="16" t="s">
        <v>350</v>
      </c>
      <c r="B252" s="16" t="s">
        <v>362</v>
      </c>
      <c r="C252" s="16" t="s">
        <v>363</v>
      </c>
      <c r="D252" s="17">
        <v>93</v>
      </c>
      <c r="E252" s="18">
        <v>0</v>
      </c>
      <c r="F252" s="18">
        <v>93</v>
      </c>
      <c r="G252" s="12"/>
      <c r="H252" s="18">
        <v>61</v>
      </c>
      <c r="I252" s="11"/>
      <c r="J252" s="11"/>
      <c r="K252" s="12"/>
      <c r="L252" s="12">
        <f t="shared" si="15"/>
        <v>1.5245901639344261</v>
      </c>
    </row>
    <row r="253" spans="1:12" ht="14" x14ac:dyDescent="0.15">
      <c r="A253" s="16" t="s">
        <v>350</v>
      </c>
      <c r="B253" s="16" t="s">
        <v>35</v>
      </c>
      <c r="C253" s="16" t="s">
        <v>36</v>
      </c>
      <c r="D253" s="17">
        <v>2196</v>
      </c>
      <c r="E253" s="18">
        <v>0</v>
      </c>
      <c r="F253" s="18">
        <v>2196</v>
      </c>
      <c r="G253" s="12"/>
      <c r="H253" s="18">
        <v>1070</v>
      </c>
      <c r="I253" s="11"/>
      <c r="J253" s="11"/>
      <c r="K253" s="12"/>
      <c r="L253" s="12">
        <f t="shared" si="15"/>
        <v>2.052336448598131</v>
      </c>
    </row>
    <row r="254" spans="1:12" ht="14" x14ac:dyDescent="0.15">
      <c r="A254" s="16" t="s">
        <v>350</v>
      </c>
      <c r="B254" s="16" t="s">
        <v>708</v>
      </c>
      <c r="C254" s="16"/>
      <c r="D254" s="13"/>
      <c r="E254" s="13"/>
      <c r="F254" s="13"/>
      <c r="G254" s="14"/>
      <c r="H254" s="13"/>
      <c r="I254" s="13"/>
      <c r="J254" s="13"/>
      <c r="K254" s="14"/>
      <c r="L254" s="12"/>
    </row>
    <row r="255" spans="1:12" ht="14" x14ac:dyDescent="0.15">
      <c r="A255" s="16" t="s">
        <v>364</v>
      </c>
      <c r="B255" s="16" t="s">
        <v>11</v>
      </c>
      <c r="C255" s="16" t="s">
        <v>365</v>
      </c>
      <c r="D255" s="17">
        <v>7342</v>
      </c>
      <c r="E255" s="18">
        <v>113</v>
      </c>
      <c r="F255" s="18">
        <v>7229</v>
      </c>
      <c r="G255" s="12"/>
      <c r="H255" s="18">
        <v>4452</v>
      </c>
      <c r="I255" s="11"/>
      <c r="J255" s="11"/>
      <c r="K255" s="12"/>
      <c r="L255" s="12">
        <f>F255/H255</f>
        <v>1.6237646001796946</v>
      </c>
    </row>
    <row r="256" spans="1:12" ht="14" x14ac:dyDescent="0.15">
      <c r="A256" s="16" t="s">
        <v>364</v>
      </c>
      <c r="B256" s="16" t="s">
        <v>366</v>
      </c>
      <c r="C256" s="16" t="s">
        <v>367</v>
      </c>
      <c r="D256" s="17">
        <v>2621</v>
      </c>
      <c r="E256" s="18">
        <v>23</v>
      </c>
      <c r="F256" s="18">
        <v>2598</v>
      </c>
      <c r="G256" s="12"/>
      <c r="H256" s="18">
        <v>1758</v>
      </c>
      <c r="I256" s="11"/>
      <c r="J256" s="11"/>
      <c r="K256" s="12"/>
      <c r="L256" s="12">
        <f>F256/H256</f>
        <v>1.4778156996587031</v>
      </c>
    </row>
    <row r="257" spans="1:12" ht="14" x14ac:dyDescent="0.15">
      <c r="A257" s="16" t="s">
        <v>364</v>
      </c>
      <c r="B257" s="16" t="s">
        <v>35</v>
      </c>
      <c r="C257" s="16" t="s">
        <v>36</v>
      </c>
      <c r="D257" s="17">
        <v>4721</v>
      </c>
      <c r="E257" s="18">
        <v>90</v>
      </c>
      <c r="F257" s="18">
        <v>4631</v>
      </c>
      <c r="G257" s="12"/>
      <c r="H257" s="18">
        <v>2694</v>
      </c>
      <c r="I257" s="11"/>
      <c r="J257" s="11"/>
      <c r="K257" s="12"/>
      <c r="L257" s="12">
        <f>F257/H257</f>
        <v>1.7190051967334818</v>
      </c>
    </row>
    <row r="258" spans="1:12" ht="14" x14ac:dyDescent="0.15">
      <c r="A258" s="16" t="s">
        <v>364</v>
      </c>
      <c r="B258" s="16" t="s">
        <v>708</v>
      </c>
      <c r="C258" s="16"/>
      <c r="D258" s="13"/>
      <c r="E258" s="13"/>
      <c r="F258" s="13"/>
      <c r="G258" s="14"/>
      <c r="H258" s="13"/>
      <c r="I258" s="13"/>
      <c r="J258" s="13"/>
      <c r="K258" s="14"/>
      <c r="L258" s="12"/>
    </row>
    <row r="259" spans="1:12" ht="14" x14ac:dyDescent="0.15">
      <c r="A259" s="16" t="s">
        <v>368</v>
      </c>
      <c r="B259" s="16" t="s">
        <v>11</v>
      </c>
      <c r="C259" s="16" t="s">
        <v>369</v>
      </c>
      <c r="D259" s="17">
        <v>56557</v>
      </c>
      <c r="E259" s="18">
        <v>1912</v>
      </c>
      <c r="F259" s="18">
        <v>54645</v>
      </c>
      <c r="G259" s="12"/>
      <c r="H259" s="18">
        <v>28946</v>
      </c>
      <c r="I259" s="11"/>
      <c r="J259" s="11"/>
      <c r="K259" s="12"/>
      <c r="L259" s="12">
        <f>F259/H259</f>
        <v>1.8878256063013887</v>
      </c>
    </row>
    <row r="260" spans="1:12" ht="14" x14ac:dyDescent="0.15">
      <c r="A260" s="16" t="s">
        <v>368</v>
      </c>
      <c r="B260" s="16" t="s">
        <v>370</v>
      </c>
      <c r="C260" s="16" t="s">
        <v>371</v>
      </c>
      <c r="D260" s="17">
        <v>2896</v>
      </c>
      <c r="E260" s="18">
        <v>19</v>
      </c>
      <c r="F260" s="18">
        <v>2877</v>
      </c>
      <c r="G260" s="12"/>
      <c r="H260" s="18">
        <v>1146</v>
      </c>
      <c r="I260" s="11"/>
      <c r="J260" s="11"/>
      <c r="K260" s="12"/>
      <c r="L260" s="12">
        <f>F260/H260</f>
        <v>2.5104712041884816</v>
      </c>
    </row>
    <row r="261" spans="1:12" ht="14" x14ac:dyDescent="0.15">
      <c r="A261" s="16" t="s">
        <v>368</v>
      </c>
      <c r="B261" s="16" t="s">
        <v>372</v>
      </c>
      <c r="C261" s="16" t="s">
        <v>373</v>
      </c>
      <c r="D261" s="17">
        <v>19458</v>
      </c>
      <c r="E261" s="18">
        <v>1865</v>
      </c>
      <c r="F261" s="18">
        <v>17593</v>
      </c>
      <c r="G261" s="12"/>
      <c r="H261" s="18">
        <v>9430</v>
      </c>
      <c r="I261" s="11"/>
      <c r="J261" s="11"/>
      <c r="K261" s="12"/>
      <c r="L261" s="12">
        <f>F261/H261</f>
        <v>1.8656415694591728</v>
      </c>
    </row>
    <row r="262" spans="1:12" ht="14" x14ac:dyDescent="0.15">
      <c r="A262" s="16" t="s">
        <v>368</v>
      </c>
      <c r="B262" s="16" t="s">
        <v>374</v>
      </c>
      <c r="C262" s="16" t="s">
        <v>375</v>
      </c>
      <c r="D262" s="17">
        <v>851</v>
      </c>
      <c r="E262" s="18">
        <v>0</v>
      </c>
      <c r="F262" s="18">
        <v>851</v>
      </c>
      <c r="G262" s="12"/>
      <c r="H262" s="18">
        <v>379</v>
      </c>
      <c r="I262" s="11"/>
      <c r="J262" s="11"/>
      <c r="K262" s="12"/>
      <c r="L262" s="12">
        <f>F262/H262</f>
        <v>2.2453825857519787</v>
      </c>
    </row>
    <row r="263" spans="1:12" ht="14" x14ac:dyDescent="0.15">
      <c r="A263" s="16" t="s">
        <v>368</v>
      </c>
      <c r="B263" s="16" t="s">
        <v>35</v>
      </c>
      <c r="C263" s="16" t="s">
        <v>36</v>
      </c>
      <c r="D263" s="17">
        <v>33352</v>
      </c>
      <c r="E263" s="18">
        <v>28</v>
      </c>
      <c r="F263" s="18">
        <v>33324</v>
      </c>
      <c r="G263" s="12"/>
      <c r="H263" s="18">
        <v>17991</v>
      </c>
      <c r="I263" s="11"/>
      <c r="J263" s="11"/>
      <c r="K263" s="12"/>
      <c r="L263" s="12">
        <f>F263/H263</f>
        <v>1.8522594630648657</v>
      </c>
    </row>
    <row r="264" spans="1:12" ht="14" x14ac:dyDescent="0.15">
      <c r="A264" s="16" t="s">
        <v>368</v>
      </c>
      <c r="B264" s="16" t="s">
        <v>708</v>
      </c>
      <c r="C264" s="16"/>
      <c r="D264" s="17"/>
      <c r="E264" s="13"/>
      <c r="F264" s="13"/>
      <c r="G264" s="14"/>
      <c r="H264" s="13"/>
      <c r="I264" s="13"/>
      <c r="J264" s="13"/>
      <c r="K264" s="14"/>
      <c r="L264" s="12"/>
    </row>
    <row r="265" spans="1:12" ht="14" x14ac:dyDescent="0.15">
      <c r="A265" s="16" t="s">
        <v>376</v>
      </c>
      <c r="B265" s="16" t="s">
        <v>11</v>
      </c>
      <c r="C265" s="16" t="s">
        <v>377</v>
      </c>
      <c r="D265" s="17">
        <v>366843</v>
      </c>
      <c r="E265" s="18">
        <v>12118</v>
      </c>
      <c r="F265" s="18">
        <v>354725</v>
      </c>
      <c r="G265" s="12"/>
      <c r="H265" s="18">
        <v>165658</v>
      </c>
      <c r="I265" s="11"/>
      <c r="J265" s="11"/>
      <c r="K265" s="12"/>
      <c r="L265" s="12">
        <f t="shared" ref="L265:L274" si="16">F265/H265</f>
        <v>2.1413092032983618</v>
      </c>
    </row>
    <row r="266" spans="1:12" ht="14" x14ac:dyDescent="0.15">
      <c r="A266" s="16" t="s">
        <v>376</v>
      </c>
      <c r="B266" s="16" t="s">
        <v>378</v>
      </c>
      <c r="C266" s="16" t="s">
        <v>379</v>
      </c>
      <c r="D266" s="17">
        <v>11316</v>
      </c>
      <c r="E266" s="18">
        <v>85</v>
      </c>
      <c r="F266" s="18">
        <v>11231</v>
      </c>
      <c r="G266" s="12"/>
      <c r="H266" s="18">
        <v>5195</v>
      </c>
      <c r="I266" s="11"/>
      <c r="J266" s="11"/>
      <c r="K266" s="12"/>
      <c r="L266" s="12">
        <f t="shared" si="16"/>
        <v>2.1618864292589026</v>
      </c>
    </row>
    <row r="267" spans="1:12" ht="14" x14ac:dyDescent="0.15">
      <c r="A267" s="16" t="s">
        <v>376</v>
      </c>
      <c r="B267" s="16" t="s">
        <v>380</v>
      </c>
      <c r="C267" s="16" t="s">
        <v>381</v>
      </c>
      <c r="D267" s="17">
        <v>5920</v>
      </c>
      <c r="E267" s="18">
        <v>72</v>
      </c>
      <c r="F267" s="18">
        <v>5848</v>
      </c>
      <c r="G267" s="12"/>
      <c r="H267" s="18">
        <v>4434</v>
      </c>
      <c r="I267" s="11"/>
      <c r="J267" s="11"/>
      <c r="K267" s="12"/>
      <c r="L267" s="12">
        <f t="shared" si="16"/>
        <v>1.3188994136220118</v>
      </c>
    </row>
    <row r="268" spans="1:12" ht="14" x14ac:dyDescent="0.15">
      <c r="A268" s="16" t="s">
        <v>376</v>
      </c>
      <c r="B268" s="16" t="s">
        <v>382</v>
      </c>
      <c r="C268" s="16" t="s">
        <v>383</v>
      </c>
      <c r="D268" s="17">
        <v>171848</v>
      </c>
      <c r="E268" s="18">
        <v>10702</v>
      </c>
      <c r="F268" s="18">
        <v>161146</v>
      </c>
      <c r="G268" s="12"/>
      <c r="H268" s="18">
        <v>73317</v>
      </c>
      <c r="I268" s="11"/>
      <c r="J268" s="11"/>
      <c r="K268" s="12"/>
      <c r="L268" s="12">
        <f t="shared" si="16"/>
        <v>2.1979349946124365</v>
      </c>
    </row>
    <row r="269" spans="1:12" ht="14" x14ac:dyDescent="0.15">
      <c r="A269" s="16" t="s">
        <v>376</v>
      </c>
      <c r="B269" s="16" t="s">
        <v>384</v>
      </c>
      <c r="C269" s="16" t="s">
        <v>385</v>
      </c>
      <c r="D269" s="17">
        <v>5237</v>
      </c>
      <c r="E269" s="18">
        <v>0</v>
      </c>
      <c r="F269" s="18">
        <v>5237</v>
      </c>
      <c r="G269" s="12"/>
      <c r="H269" s="18">
        <v>2584</v>
      </c>
      <c r="I269" s="11"/>
      <c r="J269" s="11"/>
      <c r="K269" s="12"/>
      <c r="L269" s="12">
        <f t="shared" si="16"/>
        <v>2.026702786377709</v>
      </c>
    </row>
    <row r="270" spans="1:12" ht="14" x14ac:dyDescent="0.15">
      <c r="A270" s="16" t="s">
        <v>376</v>
      </c>
      <c r="B270" s="16" t="s">
        <v>386</v>
      </c>
      <c r="C270" s="16" t="s">
        <v>387</v>
      </c>
      <c r="D270" s="17">
        <v>77913</v>
      </c>
      <c r="E270" s="18">
        <v>739</v>
      </c>
      <c r="F270" s="18">
        <v>77174</v>
      </c>
      <c r="G270" s="12"/>
      <c r="H270" s="18">
        <v>35587</v>
      </c>
      <c r="I270" s="11"/>
      <c r="J270" s="11"/>
      <c r="K270" s="12"/>
      <c r="L270" s="12">
        <f t="shared" si="16"/>
        <v>2.1686008935847361</v>
      </c>
    </row>
    <row r="271" spans="1:12" ht="14" x14ac:dyDescent="0.15">
      <c r="A271" s="16" t="s">
        <v>376</v>
      </c>
      <c r="B271" s="16" t="s">
        <v>388</v>
      </c>
      <c r="C271" s="16" t="s">
        <v>389</v>
      </c>
      <c r="D271" s="17">
        <v>7909</v>
      </c>
      <c r="E271" s="18">
        <v>0</v>
      </c>
      <c r="F271" s="18">
        <v>7909</v>
      </c>
      <c r="G271" s="12"/>
      <c r="H271" s="18">
        <v>3239</v>
      </c>
      <c r="I271" s="11"/>
      <c r="J271" s="11"/>
      <c r="K271" s="12"/>
      <c r="L271" s="12">
        <f t="shared" si="16"/>
        <v>2.4418030256251928</v>
      </c>
    </row>
    <row r="272" spans="1:12" ht="14" x14ac:dyDescent="0.15">
      <c r="A272" s="16" t="s">
        <v>376</v>
      </c>
      <c r="B272" s="16" t="s">
        <v>390</v>
      </c>
      <c r="C272" s="16" t="s">
        <v>391</v>
      </c>
      <c r="D272" s="17">
        <v>11624</v>
      </c>
      <c r="E272" s="18">
        <v>12</v>
      </c>
      <c r="F272" s="18">
        <v>11612</v>
      </c>
      <c r="G272" s="12"/>
      <c r="H272" s="18">
        <v>4349</v>
      </c>
      <c r="I272" s="11"/>
      <c r="J272" s="11"/>
      <c r="K272" s="12"/>
      <c r="L272" s="12">
        <f t="shared" si="16"/>
        <v>2.6700390894458494</v>
      </c>
    </row>
    <row r="273" spans="1:12" ht="14" x14ac:dyDescent="0.15">
      <c r="A273" s="16" t="s">
        <v>376</v>
      </c>
      <c r="B273" s="16" t="s">
        <v>392</v>
      </c>
      <c r="C273" s="16" t="s">
        <v>393</v>
      </c>
      <c r="D273" s="17">
        <v>8241</v>
      </c>
      <c r="E273" s="18">
        <v>0</v>
      </c>
      <c r="F273" s="18">
        <v>8241</v>
      </c>
      <c r="G273" s="12"/>
      <c r="H273" s="18">
        <v>3479</v>
      </c>
      <c r="I273" s="11"/>
      <c r="J273" s="11"/>
      <c r="K273" s="12"/>
      <c r="L273" s="12">
        <f t="shared" si="16"/>
        <v>2.3687841333716584</v>
      </c>
    </row>
    <row r="274" spans="1:12" ht="14" x14ac:dyDescent="0.15">
      <c r="A274" s="16" t="s">
        <v>376</v>
      </c>
      <c r="B274" s="16" t="s">
        <v>35</v>
      </c>
      <c r="C274" s="16" t="s">
        <v>36</v>
      </c>
      <c r="D274" s="17">
        <v>66835</v>
      </c>
      <c r="E274" s="18">
        <v>508</v>
      </c>
      <c r="F274" s="18">
        <v>66327</v>
      </c>
      <c r="G274" s="12"/>
      <c r="H274" s="18">
        <v>33472</v>
      </c>
      <c r="I274" s="11"/>
      <c r="J274" s="11"/>
      <c r="K274" s="12"/>
      <c r="L274" s="12">
        <f t="shared" si="16"/>
        <v>1.9815666826003824</v>
      </c>
    </row>
    <row r="275" spans="1:12" ht="14" x14ac:dyDescent="0.15">
      <c r="A275" s="16" t="s">
        <v>376</v>
      </c>
      <c r="B275" s="16" t="s">
        <v>708</v>
      </c>
      <c r="C275" s="16"/>
      <c r="D275" s="13"/>
      <c r="E275" s="13"/>
      <c r="F275" s="13"/>
      <c r="G275" s="14"/>
      <c r="H275" s="13"/>
      <c r="I275" s="13"/>
      <c r="J275" s="13"/>
      <c r="K275" s="14"/>
      <c r="L275" s="12"/>
    </row>
    <row r="276" spans="1:12" ht="14" x14ac:dyDescent="0.15">
      <c r="A276" s="16" t="s">
        <v>394</v>
      </c>
      <c r="B276" s="16" t="s">
        <v>11</v>
      </c>
      <c r="C276" s="16" t="s">
        <v>395</v>
      </c>
      <c r="D276" s="17">
        <v>14297</v>
      </c>
      <c r="E276" s="18">
        <v>393</v>
      </c>
      <c r="F276" s="18">
        <v>13904</v>
      </c>
      <c r="G276" s="12"/>
      <c r="H276" s="18">
        <v>8155</v>
      </c>
      <c r="I276" s="11"/>
      <c r="J276" s="11"/>
      <c r="K276" s="12"/>
      <c r="L276" s="12">
        <f t="shared" ref="L276:L283" si="17">F276/H276</f>
        <v>1.7049662783568362</v>
      </c>
    </row>
    <row r="277" spans="1:12" ht="14" x14ac:dyDescent="0.15">
      <c r="A277" s="16" t="s">
        <v>394</v>
      </c>
      <c r="B277" s="16" t="s">
        <v>396</v>
      </c>
      <c r="C277" s="16" t="s">
        <v>397</v>
      </c>
      <c r="D277" s="17">
        <v>454</v>
      </c>
      <c r="E277" s="18">
        <v>0</v>
      </c>
      <c r="F277" s="18">
        <v>454</v>
      </c>
      <c r="G277" s="12"/>
      <c r="H277" s="18">
        <v>269</v>
      </c>
      <c r="I277" s="11"/>
      <c r="J277" s="11"/>
      <c r="K277" s="12"/>
      <c r="L277" s="12">
        <f t="shared" si="17"/>
        <v>1.687732342007435</v>
      </c>
    </row>
    <row r="278" spans="1:12" ht="14" x14ac:dyDescent="0.15">
      <c r="A278" s="16" t="s">
        <v>394</v>
      </c>
      <c r="B278" s="16" t="s">
        <v>398</v>
      </c>
      <c r="C278" s="16" t="s">
        <v>399</v>
      </c>
      <c r="D278" s="17">
        <v>58</v>
      </c>
      <c r="E278" s="18">
        <v>0</v>
      </c>
      <c r="F278" s="18">
        <v>58</v>
      </c>
      <c r="G278" s="12"/>
      <c r="H278" s="18">
        <v>47</v>
      </c>
      <c r="I278" s="11"/>
      <c r="J278" s="11"/>
      <c r="K278" s="12"/>
      <c r="L278" s="12">
        <f t="shared" si="17"/>
        <v>1.2340425531914894</v>
      </c>
    </row>
    <row r="279" spans="1:12" ht="14" x14ac:dyDescent="0.15">
      <c r="A279" s="16" t="s">
        <v>394</v>
      </c>
      <c r="B279" s="16" t="s">
        <v>400</v>
      </c>
      <c r="C279" s="16" t="s">
        <v>401</v>
      </c>
      <c r="D279" s="17">
        <v>130</v>
      </c>
      <c r="E279" s="18">
        <v>0</v>
      </c>
      <c r="F279" s="18">
        <v>130</v>
      </c>
      <c r="G279" s="12"/>
      <c r="H279" s="18">
        <v>93</v>
      </c>
      <c r="I279" s="11"/>
      <c r="J279" s="11"/>
      <c r="K279" s="12"/>
      <c r="L279" s="12">
        <f t="shared" si="17"/>
        <v>1.3978494623655915</v>
      </c>
    </row>
    <row r="280" spans="1:12" ht="14" x14ac:dyDescent="0.15">
      <c r="A280" s="16" t="s">
        <v>394</v>
      </c>
      <c r="B280" s="16" t="s">
        <v>402</v>
      </c>
      <c r="C280" s="16" t="s">
        <v>403</v>
      </c>
      <c r="D280" s="17">
        <v>64</v>
      </c>
      <c r="E280" s="18">
        <v>0</v>
      </c>
      <c r="F280" s="18">
        <v>64</v>
      </c>
      <c r="G280" s="12"/>
      <c r="H280" s="18">
        <v>56</v>
      </c>
      <c r="I280" s="11"/>
      <c r="J280" s="11"/>
      <c r="K280" s="12"/>
      <c r="L280" s="12">
        <f t="shared" si="17"/>
        <v>1.1428571428571428</v>
      </c>
    </row>
    <row r="281" spans="1:12" ht="14" x14ac:dyDescent="0.15">
      <c r="A281" s="16" t="s">
        <v>394</v>
      </c>
      <c r="B281" s="16" t="s">
        <v>404</v>
      </c>
      <c r="C281" s="16" t="s">
        <v>405</v>
      </c>
      <c r="D281" s="17">
        <v>62</v>
      </c>
      <c r="E281" s="18">
        <v>0</v>
      </c>
      <c r="F281" s="18">
        <v>62</v>
      </c>
      <c r="G281" s="12"/>
      <c r="H281" s="18">
        <v>41</v>
      </c>
      <c r="I281" s="11"/>
      <c r="J281" s="11"/>
      <c r="K281" s="12"/>
      <c r="L281" s="12">
        <f t="shared" si="17"/>
        <v>1.5121951219512195</v>
      </c>
    </row>
    <row r="282" spans="1:12" ht="14" x14ac:dyDescent="0.15">
      <c r="A282" s="16" t="s">
        <v>394</v>
      </c>
      <c r="B282" s="16" t="s">
        <v>406</v>
      </c>
      <c r="C282" s="16" t="s">
        <v>407</v>
      </c>
      <c r="D282" s="17">
        <v>8289</v>
      </c>
      <c r="E282" s="18">
        <v>205</v>
      </c>
      <c r="F282" s="18">
        <v>8084</v>
      </c>
      <c r="G282" s="12"/>
      <c r="H282" s="18">
        <v>4305</v>
      </c>
      <c r="I282" s="11"/>
      <c r="J282" s="11"/>
      <c r="K282" s="12"/>
      <c r="L282" s="12">
        <f t="shared" si="17"/>
        <v>1.8778164924506389</v>
      </c>
    </row>
    <row r="283" spans="1:12" ht="14" x14ac:dyDescent="0.15">
      <c r="A283" s="16" t="s">
        <v>394</v>
      </c>
      <c r="B283" s="16" t="s">
        <v>35</v>
      </c>
      <c r="C283" s="16" t="s">
        <v>36</v>
      </c>
      <c r="D283" s="17">
        <v>5240</v>
      </c>
      <c r="E283" s="18">
        <v>188</v>
      </c>
      <c r="F283" s="18">
        <v>5052</v>
      </c>
      <c r="G283" s="12"/>
      <c r="H283" s="18">
        <v>3344</v>
      </c>
      <c r="I283" s="11"/>
      <c r="J283" s="11"/>
      <c r="K283" s="12"/>
      <c r="L283" s="12">
        <f t="shared" si="17"/>
        <v>1.5107655502392345</v>
      </c>
    </row>
    <row r="284" spans="1:12" ht="14" x14ac:dyDescent="0.15">
      <c r="A284" s="16" t="s">
        <v>394</v>
      </c>
      <c r="B284" s="16" t="s">
        <v>708</v>
      </c>
      <c r="C284" s="16"/>
      <c r="D284" s="13"/>
      <c r="E284" s="13"/>
      <c r="F284" s="13"/>
      <c r="G284" s="14"/>
      <c r="H284" s="13"/>
      <c r="I284" s="13"/>
      <c r="J284" s="13"/>
      <c r="K284" s="14"/>
      <c r="L284" s="12"/>
    </row>
    <row r="285" spans="1:12" ht="14" x14ac:dyDescent="0.15">
      <c r="A285" s="16" t="s">
        <v>408</v>
      </c>
      <c r="B285" s="16" t="s">
        <v>11</v>
      </c>
      <c r="C285" s="16" t="s">
        <v>409</v>
      </c>
      <c r="D285" s="17">
        <v>5513</v>
      </c>
      <c r="E285" s="18">
        <v>842</v>
      </c>
      <c r="F285" s="18">
        <v>4671</v>
      </c>
      <c r="G285" s="12"/>
      <c r="H285" s="18">
        <v>2386</v>
      </c>
      <c r="I285" s="11"/>
      <c r="J285" s="11"/>
      <c r="K285" s="12"/>
      <c r="L285" s="12">
        <f t="shared" ref="L285:L290" si="18">F285/H285</f>
        <v>1.9576697401508802</v>
      </c>
    </row>
    <row r="286" spans="1:12" ht="14" x14ac:dyDescent="0.15">
      <c r="A286" s="16" t="s">
        <v>408</v>
      </c>
      <c r="B286" s="16" t="s">
        <v>410</v>
      </c>
      <c r="C286" s="16" t="s">
        <v>411</v>
      </c>
      <c r="D286" s="17">
        <v>200</v>
      </c>
      <c r="E286" s="18">
        <v>0</v>
      </c>
      <c r="F286" s="18">
        <v>200</v>
      </c>
      <c r="G286" s="12"/>
      <c r="H286" s="18">
        <v>122</v>
      </c>
      <c r="I286" s="11"/>
      <c r="J286" s="11"/>
      <c r="K286" s="12"/>
      <c r="L286" s="12">
        <f t="shared" si="18"/>
        <v>1.639344262295082</v>
      </c>
    </row>
    <row r="287" spans="1:12" ht="14" x14ac:dyDescent="0.15">
      <c r="A287" s="16" t="s">
        <v>408</v>
      </c>
      <c r="B287" s="16" t="s">
        <v>412</v>
      </c>
      <c r="C287" s="16" t="s">
        <v>413</v>
      </c>
      <c r="D287" s="17">
        <v>152</v>
      </c>
      <c r="E287" s="18">
        <v>0</v>
      </c>
      <c r="F287" s="18">
        <v>152</v>
      </c>
      <c r="G287" s="12"/>
      <c r="H287" s="18">
        <v>86</v>
      </c>
      <c r="I287" s="11"/>
      <c r="J287" s="11"/>
      <c r="K287" s="12"/>
      <c r="L287" s="12">
        <f t="shared" si="18"/>
        <v>1.7674418604651163</v>
      </c>
    </row>
    <row r="288" spans="1:12" ht="14" x14ac:dyDescent="0.15">
      <c r="A288" s="16" t="s">
        <v>408</v>
      </c>
      <c r="B288" s="16" t="s">
        <v>414</v>
      </c>
      <c r="C288" s="16" t="s">
        <v>415</v>
      </c>
      <c r="D288" s="17">
        <v>784</v>
      </c>
      <c r="E288" s="18">
        <v>38</v>
      </c>
      <c r="F288" s="18">
        <v>746</v>
      </c>
      <c r="G288" s="12"/>
      <c r="H288" s="18">
        <v>389</v>
      </c>
      <c r="I288" s="11"/>
      <c r="J288" s="11"/>
      <c r="K288" s="12"/>
      <c r="L288" s="12">
        <f t="shared" si="18"/>
        <v>1.9177377892030849</v>
      </c>
    </row>
    <row r="289" spans="1:12" ht="14" x14ac:dyDescent="0.15">
      <c r="A289" s="16" t="s">
        <v>408</v>
      </c>
      <c r="B289" s="16" t="s">
        <v>416</v>
      </c>
      <c r="C289" s="16" t="s">
        <v>417</v>
      </c>
      <c r="D289" s="17">
        <v>2027</v>
      </c>
      <c r="E289" s="18">
        <v>32</v>
      </c>
      <c r="F289" s="18">
        <v>1995</v>
      </c>
      <c r="G289" s="12"/>
      <c r="H289" s="18">
        <v>951</v>
      </c>
      <c r="I289" s="11"/>
      <c r="J289" s="11"/>
      <c r="K289" s="12"/>
      <c r="L289" s="12">
        <f t="shared" si="18"/>
        <v>2.0977917981072554</v>
      </c>
    </row>
    <row r="290" spans="1:12" ht="14" x14ac:dyDescent="0.15">
      <c r="A290" s="16" t="s">
        <v>408</v>
      </c>
      <c r="B290" s="16" t="s">
        <v>35</v>
      </c>
      <c r="C290" s="16" t="s">
        <v>36</v>
      </c>
      <c r="D290" s="17">
        <v>2350</v>
      </c>
      <c r="E290" s="18">
        <v>772</v>
      </c>
      <c r="F290" s="18">
        <v>1578</v>
      </c>
      <c r="G290" s="12"/>
      <c r="H290" s="18">
        <v>838</v>
      </c>
      <c r="I290" s="11"/>
      <c r="J290" s="11"/>
      <c r="K290" s="12"/>
      <c r="L290" s="12">
        <f t="shared" si="18"/>
        <v>1.8830548926014319</v>
      </c>
    </row>
    <row r="291" spans="1:12" ht="14" x14ac:dyDescent="0.15">
      <c r="A291" s="16" t="s">
        <v>408</v>
      </c>
      <c r="B291" s="16" t="s">
        <v>708</v>
      </c>
      <c r="C291" s="16"/>
      <c r="D291" s="13"/>
      <c r="E291" s="13"/>
      <c r="F291" s="13"/>
      <c r="G291" s="14"/>
      <c r="H291" s="13"/>
      <c r="I291" s="13"/>
      <c r="J291" s="13"/>
      <c r="K291" s="14"/>
      <c r="L291" s="12"/>
    </row>
    <row r="292" spans="1:12" ht="14" x14ac:dyDescent="0.15">
      <c r="A292" s="16" t="s">
        <v>418</v>
      </c>
      <c r="B292" s="16" t="s">
        <v>11</v>
      </c>
      <c r="C292" s="16" t="s">
        <v>419</v>
      </c>
      <c r="D292" s="17">
        <v>20809</v>
      </c>
      <c r="E292" s="18">
        <v>2693</v>
      </c>
      <c r="F292" s="18">
        <v>18116</v>
      </c>
      <c r="G292" s="12"/>
      <c r="H292" s="18">
        <v>8708</v>
      </c>
      <c r="I292" s="11"/>
      <c r="J292" s="11"/>
      <c r="K292" s="12"/>
      <c r="L292" s="12">
        <f t="shared" ref="L292:L299" si="19">F292/H292</f>
        <v>2.080385852090032</v>
      </c>
    </row>
    <row r="293" spans="1:12" ht="14" x14ac:dyDescent="0.15">
      <c r="A293" s="16" t="s">
        <v>418</v>
      </c>
      <c r="B293" s="16" t="s">
        <v>420</v>
      </c>
      <c r="C293" s="16" t="s">
        <v>421</v>
      </c>
      <c r="D293" s="17">
        <v>131</v>
      </c>
      <c r="E293" s="18">
        <v>0</v>
      </c>
      <c r="F293" s="18">
        <v>131</v>
      </c>
      <c r="G293" s="12"/>
      <c r="H293" s="18">
        <v>76</v>
      </c>
      <c r="I293" s="11"/>
      <c r="J293" s="11"/>
      <c r="K293" s="12"/>
      <c r="L293" s="12">
        <f t="shared" si="19"/>
        <v>1.7236842105263157</v>
      </c>
    </row>
    <row r="294" spans="1:12" ht="14" x14ac:dyDescent="0.15">
      <c r="A294" s="16" t="s">
        <v>418</v>
      </c>
      <c r="B294" s="16" t="s">
        <v>422</v>
      </c>
      <c r="C294" s="16" t="s">
        <v>423</v>
      </c>
      <c r="D294" s="17">
        <v>422</v>
      </c>
      <c r="E294" s="18">
        <v>0</v>
      </c>
      <c r="F294" s="18">
        <v>422</v>
      </c>
      <c r="G294" s="12"/>
      <c r="H294" s="18">
        <v>205</v>
      </c>
      <c r="I294" s="11"/>
      <c r="J294" s="11"/>
      <c r="K294" s="12"/>
      <c r="L294" s="12">
        <f t="shared" si="19"/>
        <v>2.0585365853658537</v>
      </c>
    </row>
    <row r="295" spans="1:12" ht="14" x14ac:dyDescent="0.15">
      <c r="A295" s="16" t="s">
        <v>418</v>
      </c>
      <c r="B295" s="16" t="s">
        <v>424</v>
      </c>
      <c r="C295" s="16" t="s">
        <v>425</v>
      </c>
      <c r="D295" s="17">
        <v>241</v>
      </c>
      <c r="E295" s="18">
        <v>0</v>
      </c>
      <c r="F295" s="18">
        <v>241</v>
      </c>
      <c r="G295" s="12"/>
      <c r="H295" s="18">
        <v>117</v>
      </c>
      <c r="I295" s="11"/>
      <c r="J295" s="11"/>
      <c r="K295" s="12"/>
      <c r="L295" s="12">
        <f t="shared" si="19"/>
        <v>2.0598290598290596</v>
      </c>
    </row>
    <row r="296" spans="1:12" ht="14" x14ac:dyDescent="0.15">
      <c r="A296" s="16" t="s">
        <v>418</v>
      </c>
      <c r="B296" s="16" t="s">
        <v>426</v>
      </c>
      <c r="C296" s="16" t="s">
        <v>427</v>
      </c>
      <c r="D296" s="17">
        <v>280</v>
      </c>
      <c r="E296" s="18">
        <v>0</v>
      </c>
      <c r="F296" s="18">
        <v>280</v>
      </c>
      <c r="G296" s="12"/>
      <c r="H296" s="18">
        <v>127</v>
      </c>
      <c r="I296" s="11"/>
      <c r="J296" s="11"/>
      <c r="K296" s="12"/>
      <c r="L296" s="12">
        <f t="shared" si="19"/>
        <v>2.204724409448819</v>
      </c>
    </row>
    <row r="297" spans="1:12" ht="14" x14ac:dyDescent="0.15">
      <c r="A297" s="16" t="s">
        <v>418</v>
      </c>
      <c r="B297" s="16" t="s">
        <v>428</v>
      </c>
      <c r="C297" s="16" t="s">
        <v>429</v>
      </c>
      <c r="D297" s="17">
        <v>209</v>
      </c>
      <c r="E297" s="18">
        <v>0</v>
      </c>
      <c r="F297" s="18">
        <v>209</v>
      </c>
      <c r="G297" s="12"/>
      <c r="H297" s="18">
        <v>106</v>
      </c>
      <c r="I297" s="11"/>
      <c r="J297" s="11"/>
      <c r="K297" s="12"/>
      <c r="L297" s="12">
        <f t="shared" si="19"/>
        <v>1.9716981132075471</v>
      </c>
    </row>
    <row r="298" spans="1:12" ht="14" x14ac:dyDescent="0.15">
      <c r="A298" s="16" t="s">
        <v>418</v>
      </c>
      <c r="B298" s="16" t="s">
        <v>430</v>
      </c>
      <c r="C298" s="16" t="s">
        <v>431</v>
      </c>
      <c r="D298" s="17">
        <v>13077</v>
      </c>
      <c r="E298" s="18">
        <v>2603</v>
      </c>
      <c r="F298" s="18">
        <v>10474</v>
      </c>
      <c r="G298" s="12"/>
      <c r="H298" s="18">
        <v>5243</v>
      </c>
      <c r="I298" s="11"/>
      <c r="J298" s="11"/>
      <c r="K298" s="12"/>
      <c r="L298" s="12">
        <f t="shared" si="19"/>
        <v>1.9977112340263208</v>
      </c>
    </row>
    <row r="299" spans="1:12" ht="14" x14ac:dyDescent="0.15">
      <c r="A299" s="16" t="s">
        <v>418</v>
      </c>
      <c r="B299" s="16" t="s">
        <v>35</v>
      </c>
      <c r="C299" s="16" t="s">
        <v>36</v>
      </c>
      <c r="D299" s="17">
        <v>6449</v>
      </c>
      <c r="E299" s="18">
        <v>90</v>
      </c>
      <c r="F299" s="18">
        <v>6359</v>
      </c>
      <c r="G299" s="12"/>
      <c r="H299" s="18">
        <v>2835</v>
      </c>
      <c r="I299" s="11"/>
      <c r="J299" s="11"/>
      <c r="K299" s="12"/>
      <c r="L299" s="12">
        <f t="shared" si="19"/>
        <v>2.2430335097001763</v>
      </c>
    </row>
    <row r="300" spans="1:12" ht="14" x14ac:dyDescent="0.15">
      <c r="A300" s="16" t="s">
        <v>418</v>
      </c>
      <c r="B300" s="16" t="s">
        <v>708</v>
      </c>
      <c r="C300" s="16"/>
      <c r="D300" s="13"/>
      <c r="E300" s="13"/>
      <c r="F300" s="13"/>
      <c r="G300" s="14"/>
      <c r="H300" s="13"/>
      <c r="I300" s="13"/>
      <c r="J300" s="13"/>
      <c r="K300" s="14"/>
      <c r="L300" s="12"/>
    </row>
    <row r="301" spans="1:12" ht="14" x14ac:dyDescent="0.15">
      <c r="A301" s="16" t="s">
        <v>432</v>
      </c>
      <c r="B301" s="16" t="s">
        <v>11</v>
      </c>
      <c r="C301" s="16" t="s">
        <v>433</v>
      </c>
      <c r="D301" s="17">
        <v>158534</v>
      </c>
      <c r="E301" s="18">
        <v>4129</v>
      </c>
      <c r="F301" s="18">
        <v>154405</v>
      </c>
      <c r="G301" s="12"/>
      <c r="H301" s="18">
        <v>70017</v>
      </c>
      <c r="I301" s="11"/>
      <c r="J301" s="11"/>
      <c r="K301" s="12"/>
      <c r="L301" s="12">
        <f t="shared" ref="L301:L307" si="20">F301/H301</f>
        <v>2.2052501535341418</v>
      </c>
    </row>
    <row r="302" spans="1:12" ht="14" x14ac:dyDescent="0.15">
      <c r="A302" s="16" t="s">
        <v>432</v>
      </c>
      <c r="B302" s="16" t="s">
        <v>434</v>
      </c>
      <c r="C302" s="16" t="s">
        <v>435</v>
      </c>
      <c r="D302" s="17">
        <v>368</v>
      </c>
      <c r="E302" s="18">
        <v>0</v>
      </c>
      <c r="F302" s="18">
        <v>368</v>
      </c>
      <c r="G302" s="12"/>
      <c r="H302" s="18">
        <v>207</v>
      </c>
      <c r="I302" s="11"/>
      <c r="J302" s="11"/>
      <c r="K302" s="12"/>
      <c r="L302" s="12">
        <f t="shared" si="20"/>
        <v>1.7777777777777777</v>
      </c>
    </row>
    <row r="303" spans="1:12" ht="14" x14ac:dyDescent="0.15">
      <c r="A303" s="16" t="s">
        <v>432</v>
      </c>
      <c r="B303" s="16" t="s">
        <v>436</v>
      </c>
      <c r="C303" s="16" t="s">
        <v>437</v>
      </c>
      <c r="D303" s="17">
        <v>492</v>
      </c>
      <c r="E303" s="18">
        <v>4</v>
      </c>
      <c r="F303" s="18">
        <v>488</v>
      </c>
      <c r="G303" s="12"/>
      <c r="H303" s="18">
        <v>213</v>
      </c>
      <c r="I303" s="11"/>
      <c r="J303" s="11"/>
      <c r="K303" s="12"/>
      <c r="L303" s="12">
        <f t="shared" si="20"/>
        <v>2.291079812206573</v>
      </c>
    </row>
    <row r="304" spans="1:12" ht="14" x14ac:dyDescent="0.15">
      <c r="A304" s="16" t="s">
        <v>432</v>
      </c>
      <c r="B304" s="16" t="s">
        <v>438</v>
      </c>
      <c r="C304" s="16" t="s">
        <v>439</v>
      </c>
      <c r="D304" s="17">
        <v>13625</v>
      </c>
      <c r="E304" s="18">
        <v>32</v>
      </c>
      <c r="F304" s="18">
        <v>13593</v>
      </c>
      <c r="G304" s="12"/>
      <c r="H304" s="18">
        <v>5751</v>
      </c>
      <c r="I304" s="11"/>
      <c r="J304" s="11"/>
      <c r="K304" s="12"/>
      <c r="L304" s="12">
        <f t="shared" si="20"/>
        <v>2.3635889410537296</v>
      </c>
    </row>
    <row r="305" spans="1:12" ht="14" x14ac:dyDescent="0.15">
      <c r="A305" s="16" t="s">
        <v>432</v>
      </c>
      <c r="B305" s="16" t="s">
        <v>440</v>
      </c>
      <c r="C305" s="16" t="s">
        <v>441</v>
      </c>
      <c r="D305" s="17">
        <v>67601</v>
      </c>
      <c r="E305" s="18">
        <v>3825</v>
      </c>
      <c r="F305" s="18">
        <v>63776</v>
      </c>
      <c r="G305" s="12"/>
      <c r="H305" s="18">
        <v>31187</v>
      </c>
      <c r="I305" s="11"/>
      <c r="J305" s="11"/>
      <c r="K305" s="12"/>
      <c r="L305" s="12">
        <f t="shared" si="20"/>
        <v>2.0449546285311189</v>
      </c>
    </row>
    <row r="306" spans="1:12" ht="14" x14ac:dyDescent="0.15">
      <c r="A306" s="16" t="s">
        <v>432</v>
      </c>
      <c r="B306" s="16" t="s">
        <v>442</v>
      </c>
      <c r="C306" s="16" t="s">
        <v>443</v>
      </c>
      <c r="D306" s="17">
        <v>2578</v>
      </c>
      <c r="E306" s="18">
        <v>57</v>
      </c>
      <c r="F306" s="18">
        <v>2521</v>
      </c>
      <c r="G306" s="12"/>
      <c r="H306" s="18">
        <v>1295</v>
      </c>
      <c r="I306" s="11"/>
      <c r="J306" s="11"/>
      <c r="K306" s="12"/>
      <c r="L306" s="12">
        <f t="shared" si="20"/>
        <v>1.9467181467181467</v>
      </c>
    </row>
    <row r="307" spans="1:12" ht="14" x14ac:dyDescent="0.15">
      <c r="A307" s="16" t="s">
        <v>432</v>
      </c>
      <c r="B307" s="16" t="s">
        <v>35</v>
      </c>
      <c r="C307" s="16" t="s">
        <v>36</v>
      </c>
      <c r="D307" s="17">
        <v>73870</v>
      </c>
      <c r="E307" s="18">
        <v>211</v>
      </c>
      <c r="F307" s="18">
        <v>73659</v>
      </c>
      <c r="G307" s="12"/>
      <c r="H307" s="18">
        <v>31364</v>
      </c>
      <c r="I307" s="11"/>
      <c r="J307" s="11"/>
      <c r="K307" s="12"/>
      <c r="L307" s="12">
        <f t="shared" si="20"/>
        <v>2.3485205968626452</v>
      </c>
    </row>
    <row r="308" spans="1:12" ht="14" x14ac:dyDescent="0.15">
      <c r="A308" s="16" t="s">
        <v>432</v>
      </c>
      <c r="B308" s="16" t="s">
        <v>708</v>
      </c>
      <c r="C308" s="16"/>
      <c r="D308" s="13"/>
      <c r="E308" s="13"/>
      <c r="F308" s="13"/>
      <c r="G308" s="14"/>
      <c r="H308" s="13"/>
      <c r="I308" s="13"/>
      <c r="J308" s="13"/>
      <c r="K308" s="14"/>
      <c r="L308" s="12"/>
    </row>
    <row r="309" spans="1:12" ht="14" x14ac:dyDescent="0.15">
      <c r="A309" s="16" t="s">
        <v>444</v>
      </c>
      <c r="B309" s="16" t="s">
        <v>11</v>
      </c>
      <c r="C309" s="16" t="s">
        <v>445</v>
      </c>
      <c r="D309" s="17">
        <v>924</v>
      </c>
      <c r="E309" s="18">
        <v>0</v>
      </c>
      <c r="F309" s="18">
        <v>924</v>
      </c>
      <c r="G309" s="12"/>
      <c r="H309" s="18">
        <v>1298</v>
      </c>
      <c r="I309" s="11"/>
      <c r="J309" s="11"/>
      <c r="K309" s="12"/>
      <c r="L309" s="12">
        <f>F309/H309</f>
        <v>0.71186440677966101</v>
      </c>
    </row>
    <row r="310" spans="1:12" ht="14" x14ac:dyDescent="0.15">
      <c r="A310" s="16" t="s">
        <v>444</v>
      </c>
      <c r="B310" s="16" t="s">
        <v>446</v>
      </c>
      <c r="C310" s="16" t="s">
        <v>447</v>
      </c>
      <c r="D310" s="17">
        <v>261</v>
      </c>
      <c r="E310" s="18">
        <v>0</v>
      </c>
      <c r="F310" s="18">
        <v>261</v>
      </c>
      <c r="G310" s="12"/>
      <c r="H310" s="18">
        <v>255</v>
      </c>
      <c r="I310" s="11"/>
      <c r="J310" s="11"/>
      <c r="K310" s="12"/>
      <c r="L310" s="12">
        <f>F310/H310</f>
        <v>1.0235294117647058</v>
      </c>
    </row>
    <row r="311" spans="1:12" ht="14" x14ac:dyDescent="0.15">
      <c r="A311" s="16" t="s">
        <v>444</v>
      </c>
      <c r="B311" s="16" t="s">
        <v>35</v>
      </c>
      <c r="C311" s="16" t="s">
        <v>36</v>
      </c>
      <c r="D311" s="17">
        <v>663</v>
      </c>
      <c r="E311" s="18">
        <v>0</v>
      </c>
      <c r="F311" s="18">
        <v>663</v>
      </c>
      <c r="G311" s="12"/>
      <c r="H311" s="18">
        <v>1043</v>
      </c>
      <c r="I311" s="11"/>
      <c r="J311" s="11"/>
      <c r="K311" s="12"/>
      <c r="L311" s="12">
        <f>F311/H311</f>
        <v>0.6356663470757431</v>
      </c>
    </row>
    <row r="312" spans="1:12" ht="14" x14ac:dyDescent="0.15">
      <c r="A312" s="16" t="s">
        <v>444</v>
      </c>
      <c r="B312" s="16" t="s">
        <v>708</v>
      </c>
      <c r="C312" s="16"/>
      <c r="D312" s="13"/>
      <c r="E312" s="13"/>
      <c r="F312" s="13"/>
      <c r="G312" s="14"/>
      <c r="H312" s="13"/>
      <c r="I312" s="13"/>
      <c r="J312" s="13"/>
      <c r="K312" s="14"/>
      <c r="L312" s="12"/>
    </row>
    <row r="313" spans="1:12" ht="14" x14ac:dyDescent="0.15">
      <c r="A313" s="16" t="s">
        <v>448</v>
      </c>
      <c r="B313" s="16" t="s">
        <v>11</v>
      </c>
      <c r="C313" s="16" t="s">
        <v>449</v>
      </c>
      <c r="D313" s="17">
        <v>13166</v>
      </c>
      <c r="E313" s="18">
        <v>110</v>
      </c>
      <c r="F313" s="18">
        <v>13056</v>
      </c>
      <c r="G313" s="12"/>
      <c r="H313" s="18">
        <v>6139</v>
      </c>
      <c r="I313" s="11"/>
      <c r="J313" s="11"/>
      <c r="K313" s="12"/>
      <c r="L313" s="12">
        <f>F313/H313</f>
        <v>2.1267307379051963</v>
      </c>
    </row>
    <row r="314" spans="1:12" ht="14" x14ac:dyDescent="0.15">
      <c r="A314" s="16" t="s">
        <v>448</v>
      </c>
      <c r="B314" s="16" t="s">
        <v>450</v>
      </c>
      <c r="C314" s="16" t="s">
        <v>451</v>
      </c>
      <c r="D314" s="17">
        <v>8930</v>
      </c>
      <c r="E314" s="18">
        <v>109</v>
      </c>
      <c r="F314" s="18">
        <v>8821</v>
      </c>
      <c r="G314" s="12"/>
      <c r="H314" s="18">
        <v>4049</v>
      </c>
      <c r="I314" s="11"/>
      <c r="J314" s="11"/>
      <c r="K314" s="12"/>
      <c r="L314" s="12">
        <f>F314/H314</f>
        <v>2.1785626080513709</v>
      </c>
    </row>
    <row r="315" spans="1:12" ht="14" x14ac:dyDescent="0.15">
      <c r="A315" s="16" t="s">
        <v>448</v>
      </c>
      <c r="B315" s="16" t="s">
        <v>452</v>
      </c>
      <c r="C315" s="16" t="s">
        <v>453</v>
      </c>
      <c r="D315" s="17">
        <v>239</v>
      </c>
      <c r="E315" s="18">
        <v>0</v>
      </c>
      <c r="F315" s="18">
        <v>239</v>
      </c>
      <c r="G315" s="12"/>
      <c r="H315" s="18">
        <v>148</v>
      </c>
      <c r="I315" s="11"/>
      <c r="J315" s="11"/>
      <c r="K315" s="12"/>
      <c r="L315" s="12">
        <f>F315/H315</f>
        <v>1.6148648648648649</v>
      </c>
    </row>
    <row r="316" spans="1:12" ht="14" x14ac:dyDescent="0.15">
      <c r="A316" s="16" t="s">
        <v>448</v>
      </c>
      <c r="B316" s="16" t="s">
        <v>35</v>
      </c>
      <c r="C316" s="16" t="s">
        <v>36</v>
      </c>
      <c r="D316" s="17">
        <v>3997</v>
      </c>
      <c r="E316" s="18">
        <v>1</v>
      </c>
      <c r="F316" s="18">
        <v>3996</v>
      </c>
      <c r="G316" s="12"/>
      <c r="H316" s="18">
        <v>1942</v>
      </c>
      <c r="I316" s="11"/>
      <c r="J316" s="11"/>
      <c r="K316" s="12"/>
      <c r="L316" s="12">
        <f>F316/H316</f>
        <v>2.0576725025746652</v>
      </c>
    </row>
    <row r="317" spans="1:12" ht="14" x14ac:dyDescent="0.15">
      <c r="A317" s="16" t="s">
        <v>448</v>
      </c>
      <c r="B317" s="16" t="s">
        <v>708</v>
      </c>
      <c r="C317" s="16"/>
      <c r="D317" s="13"/>
      <c r="E317" s="13"/>
      <c r="F317" s="13"/>
      <c r="G317" s="14"/>
      <c r="H317" s="13"/>
      <c r="I317" s="13"/>
      <c r="J317" s="13"/>
      <c r="K317" s="14"/>
      <c r="L317" s="12"/>
    </row>
    <row r="318" spans="1:12" ht="14" x14ac:dyDescent="0.15">
      <c r="A318" s="16" t="s">
        <v>454</v>
      </c>
      <c r="B318" s="16" t="s">
        <v>11</v>
      </c>
      <c r="C318" s="16" t="s">
        <v>455</v>
      </c>
      <c r="D318" s="17">
        <v>26464</v>
      </c>
      <c r="E318" s="18">
        <v>251</v>
      </c>
      <c r="F318" s="18">
        <v>26213</v>
      </c>
      <c r="G318" s="12"/>
      <c r="H318" s="18">
        <v>12348</v>
      </c>
      <c r="I318" s="11"/>
      <c r="J318" s="11"/>
      <c r="K318" s="12"/>
      <c r="L318" s="12">
        <f>F318/H318</f>
        <v>2.1228539034661482</v>
      </c>
    </row>
    <row r="319" spans="1:12" ht="14" x14ac:dyDescent="0.15">
      <c r="A319" s="16" t="s">
        <v>454</v>
      </c>
      <c r="B319" s="16" t="s">
        <v>456</v>
      </c>
      <c r="C319" s="16" t="s">
        <v>457</v>
      </c>
      <c r="D319" s="17">
        <v>8996</v>
      </c>
      <c r="E319" s="18">
        <v>203</v>
      </c>
      <c r="F319" s="18">
        <v>8793</v>
      </c>
      <c r="G319" s="12"/>
      <c r="H319" s="18">
        <v>4051</v>
      </c>
      <c r="I319" s="11"/>
      <c r="J319" s="11"/>
      <c r="K319" s="12"/>
      <c r="L319" s="12">
        <f>F319/H319</f>
        <v>2.1705751666255244</v>
      </c>
    </row>
    <row r="320" spans="1:12" ht="14" x14ac:dyDescent="0.15">
      <c r="A320" s="16" t="s">
        <v>454</v>
      </c>
      <c r="B320" s="16" t="s">
        <v>458</v>
      </c>
      <c r="C320" s="16" t="s">
        <v>459</v>
      </c>
      <c r="D320" s="17">
        <v>918</v>
      </c>
      <c r="E320" s="18">
        <v>0</v>
      </c>
      <c r="F320" s="18">
        <v>918</v>
      </c>
      <c r="G320" s="12"/>
      <c r="H320" s="18">
        <v>517</v>
      </c>
      <c r="I320" s="11"/>
      <c r="J320" s="11"/>
      <c r="K320" s="12"/>
      <c r="L320" s="12">
        <f>F320/H320</f>
        <v>1.7756286266924566</v>
      </c>
    </row>
    <row r="321" spans="1:12" ht="14" x14ac:dyDescent="0.15">
      <c r="A321" s="16" t="s">
        <v>454</v>
      </c>
      <c r="B321" s="16" t="s">
        <v>460</v>
      </c>
      <c r="C321" s="16" t="s">
        <v>461</v>
      </c>
      <c r="D321" s="17">
        <v>1233</v>
      </c>
      <c r="E321" s="18">
        <v>0</v>
      </c>
      <c r="F321" s="18">
        <v>1233</v>
      </c>
      <c r="G321" s="12"/>
      <c r="H321" s="18">
        <v>595</v>
      </c>
      <c r="I321" s="11"/>
      <c r="J321" s="11"/>
      <c r="K321" s="12"/>
      <c r="L321" s="12">
        <f>F321/H321</f>
        <v>2.0722689075630254</v>
      </c>
    </row>
    <row r="322" spans="1:12" ht="14" x14ac:dyDescent="0.15">
      <c r="A322" s="16" t="s">
        <v>454</v>
      </c>
      <c r="B322" s="16" t="s">
        <v>35</v>
      </c>
      <c r="C322" s="16" t="s">
        <v>36</v>
      </c>
      <c r="D322" s="17">
        <v>15317</v>
      </c>
      <c r="E322" s="18">
        <v>48</v>
      </c>
      <c r="F322" s="18">
        <v>15269</v>
      </c>
      <c r="G322" s="12"/>
      <c r="H322" s="18">
        <v>7186</v>
      </c>
      <c r="I322" s="11"/>
      <c r="J322" s="11"/>
      <c r="K322" s="12"/>
      <c r="L322" s="12">
        <f>F322/H322</f>
        <v>2.1248260506540495</v>
      </c>
    </row>
    <row r="323" spans="1:12" ht="14" x14ac:dyDescent="0.15">
      <c r="A323" s="16" t="s">
        <v>454</v>
      </c>
      <c r="B323" s="16" t="s">
        <v>708</v>
      </c>
      <c r="C323" s="16"/>
      <c r="D323" s="13"/>
      <c r="E323" s="13"/>
      <c r="F323" s="13"/>
      <c r="G323" s="14"/>
      <c r="H323" s="13"/>
      <c r="I323" s="13"/>
      <c r="J323" s="13"/>
      <c r="K323" s="14"/>
      <c r="L323" s="12"/>
    </row>
    <row r="324" spans="1:12" ht="14" x14ac:dyDescent="0.15">
      <c r="A324" s="16" t="s">
        <v>462</v>
      </c>
      <c r="B324" s="16" t="s">
        <v>11</v>
      </c>
      <c r="C324" s="16" t="s">
        <v>463</v>
      </c>
      <c r="D324" s="17">
        <v>43799</v>
      </c>
      <c r="E324" s="18">
        <v>688</v>
      </c>
      <c r="F324" s="18">
        <v>43111</v>
      </c>
      <c r="G324" s="12"/>
      <c r="H324" s="18">
        <v>19734</v>
      </c>
      <c r="I324" s="11"/>
      <c r="J324" s="11"/>
      <c r="K324" s="12"/>
      <c r="L324" s="12">
        <f t="shared" ref="L324:L329" si="21">F324/H324</f>
        <v>2.1846052498226411</v>
      </c>
    </row>
    <row r="325" spans="1:12" ht="14" x14ac:dyDescent="0.15">
      <c r="A325" s="16" t="s">
        <v>462</v>
      </c>
      <c r="B325" s="16" t="s">
        <v>464</v>
      </c>
      <c r="C325" s="16" t="s">
        <v>465</v>
      </c>
      <c r="D325" s="17">
        <v>21064</v>
      </c>
      <c r="E325" s="18">
        <v>328</v>
      </c>
      <c r="F325" s="18">
        <v>20736</v>
      </c>
      <c r="G325" s="12"/>
      <c r="H325" s="18">
        <v>9955</v>
      </c>
      <c r="I325" s="11"/>
      <c r="J325" s="11"/>
      <c r="K325" s="12"/>
      <c r="L325" s="12">
        <f t="shared" si="21"/>
        <v>2.0829733802109494</v>
      </c>
    </row>
    <row r="326" spans="1:12" ht="14" x14ac:dyDescent="0.15">
      <c r="A326" s="16" t="s">
        <v>462</v>
      </c>
      <c r="B326" s="16" t="s">
        <v>466</v>
      </c>
      <c r="C326" s="16" t="s">
        <v>467</v>
      </c>
      <c r="D326" s="17">
        <v>484</v>
      </c>
      <c r="E326" s="18">
        <v>0</v>
      </c>
      <c r="F326" s="18">
        <v>484</v>
      </c>
      <c r="G326" s="12"/>
      <c r="H326" s="18">
        <v>263</v>
      </c>
      <c r="I326" s="11"/>
      <c r="J326" s="11"/>
      <c r="K326" s="12"/>
      <c r="L326" s="12">
        <f t="shared" si="21"/>
        <v>1.8403041825095057</v>
      </c>
    </row>
    <row r="327" spans="1:12" ht="14" x14ac:dyDescent="0.15">
      <c r="A327" s="16" t="s">
        <v>462</v>
      </c>
      <c r="B327" s="16" t="s">
        <v>468</v>
      </c>
      <c r="C327" s="16" t="s">
        <v>469</v>
      </c>
      <c r="D327" s="17">
        <v>581</v>
      </c>
      <c r="E327" s="18">
        <v>0</v>
      </c>
      <c r="F327" s="18">
        <v>581</v>
      </c>
      <c r="G327" s="12"/>
      <c r="H327" s="18">
        <v>310</v>
      </c>
      <c r="I327" s="11"/>
      <c r="J327" s="11"/>
      <c r="K327" s="12"/>
      <c r="L327" s="12">
        <f t="shared" si="21"/>
        <v>1.8741935483870968</v>
      </c>
    </row>
    <row r="328" spans="1:12" ht="14" x14ac:dyDescent="0.15">
      <c r="A328" s="16" t="s">
        <v>462</v>
      </c>
      <c r="B328" s="16" t="s">
        <v>470</v>
      </c>
      <c r="C328" s="16" t="s">
        <v>471</v>
      </c>
      <c r="D328" s="17">
        <v>1983</v>
      </c>
      <c r="E328" s="18">
        <v>326</v>
      </c>
      <c r="F328" s="18">
        <v>1657</v>
      </c>
      <c r="G328" s="12"/>
      <c r="H328" s="18">
        <v>618</v>
      </c>
      <c r="I328" s="11"/>
      <c r="J328" s="11"/>
      <c r="K328" s="12"/>
      <c r="L328" s="12">
        <f t="shared" si="21"/>
        <v>2.6812297734627832</v>
      </c>
    </row>
    <row r="329" spans="1:12" ht="14" x14ac:dyDescent="0.15">
      <c r="A329" s="16" t="s">
        <v>462</v>
      </c>
      <c r="B329" s="16" t="s">
        <v>35</v>
      </c>
      <c r="C329" s="16" t="s">
        <v>36</v>
      </c>
      <c r="D329" s="17">
        <v>19687</v>
      </c>
      <c r="E329" s="18">
        <v>34</v>
      </c>
      <c r="F329" s="18">
        <v>19653</v>
      </c>
      <c r="G329" s="12"/>
      <c r="H329" s="18">
        <v>8588</v>
      </c>
      <c r="I329" s="11"/>
      <c r="J329" s="11"/>
      <c r="K329" s="12"/>
      <c r="L329" s="12">
        <f t="shared" si="21"/>
        <v>2.2884257102934327</v>
      </c>
    </row>
    <row r="330" spans="1:12" ht="14" x14ac:dyDescent="0.15">
      <c r="A330" s="16" t="s">
        <v>462</v>
      </c>
      <c r="B330" s="16" t="s">
        <v>708</v>
      </c>
      <c r="C330" s="16"/>
      <c r="D330" s="13"/>
      <c r="E330" s="13"/>
      <c r="F330" s="13"/>
      <c r="G330" s="14"/>
      <c r="H330" s="13"/>
      <c r="I330" s="13"/>
      <c r="J330" s="13"/>
      <c r="K330" s="14"/>
      <c r="L330" s="19"/>
    </row>
    <row r="331" spans="1:12" ht="14" x14ac:dyDescent="0.15">
      <c r="A331" s="16" t="s">
        <v>472</v>
      </c>
      <c r="B331" s="16" t="s">
        <v>11</v>
      </c>
      <c r="C331" s="16" t="s">
        <v>473</v>
      </c>
      <c r="D331" s="17">
        <v>29296</v>
      </c>
      <c r="E331" s="18">
        <v>416</v>
      </c>
      <c r="F331" s="18">
        <v>28880</v>
      </c>
      <c r="G331" s="12"/>
      <c r="H331" s="18">
        <v>11857</v>
      </c>
      <c r="I331" s="11"/>
      <c r="J331" s="11"/>
      <c r="K331" s="12"/>
      <c r="L331" s="12">
        <f t="shared" ref="L331:L337" si="22">F331/H331</f>
        <v>2.4356919962891119</v>
      </c>
    </row>
    <row r="332" spans="1:12" ht="14" x14ac:dyDescent="0.15">
      <c r="A332" s="16" t="s">
        <v>472</v>
      </c>
      <c r="B332" s="16" t="s">
        <v>474</v>
      </c>
      <c r="C332" s="16" t="s">
        <v>475</v>
      </c>
      <c r="D332" s="17">
        <v>5319</v>
      </c>
      <c r="E332" s="18">
        <v>319</v>
      </c>
      <c r="F332" s="18">
        <v>5000</v>
      </c>
      <c r="G332" s="12"/>
      <c r="H332" s="18">
        <v>2154</v>
      </c>
      <c r="I332" s="11"/>
      <c r="J332" s="11"/>
      <c r="K332" s="12"/>
      <c r="L332" s="12">
        <f t="shared" si="22"/>
        <v>2.3212627669452184</v>
      </c>
    </row>
    <row r="333" spans="1:12" ht="14" x14ac:dyDescent="0.15">
      <c r="A333" s="16" t="s">
        <v>472</v>
      </c>
      <c r="B333" s="16" t="s">
        <v>476</v>
      </c>
      <c r="C333" s="16" t="s">
        <v>477</v>
      </c>
      <c r="D333" s="17">
        <v>11640</v>
      </c>
      <c r="E333" s="18">
        <v>97</v>
      </c>
      <c r="F333" s="18">
        <v>11543</v>
      </c>
      <c r="G333" s="12"/>
      <c r="H333" s="18">
        <v>4379</v>
      </c>
      <c r="I333" s="11"/>
      <c r="J333" s="11"/>
      <c r="K333" s="12"/>
      <c r="L333" s="12">
        <f t="shared" si="22"/>
        <v>2.6359899520438455</v>
      </c>
    </row>
    <row r="334" spans="1:12" ht="14" x14ac:dyDescent="0.15">
      <c r="A334" s="16" t="s">
        <v>472</v>
      </c>
      <c r="B334" s="16" t="s">
        <v>478</v>
      </c>
      <c r="C334" s="16" t="s">
        <v>479</v>
      </c>
      <c r="D334" s="17">
        <v>311</v>
      </c>
      <c r="E334" s="18">
        <v>0</v>
      </c>
      <c r="F334" s="18">
        <v>311</v>
      </c>
      <c r="G334" s="12"/>
      <c r="H334" s="18">
        <v>128</v>
      </c>
      <c r="I334" s="11"/>
      <c r="J334" s="11"/>
      <c r="K334" s="12"/>
      <c r="L334" s="12">
        <f t="shared" si="22"/>
        <v>2.4296875</v>
      </c>
    </row>
    <row r="335" spans="1:12" ht="14" x14ac:dyDescent="0.15">
      <c r="A335" s="16" t="s">
        <v>472</v>
      </c>
      <c r="B335" s="16" t="s">
        <v>480</v>
      </c>
      <c r="C335" s="16" t="s">
        <v>481</v>
      </c>
      <c r="D335" s="17">
        <v>910</v>
      </c>
      <c r="E335" s="18">
        <v>0</v>
      </c>
      <c r="F335" s="18">
        <v>910</v>
      </c>
      <c r="G335" s="12"/>
      <c r="H335" s="18">
        <v>332</v>
      </c>
      <c r="I335" s="11"/>
      <c r="J335" s="11"/>
      <c r="K335" s="12"/>
      <c r="L335" s="12">
        <f t="shared" si="22"/>
        <v>2.7409638554216866</v>
      </c>
    </row>
    <row r="336" spans="1:12" ht="14" x14ac:dyDescent="0.15">
      <c r="A336" s="16" t="s">
        <v>472</v>
      </c>
      <c r="B336" s="16" t="s">
        <v>482</v>
      </c>
      <c r="C336" s="16" t="s">
        <v>483</v>
      </c>
      <c r="D336" s="17">
        <v>1529</v>
      </c>
      <c r="E336" s="18">
        <v>0</v>
      </c>
      <c r="F336" s="18">
        <v>1529</v>
      </c>
      <c r="G336" s="12"/>
      <c r="H336" s="18">
        <v>711</v>
      </c>
      <c r="I336" s="11"/>
      <c r="J336" s="11"/>
      <c r="K336" s="12"/>
      <c r="L336" s="12">
        <f t="shared" si="22"/>
        <v>2.1504922644163149</v>
      </c>
    </row>
    <row r="337" spans="1:12" ht="14" x14ac:dyDescent="0.15">
      <c r="A337" s="16" t="s">
        <v>472</v>
      </c>
      <c r="B337" s="16" t="s">
        <v>35</v>
      </c>
      <c r="C337" s="16" t="s">
        <v>36</v>
      </c>
      <c r="D337" s="17">
        <v>9587</v>
      </c>
      <c r="E337" s="18">
        <v>0</v>
      </c>
      <c r="F337" s="18">
        <v>9587</v>
      </c>
      <c r="G337" s="12"/>
      <c r="H337" s="18">
        <v>4153</v>
      </c>
      <c r="I337" s="11"/>
      <c r="J337" s="11"/>
      <c r="K337" s="12"/>
      <c r="L337" s="12">
        <f t="shared" si="22"/>
        <v>2.308451721647002</v>
      </c>
    </row>
    <row r="338" spans="1:12" ht="14" x14ac:dyDescent="0.15">
      <c r="A338" s="16" t="s">
        <v>472</v>
      </c>
      <c r="B338" s="16" t="s">
        <v>708</v>
      </c>
      <c r="C338" s="16"/>
      <c r="D338" s="13"/>
      <c r="E338" s="13"/>
      <c r="F338" s="13"/>
      <c r="G338" s="14"/>
      <c r="H338" s="13"/>
      <c r="I338" s="13"/>
      <c r="J338" s="13"/>
      <c r="K338" s="14"/>
      <c r="L338" s="19"/>
    </row>
    <row r="339" spans="1:12" ht="14" x14ac:dyDescent="0.15">
      <c r="A339" s="16" t="s">
        <v>484</v>
      </c>
      <c r="B339" s="16" t="s">
        <v>11</v>
      </c>
      <c r="C339" s="16" t="s">
        <v>485</v>
      </c>
      <c r="D339" s="17">
        <v>18294</v>
      </c>
      <c r="E339" s="18">
        <v>319</v>
      </c>
      <c r="F339" s="18">
        <v>17975</v>
      </c>
      <c r="G339" s="12"/>
      <c r="H339" s="18">
        <v>8738</v>
      </c>
      <c r="I339" s="11"/>
      <c r="J339" s="11"/>
      <c r="K339" s="12"/>
      <c r="L339" s="12">
        <f t="shared" ref="L339:L346" si="23">F339/H339</f>
        <v>2.0571068894483862</v>
      </c>
    </row>
    <row r="340" spans="1:12" ht="14" x14ac:dyDescent="0.15">
      <c r="A340" s="16" t="s">
        <v>484</v>
      </c>
      <c r="B340" s="16" t="s">
        <v>486</v>
      </c>
      <c r="C340" s="16" t="s">
        <v>487</v>
      </c>
      <c r="D340" s="17">
        <v>233</v>
      </c>
      <c r="E340" s="18">
        <v>0</v>
      </c>
      <c r="F340" s="18">
        <v>233</v>
      </c>
      <c r="G340" s="12"/>
      <c r="H340" s="18">
        <v>100</v>
      </c>
      <c r="I340" s="11"/>
      <c r="J340" s="11"/>
      <c r="K340" s="12"/>
      <c r="L340" s="12">
        <f t="shared" si="23"/>
        <v>2.33</v>
      </c>
    </row>
    <row r="341" spans="1:12" ht="14" x14ac:dyDescent="0.15">
      <c r="A341" s="16" t="s">
        <v>484</v>
      </c>
      <c r="B341" s="16" t="s">
        <v>488</v>
      </c>
      <c r="C341" s="16" t="s">
        <v>489</v>
      </c>
      <c r="D341" s="17">
        <v>1220</v>
      </c>
      <c r="E341" s="18">
        <v>35</v>
      </c>
      <c r="F341" s="18">
        <v>1185</v>
      </c>
      <c r="G341" s="12"/>
      <c r="H341" s="18">
        <v>616</v>
      </c>
      <c r="I341" s="11"/>
      <c r="J341" s="11"/>
      <c r="K341" s="12"/>
      <c r="L341" s="12">
        <f t="shared" si="23"/>
        <v>1.9237012987012987</v>
      </c>
    </row>
    <row r="342" spans="1:12" ht="14" x14ac:dyDescent="0.15">
      <c r="A342" s="16" t="s">
        <v>484</v>
      </c>
      <c r="B342" s="16" t="s">
        <v>490</v>
      </c>
      <c r="C342" s="16" t="s">
        <v>491</v>
      </c>
      <c r="D342" s="17">
        <v>7120</v>
      </c>
      <c r="E342" s="18">
        <v>170</v>
      </c>
      <c r="F342" s="18">
        <v>6950</v>
      </c>
      <c r="G342" s="12"/>
      <c r="H342" s="18">
        <v>3340</v>
      </c>
      <c r="I342" s="11"/>
      <c r="J342" s="11"/>
      <c r="K342" s="12"/>
      <c r="L342" s="12">
        <f t="shared" si="23"/>
        <v>2.0808383233532934</v>
      </c>
    </row>
    <row r="343" spans="1:12" ht="14" x14ac:dyDescent="0.15">
      <c r="A343" s="16" t="s">
        <v>484</v>
      </c>
      <c r="B343" s="16" t="s">
        <v>492</v>
      </c>
      <c r="C343" s="16" t="s">
        <v>493</v>
      </c>
      <c r="D343" s="17">
        <v>335</v>
      </c>
      <c r="E343" s="18">
        <v>0</v>
      </c>
      <c r="F343" s="18">
        <v>335</v>
      </c>
      <c r="G343" s="12"/>
      <c r="H343" s="18">
        <v>176</v>
      </c>
      <c r="I343" s="11"/>
      <c r="J343" s="11"/>
      <c r="K343" s="12"/>
      <c r="L343" s="12">
        <f t="shared" si="23"/>
        <v>1.9034090909090908</v>
      </c>
    </row>
    <row r="344" spans="1:12" ht="14" x14ac:dyDescent="0.15">
      <c r="A344" s="16" t="s">
        <v>484</v>
      </c>
      <c r="B344" s="16" t="s">
        <v>494</v>
      </c>
      <c r="C344" s="16" t="s">
        <v>495</v>
      </c>
      <c r="D344" s="17">
        <v>3805</v>
      </c>
      <c r="E344" s="18">
        <v>103</v>
      </c>
      <c r="F344" s="18">
        <v>3702</v>
      </c>
      <c r="G344" s="12"/>
      <c r="H344" s="18">
        <v>1854</v>
      </c>
      <c r="I344" s="11"/>
      <c r="J344" s="11"/>
      <c r="K344" s="12"/>
      <c r="L344" s="12">
        <f t="shared" si="23"/>
        <v>1.9967637540453074</v>
      </c>
    </row>
    <row r="345" spans="1:12" ht="14" x14ac:dyDescent="0.15">
      <c r="A345" s="16" t="s">
        <v>484</v>
      </c>
      <c r="B345" s="16" t="s">
        <v>496</v>
      </c>
      <c r="C345" s="16" t="s">
        <v>497</v>
      </c>
      <c r="D345" s="17">
        <v>597</v>
      </c>
      <c r="E345" s="18">
        <v>0</v>
      </c>
      <c r="F345" s="18">
        <v>597</v>
      </c>
      <c r="G345" s="12"/>
      <c r="H345" s="18">
        <v>287</v>
      </c>
      <c r="I345" s="11"/>
      <c r="J345" s="11"/>
      <c r="K345" s="12"/>
      <c r="L345" s="12">
        <f t="shared" si="23"/>
        <v>2.0801393728222997</v>
      </c>
    </row>
    <row r="346" spans="1:12" ht="14" x14ac:dyDescent="0.15">
      <c r="A346" s="16" t="s">
        <v>484</v>
      </c>
      <c r="B346" s="16" t="s">
        <v>35</v>
      </c>
      <c r="C346" s="16" t="s">
        <v>36</v>
      </c>
      <c r="D346" s="17">
        <v>4984</v>
      </c>
      <c r="E346" s="18">
        <v>11</v>
      </c>
      <c r="F346" s="18">
        <v>4973</v>
      </c>
      <c r="G346" s="12"/>
      <c r="H346" s="18">
        <v>2365</v>
      </c>
      <c r="I346" s="11"/>
      <c r="J346" s="11"/>
      <c r="K346" s="12"/>
      <c r="L346" s="12">
        <f t="shared" si="23"/>
        <v>2.1027484143763213</v>
      </c>
    </row>
    <row r="347" spans="1:12" ht="14" x14ac:dyDescent="0.15">
      <c r="A347" s="16" t="s">
        <v>484</v>
      </c>
      <c r="B347" s="16" t="s">
        <v>708</v>
      </c>
      <c r="C347" s="16"/>
      <c r="D347" s="13"/>
      <c r="E347" s="13"/>
      <c r="F347" s="13"/>
      <c r="G347" s="14"/>
      <c r="H347" s="13"/>
      <c r="I347" s="13"/>
      <c r="J347" s="13"/>
      <c r="K347" s="14"/>
      <c r="L347" s="19"/>
    </row>
    <row r="348" spans="1:12" ht="14" x14ac:dyDescent="0.15">
      <c r="A348" s="16" t="s">
        <v>498</v>
      </c>
      <c r="B348" s="16" t="s">
        <v>11</v>
      </c>
      <c r="C348" s="16" t="s">
        <v>499</v>
      </c>
      <c r="D348" s="17">
        <v>5088</v>
      </c>
      <c r="E348" s="18">
        <v>0</v>
      </c>
      <c r="F348" s="18">
        <v>5088</v>
      </c>
      <c r="G348" s="12"/>
      <c r="H348" s="18">
        <v>3511</v>
      </c>
      <c r="I348" s="11"/>
      <c r="J348" s="11"/>
      <c r="K348" s="12"/>
      <c r="L348" s="12">
        <f>F348/H348</f>
        <v>1.4491597835374537</v>
      </c>
    </row>
    <row r="349" spans="1:12" ht="14" x14ac:dyDescent="0.15">
      <c r="A349" s="16" t="s">
        <v>498</v>
      </c>
      <c r="B349" s="16" t="s">
        <v>500</v>
      </c>
      <c r="C349" s="16" t="s">
        <v>501</v>
      </c>
      <c r="D349" s="17">
        <v>911</v>
      </c>
      <c r="E349" s="18">
        <v>0</v>
      </c>
      <c r="F349" s="18">
        <v>911</v>
      </c>
      <c r="G349" s="12"/>
      <c r="H349" s="18">
        <v>772</v>
      </c>
      <c r="I349" s="11"/>
      <c r="J349" s="11"/>
      <c r="K349" s="12"/>
      <c r="L349" s="12">
        <f>F349/H349</f>
        <v>1.1800518134715026</v>
      </c>
    </row>
    <row r="350" spans="1:12" ht="14" x14ac:dyDescent="0.15">
      <c r="A350" s="16" t="s">
        <v>498</v>
      </c>
      <c r="B350" s="16" t="s">
        <v>502</v>
      </c>
      <c r="C350" s="16" t="s">
        <v>503</v>
      </c>
      <c r="D350" s="17">
        <v>1259</v>
      </c>
      <c r="E350" s="18">
        <v>0</v>
      </c>
      <c r="F350" s="18">
        <v>1259</v>
      </c>
      <c r="G350" s="12"/>
      <c r="H350" s="18">
        <v>699</v>
      </c>
      <c r="I350" s="11"/>
      <c r="J350" s="11"/>
      <c r="K350" s="12"/>
      <c r="L350" s="12">
        <f>F350/H350</f>
        <v>1.8011444921316166</v>
      </c>
    </row>
    <row r="351" spans="1:12" ht="14" x14ac:dyDescent="0.15">
      <c r="A351" s="16" t="s">
        <v>498</v>
      </c>
      <c r="B351" s="16" t="s">
        <v>35</v>
      </c>
      <c r="C351" s="16" t="s">
        <v>36</v>
      </c>
      <c r="D351" s="17">
        <v>2918</v>
      </c>
      <c r="E351" s="18">
        <v>0</v>
      </c>
      <c r="F351" s="18">
        <v>2918</v>
      </c>
      <c r="G351" s="12"/>
      <c r="H351" s="18">
        <v>2040</v>
      </c>
      <c r="I351" s="11"/>
      <c r="J351" s="11"/>
      <c r="K351" s="12"/>
      <c r="L351" s="12">
        <f>F351/H351</f>
        <v>1.4303921568627451</v>
      </c>
    </row>
    <row r="352" spans="1:12" ht="14" x14ac:dyDescent="0.15">
      <c r="A352" s="16" t="s">
        <v>498</v>
      </c>
      <c r="B352" s="16" t="s">
        <v>708</v>
      </c>
      <c r="C352" s="16"/>
      <c r="D352" s="13"/>
      <c r="E352" s="13"/>
      <c r="F352" s="13"/>
      <c r="G352" s="14"/>
      <c r="H352" s="13"/>
      <c r="I352" s="13"/>
      <c r="J352" s="13"/>
      <c r="K352" s="14"/>
      <c r="L352" s="19"/>
    </row>
    <row r="353" spans="1:12" ht="14" x14ac:dyDescent="0.15">
      <c r="A353" s="16" t="s">
        <v>504</v>
      </c>
      <c r="B353" s="16" t="s">
        <v>11</v>
      </c>
      <c r="C353" s="16" t="s">
        <v>505</v>
      </c>
      <c r="D353" s="17">
        <v>17900</v>
      </c>
      <c r="E353" s="18">
        <v>26</v>
      </c>
      <c r="F353" s="18">
        <v>17874</v>
      </c>
      <c r="G353" s="12"/>
      <c r="H353" s="18">
        <v>14518</v>
      </c>
      <c r="I353" s="11"/>
      <c r="J353" s="11"/>
      <c r="K353" s="12"/>
      <c r="L353" s="12">
        <f>F353/H353</f>
        <v>1.2311613169858107</v>
      </c>
    </row>
    <row r="354" spans="1:12" ht="14" x14ac:dyDescent="0.15">
      <c r="A354" s="16" t="s">
        <v>504</v>
      </c>
      <c r="B354" s="16" t="s">
        <v>506</v>
      </c>
      <c r="C354" s="16" t="s">
        <v>507</v>
      </c>
      <c r="D354" s="17">
        <v>308</v>
      </c>
      <c r="E354" s="18">
        <v>0</v>
      </c>
      <c r="F354" s="18">
        <v>308</v>
      </c>
      <c r="G354" s="12"/>
      <c r="H354" s="18">
        <v>187</v>
      </c>
      <c r="I354" s="11"/>
      <c r="J354" s="11"/>
      <c r="K354" s="12"/>
      <c r="L354" s="12">
        <f>F354/H354</f>
        <v>1.6470588235294117</v>
      </c>
    </row>
    <row r="355" spans="1:12" ht="14" x14ac:dyDescent="0.15">
      <c r="A355" s="16" t="s">
        <v>504</v>
      </c>
      <c r="B355" s="16" t="s">
        <v>508</v>
      </c>
      <c r="C355" s="16" t="s">
        <v>509</v>
      </c>
      <c r="D355" s="17">
        <v>730</v>
      </c>
      <c r="E355" s="18">
        <v>0</v>
      </c>
      <c r="F355" s="18">
        <v>730</v>
      </c>
      <c r="G355" s="12"/>
      <c r="H355" s="18">
        <v>412</v>
      </c>
      <c r="I355" s="11"/>
      <c r="J355" s="11"/>
      <c r="K355" s="12"/>
      <c r="L355" s="12">
        <f>F355/H355</f>
        <v>1.7718446601941749</v>
      </c>
    </row>
    <row r="356" spans="1:12" ht="14" x14ac:dyDescent="0.15">
      <c r="A356" s="16" t="s">
        <v>504</v>
      </c>
      <c r="B356" s="16" t="s">
        <v>35</v>
      </c>
      <c r="C356" s="16" t="s">
        <v>36</v>
      </c>
      <c r="D356" s="17">
        <v>16862</v>
      </c>
      <c r="E356" s="18">
        <v>26</v>
      </c>
      <c r="F356" s="18">
        <v>16836</v>
      </c>
      <c r="G356" s="12"/>
      <c r="H356" s="18">
        <v>13919</v>
      </c>
      <c r="I356" s="11"/>
      <c r="J356" s="11"/>
      <c r="K356" s="12"/>
      <c r="L356" s="12">
        <f>F356/H356</f>
        <v>1.2095696529923126</v>
      </c>
    </row>
    <row r="357" spans="1:12" ht="14" x14ac:dyDescent="0.15">
      <c r="A357" s="16" t="s">
        <v>504</v>
      </c>
      <c r="B357" s="16" t="s">
        <v>708</v>
      </c>
      <c r="C357" s="16"/>
      <c r="D357" s="13"/>
      <c r="E357" s="13"/>
      <c r="F357" s="13"/>
      <c r="G357" s="14"/>
      <c r="H357" s="13"/>
      <c r="I357" s="13"/>
      <c r="J357" s="13"/>
      <c r="K357" s="14"/>
      <c r="L357" s="19"/>
    </row>
    <row r="358" spans="1:12" ht="14" x14ac:dyDescent="0.15">
      <c r="A358" s="16" t="s">
        <v>510</v>
      </c>
      <c r="B358" s="16" t="s">
        <v>11</v>
      </c>
      <c r="C358" s="16" t="s">
        <v>511</v>
      </c>
      <c r="D358" s="17">
        <v>4435</v>
      </c>
      <c r="E358" s="18">
        <v>58</v>
      </c>
      <c r="F358" s="18">
        <v>4377</v>
      </c>
      <c r="G358" s="12"/>
      <c r="H358" s="18">
        <v>2037</v>
      </c>
      <c r="I358" s="11"/>
      <c r="J358" s="11"/>
      <c r="K358" s="12"/>
      <c r="L358" s="12">
        <f>F358/H358</f>
        <v>2.1487481590574373</v>
      </c>
    </row>
    <row r="359" spans="1:12" ht="14" x14ac:dyDescent="0.15">
      <c r="A359" s="16" t="s">
        <v>510</v>
      </c>
      <c r="B359" s="16" t="s">
        <v>512</v>
      </c>
      <c r="C359" s="16" t="s">
        <v>513</v>
      </c>
      <c r="D359" s="17">
        <v>960</v>
      </c>
      <c r="E359" s="18">
        <v>19</v>
      </c>
      <c r="F359" s="18">
        <v>941</v>
      </c>
      <c r="G359" s="12"/>
      <c r="H359" s="18">
        <v>494</v>
      </c>
      <c r="I359" s="11"/>
      <c r="J359" s="11"/>
      <c r="K359" s="12"/>
      <c r="L359" s="12">
        <f>F359/H359</f>
        <v>1.9048582995951417</v>
      </c>
    </row>
    <row r="360" spans="1:12" ht="14" x14ac:dyDescent="0.15">
      <c r="A360" s="16" t="s">
        <v>510</v>
      </c>
      <c r="B360" s="16" t="s">
        <v>514</v>
      </c>
      <c r="C360" s="16" t="s">
        <v>515</v>
      </c>
      <c r="D360" s="17">
        <v>2284</v>
      </c>
      <c r="E360" s="18">
        <v>39</v>
      </c>
      <c r="F360" s="18">
        <v>2245</v>
      </c>
      <c r="G360" s="12"/>
      <c r="H360" s="18">
        <v>1008</v>
      </c>
      <c r="I360" s="11"/>
      <c r="J360" s="11"/>
      <c r="K360" s="12"/>
      <c r="L360" s="12">
        <f>F360/H360</f>
        <v>2.2271825396825395</v>
      </c>
    </row>
    <row r="361" spans="1:12" ht="14" x14ac:dyDescent="0.15">
      <c r="A361" s="16" t="s">
        <v>510</v>
      </c>
      <c r="B361" s="16" t="s">
        <v>516</v>
      </c>
      <c r="C361" s="16" t="s">
        <v>517</v>
      </c>
      <c r="D361" s="17">
        <v>50</v>
      </c>
      <c r="E361" s="18">
        <v>0</v>
      </c>
      <c r="F361" s="18">
        <v>50</v>
      </c>
      <c r="G361" s="12"/>
      <c r="H361" s="18">
        <v>23</v>
      </c>
      <c r="I361" s="11"/>
      <c r="J361" s="11"/>
      <c r="K361" s="12"/>
      <c r="L361" s="12">
        <f>F361/H361</f>
        <v>2.1739130434782608</v>
      </c>
    </row>
    <row r="362" spans="1:12" ht="14" x14ac:dyDescent="0.15">
      <c r="A362" s="16" t="s">
        <v>510</v>
      </c>
      <c r="B362" s="16" t="s">
        <v>35</v>
      </c>
      <c r="C362" s="16" t="s">
        <v>36</v>
      </c>
      <c r="D362" s="17">
        <v>1141</v>
      </c>
      <c r="E362" s="18">
        <v>0</v>
      </c>
      <c r="F362" s="18">
        <v>1141</v>
      </c>
      <c r="G362" s="12"/>
      <c r="H362" s="18">
        <v>512</v>
      </c>
      <c r="I362" s="11"/>
      <c r="J362" s="11"/>
      <c r="K362" s="12"/>
      <c r="L362" s="12">
        <f>F362/H362</f>
        <v>2.228515625</v>
      </c>
    </row>
    <row r="363" spans="1:12" ht="14" x14ac:dyDescent="0.15">
      <c r="A363" s="16" t="s">
        <v>510</v>
      </c>
      <c r="B363" s="16" t="s">
        <v>708</v>
      </c>
      <c r="C363" s="16"/>
      <c r="D363" s="13"/>
      <c r="E363" s="13"/>
      <c r="F363" s="13"/>
      <c r="G363" s="14"/>
      <c r="H363" s="13"/>
      <c r="I363" s="13"/>
      <c r="J363" s="13"/>
      <c r="K363" s="14"/>
      <c r="L363" s="19"/>
    </row>
    <row r="364" spans="1:12" ht="14" x14ac:dyDescent="0.15">
      <c r="A364" s="16" t="s">
        <v>518</v>
      </c>
      <c r="B364" s="16" t="s">
        <v>11</v>
      </c>
      <c r="C364" s="16" t="s">
        <v>519</v>
      </c>
      <c r="D364" s="17">
        <v>16856</v>
      </c>
      <c r="E364" s="18">
        <v>47</v>
      </c>
      <c r="F364" s="18">
        <v>16809</v>
      </c>
      <c r="G364" s="12"/>
      <c r="H364" s="18">
        <v>13504</v>
      </c>
      <c r="I364" s="11"/>
      <c r="J364" s="11"/>
      <c r="K364" s="12"/>
      <c r="L364" s="12">
        <f>F364/H364</f>
        <v>1.2447422985781991</v>
      </c>
    </row>
    <row r="365" spans="1:12" ht="14" x14ac:dyDescent="0.15">
      <c r="A365" s="16" t="s">
        <v>518</v>
      </c>
      <c r="B365" s="16" t="s">
        <v>520</v>
      </c>
      <c r="C365" s="16" t="s">
        <v>521</v>
      </c>
      <c r="D365" s="17">
        <v>6718</v>
      </c>
      <c r="E365" s="18">
        <v>16</v>
      </c>
      <c r="F365" s="18">
        <v>6702</v>
      </c>
      <c r="G365" s="12"/>
      <c r="H365" s="18">
        <v>6270</v>
      </c>
      <c r="I365" s="11"/>
      <c r="J365" s="11"/>
      <c r="K365" s="12"/>
      <c r="L365" s="12">
        <f>F365/H365</f>
        <v>1.0688995215311006</v>
      </c>
    </row>
    <row r="366" spans="1:12" ht="14" x14ac:dyDescent="0.15">
      <c r="A366" s="16" t="s">
        <v>518</v>
      </c>
      <c r="B366" s="16" t="s">
        <v>215</v>
      </c>
      <c r="C366" s="16" t="s">
        <v>216</v>
      </c>
      <c r="D366" s="17">
        <v>1138</v>
      </c>
      <c r="E366" s="18">
        <v>0</v>
      </c>
      <c r="F366" s="18">
        <v>1138</v>
      </c>
      <c r="G366" s="12"/>
      <c r="H366" s="18">
        <v>647</v>
      </c>
      <c r="I366" s="11"/>
      <c r="J366" s="11"/>
      <c r="K366" s="12"/>
      <c r="L366" s="12">
        <f>F366/H366</f>
        <v>1.758887171561051</v>
      </c>
    </row>
    <row r="367" spans="1:12" ht="14" x14ac:dyDescent="0.15">
      <c r="A367" s="16" t="s">
        <v>518</v>
      </c>
      <c r="B367" s="16" t="s">
        <v>522</v>
      </c>
      <c r="C367" s="16" t="s">
        <v>523</v>
      </c>
      <c r="D367" s="17">
        <v>2986</v>
      </c>
      <c r="E367" s="18">
        <v>10</v>
      </c>
      <c r="F367" s="18">
        <v>2976</v>
      </c>
      <c r="G367" s="12"/>
      <c r="H367" s="18">
        <v>2636</v>
      </c>
      <c r="I367" s="11"/>
      <c r="J367" s="11"/>
      <c r="K367" s="12"/>
      <c r="L367" s="12">
        <f>F367/H367</f>
        <v>1.1289833080424887</v>
      </c>
    </row>
    <row r="368" spans="1:12" ht="14" x14ac:dyDescent="0.15">
      <c r="A368" s="16" t="s">
        <v>518</v>
      </c>
      <c r="B368" s="16" t="s">
        <v>35</v>
      </c>
      <c r="C368" s="16" t="s">
        <v>36</v>
      </c>
      <c r="D368" s="17">
        <v>6014</v>
      </c>
      <c r="E368" s="18">
        <v>21</v>
      </c>
      <c r="F368" s="18">
        <v>5993</v>
      </c>
      <c r="G368" s="12"/>
      <c r="H368" s="18">
        <v>3951</v>
      </c>
      <c r="I368" s="11"/>
      <c r="J368" s="11"/>
      <c r="K368" s="12"/>
      <c r="L368" s="12">
        <f>F368/H368</f>
        <v>1.5168311819792457</v>
      </c>
    </row>
    <row r="369" spans="1:12" ht="14" x14ac:dyDescent="0.15">
      <c r="A369" s="16" t="s">
        <v>518</v>
      </c>
      <c r="B369" s="16" t="s">
        <v>708</v>
      </c>
      <c r="C369" s="16"/>
      <c r="D369" s="13"/>
      <c r="E369" s="13"/>
      <c r="F369" s="13"/>
      <c r="G369" s="14"/>
      <c r="H369" s="13"/>
      <c r="I369" s="13"/>
      <c r="J369" s="13"/>
      <c r="K369" s="14"/>
      <c r="L369" s="19"/>
    </row>
    <row r="370" spans="1:12" ht="14" x14ac:dyDescent="0.15">
      <c r="A370" s="16" t="s">
        <v>524</v>
      </c>
      <c r="B370" s="16" t="s">
        <v>11</v>
      </c>
      <c r="C370" s="16" t="s">
        <v>525</v>
      </c>
      <c r="D370" s="17">
        <v>11850</v>
      </c>
      <c r="E370" s="18">
        <v>327</v>
      </c>
      <c r="F370" s="18">
        <v>11523</v>
      </c>
      <c r="G370" s="12"/>
      <c r="H370" s="18">
        <v>5474</v>
      </c>
      <c r="I370" s="11"/>
      <c r="J370" s="11"/>
      <c r="K370" s="12"/>
      <c r="L370" s="12">
        <f t="shared" ref="L370:L376" si="24">F370/H370</f>
        <v>2.1050420168067228</v>
      </c>
    </row>
    <row r="371" spans="1:12" ht="14" x14ac:dyDescent="0.15">
      <c r="A371" s="16" t="s">
        <v>524</v>
      </c>
      <c r="B371" s="16" t="s">
        <v>526</v>
      </c>
      <c r="C371" s="16" t="s">
        <v>527</v>
      </c>
      <c r="D371" s="17">
        <v>438</v>
      </c>
      <c r="E371" s="18">
        <v>0</v>
      </c>
      <c r="F371" s="18">
        <v>438</v>
      </c>
      <c r="G371" s="12"/>
      <c r="H371" s="18">
        <v>203</v>
      </c>
      <c r="I371" s="11"/>
      <c r="J371" s="11"/>
      <c r="K371" s="12"/>
      <c r="L371" s="12">
        <f t="shared" si="24"/>
        <v>2.1576354679802954</v>
      </c>
    </row>
    <row r="372" spans="1:12" ht="14" x14ac:dyDescent="0.15">
      <c r="A372" s="16" t="s">
        <v>524</v>
      </c>
      <c r="B372" s="16" t="s">
        <v>528</v>
      </c>
      <c r="C372" s="16" t="s">
        <v>529</v>
      </c>
      <c r="D372" s="17">
        <v>55</v>
      </c>
      <c r="E372" s="18">
        <v>0</v>
      </c>
      <c r="F372" s="18">
        <v>55</v>
      </c>
      <c r="G372" s="12"/>
      <c r="H372" s="18">
        <v>32</v>
      </c>
      <c r="I372" s="11"/>
      <c r="J372" s="11"/>
      <c r="K372" s="12"/>
      <c r="L372" s="12">
        <f t="shared" si="24"/>
        <v>1.71875</v>
      </c>
    </row>
    <row r="373" spans="1:12" ht="14" x14ac:dyDescent="0.15">
      <c r="A373" s="16" t="s">
        <v>524</v>
      </c>
      <c r="B373" s="16" t="s">
        <v>530</v>
      </c>
      <c r="C373" s="16" t="s">
        <v>531</v>
      </c>
      <c r="D373" s="17">
        <v>824</v>
      </c>
      <c r="E373" s="18">
        <v>25</v>
      </c>
      <c r="F373" s="18">
        <v>799</v>
      </c>
      <c r="G373" s="12"/>
      <c r="H373" s="18">
        <v>362</v>
      </c>
      <c r="I373" s="11"/>
      <c r="J373" s="11"/>
      <c r="K373" s="12"/>
      <c r="L373" s="12">
        <f t="shared" si="24"/>
        <v>2.2071823204419889</v>
      </c>
    </row>
    <row r="374" spans="1:12" ht="14" x14ac:dyDescent="0.15">
      <c r="A374" s="16" t="s">
        <v>524</v>
      </c>
      <c r="B374" s="16" t="s">
        <v>532</v>
      </c>
      <c r="C374" s="16" t="s">
        <v>533</v>
      </c>
      <c r="D374" s="17">
        <v>7590</v>
      </c>
      <c r="E374" s="18">
        <v>294</v>
      </c>
      <c r="F374" s="18">
        <v>7296</v>
      </c>
      <c r="G374" s="12"/>
      <c r="H374" s="18">
        <v>3471</v>
      </c>
      <c r="I374" s="11"/>
      <c r="J374" s="11"/>
      <c r="K374" s="12"/>
      <c r="L374" s="12">
        <f t="shared" si="24"/>
        <v>2.1019878997407089</v>
      </c>
    </row>
    <row r="375" spans="1:12" ht="14" x14ac:dyDescent="0.15">
      <c r="A375" s="16" t="s">
        <v>524</v>
      </c>
      <c r="B375" s="16" t="s">
        <v>534</v>
      </c>
      <c r="C375" s="16" t="s">
        <v>535</v>
      </c>
      <c r="D375" s="17">
        <v>430</v>
      </c>
      <c r="E375" s="18">
        <v>0</v>
      </c>
      <c r="F375" s="18">
        <v>430</v>
      </c>
      <c r="G375" s="12"/>
      <c r="H375" s="18">
        <v>195</v>
      </c>
      <c r="I375" s="11"/>
      <c r="J375" s="11"/>
      <c r="K375" s="12"/>
      <c r="L375" s="12">
        <f t="shared" si="24"/>
        <v>2.2051282051282053</v>
      </c>
    </row>
    <row r="376" spans="1:12" ht="14" x14ac:dyDescent="0.15">
      <c r="A376" s="16" t="s">
        <v>524</v>
      </c>
      <c r="B376" s="16" t="s">
        <v>35</v>
      </c>
      <c r="C376" s="16" t="s">
        <v>36</v>
      </c>
      <c r="D376" s="17">
        <v>2513</v>
      </c>
      <c r="E376" s="18">
        <v>8</v>
      </c>
      <c r="F376" s="18">
        <v>2505</v>
      </c>
      <c r="G376" s="12"/>
      <c r="H376" s="18">
        <v>1211</v>
      </c>
      <c r="I376" s="11"/>
      <c r="J376" s="11"/>
      <c r="K376" s="12"/>
      <c r="L376" s="12">
        <f t="shared" si="24"/>
        <v>2.0685383980181666</v>
      </c>
    </row>
    <row r="377" spans="1:12" ht="14" x14ac:dyDescent="0.15">
      <c r="A377" s="16" t="s">
        <v>524</v>
      </c>
      <c r="B377" s="16" t="s">
        <v>708</v>
      </c>
      <c r="C377" s="16"/>
      <c r="D377" s="13"/>
      <c r="E377" s="13"/>
      <c r="F377" s="13"/>
      <c r="G377" s="14"/>
      <c r="H377" s="13"/>
      <c r="I377" s="13"/>
      <c r="J377" s="13"/>
      <c r="K377" s="14"/>
      <c r="L377" s="19"/>
    </row>
    <row r="378" spans="1:12" ht="14" x14ac:dyDescent="0.15">
      <c r="A378" s="16" t="s">
        <v>536</v>
      </c>
      <c r="B378" s="16" t="s">
        <v>11</v>
      </c>
      <c r="C378" s="16" t="s">
        <v>537</v>
      </c>
      <c r="D378" s="17">
        <v>169383</v>
      </c>
      <c r="E378" s="18">
        <v>3458</v>
      </c>
      <c r="F378" s="18">
        <v>165925</v>
      </c>
      <c r="G378" s="12"/>
      <c r="H378" s="18">
        <v>73971</v>
      </c>
      <c r="I378" s="11"/>
      <c r="J378" s="11"/>
      <c r="K378" s="12"/>
      <c r="L378" s="12">
        <f>F378/H378</f>
        <v>2.2431087858755459</v>
      </c>
    </row>
    <row r="379" spans="1:12" ht="14" x14ac:dyDescent="0.15">
      <c r="A379" s="16" t="s">
        <v>536</v>
      </c>
      <c r="B379" s="16" t="s">
        <v>538</v>
      </c>
      <c r="C379" s="16" t="s">
        <v>539</v>
      </c>
      <c r="D379" s="17">
        <v>306</v>
      </c>
      <c r="E379" s="18">
        <v>2</v>
      </c>
      <c r="F379" s="18">
        <v>304</v>
      </c>
      <c r="G379" s="12"/>
      <c r="H379" s="18">
        <v>148</v>
      </c>
      <c r="I379" s="11"/>
      <c r="J379" s="11"/>
      <c r="K379" s="12"/>
      <c r="L379" s="12">
        <f>F379/H379</f>
        <v>2.0540540540540539</v>
      </c>
    </row>
    <row r="380" spans="1:12" ht="14" x14ac:dyDescent="0.15">
      <c r="A380" s="16" t="s">
        <v>536</v>
      </c>
      <c r="B380" s="16" t="s">
        <v>540</v>
      </c>
      <c r="C380" s="16" t="s">
        <v>541</v>
      </c>
      <c r="D380" s="17">
        <v>112282</v>
      </c>
      <c r="E380" s="18">
        <v>3203</v>
      </c>
      <c r="F380" s="18">
        <v>109079</v>
      </c>
      <c r="G380" s="12"/>
      <c r="H380" s="18">
        <v>49561</v>
      </c>
      <c r="I380" s="11"/>
      <c r="J380" s="11"/>
      <c r="K380" s="12"/>
      <c r="L380" s="12">
        <f>F380/H380</f>
        <v>2.2009039365630234</v>
      </c>
    </row>
    <row r="381" spans="1:12" ht="14" x14ac:dyDescent="0.15">
      <c r="A381" s="16" t="s">
        <v>536</v>
      </c>
      <c r="B381" s="16" t="s">
        <v>542</v>
      </c>
      <c r="C381" s="16" t="s">
        <v>543</v>
      </c>
      <c r="D381" s="17">
        <v>206</v>
      </c>
      <c r="E381" s="18">
        <v>0</v>
      </c>
      <c r="F381" s="18">
        <v>206</v>
      </c>
      <c r="G381" s="12"/>
      <c r="H381" s="18">
        <v>116</v>
      </c>
      <c r="I381" s="11"/>
      <c r="J381" s="11"/>
      <c r="K381" s="12"/>
      <c r="L381" s="12">
        <f>F381/H381</f>
        <v>1.7758620689655173</v>
      </c>
    </row>
    <row r="382" spans="1:12" ht="14" x14ac:dyDescent="0.15">
      <c r="A382" s="16" t="s">
        <v>536</v>
      </c>
      <c r="B382" s="16" t="s">
        <v>35</v>
      </c>
      <c r="C382" s="16" t="s">
        <v>36</v>
      </c>
      <c r="D382" s="17">
        <v>56589</v>
      </c>
      <c r="E382" s="18">
        <v>253</v>
      </c>
      <c r="F382" s="18">
        <v>56336</v>
      </c>
      <c r="G382" s="12"/>
      <c r="H382" s="18">
        <v>24147</v>
      </c>
      <c r="I382" s="11"/>
      <c r="J382" s="11"/>
      <c r="K382" s="12"/>
      <c r="L382" s="12">
        <f>F382/H382</f>
        <v>2.3330434422495547</v>
      </c>
    </row>
    <row r="383" spans="1:12" ht="14" x14ac:dyDescent="0.15">
      <c r="A383" s="16" t="s">
        <v>536</v>
      </c>
      <c r="B383" s="16" t="s">
        <v>708</v>
      </c>
      <c r="C383" s="16"/>
      <c r="D383" s="13"/>
      <c r="E383" s="13"/>
      <c r="F383" s="13"/>
      <c r="G383" s="14"/>
      <c r="H383" s="13"/>
      <c r="I383" s="13"/>
      <c r="J383" s="13"/>
      <c r="K383" s="14"/>
      <c r="L383" s="19"/>
    </row>
    <row r="384" spans="1:12" ht="14" x14ac:dyDescent="0.15">
      <c r="A384" s="16" t="s">
        <v>544</v>
      </c>
      <c r="B384" s="16" t="s">
        <v>11</v>
      </c>
      <c r="C384" s="16" t="s">
        <v>545</v>
      </c>
      <c r="D384" s="17">
        <v>6558</v>
      </c>
      <c r="E384" s="18">
        <v>206</v>
      </c>
      <c r="F384" s="18">
        <v>6352</v>
      </c>
      <c r="G384" s="12"/>
      <c r="H384" s="18">
        <v>3296</v>
      </c>
      <c r="I384" s="11"/>
      <c r="J384" s="11"/>
      <c r="K384" s="12"/>
      <c r="L384" s="12">
        <f>F384/H384</f>
        <v>1.9271844660194175</v>
      </c>
    </row>
    <row r="385" spans="1:12" ht="14" x14ac:dyDescent="0.15">
      <c r="A385" s="16" t="s">
        <v>544</v>
      </c>
      <c r="B385" s="16" t="s">
        <v>546</v>
      </c>
      <c r="C385" s="16" t="s">
        <v>547</v>
      </c>
      <c r="D385" s="17">
        <v>2373</v>
      </c>
      <c r="E385" s="18">
        <v>35</v>
      </c>
      <c r="F385" s="18">
        <v>2338</v>
      </c>
      <c r="G385" s="12"/>
      <c r="H385" s="18">
        <v>1138</v>
      </c>
      <c r="I385" s="11"/>
      <c r="J385" s="11"/>
      <c r="K385" s="12"/>
      <c r="L385" s="12">
        <f>F385/H385</f>
        <v>2.0544815465729349</v>
      </c>
    </row>
    <row r="386" spans="1:12" ht="14" x14ac:dyDescent="0.15">
      <c r="A386" s="16" t="s">
        <v>544</v>
      </c>
      <c r="B386" s="16" t="s">
        <v>548</v>
      </c>
      <c r="C386" s="16" t="s">
        <v>549</v>
      </c>
      <c r="D386" s="17">
        <v>2287</v>
      </c>
      <c r="E386" s="18">
        <v>166</v>
      </c>
      <c r="F386" s="18">
        <v>2121</v>
      </c>
      <c r="G386" s="12"/>
      <c r="H386" s="18">
        <v>1119</v>
      </c>
      <c r="I386" s="11"/>
      <c r="J386" s="11"/>
      <c r="K386" s="12"/>
      <c r="L386" s="12">
        <f>F386/H386</f>
        <v>1.8954423592493297</v>
      </c>
    </row>
    <row r="387" spans="1:12" ht="14" x14ac:dyDescent="0.15">
      <c r="A387" s="16" t="s">
        <v>544</v>
      </c>
      <c r="B387" s="16" t="s">
        <v>35</v>
      </c>
      <c r="C387" s="16" t="s">
        <v>36</v>
      </c>
      <c r="D387" s="17">
        <v>1898</v>
      </c>
      <c r="E387" s="18">
        <v>5</v>
      </c>
      <c r="F387" s="18">
        <v>1893</v>
      </c>
      <c r="G387" s="12"/>
      <c r="H387" s="18">
        <v>1039</v>
      </c>
      <c r="I387" s="11"/>
      <c r="J387" s="11"/>
      <c r="K387" s="12"/>
      <c r="L387" s="12">
        <f>F387/H387</f>
        <v>1.8219441770933591</v>
      </c>
    </row>
    <row r="388" spans="1:12" ht="14" x14ac:dyDescent="0.15">
      <c r="A388" s="16" t="s">
        <v>544</v>
      </c>
      <c r="B388" s="16" t="s">
        <v>708</v>
      </c>
      <c r="C388" s="16"/>
      <c r="D388" s="13"/>
      <c r="E388" s="13"/>
      <c r="F388" s="13"/>
      <c r="G388" s="14"/>
      <c r="H388" s="13"/>
      <c r="I388" s="13"/>
      <c r="J388" s="13"/>
      <c r="K388" s="14"/>
      <c r="L388" s="19"/>
    </row>
    <row r="389" spans="1:12" ht="14" x14ac:dyDescent="0.15">
      <c r="A389" s="16" t="s">
        <v>550</v>
      </c>
      <c r="B389" s="16" t="s">
        <v>11</v>
      </c>
      <c r="C389" s="16" t="s">
        <v>551</v>
      </c>
      <c r="D389" s="17">
        <v>11336</v>
      </c>
      <c r="E389" s="18">
        <v>107</v>
      </c>
      <c r="F389" s="18">
        <v>11229</v>
      </c>
      <c r="G389" s="12"/>
      <c r="H389" s="18">
        <v>6606</v>
      </c>
      <c r="I389" s="11"/>
      <c r="J389" s="11"/>
      <c r="K389" s="12"/>
      <c r="L389" s="12">
        <f t="shared" ref="L389:L394" si="25">F389/H389</f>
        <v>1.6998183469573116</v>
      </c>
    </row>
    <row r="390" spans="1:12" ht="14" x14ac:dyDescent="0.15">
      <c r="A390" s="16" t="s">
        <v>550</v>
      </c>
      <c r="B390" s="16" t="s">
        <v>552</v>
      </c>
      <c r="C390" s="16" t="s">
        <v>553</v>
      </c>
      <c r="D390" s="17">
        <v>43</v>
      </c>
      <c r="E390" s="18">
        <v>0</v>
      </c>
      <c r="F390" s="18">
        <v>43</v>
      </c>
      <c r="G390" s="12"/>
      <c r="H390" s="18">
        <v>53</v>
      </c>
      <c r="I390" s="11"/>
      <c r="J390" s="11"/>
      <c r="K390" s="12"/>
      <c r="L390" s="12">
        <f t="shared" si="25"/>
        <v>0.81132075471698117</v>
      </c>
    </row>
    <row r="391" spans="1:12" ht="14" x14ac:dyDescent="0.15">
      <c r="A391" s="16" t="s">
        <v>550</v>
      </c>
      <c r="B391" s="16" t="s">
        <v>554</v>
      </c>
      <c r="C391" s="16" t="s">
        <v>555</v>
      </c>
      <c r="D391" s="17">
        <v>1424</v>
      </c>
      <c r="E391" s="18">
        <v>42</v>
      </c>
      <c r="F391" s="18">
        <v>1382</v>
      </c>
      <c r="G391" s="12"/>
      <c r="H391" s="18">
        <v>817</v>
      </c>
      <c r="I391" s="11"/>
      <c r="J391" s="11"/>
      <c r="K391" s="12"/>
      <c r="L391" s="12">
        <f t="shared" si="25"/>
        <v>1.6915544675642595</v>
      </c>
    </row>
    <row r="392" spans="1:12" ht="14" x14ac:dyDescent="0.15">
      <c r="A392" s="16" t="s">
        <v>550</v>
      </c>
      <c r="B392" s="16" t="s">
        <v>556</v>
      </c>
      <c r="C392" s="16" t="s">
        <v>557</v>
      </c>
      <c r="D392" s="17">
        <v>4143</v>
      </c>
      <c r="E392" s="18">
        <v>14</v>
      </c>
      <c r="F392" s="18">
        <v>4129</v>
      </c>
      <c r="G392" s="12"/>
      <c r="H392" s="18">
        <v>1969</v>
      </c>
      <c r="I392" s="11"/>
      <c r="J392" s="11"/>
      <c r="K392" s="12"/>
      <c r="L392" s="12">
        <f t="shared" si="25"/>
        <v>2.0970035551041137</v>
      </c>
    </row>
    <row r="393" spans="1:12" ht="14" x14ac:dyDescent="0.15">
      <c r="A393" s="16" t="s">
        <v>550</v>
      </c>
      <c r="B393" s="16" t="s">
        <v>558</v>
      </c>
      <c r="C393" s="16" t="s">
        <v>559</v>
      </c>
      <c r="D393" s="17">
        <v>502</v>
      </c>
      <c r="E393" s="18">
        <v>0</v>
      </c>
      <c r="F393" s="18">
        <v>502</v>
      </c>
      <c r="G393" s="12"/>
      <c r="H393" s="18">
        <v>557</v>
      </c>
      <c r="I393" s="11"/>
      <c r="J393" s="11"/>
      <c r="K393" s="12"/>
      <c r="L393" s="12">
        <f t="shared" si="25"/>
        <v>0.90125673249551164</v>
      </c>
    </row>
    <row r="394" spans="1:12" ht="14" x14ac:dyDescent="0.15">
      <c r="A394" s="16" t="s">
        <v>550</v>
      </c>
      <c r="B394" s="16" t="s">
        <v>35</v>
      </c>
      <c r="C394" s="16" t="s">
        <v>36</v>
      </c>
      <c r="D394" s="17">
        <v>5224</v>
      </c>
      <c r="E394" s="18">
        <v>51</v>
      </c>
      <c r="F394" s="18">
        <v>5173</v>
      </c>
      <c r="G394" s="12"/>
      <c r="H394" s="18">
        <v>3211</v>
      </c>
      <c r="I394" s="11"/>
      <c r="J394" s="11"/>
      <c r="K394" s="12"/>
      <c r="L394" s="12">
        <f t="shared" si="25"/>
        <v>1.6110246029274369</v>
      </c>
    </row>
    <row r="395" spans="1:12" ht="14" x14ac:dyDescent="0.15">
      <c r="A395" s="16" t="s">
        <v>550</v>
      </c>
      <c r="B395" s="16" t="s">
        <v>708</v>
      </c>
      <c r="C395" s="16"/>
      <c r="D395" s="13"/>
      <c r="E395" s="13"/>
      <c r="F395" s="13"/>
      <c r="G395" s="14"/>
      <c r="H395" s="13"/>
      <c r="I395" s="13"/>
      <c r="J395" s="13"/>
      <c r="K395" s="14"/>
      <c r="L395" s="19"/>
    </row>
    <row r="396" spans="1:12" ht="14" x14ac:dyDescent="0.15">
      <c r="A396" s="16" t="s">
        <v>560</v>
      </c>
      <c r="B396" s="16" t="s">
        <v>11</v>
      </c>
      <c r="C396" s="16" t="s">
        <v>561</v>
      </c>
      <c r="D396" s="17">
        <v>25027</v>
      </c>
      <c r="E396" s="18">
        <v>340</v>
      </c>
      <c r="F396" s="18">
        <v>24687</v>
      </c>
      <c r="G396" s="12"/>
      <c r="H396" s="18">
        <v>17102</v>
      </c>
      <c r="I396" s="11"/>
      <c r="J396" s="11"/>
      <c r="K396" s="12"/>
      <c r="L396" s="12">
        <f t="shared" ref="L396:L401" si="26">F396/H396</f>
        <v>1.4435153783183254</v>
      </c>
    </row>
    <row r="397" spans="1:12" ht="14" x14ac:dyDescent="0.15">
      <c r="A397" s="16" t="s">
        <v>560</v>
      </c>
      <c r="B397" s="16" t="s">
        <v>562</v>
      </c>
      <c r="C397" s="16" t="s">
        <v>563</v>
      </c>
      <c r="D397" s="17">
        <v>1954</v>
      </c>
      <c r="E397" s="18">
        <v>29</v>
      </c>
      <c r="F397" s="18">
        <v>1925</v>
      </c>
      <c r="G397" s="12"/>
      <c r="H397" s="18">
        <v>876</v>
      </c>
      <c r="I397" s="11"/>
      <c r="J397" s="11"/>
      <c r="K397" s="12"/>
      <c r="L397" s="12">
        <f t="shared" si="26"/>
        <v>2.1974885844748857</v>
      </c>
    </row>
    <row r="398" spans="1:12" ht="14" x14ac:dyDescent="0.15">
      <c r="A398" s="16" t="s">
        <v>560</v>
      </c>
      <c r="B398" s="16" t="s">
        <v>564</v>
      </c>
      <c r="C398" s="16" t="s">
        <v>565</v>
      </c>
      <c r="D398" s="17">
        <v>871</v>
      </c>
      <c r="E398" s="18">
        <v>0</v>
      </c>
      <c r="F398" s="18">
        <v>871</v>
      </c>
      <c r="G398" s="12"/>
      <c r="H398" s="18">
        <v>498</v>
      </c>
      <c r="I398" s="11"/>
      <c r="J398" s="11"/>
      <c r="K398" s="12"/>
      <c r="L398" s="12">
        <f t="shared" si="26"/>
        <v>1.748995983935743</v>
      </c>
    </row>
    <row r="399" spans="1:12" ht="14" x14ac:dyDescent="0.15">
      <c r="A399" s="16" t="s">
        <v>560</v>
      </c>
      <c r="B399" s="16" t="s">
        <v>566</v>
      </c>
      <c r="C399" s="16" t="s">
        <v>567</v>
      </c>
      <c r="D399" s="17">
        <v>13284</v>
      </c>
      <c r="E399" s="18">
        <v>299</v>
      </c>
      <c r="F399" s="18">
        <v>12985</v>
      </c>
      <c r="G399" s="12"/>
      <c r="H399" s="18">
        <v>10393</v>
      </c>
      <c r="I399" s="11"/>
      <c r="J399" s="11"/>
      <c r="K399" s="12"/>
      <c r="L399" s="12">
        <f t="shared" si="26"/>
        <v>1.2493986336957568</v>
      </c>
    </row>
    <row r="400" spans="1:12" ht="14" x14ac:dyDescent="0.15">
      <c r="A400" s="16" t="s">
        <v>560</v>
      </c>
      <c r="B400" s="16" t="s">
        <v>568</v>
      </c>
      <c r="C400" s="16" t="s">
        <v>569</v>
      </c>
      <c r="D400" s="17">
        <v>398</v>
      </c>
      <c r="E400" s="18">
        <v>0</v>
      </c>
      <c r="F400" s="18">
        <v>398</v>
      </c>
      <c r="G400" s="12"/>
      <c r="H400" s="18">
        <v>209</v>
      </c>
      <c r="I400" s="11"/>
      <c r="J400" s="11"/>
      <c r="K400" s="12"/>
      <c r="L400" s="12">
        <f t="shared" si="26"/>
        <v>1.9043062200956937</v>
      </c>
    </row>
    <row r="401" spans="1:12" ht="14" x14ac:dyDescent="0.15">
      <c r="A401" s="16" t="s">
        <v>560</v>
      </c>
      <c r="B401" s="16" t="s">
        <v>35</v>
      </c>
      <c r="C401" s="16" t="s">
        <v>36</v>
      </c>
      <c r="D401" s="17">
        <v>8520</v>
      </c>
      <c r="E401" s="18">
        <v>12</v>
      </c>
      <c r="F401" s="18">
        <v>8508</v>
      </c>
      <c r="G401" s="12"/>
      <c r="H401" s="18">
        <v>5127</v>
      </c>
      <c r="I401" s="11"/>
      <c r="J401" s="11"/>
      <c r="K401" s="12"/>
      <c r="L401" s="12">
        <f t="shared" si="26"/>
        <v>1.6594499707431247</v>
      </c>
    </row>
    <row r="402" spans="1:12" ht="14" x14ac:dyDescent="0.15">
      <c r="A402" s="16" t="s">
        <v>560</v>
      </c>
      <c r="B402" s="16" t="s">
        <v>708</v>
      </c>
      <c r="C402" s="16"/>
      <c r="D402" s="13"/>
      <c r="E402" s="13"/>
      <c r="F402" s="13"/>
      <c r="G402" s="14"/>
      <c r="H402" s="13"/>
      <c r="I402" s="13"/>
      <c r="J402" s="13"/>
      <c r="K402" s="14"/>
      <c r="L402" s="19"/>
    </row>
    <row r="403" spans="1:12" ht="14" x14ac:dyDescent="0.15">
      <c r="A403" s="16" t="s">
        <v>570</v>
      </c>
      <c r="B403" s="16" t="s">
        <v>11</v>
      </c>
      <c r="C403" s="16" t="s">
        <v>571</v>
      </c>
      <c r="D403" s="17">
        <v>6616</v>
      </c>
      <c r="E403" s="18">
        <v>16</v>
      </c>
      <c r="F403" s="18">
        <v>6600</v>
      </c>
      <c r="G403" s="12"/>
      <c r="H403" s="18">
        <v>3914</v>
      </c>
      <c r="I403" s="11"/>
      <c r="J403" s="11"/>
      <c r="K403" s="12"/>
      <c r="L403" s="12">
        <f t="shared" ref="L403:L409" si="27">F403/H403</f>
        <v>1.6862544711292795</v>
      </c>
    </row>
    <row r="404" spans="1:12" ht="14" x14ac:dyDescent="0.15">
      <c r="A404" s="16" t="s">
        <v>570</v>
      </c>
      <c r="B404" s="16" t="s">
        <v>572</v>
      </c>
      <c r="C404" s="16" t="s">
        <v>573</v>
      </c>
      <c r="D404" s="17">
        <v>18</v>
      </c>
      <c r="E404" s="18">
        <v>0</v>
      </c>
      <c r="F404" s="18">
        <v>18</v>
      </c>
      <c r="G404" s="12"/>
      <c r="H404" s="18">
        <v>29</v>
      </c>
      <c r="I404" s="11"/>
      <c r="J404" s="11"/>
      <c r="K404" s="12"/>
      <c r="L404" s="12">
        <f t="shared" si="27"/>
        <v>0.62068965517241381</v>
      </c>
    </row>
    <row r="405" spans="1:12" ht="14" x14ac:dyDescent="0.15">
      <c r="A405" s="16" t="s">
        <v>570</v>
      </c>
      <c r="B405" s="16" t="s">
        <v>552</v>
      </c>
      <c r="C405" s="16" t="s">
        <v>553</v>
      </c>
      <c r="D405" s="17">
        <v>1885</v>
      </c>
      <c r="E405" s="18">
        <v>0</v>
      </c>
      <c r="F405" s="18">
        <v>1885</v>
      </c>
      <c r="G405" s="12"/>
      <c r="H405" s="18">
        <v>807</v>
      </c>
      <c r="I405" s="11"/>
      <c r="J405" s="11"/>
      <c r="K405" s="12"/>
      <c r="L405" s="12">
        <f t="shared" si="27"/>
        <v>2.3358116480793059</v>
      </c>
    </row>
    <row r="406" spans="1:12" ht="14" x14ac:dyDescent="0.15">
      <c r="A406" s="16" t="s">
        <v>570</v>
      </c>
      <c r="B406" s="16" t="s">
        <v>574</v>
      </c>
      <c r="C406" s="16" t="s">
        <v>575</v>
      </c>
      <c r="D406" s="17">
        <v>149</v>
      </c>
      <c r="E406" s="18">
        <v>0</v>
      </c>
      <c r="F406" s="18">
        <v>149</v>
      </c>
      <c r="G406" s="12"/>
      <c r="H406" s="18">
        <v>113</v>
      </c>
      <c r="I406" s="11"/>
      <c r="J406" s="11"/>
      <c r="K406" s="12"/>
      <c r="L406" s="12">
        <f t="shared" si="27"/>
        <v>1.3185840707964602</v>
      </c>
    </row>
    <row r="407" spans="1:12" ht="14" x14ac:dyDescent="0.15">
      <c r="A407" s="16" t="s">
        <v>570</v>
      </c>
      <c r="B407" s="16" t="s">
        <v>576</v>
      </c>
      <c r="C407" s="16" t="s">
        <v>577</v>
      </c>
      <c r="D407" s="17">
        <v>108</v>
      </c>
      <c r="E407" s="18">
        <v>0</v>
      </c>
      <c r="F407" s="18">
        <v>108</v>
      </c>
      <c r="G407" s="12"/>
      <c r="H407" s="18">
        <v>64</v>
      </c>
      <c r="I407" s="11"/>
      <c r="J407" s="11"/>
      <c r="K407" s="12"/>
      <c r="L407" s="12">
        <f t="shared" si="27"/>
        <v>1.6875</v>
      </c>
    </row>
    <row r="408" spans="1:12" ht="14" x14ac:dyDescent="0.15">
      <c r="A408" s="16" t="s">
        <v>570</v>
      </c>
      <c r="B408" s="16" t="s">
        <v>578</v>
      </c>
      <c r="C408" s="16" t="s">
        <v>579</v>
      </c>
      <c r="D408" s="17">
        <v>530</v>
      </c>
      <c r="E408" s="18">
        <v>9</v>
      </c>
      <c r="F408" s="18">
        <v>521</v>
      </c>
      <c r="G408" s="12"/>
      <c r="H408" s="18">
        <v>327</v>
      </c>
      <c r="I408" s="11"/>
      <c r="J408" s="11"/>
      <c r="K408" s="12"/>
      <c r="L408" s="12">
        <f t="shared" si="27"/>
        <v>1.5932721712538227</v>
      </c>
    </row>
    <row r="409" spans="1:12" ht="14" x14ac:dyDescent="0.15">
      <c r="A409" s="16" t="s">
        <v>570</v>
      </c>
      <c r="B409" s="16" t="s">
        <v>35</v>
      </c>
      <c r="C409" s="16" t="s">
        <v>36</v>
      </c>
      <c r="D409" s="17">
        <v>3926</v>
      </c>
      <c r="E409" s="18">
        <v>7</v>
      </c>
      <c r="F409" s="18">
        <v>3919</v>
      </c>
      <c r="G409" s="12"/>
      <c r="H409" s="18">
        <v>2575</v>
      </c>
      <c r="I409" s="11"/>
      <c r="J409" s="11"/>
      <c r="K409" s="12"/>
      <c r="L409" s="12">
        <f t="shared" si="27"/>
        <v>1.5219417475728156</v>
      </c>
    </row>
    <row r="410" spans="1:12" ht="14" x14ac:dyDescent="0.15">
      <c r="A410" s="16" t="s">
        <v>570</v>
      </c>
      <c r="B410" s="16" t="s">
        <v>708</v>
      </c>
      <c r="C410" s="16"/>
      <c r="D410" s="13"/>
      <c r="E410" s="13"/>
      <c r="F410" s="13"/>
      <c r="G410" s="14"/>
      <c r="H410" s="13"/>
      <c r="I410" s="13"/>
      <c r="J410" s="13"/>
      <c r="K410" s="14"/>
      <c r="L410" s="19"/>
    </row>
    <row r="411" spans="1:12" ht="14" x14ac:dyDescent="0.15">
      <c r="A411" s="16" t="s">
        <v>580</v>
      </c>
      <c r="B411" s="16" t="s">
        <v>11</v>
      </c>
      <c r="C411" s="16" t="s">
        <v>581</v>
      </c>
      <c r="D411" s="17">
        <v>801</v>
      </c>
      <c r="E411" s="18">
        <v>0</v>
      </c>
      <c r="F411" s="18">
        <v>801</v>
      </c>
      <c r="G411" s="12"/>
      <c r="H411" s="18">
        <v>805</v>
      </c>
      <c r="I411" s="11"/>
      <c r="J411" s="11"/>
      <c r="K411" s="12"/>
      <c r="L411" s="12">
        <f>F411/H411</f>
        <v>0.99503105590062113</v>
      </c>
    </row>
    <row r="412" spans="1:12" ht="14" x14ac:dyDescent="0.15">
      <c r="A412" s="16" t="s">
        <v>580</v>
      </c>
      <c r="B412" s="16" t="s">
        <v>582</v>
      </c>
      <c r="C412" s="16" t="s">
        <v>583</v>
      </c>
      <c r="D412" s="17">
        <v>708</v>
      </c>
      <c r="E412" s="18">
        <v>0</v>
      </c>
      <c r="F412" s="18">
        <v>708</v>
      </c>
      <c r="G412" s="12"/>
      <c r="H412" s="18">
        <v>542</v>
      </c>
      <c r="I412" s="11"/>
      <c r="J412" s="11"/>
      <c r="K412" s="12"/>
      <c r="L412" s="12">
        <f>F412/H412</f>
        <v>1.3062730627306274</v>
      </c>
    </row>
    <row r="413" spans="1:12" ht="14" x14ac:dyDescent="0.15">
      <c r="A413" s="16" t="s">
        <v>580</v>
      </c>
      <c r="B413" s="16" t="s">
        <v>35</v>
      </c>
      <c r="C413" s="16" t="s">
        <v>36</v>
      </c>
      <c r="D413" s="17">
        <v>93</v>
      </c>
      <c r="E413" s="18">
        <v>0</v>
      </c>
      <c r="F413" s="18">
        <v>93</v>
      </c>
      <c r="G413" s="12"/>
      <c r="H413" s="18">
        <v>263</v>
      </c>
      <c r="I413" s="11"/>
      <c r="J413" s="11"/>
      <c r="K413" s="12"/>
      <c r="L413" s="12">
        <f>F413/H413</f>
        <v>0.35361216730038025</v>
      </c>
    </row>
    <row r="414" spans="1:12" ht="14" x14ac:dyDescent="0.15">
      <c r="A414" s="16" t="s">
        <v>580</v>
      </c>
      <c r="B414" s="16" t="s">
        <v>708</v>
      </c>
      <c r="C414" s="16"/>
      <c r="D414" s="13"/>
      <c r="E414" s="13"/>
      <c r="F414" s="13"/>
      <c r="G414" s="14"/>
      <c r="H414" s="13"/>
      <c r="I414" s="13"/>
      <c r="J414" s="13"/>
      <c r="K414" s="14"/>
      <c r="L414" s="19"/>
    </row>
    <row r="415" spans="1:12" ht="14" x14ac:dyDescent="0.15">
      <c r="A415" s="16" t="s">
        <v>584</v>
      </c>
      <c r="B415" s="16" t="s">
        <v>11</v>
      </c>
      <c r="C415" s="16" t="s">
        <v>585</v>
      </c>
      <c r="D415" s="17">
        <v>7993</v>
      </c>
      <c r="E415" s="18">
        <v>5</v>
      </c>
      <c r="F415" s="18">
        <v>7988</v>
      </c>
      <c r="G415" s="12"/>
      <c r="H415" s="18">
        <v>6711</v>
      </c>
      <c r="I415" s="11"/>
      <c r="J415" s="11"/>
      <c r="K415" s="12"/>
      <c r="L415" s="12">
        <f t="shared" ref="L415:L421" si="28">F415/H415</f>
        <v>1.1902846073610491</v>
      </c>
    </row>
    <row r="416" spans="1:12" ht="14" x14ac:dyDescent="0.15">
      <c r="A416" s="16" t="s">
        <v>584</v>
      </c>
      <c r="B416" s="16" t="s">
        <v>586</v>
      </c>
      <c r="C416" s="16" t="s">
        <v>587</v>
      </c>
      <c r="D416" s="17">
        <v>1240</v>
      </c>
      <c r="E416" s="18">
        <v>0</v>
      </c>
      <c r="F416" s="18">
        <v>1240</v>
      </c>
      <c r="G416" s="12"/>
      <c r="H416" s="18">
        <v>1736</v>
      </c>
      <c r="I416" s="11"/>
      <c r="J416" s="11"/>
      <c r="K416" s="12"/>
      <c r="L416" s="12">
        <f t="shared" si="28"/>
        <v>0.7142857142857143</v>
      </c>
    </row>
    <row r="417" spans="1:12" ht="14" x14ac:dyDescent="0.15">
      <c r="A417" s="16" t="s">
        <v>584</v>
      </c>
      <c r="B417" s="16" t="s">
        <v>588</v>
      </c>
      <c r="C417" s="16" t="s">
        <v>589</v>
      </c>
      <c r="D417" s="17">
        <v>571</v>
      </c>
      <c r="E417" s="18">
        <v>0</v>
      </c>
      <c r="F417" s="18">
        <v>571</v>
      </c>
      <c r="G417" s="12"/>
      <c r="H417" s="18">
        <v>279</v>
      </c>
      <c r="I417" s="11"/>
      <c r="J417" s="11"/>
      <c r="K417" s="12"/>
      <c r="L417" s="12">
        <f t="shared" si="28"/>
        <v>2.0465949820788532</v>
      </c>
    </row>
    <row r="418" spans="1:12" ht="14" x14ac:dyDescent="0.15">
      <c r="A418" s="16" t="s">
        <v>584</v>
      </c>
      <c r="B418" s="16" t="s">
        <v>590</v>
      </c>
      <c r="C418" s="16" t="s">
        <v>591</v>
      </c>
      <c r="D418" s="17">
        <v>195</v>
      </c>
      <c r="E418" s="18">
        <v>0</v>
      </c>
      <c r="F418" s="18">
        <v>195</v>
      </c>
      <c r="G418" s="12"/>
      <c r="H418" s="18">
        <v>83</v>
      </c>
      <c r="I418" s="11"/>
      <c r="J418" s="11"/>
      <c r="K418" s="12"/>
      <c r="L418" s="12">
        <f t="shared" si="28"/>
        <v>2.3493975903614457</v>
      </c>
    </row>
    <row r="419" spans="1:12" ht="14" x14ac:dyDescent="0.15">
      <c r="A419" s="16" t="s">
        <v>584</v>
      </c>
      <c r="B419" s="16" t="s">
        <v>592</v>
      </c>
      <c r="C419" s="16" t="s">
        <v>593</v>
      </c>
      <c r="D419" s="17">
        <v>37</v>
      </c>
      <c r="E419" s="18">
        <v>0</v>
      </c>
      <c r="F419" s="18">
        <v>37</v>
      </c>
      <c r="G419" s="12"/>
      <c r="H419" s="18">
        <v>18</v>
      </c>
      <c r="I419" s="11"/>
      <c r="J419" s="11"/>
      <c r="K419" s="12"/>
      <c r="L419" s="12">
        <f t="shared" si="28"/>
        <v>2.0555555555555554</v>
      </c>
    </row>
    <row r="420" spans="1:12" ht="14" x14ac:dyDescent="0.15">
      <c r="A420" s="16" t="s">
        <v>584</v>
      </c>
      <c r="B420" s="16" t="s">
        <v>594</v>
      </c>
      <c r="C420" s="16" t="s">
        <v>595</v>
      </c>
      <c r="D420" s="17">
        <v>2589</v>
      </c>
      <c r="E420" s="18">
        <v>0</v>
      </c>
      <c r="F420" s="18">
        <v>2589</v>
      </c>
      <c r="G420" s="12"/>
      <c r="H420" s="18">
        <v>2331</v>
      </c>
      <c r="I420" s="11"/>
      <c r="J420" s="11"/>
      <c r="K420" s="12"/>
      <c r="L420" s="12">
        <f t="shared" si="28"/>
        <v>1.1106821106821108</v>
      </c>
    </row>
    <row r="421" spans="1:12" ht="14" x14ac:dyDescent="0.15">
      <c r="A421" s="16" t="s">
        <v>584</v>
      </c>
      <c r="B421" s="16" t="s">
        <v>35</v>
      </c>
      <c r="C421" s="16" t="s">
        <v>36</v>
      </c>
      <c r="D421" s="17">
        <v>3361</v>
      </c>
      <c r="E421" s="18">
        <v>5</v>
      </c>
      <c r="F421" s="18">
        <v>3356</v>
      </c>
      <c r="G421" s="12"/>
      <c r="H421" s="18">
        <v>2264</v>
      </c>
      <c r="I421" s="11"/>
      <c r="J421" s="11"/>
      <c r="K421" s="12"/>
      <c r="L421" s="12">
        <f t="shared" si="28"/>
        <v>1.4823321554770319</v>
      </c>
    </row>
    <row r="422" spans="1:12" ht="14" x14ac:dyDescent="0.15">
      <c r="A422" s="16" t="s">
        <v>584</v>
      </c>
      <c r="B422" s="16" t="s">
        <v>708</v>
      </c>
      <c r="C422" s="16"/>
      <c r="D422" s="13"/>
      <c r="E422" s="13"/>
      <c r="F422" s="13"/>
      <c r="G422" s="14"/>
      <c r="H422" s="13"/>
      <c r="I422" s="13"/>
      <c r="J422" s="13"/>
      <c r="K422" s="14"/>
      <c r="L422" s="19"/>
    </row>
    <row r="423" spans="1:12" ht="14" x14ac:dyDescent="0.15">
      <c r="A423" s="16" t="s">
        <v>596</v>
      </c>
      <c r="B423" s="16" t="s">
        <v>11</v>
      </c>
      <c r="C423" s="16" t="s">
        <v>597</v>
      </c>
      <c r="D423" s="17">
        <v>2297</v>
      </c>
      <c r="E423" s="18">
        <v>32</v>
      </c>
      <c r="F423" s="18">
        <v>2265</v>
      </c>
      <c r="G423" s="12"/>
      <c r="H423" s="18">
        <v>1343</v>
      </c>
      <c r="I423" s="11"/>
      <c r="J423" s="11"/>
      <c r="K423" s="12"/>
      <c r="L423" s="12">
        <f>F423/H423</f>
        <v>1.6865227103499627</v>
      </c>
    </row>
    <row r="424" spans="1:12" ht="14" x14ac:dyDescent="0.15">
      <c r="A424" s="16" t="s">
        <v>596</v>
      </c>
      <c r="B424" s="16" t="s">
        <v>598</v>
      </c>
      <c r="C424" s="16" t="s">
        <v>599</v>
      </c>
      <c r="D424" s="17">
        <v>1245</v>
      </c>
      <c r="E424" s="18">
        <v>32</v>
      </c>
      <c r="F424" s="18">
        <v>1213</v>
      </c>
      <c r="G424" s="12"/>
      <c r="H424" s="18">
        <v>702</v>
      </c>
      <c r="I424" s="11"/>
      <c r="J424" s="11"/>
      <c r="K424" s="12"/>
      <c r="L424" s="12">
        <f>F424/H424</f>
        <v>1.7279202279202279</v>
      </c>
    </row>
    <row r="425" spans="1:12" ht="14" x14ac:dyDescent="0.15">
      <c r="A425" s="16" t="s">
        <v>596</v>
      </c>
      <c r="B425" s="16" t="s">
        <v>600</v>
      </c>
      <c r="C425" s="16" t="s">
        <v>601</v>
      </c>
      <c r="D425" s="17">
        <v>260</v>
      </c>
      <c r="E425" s="18">
        <v>0</v>
      </c>
      <c r="F425" s="18">
        <v>260</v>
      </c>
      <c r="G425" s="12"/>
      <c r="H425" s="18">
        <v>164</v>
      </c>
      <c r="I425" s="11"/>
      <c r="J425" s="11"/>
      <c r="K425" s="12"/>
      <c r="L425" s="12">
        <f>F425/H425</f>
        <v>1.5853658536585367</v>
      </c>
    </row>
    <row r="426" spans="1:12" ht="14" x14ac:dyDescent="0.15">
      <c r="A426" s="16" t="s">
        <v>596</v>
      </c>
      <c r="B426" s="16" t="s">
        <v>602</v>
      </c>
      <c r="C426" s="16" t="s">
        <v>603</v>
      </c>
      <c r="D426" s="17">
        <v>165</v>
      </c>
      <c r="E426" s="18">
        <v>0</v>
      </c>
      <c r="F426" s="18">
        <v>165</v>
      </c>
      <c r="G426" s="12"/>
      <c r="H426" s="18">
        <v>112</v>
      </c>
      <c r="I426" s="11"/>
      <c r="J426" s="11"/>
      <c r="K426" s="12"/>
      <c r="L426" s="12">
        <f>F426/H426</f>
        <v>1.4732142857142858</v>
      </c>
    </row>
    <row r="427" spans="1:12" ht="14" x14ac:dyDescent="0.15">
      <c r="A427" s="16" t="s">
        <v>596</v>
      </c>
      <c r="B427" s="16" t="s">
        <v>35</v>
      </c>
      <c r="C427" s="16" t="s">
        <v>36</v>
      </c>
      <c r="D427" s="17">
        <v>627</v>
      </c>
      <c r="E427" s="18">
        <v>0</v>
      </c>
      <c r="F427" s="18">
        <v>627</v>
      </c>
      <c r="G427" s="12"/>
      <c r="H427" s="18">
        <v>365</v>
      </c>
      <c r="I427" s="11"/>
      <c r="J427" s="11"/>
      <c r="K427" s="12"/>
      <c r="L427" s="12">
        <f>F427/H427</f>
        <v>1.7178082191780821</v>
      </c>
    </row>
    <row r="428" spans="1:12" ht="14" x14ac:dyDescent="0.15">
      <c r="A428" s="16" t="s">
        <v>596</v>
      </c>
      <c r="B428" s="16" t="s">
        <v>708</v>
      </c>
      <c r="C428" s="16"/>
      <c r="D428" s="13"/>
      <c r="E428" s="13"/>
      <c r="F428" s="13"/>
      <c r="G428" s="14"/>
      <c r="H428" s="13"/>
      <c r="I428" s="13"/>
      <c r="J428" s="13"/>
      <c r="K428" s="14"/>
      <c r="L428" s="19"/>
    </row>
    <row r="429" spans="1:12" ht="14" x14ac:dyDescent="0.15">
      <c r="A429" s="16" t="s">
        <v>604</v>
      </c>
      <c r="B429" s="16" t="s">
        <v>11</v>
      </c>
      <c r="C429" s="16" t="s">
        <v>605</v>
      </c>
      <c r="D429" s="17">
        <v>30583</v>
      </c>
      <c r="E429" s="18">
        <v>579</v>
      </c>
      <c r="F429" s="18">
        <v>30004</v>
      </c>
      <c r="G429" s="12"/>
      <c r="H429" s="18">
        <v>32147</v>
      </c>
      <c r="I429" s="11"/>
      <c r="J429" s="11"/>
      <c r="K429" s="12"/>
      <c r="L429" s="12">
        <f t="shared" ref="L429:L436" si="29">F429/H429</f>
        <v>0.93333748094690017</v>
      </c>
    </row>
    <row r="430" spans="1:12" ht="14" x14ac:dyDescent="0.15">
      <c r="A430" s="16" t="s">
        <v>604</v>
      </c>
      <c r="B430" s="16" t="s">
        <v>606</v>
      </c>
      <c r="C430" s="16" t="s">
        <v>607</v>
      </c>
      <c r="D430" s="17">
        <v>848</v>
      </c>
      <c r="E430" s="18">
        <v>0</v>
      </c>
      <c r="F430" s="18">
        <v>848</v>
      </c>
      <c r="G430" s="12"/>
      <c r="H430" s="18">
        <v>773</v>
      </c>
      <c r="I430" s="11"/>
      <c r="J430" s="11"/>
      <c r="K430" s="12"/>
      <c r="L430" s="12">
        <f t="shared" si="29"/>
        <v>1.0970245795601552</v>
      </c>
    </row>
    <row r="431" spans="1:12" ht="14" x14ac:dyDescent="0.15">
      <c r="A431" s="16" t="s">
        <v>604</v>
      </c>
      <c r="B431" s="16" t="s">
        <v>608</v>
      </c>
      <c r="C431" s="16" t="s">
        <v>609</v>
      </c>
      <c r="D431" s="17">
        <v>4930</v>
      </c>
      <c r="E431" s="18">
        <v>21</v>
      </c>
      <c r="F431" s="18">
        <v>4909</v>
      </c>
      <c r="G431" s="12"/>
      <c r="H431" s="18">
        <v>7505</v>
      </c>
      <c r="I431" s="11"/>
      <c r="J431" s="11"/>
      <c r="K431" s="12"/>
      <c r="L431" s="12">
        <f t="shared" si="29"/>
        <v>0.65409726848767491</v>
      </c>
    </row>
    <row r="432" spans="1:12" ht="14" x14ac:dyDescent="0.15">
      <c r="A432" s="16" t="s">
        <v>604</v>
      </c>
      <c r="B432" s="16" t="s">
        <v>610</v>
      </c>
      <c r="C432" s="16" t="s">
        <v>611</v>
      </c>
      <c r="D432" s="17">
        <v>1031</v>
      </c>
      <c r="E432" s="18">
        <v>0</v>
      </c>
      <c r="F432" s="18">
        <v>1031</v>
      </c>
      <c r="G432" s="12"/>
      <c r="H432" s="18">
        <v>1394</v>
      </c>
      <c r="I432" s="11"/>
      <c r="J432" s="11"/>
      <c r="K432" s="12"/>
      <c r="L432" s="12">
        <f t="shared" si="29"/>
        <v>0.73959827833572456</v>
      </c>
    </row>
    <row r="433" spans="1:12" ht="14" x14ac:dyDescent="0.15">
      <c r="A433" s="16" t="s">
        <v>604</v>
      </c>
      <c r="B433" s="16" t="s">
        <v>612</v>
      </c>
      <c r="C433" s="16" t="s">
        <v>613</v>
      </c>
      <c r="D433" s="17">
        <v>2796</v>
      </c>
      <c r="E433" s="18">
        <v>8</v>
      </c>
      <c r="F433" s="18">
        <v>2788</v>
      </c>
      <c r="G433" s="12"/>
      <c r="H433" s="18">
        <v>3376</v>
      </c>
      <c r="I433" s="11"/>
      <c r="J433" s="11"/>
      <c r="K433" s="12"/>
      <c r="L433" s="12">
        <f t="shared" si="29"/>
        <v>0.82582938388625593</v>
      </c>
    </row>
    <row r="434" spans="1:12" ht="14" x14ac:dyDescent="0.15">
      <c r="A434" s="16" t="s">
        <v>604</v>
      </c>
      <c r="B434" s="16" t="s">
        <v>614</v>
      </c>
      <c r="C434" s="16" t="s">
        <v>615</v>
      </c>
      <c r="D434" s="17">
        <v>70</v>
      </c>
      <c r="E434" s="18">
        <v>0</v>
      </c>
      <c r="F434" s="18">
        <v>70</v>
      </c>
      <c r="G434" s="12"/>
      <c r="H434" s="18">
        <v>57</v>
      </c>
      <c r="I434" s="11"/>
      <c r="J434" s="11"/>
      <c r="K434" s="12"/>
      <c r="L434" s="12">
        <f t="shared" si="29"/>
        <v>1.2280701754385965</v>
      </c>
    </row>
    <row r="435" spans="1:12" ht="14" x14ac:dyDescent="0.15">
      <c r="A435" s="16" t="s">
        <v>604</v>
      </c>
      <c r="B435" s="16" t="s">
        <v>616</v>
      </c>
      <c r="C435" s="16" t="s">
        <v>617</v>
      </c>
      <c r="D435" s="17">
        <v>4773</v>
      </c>
      <c r="E435" s="18">
        <v>23</v>
      </c>
      <c r="F435" s="18">
        <v>4750</v>
      </c>
      <c r="G435" s="12"/>
      <c r="H435" s="18">
        <v>2905</v>
      </c>
      <c r="I435" s="11"/>
      <c r="J435" s="11"/>
      <c r="K435" s="12"/>
      <c r="L435" s="12">
        <f t="shared" si="29"/>
        <v>1.6351118760757315</v>
      </c>
    </row>
    <row r="436" spans="1:12" ht="14" x14ac:dyDescent="0.15">
      <c r="A436" s="16" t="s">
        <v>604</v>
      </c>
      <c r="B436" s="16" t="s">
        <v>35</v>
      </c>
      <c r="C436" s="16" t="s">
        <v>36</v>
      </c>
      <c r="D436" s="17">
        <v>16135</v>
      </c>
      <c r="E436" s="18">
        <v>527</v>
      </c>
      <c r="F436" s="18">
        <v>15608</v>
      </c>
      <c r="G436" s="12"/>
      <c r="H436" s="18">
        <v>16137</v>
      </c>
      <c r="I436" s="11"/>
      <c r="J436" s="11"/>
      <c r="K436" s="12"/>
      <c r="L436" s="12">
        <f t="shared" si="29"/>
        <v>0.96721819421205923</v>
      </c>
    </row>
    <row r="437" spans="1:12" ht="14" x14ac:dyDescent="0.15">
      <c r="A437" s="16" t="s">
        <v>604</v>
      </c>
      <c r="B437" s="16" t="s">
        <v>708</v>
      </c>
      <c r="C437" s="16"/>
      <c r="D437" s="13"/>
      <c r="E437" s="13"/>
      <c r="F437" s="13"/>
      <c r="G437" s="14"/>
      <c r="H437" s="13"/>
      <c r="I437" s="13"/>
      <c r="J437" s="13"/>
      <c r="K437" s="14"/>
      <c r="L437" s="19"/>
    </row>
    <row r="438" spans="1:12" ht="14" x14ac:dyDescent="0.15">
      <c r="A438" s="16" t="s">
        <v>618</v>
      </c>
      <c r="B438" s="16" t="s">
        <v>11</v>
      </c>
      <c r="C438" s="16" t="s">
        <v>619</v>
      </c>
      <c r="D438" s="17">
        <v>24852</v>
      </c>
      <c r="E438" s="18">
        <v>164</v>
      </c>
      <c r="F438" s="18">
        <v>24688</v>
      </c>
      <c r="G438" s="12"/>
      <c r="H438" s="18">
        <v>13657</v>
      </c>
      <c r="I438" s="11"/>
      <c r="J438" s="11"/>
      <c r="K438" s="12"/>
      <c r="L438" s="12">
        <f t="shared" ref="L438:L443" si="30">F438/H438</f>
        <v>1.8077176539503552</v>
      </c>
    </row>
    <row r="439" spans="1:12" ht="14" x14ac:dyDescent="0.15">
      <c r="A439" s="16" t="s">
        <v>618</v>
      </c>
      <c r="B439" s="16" t="s">
        <v>620</v>
      </c>
      <c r="C439" s="16" t="s">
        <v>621</v>
      </c>
      <c r="D439" s="17">
        <v>1140</v>
      </c>
      <c r="E439" s="18">
        <v>52</v>
      </c>
      <c r="F439" s="18">
        <v>1088</v>
      </c>
      <c r="G439" s="12"/>
      <c r="H439" s="18">
        <v>707</v>
      </c>
      <c r="I439" s="11"/>
      <c r="J439" s="11"/>
      <c r="K439" s="12"/>
      <c r="L439" s="12">
        <f t="shared" si="30"/>
        <v>1.538896746817539</v>
      </c>
    </row>
    <row r="440" spans="1:12" ht="14" x14ac:dyDescent="0.15">
      <c r="A440" s="16" t="s">
        <v>618</v>
      </c>
      <c r="B440" s="16" t="s">
        <v>243</v>
      </c>
      <c r="C440" s="16" t="s">
        <v>244</v>
      </c>
      <c r="D440" s="17">
        <v>24</v>
      </c>
      <c r="E440" s="18">
        <v>0</v>
      </c>
      <c r="F440" s="18">
        <v>24</v>
      </c>
      <c r="G440" s="12"/>
      <c r="H440" s="18">
        <v>30</v>
      </c>
      <c r="I440" s="11"/>
      <c r="J440" s="11"/>
      <c r="K440" s="12"/>
      <c r="L440" s="12">
        <f t="shared" si="30"/>
        <v>0.8</v>
      </c>
    </row>
    <row r="441" spans="1:12" ht="14" x14ac:dyDescent="0.15">
      <c r="A441" s="16" t="s">
        <v>618</v>
      </c>
      <c r="B441" s="16" t="s">
        <v>622</v>
      </c>
      <c r="C441" s="16" t="s">
        <v>623</v>
      </c>
      <c r="D441" s="17">
        <v>372</v>
      </c>
      <c r="E441" s="18">
        <v>0</v>
      </c>
      <c r="F441" s="18">
        <v>372</v>
      </c>
      <c r="G441" s="12"/>
      <c r="H441" s="18">
        <v>275</v>
      </c>
      <c r="I441" s="11"/>
      <c r="J441" s="11"/>
      <c r="K441" s="12"/>
      <c r="L441" s="12">
        <f t="shared" si="30"/>
        <v>1.3527272727272728</v>
      </c>
    </row>
    <row r="442" spans="1:12" ht="14" x14ac:dyDescent="0.15">
      <c r="A442" s="16" t="s">
        <v>618</v>
      </c>
      <c r="B442" s="16" t="s">
        <v>624</v>
      </c>
      <c r="C442" s="16" t="s">
        <v>625</v>
      </c>
      <c r="D442" s="17">
        <v>7959</v>
      </c>
      <c r="E442" s="18">
        <v>25</v>
      </c>
      <c r="F442" s="18">
        <v>7934</v>
      </c>
      <c r="G442" s="12"/>
      <c r="H442" s="18">
        <v>3724</v>
      </c>
      <c r="I442" s="11"/>
      <c r="J442" s="11"/>
      <c r="K442" s="12"/>
      <c r="L442" s="12">
        <f t="shared" si="30"/>
        <v>2.1305048335123522</v>
      </c>
    </row>
    <row r="443" spans="1:12" ht="14" x14ac:dyDescent="0.15">
      <c r="A443" s="16" t="s">
        <v>618</v>
      </c>
      <c r="B443" s="16" t="s">
        <v>35</v>
      </c>
      <c r="C443" s="16" t="s">
        <v>36</v>
      </c>
      <c r="D443" s="17">
        <v>15357</v>
      </c>
      <c r="E443" s="18">
        <v>87</v>
      </c>
      <c r="F443" s="18">
        <v>15270</v>
      </c>
      <c r="G443" s="12"/>
      <c r="H443" s="18">
        <v>8921</v>
      </c>
      <c r="I443" s="11"/>
      <c r="J443" s="11"/>
      <c r="K443" s="12"/>
      <c r="L443" s="12">
        <f t="shared" si="30"/>
        <v>1.7116915144042149</v>
      </c>
    </row>
    <row r="444" spans="1:12" ht="14" x14ac:dyDescent="0.15">
      <c r="A444" s="16" t="s">
        <v>618</v>
      </c>
      <c r="B444" s="16" t="s">
        <v>708</v>
      </c>
      <c r="C444" s="16"/>
      <c r="D444" s="13"/>
      <c r="E444" s="13"/>
      <c r="F444" s="13"/>
      <c r="G444" s="14"/>
      <c r="H444" s="13"/>
      <c r="I444" s="13"/>
      <c r="J444" s="13"/>
      <c r="K444" s="14"/>
      <c r="L444" s="19"/>
    </row>
    <row r="445" spans="1:12" ht="14" x14ac:dyDescent="0.15">
      <c r="A445" s="16" t="s">
        <v>626</v>
      </c>
      <c r="B445" s="16" t="s">
        <v>11</v>
      </c>
      <c r="C445" s="16" t="s">
        <v>627</v>
      </c>
      <c r="D445" s="17">
        <v>4835</v>
      </c>
      <c r="E445" s="18">
        <v>164</v>
      </c>
      <c r="F445" s="18">
        <v>4671</v>
      </c>
      <c r="G445" s="12"/>
      <c r="H445" s="18">
        <v>2289</v>
      </c>
      <c r="I445" s="11"/>
      <c r="J445" s="11"/>
      <c r="K445" s="12"/>
      <c r="L445" s="12">
        <f>F445/H445</f>
        <v>2.0406290956749671</v>
      </c>
    </row>
    <row r="446" spans="1:12" ht="14" x14ac:dyDescent="0.15">
      <c r="A446" s="16" t="s">
        <v>626</v>
      </c>
      <c r="B446" s="16" t="s">
        <v>628</v>
      </c>
      <c r="C446" s="16" t="s">
        <v>629</v>
      </c>
      <c r="D446" s="17">
        <v>1755</v>
      </c>
      <c r="E446" s="18">
        <v>164</v>
      </c>
      <c r="F446" s="18">
        <v>1591</v>
      </c>
      <c r="G446" s="12"/>
      <c r="H446" s="18">
        <v>830</v>
      </c>
      <c r="I446" s="11"/>
      <c r="J446" s="11"/>
      <c r="K446" s="12"/>
      <c r="L446" s="12">
        <f>F446/H446</f>
        <v>1.9168674698795181</v>
      </c>
    </row>
    <row r="447" spans="1:12" ht="14" x14ac:dyDescent="0.15">
      <c r="A447" s="16" t="s">
        <v>626</v>
      </c>
      <c r="B447" s="16" t="s">
        <v>630</v>
      </c>
      <c r="C447" s="16" t="s">
        <v>631</v>
      </c>
      <c r="D447" s="17">
        <v>513</v>
      </c>
      <c r="E447" s="18">
        <v>0</v>
      </c>
      <c r="F447" s="18">
        <v>513</v>
      </c>
      <c r="G447" s="12"/>
      <c r="H447" s="18">
        <v>235</v>
      </c>
      <c r="I447" s="11"/>
      <c r="J447" s="11"/>
      <c r="K447" s="12"/>
      <c r="L447" s="12">
        <f>F447/H447</f>
        <v>2.1829787234042555</v>
      </c>
    </row>
    <row r="448" spans="1:12" ht="14" x14ac:dyDescent="0.15">
      <c r="A448" s="16" t="s">
        <v>626</v>
      </c>
      <c r="B448" s="16" t="s">
        <v>35</v>
      </c>
      <c r="C448" s="16" t="s">
        <v>36</v>
      </c>
      <c r="D448" s="17">
        <v>2567</v>
      </c>
      <c r="E448" s="18">
        <v>0</v>
      </c>
      <c r="F448" s="18">
        <v>2567</v>
      </c>
      <c r="G448" s="12"/>
      <c r="H448" s="18">
        <v>1224</v>
      </c>
      <c r="I448" s="11"/>
      <c r="J448" s="11"/>
      <c r="K448" s="12"/>
      <c r="L448" s="12">
        <f>F448/H448</f>
        <v>2.0972222222222223</v>
      </c>
    </row>
    <row r="449" spans="1:12" ht="14" x14ac:dyDescent="0.15">
      <c r="A449" s="16" t="s">
        <v>626</v>
      </c>
      <c r="B449" s="16" t="s">
        <v>708</v>
      </c>
      <c r="C449" s="16"/>
      <c r="D449" s="13"/>
      <c r="E449" s="13"/>
      <c r="F449" s="13"/>
      <c r="G449" s="14"/>
      <c r="H449" s="13"/>
      <c r="I449" s="13"/>
      <c r="J449" s="13"/>
      <c r="K449" s="14"/>
      <c r="L449" s="19"/>
    </row>
    <row r="450" spans="1:12" ht="14" x14ac:dyDescent="0.15">
      <c r="A450" s="16" t="s">
        <v>632</v>
      </c>
      <c r="B450" s="16" t="s">
        <v>11</v>
      </c>
      <c r="C450" s="16" t="s">
        <v>633</v>
      </c>
      <c r="D450" s="17">
        <v>350206</v>
      </c>
      <c r="E450" s="18">
        <v>4418</v>
      </c>
      <c r="F450" s="18">
        <v>345788</v>
      </c>
      <c r="G450" s="12"/>
      <c r="H450" s="18">
        <v>129656</v>
      </c>
      <c r="I450" s="11"/>
      <c r="J450" s="11"/>
      <c r="K450" s="12"/>
      <c r="L450" s="12">
        <f t="shared" ref="L450:L479" si="31">F450/H450</f>
        <v>2.666964891713457</v>
      </c>
    </row>
    <row r="451" spans="1:12" ht="14" x14ac:dyDescent="0.15">
      <c r="A451" s="16" t="s">
        <v>632</v>
      </c>
      <c r="B451" s="16" t="s">
        <v>634</v>
      </c>
      <c r="C451" s="16" t="s">
        <v>635</v>
      </c>
      <c r="D451" s="17">
        <v>2235</v>
      </c>
      <c r="E451" s="18">
        <v>0</v>
      </c>
      <c r="F451" s="18">
        <v>2235</v>
      </c>
      <c r="G451" s="12"/>
      <c r="H451" s="18">
        <v>892</v>
      </c>
      <c r="I451" s="11"/>
      <c r="J451" s="11"/>
      <c r="K451" s="12"/>
      <c r="L451" s="12">
        <f t="shared" si="31"/>
        <v>2.5056053811659194</v>
      </c>
    </row>
    <row r="452" spans="1:12" ht="14" x14ac:dyDescent="0.15">
      <c r="A452" s="16" t="s">
        <v>632</v>
      </c>
      <c r="B452" s="16" t="s">
        <v>378</v>
      </c>
      <c r="C452" s="16" t="s">
        <v>379</v>
      </c>
      <c r="D452" s="17">
        <v>258</v>
      </c>
      <c r="E452" s="18">
        <v>0</v>
      </c>
      <c r="F452" s="18">
        <v>258</v>
      </c>
      <c r="G452" s="12"/>
      <c r="H452" s="18">
        <v>71</v>
      </c>
      <c r="I452" s="11"/>
      <c r="J452" s="11"/>
      <c r="K452" s="12"/>
      <c r="L452" s="12">
        <f t="shared" si="31"/>
        <v>3.6338028169014085</v>
      </c>
    </row>
    <row r="453" spans="1:12" ht="14" x14ac:dyDescent="0.15">
      <c r="A453" s="16" t="s">
        <v>632</v>
      </c>
      <c r="B453" s="16" t="s">
        <v>21</v>
      </c>
      <c r="C453" s="16" t="s">
        <v>22</v>
      </c>
      <c r="D453" s="17">
        <v>360</v>
      </c>
      <c r="E453" s="18">
        <v>0</v>
      </c>
      <c r="F453" s="18">
        <v>360</v>
      </c>
      <c r="G453" s="12"/>
      <c r="H453" s="18">
        <v>129</v>
      </c>
      <c r="I453" s="11"/>
      <c r="J453" s="11"/>
      <c r="K453" s="12"/>
      <c r="L453" s="12">
        <f t="shared" si="31"/>
        <v>2.7906976744186047</v>
      </c>
    </row>
    <row r="454" spans="1:12" ht="14" x14ac:dyDescent="0.15">
      <c r="A454" s="16" t="s">
        <v>632</v>
      </c>
      <c r="B454" s="16" t="s">
        <v>636</v>
      </c>
      <c r="C454" s="16" t="s">
        <v>637</v>
      </c>
      <c r="D454" s="17">
        <v>6457</v>
      </c>
      <c r="E454" s="18">
        <v>0</v>
      </c>
      <c r="F454" s="18">
        <v>6457</v>
      </c>
      <c r="G454" s="12"/>
      <c r="H454" s="18">
        <v>2240</v>
      </c>
      <c r="I454" s="11"/>
      <c r="J454" s="11"/>
      <c r="K454" s="12"/>
      <c r="L454" s="12">
        <f t="shared" si="31"/>
        <v>2.8825892857142859</v>
      </c>
    </row>
    <row r="455" spans="1:12" ht="14" x14ac:dyDescent="0.15">
      <c r="A455" s="16" t="s">
        <v>632</v>
      </c>
      <c r="B455" s="16" t="s">
        <v>638</v>
      </c>
      <c r="C455" s="16" t="s">
        <v>639</v>
      </c>
      <c r="D455" s="17">
        <v>5924</v>
      </c>
      <c r="E455" s="18">
        <v>0</v>
      </c>
      <c r="F455" s="18">
        <v>5924</v>
      </c>
      <c r="G455" s="12"/>
      <c r="H455" s="18">
        <v>2220</v>
      </c>
      <c r="I455" s="11"/>
      <c r="J455" s="11"/>
      <c r="K455" s="12"/>
      <c r="L455" s="12">
        <f t="shared" si="31"/>
        <v>2.6684684684684683</v>
      </c>
    </row>
    <row r="456" spans="1:12" ht="14" x14ac:dyDescent="0.15">
      <c r="A456" s="16" t="s">
        <v>632</v>
      </c>
      <c r="B456" s="16" t="s">
        <v>93</v>
      </c>
      <c r="C456" s="16" t="s">
        <v>94</v>
      </c>
      <c r="D456" s="17">
        <v>19273</v>
      </c>
      <c r="E456" s="18">
        <v>0</v>
      </c>
      <c r="F456" s="18">
        <v>19273</v>
      </c>
      <c r="G456" s="12"/>
      <c r="H456" s="18">
        <v>6804</v>
      </c>
      <c r="I456" s="11"/>
      <c r="J456" s="11"/>
      <c r="K456" s="12"/>
      <c r="L456" s="12">
        <f t="shared" si="31"/>
        <v>2.8325984714873602</v>
      </c>
    </row>
    <row r="457" spans="1:12" ht="14" x14ac:dyDescent="0.15">
      <c r="A457" s="16" t="s">
        <v>632</v>
      </c>
      <c r="B457" s="16" t="s">
        <v>640</v>
      </c>
      <c r="C457" s="16" t="s">
        <v>641</v>
      </c>
      <c r="D457" s="17">
        <v>22924</v>
      </c>
      <c r="E457" s="18">
        <v>33</v>
      </c>
      <c r="F457" s="18">
        <v>22891</v>
      </c>
      <c r="G457" s="12"/>
      <c r="H457" s="18">
        <v>8427</v>
      </c>
      <c r="I457" s="11"/>
      <c r="J457" s="11"/>
      <c r="K457" s="12"/>
      <c r="L457" s="12">
        <f t="shared" si="31"/>
        <v>2.7163878011154621</v>
      </c>
    </row>
    <row r="458" spans="1:12" ht="14" x14ac:dyDescent="0.15">
      <c r="A458" s="16" t="s">
        <v>632</v>
      </c>
      <c r="B458" s="16" t="s">
        <v>642</v>
      </c>
      <c r="C458" s="16" t="s">
        <v>643</v>
      </c>
      <c r="D458" s="17">
        <v>18041</v>
      </c>
      <c r="E458" s="18">
        <v>5</v>
      </c>
      <c r="F458" s="18">
        <v>18036</v>
      </c>
      <c r="G458" s="12"/>
      <c r="H458" s="18">
        <v>6265</v>
      </c>
      <c r="I458" s="11"/>
      <c r="J458" s="11"/>
      <c r="K458" s="12"/>
      <c r="L458" s="12">
        <f t="shared" si="31"/>
        <v>2.8788507581803673</v>
      </c>
    </row>
    <row r="459" spans="1:12" ht="14" x14ac:dyDescent="0.15">
      <c r="A459" s="16" t="s">
        <v>632</v>
      </c>
      <c r="B459" s="16" t="s">
        <v>644</v>
      </c>
      <c r="C459" s="16" t="s">
        <v>645</v>
      </c>
      <c r="D459" s="17">
        <v>8862</v>
      </c>
      <c r="E459" s="18">
        <v>30</v>
      </c>
      <c r="F459" s="18">
        <v>8832</v>
      </c>
      <c r="G459" s="12"/>
      <c r="H459" s="18">
        <v>3085</v>
      </c>
      <c r="I459" s="11"/>
      <c r="J459" s="11"/>
      <c r="K459" s="12"/>
      <c r="L459" s="12">
        <f t="shared" si="31"/>
        <v>2.8628849270664505</v>
      </c>
    </row>
    <row r="460" spans="1:12" ht="14" x14ac:dyDescent="0.15">
      <c r="A460" s="16" t="s">
        <v>632</v>
      </c>
      <c r="B460" s="16" t="s">
        <v>646</v>
      </c>
      <c r="C460" s="16" t="s">
        <v>647</v>
      </c>
      <c r="D460" s="17">
        <v>16531</v>
      </c>
      <c r="E460" s="18">
        <v>0</v>
      </c>
      <c r="F460" s="18">
        <v>16531</v>
      </c>
      <c r="G460" s="12"/>
      <c r="H460" s="18">
        <v>5706</v>
      </c>
      <c r="I460" s="11"/>
      <c r="J460" s="11"/>
      <c r="K460" s="12"/>
      <c r="L460" s="12">
        <f t="shared" si="31"/>
        <v>2.8971258324570628</v>
      </c>
    </row>
    <row r="461" spans="1:12" ht="14" x14ac:dyDescent="0.15">
      <c r="A461" s="16" t="s">
        <v>632</v>
      </c>
      <c r="B461" s="16" t="s">
        <v>648</v>
      </c>
      <c r="C461" s="16" t="s">
        <v>649</v>
      </c>
      <c r="D461" s="17">
        <v>255</v>
      </c>
      <c r="E461" s="18">
        <v>0</v>
      </c>
      <c r="F461" s="18">
        <v>255</v>
      </c>
      <c r="G461" s="12"/>
      <c r="H461" s="18">
        <v>128</v>
      </c>
      <c r="I461" s="11"/>
      <c r="J461" s="11"/>
      <c r="K461" s="12"/>
      <c r="L461" s="12">
        <f t="shared" si="31"/>
        <v>1.9921875</v>
      </c>
    </row>
    <row r="462" spans="1:12" ht="14" x14ac:dyDescent="0.15">
      <c r="A462" s="16" t="s">
        <v>632</v>
      </c>
      <c r="B462" s="16" t="s">
        <v>650</v>
      </c>
      <c r="C462" s="16" t="s">
        <v>651</v>
      </c>
      <c r="D462" s="17">
        <v>1019</v>
      </c>
      <c r="E462" s="18">
        <v>0</v>
      </c>
      <c r="F462" s="18">
        <v>1019</v>
      </c>
      <c r="G462" s="12"/>
      <c r="H462" s="18">
        <v>349</v>
      </c>
      <c r="I462" s="11"/>
      <c r="J462" s="11"/>
      <c r="K462" s="12"/>
      <c r="L462" s="12">
        <f t="shared" si="31"/>
        <v>2.9197707736389686</v>
      </c>
    </row>
    <row r="463" spans="1:12" ht="14" x14ac:dyDescent="0.15">
      <c r="A463" s="16" t="s">
        <v>632</v>
      </c>
      <c r="B463" s="16" t="s">
        <v>652</v>
      </c>
      <c r="C463" s="16" t="s">
        <v>653</v>
      </c>
      <c r="D463" s="17">
        <v>110186</v>
      </c>
      <c r="E463" s="18">
        <v>3961</v>
      </c>
      <c r="F463" s="18">
        <v>106225</v>
      </c>
      <c r="G463" s="12"/>
      <c r="H463" s="18">
        <v>41952</v>
      </c>
      <c r="I463" s="11"/>
      <c r="J463" s="11"/>
      <c r="K463" s="12"/>
      <c r="L463" s="12">
        <f t="shared" si="31"/>
        <v>2.5320604500381387</v>
      </c>
    </row>
    <row r="464" spans="1:12" ht="14" x14ac:dyDescent="0.15">
      <c r="A464" s="16" t="s">
        <v>632</v>
      </c>
      <c r="B464" s="16" t="s">
        <v>654</v>
      </c>
      <c r="C464" s="16" t="s">
        <v>655</v>
      </c>
      <c r="D464" s="17">
        <v>155</v>
      </c>
      <c r="E464" s="18">
        <v>0</v>
      </c>
      <c r="F464" s="18">
        <v>155</v>
      </c>
      <c r="G464" s="12"/>
      <c r="H464" s="18">
        <v>85</v>
      </c>
      <c r="I464" s="11"/>
      <c r="J464" s="11"/>
      <c r="K464" s="12"/>
      <c r="L464" s="12">
        <f t="shared" si="31"/>
        <v>1.8235294117647058</v>
      </c>
    </row>
    <row r="465" spans="1:12" ht="14" x14ac:dyDescent="0.15">
      <c r="A465" s="16" t="s">
        <v>632</v>
      </c>
      <c r="B465" s="16" t="s">
        <v>656</v>
      </c>
      <c r="C465" s="16" t="s">
        <v>657</v>
      </c>
      <c r="D465" s="17">
        <v>1634</v>
      </c>
      <c r="E465" s="18">
        <v>0</v>
      </c>
      <c r="F465" s="18">
        <v>1634</v>
      </c>
      <c r="G465" s="12"/>
      <c r="H465" s="18">
        <v>613</v>
      </c>
      <c r="I465" s="11"/>
      <c r="J465" s="11"/>
      <c r="K465" s="12"/>
      <c r="L465" s="12">
        <f t="shared" si="31"/>
        <v>2.6655791190864599</v>
      </c>
    </row>
    <row r="466" spans="1:12" ht="14" x14ac:dyDescent="0.15">
      <c r="A466" s="16" t="s">
        <v>632</v>
      </c>
      <c r="B466" s="16" t="s">
        <v>384</v>
      </c>
      <c r="C466" s="16" t="s">
        <v>385</v>
      </c>
      <c r="D466" s="17">
        <v>12697</v>
      </c>
      <c r="E466" s="18">
        <v>0</v>
      </c>
      <c r="F466" s="18">
        <v>12697</v>
      </c>
      <c r="G466" s="12"/>
      <c r="H466" s="18">
        <v>4416</v>
      </c>
      <c r="I466" s="11"/>
      <c r="J466" s="11"/>
      <c r="K466" s="12"/>
      <c r="L466" s="12">
        <f t="shared" si="31"/>
        <v>2.8752264492753623</v>
      </c>
    </row>
    <row r="467" spans="1:12" ht="14" x14ac:dyDescent="0.15">
      <c r="A467" s="16" t="s">
        <v>632</v>
      </c>
      <c r="B467" s="16" t="s">
        <v>658</v>
      </c>
      <c r="C467" s="16" t="s">
        <v>659</v>
      </c>
      <c r="D467" s="17">
        <v>2071</v>
      </c>
      <c r="E467" s="18">
        <v>25</v>
      </c>
      <c r="F467" s="18">
        <v>2046</v>
      </c>
      <c r="G467" s="12"/>
      <c r="H467" s="18">
        <v>870</v>
      </c>
      <c r="I467" s="11"/>
      <c r="J467" s="11"/>
      <c r="K467" s="12"/>
      <c r="L467" s="12">
        <f t="shared" si="31"/>
        <v>2.3517241379310345</v>
      </c>
    </row>
    <row r="468" spans="1:12" ht="14" x14ac:dyDescent="0.15">
      <c r="A468" s="16" t="s">
        <v>632</v>
      </c>
      <c r="B468" s="16" t="s">
        <v>660</v>
      </c>
      <c r="C468" s="16" t="s">
        <v>661</v>
      </c>
      <c r="D468" s="17">
        <v>1475</v>
      </c>
      <c r="E468" s="18">
        <v>0</v>
      </c>
      <c r="F468" s="18">
        <v>1475</v>
      </c>
      <c r="G468" s="12"/>
      <c r="H468" s="18">
        <v>552</v>
      </c>
      <c r="I468" s="11"/>
      <c r="J468" s="11"/>
      <c r="K468" s="12"/>
      <c r="L468" s="12">
        <f t="shared" si="31"/>
        <v>2.6721014492753623</v>
      </c>
    </row>
    <row r="469" spans="1:12" ht="14" x14ac:dyDescent="0.15">
      <c r="A469" s="16" t="s">
        <v>632</v>
      </c>
      <c r="B469" s="16" t="s">
        <v>662</v>
      </c>
      <c r="C469" s="16" t="s">
        <v>663</v>
      </c>
      <c r="D469" s="17">
        <v>2328</v>
      </c>
      <c r="E469" s="18">
        <v>0</v>
      </c>
      <c r="F469" s="18">
        <v>2328</v>
      </c>
      <c r="G469" s="12"/>
      <c r="H469" s="18">
        <v>841</v>
      </c>
      <c r="I469" s="11"/>
      <c r="J469" s="11"/>
      <c r="K469" s="12"/>
      <c r="L469" s="12">
        <f t="shared" si="31"/>
        <v>2.7681331747919145</v>
      </c>
    </row>
    <row r="470" spans="1:12" ht="14" x14ac:dyDescent="0.15">
      <c r="A470" s="16" t="s">
        <v>632</v>
      </c>
      <c r="B470" s="16" t="s">
        <v>27</v>
      </c>
      <c r="C470" s="16" t="s">
        <v>28</v>
      </c>
      <c r="D470" s="17">
        <v>8109</v>
      </c>
      <c r="E470" s="18">
        <v>0</v>
      </c>
      <c r="F470" s="18">
        <v>8109</v>
      </c>
      <c r="G470" s="12"/>
      <c r="H470" s="18">
        <v>2605</v>
      </c>
      <c r="I470" s="11"/>
      <c r="J470" s="11"/>
      <c r="K470" s="12"/>
      <c r="L470" s="12">
        <f t="shared" si="31"/>
        <v>3.1128598848368521</v>
      </c>
    </row>
    <row r="471" spans="1:12" ht="14" x14ac:dyDescent="0.15">
      <c r="A471" s="16" t="s">
        <v>632</v>
      </c>
      <c r="B471" s="16" t="s">
        <v>99</v>
      </c>
      <c r="C471" s="16" t="s">
        <v>100</v>
      </c>
      <c r="D471" s="17">
        <v>1281</v>
      </c>
      <c r="E471" s="18">
        <v>22</v>
      </c>
      <c r="F471" s="18">
        <v>1259</v>
      </c>
      <c r="G471" s="12"/>
      <c r="H471" s="18">
        <v>665</v>
      </c>
      <c r="I471" s="11"/>
      <c r="J471" s="11"/>
      <c r="K471" s="12"/>
      <c r="L471" s="12">
        <f t="shared" si="31"/>
        <v>1.8932330827067669</v>
      </c>
    </row>
    <row r="472" spans="1:12" ht="14" x14ac:dyDescent="0.15">
      <c r="A472" s="16" t="s">
        <v>632</v>
      </c>
      <c r="B472" s="16" t="s">
        <v>664</v>
      </c>
      <c r="C472" s="16" t="s">
        <v>665</v>
      </c>
      <c r="D472" s="17">
        <v>6259</v>
      </c>
      <c r="E472" s="18">
        <v>0</v>
      </c>
      <c r="F472" s="18">
        <v>6259</v>
      </c>
      <c r="G472" s="12"/>
      <c r="H472" s="18">
        <v>2105</v>
      </c>
      <c r="I472" s="11"/>
      <c r="J472" s="11"/>
      <c r="K472" s="12"/>
      <c r="L472" s="12">
        <f t="shared" si="31"/>
        <v>2.9733966745843232</v>
      </c>
    </row>
    <row r="473" spans="1:12" ht="14" x14ac:dyDescent="0.15">
      <c r="A473" s="16" t="s">
        <v>632</v>
      </c>
      <c r="B473" s="16" t="s">
        <v>666</v>
      </c>
      <c r="C473" s="16" t="s">
        <v>667</v>
      </c>
      <c r="D473" s="17">
        <v>9056</v>
      </c>
      <c r="E473" s="18">
        <v>0</v>
      </c>
      <c r="F473" s="18">
        <v>9056</v>
      </c>
      <c r="G473" s="12"/>
      <c r="H473" s="18">
        <v>3103</v>
      </c>
      <c r="I473" s="11"/>
      <c r="J473" s="11"/>
      <c r="K473" s="12"/>
      <c r="L473" s="12">
        <f t="shared" si="31"/>
        <v>2.9184660006445378</v>
      </c>
    </row>
    <row r="474" spans="1:12" ht="14" x14ac:dyDescent="0.15">
      <c r="A474" s="16" t="s">
        <v>632</v>
      </c>
      <c r="B474" s="16" t="s">
        <v>29</v>
      </c>
      <c r="C474" s="16" t="s">
        <v>30</v>
      </c>
      <c r="D474" s="17">
        <v>25</v>
      </c>
      <c r="E474" s="18">
        <v>0</v>
      </c>
      <c r="F474" s="18">
        <v>25</v>
      </c>
      <c r="G474" s="12"/>
      <c r="H474" s="18">
        <v>8</v>
      </c>
      <c r="I474" s="11"/>
      <c r="J474" s="11"/>
      <c r="K474" s="12"/>
      <c r="L474" s="12">
        <f t="shared" si="31"/>
        <v>3.125</v>
      </c>
    </row>
    <row r="475" spans="1:12" ht="14" x14ac:dyDescent="0.15">
      <c r="A475" s="16" t="s">
        <v>632</v>
      </c>
      <c r="B475" s="16" t="s">
        <v>668</v>
      </c>
      <c r="C475" s="16" t="s">
        <v>669</v>
      </c>
      <c r="D475" s="17">
        <v>527</v>
      </c>
      <c r="E475" s="18">
        <v>0</v>
      </c>
      <c r="F475" s="18">
        <v>527</v>
      </c>
      <c r="G475" s="12"/>
      <c r="H475" s="18">
        <v>217</v>
      </c>
      <c r="I475" s="11"/>
      <c r="J475" s="11"/>
      <c r="K475" s="12"/>
      <c r="L475" s="12">
        <f t="shared" si="31"/>
        <v>2.4285714285714284</v>
      </c>
    </row>
    <row r="476" spans="1:12" ht="14" x14ac:dyDescent="0.15">
      <c r="A476" s="16" t="s">
        <v>632</v>
      </c>
      <c r="B476" s="16" t="s">
        <v>670</v>
      </c>
      <c r="C476" s="16" t="s">
        <v>671</v>
      </c>
      <c r="D476" s="17">
        <v>1093</v>
      </c>
      <c r="E476" s="18">
        <v>0</v>
      </c>
      <c r="F476" s="18">
        <v>1093</v>
      </c>
      <c r="G476" s="12"/>
      <c r="H476" s="18">
        <v>430</v>
      </c>
      <c r="I476" s="11"/>
      <c r="J476" s="11"/>
      <c r="K476" s="12"/>
      <c r="L476" s="12">
        <f t="shared" si="31"/>
        <v>2.5418604651162791</v>
      </c>
    </row>
    <row r="477" spans="1:12" ht="14" x14ac:dyDescent="0.15">
      <c r="A477" s="16" t="s">
        <v>632</v>
      </c>
      <c r="B477" s="16" t="s">
        <v>672</v>
      </c>
      <c r="C477" s="16" t="s">
        <v>673</v>
      </c>
      <c r="D477" s="17">
        <v>2916</v>
      </c>
      <c r="E477" s="18">
        <v>0</v>
      </c>
      <c r="F477" s="18">
        <v>2916</v>
      </c>
      <c r="G477" s="12"/>
      <c r="H477" s="18">
        <v>1034</v>
      </c>
      <c r="I477" s="11"/>
      <c r="J477" s="11"/>
      <c r="K477" s="12"/>
      <c r="L477" s="12">
        <f t="shared" si="31"/>
        <v>2.8201160541586074</v>
      </c>
    </row>
    <row r="478" spans="1:12" ht="14" x14ac:dyDescent="0.15">
      <c r="A478" s="16" t="s">
        <v>632</v>
      </c>
      <c r="B478" s="16" t="s">
        <v>674</v>
      </c>
      <c r="C478" s="16" t="s">
        <v>675</v>
      </c>
      <c r="D478" s="17">
        <v>111</v>
      </c>
      <c r="E478" s="18">
        <v>0</v>
      </c>
      <c r="F478" s="18">
        <v>111</v>
      </c>
      <c r="G478" s="12"/>
      <c r="H478" s="18">
        <v>49</v>
      </c>
      <c r="I478" s="11"/>
      <c r="J478" s="11"/>
      <c r="K478" s="12"/>
      <c r="L478" s="12">
        <f t="shared" si="31"/>
        <v>2.2653061224489797</v>
      </c>
    </row>
    <row r="479" spans="1:12" ht="14" x14ac:dyDescent="0.15">
      <c r="A479" s="16" t="s">
        <v>632</v>
      </c>
      <c r="B479" s="16" t="s">
        <v>676</v>
      </c>
      <c r="C479" s="16" t="s">
        <v>677</v>
      </c>
      <c r="D479" s="17">
        <v>10757</v>
      </c>
      <c r="E479" s="18">
        <v>0</v>
      </c>
      <c r="F479" s="18">
        <v>10757</v>
      </c>
      <c r="G479" s="12"/>
      <c r="H479" s="18">
        <v>3643</v>
      </c>
      <c r="I479" s="11"/>
      <c r="J479" s="11"/>
      <c r="K479" s="12"/>
      <c r="L479" s="12">
        <f t="shared" si="31"/>
        <v>2.9527861652484217</v>
      </c>
    </row>
    <row r="480" spans="1:12" ht="14" x14ac:dyDescent="0.15">
      <c r="A480" s="16" t="s">
        <v>632</v>
      </c>
      <c r="B480" s="16" t="s">
        <v>31</v>
      </c>
      <c r="C480" s="16" t="s">
        <v>32</v>
      </c>
      <c r="D480" s="17">
        <v>0</v>
      </c>
      <c r="E480" s="18">
        <v>0</v>
      </c>
      <c r="F480" s="18">
        <v>0</v>
      </c>
      <c r="G480" s="12"/>
      <c r="H480" s="18">
        <v>0</v>
      </c>
      <c r="I480" s="11"/>
      <c r="J480" s="11"/>
      <c r="K480" s="12"/>
      <c r="L480" s="12">
        <v>0</v>
      </c>
    </row>
    <row r="481" spans="1:12" ht="14" x14ac:dyDescent="0.15">
      <c r="A481" s="16" t="s">
        <v>632</v>
      </c>
      <c r="B481" s="16" t="s">
        <v>388</v>
      </c>
      <c r="C481" s="16" t="s">
        <v>389</v>
      </c>
      <c r="D481" s="17">
        <v>8</v>
      </c>
      <c r="E481" s="18">
        <v>0</v>
      </c>
      <c r="F481" s="18">
        <v>8</v>
      </c>
      <c r="G481" s="12"/>
      <c r="H481" s="18">
        <v>3</v>
      </c>
      <c r="I481" s="11"/>
      <c r="J481" s="11"/>
      <c r="K481" s="12"/>
      <c r="L481" s="12">
        <f>F481/H481</f>
        <v>2.6666666666666665</v>
      </c>
    </row>
    <row r="482" spans="1:12" ht="14" x14ac:dyDescent="0.15">
      <c r="A482" s="16" t="s">
        <v>632</v>
      </c>
      <c r="B482" s="16" t="s">
        <v>392</v>
      </c>
      <c r="C482" s="16" t="s">
        <v>393</v>
      </c>
      <c r="D482" s="17">
        <v>30042</v>
      </c>
      <c r="E482" s="18">
        <v>290</v>
      </c>
      <c r="F482" s="18">
        <v>29752</v>
      </c>
      <c r="G482" s="12"/>
      <c r="H482" s="18">
        <v>11931</v>
      </c>
      <c r="I482" s="11"/>
      <c r="J482" s="11"/>
      <c r="K482" s="12"/>
      <c r="L482" s="12">
        <f>F482/H482</f>
        <v>2.4936719470287487</v>
      </c>
    </row>
    <row r="483" spans="1:12" ht="14" x14ac:dyDescent="0.15">
      <c r="A483" s="16" t="s">
        <v>632</v>
      </c>
      <c r="B483" s="16" t="s">
        <v>35</v>
      </c>
      <c r="C483" s="16" t="s">
        <v>36</v>
      </c>
      <c r="D483" s="17">
        <v>47337</v>
      </c>
      <c r="E483" s="18">
        <v>52</v>
      </c>
      <c r="F483" s="18">
        <v>47285</v>
      </c>
      <c r="G483" s="12"/>
      <c r="H483" s="18">
        <v>18220</v>
      </c>
      <c r="I483" s="11"/>
      <c r="J483" s="11"/>
      <c r="K483" s="12"/>
      <c r="L483" s="12">
        <f>F483/H483</f>
        <v>2.5952250274423712</v>
      </c>
    </row>
    <row r="484" spans="1:12" ht="14" x14ac:dyDescent="0.15">
      <c r="A484" s="16" t="s">
        <v>632</v>
      </c>
      <c r="B484" s="16" t="s">
        <v>708</v>
      </c>
      <c r="C484" s="16"/>
      <c r="D484" s="13"/>
      <c r="E484" s="13"/>
      <c r="F484" s="13"/>
      <c r="G484" s="14"/>
      <c r="H484" s="13"/>
      <c r="I484" s="13"/>
      <c r="J484" s="13"/>
      <c r="K484" s="14"/>
      <c r="L484" s="19"/>
    </row>
    <row r="485" spans="1:12" ht="14" x14ac:dyDescent="0.15">
      <c r="A485" s="16" t="s">
        <v>678</v>
      </c>
      <c r="B485" s="16" t="s">
        <v>11</v>
      </c>
      <c r="C485" s="16" t="s">
        <v>679</v>
      </c>
      <c r="D485" s="17">
        <v>9920</v>
      </c>
      <c r="E485" s="18">
        <v>163</v>
      </c>
      <c r="F485" s="18">
        <v>9757</v>
      </c>
      <c r="G485" s="12"/>
      <c r="H485" s="18">
        <v>4326</v>
      </c>
      <c r="I485" s="11"/>
      <c r="J485" s="11"/>
      <c r="K485" s="12"/>
      <c r="L485" s="12">
        <f>F485/H485</f>
        <v>2.2554322699953766</v>
      </c>
    </row>
    <row r="486" spans="1:12" ht="14" x14ac:dyDescent="0.15">
      <c r="A486" s="16" t="s">
        <v>678</v>
      </c>
      <c r="B486" s="16" t="s">
        <v>680</v>
      </c>
      <c r="C486" s="16" t="s">
        <v>681</v>
      </c>
      <c r="D486" s="17">
        <v>239</v>
      </c>
      <c r="E486" s="18">
        <v>0</v>
      </c>
      <c r="F486" s="18">
        <v>239</v>
      </c>
      <c r="G486" s="12"/>
      <c r="H486" s="18">
        <v>114</v>
      </c>
      <c r="I486" s="11"/>
      <c r="J486" s="11"/>
      <c r="K486" s="12"/>
      <c r="L486" s="12">
        <f>F486/H486</f>
        <v>2.0964912280701755</v>
      </c>
    </row>
    <row r="487" spans="1:12" ht="14" x14ac:dyDescent="0.15">
      <c r="A487" s="16" t="s">
        <v>678</v>
      </c>
      <c r="B487" s="16" t="s">
        <v>682</v>
      </c>
      <c r="C487" s="16" t="s">
        <v>683</v>
      </c>
      <c r="D487" s="17">
        <v>2336</v>
      </c>
      <c r="E487" s="18">
        <v>144</v>
      </c>
      <c r="F487" s="18">
        <v>2192</v>
      </c>
      <c r="G487" s="12"/>
      <c r="H487" s="18">
        <v>1005</v>
      </c>
      <c r="I487" s="11"/>
      <c r="J487" s="11"/>
      <c r="K487" s="12"/>
      <c r="L487" s="12">
        <f>F487/H487</f>
        <v>2.1810945273631841</v>
      </c>
    </row>
    <row r="488" spans="1:12" ht="14" x14ac:dyDescent="0.15">
      <c r="A488" s="16" t="s">
        <v>678</v>
      </c>
      <c r="B488" s="16" t="s">
        <v>684</v>
      </c>
      <c r="C488" s="16" t="s">
        <v>685</v>
      </c>
      <c r="D488" s="17">
        <v>3425</v>
      </c>
      <c r="E488" s="18">
        <v>19</v>
      </c>
      <c r="F488" s="18">
        <v>3406</v>
      </c>
      <c r="G488" s="12"/>
      <c r="H488" s="18">
        <v>1446</v>
      </c>
      <c r="I488" s="11"/>
      <c r="J488" s="11"/>
      <c r="K488" s="12"/>
      <c r="L488" s="12">
        <f>F488/H488</f>
        <v>2.355463347164592</v>
      </c>
    </row>
    <row r="489" spans="1:12" ht="14" x14ac:dyDescent="0.15">
      <c r="A489" s="16" t="s">
        <v>678</v>
      </c>
      <c r="B489" s="16" t="s">
        <v>35</v>
      </c>
      <c r="C489" s="16" t="s">
        <v>36</v>
      </c>
      <c r="D489" s="17">
        <v>3920</v>
      </c>
      <c r="E489" s="18">
        <v>0</v>
      </c>
      <c r="F489" s="18">
        <v>3920</v>
      </c>
      <c r="G489" s="12"/>
      <c r="H489" s="18">
        <v>1761</v>
      </c>
      <c r="I489" s="11"/>
      <c r="J489" s="11"/>
      <c r="K489" s="12"/>
      <c r="L489" s="12">
        <f>F489/H489</f>
        <v>2.2260079500283929</v>
      </c>
    </row>
    <row r="490" spans="1:12" ht="14" x14ac:dyDescent="0.15">
      <c r="A490" s="16" t="s">
        <v>678</v>
      </c>
      <c r="B490" s="16" t="s">
        <v>708</v>
      </c>
      <c r="C490" s="16"/>
      <c r="D490" s="13"/>
      <c r="E490" s="13"/>
      <c r="F490" s="13"/>
      <c r="G490" s="14"/>
      <c r="H490" s="13"/>
      <c r="I490" s="13"/>
      <c r="J490" s="13"/>
      <c r="K490" s="14"/>
      <c r="L490" s="19"/>
    </row>
    <row r="491" spans="1:12" ht="14" x14ac:dyDescent="0.15">
      <c r="A491" s="16" t="s">
        <v>686</v>
      </c>
      <c r="B491" s="16" t="s">
        <v>11</v>
      </c>
      <c r="C491" s="16" t="s">
        <v>687</v>
      </c>
      <c r="D491" s="17">
        <v>1138945.0139807682</v>
      </c>
      <c r="E491" s="18">
        <v>8485</v>
      </c>
      <c r="F491" s="18">
        <v>1130460.0139807682</v>
      </c>
      <c r="G491" s="12"/>
      <c r="H491" s="18">
        <v>462070</v>
      </c>
      <c r="I491" s="11"/>
      <c r="J491" s="11"/>
      <c r="K491" s="12"/>
      <c r="L491" s="12">
        <f t="shared" ref="L491:L512" si="32">F491/H491</f>
        <v>2.4465124634379385</v>
      </c>
    </row>
    <row r="492" spans="1:12" ht="14" x14ac:dyDescent="0.15">
      <c r="A492" s="16" t="s">
        <v>686</v>
      </c>
      <c r="B492" s="16" t="s">
        <v>15</v>
      </c>
      <c r="C492" s="16" t="s">
        <v>688</v>
      </c>
      <c r="D492" s="17">
        <v>123232</v>
      </c>
      <c r="E492" s="18">
        <v>689</v>
      </c>
      <c r="F492" s="18">
        <v>122543</v>
      </c>
      <c r="G492" s="12"/>
      <c r="H492" s="18">
        <v>52088</v>
      </c>
      <c r="I492" s="11"/>
      <c r="J492" s="11"/>
      <c r="K492" s="12"/>
      <c r="L492" s="12">
        <f t="shared" si="32"/>
        <v>2.352614805713408</v>
      </c>
    </row>
    <row r="493" spans="1:12" ht="14" x14ac:dyDescent="0.15">
      <c r="A493" s="16" t="s">
        <v>686</v>
      </c>
      <c r="B493" s="16" t="s">
        <v>17</v>
      </c>
      <c r="C493" s="16" t="s">
        <v>689</v>
      </c>
      <c r="D493" s="17">
        <v>391281</v>
      </c>
      <c r="E493" s="18">
        <v>3465</v>
      </c>
      <c r="F493" s="18">
        <v>387816</v>
      </c>
      <c r="G493" s="12"/>
      <c r="H493" s="18">
        <v>155363</v>
      </c>
      <c r="I493" s="11"/>
      <c r="J493" s="11"/>
      <c r="K493" s="12"/>
      <c r="L493" s="12">
        <f t="shared" si="32"/>
        <v>2.4961927872144591</v>
      </c>
    </row>
    <row r="494" spans="1:12" ht="14" x14ac:dyDescent="0.15">
      <c r="A494" s="16" t="s">
        <v>686</v>
      </c>
      <c r="B494" s="16" t="s">
        <v>215</v>
      </c>
      <c r="C494" s="16" t="s">
        <v>690</v>
      </c>
      <c r="D494" s="17">
        <v>4047</v>
      </c>
      <c r="E494" s="18">
        <v>0</v>
      </c>
      <c r="F494" s="18">
        <v>4047</v>
      </c>
      <c r="G494" s="12"/>
      <c r="H494" s="18">
        <v>2240</v>
      </c>
      <c r="I494" s="11"/>
      <c r="J494" s="11"/>
      <c r="K494" s="12"/>
      <c r="L494" s="12">
        <f t="shared" si="32"/>
        <v>1.8066964285714286</v>
      </c>
    </row>
    <row r="495" spans="1:12" ht="14" x14ac:dyDescent="0.15">
      <c r="A495" s="16" t="s">
        <v>686</v>
      </c>
      <c r="B495" s="16" t="s">
        <v>19</v>
      </c>
      <c r="C495" s="16" t="s">
        <v>691</v>
      </c>
      <c r="D495" s="17">
        <v>3097</v>
      </c>
      <c r="E495" s="18">
        <v>0</v>
      </c>
      <c r="F495" s="18">
        <v>3097</v>
      </c>
      <c r="G495" s="12"/>
      <c r="H495" s="18">
        <v>1352</v>
      </c>
      <c r="I495" s="11"/>
      <c r="J495" s="11"/>
      <c r="K495" s="12"/>
      <c r="L495" s="12">
        <f t="shared" si="32"/>
        <v>2.290680473372781</v>
      </c>
    </row>
    <row r="496" spans="1:12" ht="14" x14ac:dyDescent="0.15">
      <c r="A496" s="16" t="s">
        <v>686</v>
      </c>
      <c r="B496" s="16" t="s">
        <v>378</v>
      </c>
      <c r="C496" s="16" t="s">
        <v>692</v>
      </c>
      <c r="D496" s="17">
        <v>11574</v>
      </c>
      <c r="E496" s="18">
        <v>85</v>
      </c>
      <c r="F496" s="18">
        <v>11489</v>
      </c>
      <c r="G496" s="12"/>
      <c r="H496" s="18">
        <v>5266</v>
      </c>
      <c r="I496" s="11"/>
      <c r="J496" s="11"/>
      <c r="K496" s="12"/>
      <c r="L496" s="12">
        <f t="shared" si="32"/>
        <v>2.181731864793012</v>
      </c>
    </row>
    <row r="497" spans="1:12" ht="14" x14ac:dyDescent="0.15">
      <c r="A497" s="16" t="s">
        <v>686</v>
      </c>
      <c r="B497" s="16" t="s">
        <v>45</v>
      </c>
      <c r="C497" s="16" t="s">
        <v>693</v>
      </c>
      <c r="D497" s="17">
        <v>835</v>
      </c>
      <c r="E497" s="18">
        <v>0</v>
      </c>
      <c r="F497" s="18">
        <v>835</v>
      </c>
      <c r="G497" s="12"/>
      <c r="H497" s="18">
        <v>298</v>
      </c>
      <c r="I497" s="11"/>
      <c r="J497" s="11"/>
      <c r="K497" s="12"/>
      <c r="L497" s="12">
        <f t="shared" si="32"/>
        <v>2.8020134228187921</v>
      </c>
    </row>
    <row r="498" spans="1:12" ht="14" x14ac:dyDescent="0.15">
      <c r="A498" s="16" t="s">
        <v>686</v>
      </c>
      <c r="B498" s="16" t="s">
        <v>21</v>
      </c>
      <c r="C498" s="16" t="s">
        <v>694</v>
      </c>
      <c r="D498" s="17">
        <v>41120</v>
      </c>
      <c r="E498" s="18">
        <v>833</v>
      </c>
      <c r="F498" s="18">
        <v>40287</v>
      </c>
      <c r="G498" s="12"/>
      <c r="H498" s="18">
        <v>15178</v>
      </c>
      <c r="I498" s="11"/>
      <c r="J498" s="11"/>
      <c r="K498" s="12"/>
      <c r="L498" s="12">
        <f t="shared" si="32"/>
        <v>2.6543022796152327</v>
      </c>
    </row>
    <row r="499" spans="1:12" ht="14" x14ac:dyDescent="0.15">
      <c r="A499" s="16" t="s">
        <v>686</v>
      </c>
      <c r="B499" s="16" t="s">
        <v>552</v>
      </c>
      <c r="C499" s="16" t="s">
        <v>695</v>
      </c>
      <c r="D499" s="17">
        <v>1928</v>
      </c>
      <c r="E499" s="18">
        <v>0</v>
      </c>
      <c r="F499" s="18">
        <v>1928</v>
      </c>
      <c r="G499" s="12"/>
      <c r="H499" s="18">
        <v>860</v>
      </c>
      <c r="I499" s="11"/>
      <c r="J499" s="11"/>
      <c r="K499" s="12"/>
      <c r="L499" s="12">
        <f t="shared" si="32"/>
        <v>2.2418604651162792</v>
      </c>
    </row>
    <row r="500" spans="1:12" ht="14" x14ac:dyDescent="0.15">
      <c r="A500" s="16" t="s">
        <v>686</v>
      </c>
      <c r="B500" s="16" t="s">
        <v>131</v>
      </c>
      <c r="C500" s="16" t="s">
        <v>696</v>
      </c>
      <c r="D500" s="17">
        <v>779</v>
      </c>
      <c r="E500" s="18">
        <v>0</v>
      </c>
      <c r="F500" s="18">
        <v>779</v>
      </c>
      <c r="G500" s="12"/>
      <c r="H500" s="18">
        <v>530</v>
      </c>
      <c r="I500" s="11"/>
      <c r="J500" s="11"/>
      <c r="K500" s="12"/>
      <c r="L500" s="12">
        <f t="shared" si="32"/>
        <v>1.469811320754717</v>
      </c>
    </row>
    <row r="501" spans="1:12" ht="14" x14ac:dyDescent="0.15">
      <c r="A501" s="16" t="s">
        <v>686</v>
      </c>
      <c r="B501" s="16" t="s">
        <v>93</v>
      </c>
      <c r="C501" s="16" t="s">
        <v>697</v>
      </c>
      <c r="D501" s="17">
        <v>34082</v>
      </c>
      <c r="E501" s="18">
        <v>0</v>
      </c>
      <c r="F501" s="18">
        <v>34082</v>
      </c>
      <c r="G501" s="12"/>
      <c r="H501" s="18">
        <v>11973</v>
      </c>
      <c r="I501" s="11"/>
      <c r="J501" s="11"/>
      <c r="K501" s="12"/>
      <c r="L501" s="12">
        <f t="shared" si="32"/>
        <v>2.8465714524346448</v>
      </c>
    </row>
    <row r="502" spans="1:12" ht="14" x14ac:dyDescent="0.15">
      <c r="A502" s="16" t="s">
        <v>686</v>
      </c>
      <c r="B502" s="16" t="s">
        <v>243</v>
      </c>
      <c r="C502" s="16" t="s">
        <v>710</v>
      </c>
      <c r="D502" s="17">
        <v>646</v>
      </c>
      <c r="E502" s="18">
        <v>0</v>
      </c>
      <c r="F502" s="18">
        <v>646</v>
      </c>
      <c r="G502" s="12"/>
      <c r="H502" s="18">
        <v>556</v>
      </c>
      <c r="I502" s="11"/>
      <c r="J502" s="11"/>
      <c r="K502" s="12"/>
      <c r="L502" s="12">
        <f t="shared" si="32"/>
        <v>1.1618705035971224</v>
      </c>
    </row>
    <row r="503" spans="1:12" ht="14" x14ac:dyDescent="0.15">
      <c r="A503" s="16" t="s">
        <v>686</v>
      </c>
      <c r="B503" s="16" t="s">
        <v>384</v>
      </c>
      <c r="C503" s="16" t="s">
        <v>698</v>
      </c>
      <c r="D503" s="17">
        <v>17934</v>
      </c>
      <c r="E503" s="18">
        <v>0</v>
      </c>
      <c r="F503" s="18">
        <v>17934</v>
      </c>
      <c r="G503" s="12"/>
      <c r="H503" s="18">
        <v>7000</v>
      </c>
      <c r="I503" s="11"/>
      <c r="J503" s="11"/>
      <c r="K503" s="12"/>
      <c r="L503" s="12">
        <f t="shared" si="32"/>
        <v>2.5619999999999998</v>
      </c>
    </row>
    <row r="504" spans="1:12" ht="14" x14ac:dyDescent="0.15">
      <c r="A504" s="16" t="s">
        <v>686</v>
      </c>
      <c r="B504" s="16" t="s">
        <v>63</v>
      </c>
      <c r="C504" s="16" t="s">
        <v>699</v>
      </c>
      <c r="D504" s="17">
        <v>44732</v>
      </c>
      <c r="E504" s="18">
        <v>547</v>
      </c>
      <c r="F504" s="18">
        <v>44185</v>
      </c>
      <c r="G504" s="12"/>
      <c r="H504" s="18">
        <v>21650</v>
      </c>
      <c r="I504" s="11"/>
      <c r="J504" s="11"/>
      <c r="K504" s="12"/>
      <c r="L504" s="12">
        <f t="shared" si="32"/>
        <v>2.040877598152425</v>
      </c>
    </row>
    <row r="505" spans="1:12" ht="14" x14ac:dyDescent="0.15">
      <c r="A505" s="16" t="s">
        <v>686</v>
      </c>
      <c r="B505" s="16" t="s">
        <v>27</v>
      </c>
      <c r="C505" s="16" t="s">
        <v>700</v>
      </c>
      <c r="D505" s="17">
        <v>8119</v>
      </c>
      <c r="E505" s="18">
        <v>0</v>
      </c>
      <c r="F505" s="18">
        <v>8119</v>
      </c>
      <c r="G505" s="12"/>
      <c r="H505" s="18">
        <v>2643</v>
      </c>
      <c r="I505" s="11"/>
      <c r="J505" s="11"/>
      <c r="K505" s="12"/>
      <c r="L505" s="12">
        <f t="shared" si="32"/>
        <v>3.0718880060537268</v>
      </c>
    </row>
    <row r="506" spans="1:12" ht="14" x14ac:dyDescent="0.15">
      <c r="A506" s="16" t="s">
        <v>686</v>
      </c>
      <c r="B506" s="16" t="s">
        <v>99</v>
      </c>
      <c r="C506" s="16" t="s">
        <v>701</v>
      </c>
      <c r="D506" s="17">
        <v>99779</v>
      </c>
      <c r="E506" s="18">
        <v>847</v>
      </c>
      <c r="F506" s="18">
        <v>98932</v>
      </c>
      <c r="G506" s="12"/>
      <c r="H506" s="18">
        <v>43448</v>
      </c>
      <c r="I506" s="11"/>
      <c r="J506" s="11"/>
      <c r="K506" s="12"/>
      <c r="L506" s="12">
        <f t="shared" si="32"/>
        <v>2.2770208064813109</v>
      </c>
    </row>
    <row r="507" spans="1:12" ht="14" x14ac:dyDescent="0.15">
      <c r="A507" s="16" t="s">
        <v>686</v>
      </c>
      <c r="B507" s="16" t="s">
        <v>29</v>
      </c>
      <c r="C507" s="16" t="s">
        <v>702</v>
      </c>
      <c r="D507" s="17">
        <v>38434</v>
      </c>
      <c r="E507" s="18">
        <v>253</v>
      </c>
      <c r="F507" s="18">
        <v>38181</v>
      </c>
      <c r="G507" s="12"/>
      <c r="H507" s="18">
        <v>15179</v>
      </c>
      <c r="I507" s="11"/>
      <c r="J507" s="11"/>
      <c r="K507" s="12"/>
      <c r="L507" s="12">
        <f t="shared" si="32"/>
        <v>2.5153830950655509</v>
      </c>
    </row>
    <row r="508" spans="1:12" ht="14" x14ac:dyDescent="0.15">
      <c r="A508" s="16" t="s">
        <v>686</v>
      </c>
      <c r="B508" s="16" t="s">
        <v>107</v>
      </c>
      <c r="C508" s="16" t="s">
        <v>703</v>
      </c>
      <c r="D508" s="17">
        <v>12240</v>
      </c>
      <c r="E508" s="18">
        <v>0</v>
      </c>
      <c r="F508" s="18">
        <v>12240</v>
      </c>
      <c r="G508" s="12"/>
      <c r="H508" s="18">
        <v>4853</v>
      </c>
      <c r="I508" s="11"/>
      <c r="J508" s="11"/>
      <c r="K508" s="12"/>
      <c r="L508" s="12">
        <f t="shared" si="32"/>
        <v>2.5221512466515557</v>
      </c>
    </row>
    <row r="509" spans="1:12" ht="14" x14ac:dyDescent="0.15">
      <c r="A509" s="16" t="s">
        <v>686</v>
      </c>
      <c r="B509" s="16" t="s">
        <v>31</v>
      </c>
      <c r="C509" s="16" t="s">
        <v>704</v>
      </c>
      <c r="D509" s="17">
        <v>143708</v>
      </c>
      <c r="E509" s="18">
        <v>789</v>
      </c>
      <c r="F509" s="18">
        <v>142919</v>
      </c>
      <c r="G509" s="12"/>
      <c r="H509" s="18">
        <v>52935</v>
      </c>
      <c r="I509" s="11"/>
      <c r="J509" s="11"/>
      <c r="K509" s="12"/>
      <c r="L509" s="12">
        <f t="shared" si="32"/>
        <v>2.6998960989893264</v>
      </c>
    </row>
    <row r="510" spans="1:12" ht="14" x14ac:dyDescent="0.15">
      <c r="A510" s="16" t="s">
        <v>686</v>
      </c>
      <c r="B510" s="16" t="s">
        <v>388</v>
      </c>
      <c r="C510" s="16" t="s">
        <v>705</v>
      </c>
      <c r="D510" s="17">
        <v>7917</v>
      </c>
      <c r="E510" s="18">
        <v>0</v>
      </c>
      <c r="F510" s="18">
        <v>7917</v>
      </c>
      <c r="G510" s="12"/>
      <c r="H510" s="18">
        <v>3242</v>
      </c>
      <c r="I510" s="11"/>
      <c r="J510" s="11"/>
      <c r="K510" s="12"/>
      <c r="L510" s="12">
        <f t="shared" si="32"/>
        <v>2.4420111042566317</v>
      </c>
    </row>
    <row r="511" spans="1:12" ht="14" x14ac:dyDescent="0.15">
      <c r="A511" s="16" t="s">
        <v>686</v>
      </c>
      <c r="B511" s="16" t="s">
        <v>33</v>
      </c>
      <c r="C511" s="19" t="s">
        <v>706</v>
      </c>
      <c r="D511" s="17">
        <v>115178</v>
      </c>
      <c r="E511" s="18">
        <v>687</v>
      </c>
      <c r="F511" s="18">
        <v>114491</v>
      </c>
      <c r="G511" s="12"/>
      <c r="H511" s="18">
        <v>50006</v>
      </c>
      <c r="I511" s="11"/>
      <c r="J511" s="11"/>
      <c r="K511" s="12"/>
      <c r="L511" s="12">
        <f t="shared" si="32"/>
        <v>2.2895452545694517</v>
      </c>
    </row>
    <row r="512" spans="1:12" ht="14" x14ac:dyDescent="0.15">
      <c r="A512" s="16" t="s">
        <v>686</v>
      </c>
      <c r="B512" s="16" t="s">
        <v>392</v>
      </c>
      <c r="C512" s="16" t="s">
        <v>707</v>
      </c>
      <c r="D512" s="17">
        <v>38283</v>
      </c>
      <c r="E512" s="18">
        <v>290</v>
      </c>
      <c r="F512" s="18">
        <v>37993</v>
      </c>
      <c r="G512" s="12"/>
      <c r="H512" s="18">
        <v>15410</v>
      </c>
      <c r="I512" s="11"/>
      <c r="J512" s="11"/>
      <c r="K512" s="12"/>
      <c r="L512" s="12">
        <f t="shared" si="32"/>
        <v>2.4654769630110316</v>
      </c>
    </row>
    <row r="513" spans="1:11" x14ac:dyDescent="0.15">
      <c r="C513" s="3"/>
      <c r="D513" s="3"/>
      <c r="E513" s="3"/>
    </row>
    <row r="514" spans="1:11" s="2" customFormat="1" x14ac:dyDescent="0.15">
      <c r="A514" s="20" t="s">
        <v>709</v>
      </c>
      <c r="B514" s="20"/>
      <c r="C514" s="20"/>
      <c r="D514" s="7"/>
      <c r="K514" s="5"/>
    </row>
    <row r="515" spans="1:11" s="2" customFormat="1" x14ac:dyDescent="0.15">
      <c r="D515" s="7"/>
      <c r="G515" s="4"/>
      <c r="K515" s="5"/>
    </row>
  </sheetData>
  <sortState xmlns:xlrd2="http://schemas.microsoft.com/office/spreadsheetml/2017/richdata2" ref="A4:L512">
    <sortCondition ref="A4:A512"/>
    <sortCondition ref="B4:B512"/>
  </sortState>
  <mergeCells count="2">
    <mergeCell ref="A514:C514"/>
    <mergeCell ref="A1:L1"/>
  </mergeCells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CountyMuniHousing</vt:lpstr>
    </vt:vector>
  </TitlesOfParts>
  <Company>Dept. of Local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Gedeon, Nancy</dc:creator>
  <cp:lastModifiedBy>David Milner</cp:lastModifiedBy>
  <cp:lastPrinted>2023-10-17T18:54:08Z</cp:lastPrinted>
  <dcterms:created xsi:type="dcterms:W3CDTF">2022-08-18T22:39:48Z</dcterms:created>
  <dcterms:modified xsi:type="dcterms:W3CDTF">2024-08-14T05:18:02Z</dcterms:modified>
</cp:coreProperties>
</file>